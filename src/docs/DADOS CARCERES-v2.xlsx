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slicers/slicer1.xml" ContentType="application/vnd.ms-excel.slicer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001-SMECEL\01-TRANSPORTE\2026\03-FORMULÁRIO CADASTRO TRANSPORTE\"/>
    </mc:Choice>
  </mc:AlternateContent>
  <xr:revisionPtr revIDLastSave="0" documentId="13_ncr:1_{1B12B5A2-0C65-4E8D-AEFD-429615B51722}" xr6:coauthVersionLast="47" xr6:coauthVersionMax="47" xr10:uidLastSave="{00000000-0000-0000-0000-000000000000}"/>
  <bookViews>
    <workbookView xWindow="-120" yWindow="-120" windowWidth="20730" windowHeight="11040" activeTab="3" xr2:uid="{DBFA177F-4261-4334-9D5F-3FA4EEE767E3}"/>
  </bookViews>
  <sheets>
    <sheet name="01-NÚCLEO-ESCOLA" sheetId="4" r:id="rId1"/>
    <sheet name="02-ESCOLAS-ETAPA" sheetId="1" r:id="rId2"/>
    <sheet name="03-LINHAS" sheetId="2" r:id="rId3"/>
    <sheet name="04-LINHAS-ESCOLAS" sheetId="6" r:id="rId4"/>
  </sheets>
  <definedNames>
    <definedName name="DadosExternos_1" localSheetId="3" hidden="1">'04-LINHAS-ESCOLAS'!$A$1:$H$267</definedName>
    <definedName name="SegmentaçãodeDados_ESCOLA">#N/A</definedName>
    <definedName name="TotalEtapas">'01-NÚCLEO-ESCOLA'!$J$2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A69" i="2"/>
  <c r="A80" i="2"/>
  <c r="A78" i="2"/>
  <c r="A47" i="2"/>
  <c r="A79" i="2"/>
  <c r="A48" i="2"/>
  <c r="A2" i="2"/>
  <c r="A18" i="2"/>
  <c r="A30" i="2"/>
  <c r="A13" i="2"/>
  <c r="A84" i="2"/>
  <c r="A38" i="2"/>
  <c r="A53" i="2"/>
  <c r="A65" i="2"/>
  <c r="A22" i="2"/>
  <c r="A59" i="2"/>
  <c r="A92" i="2"/>
  <c r="A34" i="2"/>
  <c r="A26" i="2"/>
  <c r="A83" i="2"/>
  <c r="A45" i="2"/>
  <c r="A55" i="2"/>
  <c r="A21" i="2"/>
  <c r="A42" i="2"/>
  <c r="A39" i="2"/>
  <c r="A23" i="2"/>
  <c r="A60" i="2"/>
  <c r="A91" i="2"/>
  <c r="A35" i="2"/>
  <c r="A27" i="2"/>
  <c r="A82" i="2"/>
  <c r="A54" i="2"/>
  <c r="A64" i="2"/>
  <c r="A31" i="2"/>
  <c r="A14" i="2"/>
  <c r="A85" i="2"/>
  <c r="A37" i="2"/>
  <c r="A49" i="2"/>
  <c r="A3" i="2"/>
  <c r="A17" i="2"/>
  <c r="A81" i="2"/>
  <c r="A46" i="2"/>
  <c r="A43" i="2"/>
  <c r="A52" i="2"/>
  <c r="A36" i="2"/>
  <c r="A44" i="2"/>
  <c r="A6" i="2"/>
  <c r="A29" i="2"/>
  <c r="A66" i="2"/>
  <c r="F865" i="1"/>
  <c r="E865" i="1"/>
  <c r="F864" i="1"/>
  <c r="E864" i="1"/>
  <c r="F863" i="1"/>
  <c r="E863" i="1"/>
  <c r="F862" i="1"/>
  <c r="E862" i="1"/>
  <c r="F861" i="1"/>
  <c r="E861" i="1"/>
  <c r="F829" i="1"/>
  <c r="E829" i="1"/>
  <c r="F828" i="1"/>
  <c r="E828" i="1"/>
  <c r="F827" i="1"/>
  <c r="E827" i="1"/>
  <c r="F826" i="1"/>
  <c r="E826" i="1"/>
  <c r="F825" i="1"/>
  <c r="E825" i="1"/>
  <c r="F811" i="1"/>
  <c r="E811" i="1"/>
  <c r="F810" i="1"/>
  <c r="E810" i="1"/>
  <c r="F809" i="1"/>
  <c r="E809" i="1"/>
  <c r="F808" i="1"/>
  <c r="E808" i="1"/>
  <c r="F807" i="1"/>
  <c r="E807" i="1"/>
  <c r="F793" i="1"/>
  <c r="E793" i="1"/>
  <c r="F792" i="1"/>
  <c r="E792" i="1"/>
  <c r="F791" i="1"/>
  <c r="E791" i="1"/>
  <c r="F790" i="1"/>
  <c r="E790" i="1"/>
  <c r="F789" i="1"/>
  <c r="E789" i="1"/>
  <c r="F775" i="1"/>
  <c r="E775" i="1"/>
  <c r="F774" i="1"/>
  <c r="E774" i="1"/>
  <c r="F773" i="1"/>
  <c r="E773" i="1"/>
  <c r="F772" i="1"/>
  <c r="E772" i="1"/>
  <c r="F771" i="1"/>
  <c r="E771" i="1"/>
  <c r="F757" i="1"/>
  <c r="E757" i="1"/>
  <c r="F756" i="1"/>
  <c r="E756" i="1"/>
  <c r="F755" i="1"/>
  <c r="E755" i="1"/>
  <c r="F754" i="1"/>
  <c r="E754" i="1"/>
  <c r="F753" i="1"/>
  <c r="E753" i="1"/>
  <c r="F739" i="1"/>
  <c r="E739" i="1"/>
  <c r="F738" i="1"/>
  <c r="E738" i="1"/>
  <c r="F737" i="1"/>
  <c r="E737" i="1"/>
  <c r="F736" i="1"/>
  <c r="E736" i="1"/>
  <c r="F735" i="1"/>
  <c r="E735" i="1"/>
  <c r="A5" i="2"/>
  <c r="A4" i="2"/>
  <c r="A90" i="2"/>
  <c r="A50" i="2"/>
  <c r="A28" i="2"/>
  <c r="A25" i="2"/>
  <c r="A68" i="2"/>
  <c r="A7" i="2"/>
  <c r="A56" i="2"/>
  <c r="A57" i="2"/>
  <c r="A67" i="2"/>
  <c r="A20" i="2"/>
  <c r="A88" i="2"/>
  <c r="A63" i="2"/>
  <c r="A19" i="2"/>
  <c r="A51" i="2"/>
  <c r="A58" i="2"/>
  <c r="A74" i="2"/>
  <c r="A76" i="2"/>
  <c r="A32" i="2"/>
  <c r="A75" i="2"/>
  <c r="A89" i="2"/>
  <c r="E685" i="1"/>
  <c r="F685" i="1"/>
  <c r="E699" i="1"/>
  <c r="F699" i="1"/>
  <c r="E700" i="1"/>
  <c r="F700" i="1"/>
  <c r="E701" i="1"/>
  <c r="F701" i="1"/>
  <c r="E702" i="1"/>
  <c r="F702" i="1"/>
  <c r="E703" i="1"/>
  <c r="F703" i="1"/>
  <c r="E8" i="1"/>
  <c r="F8" i="1"/>
  <c r="E10" i="1"/>
  <c r="F10" i="1"/>
  <c r="E12" i="1"/>
  <c r="F12" i="1"/>
  <c r="E14" i="1"/>
  <c r="F14" i="1"/>
  <c r="E16" i="1"/>
  <c r="F16" i="1"/>
  <c r="E17" i="1"/>
  <c r="F17" i="1"/>
  <c r="E9" i="1"/>
  <c r="F9" i="1"/>
  <c r="E11" i="1"/>
  <c r="F11" i="1"/>
  <c r="E13" i="1"/>
  <c r="F13" i="1"/>
  <c r="E15" i="1"/>
  <c r="F15" i="1"/>
  <c r="E18" i="1"/>
  <c r="F18" i="1"/>
  <c r="E7" i="1"/>
  <c r="F7" i="1"/>
  <c r="E6" i="1"/>
  <c r="F6" i="1"/>
  <c r="E3" i="1"/>
  <c r="F3" i="1"/>
  <c r="A11" i="2"/>
  <c r="A16" i="2"/>
  <c r="A10" i="2"/>
  <c r="A61" i="2"/>
  <c r="A24" i="2"/>
  <c r="A41" i="2"/>
  <c r="A71" i="2"/>
  <c r="A73" i="2"/>
  <c r="A62" i="2"/>
  <c r="A87" i="2"/>
  <c r="A12" i="2"/>
  <c r="A86" i="2"/>
  <c r="A40" i="2"/>
  <c r="A70" i="2"/>
  <c r="A72" i="2"/>
  <c r="A15" i="2"/>
  <c r="A33" i="2"/>
  <c r="A9" i="2"/>
  <c r="A8" i="2"/>
  <c r="A77" i="2"/>
  <c r="J2" i="4"/>
  <c r="B3521" i="1" s="1" a="1"/>
  <c r="B3521" i="1" s="1"/>
  <c r="A3521" i="1" s="1"/>
  <c r="F501" i="1"/>
  <c r="F502" i="1"/>
  <c r="F503" i="1"/>
  <c r="F504" i="1"/>
  <c r="F505" i="1"/>
  <c r="F519" i="1"/>
  <c r="F520" i="1"/>
  <c r="F521" i="1"/>
  <c r="F522" i="1"/>
  <c r="F523" i="1"/>
  <c r="F537" i="1"/>
  <c r="F538" i="1"/>
  <c r="F539" i="1"/>
  <c r="F540" i="1"/>
  <c r="F541" i="1"/>
  <c r="F555" i="1"/>
  <c r="F556" i="1"/>
  <c r="F557" i="1"/>
  <c r="F558" i="1"/>
  <c r="F559" i="1"/>
  <c r="F573" i="1"/>
  <c r="F574" i="1"/>
  <c r="F575" i="1"/>
  <c r="F576" i="1"/>
  <c r="F577" i="1"/>
  <c r="F591" i="1"/>
  <c r="F592" i="1"/>
  <c r="F593" i="1"/>
  <c r="F594" i="1"/>
  <c r="F595" i="1"/>
  <c r="F609" i="1"/>
  <c r="F610" i="1"/>
  <c r="F611" i="1"/>
  <c r="F612" i="1"/>
  <c r="F613" i="1"/>
  <c r="F627" i="1"/>
  <c r="F628" i="1"/>
  <c r="F629" i="1"/>
  <c r="F630" i="1"/>
  <c r="F631" i="1"/>
  <c r="F645" i="1"/>
  <c r="F646" i="1"/>
  <c r="F647" i="1"/>
  <c r="F648" i="1"/>
  <c r="F649" i="1"/>
  <c r="F663" i="1"/>
  <c r="F664" i="1"/>
  <c r="F665" i="1"/>
  <c r="F666" i="1"/>
  <c r="F667" i="1"/>
  <c r="F681" i="1"/>
  <c r="F682" i="1"/>
  <c r="F683" i="1"/>
  <c r="F684" i="1"/>
  <c r="F717" i="1"/>
  <c r="F718" i="1"/>
  <c r="F719" i="1"/>
  <c r="F720" i="1"/>
  <c r="F721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E501" i="1"/>
  <c r="E502" i="1"/>
  <c r="E503" i="1"/>
  <c r="E504" i="1"/>
  <c r="E505" i="1"/>
  <c r="E519" i="1"/>
  <c r="E520" i="1"/>
  <c r="E521" i="1"/>
  <c r="E522" i="1"/>
  <c r="E523" i="1"/>
  <c r="E537" i="1"/>
  <c r="E538" i="1"/>
  <c r="E539" i="1"/>
  <c r="E540" i="1"/>
  <c r="E541" i="1"/>
  <c r="E555" i="1"/>
  <c r="E556" i="1"/>
  <c r="E557" i="1"/>
  <c r="E558" i="1"/>
  <c r="E559" i="1"/>
  <c r="E573" i="1"/>
  <c r="E574" i="1"/>
  <c r="E575" i="1"/>
  <c r="E576" i="1"/>
  <c r="E577" i="1"/>
  <c r="E591" i="1"/>
  <c r="E592" i="1"/>
  <c r="E593" i="1"/>
  <c r="E594" i="1"/>
  <c r="E595" i="1"/>
  <c r="E609" i="1"/>
  <c r="E610" i="1"/>
  <c r="E611" i="1"/>
  <c r="E612" i="1"/>
  <c r="E613" i="1"/>
  <c r="E627" i="1"/>
  <c r="E628" i="1"/>
  <c r="E629" i="1"/>
  <c r="E630" i="1"/>
  <c r="E631" i="1"/>
  <c r="E645" i="1"/>
  <c r="E646" i="1"/>
  <c r="E647" i="1"/>
  <c r="E648" i="1"/>
  <c r="E649" i="1"/>
  <c r="E663" i="1"/>
  <c r="E664" i="1"/>
  <c r="E665" i="1"/>
  <c r="E666" i="1"/>
  <c r="E667" i="1"/>
  <c r="E681" i="1"/>
  <c r="E682" i="1"/>
  <c r="E683" i="1"/>
  <c r="E684" i="1"/>
  <c r="E717" i="1"/>
  <c r="E718" i="1"/>
  <c r="E719" i="1"/>
  <c r="E720" i="1"/>
  <c r="E721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B736" i="1" l="1" a="1"/>
  <c r="B736" i="1" s="1"/>
  <c r="A736" i="1" s="1"/>
  <c r="B724" i="1" a="1"/>
  <c r="B724" i="1" s="1"/>
  <c r="B735" i="1" a="1"/>
  <c r="B735" i="1" s="1"/>
  <c r="A735" i="1" s="1"/>
  <c r="B723" i="1" a="1"/>
  <c r="B723" i="1" s="1"/>
  <c r="B734" i="1" a="1"/>
  <c r="B734" i="1" s="1"/>
  <c r="B722" i="1" a="1"/>
  <c r="B722" i="1" s="1"/>
  <c r="B733" i="1" a="1"/>
  <c r="B733" i="1" s="1"/>
  <c r="B344" i="1" a="1"/>
  <c r="B344" i="1" s="1"/>
  <c r="B732" i="1" a="1"/>
  <c r="B732" i="1" s="1"/>
  <c r="B731" i="1" a="1"/>
  <c r="B731" i="1" s="1"/>
  <c r="B730" i="1" a="1"/>
  <c r="B730" i="1" s="1"/>
  <c r="B729" i="1" a="1"/>
  <c r="B729" i="1" s="1"/>
  <c r="B728" i="1" a="1"/>
  <c r="B728" i="1" s="1"/>
  <c r="B739" i="1" a="1"/>
  <c r="B739" i="1" s="1"/>
  <c r="A739" i="1" s="1"/>
  <c r="B727" i="1" a="1"/>
  <c r="B727" i="1" s="1"/>
  <c r="B738" i="1" a="1"/>
  <c r="B738" i="1" s="1"/>
  <c r="A738" i="1" s="1"/>
  <c r="B726" i="1" a="1"/>
  <c r="B726" i="1" s="1"/>
  <c r="B737" i="1" a="1"/>
  <c r="B737" i="1" s="1"/>
  <c r="A737" i="1" s="1"/>
  <c r="B725" i="1" a="1"/>
  <c r="B725" i="1" s="1"/>
  <c r="B8" i="1" a="1"/>
  <c r="B8" i="1" s="1"/>
  <c r="B632" i="1" a="1"/>
  <c r="B632" i="1" s="1"/>
  <c r="B705" i="1" a="1"/>
  <c r="B705" i="1" s="1"/>
  <c r="B689" i="1" a="1"/>
  <c r="B689" i="1" s="1"/>
  <c r="B704" i="1" a="1"/>
  <c r="B704" i="1" s="1"/>
  <c r="B700" i="1" a="1"/>
  <c r="B700" i="1" s="1"/>
  <c r="A700" i="1" s="1"/>
  <c r="B687" i="1" a="1"/>
  <c r="B687" i="1" s="1"/>
  <c r="B49" i="1" a="1"/>
  <c r="B49" i="1" s="1"/>
  <c r="B45" i="1" a="1"/>
  <c r="B45" i="1" s="1"/>
  <c r="B703" i="1" a="1"/>
  <c r="B703" i="1" s="1"/>
  <c r="A703" i="1" s="1"/>
  <c r="B699" i="1" a="1"/>
  <c r="B699" i="1" s="1"/>
  <c r="A699" i="1" s="1"/>
  <c r="B685" i="1" a="1"/>
  <c r="B685" i="1" s="1"/>
  <c r="A685" i="1" s="1"/>
  <c r="B34" i="1" a="1"/>
  <c r="B34" i="1" s="1"/>
  <c r="B698" i="1" a="1"/>
  <c r="B698" i="1" s="1"/>
  <c r="B30" i="1" a="1"/>
  <c r="B30" i="1" s="1"/>
  <c r="B697" i="1" a="1"/>
  <c r="B697" i="1" s="1"/>
  <c r="B22" i="1" a="1"/>
  <c r="B22" i="1" s="1"/>
  <c r="B702" i="1" a="1"/>
  <c r="B702" i="1" s="1"/>
  <c r="A702" i="1" s="1"/>
  <c r="B696" i="1" a="1"/>
  <c r="B696" i="1" s="1"/>
  <c r="B695" i="1" a="1"/>
  <c r="B695" i="1" s="1"/>
  <c r="B380" i="1" a="1"/>
  <c r="B380" i="1" s="1"/>
  <c r="B694" i="1" a="1"/>
  <c r="B694" i="1" s="1"/>
  <c r="B7" i="1" a="1"/>
  <c r="B7" i="1" s="1"/>
  <c r="B707" i="1" a="1"/>
  <c r="B707" i="1" s="1"/>
  <c r="B701" i="1" a="1"/>
  <c r="B701" i="1" s="1"/>
  <c r="A701" i="1" s="1"/>
  <c r="B693" i="1" a="1"/>
  <c r="B693" i="1" s="1"/>
  <c r="B706" i="1" a="1"/>
  <c r="B706" i="1" s="1"/>
  <c r="B691" i="1" a="1"/>
  <c r="B691" i="1" s="1"/>
  <c r="B44" i="1" a="1"/>
  <c r="B44" i="1" s="1"/>
  <c r="A44" i="1" s="1"/>
  <c r="B29" i="1" a="1"/>
  <c r="B29" i="1" s="1"/>
  <c r="D29" i="1" s="1" a="1"/>
  <c r="D29" i="1" s="1"/>
  <c r="B20" i="1" a="1"/>
  <c r="B20" i="1" s="1"/>
  <c r="B11" i="1" a="1"/>
  <c r="B11" i="1" s="1"/>
  <c r="B6" i="1" a="1"/>
  <c r="B6" i="1" s="1"/>
  <c r="B42" i="1" a="1"/>
  <c r="B42" i="1" s="1"/>
  <c r="B28" i="1" a="1"/>
  <c r="B28" i="1" s="1"/>
  <c r="B14" i="1" a="1"/>
  <c r="B14" i="1" s="1"/>
  <c r="B39" i="1" a="1"/>
  <c r="B39" i="1" s="1"/>
  <c r="B40" i="1" a="1"/>
  <c r="B40" i="1" s="1"/>
  <c r="B27" i="1" a="1"/>
  <c r="B27" i="1" s="1"/>
  <c r="B53" i="1" a="1"/>
  <c r="B53" i="1" s="1"/>
  <c r="B37" i="1" a="1"/>
  <c r="B37" i="1" s="1"/>
  <c r="B26" i="1" a="1"/>
  <c r="B26" i="1" s="1"/>
  <c r="B18" i="1" a="1"/>
  <c r="B18" i="1" s="1"/>
  <c r="B9" i="1" a="1"/>
  <c r="B9" i="1" s="1"/>
  <c r="B52" i="1" a="1"/>
  <c r="B52" i="1" s="1"/>
  <c r="B38" i="1" a="1"/>
  <c r="B38" i="1" s="1"/>
  <c r="B25" i="1" a="1"/>
  <c r="B25" i="1" s="1"/>
  <c r="B19" i="1" a="1"/>
  <c r="B19" i="1" s="1"/>
  <c r="B12" i="1" a="1"/>
  <c r="B12" i="1" s="1"/>
  <c r="B51" i="1" a="1"/>
  <c r="B51" i="1" s="1"/>
  <c r="B36" i="1" a="1"/>
  <c r="B36" i="1" s="1"/>
  <c r="B24" i="1" a="1"/>
  <c r="B24" i="1" s="1"/>
  <c r="B50" i="1" a="1"/>
  <c r="B50" i="1" s="1"/>
  <c r="B35" i="1" a="1"/>
  <c r="B35" i="1" s="1"/>
  <c r="B23" i="1" a="1"/>
  <c r="B23" i="1" s="1"/>
  <c r="B15" i="1" a="1"/>
  <c r="B15" i="1" s="1"/>
  <c r="B17" i="1" a="1"/>
  <c r="B17" i="1" s="1"/>
  <c r="B10" i="1" a="1"/>
  <c r="B10" i="1" s="1"/>
  <c r="B3" i="1" a="1"/>
  <c r="B3" i="1" s="1"/>
  <c r="B48" i="1" a="1"/>
  <c r="B48" i="1" s="1"/>
  <c r="B33" i="1" a="1"/>
  <c r="B33" i="1" s="1"/>
  <c r="B21" i="1" a="1"/>
  <c r="B21" i="1" s="1"/>
  <c r="B43" i="1" a="1"/>
  <c r="B43" i="1" s="1"/>
  <c r="B47" i="1" a="1"/>
  <c r="B47" i="1" s="1"/>
  <c r="B32" i="1" a="1"/>
  <c r="B32" i="1" s="1"/>
  <c r="B13" i="1" a="1"/>
  <c r="B13" i="1" s="1"/>
  <c r="B41" i="1" a="1"/>
  <c r="B41" i="1" s="1"/>
  <c r="B46" i="1" a="1"/>
  <c r="B46" i="1" s="1"/>
  <c r="B31" i="1" a="1"/>
  <c r="B31" i="1" s="1"/>
  <c r="B16" i="1" a="1"/>
  <c r="B16" i="1" s="1"/>
  <c r="B4955" i="1" a="1"/>
  <c r="B4955" i="1" s="1"/>
  <c r="A4955" i="1" s="1"/>
  <c r="B4947" i="1" a="1"/>
  <c r="B4947" i="1" s="1"/>
  <c r="A4947" i="1" s="1"/>
  <c r="B4891" i="1" a="1"/>
  <c r="B4891" i="1" s="1"/>
  <c r="A4891" i="1" s="1"/>
  <c r="B4883" i="1" a="1"/>
  <c r="B4883" i="1" s="1"/>
  <c r="A4883" i="1" s="1"/>
  <c r="B4533" i="1" a="1"/>
  <c r="B4533" i="1" s="1"/>
  <c r="A4533" i="1" s="1"/>
  <c r="B4469" i="1" a="1"/>
  <c r="B4469" i="1" s="1"/>
  <c r="A4469" i="1" s="1"/>
  <c r="B4029" i="1" a="1"/>
  <c r="B4029" i="1" s="1"/>
  <c r="A4029" i="1" s="1"/>
  <c r="B3965" i="1" a="1"/>
  <c r="B3965" i="1" s="1"/>
  <c r="A3965" i="1" s="1"/>
  <c r="B4939" i="1" a="1"/>
  <c r="B4939" i="1" s="1"/>
  <c r="A4939" i="1" s="1"/>
  <c r="B4875" i="1" a="1"/>
  <c r="B4875" i="1" s="1"/>
  <c r="A4875" i="1" s="1"/>
  <c r="B4405" i="1" a="1"/>
  <c r="B4405" i="1" s="1"/>
  <c r="A4405" i="1" s="1"/>
  <c r="B3901" i="1" a="1"/>
  <c r="B3901" i="1" s="1"/>
  <c r="A3901" i="1" s="1"/>
  <c r="B4995" i="1" a="1"/>
  <c r="B4995" i="1" s="1"/>
  <c r="A4995" i="1" s="1"/>
  <c r="B4931" i="1" a="1"/>
  <c r="B4931" i="1" s="1"/>
  <c r="A4931" i="1" s="1"/>
  <c r="B4847" i="1" a="1"/>
  <c r="B4847" i="1" s="1"/>
  <c r="A4847" i="1" s="1"/>
  <c r="B4341" i="1" a="1"/>
  <c r="B4341" i="1" s="1"/>
  <c r="A4341" i="1" s="1"/>
  <c r="B3837" i="1" a="1"/>
  <c r="B3837" i="1" s="1"/>
  <c r="A3837" i="1" s="1"/>
  <c r="B4987" i="1" a="1"/>
  <c r="B4987" i="1" s="1"/>
  <c r="A4987" i="1" s="1"/>
  <c r="B4923" i="1" a="1"/>
  <c r="B4923" i="1" s="1"/>
  <c r="A4923" i="1" s="1"/>
  <c r="B4789" i="1" a="1"/>
  <c r="B4789" i="1" s="1"/>
  <c r="A4789" i="1" s="1"/>
  <c r="B4277" i="1" a="1"/>
  <c r="B4277" i="1" s="1"/>
  <c r="A4277" i="1" s="1"/>
  <c r="B3773" i="1" a="1"/>
  <c r="B3773" i="1" s="1"/>
  <c r="A3773" i="1" s="1"/>
  <c r="B4979" i="1" a="1"/>
  <c r="B4979" i="1" s="1"/>
  <c r="A4979" i="1" s="1"/>
  <c r="B4915" i="1" a="1"/>
  <c r="B4915" i="1" s="1"/>
  <c r="A4915" i="1" s="1"/>
  <c r="B4725" i="1" a="1"/>
  <c r="B4725" i="1" s="1"/>
  <c r="A4725" i="1" s="1"/>
  <c r="B4213" i="1" a="1"/>
  <c r="B4213" i="1" s="1"/>
  <c r="A4213" i="1" s="1"/>
  <c r="B3709" i="1" a="1"/>
  <c r="B3709" i="1" s="1"/>
  <c r="A3709" i="1" s="1"/>
  <c r="B4971" i="1" a="1"/>
  <c r="B4971" i="1" s="1"/>
  <c r="A4971" i="1" s="1"/>
  <c r="B4907" i="1" a="1"/>
  <c r="B4907" i="1" s="1"/>
  <c r="A4907" i="1" s="1"/>
  <c r="B4661" i="1" a="1"/>
  <c r="B4661" i="1" s="1"/>
  <c r="A4661" i="1" s="1"/>
  <c r="B4150" i="1" a="1"/>
  <c r="B4150" i="1" s="1"/>
  <c r="A4150" i="1" s="1"/>
  <c r="B3645" i="1" a="1"/>
  <c r="B3645" i="1" s="1"/>
  <c r="A3645" i="1" s="1"/>
  <c r="B4963" i="1" a="1"/>
  <c r="B4963" i="1" s="1"/>
  <c r="A4963" i="1" s="1"/>
  <c r="B4899" i="1" a="1"/>
  <c r="B4899" i="1" s="1"/>
  <c r="A4899" i="1" s="1"/>
  <c r="B4597" i="1" a="1"/>
  <c r="B4597" i="1" s="1"/>
  <c r="A4597" i="1" s="1"/>
  <c r="B4093" i="1" a="1"/>
  <c r="B4093" i="1" s="1"/>
  <c r="A4093" i="1" s="1"/>
  <c r="B3467" i="1" a="1"/>
  <c r="B3467" i="1" s="1"/>
  <c r="A3467" i="1" s="1"/>
  <c r="B4996" i="1" a="1"/>
  <c r="B4996" i="1" s="1"/>
  <c r="A4996" i="1" s="1"/>
  <c r="B4988" i="1" a="1"/>
  <c r="B4988" i="1" s="1"/>
  <c r="A4988" i="1" s="1"/>
  <c r="B4980" i="1" a="1"/>
  <c r="B4980" i="1" s="1"/>
  <c r="A4980" i="1" s="1"/>
  <c r="B4972" i="1" a="1"/>
  <c r="B4972" i="1" s="1"/>
  <c r="A4972" i="1" s="1"/>
  <c r="B4964" i="1" a="1"/>
  <c r="B4964" i="1" s="1"/>
  <c r="A4964" i="1" s="1"/>
  <c r="B4956" i="1" a="1"/>
  <c r="B4956" i="1" s="1"/>
  <c r="A4956" i="1" s="1"/>
  <c r="B4948" i="1" a="1"/>
  <c r="B4948" i="1" s="1"/>
  <c r="A4948" i="1" s="1"/>
  <c r="B4940" i="1" a="1"/>
  <c r="B4940" i="1" s="1"/>
  <c r="A4940" i="1" s="1"/>
  <c r="B4932" i="1" a="1"/>
  <c r="B4932" i="1" s="1"/>
  <c r="A4932" i="1" s="1"/>
  <c r="B4924" i="1" a="1"/>
  <c r="B4924" i="1" s="1"/>
  <c r="A4924" i="1" s="1"/>
  <c r="B4916" i="1" a="1"/>
  <c r="B4916" i="1" s="1"/>
  <c r="A4916" i="1" s="1"/>
  <c r="B4908" i="1" a="1"/>
  <c r="B4908" i="1" s="1"/>
  <c r="A4908" i="1" s="1"/>
  <c r="B4900" i="1" a="1"/>
  <c r="B4900" i="1" s="1"/>
  <c r="A4900" i="1" s="1"/>
  <c r="B4892" i="1" a="1"/>
  <c r="B4892" i="1" s="1"/>
  <c r="A4892" i="1" s="1"/>
  <c r="B4884" i="1" a="1"/>
  <c r="B4884" i="1" s="1"/>
  <c r="A4884" i="1" s="1"/>
  <c r="B4876" i="1" a="1"/>
  <c r="B4876" i="1" s="1"/>
  <c r="A4876" i="1" s="1"/>
  <c r="B4853" i="1" a="1"/>
  <c r="B4853" i="1" s="1"/>
  <c r="A4853" i="1" s="1"/>
  <c r="B4797" i="1" a="1"/>
  <c r="B4797" i="1" s="1"/>
  <c r="A4797" i="1" s="1"/>
  <c r="B4733" i="1" a="1"/>
  <c r="B4733" i="1" s="1"/>
  <c r="A4733" i="1" s="1"/>
  <c r="B4669" i="1" a="1"/>
  <c r="B4669" i="1" s="1"/>
  <c r="A4669" i="1" s="1"/>
  <c r="B4605" i="1" a="1"/>
  <c r="B4605" i="1" s="1"/>
  <c r="A4605" i="1" s="1"/>
  <c r="B4541" i="1" a="1"/>
  <c r="B4541" i="1" s="1"/>
  <c r="A4541" i="1" s="1"/>
  <c r="B4477" i="1" a="1"/>
  <c r="B4477" i="1" s="1"/>
  <c r="A4477" i="1" s="1"/>
  <c r="B4413" i="1" a="1"/>
  <c r="B4413" i="1" s="1"/>
  <c r="A4413" i="1" s="1"/>
  <c r="B4349" i="1" a="1"/>
  <c r="B4349" i="1" s="1"/>
  <c r="A4349" i="1" s="1"/>
  <c r="B4285" i="1" a="1"/>
  <c r="B4285" i="1" s="1"/>
  <c r="A4285" i="1" s="1"/>
  <c r="B4221" i="1" a="1"/>
  <c r="B4221" i="1" s="1"/>
  <c r="A4221" i="1" s="1"/>
  <c r="B4157" i="1" a="1"/>
  <c r="B4157" i="1" s="1"/>
  <c r="A4157" i="1" s="1"/>
  <c r="B4101" i="1" a="1"/>
  <c r="B4101" i="1" s="1"/>
  <c r="A4101" i="1" s="1"/>
  <c r="B4037" i="1" a="1"/>
  <c r="B4037" i="1" s="1"/>
  <c r="A4037" i="1" s="1"/>
  <c r="B3973" i="1" a="1"/>
  <c r="B3973" i="1" s="1"/>
  <c r="A3973" i="1" s="1"/>
  <c r="B3909" i="1" a="1"/>
  <c r="B3909" i="1" s="1"/>
  <c r="A3909" i="1" s="1"/>
  <c r="B3845" i="1" a="1"/>
  <c r="B3845" i="1" s="1"/>
  <c r="A3845" i="1" s="1"/>
  <c r="B3781" i="1" a="1"/>
  <c r="B3781" i="1" s="1"/>
  <c r="A3781" i="1" s="1"/>
  <c r="B3717" i="1" a="1"/>
  <c r="B3717" i="1" s="1"/>
  <c r="A3717" i="1" s="1"/>
  <c r="B3653" i="1" a="1"/>
  <c r="B3653" i="1" s="1"/>
  <c r="A3653" i="1" s="1"/>
  <c r="N2" i="1"/>
  <c r="B2" i="1" a="1"/>
  <c r="B2" i="1" s="1"/>
  <c r="B4" i="1" a="1"/>
  <c r="B4" i="1" s="1"/>
  <c r="B5" i="1" a="1"/>
  <c r="B5" i="1" s="1"/>
  <c r="A5" i="1" s="1"/>
  <c r="B54" i="1" a="1"/>
  <c r="B54" i="1" s="1"/>
  <c r="B61" i="1" a="1"/>
  <c r="B61" i="1" s="1"/>
  <c r="B68" i="1" a="1"/>
  <c r="B68" i="1" s="1"/>
  <c r="B76" i="1" a="1"/>
  <c r="B76" i="1" s="1"/>
  <c r="B84" i="1" a="1"/>
  <c r="B84" i="1" s="1"/>
  <c r="B92" i="1" a="1"/>
  <c r="B92" i="1" s="1"/>
  <c r="B99" i="1" a="1"/>
  <c r="B99" i="1" s="1"/>
  <c r="B107" i="1" a="1"/>
  <c r="B107" i="1" s="1"/>
  <c r="B115" i="1" a="1"/>
  <c r="B115" i="1" s="1"/>
  <c r="B123" i="1" a="1"/>
  <c r="B123" i="1" s="1"/>
  <c r="B130" i="1" a="1"/>
  <c r="B130" i="1" s="1"/>
  <c r="B138" i="1" a="1"/>
  <c r="B138" i="1" s="1"/>
  <c r="B146" i="1" a="1"/>
  <c r="B146" i="1" s="1"/>
  <c r="B161" i="1" a="1"/>
  <c r="B161" i="1" s="1"/>
  <c r="B168" i="1" a="1"/>
  <c r="B168" i="1" s="1"/>
  <c r="B175" i="1" a="1"/>
  <c r="B175" i="1" s="1"/>
  <c r="B183" i="1" a="1"/>
  <c r="B183" i="1" s="1"/>
  <c r="B190" i="1" a="1"/>
  <c r="B190" i="1" s="1"/>
  <c r="B197" i="1" a="1"/>
  <c r="B197" i="1" s="1"/>
  <c r="B205" i="1" a="1"/>
  <c r="B205" i="1" s="1"/>
  <c r="B212" i="1" a="1"/>
  <c r="B212" i="1" s="1"/>
  <c r="B220" i="1" a="1"/>
  <c r="B220" i="1" s="1"/>
  <c r="B226" i="1" a="1"/>
  <c r="B226" i="1" s="1"/>
  <c r="B234" i="1" a="1"/>
  <c r="B234" i="1" s="1"/>
  <c r="B241" i="1" a="1"/>
  <c r="B241" i="1" s="1"/>
  <c r="B249" i="1" a="1"/>
  <c r="B249" i="1" s="1"/>
  <c r="B257" i="1" a="1"/>
  <c r="B257" i="1" s="1"/>
  <c r="B264" i="1" a="1"/>
  <c r="B264" i="1" s="1"/>
  <c r="B271" i="1" a="1"/>
  <c r="B271" i="1" s="1"/>
  <c r="B279" i="1" a="1"/>
  <c r="B279" i="1" s="1"/>
  <c r="B287" i="1" a="1"/>
  <c r="B287" i="1" s="1"/>
  <c r="B294" i="1" a="1"/>
  <c r="B294" i="1" s="1"/>
  <c r="B309" i="1" a="1"/>
  <c r="B309" i="1" s="1"/>
  <c r="B317" i="1" a="1"/>
  <c r="B317" i="1" s="1"/>
  <c r="B324" i="1" a="1"/>
  <c r="B324" i="1" s="1"/>
  <c r="B332" i="1" a="1"/>
  <c r="B332" i="1" s="1"/>
  <c r="B339" i="1" a="1"/>
  <c r="B339" i="1" s="1"/>
  <c r="B346" i="1" a="1"/>
  <c r="B346" i="1" s="1"/>
  <c r="B352" i="1" a="1"/>
  <c r="B352" i="1" s="1"/>
  <c r="B359" i="1" a="1"/>
  <c r="B359" i="1" s="1"/>
  <c r="B365" i="1" a="1"/>
  <c r="B365" i="1" s="1"/>
  <c r="B378" i="1" a="1"/>
  <c r="B378" i="1" s="1"/>
  <c r="B386" i="1" a="1"/>
  <c r="B386" i="1" s="1"/>
  <c r="B392" i="1" a="1"/>
  <c r="B392" i="1" s="1"/>
  <c r="B399" i="1" a="1"/>
  <c r="B399" i="1" s="1"/>
  <c r="B407" i="1" a="1"/>
  <c r="B407" i="1" s="1"/>
  <c r="B415" i="1" a="1"/>
  <c r="B415" i="1" s="1"/>
  <c r="B422" i="1" a="1"/>
  <c r="B422" i="1" s="1"/>
  <c r="B429" i="1" a="1"/>
  <c r="B429" i="1" s="1"/>
  <c r="B437" i="1" a="1"/>
  <c r="B437" i="1" s="1"/>
  <c r="B444" i="1" a="1"/>
  <c r="B444" i="1" s="1"/>
  <c r="B458" i="1" a="1"/>
  <c r="B458" i="1" s="1"/>
  <c r="B466" i="1" a="1"/>
  <c r="B466" i="1" s="1"/>
  <c r="B474" i="1" a="1"/>
  <c r="B474" i="1" s="1"/>
  <c r="B482" i="1" a="1"/>
  <c r="B482" i="1" s="1"/>
  <c r="B488" i="1" a="1"/>
  <c r="B488" i="1" s="1"/>
  <c r="B496" i="1" a="1"/>
  <c r="B496" i="1" s="1"/>
  <c r="B504" i="1" a="1"/>
  <c r="B504" i="1" s="1"/>
  <c r="A504" i="1" s="1"/>
  <c r="B512" i="1" a="1"/>
  <c r="B512" i="1" s="1"/>
  <c r="B519" i="1" a="1"/>
  <c r="B519" i="1" s="1"/>
  <c r="A519" i="1" s="1"/>
  <c r="B526" i="1" a="1"/>
  <c r="B526" i="1" s="1"/>
  <c r="B534" i="1" a="1"/>
  <c r="B534" i="1" s="1"/>
  <c r="B542" i="1" a="1"/>
  <c r="B542" i="1" s="1"/>
  <c r="B549" i="1" a="1"/>
  <c r="B549" i="1" s="1"/>
  <c r="B55" i="1" a="1"/>
  <c r="B55" i="1" s="1"/>
  <c r="B62" i="1" a="1"/>
  <c r="B62" i="1" s="1"/>
  <c r="B69" i="1" a="1"/>
  <c r="B69" i="1" s="1"/>
  <c r="B77" i="1" a="1"/>
  <c r="B77" i="1" s="1"/>
  <c r="B85" i="1" a="1"/>
  <c r="B85" i="1" s="1"/>
  <c r="B93" i="1" a="1"/>
  <c r="B93" i="1" s="1"/>
  <c r="B100" i="1" a="1"/>
  <c r="B100" i="1" s="1"/>
  <c r="B108" i="1" a="1"/>
  <c r="B108" i="1" s="1"/>
  <c r="B116" i="1" a="1"/>
  <c r="B116" i="1" s="1"/>
  <c r="B124" i="1" a="1"/>
  <c r="B124" i="1" s="1"/>
  <c r="B131" i="1" a="1"/>
  <c r="B131" i="1" s="1"/>
  <c r="B139" i="1" a="1"/>
  <c r="B139" i="1" s="1"/>
  <c r="B147" i="1" a="1"/>
  <c r="B147" i="1" s="1"/>
  <c r="B154" i="1" a="1"/>
  <c r="B154" i="1" s="1"/>
  <c r="B169" i="1" a="1"/>
  <c r="B169" i="1" s="1"/>
  <c r="B176" i="1" a="1"/>
  <c r="B176" i="1" s="1"/>
  <c r="B184" i="1" a="1"/>
  <c r="B184" i="1" s="1"/>
  <c r="B191" i="1" a="1"/>
  <c r="B191" i="1" s="1"/>
  <c r="B198" i="1" a="1"/>
  <c r="B198" i="1" s="1"/>
  <c r="B213" i="1" a="1"/>
  <c r="B213" i="1" s="1"/>
  <c r="B221" i="1" a="1"/>
  <c r="B221" i="1" s="1"/>
  <c r="B227" i="1" a="1"/>
  <c r="B227" i="1" s="1"/>
  <c r="B235" i="1" a="1"/>
  <c r="B235" i="1" s="1"/>
  <c r="B242" i="1" a="1"/>
  <c r="B242" i="1" s="1"/>
  <c r="B250" i="1" a="1"/>
  <c r="B250" i="1" s="1"/>
  <c r="C250" i="1" s="1"/>
  <c r="B265" i="1" a="1"/>
  <c r="B265" i="1" s="1"/>
  <c r="B272" i="1" a="1"/>
  <c r="B272" i="1" s="1"/>
  <c r="B280" i="1" a="1"/>
  <c r="B280" i="1" s="1"/>
  <c r="B288" i="1" a="1"/>
  <c r="B288" i="1" s="1"/>
  <c r="B295" i="1" a="1"/>
  <c r="B295" i="1" s="1"/>
  <c r="C295" i="1" s="1"/>
  <c r="B302" i="1" a="1"/>
  <c r="B302" i="1" s="1"/>
  <c r="B310" i="1" a="1"/>
  <c r="B310" i="1" s="1"/>
  <c r="B318" i="1" a="1"/>
  <c r="B318" i="1" s="1"/>
  <c r="B325" i="1" a="1"/>
  <c r="B325" i="1" s="1"/>
  <c r="B333" i="1" a="1"/>
  <c r="B333" i="1" s="1"/>
  <c r="B340" i="1" a="1"/>
  <c r="B340" i="1" s="1"/>
  <c r="B347" i="1" a="1"/>
  <c r="B347" i="1" s="1"/>
  <c r="B353" i="1" a="1"/>
  <c r="B353" i="1" s="1"/>
  <c r="B366" i="1" a="1"/>
  <c r="B366" i="1" s="1"/>
  <c r="B372" i="1" a="1"/>
  <c r="B372" i="1" s="1"/>
  <c r="B379" i="1" a="1"/>
  <c r="B379" i="1" s="1"/>
  <c r="B387" i="1" a="1"/>
  <c r="B387" i="1" s="1"/>
  <c r="B393" i="1" a="1"/>
  <c r="B393" i="1" s="1"/>
  <c r="B400" i="1" a="1"/>
  <c r="B400" i="1" s="1"/>
  <c r="B408" i="1" a="1"/>
  <c r="B408" i="1" s="1"/>
  <c r="B416" i="1" a="1"/>
  <c r="B416" i="1" s="1"/>
  <c r="B423" i="1" a="1"/>
  <c r="B423" i="1" s="1"/>
  <c r="B430" i="1" a="1"/>
  <c r="B430" i="1" s="1"/>
  <c r="B438" i="1" a="1"/>
  <c r="B438" i="1" s="1"/>
  <c r="C438" i="1" s="1"/>
  <c r="B445" i="1" a="1"/>
  <c r="B445" i="1" s="1"/>
  <c r="B452" i="1" a="1"/>
  <c r="B452" i="1" s="1"/>
  <c r="B459" i="1" a="1"/>
  <c r="B459" i="1" s="1"/>
  <c r="B467" i="1" a="1"/>
  <c r="B467" i="1" s="1"/>
  <c r="B475" i="1" a="1"/>
  <c r="B475" i="1" s="1"/>
  <c r="B483" i="1" a="1"/>
  <c r="B483" i="1" s="1"/>
  <c r="B489" i="1" a="1"/>
  <c r="B489" i="1" s="1"/>
  <c r="B497" i="1" a="1"/>
  <c r="B497" i="1" s="1"/>
  <c r="B505" i="1" a="1"/>
  <c r="B505" i="1" s="1"/>
  <c r="A505" i="1" s="1"/>
  <c r="B513" i="1" a="1"/>
  <c r="B513" i="1" s="1"/>
  <c r="B527" i="1" a="1"/>
  <c r="B527" i="1" s="1"/>
  <c r="B535" i="1" a="1"/>
  <c r="B535" i="1" s="1"/>
  <c r="B543" i="1" a="1"/>
  <c r="B543" i="1" s="1"/>
  <c r="B550" i="1" a="1"/>
  <c r="B550" i="1" s="1"/>
  <c r="B56" i="1" a="1"/>
  <c r="B56" i="1" s="1"/>
  <c r="B63" i="1" a="1"/>
  <c r="B63" i="1" s="1"/>
  <c r="B70" i="1" a="1"/>
  <c r="B70" i="1" s="1"/>
  <c r="B78" i="1" a="1"/>
  <c r="B78" i="1" s="1"/>
  <c r="B86" i="1" a="1"/>
  <c r="B86" i="1" s="1"/>
  <c r="B94" i="1" a="1"/>
  <c r="B94" i="1" s="1"/>
  <c r="B101" i="1" a="1"/>
  <c r="B101" i="1" s="1"/>
  <c r="B109" i="1" a="1"/>
  <c r="B109" i="1" s="1"/>
  <c r="B117" i="1" a="1"/>
  <c r="B117" i="1" s="1"/>
  <c r="B125" i="1" a="1"/>
  <c r="B125" i="1" s="1"/>
  <c r="B132" i="1" a="1"/>
  <c r="B132" i="1" s="1"/>
  <c r="B140" i="1" a="1"/>
  <c r="B140" i="1" s="1"/>
  <c r="B148" i="1" a="1"/>
  <c r="B148" i="1" s="1"/>
  <c r="B155" i="1" a="1"/>
  <c r="B155" i="1" s="1"/>
  <c r="B162" i="1" a="1"/>
  <c r="B162" i="1" s="1"/>
  <c r="B170" i="1" a="1"/>
  <c r="B170" i="1" s="1"/>
  <c r="B177" i="1" a="1"/>
  <c r="B177" i="1" s="1"/>
  <c r="B185" i="1" a="1"/>
  <c r="B185" i="1" s="1"/>
  <c r="B192" i="1" a="1"/>
  <c r="B192" i="1" s="1"/>
  <c r="B199" i="1" a="1"/>
  <c r="B199" i="1" s="1"/>
  <c r="B206" i="1" a="1"/>
  <c r="B206" i="1" s="1"/>
  <c r="B214" i="1" a="1"/>
  <c r="B214" i="1" s="1"/>
  <c r="B228" i="1" a="1"/>
  <c r="B228" i="1" s="1"/>
  <c r="B236" i="1" a="1"/>
  <c r="B236" i="1" s="1"/>
  <c r="B243" i="1" a="1"/>
  <c r="B243" i="1" s="1"/>
  <c r="B251" i="1" a="1"/>
  <c r="B251" i="1" s="1"/>
  <c r="B258" i="1" a="1"/>
  <c r="B258" i="1" s="1"/>
  <c r="B266" i="1" a="1"/>
  <c r="B266" i="1" s="1"/>
  <c r="B273" i="1" a="1"/>
  <c r="B273" i="1" s="1"/>
  <c r="B281" i="1" a="1"/>
  <c r="B281" i="1" s="1"/>
  <c r="B289" i="1" a="1"/>
  <c r="B289" i="1" s="1"/>
  <c r="B296" i="1" a="1"/>
  <c r="B296" i="1" s="1"/>
  <c r="B303" i="1" a="1"/>
  <c r="B303" i="1" s="1"/>
  <c r="B311" i="1" a="1"/>
  <c r="B311" i="1" s="1"/>
  <c r="B319" i="1" a="1"/>
  <c r="B319" i="1" s="1"/>
  <c r="B326" i="1" a="1"/>
  <c r="B326" i="1" s="1"/>
  <c r="B341" i="1" a="1"/>
  <c r="B341" i="1" s="1"/>
  <c r="B354" i="1" a="1"/>
  <c r="B354" i="1" s="1"/>
  <c r="B360" i="1" a="1"/>
  <c r="B360" i="1" s="1"/>
  <c r="B367" i="1" a="1"/>
  <c r="B367" i="1" s="1"/>
  <c r="B373" i="1" a="1"/>
  <c r="B373" i="1" s="1"/>
  <c r="B394" i="1" a="1"/>
  <c r="B394" i="1" s="1"/>
  <c r="B401" i="1" a="1"/>
  <c r="B401" i="1" s="1"/>
  <c r="B409" i="1" a="1"/>
  <c r="B409" i="1" s="1"/>
  <c r="B417" i="1" a="1"/>
  <c r="B417" i="1" s="1"/>
  <c r="B431" i="1" a="1"/>
  <c r="B431" i="1" s="1"/>
  <c r="B439" i="1" a="1"/>
  <c r="B439" i="1" s="1"/>
  <c r="B446" i="1" a="1"/>
  <c r="B446" i="1" s="1"/>
  <c r="B453" i="1" a="1"/>
  <c r="B453" i="1" s="1"/>
  <c r="B460" i="1" a="1"/>
  <c r="B460" i="1" s="1"/>
  <c r="B468" i="1" a="1"/>
  <c r="B468" i="1" s="1"/>
  <c r="B476" i="1" a="1"/>
  <c r="B476" i="1" s="1"/>
  <c r="B490" i="1" a="1"/>
  <c r="B490" i="1" s="1"/>
  <c r="B498" i="1" a="1"/>
  <c r="B498" i="1" s="1"/>
  <c r="B506" i="1" a="1"/>
  <c r="B506" i="1" s="1"/>
  <c r="B514" i="1" a="1"/>
  <c r="B514" i="1" s="1"/>
  <c r="B520" i="1" a="1"/>
  <c r="B520" i="1" s="1"/>
  <c r="A520" i="1" s="1"/>
  <c r="B528" i="1" a="1"/>
  <c r="B528" i="1" s="1"/>
  <c r="B536" i="1" a="1"/>
  <c r="B536" i="1" s="1"/>
  <c r="B544" i="1" a="1"/>
  <c r="B544" i="1" s="1"/>
  <c r="B551" i="1" a="1"/>
  <c r="B551" i="1" s="1"/>
  <c r="B558" i="1" a="1"/>
  <c r="B558" i="1" s="1"/>
  <c r="A558" i="1" s="1"/>
  <c r="B57" i="1" a="1"/>
  <c r="B57" i="1" s="1"/>
  <c r="B64" i="1" a="1"/>
  <c r="B64" i="1" s="1"/>
  <c r="B71" i="1" a="1"/>
  <c r="B71" i="1" s="1"/>
  <c r="B79" i="1" a="1"/>
  <c r="B79" i="1" s="1"/>
  <c r="B87" i="1" a="1"/>
  <c r="B87" i="1" s="1"/>
  <c r="B95" i="1" a="1"/>
  <c r="B95" i="1" s="1"/>
  <c r="B102" i="1" a="1"/>
  <c r="B102" i="1" s="1"/>
  <c r="B110" i="1" a="1"/>
  <c r="B110" i="1" s="1"/>
  <c r="B118" i="1" a="1"/>
  <c r="B118" i="1" s="1"/>
  <c r="B126" i="1" a="1"/>
  <c r="B126" i="1" s="1"/>
  <c r="B133" i="1" a="1"/>
  <c r="B133" i="1" s="1"/>
  <c r="B141" i="1" a="1"/>
  <c r="B141" i="1" s="1"/>
  <c r="B149" i="1" a="1"/>
  <c r="B149" i="1" s="1"/>
  <c r="B156" i="1" a="1"/>
  <c r="B156" i="1" s="1"/>
  <c r="B163" i="1" a="1"/>
  <c r="B163" i="1" s="1"/>
  <c r="B171" i="1" a="1"/>
  <c r="B171" i="1" s="1"/>
  <c r="B178" i="1" a="1"/>
  <c r="B178" i="1" s="1"/>
  <c r="B193" i="1" a="1"/>
  <c r="B193" i="1" s="1"/>
  <c r="B200" i="1" a="1"/>
  <c r="B200" i="1" s="1"/>
  <c r="B207" i="1" a="1"/>
  <c r="B207" i="1" s="1"/>
  <c r="B215" i="1" a="1"/>
  <c r="B215" i="1" s="1"/>
  <c r="B222" i="1" a="1"/>
  <c r="B222" i="1" s="1"/>
  <c r="B229" i="1" a="1"/>
  <c r="B229" i="1" s="1"/>
  <c r="B237" i="1" a="1"/>
  <c r="B237" i="1" s="1"/>
  <c r="B244" i="1" a="1"/>
  <c r="B244" i="1" s="1"/>
  <c r="B252" i="1" a="1"/>
  <c r="B252" i="1" s="1"/>
  <c r="B259" i="1" a="1"/>
  <c r="B259" i="1" s="1"/>
  <c r="B267" i="1" a="1"/>
  <c r="B267" i="1" s="1"/>
  <c r="B274" i="1" a="1"/>
  <c r="B274" i="1" s="1"/>
  <c r="B282" i="1" a="1"/>
  <c r="B282" i="1" s="1"/>
  <c r="B297" i="1" a="1"/>
  <c r="B297" i="1" s="1"/>
  <c r="B304" i="1" a="1"/>
  <c r="B304" i="1" s="1"/>
  <c r="B312" i="1" a="1"/>
  <c r="B312" i="1" s="1"/>
  <c r="B320" i="1" a="1"/>
  <c r="B320" i="1" s="1"/>
  <c r="B327" i="1" a="1"/>
  <c r="B327" i="1" s="1"/>
  <c r="B334" i="1" a="1"/>
  <c r="B334" i="1" s="1"/>
  <c r="B342" i="1" a="1"/>
  <c r="B342" i="1" s="1"/>
  <c r="B348" i="1" a="1"/>
  <c r="B348" i="1" s="1"/>
  <c r="B355" i="1" a="1"/>
  <c r="B355" i="1" s="1"/>
  <c r="B361" i="1" a="1"/>
  <c r="B361" i="1" s="1"/>
  <c r="B374" i="1" a="1"/>
  <c r="B374" i="1" s="1"/>
  <c r="B381" i="1" a="1"/>
  <c r="B381" i="1" s="1"/>
  <c r="B388" i="1" a="1"/>
  <c r="B388" i="1" s="1"/>
  <c r="B395" i="1" a="1"/>
  <c r="B395" i="1" s="1"/>
  <c r="B402" i="1" a="1"/>
  <c r="B402" i="1" s="1"/>
  <c r="B410" i="1" a="1"/>
  <c r="B410" i="1" s="1"/>
  <c r="B418" i="1" a="1"/>
  <c r="B418" i="1" s="1"/>
  <c r="B424" i="1" a="1"/>
  <c r="B424" i="1" s="1"/>
  <c r="B432" i="1" a="1"/>
  <c r="B432" i="1" s="1"/>
  <c r="B447" i="1" a="1"/>
  <c r="B447" i="1" s="1"/>
  <c r="B454" i="1" a="1"/>
  <c r="B454" i="1" s="1"/>
  <c r="B461" i="1" a="1"/>
  <c r="B461" i="1" s="1"/>
  <c r="B469" i="1" a="1"/>
  <c r="B469" i="1" s="1"/>
  <c r="B477" i="1" a="1"/>
  <c r="B477" i="1" s="1"/>
  <c r="B484" i="1" a="1"/>
  <c r="B484" i="1" s="1"/>
  <c r="B491" i="1" a="1"/>
  <c r="B491" i="1" s="1"/>
  <c r="B499" i="1" a="1"/>
  <c r="B499" i="1" s="1"/>
  <c r="B507" i="1" a="1"/>
  <c r="B507" i="1" s="1"/>
  <c r="B515" i="1" a="1"/>
  <c r="B515" i="1" s="1"/>
  <c r="B521" i="1" a="1"/>
  <c r="B521" i="1" s="1"/>
  <c r="A521" i="1" s="1"/>
  <c r="B529" i="1" a="1"/>
  <c r="B529" i="1" s="1"/>
  <c r="B537" i="1" a="1"/>
  <c r="B537" i="1" s="1"/>
  <c r="A537" i="1" s="1"/>
  <c r="B545" i="1" a="1"/>
  <c r="B545" i="1" s="1"/>
  <c r="B65" i="1" a="1"/>
  <c r="B65" i="1" s="1"/>
  <c r="B72" i="1" a="1"/>
  <c r="B72" i="1" s="1"/>
  <c r="B80" i="1" a="1"/>
  <c r="B80" i="1" s="1"/>
  <c r="B88" i="1" a="1"/>
  <c r="B88" i="1" s="1"/>
  <c r="B96" i="1" a="1"/>
  <c r="B96" i="1" s="1"/>
  <c r="B103" i="1" a="1"/>
  <c r="B103" i="1" s="1"/>
  <c r="B111" i="1" a="1"/>
  <c r="B111" i="1" s="1"/>
  <c r="B119" i="1" a="1"/>
  <c r="B119" i="1" s="1"/>
  <c r="B127" i="1" a="1"/>
  <c r="B127" i="1" s="1"/>
  <c r="B134" i="1" a="1"/>
  <c r="B134" i="1" s="1"/>
  <c r="B142" i="1" a="1"/>
  <c r="B142" i="1" s="1"/>
  <c r="B150" i="1" a="1"/>
  <c r="B150" i="1" s="1"/>
  <c r="B157" i="1" a="1"/>
  <c r="B157" i="1" s="1"/>
  <c r="B164" i="1" a="1"/>
  <c r="B164" i="1" s="1"/>
  <c r="B172" i="1" a="1"/>
  <c r="B172" i="1" s="1"/>
  <c r="B179" i="1" a="1"/>
  <c r="B179" i="1" s="1"/>
  <c r="B186" i="1" a="1"/>
  <c r="B186" i="1" s="1"/>
  <c r="B201" i="1" a="1"/>
  <c r="B201" i="1" s="1"/>
  <c r="B208" i="1" a="1"/>
  <c r="B208" i="1" s="1"/>
  <c r="B216" i="1" a="1"/>
  <c r="B216" i="1" s="1"/>
  <c r="B223" i="1" a="1"/>
  <c r="B223" i="1" s="1"/>
  <c r="B230" i="1" a="1"/>
  <c r="B230" i="1" s="1"/>
  <c r="B245" i="1" a="1"/>
  <c r="B245" i="1" s="1"/>
  <c r="B253" i="1" a="1"/>
  <c r="B253" i="1" s="1"/>
  <c r="B260" i="1" a="1"/>
  <c r="B260" i="1" s="1"/>
  <c r="B268" i="1" a="1"/>
  <c r="B268" i="1" s="1"/>
  <c r="B275" i="1" a="1"/>
  <c r="B275" i="1" s="1"/>
  <c r="B283" i="1" a="1"/>
  <c r="B283" i="1" s="1"/>
  <c r="B290" i="1" a="1"/>
  <c r="B290" i="1" s="1"/>
  <c r="B298" i="1" a="1"/>
  <c r="B298" i="1" s="1"/>
  <c r="B305" i="1" a="1"/>
  <c r="B305" i="1" s="1"/>
  <c r="B313" i="1" a="1"/>
  <c r="B313" i="1" s="1"/>
  <c r="B321" i="1" a="1"/>
  <c r="B321" i="1" s="1"/>
  <c r="B328" i="1" a="1"/>
  <c r="B328" i="1" s="1"/>
  <c r="B335" i="1" a="1"/>
  <c r="B335" i="1" s="1"/>
  <c r="B343" i="1" a="1"/>
  <c r="B343" i="1" s="1"/>
  <c r="B349" i="1" a="1"/>
  <c r="B349" i="1" s="1"/>
  <c r="B362" i="1" a="1"/>
  <c r="B362" i="1" s="1"/>
  <c r="B368" i="1" a="1"/>
  <c r="B368" i="1" s="1"/>
  <c r="B375" i="1" a="1"/>
  <c r="B375" i="1" s="1"/>
  <c r="B382" i="1" a="1"/>
  <c r="B382" i="1" s="1"/>
  <c r="B389" i="1" a="1"/>
  <c r="B389" i="1" s="1"/>
  <c r="B403" i="1" a="1"/>
  <c r="B403" i="1" s="1"/>
  <c r="B411" i="1" a="1"/>
  <c r="B411" i="1" s="1"/>
  <c r="B419" i="1" a="1"/>
  <c r="B419" i="1" s="1"/>
  <c r="B425" i="1" a="1"/>
  <c r="B425" i="1" s="1"/>
  <c r="B433" i="1" a="1"/>
  <c r="B433" i="1" s="1"/>
  <c r="B440" i="1" a="1"/>
  <c r="B440" i="1" s="1"/>
  <c r="B448" i="1" a="1"/>
  <c r="B448" i="1" s="1"/>
  <c r="B455" i="1" a="1"/>
  <c r="B455" i="1" s="1"/>
  <c r="B462" i="1" a="1"/>
  <c r="B462" i="1" s="1"/>
  <c r="B470" i="1" a="1"/>
  <c r="B470" i="1" s="1"/>
  <c r="B478" i="1" a="1"/>
  <c r="B478" i="1" s="1"/>
  <c r="B485" i="1" a="1"/>
  <c r="B485" i="1" s="1"/>
  <c r="B492" i="1" a="1"/>
  <c r="B492" i="1" s="1"/>
  <c r="B500" i="1" a="1"/>
  <c r="B500" i="1" s="1"/>
  <c r="B508" i="1" a="1"/>
  <c r="B508" i="1" s="1"/>
  <c r="B522" i="1" a="1"/>
  <c r="B522" i="1" s="1"/>
  <c r="A522" i="1" s="1"/>
  <c r="B530" i="1" a="1"/>
  <c r="B530" i="1" s="1"/>
  <c r="B58" i="1" a="1"/>
  <c r="B58" i="1" s="1"/>
  <c r="B73" i="1" a="1"/>
  <c r="B73" i="1" s="1"/>
  <c r="B81" i="1" a="1"/>
  <c r="B81" i="1" s="1"/>
  <c r="B89" i="1" a="1"/>
  <c r="B89" i="1" s="1"/>
  <c r="B97" i="1" a="1"/>
  <c r="B97" i="1" s="1"/>
  <c r="B104" i="1" a="1"/>
  <c r="B104" i="1" s="1"/>
  <c r="B112" i="1" a="1"/>
  <c r="B112" i="1" s="1"/>
  <c r="B120" i="1" a="1"/>
  <c r="B120" i="1" s="1"/>
  <c r="B128" i="1" a="1"/>
  <c r="B128" i="1" s="1"/>
  <c r="B135" i="1" a="1"/>
  <c r="B135" i="1" s="1"/>
  <c r="B143" i="1" a="1"/>
  <c r="B143" i="1" s="1"/>
  <c r="B151" i="1" a="1"/>
  <c r="B151" i="1" s="1"/>
  <c r="B158" i="1" a="1"/>
  <c r="B158" i="1" s="1"/>
  <c r="B165" i="1" a="1"/>
  <c r="B165" i="1" s="1"/>
  <c r="B173" i="1" a="1"/>
  <c r="B173" i="1" s="1"/>
  <c r="B180" i="1" a="1"/>
  <c r="B180" i="1" s="1"/>
  <c r="B187" i="1" a="1"/>
  <c r="B187" i="1" s="1"/>
  <c r="B194" i="1" a="1"/>
  <c r="B194" i="1" s="1"/>
  <c r="B202" i="1" a="1"/>
  <c r="B202" i="1" s="1"/>
  <c r="B209" i="1" a="1"/>
  <c r="B209" i="1" s="1"/>
  <c r="B217" i="1" a="1"/>
  <c r="B217" i="1" s="1"/>
  <c r="B224" i="1" a="1"/>
  <c r="B224" i="1" s="1"/>
  <c r="B231" i="1" a="1"/>
  <c r="B231" i="1" s="1"/>
  <c r="B238" i="1" a="1"/>
  <c r="B238" i="1" s="1"/>
  <c r="B246" i="1" a="1"/>
  <c r="B246" i="1" s="1"/>
  <c r="B254" i="1" a="1"/>
  <c r="B254" i="1" s="1"/>
  <c r="B261" i="1" a="1"/>
  <c r="B261" i="1" s="1"/>
  <c r="B269" i="1" a="1"/>
  <c r="B269" i="1" s="1"/>
  <c r="B276" i="1" a="1"/>
  <c r="B276" i="1" s="1"/>
  <c r="B284" i="1" a="1"/>
  <c r="B284" i="1" s="1"/>
  <c r="B291" i="1" a="1"/>
  <c r="B291" i="1" s="1"/>
  <c r="B299" i="1" a="1"/>
  <c r="B299" i="1" s="1"/>
  <c r="B306" i="1" a="1"/>
  <c r="B306" i="1" s="1"/>
  <c r="B314" i="1" a="1"/>
  <c r="B314" i="1" s="1"/>
  <c r="B329" i="1" a="1"/>
  <c r="B329" i="1" s="1"/>
  <c r="B336" i="1" a="1"/>
  <c r="B336" i="1" s="1"/>
  <c r="B350" i="1" a="1"/>
  <c r="B350" i="1" s="1"/>
  <c r="B356" i="1" a="1"/>
  <c r="B356" i="1" s="1"/>
  <c r="B363" i="1" a="1"/>
  <c r="B363" i="1" s="1"/>
  <c r="B369" i="1" a="1"/>
  <c r="B369" i="1" s="1"/>
  <c r="B383" i="1" a="1"/>
  <c r="B383" i="1" s="1"/>
  <c r="B390" i="1" a="1"/>
  <c r="B390" i="1" s="1"/>
  <c r="B396" i="1" a="1"/>
  <c r="B396" i="1" s="1"/>
  <c r="B404" i="1" a="1"/>
  <c r="B404" i="1" s="1"/>
  <c r="B412" i="1" a="1"/>
  <c r="B412" i="1" s="1"/>
  <c r="B426" i="1" a="1"/>
  <c r="B426" i="1" s="1"/>
  <c r="B434" i="1" a="1"/>
  <c r="B434" i="1" s="1"/>
  <c r="B441" i="1" a="1"/>
  <c r="B441" i="1" s="1"/>
  <c r="B449" i="1" a="1"/>
  <c r="B449" i="1" s="1"/>
  <c r="B463" i="1" a="1"/>
  <c r="B463" i="1" s="1"/>
  <c r="B471" i="1" a="1"/>
  <c r="B471" i="1" s="1"/>
  <c r="B479" i="1" a="1"/>
  <c r="B479" i="1" s="1"/>
  <c r="B486" i="1" a="1"/>
  <c r="B486" i="1" s="1"/>
  <c r="B493" i="1" a="1"/>
  <c r="B493" i="1" s="1"/>
  <c r="B501" i="1" a="1"/>
  <c r="B501" i="1" s="1"/>
  <c r="A501" i="1" s="1"/>
  <c r="B509" i="1" a="1"/>
  <c r="B509" i="1" s="1"/>
  <c r="B516" i="1" a="1"/>
  <c r="B516" i="1" s="1"/>
  <c r="B523" i="1" a="1"/>
  <c r="B523" i="1" s="1"/>
  <c r="A523" i="1" s="1"/>
  <c r="B531" i="1" a="1"/>
  <c r="B531" i="1" s="1"/>
  <c r="B539" i="1" a="1"/>
  <c r="B539" i="1" s="1"/>
  <c r="A539" i="1" s="1"/>
  <c r="B547" i="1" a="1"/>
  <c r="B547" i="1" s="1"/>
  <c r="B553" i="1" a="1"/>
  <c r="B553" i="1" s="1"/>
  <c r="B59" i="1" a="1"/>
  <c r="B59" i="1" s="1"/>
  <c r="B66" i="1" a="1"/>
  <c r="B66" i="1" s="1"/>
  <c r="B74" i="1" a="1"/>
  <c r="B74" i="1" s="1"/>
  <c r="B82" i="1" a="1"/>
  <c r="B82" i="1" s="1"/>
  <c r="B90" i="1" a="1"/>
  <c r="B90" i="1" s="1"/>
  <c r="B105" i="1" a="1"/>
  <c r="B105" i="1" s="1"/>
  <c r="B113" i="1" a="1"/>
  <c r="B113" i="1" s="1"/>
  <c r="B121" i="1" a="1"/>
  <c r="B121" i="1" s="1"/>
  <c r="B129" i="1" a="1"/>
  <c r="B129" i="1" s="1"/>
  <c r="B136" i="1" a="1"/>
  <c r="B136" i="1" s="1"/>
  <c r="B144" i="1" a="1"/>
  <c r="B144" i="1" s="1"/>
  <c r="B152" i="1" a="1"/>
  <c r="B152" i="1" s="1"/>
  <c r="B159" i="1" a="1"/>
  <c r="B159" i="1" s="1"/>
  <c r="B166" i="1" a="1"/>
  <c r="B166" i="1" s="1"/>
  <c r="B181" i="1" a="1"/>
  <c r="B181" i="1" s="1"/>
  <c r="B188" i="1" a="1"/>
  <c r="B188" i="1" s="1"/>
  <c r="B195" i="1" a="1"/>
  <c r="B195" i="1" s="1"/>
  <c r="B203" i="1" a="1"/>
  <c r="B203" i="1" s="1"/>
  <c r="B210" i="1" a="1"/>
  <c r="B210" i="1" s="1"/>
  <c r="B218" i="1" a="1"/>
  <c r="B218" i="1" s="1"/>
  <c r="B225" i="1" a="1"/>
  <c r="B225" i="1" s="1"/>
  <c r="B232" i="1" a="1"/>
  <c r="B232" i="1" s="1"/>
  <c r="B239" i="1" a="1"/>
  <c r="B239" i="1" s="1"/>
  <c r="B247" i="1" a="1"/>
  <c r="B247" i="1" s="1"/>
  <c r="B255" i="1" a="1"/>
  <c r="B255" i="1" s="1"/>
  <c r="B262" i="1" a="1"/>
  <c r="B262" i="1" s="1"/>
  <c r="B277" i="1" a="1"/>
  <c r="B277" i="1" s="1"/>
  <c r="B285" i="1" a="1"/>
  <c r="B285" i="1" s="1"/>
  <c r="B292" i="1" a="1"/>
  <c r="B292" i="1" s="1"/>
  <c r="B300" i="1" a="1"/>
  <c r="B300" i="1" s="1"/>
  <c r="B307" i="1" a="1"/>
  <c r="B307" i="1" s="1"/>
  <c r="B315" i="1" a="1"/>
  <c r="B315" i="1" s="1"/>
  <c r="B322" i="1" a="1"/>
  <c r="B322" i="1" s="1"/>
  <c r="B330" i="1" a="1"/>
  <c r="B330" i="1" s="1"/>
  <c r="B337" i="1" a="1"/>
  <c r="B337" i="1" s="1"/>
  <c r="B351" i="1" a="1"/>
  <c r="B351" i="1" s="1"/>
  <c r="B357" i="1" a="1"/>
  <c r="B357" i="1" s="1"/>
  <c r="B370" i="1" a="1"/>
  <c r="B370" i="1" s="1"/>
  <c r="B376" i="1" a="1"/>
  <c r="B376" i="1" s="1"/>
  <c r="B384" i="1" a="1"/>
  <c r="B384" i="1" s="1"/>
  <c r="B391" i="1" a="1"/>
  <c r="B391" i="1" s="1"/>
  <c r="B397" i="1" a="1"/>
  <c r="B397" i="1" s="1"/>
  <c r="B405" i="1" a="1"/>
  <c r="B405" i="1" s="1"/>
  <c r="B413" i="1" a="1"/>
  <c r="B413" i="1" s="1"/>
  <c r="B420" i="1" a="1"/>
  <c r="B420" i="1" s="1"/>
  <c r="B427" i="1" a="1"/>
  <c r="B427" i="1" s="1"/>
  <c r="B435" i="1" a="1"/>
  <c r="B435" i="1" s="1"/>
  <c r="B442" i="1" a="1"/>
  <c r="B442" i="1" s="1"/>
  <c r="B450" i="1" a="1"/>
  <c r="B450" i="1" s="1"/>
  <c r="B456" i="1" a="1"/>
  <c r="B456" i="1" s="1"/>
  <c r="B464" i="1" a="1"/>
  <c r="B464" i="1" s="1"/>
  <c r="B472" i="1" a="1"/>
  <c r="B472" i="1" s="1"/>
  <c r="B480" i="1" a="1"/>
  <c r="B480" i="1" s="1"/>
  <c r="B487" i="1" a="1"/>
  <c r="B487" i="1" s="1"/>
  <c r="B494" i="1" a="1"/>
  <c r="B494" i="1" s="1"/>
  <c r="B502" i="1" a="1"/>
  <c r="B502" i="1" s="1"/>
  <c r="A502" i="1" s="1"/>
  <c r="B510" i="1" a="1"/>
  <c r="B510" i="1" s="1"/>
  <c r="B517" i="1" a="1"/>
  <c r="B517" i="1" s="1"/>
  <c r="B524" i="1" a="1"/>
  <c r="B524" i="1" s="1"/>
  <c r="B532" i="1" a="1"/>
  <c r="B532" i="1" s="1"/>
  <c r="B540" i="1" a="1"/>
  <c r="B540" i="1" s="1"/>
  <c r="A540" i="1" s="1"/>
  <c r="B554" i="1" a="1"/>
  <c r="B554" i="1" s="1"/>
  <c r="B114" i="1" a="1"/>
  <c r="B114" i="1" s="1"/>
  <c r="B174" i="1" a="1"/>
  <c r="B174" i="1" s="1"/>
  <c r="B233" i="1" a="1"/>
  <c r="B233" i="1" s="1"/>
  <c r="B293" i="1" a="1"/>
  <c r="B293" i="1" s="1"/>
  <c r="B406" i="1" a="1"/>
  <c r="B406" i="1" s="1"/>
  <c r="B465" i="1" a="1"/>
  <c r="B465" i="1" s="1"/>
  <c r="B525" i="1" a="1"/>
  <c r="B525" i="1" s="1"/>
  <c r="B555" i="1" a="1"/>
  <c r="B555" i="1" s="1"/>
  <c r="A555" i="1" s="1"/>
  <c r="B564" i="1" a="1"/>
  <c r="B564" i="1" s="1"/>
  <c r="B572" i="1" a="1"/>
  <c r="B572" i="1" s="1"/>
  <c r="B586" i="1" a="1"/>
  <c r="B586" i="1" s="1"/>
  <c r="B594" i="1" a="1"/>
  <c r="B594" i="1" s="1"/>
  <c r="A594" i="1" s="1"/>
  <c r="B601" i="1" a="1"/>
  <c r="B601" i="1" s="1"/>
  <c r="B609" i="1" a="1"/>
  <c r="B609" i="1" s="1"/>
  <c r="A609" i="1" s="1"/>
  <c r="B623" i="1" a="1"/>
  <c r="B623" i="1" s="1"/>
  <c r="B630" i="1" a="1"/>
  <c r="B630" i="1" s="1"/>
  <c r="A630" i="1" s="1"/>
  <c r="B638" i="1" a="1"/>
  <c r="B638" i="1" s="1"/>
  <c r="B645" i="1" a="1"/>
  <c r="B645" i="1" s="1"/>
  <c r="A645" i="1" s="1"/>
  <c r="B651" i="1" a="1"/>
  <c r="B651" i="1" s="1"/>
  <c r="B663" i="1" a="1"/>
  <c r="B663" i="1" s="1"/>
  <c r="A663" i="1" s="1"/>
  <c r="B669" i="1" a="1"/>
  <c r="B669" i="1" s="1"/>
  <c r="A669" i="1" s="1"/>
  <c r="B676" i="1" a="1"/>
  <c r="B676" i="1" s="1"/>
  <c r="A676" i="1" s="1"/>
  <c r="B684" i="1" a="1"/>
  <c r="B684" i="1" s="1"/>
  <c r="A684" i="1" s="1"/>
  <c r="B692" i="1" a="1"/>
  <c r="B692" i="1" s="1"/>
  <c r="A692" i="1" s="1"/>
  <c r="B708" i="1" a="1"/>
  <c r="B708" i="1" s="1"/>
  <c r="B716" i="1" a="1"/>
  <c r="B716" i="1" s="1"/>
  <c r="B740" i="1" a="1"/>
  <c r="B740" i="1" s="1"/>
  <c r="B748" i="1" a="1"/>
  <c r="B748" i="1" s="1"/>
  <c r="B756" i="1" a="1"/>
  <c r="B756" i="1" s="1"/>
  <c r="A756" i="1" s="1"/>
  <c r="B764" i="1" a="1"/>
  <c r="B764" i="1" s="1"/>
  <c r="B772" i="1" a="1"/>
  <c r="B772" i="1" s="1"/>
  <c r="A772" i="1" s="1"/>
  <c r="B780" i="1" a="1"/>
  <c r="B780" i="1" s="1"/>
  <c r="B788" i="1" a="1"/>
  <c r="B788" i="1" s="1"/>
  <c r="B796" i="1" a="1"/>
  <c r="B796" i="1" s="1"/>
  <c r="B804" i="1" a="1"/>
  <c r="B804" i="1" s="1"/>
  <c r="B812" i="1" a="1"/>
  <c r="B812" i="1" s="1"/>
  <c r="B820" i="1" a="1"/>
  <c r="B820" i="1" s="1"/>
  <c r="B828" i="1" a="1"/>
  <c r="B828" i="1" s="1"/>
  <c r="A828" i="1" s="1"/>
  <c r="B836" i="1" a="1"/>
  <c r="B836" i="1" s="1"/>
  <c r="A836" i="1" s="1"/>
  <c r="B844" i="1" a="1"/>
  <c r="B844" i="1" s="1"/>
  <c r="A844" i="1" s="1"/>
  <c r="B852" i="1" a="1"/>
  <c r="B852" i="1" s="1"/>
  <c r="B860" i="1" a="1"/>
  <c r="B860" i="1" s="1"/>
  <c r="B868" i="1" a="1"/>
  <c r="B868" i="1" s="1"/>
  <c r="A868" i="1" s="1"/>
  <c r="B876" i="1" a="1"/>
  <c r="B876" i="1" s="1"/>
  <c r="A876" i="1" s="1"/>
  <c r="B884" i="1" a="1"/>
  <c r="B884" i="1" s="1"/>
  <c r="A884" i="1" s="1"/>
  <c r="B892" i="1" a="1"/>
  <c r="B892" i="1" s="1"/>
  <c r="A892" i="1" s="1"/>
  <c r="B900" i="1" a="1"/>
  <c r="B900" i="1" s="1"/>
  <c r="A900" i="1" s="1"/>
  <c r="B908" i="1" a="1"/>
  <c r="B908" i="1" s="1"/>
  <c r="A908" i="1" s="1"/>
  <c r="B916" i="1" a="1"/>
  <c r="B916" i="1" s="1"/>
  <c r="A916" i="1" s="1"/>
  <c r="B924" i="1" a="1"/>
  <c r="B924" i="1" s="1"/>
  <c r="A924" i="1" s="1"/>
  <c r="B932" i="1" a="1"/>
  <c r="B932" i="1" s="1"/>
  <c r="A932" i="1" s="1"/>
  <c r="B940" i="1" a="1"/>
  <c r="B940" i="1" s="1"/>
  <c r="A940" i="1" s="1"/>
  <c r="B947" i="1" a="1"/>
  <c r="B947" i="1" s="1"/>
  <c r="A947" i="1" s="1"/>
  <c r="B954" i="1" a="1"/>
  <c r="B954" i="1" s="1"/>
  <c r="A954" i="1" s="1"/>
  <c r="B959" i="1" a="1"/>
  <c r="B959" i="1" s="1"/>
  <c r="A959" i="1" s="1"/>
  <c r="B965" i="1" a="1"/>
  <c r="B965" i="1" s="1"/>
  <c r="A965" i="1" s="1"/>
  <c r="B972" i="1" a="1"/>
  <c r="B972" i="1" s="1"/>
  <c r="A972" i="1" s="1"/>
  <c r="B985" i="1" a="1"/>
  <c r="B985" i="1" s="1"/>
  <c r="A985" i="1" s="1"/>
  <c r="B992" i="1" a="1"/>
  <c r="B992" i="1" s="1"/>
  <c r="A992" i="1" s="1"/>
  <c r="B998" i="1" a="1"/>
  <c r="B998" i="1" s="1"/>
  <c r="A998" i="1" s="1"/>
  <c r="B1006" i="1" a="1"/>
  <c r="B1006" i="1" s="1"/>
  <c r="A1006" i="1" s="1"/>
  <c r="B1014" i="1" a="1"/>
  <c r="B1014" i="1" s="1"/>
  <c r="A1014" i="1" s="1"/>
  <c r="B1021" i="1" a="1"/>
  <c r="B1021" i="1" s="1"/>
  <c r="A1021" i="1" s="1"/>
  <c r="B1029" i="1" a="1"/>
  <c r="B1029" i="1" s="1"/>
  <c r="A1029" i="1" s="1"/>
  <c r="B1036" i="1" a="1"/>
  <c r="B1036" i="1" s="1"/>
  <c r="A1036" i="1" s="1"/>
  <c r="B1044" i="1" a="1"/>
  <c r="B1044" i="1" s="1"/>
  <c r="A1044" i="1" s="1"/>
  <c r="B1051" i="1" a="1"/>
  <c r="B1051" i="1" s="1"/>
  <c r="A1051" i="1" s="1"/>
  <c r="B1059" i="1" a="1"/>
  <c r="B1059" i="1" s="1"/>
  <c r="A1059" i="1" s="1"/>
  <c r="B1066" i="1" a="1"/>
  <c r="B1066" i="1" s="1"/>
  <c r="A1066" i="1" s="1"/>
  <c r="B1074" i="1" a="1"/>
  <c r="B1074" i="1" s="1"/>
  <c r="A1074" i="1" s="1"/>
  <c r="B1082" i="1" a="1"/>
  <c r="B1082" i="1" s="1"/>
  <c r="A1082" i="1" s="1"/>
  <c r="B1089" i="1" a="1"/>
  <c r="B1089" i="1" s="1"/>
  <c r="A1089" i="1" s="1"/>
  <c r="B1097" i="1" a="1"/>
  <c r="B1097" i="1" s="1"/>
  <c r="A1097" i="1" s="1"/>
  <c r="B1105" i="1" a="1"/>
  <c r="B1105" i="1" s="1"/>
  <c r="A1105" i="1" s="1"/>
  <c r="B1113" i="1" a="1"/>
  <c r="B1113" i="1" s="1"/>
  <c r="A1113" i="1" s="1"/>
  <c r="B1121" i="1" a="1"/>
  <c r="B1121" i="1" s="1"/>
  <c r="A1121" i="1" s="1"/>
  <c r="B1128" i="1" a="1"/>
  <c r="B1128" i="1" s="1"/>
  <c r="A1128" i="1" s="1"/>
  <c r="B1136" i="1" a="1"/>
  <c r="B1136" i="1" s="1"/>
  <c r="A1136" i="1" s="1"/>
  <c r="B60" i="1" a="1"/>
  <c r="B60" i="1" s="1"/>
  <c r="B122" i="1" a="1"/>
  <c r="B122" i="1" s="1"/>
  <c r="B182" i="1" a="1"/>
  <c r="B182" i="1" s="1"/>
  <c r="B240" i="1" a="1"/>
  <c r="B240" i="1" s="1"/>
  <c r="B301" i="1" a="1"/>
  <c r="B301" i="1" s="1"/>
  <c r="B358" i="1" a="1"/>
  <c r="B358" i="1" s="1"/>
  <c r="B414" i="1" a="1"/>
  <c r="B414" i="1" s="1"/>
  <c r="B473" i="1" a="1"/>
  <c r="B473" i="1" s="1"/>
  <c r="B533" i="1" a="1"/>
  <c r="B533" i="1" s="1"/>
  <c r="B556" i="1" a="1"/>
  <c r="B556" i="1" s="1"/>
  <c r="A556" i="1" s="1"/>
  <c r="B565" i="1" a="1"/>
  <c r="B565" i="1" s="1"/>
  <c r="B573" i="1" a="1"/>
  <c r="B573" i="1" s="1"/>
  <c r="A573" i="1" s="1"/>
  <c r="B580" i="1" a="1"/>
  <c r="B580" i="1" s="1"/>
  <c r="B587" i="1" a="1"/>
  <c r="B587" i="1" s="1"/>
  <c r="B595" i="1" a="1"/>
  <c r="B595" i="1" s="1"/>
  <c r="A595" i="1" s="1"/>
  <c r="B602" i="1" a="1"/>
  <c r="B602" i="1" s="1"/>
  <c r="B610" i="1" a="1"/>
  <c r="B610" i="1" s="1"/>
  <c r="A610" i="1" s="1"/>
  <c r="B616" i="1" a="1"/>
  <c r="B616" i="1" s="1"/>
  <c r="B624" i="1" a="1"/>
  <c r="B624" i="1" s="1"/>
  <c r="B631" i="1" a="1"/>
  <c r="B631" i="1" s="1"/>
  <c r="A631" i="1" s="1"/>
  <c r="B639" i="1" a="1"/>
  <c r="B639" i="1" s="1"/>
  <c r="B646" i="1" a="1"/>
  <c r="B646" i="1" s="1"/>
  <c r="A646" i="1" s="1"/>
  <c r="B652" i="1" a="1"/>
  <c r="B652" i="1" s="1"/>
  <c r="B657" i="1" a="1"/>
  <c r="B657" i="1" s="1"/>
  <c r="B664" i="1" a="1"/>
  <c r="B664" i="1" s="1"/>
  <c r="A664" i="1" s="1"/>
  <c r="B670" i="1" a="1"/>
  <c r="B670" i="1" s="1"/>
  <c r="A670" i="1" s="1"/>
  <c r="B677" i="1" a="1"/>
  <c r="B677" i="1" s="1"/>
  <c r="A677" i="1" s="1"/>
  <c r="B709" i="1" a="1"/>
  <c r="B709" i="1" s="1"/>
  <c r="B717" i="1" a="1"/>
  <c r="B717" i="1" s="1"/>
  <c r="A717" i="1" s="1"/>
  <c r="B741" i="1" a="1"/>
  <c r="B741" i="1" s="1"/>
  <c r="B749" i="1" a="1"/>
  <c r="B749" i="1" s="1"/>
  <c r="B757" i="1" a="1"/>
  <c r="B757" i="1" s="1"/>
  <c r="A757" i="1" s="1"/>
  <c r="B765" i="1" a="1"/>
  <c r="B765" i="1" s="1"/>
  <c r="B773" i="1" a="1"/>
  <c r="B773" i="1" s="1"/>
  <c r="A773" i="1" s="1"/>
  <c r="B781" i="1" a="1"/>
  <c r="B781" i="1" s="1"/>
  <c r="B789" i="1" a="1"/>
  <c r="B789" i="1" s="1"/>
  <c r="A789" i="1" s="1"/>
  <c r="B797" i="1" a="1"/>
  <c r="B797" i="1" s="1"/>
  <c r="B805" i="1" a="1"/>
  <c r="B805" i="1" s="1"/>
  <c r="B813" i="1" a="1"/>
  <c r="B813" i="1" s="1"/>
  <c r="B821" i="1" a="1"/>
  <c r="B821" i="1" s="1"/>
  <c r="B829" i="1" a="1"/>
  <c r="B829" i="1" s="1"/>
  <c r="A829" i="1" s="1"/>
  <c r="B837" i="1" a="1"/>
  <c r="B837" i="1" s="1"/>
  <c r="A837" i="1" s="1"/>
  <c r="B845" i="1" a="1"/>
  <c r="B845" i="1" s="1"/>
  <c r="A845" i="1" s="1"/>
  <c r="B853" i="1" a="1"/>
  <c r="B853" i="1" s="1"/>
  <c r="B861" i="1" a="1"/>
  <c r="B861" i="1" s="1"/>
  <c r="A861" i="1" s="1"/>
  <c r="B869" i="1" a="1"/>
  <c r="B869" i="1" s="1"/>
  <c r="A869" i="1" s="1"/>
  <c r="B877" i="1" a="1"/>
  <c r="B877" i="1" s="1"/>
  <c r="A877" i="1" s="1"/>
  <c r="B885" i="1" a="1"/>
  <c r="B885" i="1" s="1"/>
  <c r="A885" i="1" s="1"/>
  <c r="B893" i="1" a="1"/>
  <c r="B893" i="1" s="1"/>
  <c r="A893" i="1" s="1"/>
  <c r="B901" i="1" a="1"/>
  <c r="B901" i="1" s="1"/>
  <c r="A901" i="1" s="1"/>
  <c r="B909" i="1" a="1"/>
  <c r="B909" i="1" s="1"/>
  <c r="A909" i="1" s="1"/>
  <c r="B917" i="1" a="1"/>
  <c r="B917" i="1" s="1"/>
  <c r="A917" i="1" s="1"/>
  <c r="B925" i="1" a="1"/>
  <c r="B925" i="1" s="1"/>
  <c r="A925" i="1" s="1"/>
  <c r="B933" i="1" a="1"/>
  <c r="B933" i="1" s="1"/>
  <c r="A933" i="1" s="1"/>
  <c r="B941" i="1" a="1"/>
  <c r="B941" i="1" s="1"/>
  <c r="A941" i="1" s="1"/>
  <c r="B948" i="1" a="1"/>
  <c r="B948" i="1" s="1"/>
  <c r="A948" i="1" s="1"/>
  <c r="B955" i="1" a="1"/>
  <c r="B955" i="1" s="1"/>
  <c r="A955" i="1" s="1"/>
  <c r="B960" i="1" a="1"/>
  <c r="B960" i="1" s="1"/>
  <c r="A960" i="1" s="1"/>
  <c r="B973" i="1" a="1"/>
  <c r="B973" i="1" s="1"/>
  <c r="A973" i="1" s="1"/>
  <c r="B979" i="1" a="1"/>
  <c r="B979" i="1" s="1"/>
  <c r="A979" i="1" s="1"/>
  <c r="B986" i="1" a="1"/>
  <c r="B986" i="1" s="1"/>
  <c r="A986" i="1" s="1"/>
  <c r="B993" i="1" a="1"/>
  <c r="B993" i="1" s="1"/>
  <c r="A993" i="1" s="1"/>
  <c r="B999" i="1" a="1"/>
  <c r="B999" i="1" s="1"/>
  <c r="A999" i="1" s="1"/>
  <c r="B1007" i="1" a="1"/>
  <c r="B1007" i="1" s="1"/>
  <c r="A1007" i="1" s="1"/>
  <c r="B1015" i="1" a="1"/>
  <c r="B1015" i="1" s="1"/>
  <c r="A1015" i="1" s="1"/>
  <c r="B1022" i="1" a="1"/>
  <c r="B1022" i="1" s="1"/>
  <c r="A1022" i="1" s="1"/>
  <c r="B1037" i="1" a="1"/>
  <c r="B1037" i="1" s="1"/>
  <c r="A1037" i="1" s="1"/>
  <c r="B1045" i="1" a="1"/>
  <c r="B1045" i="1" s="1"/>
  <c r="A1045" i="1" s="1"/>
  <c r="B1052" i="1" a="1"/>
  <c r="B1052" i="1" s="1"/>
  <c r="A1052" i="1" s="1"/>
  <c r="B1060" i="1" a="1"/>
  <c r="B1060" i="1" s="1"/>
  <c r="A1060" i="1" s="1"/>
  <c r="B1067" i="1" a="1"/>
  <c r="B1067" i="1" s="1"/>
  <c r="A1067" i="1" s="1"/>
  <c r="B1075" i="1" a="1"/>
  <c r="B1075" i="1" s="1"/>
  <c r="A1075" i="1" s="1"/>
  <c r="B1090" i="1" a="1"/>
  <c r="B1090" i="1" s="1"/>
  <c r="A1090" i="1" s="1"/>
  <c r="B1098" i="1" a="1"/>
  <c r="B1098" i="1" s="1"/>
  <c r="A1098" i="1" s="1"/>
  <c r="B1106" i="1" a="1"/>
  <c r="B1106" i="1" s="1"/>
  <c r="A1106" i="1" s="1"/>
  <c r="B1114" i="1" a="1"/>
  <c r="B1114" i="1" s="1"/>
  <c r="A1114" i="1" s="1"/>
  <c r="B1122" i="1" a="1"/>
  <c r="B1122" i="1" s="1"/>
  <c r="A1122" i="1" s="1"/>
  <c r="B1129" i="1" a="1"/>
  <c r="B1129" i="1" s="1"/>
  <c r="A1129" i="1" s="1"/>
  <c r="B1137" i="1" a="1"/>
  <c r="B1137" i="1" s="1"/>
  <c r="A1137" i="1" s="1"/>
  <c r="B67" i="1" a="1"/>
  <c r="B67" i="1" s="1"/>
  <c r="B189" i="1" a="1"/>
  <c r="B189" i="1" s="1"/>
  <c r="B248" i="1" a="1"/>
  <c r="B248" i="1" s="1"/>
  <c r="B308" i="1" a="1"/>
  <c r="B308" i="1" s="1"/>
  <c r="B364" i="1" a="1"/>
  <c r="B364" i="1" s="1"/>
  <c r="B421" i="1" a="1"/>
  <c r="B421" i="1" s="1"/>
  <c r="B481" i="1" a="1"/>
  <c r="B481" i="1" s="1"/>
  <c r="B538" i="1" a="1"/>
  <c r="B538" i="1" s="1"/>
  <c r="A538" i="1" s="1"/>
  <c r="B557" i="1" a="1"/>
  <c r="B557" i="1" s="1"/>
  <c r="A557" i="1" s="1"/>
  <c r="B566" i="1" a="1"/>
  <c r="B566" i="1" s="1"/>
  <c r="B574" i="1" a="1"/>
  <c r="B574" i="1" s="1"/>
  <c r="A574" i="1" s="1"/>
  <c r="B581" i="1" a="1"/>
  <c r="B581" i="1" s="1"/>
  <c r="B588" i="1" a="1"/>
  <c r="B588" i="1" s="1"/>
  <c r="B603" i="1" a="1"/>
  <c r="B603" i="1" s="1"/>
  <c r="B611" i="1" a="1"/>
  <c r="B611" i="1" s="1"/>
  <c r="A611" i="1" s="1"/>
  <c r="B617" i="1" a="1"/>
  <c r="B617" i="1" s="1"/>
  <c r="B625" i="1" a="1"/>
  <c r="B625" i="1" s="1"/>
  <c r="B640" i="1" a="1"/>
  <c r="B640" i="1" s="1"/>
  <c r="B658" i="1" a="1"/>
  <c r="B658" i="1" s="1"/>
  <c r="B671" i="1" a="1"/>
  <c r="B671" i="1" s="1"/>
  <c r="A671" i="1" s="1"/>
  <c r="B678" i="1" a="1"/>
  <c r="B678" i="1" s="1"/>
  <c r="A678" i="1" s="1"/>
  <c r="B686" i="1" a="1"/>
  <c r="B686" i="1" s="1"/>
  <c r="A686" i="1" s="1"/>
  <c r="B710" i="1" a="1"/>
  <c r="B710" i="1" s="1"/>
  <c r="B718" i="1" a="1"/>
  <c r="B718" i="1" s="1"/>
  <c r="A718" i="1" s="1"/>
  <c r="B742" i="1" a="1"/>
  <c r="B742" i="1" s="1"/>
  <c r="B750" i="1" a="1"/>
  <c r="B750" i="1" s="1"/>
  <c r="B758" i="1" a="1"/>
  <c r="B758" i="1" s="1"/>
  <c r="B766" i="1" a="1"/>
  <c r="B766" i="1" s="1"/>
  <c r="B774" i="1" a="1"/>
  <c r="B774" i="1" s="1"/>
  <c r="A774" i="1" s="1"/>
  <c r="B782" i="1" a="1"/>
  <c r="B782" i="1" s="1"/>
  <c r="B790" i="1" a="1"/>
  <c r="B790" i="1" s="1"/>
  <c r="A790" i="1" s="1"/>
  <c r="B798" i="1" a="1"/>
  <c r="B798" i="1" s="1"/>
  <c r="B806" i="1" a="1"/>
  <c r="B806" i="1" s="1"/>
  <c r="B814" i="1" a="1"/>
  <c r="B814" i="1" s="1"/>
  <c r="B822" i="1" a="1"/>
  <c r="B822" i="1" s="1"/>
  <c r="B830" i="1" a="1"/>
  <c r="B830" i="1" s="1"/>
  <c r="A830" i="1" s="1"/>
  <c r="B838" i="1" a="1"/>
  <c r="B838" i="1" s="1"/>
  <c r="A838" i="1" s="1"/>
  <c r="B846" i="1" a="1"/>
  <c r="B846" i="1" s="1"/>
  <c r="A846" i="1" s="1"/>
  <c r="B854" i="1" a="1"/>
  <c r="B854" i="1" s="1"/>
  <c r="B862" i="1" a="1"/>
  <c r="B862" i="1" s="1"/>
  <c r="A862" i="1" s="1"/>
  <c r="B870" i="1" a="1"/>
  <c r="B870" i="1" s="1"/>
  <c r="A870" i="1" s="1"/>
  <c r="B878" i="1" a="1"/>
  <c r="B878" i="1" s="1"/>
  <c r="A878" i="1" s="1"/>
  <c r="B886" i="1" a="1"/>
  <c r="B886" i="1" s="1"/>
  <c r="A886" i="1" s="1"/>
  <c r="B894" i="1" a="1"/>
  <c r="B894" i="1" s="1"/>
  <c r="A894" i="1" s="1"/>
  <c r="B902" i="1" a="1"/>
  <c r="B902" i="1" s="1"/>
  <c r="A902" i="1" s="1"/>
  <c r="B910" i="1" a="1"/>
  <c r="B910" i="1" s="1"/>
  <c r="A910" i="1" s="1"/>
  <c r="B918" i="1" a="1"/>
  <c r="B918" i="1" s="1"/>
  <c r="A918" i="1" s="1"/>
  <c r="B926" i="1" a="1"/>
  <c r="B926" i="1" s="1"/>
  <c r="A926" i="1" s="1"/>
  <c r="B934" i="1" a="1"/>
  <c r="B934" i="1" s="1"/>
  <c r="A934" i="1" s="1"/>
  <c r="B942" i="1" a="1"/>
  <c r="B942" i="1" s="1"/>
  <c r="A942" i="1" s="1"/>
  <c r="B949" i="1" a="1"/>
  <c r="B949" i="1" s="1"/>
  <c r="A949" i="1" s="1"/>
  <c r="B961" i="1" a="1"/>
  <c r="B961" i="1" s="1"/>
  <c r="A961" i="1" s="1"/>
  <c r="B966" i="1" a="1"/>
  <c r="B966" i="1" s="1"/>
  <c r="A966" i="1" s="1"/>
  <c r="B980" i="1" a="1"/>
  <c r="B980" i="1" s="1"/>
  <c r="A980" i="1" s="1"/>
  <c r="B987" i="1" a="1"/>
  <c r="B987" i="1" s="1"/>
  <c r="A987" i="1" s="1"/>
  <c r="B994" i="1" a="1"/>
  <c r="B994" i="1" s="1"/>
  <c r="A994" i="1" s="1"/>
  <c r="B1000" i="1" a="1"/>
  <c r="B1000" i="1" s="1"/>
  <c r="A1000" i="1" s="1"/>
  <c r="B1008" i="1" a="1"/>
  <c r="B1008" i="1" s="1"/>
  <c r="A1008" i="1" s="1"/>
  <c r="B1016" i="1" a="1"/>
  <c r="B1016" i="1" s="1"/>
  <c r="A1016" i="1" s="1"/>
  <c r="B1023" i="1" a="1"/>
  <c r="B1023" i="1" s="1"/>
  <c r="A1023" i="1" s="1"/>
  <c r="B1030" i="1" a="1"/>
  <c r="B1030" i="1" s="1"/>
  <c r="A1030" i="1" s="1"/>
  <c r="B1038" i="1" a="1"/>
  <c r="B1038" i="1" s="1"/>
  <c r="A1038" i="1" s="1"/>
  <c r="B1046" i="1" a="1"/>
  <c r="B1046" i="1" s="1"/>
  <c r="A1046" i="1" s="1"/>
  <c r="B1053" i="1" a="1"/>
  <c r="B1053" i="1" s="1"/>
  <c r="A1053" i="1" s="1"/>
  <c r="B1061" i="1" a="1"/>
  <c r="B1061" i="1" s="1"/>
  <c r="A1061" i="1" s="1"/>
  <c r="B1068" i="1" a="1"/>
  <c r="B1068" i="1" s="1"/>
  <c r="A1068" i="1" s="1"/>
  <c r="B1076" i="1" a="1"/>
  <c r="B1076" i="1" s="1"/>
  <c r="A1076" i="1" s="1"/>
  <c r="B1083" i="1" a="1"/>
  <c r="B1083" i="1" s="1"/>
  <c r="A1083" i="1" s="1"/>
  <c r="B1091" i="1" a="1"/>
  <c r="B1091" i="1" s="1"/>
  <c r="A1091" i="1" s="1"/>
  <c r="B1099" i="1" a="1"/>
  <c r="B1099" i="1" s="1"/>
  <c r="A1099" i="1" s="1"/>
  <c r="B1107" i="1" a="1"/>
  <c r="B1107" i="1" s="1"/>
  <c r="A1107" i="1" s="1"/>
  <c r="B1115" i="1" a="1"/>
  <c r="B1115" i="1" s="1"/>
  <c r="A1115" i="1" s="1"/>
  <c r="B1123" i="1" a="1"/>
  <c r="B1123" i="1" s="1"/>
  <c r="A1123" i="1" s="1"/>
  <c r="B1130" i="1" a="1"/>
  <c r="B1130" i="1" s="1"/>
  <c r="A1130" i="1" s="1"/>
  <c r="B75" i="1" a="1"/>
  <c r="B75" i="1" s="1"/>
  <c r="B137" i="1" a="1"/>
  <c r="B137" i="1" s="1"/>
  <c r="B196" i="1" a="1"/>
  <c r="B196" i="1" s="1"/>
  <c r="B256" i="1" a="1"/>
  <c r="B256" i="1" s="1"/>
  <c r="B316" i="1" a="1"/>
  <c r="B316" i="1" s="1"/>
  <c r="B371" i="1" a="1"/>
  <c r="B371" i="1" s="1"/>
  <c r="B428" i="1" a="1"/>
  <c r="B428" i="1" s="1"/>
  <c r="B541" i="1" a="1"/>
  <c r="B541" i="1" s="1"/>
  <c r="A541" i="1" s="1"/>
  <c r="B559" i="1" a="1"/>
  <c r="B559" i="1" s="1"/>
  <c r="A559" i="1" s="1"/>
  <c r="B567" i="1" a="1"/>
  <c r="B567" i="1" s="1"/>
  <c r="B575" i="1" a="1"/>
  <c r="B575" i="1" s="1"/>
  <c r="A575" i="1" s="1"/>
  <c r="B582" i="1" a="1"/>
  <c r="B582" i="1" s="1"/>
  <c r="B589" i="1" a="1"/>
  <c r="B589" i="1" s="1"/>
  <c r="B596" i="1" a="1"/>
  <c r="B596" i="1" s="1"/>
  <c r="B604" i="1" a="1"/>
  <c r="B604" i="1" s="1"/>
  <c r="B618" i="1" a="1"/>
  <c r="B618" i="1" s="1"/>
  <c r="B626" i="1" a="1"/>
  <c r="B626" i="1" s="1"/>
  <c r="B633" i="1" a="1"/>
  <c r="B633" i="1" s="1"/>
  <c r="B641" i="1" a="1"/>
  <c r="B641" i="1" s="1"/>
  <c r="B647" i="1" a="1"/>
  <c r="B647" i="1" s="1"/>
  <c r="A647" i="1" s="1"/>
  <c r="B653" i="1" a="1"/>
  <c r="B653" i="1" s="1"/>
  <c r="B659" i="1" a="1"/>
  <c r="B659" i="1" s="1"/>
  <c r="B665" i="1" a="1"/>
  <c r="B665" i="1" s="1"/>
  <c r="A665" i="1" s="1"/>
  <c r="B672" i="1" a="1"/>
  <c r="B672" i="1" s="1"/>
  <c r="A672" i="1" s="1"/>
  <c r="B679" i="1" a="1"/>
  <c r="B679" i="1" s="1"/>
  <c r="A679" i="1" s="1"/>
  <c r="B711" i="1" a="1"/>
  <c r="B711" i="1" s="1"/>
  <c r="B719" i="1" a="1"/>
  <c r="B719" i="1" s="1"/>
  <c r="A719" i="1" s="1"/>
  <c r="B743" i="1" a="1"/>
  <c r="B743" i="1" s="1"/>
  <c r="B751" i="1" a="1"/>
  <c r="B751" i="1" s="1"/>
  <c r="B759" i="1" a="1"/>
  <c r="B759" i="1" s="1"/>
  <c r="B767" i="1" a="1"/>
  <c r="B767" i="1" s="1"/>
  <c r="B775" i="1" a="1"/>
  <c r="B775" i="1" s="1"/>
  <c r="A775" i="1" s="1"/>
  <c r="B783" i="1" a="1"/>
  <c r="B783" i="1" s="1"/>
  <c r="B791" i="1" a="1"/>
  <c r="B791" i="1" s="1"/>
  <c r="A791" i="1" s="1"/>
  <c r="B799" i="1" a="1"/>
  <c r="B799" i="1" s="1"/>
  <c r="B807" i="1" a="1"/>
  <c r="B807" i="1" s="1"/>
  <c r="A807" i="1" s="1"/>
  <c r="B815" i="1" a="1"/>
  <c r="B815" i="1" s="1"/>
  <c r="B823" i="1" a="1"/>
  <c r="B823" i="1" s="1"/>
  <c r="B831" i="1" a="1"/>
  <c r="B831" i="1" s="1"/>
  <c r="A831" i="1" s="1"/>
  <c r="B839" i="1" a="1"/>
  <c r="B839" i="1" s="1"/>
  <c r="A839" i="1" s="1"/>
  <c r="B847" i="1" a="1"/>
  <c r="B847" i="1" s="1"/>
  <c r="A847" i="1" s="1"/>
  <c r="B855" i="1" a="1"/>
  <c r="B855" i="1" s="1"/>
  <c r="B863" i="1" a="1"/>
  <c r="B863" i="1" s="1"/>
  <c r="A863" i="1" s="1"/>
  <c r="B871" i="1" a="1"/>
  <c r="B871" i="1" s="1"/>
  <c r="A871" i="1" s="1"/>
  <c r="B879" i="1" a="1"/>
  <c r="B879" i="1" s="1"/>
  <c r="A879" i="1" s="1"/>
  <c r="B887" i="1" a="1"/>
  <c r="B887" i="1" s="1"/>
  <c r="A887" i="1" s="1"/>
  <c r="B895" i="1" a="1"/>
  <c r="B895" i="1" s="1"/>
  <c r="A895" i="1" s="1"/>
  <c r="B903" i="1" a="1"/>
  <c r="B903" i="1" s="1"/>
  <c r="A903" i="1" s="1"/>
  <c r="B911" i="1" a="1"/>
  <c r="B911" i="1" s="1"/>
  <c r="A911" i="1" s="1"/>
  <c r="B919" i="1" a="1"/>
  <c r="B919" i="1" s="1"/>
  <c r="A919" i="1" s="1"/>
  <c r="B927" i="1" a="1"/>
  <c r="B927" i="1" s="1"/>
  <c r="A927" i="1" s="1"/>
  <c r="B935" i="1" a="1"/>
  <c r="B935" i="1" s="1"/>
  <c r="A935" i="1" s="1"/>
  <c r="B943" i="1" a="1"/>
  <c r="B943" i="1" s="1"/>
  <c r="A943" i="1" s="1"/>
  <c r="B950" i="1" a="1"/>
  <c r="B950" i="1" s="1"/>
  <c r="A950" i="1" s="1"/>
  <c r="B956" i="1" a="1"/>
  <c r="B956" i="1" s="1"/>
  <c r="A956" i="1" s="1"/>
  <c r="B967" i="1" a="1"/>
  <c r="B967" i="1" s="1"/>
  <c r="A967" i="1" s="1"/>
  <c r="B974" i="1" a="1"/>
  <c r="B974" i="1" s="1"/>
  <c r="A974" i="1" s="1"/>
  <c r="B981" i="1" a="1"/>
  <c r="B981" i="1" s="1"/>
  <c r="A981" i="1" s="1"/>
  <c r="B988" i="1" a="1"/>
  <c r="B988" i="1" s="1"/>
  <c r="A988" i="1" s="1"/>
  <c r="B1001" i="1" a="1"/>
  <c r="B1001" i="1" s="1"/>
  <c r="A1001" i="1" s="1"/>
  <c r="B1009" i="1" a="1"/>
  <c r="B1009" i="1" s="1"/>
  <c r="A1009" i="1" s="1"/>
  <c r="B1017" i="1" a="1"/>
  <c r="B1017" i="1" s="1"/>
  <c r="A1017" i="1" s="1"/>
  <c r="B1024" i="1" a="1"/>
  <c r="B1024" i="1" s="1"/>
  <c r="A1024" i="1" s="1"/>
  <c r="B1031" i="1" a="1"/>
  <c r="B1031" i="1" s="1"/>
  <c r="A1031" i="1" s="1"/>
  <c r="B1039" i="1" a="1"/>
  <c r="B1039" i="1" s="1"/>
  <c r="A1039" i="1" s="1"/>
  <c r="B1047" i="1" a="1"/>
  <c r="B1047" i="1" s="1"/>
  <c r="A1047" i="1" s="1"/>
  <c r="B1054" i="1" a="1"/>
  <c r="B1054" i="1" s="1"/>
  <c r="A1054" i="1" s="1"/>
  <c r="B1069" i="1" a="1"/>
  <c r="B1069" i="1" s="1"/>
  <c r="A1069" i="1" s="1"/>
  <c r="B1077" i="1" a="1"/>
  <c r="B1077" i="1" s="1"/>
  <c r="A1077" i="1" s="1"/>
  <c r="B1084" i="1" a="1"/>
  <c r="B1084" i="1" s="1"/>
  <c r="A1084" i="1" s="1"/>
  <c r="B1092" i="1" a="1"/>
  <c r="B1092" i="1" s="1"/>
  <c r="A1092" i="1" s="1"/>
  <c r="B1100" i="1" a="1"/>
  <c r="B1100" i="1" s="1"/>
  <c r="A1100" i="1" s="1"/>
  <c r="B1108" i="1" a="1"/>
  <c r="B1108" i="1" s="1"/>
  <c r="A1108" i="1" s="1"/>
  <c r="B1116" i="1" a="1"/>
  <c r="B1116" i="1" s="1"/>
  <c r="A1116" i="1" s="1"/>
  <c r="B1124" i="1" a="1"/>
  <c r="B1124" i="1" s="1"/>
  <c r="A1124" i="1" s="1"/>
  <c r="B83" i="1" a="1"/>
  <c r="B83" i="1" s="1"/>
  <c r="B145" i="1" a="1"/>
  <c r="B145" i="1" s="1"/>
  <c r="B204" i="1" a="1"/>
  <c r="B204" i="1" s="1"/>
  <c r="B263" i="1" a="1"/>
  <c r="B263" i="1" s="1"/>
  <c r="B323" i="1" a="1"/>
  <c r="B323" i="1" s="1"/>
  <c r="B377" i="1" a="1"/>
  <c r="B377" i="1" s="1"/>
  <c r="B436" i="1" a="1"/>
  <c r="B436" i="1" s="1"/>
  <c r="B495" i="1" a="1"/>
  <c r="B495" i="1" s="1"/>
  <c r="B546" i="1" a="1"/>
  <c r="B546" i="1" s="1"/>
  <c r="B560" i="1" a="1"/>
  <c r="B560" i="1" s="1"/>
  <c r="B568" i="1" a="1"/>
  <c r="B568" i="1" s="1"/>
  <c r="B576" i="1" a="1"/>
  <c r="B576" i="1" s="1"/>
  <c r="A576" i="1" s="1"/>
  <c r="B583" i="1" a="1"/>
  <c r="B583" i="1" s="1"/>
  <c r="B590" i="1" a="1"/>
  <c r="B590" i="1" s="1"/>
  <c r="B597" i="1" a="1"/>
  <c r="B597" i="1" s="1"/>
  <c r="B605" i="1" a="1"/>
  <c r="B605" i="1" s="1"/>
  <c r="B612" i="1" a="1"/>
  <c r="B612" i="1" s="1"/>
  <c r="A612" i="1" s="1"/>
  <c r="B619" i="1" a="1"/>
  <c r="B619" i="1" s="1"/>
  <c r="B627" i="1" a="1"/>
  <c r="B627" i="1" s="1"/>
  <c r="A627" i="1" s="1"/>
  <c r="B634" i="1" a="1"/>
  <c r="B634" i="1" s="1"/>
  <c r="B642" i="1" a="1"/>
  <c r="B642" i="1" s="1"/>
  <c r="B648" i="1" a="1"/>
  <c r="B648" i="1" s="1"/>
  <c r="A648" i="1" s="1"/>
  <c r="B654" i="1" a="1"/>
  <c r="B654" i="1" s="1"/>
  <c r="B660" i="1" a="1"/>
  <c r="B660" i="1" s="1"/>
  <c r="B666" i="1" a="1"/>
  <c r="B666" i="1" s="1"/>
  <c r="A666" i="1" s="1"/>
  <c r="B680" i="1" a="1"/>
  <c r="B680" i="1" s="1"/>
  <c r="A680" i="1" s="1"/>
  <c r="B688" i="1" a="1"/>
  <c r="B688" i="1" s="1"/>
  <c r="A688" i="1" s="1"/>
  <c r="B712" i="1" a="1"/>
  <c r="B712" i="1" s="1"/>
  <c r="B720" i="1" a="1"/>
  <c r="B720" i="1" s="1"/>
  <c r="A720" i="1" s="1"/>
  <c r="B744" i="1" a="1"/>
  <c r="B744" i="1" s="1"/>
  <c r="B752" i="1" a="1"/>
  <c r="B752" i="1" s="1"/>
  <c r="B760" i="1" a="1"/>
  <c r="B760" i="1" s="1"/>
  <c r="B768" i="1" a="1"/>
  <c r="B768" i="1" s="1"/>
  <c r="B776" i="1" a="1"/>
  <c r="B776" i="1" s="1"/>
  <c r="B784" i="1" a="1"/>
  <c r="B784" i="1" s="1"/>
  <c r="B792" i="1" a="1"/>
  <c r="B792" i="1" s="1"/>
  <c r="A792" i="1" s="1"/>
  <c r="B800" i="1" a="1"/>
  <c r="B800" i="1" s="1"/>
  <c r="B808" i="1" a="1"/>
  <c r="B808" i="1" s="1"/>
  <c r="A808" i="1" s="1"/>
  <c r="B816" i="1" a="1"/>
  <c r="B816" i="1" s="1"/>
  <c r="B824" i="1" a="1"/>
  <c r="B824" i="1" s="1"/>
  <c r="B832" i="1" a="1"/>
  <c r="B832" i="1" s="1"/>
  <c r="A832" i="1" s="1"/>
  <c r="B840" i="1" a="1"/>
  <c r="B840" i="1" s="1"/>
  <c r="A840" i="1" s="1"/>
  <c r="B848" i="1" a="1"/>
  <c r="B848" i="1" s="1"/>
  <c r="B856" i="1" a="1"/>
  <c r="B856" i="1" s="1"/>
  <c r="B864" i="1" a="1"/>
  <c r="B864" i="1" s="1"/>
  <c r="A864" i="1" s="1"/>
  <c r="B872" i="1" a="1"/>
  <c r="B872" i="1" s="1"/>
  <c r="A872" i="1" s="1"/>
  <c r="B880" i="1" a="1"/>
  <c r="B880" i="1" s="1"/>
  <c r="A880" i="1" s="1"/>
  <c r="B888" i="1" a="1"/>
  <c r="B888" i="1" s="1"/>
  <c r="A888" i="1" s="1"/>
  <c r="B896" i="1" a="1"/>
  <c r="B896" i="1" s="1"/>
  <c r="A896" i="1" s="1"/>
  <c r="B904" i="1" a="1"/>
  <c r="B904" i="1" s="1"/>
  <c r="A904" i="1" s="1"/>
  <c r="B912" i="1" a="1"/>
  <c r="B912" i="1" s="1"/>
  <c r="A912" i="1" s="1"/>
  <c r="B920" i="1" a="1"/>
  <c r="B920" i="1" s="1"/>
  <c r="A920" i="1" s="1"/>
  <c r="B928" i="1" a="1"/>
  <c r="B928" i="1" s="1"/>
  <c r="A928" i="1" s="1"/>
  <c r="B936" i="1" a="1"/>
  <c r="B936" i="1" s="1"/>
  <c r="A936" i="1" s="1"/>
  <c r="B944" i="1" a="1"/>
  <c r="B944" i="1" s="1"/>
  <c r="A944" i="1" s="1"/>
  <c r="B951" i="1" a="1"/>
  <c r="B951" i="1" s="1"/>
  <c r="A951" i="1" s="1"/>
  <c r="B962" i="1" a="1"/>
  <c r="B962" i="1" s="1"/>
  <c r="A962" i="1" s="1"/>
  <c r="B968" i="1" a="1"/>
  <c r="B968" i="1" s="1"/>
  <c r="A968" i="1" s="1"/>
  <c r="B975" i="1" a="1"/>
  <c r="B975" i="1" s="1"/>
  <c r="A975" i="1" s="1"/>
  <c r="B989" i="1" a="1"/>
  <c r="B989" i="1" s="1"/>
  <c r="A989" i="1" s="1"/>
  <c r="B995" i="1" a="1"/>
  <c r="B995" i="1" s="1"/>
  <c r="A995" i="1" s="1"/>
  <c r="B1002" i="1" a="1"/>
  <c r="B1002" i="1" s="1"/>
  <c r="A1002" i="1" s="1"/>
  <c r="B1010" i="1" a="1"/>
  <c r="B1010" i="1" s="1"/>
  <c r="A1010" i="1" s="1"/>
  <c r="B1018" i="1" a="1"/>
  <c r="B1018" i="1" s="1"/>
  <c r="A1018" i="1" s="1"/>
  <c r="B1025" i="1" a="1"/>
  <c r="B1025" i="1" s="1"/>
  <c r="A1025" i="1" s="1"/>
  <c r="B1032" i="1" a="1"/>
  <c r="B1032" i="1" s="1"/>
  <c r="A1032" i="1" s="1"/>
  <c r="B1040" i="1" a="1"/>
  <c r="B1040" i="1" s="1"/>
  <c r="A1040" i="1" s="1"/>
  <c r="B1048" i="1" a="1"/>
  <c r="B1048" i="1" s="1"/>
  <c r="A1048" i="1" s="1"/>
  <c r="B1055" i="1" a="1"/>
  <c r="B1055" i="1" s="1"/>
  <c r="A1055" i="1" s="1"/>
  <c r="B1062" i="1" a="1"/>
  <c r="B1062" i="1" s="1"/>
  <c r="A1062" i="1" s="1"/>
  <c r="B1070" i="1" a="1"/>
  <c r="B1070" i="1" s="1"/>
  <c r="A1070" i="1" s="1"/>
  <c r="B1078" i="1" a="1"/>
  <c r="B1078" i="1" s="1"/>
  <c r="A1078" i="1" s="1"/>
  <c r="B1085" i="1" a="1"/>
  <c r="B1085" i="1" s="1"/>
  <c r="A1085" i="1" s="1"/>
  <c r="B1093" i="1" a="1"/>
  <c r="B1093" i="1" s="1"/>
  <c r="A1093" i="1" s="1"/>
  <c r="B1101" i="1" a="1"/>
  <c r="B1101" i="1" s="1"/>
  <c r="A1101" i="1" s="1"/>
  <c r="B1109" i="1" a="1"/>
  <c r="B1109" i="1" s="1"/>
  <c r="A1109" i="1" s="1"/>
  <c r="B91" i="1" a="1"/>
  <c r="B91" i="1" s="1"/>
  <c r="B153" i="1" a="1"/>
  <c r="B153" i="1" s="1"/>
  <c r="B211" i="1" a="1"/>
  <c r="B211" i="1" s="1"/>
  <c r="B270" i="1" a="1"/>
  <c r="B270" i="1" s="1"/>
  <c r="B331" i="1" a="1"/>
  <c r="B331" i="1" s="1"/>
  <c r="B385" i="1" a="1"/>
  <c r="B385" i="1" s="1"/>
  <c r="B443" i="1" a="1"/>
  <c r="B443" i="1" s="1"/>
  <c r="B503" i="1" a="1"/>
  <c r="B503" i="1" s="1"/>
  <c r="A503" i="1" s="1"/>
  <c r="B548" i="1" a="1"/>
  <c r="B548" i="1" s="1"/>
  <c r="B561" i="1" a="1"/>
  <c r="B561" i="1" s="1"/>
  <c r="B569" i="1" a="1"/>
  <c r="B569" i="1" s="1"/>
  <c r="B577" i="1" a="1"/>
  <c r="B577" i="1" s="1"/>
  <c r="A577" i="1" s="1"/>
  <c r="B591" i="1" a="1"/>
  <c r="B591" i="1" s="1"/>
  <c r="A591" i="1" s="1"/>
  <c r="B598" i="1" a="1"/>
  <c r="B598" i="1" s="1"/>
  <c r="B606" i="1" a="1"/>
  <c r="B606" i="1" s="1"/>
  <c r="B613" i="1" a="1"/>
  <c r="B613" i="1" s="1"/>
  <c r="A613" i="1" s="1"/>
  <c r="B620" i="1" a="1"/>
  <c r="B620" i="1" s="1"/>
  <c r="B635" i="1" a="1"/>
  <c r="B635" i="1" s="1"/>
  <c r="B643" i="1" a="1"/>
  <c r="B643" i="1" s="1"/>
  <c r="B649" i="1" a="1"/>
  <c r="B649" i="1" s="1"/>
  <c r="A649" i="1" s="1"/>
  <c r="B667" i="1" a="1"/>
  <c r="B667" i="1" s="1"/>
  <c r="A667" i="1" s="1"/>
  <c r="B673" i="1" a="1"/>
  <c r="B673" i="1" s="1"/>
  <c r="A673" i="1" s="1"/>
  <c r="B681" i="1" a="1"/>
  <c r="B681" i="1" s="1"/>
  <c r="A681" i="1" s="1"/>
  <c r="B713" i="1" a="1"/>
  <c r="B713" i="1" s="1"/>
  <c r="B721" i="1" a="1"/>
  <c r="B721" i="1" s="1"/>
  <c r="A721" i="1" s="1"/>
  <c r="B745" i="1" a="1"/>
  <c r="B745" i="1" s="1"/>
  <c r="B753" i="1" a="1"/>
  <c r="B753" i="1" s="1"/>
  <c r="A753" i="1" s="1"/>
  <c r="B761" i="1" a="1"/>
  <c r="B761" i="1" s="1"/>
  <c r="B769" i="1" a="1"/>
  <c r="B769" i="1" s="1"/>
  <c r="B777" i="1" a="1"/>
  <c r="B777" i="1" s="1"/>
  <c r="B785" i="1" a="1"/>
  <c r="B785" i="1" s="1"/>
  <c r="B793" i="1" a="1"/>
  <c r="B793" i="1" s="1"/>
  <c r="A793" i="1" s="1"/>
  <c r="B801" i="1" a="1"/>
  <c r="B801" i="1" s="1"/>
  <c r="B809" i="1" a="1"/>
  <c r="B809" i="1" s="1"/>
  <c r="A809" i="1" s="1"/>
  <c r="B817" i="1" a="1"/>
  <c r="B817" i="1" s="1"/>
  <c r="B825" i="1" a="1"/>
  <c r="B825" i="1" s="1"/>
  <c r="A825" i="1" s="1"/>
  <c r="B833" i="1" a="1"/>
  <c r="B833" i="1" s="1"/>
  <c r="A833" i="1" s="1"/>
  <c r="B841" i="1" a="1"/>
  <c r="B841" i="1" s="1"/>
  <c r="A841" i="1" s="1"/>
  <c r="B849" i="1" a="1"/>
  <c r="B849" i="1" s="1"/>
  <c r="B857" i="1" a="1"/>
  <c r="B857" i="1" s="1"/>
  <c r="B865" i="1" a="1"/>
  <c r="B865" i="1" s="1"/>
  <c r="A865" i="1" s="1"/>
  <c r="B873" i="1" a="1"/>
  <c r="B873" i="1" s="1"/>
  <c r="A873" i="1" s="1"/>
  <c r="B881" i="1" a="1"/>
  <c r="B881" i="1" s="1"/>
  <c r="A881" i="1" s="1"/>
  <c r="B889" i="1" a="1"/>
  <c r="B889" i="1" s="1"/>
  <c r="A889" i="1" s="1"/>
  <c r="B897" i="1" a="1"/>
  <c r="B897" i="1" s="1"/>
  <c r="A897" i="1" s="1"/>
  <c r="B905" i="1" a="1"/>
  <c r="B905" i="1" s="1"/>
  <c r="A905" i="1" s="1"/>
  <c r="B913" i="1" a="1"/>
  <c r="B913" i="1" s="1"/>
  <c r="A913" i="1" s="1"/>
  <c r="B921" i="1" a="1"/>
  <c r="B921" i="1" s="1"/>
  <c r="A921" i="1" s="1"/>
  <c r="B929" i="1" a="1"/>
  <c r="B929" i="1" s="1"/>
  <c r="A929" i="1" s="1"/>
  <c r="B937" i="1" a="1"/>
  <c r="B937" i="1" s="1"/>
  <c r="A937" i="1" s="1"/>
  <c r="B952" i="1" a="1"/>
  <c r="B952" i="1" s="1"/>
  <c r="A952" i="1" s="1"/>
  <c r="B957" i="1" a="1"/>
  <c r="B957" i="1" s="1"/>
  <c r="A957" i="1" s="1"/>
  <c r="B969" i="1" a="1"/>
  <c r="B969" i="1" s="1"/>
  <c r="A969" i="1" s="1"/>
  <c r="B976" i="1" a="1"/>
  <c r="B976" i="1" s="1"/>
  <c r="A976" i="1" s="1"/>
  <c r="B982" i="1" a="1"/>
  <c r="B982" i="1" s="1"/>
  <c r="A982" i="1" s="1"/>
  <c r="B996" i="1" a="1"/>
  <c r="B996" i="1" s="1"/>
  <c r="A996" i="1" s="1"/>
  <c r="B1003" i="1" a="1"/>
  <c r="B1003" i="1" s="1"/>
  <c r="A1003" i="1" s="1"/>
  <c r="B1011" i="1" a="1"/>
  <c r="B1011" i="1" s="1"/>
  <c r="A1011" i="1" s="1"/>
  <c r="B1026" i="1" a="1"/>
  <c r="B1026" i="1" s="1"/>
  <c r="A1026" i="1" s="1"/>
  <c r="B1033" i="1" a="1"/>
  <c r="B1033" i="1" s="1"/>
  <c r="A1033" i="1" s="1"/>
  <c r="B1041" i="1" a="1"/>
  <c r="B1041" i="1" s="1"/>
  <c r="A1041" i="1" s="1"/>
  <c r="B1049" i="1" a="1"/>
  <c r="B1049" i="1" s="1"/>
  <c r="A1049" i="1" s="1"/>
  <c r="B1056" i="1" a="1"/>
  <c r="B1056" i="1" s="1"/>
  <c r="A1056" i="1" s="1"/>
  <c r="B1063" i="1" a="1"/>
  <c r="B1063" i="1" s="1"/>
  <c r="A1063" i="1" s="1"/>
  <c r="B1071" i="1" a="1"/>
  <c r="B1071" i="1" s="1"/>
  <c r="A1071" i="1" s="1"/>
  <c r="B1079" i="1" a="1"/>
  <c r="B1079" i="1" s="1"/>
  <c r="A1079" i="1" s="1"/>
  <c r="B1086" i="1" a="1"/>
  <c r="B1086" i="1" s="1"/>
  <c r="A1086" i="1" s="1"/>
  <c r="B1094" i="1" a="1"/>
  <c r="B1094" i="1" s="1"/>
  <c r="A1094" i="1" s="1"/>
  <c r="B1102" i="1" a="1"/>
  <c r="B1102" i="1" s="1"/>
  <c r="A1102" i="1" s="1"/>
  <c r="B1110" i="1" a="1"/>
  <c r="B1110" i="1" s="1"/>
  <c r="A1110" i="1" s="1"/>
  <c r="B1118" i="1" a="1"/>
  <c r="B1118" i="1" s="1"/>
  <c r="A1118" i="1" s="1"/>
  <c r="B1133" i="1" a="1"/>
  <c r="B1133" i="1" s="1"/>
  <c r="A1133" i="1" s="1"/>
  <c r="B1141" i="1" a="1"/>
  <c r="B1141" i="1" s="1"/>
  <c r="A1141" i="1" s="1"/>
  <c r="B1148" i="1" a="1"/>
  <c r="B1148" i="1" s="1"/>
  <c r="A1148" i="1" s="1"/>
  <c r="B98" i="1" a="1"/>
  <c r="B98" i="1" s="1"/>
  <c r="B160" i="1" a="1"/>
  <c r="B160" i="1" s="1"/>
  <c r="B219" i="1" a="1"/>
  <c r="B219" i="1" s="1"/>
  <c r="B278" i="1" a="1"/>
  <c r="B278" i="1" s="1"/>
  <c r="B338" i="1" a="1"/>
  <c r="B338" i="1" s="1"/>
  <c r="B451" i="1" a="1"/>
  <c r="B451" i="1" s="1"/>
  <c r="B511" i="1" a="1"/>
  <c r="B511" i="1" s="1"/>
  <c r="B562" i="1" a="1"/>
  <c r="B562" i="1" s="1"/>
  <c r="B570" i="1" a="1"/>
  <c r="B570" i="1" s="1"/>
  <c r="B578" i="1" a="1"/>
  <c r="B578" i="1" s="1"/>
  <c r="B584" i="1" a="1"/>
  <c r="B584" i="1" s="1"/>
  <c r="B592" i="1" a="1"/>
  <c r="B592" i="1" s="1"/>
  <c r="A592" i="1" s="1"/>
  <c r="B599" i="1" a="1"/>
  <c r="B599" i="1" s="1"/>
  <c r="B607" i="1" a="1"/>
  <c r="B607" i="1" s="1"/>
  <c r="B614" i="1" a="1"/>
  <c r="B614" i="1" s="1"/>
  <c r="B621" i="1" a="1"/>
  <c r="B621" i="1" s="1"/>
  <c r="B628" i="1" a="1"/>
  <c r="B628" i="1" s="1"/>
  <c r="A628" i="1" s="1"/>
  <c r="B636" i="1" a="1"/>
  <c r="B636" i="1" s="1"/>
  <c r="B650" i="1" a="1"/>
  <c r="B650" i="1" s="1"/>
  <c r="B655" i="1" a="1"/>
  <c r="B655" i="1" s="1"/>
  <c r="B661" i="1" a="1"/>
  <c r="B661" i="1" s="1"/>
  <c r="B668" i="1" a="1"/>
  <c r="B668" i="1" s="1"/>
  <c r="A668" i="1" s="1"/>
  <c r="B674" i="1" a="1"/>
  <c r="B674" i="1" s="1"/>
  <c r="A674" i="1" s="1"/>
  <c r="B682" i="1" a="1"/>
  <c r="B682" i="1" s="1"/>
  <c r="A682" i="1" s="1"/>
  <c r="B690" i="1" a="1"/>
  <c r="B690" i="1" s="1"/>
  <c r="A690" i="1" s="1"/>
  <c r="B714" i="1" a="1"/>
  <c r="B714" i="1" s="1"/>
  <c r="B746" i="1" a="1"/>
  <c r="B746" i="1" s="1"/>
  <c r="B754" i="1" a="1"/>
  <c r="B754" i="1" s="1"/>
  <c r="A754" i="1" s="1"/>
  <c r="B762" i="1" a="1"/>
  <c r="B762" i="1" s="1"/>
  <c r="B770" i="1" a="1"/>
  <c r="B770" i="1" s="1"/>
  <c r="B778" i="1" a="1"/>
  <c r="B778" i="1" s="1"/>
  <c r="B786" i="1" a="1"/>
  <c r="B786" i="1" s="1"/>
  <c r="B794" i="1" a="1"/>
  <c r="B794" i="1" s="1"/>
  <c r="B802" i="1" a="1"/>
  <c r="B802" i="1" s="1"/>
  <c r="B810" i="1" a="1"/>
  <c r="B810" i="1" s="1"/>
  <c r="A810" i="1" s="1"/>
  <c r="B818" i="1" a="1"/>
  <c r="B818" i="1" s="1"/>
  <c r="B826" i="1" a="1"/>
  <c r="B826" i="1" s="1"/>
  <c r="A826" i="1" s="1"/>
  <c r="B834" i="1" a="1"/>
  <c r="B834" i="1" s="1"/>
  <c r="A834" i="1" s="1"/>
  <c r="B842" i="1" a="1"/>
  <c r="B842" i="1" s="1"/>
  <c r="A842" i="1" s="1"/>
  <c r="B850" i="1" a="1"/>
  <c r="B850" i="1" s="1"/>
  <c r="B858" i="1" a="1"/>
  <c r="B858" i="1" s="1"/>
  <c r="B866" i="1" a="1"/>
  <c r="B866" i="1" s="1"/>
  <c r="A866" i="1" s="1"/>
  <c r="B874" i="1" a="1"/>
  <c r="B874" i="1" s="1"/>
  <c r="A874" i="1" s="1"/>
  <c r="B882" i="1" a="1"/>
  <c r="B882" i="1" s="1"/>
  <c r="A882" i="1" s="1"/>
  <c r="B890" i="1" a="1"/>
  <c r="B890" i="1" s="1"/>
  <c r="A890" i="1" s="1"/>
  <c r="B898" i="1" a="1"/>
  <c r="B898" i="1" s="1"/>
  <c r="A898" i="1" s="1"/>
  <c r="B906" i="1" a="1"/>
  <c r="B906" i="1" s="1"/>
  <c r="A906" i="1" s="1"/>
  <c r="B914" i="1" a="1"/>
  <c r="B914" i="1" s="1"/>
  <c r="A914" i="1" s="1"/>
  <c r="B922" i="1" a="1"/>
  <c r="B922" i="1" s="1"/>
  <c r="A922" i="1" s="1"/>
  <c r="B930" i="1" a="1"/>
  <c r="B930" i="1" s="1"/>
  <c r="A930" i="1" s="1"/>
  <c r="B938" i="1" a="1"/>
  <c r="B938" i="1" s="1"/>
  <c r="A938" i="1" s="1"/>
  <c r="B945" i="1" a="1"/>
  <c r="B945" i="1" s="1"/>
  <c r="A945" i="1" s="1"/>
  <c r="B963" i="1" a="1"/>
  <c r="B963" i="1" s="1"/>
  <c r="A963" i="1" s="1"/>
  <c r="B970" i="1" a="1"/>
  <c r="B970" i="1" s="1"/>
  <c r="A970" i="1" s="1"/>
  <c r="B977" i="1" a="1"/>
  <c r="B977" i="1" s="1"/>
  <c r="A977" i="1" s="1"/>
  <c r="B983" i="1" a="1"/>
  <c r="B983" i="1" s="1"/>
  <c r="A983" i="1" s="1"/>
  <c r="B990" i="1" a="1"/>
  <c r="B990" i="1" s="1"/>
  <c r="A990" i="1" s="1"/>
  <c r="B997" i="1" a="1"/>
  <c r="B997" i="1" s="1"/>
  <c r="A997" i="1" s="1"/>
  <c r="B1004" i="1" a="1"/>
  <c r="B1004" i="1" s="1"/>
  <c r="A1004" i="1" s="1"/>
  <c r="B1012" i="1" a="1"/>
  <c r="B1012" i="1" s="1"/>
  <c r="A1012" i="1" s="1"/>
  <c r="B1019" i="1" a="1"/>
  <c r="B1019" i="1" s="1"/>
  <c r="A1019" i="1" s="1"/>
  <c r="B1027" i="1" a="1"/>
  <c r="B1027" i="1" s="1"/>
  <c r="A1027" i="1" s="1"/>
  <c r="B1034" i="1" a="1"/>
  <c r="B1034" i="1" s="1"/>
  <c r="A1034" i="1" s="1"/>
  <c r="B1042" i="1" a="1"/>
  <c r="B1042" i="1" s="1"/>
  <c r="A1042" i="1" s="1"/>
  <c r="B1050" i="1" a="1"/>
  <c r="B1050" i="1" s="1"/>
  <c r="A1050" i="1" s="1"/>
  <c r="B1057" i="1" a="1"/>
  <c r="B1057" i="1" s="1"/>
  <c r="A1057" i="1" s="1"/>
  <c r="B1064" i="1" a="1"/>
  <c r="B1064" i="1" s="1"/>
  <c r="A1064" i="1" s="1"/>
  <c r="B1072" i="1" a="1"/>
  <c r="B1072" i="1" s="1"/>
  <c r="A1072" i="1" s="1"/>
  <c r="B1080" i="1" a="1"/>
  <c r="B1080" i="1" s="1"/>
  <c r="A1080" i="1" s="1"/>
  <c r="B1087" i="1" a="1"/>
  <c r="B1087" i="1" s="1"/>
  <c r="A1087" i="1" s="1"/>
  <c r="B1095" i="1" a="1"/>
  <c r="B1095" i="1" s="1"/>
  <c r="A1095" i="1" s="1"/>
  <c r="B1103" i="1" a="1"/>
  <c r="B1103" i="1" s="1"/>
  <c r="A1103" i="1" s="1"/>
  <c r="B1111" i="1" a="1"/>
  <c r="B1111" i="1" s="1"/>
  <c r="A1111" i="1" s="1"/>
  <c r="B1119" i="1" a="1"/>
  <c r="B1119" i="1" s="1"/>
  <c r="A1119" i="1" s="1"/>
  <c r="B1126" i="1" a="1"/>
  <c r="B1126" i="1" s="1"/>
  <c r="A1126" i="1" s="1"/>
  <c r="B1134" i="1" a="1"/>
  <c r="B1134" i="1" s="1"/>
  <c r="A1134" i="1" s="1"/>
  <c r="B1142" i="1" a="1"/>
  <c r="B1142" i="1" s="1"/>
  <c r="A1142" i="1" s="1"/>
  <c r="B457" i="1" a="1"/>
  <c r="B457" i="1" s="1"/>
  <c r="B600" i="1" a="1"/>
  <c r="B600" i="1" s="1"/>
  <c r="B656" i="1" a="1"/>
  <c r="B656" i="1" s="1"/>
  <c r="B715" i="1" a="1"/>
  <c r="B715" i="1" s="1"/>
  <c r="B779" i="1" a="1"/>
  <c r="B779" i="1" s="1"/>
  <c r="B843" i="1" a="1"/>
  <c r="B843" i="1" s="1"/>
  <c r="A843" i="1" s="1"/>
  <c r="B907" i="1" a="1"/>
  <c r="B907" i="1" s="1"/>
  <c r="A907" i="1" s="1"/>
  <c r="B964" i="1" a="1"/>
  <c r="B964" i="1" s="1"/>
  <c r="A964" i="1" s="1"/>
  <c r="B1020" i="1" a="1"/>
  <c r="B1020" i="1" s="1"/>
  <c r="A1020" i="1" s="1"/>
  <c r="B1081" i="1" a="1"/>
  <c r="B1081" i="1" s="1"/>
  <c r="A1081" i="1" s="1"/>
  <c r="B1127" i="1" a="1"/>
  <c r="B1127" i="1" s="1"/>
  <c r="A1127" i="1" s="1"/>
  <c r="B1144" i="1" a="1"/>
  <c r="B1144" i="1" s="1"/>
  <c r="A1144" i="1" s="1"/>
  <c r="B1152" i="1" a="1"/>
  <c r="B1152" i="1" s="1"/>
  <c r="A1152" i="1" s="1"/>
  <c r="B1160" i="1" a="1"/>
  <c r="B1160" i="1" s="1"/>
  <c r="A1160" i="1" s="1"/>
  <c r="B1168" i="1" a="1"/>
  <c r="B1168" i="1" s="1"/>
  <c r="A1168" i="1" s="1"/>
  <c r="B1176" i="1" a="1"/>
  <c r="B1176" i="1" s="1"/>
  <c r="A1176" i="1" s="1"/>
  <c r="B1183" i="1" a="1"/>
  <c r="B1183" i="1" s="1"/>
  <c r="A1183" i="1" s="1"/>
  <c r="B1190" i="1" a="1"/>
  <c r="B1190" i="1" s="1"/>
  <c r="A1190" i="1" s="1"/>
  <c r="B1197" i="1" a="1"/>
  <c r="B1197" i="1" s="1"/>
  <c r="A1197" i="1" s="1"/>
  <c r="B1203" i="1" a="1"/>
  <c r="B1203" i="1" s="1"/>
  <c r="A1203" i="1" s="1"/>
  <c r="B1211" i="1" a="1"/>
  <c r="B1211" i="1" s="1"/>
  <c r="A1211" i="1" s="1"/>
  <c r="B1218" i="1" a="1"/>
  <c r="B1218" i="1" s="1"/>
  <c r="A1218" i="1" s="1"/>
  <c r="B1225" i="1" a="1"/>
  <c r="B1225" i="1" s="1"/>
  <c r="A1225" i="1" s="1"/>
  <c r="B1231" i="1" a="1"/>
  <c r="B1231" i="1" s="1"/>
  <c r="A1231" i="1" s="1"/>
  <c r="B1238" i="1" a="1"/>
  <c r="B1238" i="1" s="1"/>
  <c r="A1238" i="1" s="1"/>
  <c r="B1252" i="1" a="1"/>
  <c r="B1252" i="1" s="1"/>
  <c r="A1252" i="1" s="1"/>
  <c r="B1259" i="1" a="1"/>
  <c r="B1259" i="1" s="1"/>
  <c r="A1259" i="1" s="1"/>
  <c r="B1266" i="1" a="1"/>
  <c r="B1266" i="1" s="1"/>
  <c r="A1266" i="1" s="1"/>
  <c r="B1273" i="1" a="1"/>
  <c r="B1273" i="1" s="1"/>
  <c r="A1273" i="1" s="1"/>
  <c r="B1280" i="1" a="1"/>
  <c r="B1280" i="1" s="1"/>
  <c r="A1280" i="1" s="1"/>
  <c r="B1287" i="1" a="1"/>
  <c r="B1287" i="1" s="1"/>
  <c r="A1287" i="1" s="1"/>
  <c r="B1300" i="1" a="1"/>
  <c r="B1300" i="1" s="1"/>
  <c r="A1300" i="1" s="1"/>
  <c r="B1309" i="1" a="1"/>
  <c r="B1309" i="1" s="1"/>
  <c r="A1309" i="1" s="1"/>
  <c r="B1314" i="1" a="1"/>
  <c r="B1314" i="1" s="1"/>
  <c r="A1314" i="1" s="1"/>
  <c r="B1323" i="1" a="1"/>
  <c r="B1323" i="1" s="1"/>
  <c r="A1323" i="1" s="1"/>
  <c r="B1332" i="1" a="1"/>
  <c r="B1332" i="1" s="1"/>
  <c r="A1332" i="1" s="1"/>
  <c r="B1341" i="1" a="1"/>
  <c r="B1341" i="1" s="1"/>
  <c r="A1341" i="1" s="1"/>
  <c r="B1346" i="1" a="1"/>
  <c r="B1346" i="1" s="1"/>
  <c r="A1346" i="1" s="1"/>
  <c r="B1355" i="1" a="1"/>
  <c r="B1355" i="1" s="1"/>
  <c r="A1355" i="1" s="1"/>
  <c r="B1364" i="1" a="1"/>
  <c r="B1364" i="1" s="1"/>
  <c r="A1364" i="1" s="1"/>
  <c r="B1373" i="1" a="1"/>
  <c r="B1373" i="1" s="1"/>
  <c r="A1373" i="1" s="1"/>
  <c r="B1378" i="1" a="1"/>
  <c r="B1378" i="1" s="1"/>
  <c r="A1378" i="1" s="1"/>
  <c r="B1387" i="1" a="1"/>
  <c r="B1387" i="1" s="1"/>
  <c r="A1387" i="1" s="1"/>
  <c r="B1396" i="1" a="1"/>
  <c r="B1396" i="1" s="1"/>
  <c r="A1396" i="1" s="1"/>
  <c r="B1405" i="1" a="1"/>
  <c r="B1405" i="1" s="1"/>
  <c r="A1405" i="1" s="1"/>
  <c r="B1410" i="1" a="1"/>
  <c r="B1410" i="1" s="1"/>
  <c r="A1410" i="1" s="1"/>
  <c r="B1419" i="1" a="1"/>
  <c r="B1419" i="1" s="1"/>
  <c r="A1419" i="1" s="1"/>
  <c r="B1424" i="1" a="1"/>
  <c r="B1424" i="1" s="1"/>
  <c r="A1424" i="1" s="1"/>
  <c r="B1429" i="1" a="1"/>
  <c r="B1429" i="1" s="1"/>
  <c r="A1429" i="1" s="1"/>
  <c r="B1435" i="1" a="1"/>
  <c r="B1435" i="1" s="1"/>
  <c r="A1435" i="1" s="1"/>
  <c r="B1440" i="1" a="1"/>
  <c r="B1440" i="1" s="1"/>
  <c r="A1440" i="1" s="1"/>
  <c r="B1445" i="1" a="1"/>
  <c r="B1445" i="1" s="1"/>
  <c r="A1445" i="1" s="1"/>
  <c r="B1451" i="1" a="1"/>
  <c r="B1451" i="1" s="1"/>
  <c r="A1451" i="1" s="1"/>
  <c r="B1456" i="1" a="1"/>
  <c r="B1456" i="1" s="1"/>
  <c r="A1456" i="1" s="1"/>
  <c r="B1461" i="1" a="1"/>
  <c r="B1461" i="1" s="1"/>
  <c r="A1461" i="1" s="1"/>
  <c r="B1467" i="1" a="1"/>
  <c r="B1467" i="1" s="1"/>
  <c r="A1467" i="1" s="1"/>
  <c r="B1472" i="1" a="1"/>
  <c r="B1472" i="1" s="1"/>
  <c r="A1472" i="1" s="1"/>
  <c r="B1477" i="1" a="1"/>
  <c r="B1477" i="1" s="1"/>
  <c r="A1477" i="1" s="1"/>
  <c r="B1483" i="1" a="1"/>
  <c r="B1483" i="1" s="1"/>
  <c r="A1483" i="1" s="1"/>
  <c r="B1495" i="1" a="1"/>
  <c r="B1495" i="1" s="1"/>
  <c r="A1495" i="1" s="1"/>
  <c r="B1500" i="1" a="1"/>
  <c r="B1500" i="1" s="1"/>
  <c r="A1500" i="1" s="1"/>
  <c r="B1506" i="1" a="1"/>
  <c r="B1506" i="1" s="1"/>
  <c r="A1506" i="1" s="1"/>
  <c r="B1512" i="1" a="1"/>
  <c r="B1512" i="1" s="1"/>
  <c r="A1512" i="1" s="1"/>
  <c r="B1517" i="1" a="1"/>
  <c r="B1517" i="1" s="1"/>
  <c r="A1517" i="1" s="1"/>
  <c r="B1524" i="1" a="1"/>
  <c r="B1524" i="1" s="1"/>
  <c r="A1524" i="1" s="1"/>
  <c r="B1530" i="1" a="1"/>
  <c r="B1530" i="1" s="1"/>
  <c r="A1530" i="1" s="1"/>
  <c r="B1536" i="1" a="1"/>
  <c r="B1536" i="1" s="1"/>
  <c r="A1536" i="1" s="1"/>
  <c r="B1542" i="1" a="1"/>
  <c r="B1542" i="1" s="1"/>
  <c r="A1542" i="1" s="1"/>
  <c r="B1548" i="1" a="1"/>
  <c r="B1548" i="1" s="1"/>
  <c r="A1548" i="1" s="1"/>
  <c r="B1554" i="1" a="1"/>
  <c r="B1554" i="1" s="1"/>
  <c r="A1554" i="1" s="1"/>
  <c r="B1566" i="1" a="1"/>
  <c r="B1566" i="1" s="1"/>
  <c r="A1566" i="1" s="1"/>
  <c r="B518" i="1" a="1"/>
  <c r="B518" i="1" s="1"/>
  <c r="B608" i="1" a="1"/>
  <c r="B608" i="1" s="1"/>
  <c r="B662" i="1" a="1"/>
  <c r="B662" i="1" s="1"/>
  <c r="B787" i="1" a="1"/>
  <c r="B787" i="1" s="1"/>
  <c r="B851" i="1" a="1"/>
  <c r="B851" i="1" s="1"/>
  <c r="B915" i="1" a="1"/>
  <c r="B915" i="1" s="1"/>
  <c r="A915" i="1" s="1"/>
  <c r="B971" i="1" a="1"/>
  <c r="B971" i="1" s="1"/>
  <c r="A971" i="1" s="1"/>
  <c r="B1028" i="1" a="1"/>
  <c r="B1028" i="1" s="1"/>
  <c r="A1028" i="1" s="1"/>
  <c r="B1088" i="1" a="1"/>
  <c r="B1088" i="1" s="1"/>
  <c r="A1088" i="1" s="1"/>
  <c r="B1131" i="1" a="1"/>
  <c r="B1131" i="1" s="1"/>
  <c r="A1131" i="1" s="1"/>
  <c r="B1145" i="1" a="1"/>
  <c r="B1145" i="1" s="1"/>
  <c r="A1145" i="1" s="1"/>
  <c r="B1153" i="1" a="1"/>
  <c r="B1153" i="1" s="1"/>
  <c r="A1153" i="1" s="1"/>
  <c r="B1161" i="1" a="1"/>
  <c r="B1161" i="1" s="1"/>
  <c r="A1161" i="1" s="1"/>
  <c r="B1169" i="1" a="1"/>
  <c r="B1169" i="1" s="1"/>
  <c r="A1169" i="1" s="1"/>
  <c r="B1177" i="1" a="1"/>
  <c r="B1177" i="1" s="1"/>
  <c r="A1177" i="1" s="1"/>
  <c r="B1184" i="1" a="1"/>
  <c r="B1184" i="1" s="1"/>
  <c r="A1184" i="1" s="1"/>
  <c r="B1191" i="1" a="1"/>
  <c r="B1191" i="1" s="1"/>
  <c r="A1191" i="1" s="1"/>
  <c r="B1204" i="1" a="1"/>
  <c r="B1204" i="1" s="1"/>
  <c r="A1204" i="1" s="1"/>
  <c r="B1212" i="1" a="1"/>
  <c r="B1212" i="1" s="1"/>
  <c r="A1212" i="1" s="1"/>
  <c r="B1226" i="1" a="1"/>
  <c r="B1226" i="1" s="1"/>
  <c r="A1226" i="1" s="1"/>
  <c r="B1232" i="1" a="1"/>
  <c r="B1232" i="1" s="1"/>
  <c r="A1232" i="1" s="1"/>
  <c r="B1239" i="1" a="1"/>
  <c r="B1239" i="1" s="1"/>
  <c r="A1239" i="1" s="1"/>
  <c r="B1246" i="1" a="1"/>
  <c r="B1246" i="1" s="1"/>
  <c r="A1246" i="1" s="1"/>
  <c r="B1253" i="1" a="1"/>
  <c r="B1253" i="1" s="1"/>
  <c r="A1253" i="1" s="1"/>
  <c r="B1260" i="1" a="1"/>
  <c r="B1260" i="1" s="1"/>
  <c r="A1260" i="1" s="1"/>
  <c r="B1274" i="1" a="1"/>
  <c r="B1274" i="1" s="1"/>
  <c r="A1274" i="1" s="1"/>
  <c r="B1281" i="1" a="1"/>
  <c r="B1281" i="1" s="1"/>
  <c r="A1281" i="1" s="1"/>
  <c r="B1288" i="1" a="1"/>
  <c r="B1288" i="1" s="1"/>
  <c r="A1288" i="1" s="1"/>
  <c r="B1294" i="1" a="1"/>
  <c r="B1294" i="1" s="1"/>
  <c r="A1294" i="1" s="1"/>
  <c r="B1305" i="1" a="1"/>
  <c r="B1305" i="1" s="1"/>
  <c r="A1305" i="1" s="1"/>
  <c r="B1310" i="1" a="1"/>
  <c r="B1310" i="1" s="1"/>
  <c r="A1310" i="1" s="1"/>
  <c r="B1319" i="1" a="1"/>
  <c r="B1319" i="1" s="1"/>
  <c r="A1319" i="1" s="1"/>
  <c r="B1328" i="1" a="1"/>
  <c r="B1328" i="1" s="1"/>
  <c r="A1328" i="1" s="1"/>
  <c r="B1337" i="1" a="1"/>
  <c r="B1337" i="1" s="1"/>
  <c r="A1337" i="1" s="1"/>
  <c r="B1342" i="1" a="1"/>
  <c r="B1342" i="1" s="1"/>
  <c r="A1342" i="1" s="1"/>
  <c r="B1351" i="1" a="1"/>
  <c r="B1351" i="1" s="1"/>
  <c r="A1351" i="1" s="1"/>
  <c r="B1360" i="1" a="1"/>
  <c r="B1360" i="1" s="1"/>
  <c r="A1360" i="1" s="1"/>
  <c r="B1369" i="1" a="1"/>
  <c r="B1369" i="1" s="1"/>
  <c r="A1369" i="1" s="1"/>
  <c r="B1374" i="1" a="1"/>
  <c r="B1374" i="1" s="1"/>
  <c r="A1374" i="1" s="1"/>
  <c r="B1383" i="1" a="1"/>
  <c r="B1383" i="1" s="1"/>
  <c r="A1383" i="1" s="1"/>
  <c r="B1392" i="1" a="1"/>
  <c r="B1392" i="1" s="1"/>
  <c r="A1392" i="1" s="1"/>
  <c r="B1401" i="1" a="1"/>
  <c r="B1401" i="1" s="1"/>
  <c r="A1401" i="1" s="1"/>
  <c r="B1406" i="1" a="1"/>
  <c r="B1406" i="1" s="1"/>
  <c r="A1406" i="1" s="1"/>
  <c r="B1415" i="1" a="1"/>
  <c r="B1415" i="1" s="1"/>
  <c r="A1415" i="1" s="1"/>
  <c r="B1430" i="1" a="1"/>
  <c r="B1430" i="1" s="1"/>
  <c r="A1430" i="1" s="1"/>
  <c r="B1446" i="1" a="1"/>
  <c r="B1446" i="1" s="1"/>
  <c r="A1446" i="1" s="1"/>
  <c r="B1462" i="1" a="1"/>
  <c r="B1462" i="1" s="1"/>
  <c r="A1462" i="1" s="1"/>
  <c r="B1478" i="1" a="1"/>
  <c r="B1478" i="1" s="1"/>
  <c r="A1478" i="1" s="1"/>
  <c r="B1489" i="1" a="1"/>
  <c r="B1489" i="1" s="1"/>
  <c r="A1489" i="1" s="1"/>
  <c r="B1507" i="1" a="1"/>
  <c r="B1507" i="1" s="1"/>
  <c r="A1507" i="1" s="1"/>
  <c r="B1518" i="1" a="1"/>
  <c r="B1518" i="1" s="1"/>
  <c r="A1518" i="1" s="1"/>
  <c r="B1531" i="1" a="1"/>
  <c r="B1531" i="1" s="1"/>
  <c r="A1531" i="1" s="1"/>
  <c r="B1543" i="1" a="1"/>
  <c r="B1543" i="1" s="1"/>
  <c r="A1543" i="1" s="1"/>
  <c r="B1555" i="1" a="1"/>
  <c r="B1555" i="1" s="1"/>
  <c r="A1555" i="1" s="1"/>
  <c r="B1561" i="1" a="1"/>
  <c r="B1561" i="1" s="1"/>
  <c r="A1561" i="1" s="1"/>
  <c r="B106" i="1" a="1"/>
  <c r="B106" i="1" s="1"/>
  <c r="B552" i="1" a="1"/>
  <c r="B552" i="1" s="1"/>
  <c r="B615" i="1" a="1"/>
  <c r="B615" i="1" s="1"/>
  <c r="B795" i="1" a="1"/>
  <c r="B795" i="1" s="1"/>
  <c r="B859" i="1" a="1"/>
  <c r="B859" i="1" s="1"/>
  <c r="B923" i="1" a="1"/>
  <c r="B923" i="1" s="1"/>
  <c r="A923" i="1" s="1"/>
  <c r="B978" i="1" a="1"/>
  <c r="B978" i="1" s="1"/>
  <c r="A978" i="1" s="1"/>
  <c r="B1035" i="1" a="1"/>
  <c r="B1035" i="1" s="1"/>
  <c r="A1035" i="1" s="1"/>
  <c r="B1096" i="1" a="1"/>
  <c r="B1096" i="1" s="1"/>
  <c r="A1096" i="1" s="1"/>
  <c r="B1132" i="1" a="1"/>
  <c r="B1132" i="1" s="1"/>
  <c r="A1132" i="1" s="1"/>
  <c r="B1146" i="1" a="1"/>
  <c r="B1146" i="1" s="1"/>
  <c r="A1146" i="1" s="1"/>
  <c r="B1154" i="1" a="1"/>
  <c r="B1154" i="1" s="1"/>
  <c r="A1154" i="1" s="1"/>
  <c r="B1162" i="1" a="1"/>
  <c r="B1162" i="1" s="1"/>
  <c r="A1162" i="1" s="1"/>
  <c r="B1170" i="1" a="1"/>
  <c r="B1170" i="1" s="1"/>
  <c r="A1170" i="1" s="1"/>
  <c r="B1178" i="1" a="1"/>
  <c r="B1178" i="1" s="1"/>
  <c r="A1178" i="1" s="1"/>
  <c r="B1185" i="1" a="1"/>
  <c r="B1185" i="1" s="1"/>
  <c r="A1185" i="1" s="1"/>
  <c r="B1192" i="1" a="1"/>
  <c r="B1192" i="1" s="1"/>
  <c r="A1192" i="1" s="1"/>
  <c r="B1198" i="1" a="1"/>
  <c r="B1198" i="1" s="1"/>
  <c r="A1198" i="1" s="1"/>
  <c r="B1205" i="1" a="1"/>
  <c r="B1205" i="1" s="1"/>
  <c r="A1205" i="1" s="1"/>
  <c r="B1213" i="1" a="1"/>
  <c r="B1213" i="1" s="1"/>
  <c r="A1213" i="1" s="1"/>
  <c r="B1219" i="1" a="1"/>
  <c r="B1219" i="1" s="1"/>
  <c r="A1219" i="1" s="1"/>
  <c r="B1233" i="1" a="1"/>
  <c r="B1233" i="1" s="1"/>
  <c r="A1233" i="1" s="1"/>
  <c r="B1240" i="1" a="1"/>
  <c r="B1240" i="1" s="1"/>
  <c r="A1240" i="1" s="1"/>
  <c r="B1247" i="1" a="1"/>
  <c r="B1247" i="1" s="1"/>
  <c r="A1247" i="1" s="1"/>
  <c r="B1254" i="1" a="1"/>
  <c r="B1254" i="1" s="1"/>
  <c r="A1254" i="1" s="1"/>
  <c r="B1261" i="1" a="1"/>
  <c r="B1261" i="1" s="1"/>
  <c r="A1261" i="1" s="1"/>
  <c r="B1267" i="1" a="1"/>
  <c r="B1267" i="1" s="1"/>
  <c r="A1267" i="1" s="1"/>
  <c r="B1275" i="1" a="1"/>
  <c r="B1275" i="1" s="1"/>
  <c r="A1275" i="1" s="1"/>
  <c r="B1282" i="1" a="1"/>
  <c r="B1282" i="1" s="1"/>
  <c r="A1282" i="1" s="1"/>
  <c r="B1289" i="1" a="1"/>
  <c r="B1289" i="1" s="1"/>
  <c r="A1289" i="1" s="1"/>
  <c r="B1295" i="1" a="1"/>
  <c r="B1295" i="1" s="1"/>
  <c r="A1295" i="1" s="1"/>
  <c r="B1301" i="1" a="1"/>
  <c r="B1301" i="1" s="1"/>
  <c r="A1301" i="1" s="1"/>
  <c r="B1306" i="1" a="1"/>
  <c r="B1306" i="1" s="1"/>
  <c r="A1306" i="1" s="1"/>
  <c r="B1315" i="1" a="1"/>
  <c r="B1315" i="1" s="1"/>
  <c r="A1315" i="1" s="1"/>
  <c r="B1324" i="1" a="1"/>
  <c r="B1324" i="1" s="1"/>
  <c r="A1324" i="1" s="1"/>
  <c r="B1333" i="1" a="1"/>
  <c r="B1333" i="1" s="1"/>
  <c r="A1333" i="1" s="1"/>
  <c r="B1338" i="1" a="1"/>
  <c r="B1338" i="1" s="1"/>
  <c r="A1338" i="1" s="1"/>
  <c r="B1347" i="1" a="1"/>
  <c r="B1347" i="1" s="1"/>
  <c r="A1347" i="1" s="1"/>
  <c r="B1356" i="1" a="1"/>
  <c r="B1356" i="1" s="1"/>
  <c r="A1356" i="1" s="1"/>
  <c r="B1365" i="1" a="1"/>
  <c r="B1365" i="1" s="1"/>
  <c r="A1365" i="1" s="1"/>
  <c r="B1370" i="1" a="1"/>
  <c r="B1370" i="1" s="1"/>
  <c r="A1370" i="1" s="1"/>
  <c r="B1379" i="1" a="1"/>
  <c r="B1379" i="1" s="1"/>
  <c r="A1379" i="1" s="1"/>
  <c r="B1388" i="1" a="1"/>
  <c r="B1388" i="1" s="1"/>
  <c r="A1388" i="1" s="1"/>
  <c r="B1397" i="1" a="1"/>
  <c r="B1397" i="1" s="1"/>
  <c r="A1397" i="1" s="1"/>
  <c r="B1402" i="1" a="1"/>
  <c r="B1402" i="1" s="1"/>
  <c r="A1402" i="1" s="1"/>
  <c r="B1411" i="1" a="1"/>
  <c r="B1411" i="1" s="1"/>
  <c r="A1411" i="1" s="1"/>
  <c r="B1420" i="1" a="1"/>
  <c r="B1420" i="1" s="1"/>
  <c r="A1420" i="1" s="1"/>
  <c r="B1425" i="1" a="1"/>
  <c r="B1425" i="1" s="1"/>
  <c r="A1425" i="1" s="1"/>
  <c r="B1431" i="1" a="1"/>
  <c r="B1431" i="1" s="1"/>
  <c r="A1431" i="1" s="1"/>
  <c r="B1436" i="1" a="1"/>
  <c r="B1436" i="1" s="1"/>
  <c r="A1436" i="1" s="1"/>
  <c r="B1441" i="1" a="1"/>
  <c r="B1441" i="1" s="1"/>
  <c r="A1441" i="1" s="1"/>
  <c r="B1447" i="1" a="1"/>
  <c r="B1447" i="1" s="1"/>
  <c r="A1447" i="1" s="1"/>
  <c r="B1452" i="1" a="1"/>
  <c r="B1452" i="1" s="1"/>
  <c r="A1452" i="1" s="1"/>
  <c r="B1457" i="1" a="1"/>
  <c r="B1457" i="1" s="1"/>
  <c r="A1457" i="1" s="1"/>
  <c r="B1463" i="1" a="1"/>
  <c r="B1463" i="1" s="1"/>
  <c r="A1463" i="1" s="1"/>
  <c r="B1468" i="1" a="1"/>
  <c r="B1468" i="1" s="1"/>
  <c r="A1468" i="1" s="1"/>
  <c r="B1473" i="1" a="1"/>
  <c r="B1473" i="1" s="1"/>
  <c r="A1473" i="1" s="1"/>
  <c r="B1479" i="1" a="1"/>
  <c r="B1479" i="1" s="1"/>
  <c r="A1479" i="1" s="1"/>
  <c r="B1484" i="1" a="1"/>
  <c r="B1484" i="1" s="1"/>
  <c r="A1484" i="1" s="1"/>
  <c r="B1490" i="1" a="1"/>
  <c r="B1490" i="1" s="1"/>
  <c r="A1490" i="1" s="1"/>
  <c r="B1496" i="1" a="1"/>
  <c r="B1496" i="1" s="1"/>
  <c r="A1496" i="1" s="1"/>
  <c r="B1501" i="1" a="1"/>
  <c r="B1501" i="1" s="1"/>
  <c r="A1501" i="1" s="1"/>
  <c r="B1508" i="1" a="1"/>
  <c r="B1508" i="1" s="1"/>
  <c r="A1508" i="1" s="1"/>
  <c r="B1513" i="1" a="1"/>
  <c r="B1513" i="1" s="1"/>
  <c r="A1513" i="1" s="1"/>
  <c r="B1519" i="1" a="1"/>
  <c r="B1519" i="1" s="1"/>
  <c r="A1519" i="1" s="1"/>
  <c r="B1525" i="1" a="1"/>
  <c r="B1525" i="1" s="1"/>
  <c r="A1525" i="1" s="1"/>
  <c r="B1537" i="1" a="1"/>
  <c r="B1537" i="1" s="1"/>
  <c r="A1537" i="1" s="1"/>
  <c r="B167" i="1" a="1"/>
  <c r="B167" i="1" s="1"/>
  <c r="B563" i="1" a="1"/>
  <c r="B563" i="1" s="1"/>
  <c r="B622" i="1" a="1"/>
  <c r="B622" i="1" s="1"/>
  <c r="B675" i="1" a="1"/>
  <c r="B675" i="1" s="1"/>
  <c r="A675" i="1" s="1"/>
  <c r="B803" i="1" a="1"/>
  <c r="B803" i="1" s="1"/>
  <c r="B867" i="1" a="1"/>
  <c r="B867" i="1" s="1"/>
  <c r="A867" i="1" s="1"/>
  <c r="B931" i="1" a="1"/>
  <c r="B931" i="1" s="1"/>
  <c r="A931" i="1" s="1"/>
  <c r="B984" i="1" a="1"/>
  <c r="B984" i="1" s="1"/>
  <c r="A984" i="1" s="1"/>
  <c r="B1043" i="1" a="1"/>
  <c r="B1043" i="1" s="1"/>
  <c r="A1043" i="1" s="1"/>
  <c r="B1104" i="1" a="1"/>
  <c r="B1104" i="1" s="1"/>
  <c r="A1104" i="1" s="1"/>
  <c r="B1135" i="1" a="1"/>
  <c r="B1135" i="1" s="1"/>
  <c r="A1135" i="1" s="1"/>
  <c r="B1155" i="1" a="1"/>
  <c r="B1155" i="1" s="1"/>
  <c r="A1155" i="1" s="1"/>
  <c r="B1163" i="1" a="1"/>
  <c r="B1163" i="1" s="1"/>
  <c r="A1163" i="1" s="1"/>
  <c r="B1171" i="1" a="1"/>
  <c r="B1171" i="1" s="1"/>
  <c r="A1171" i="1" s="1"/>
  <c r="B1179" i="1" a="1"/>
  <c r="B1179" i="1" s="1"/>
  <c r="A1179" i="1" s="1"/>
  <c r="B1186" i="1" a="1"/>
  <c r="B1186" i="1" s="1"/>
  <c r="A1186" i="1" s="1"/>
  <c r="B1193" i="1" a="1"/>
  <c r="B1193" i="1" s="1"/>
  <c r="A1193" i="1" s="1"/>
  <c r="B1199" i="1" a="1"/>
  <c r="B1199" i="1" s="1"/>
  <c r="A1199" i="1" s="1"/>
  <c r="B1206" i="1" a="1"/>
  <c r="B1206" i="1" s="1"/>
  <c r="A1206" i="1" s="1"/>
  <c r="B1220" i="1" a="1"/>
  <c r="B1220" i="1" s="1"/>
  <c r="A1220" i="1" s="1"/>
  <c r="B1227" i="1" a="1"/>
  <c r="B1227" i="1" s="1"/>
  <c r="A1227" i="1" s="1"/>
  <c r="B1234" i="1" a="1"/>
  <c r="B1234" i="1" s="1"/>
  <c r="A1234" i="1" s="1"/>
  <c r="B1241" i="1" a="1"/>
  <c r="B1241" i="1" s="1"/>
  <c r="A1241" i="1" s="1"/>
  <c r="B1248" i="1" a="1"/>
  <c r="B1248" i="1" s="1"/>
  <c r="A1248" i="1" s="1"/>
  <c r="B1255" i="1" a="1"/>
  <c r="B1255" i="1" s="1"/>
  <c r="A1255" i="1" s="1"/>
  <c r="B1268" i="1" a="1"/>
  <c r="B1268" i="1" s="1"/>
  <c r="A1268" i="1" s="1"/>
  <c r="B1276" i="1" a="1"/>
  <c r="B1276" i="1" s="1"/>
  <c r="A1276" i="1" s="1"/>
  <c r="B1290" i="1" a="1"/>
  <c r="B1290" i="1" s="1"/>
  <c r="A1290" i="1" s="1"/>
  <c r="B1296" i="1" a="1"/>
  <c r="B1296" i="1" s="1"/>
  <c r="A1296" i="1" s="1"/>
  <c r="B1302" i="1" a="1"/>
  <c r="B1302" i="1" s="1"/>
  <c r="A1302" i="1" s="1"/>
  <c r="B1311" i="1" a="1"/>
  <c r="B1311" i="1" s="1"/>
  <c r="A1311" i="1" s="1"/>
  <c r="B1320" i="1" a="1"/>
  <c r="B1320" i="1" s="1"/>
  <c r="A1320" i="1" s="1"/>
  <c r="B1329" i="1" a="1"/>
  <c r="B1329" i="1" s="1"/>
  <c r="A1329" i="1" s="1"/>
  <c r="B1334" i="1" a="1"/>
  <c r="B1334" i="1" s="1"/>
  <c r="A1334" i="1" s="1"/>
  <c r="B1343" i="1" a="1"/>
  <c r="B1343" i="1" s="1"/>
  <c r="A1343" i="1" s="1"/>
  <c r="B1352" i="1" a="1"/>
  <c r="B1352" i="1" s="1"/>
  <c r="A1352" i="1" s="1"/>
  <c r="B1361" i="1" a="1"/>
  <c r="B1361" i="1" s="1"/>
  <c r="A1361" i="1" s="1"/>
  <c r="B1366" i="1" a="1"/>
  <c r="B1366" i="1" s="1"/>
  <c r="A1366" i="1" s="1"/>
  <c r="B1375" i="1" a="1"/>
  <c r="B1375" i="1" s="1"/>
  <c r="A1375" i="1" s="1"/>
  <c r="B1384" i="1" a="1"/>
  <c r="B1384" i="1" s="1"/>
  <c r="A1384" i="1" s="1"/>
  <c r="B1393" i="1" a="1"/>
  <c r="B1393" i="1" s="1"/>
  <c r="A1393" i="1" s="1"/>
  <c r="B1398" i="1" a="1"/>
  <c r="B1398" i="1" s="1"/>
  <c r="A1398" i="1" s="1"/>
  <c r="B1407" i="1" a="1"/>
  <c r="B1407" i="1" s="1"/>
  <c r="A1407" i="1" s="1"/>
  <c r="B1416" i="1" a="1"/>
  <c r="B1416" i="1" s="1"/>
  <c r="A1416" i="1" s="1"/>
  <c r="B1426" i="1" a="1"/>
  <c r="B1426" i="1" s="1"/>
  <c r="A1426" i="1" s="1"/>
  <c r="B1442" i="1" a="1"/>
  <c r="B1442" i="1" s="1"/>
  <c r="A1442" i="1" s="1"/>
  <c r="B1458" i="1" a="1"/>
  <c r="B1458" i="1" s="1"/>
  <c r="A1458" i="1" s="1"/>
  <c r="B1474" i="1" a="1"/>
  <c r="B1474" i="1" s="1"/>
  <c r="A1474" i="1" s="1"/>
  <c r="B1491" i="1" a="1"/>
  <c r="B1491" i="1" s="1"/>
  <c r="A1491" i="1" s="1"/>
  <c r="B1502" i="1" a="1"/>
  <c r="B1502" i="1" s="1"/>
  <c r="A1502" i="1" s="1"/>
  <c r="B1514" i="1" a="1"/>
  <c r="B1514" i="1" s="1"/>
  <c r="A1514" i="1" s="1"/>
  <c r="B1520" i="1" a="1"/>
  <c r="B1520" i="1" s="1"/>
  <c r="A1520" i="1" s="1"/>
  <c r="B1526" i="1" a="1"/>
  <c r="B1526" i="1" s="1"/>
  <c r="A1526" i="1" s="1"/>
  <c r="B1532" i="1" a="1"/>
  <c r="B1532" i="1" s="1"/>
  <c r="A1532" i="1" s="1"/>
  <c r="B1538" i="1" a="1"/>
  <c r="B1538" i="1" s="1"/>
  <c r="A1538" i="1" s="1"/>
  <c r="B1550" i="1" a="1"/>
  <c r="B1550" i="1" s="1"/>
  <c r="A1550" i="1" s="1"/>
  <c r="B1563" i="1" a="1"/>
  <c r="B1563" i="1" s="1"/>
  <c r="A1563" i="1" s="1"/>
  <c r="B571" i="1" a="1"/>
  <c r="B571" i="1" s="1"/>
  <c r="B629" i="1" a="1"/>
  <c r="B629" i="1" s="1"/>
  <c r="A629" i="1" s="1"/>
  <c r="B683" i="1" a="1"/>
  <c r="B683" i="1" s="1"/>
  <c r="A683" i="1" s="1"/>
  <c r="B747" i="1" a="1"/>
  <c r="B747" i="1" s="1"/>
  <c r="B811" i="1" a="1"/>
  <c r="B811" i="1" s="1"/>
  <c r="A811" i="1" s="1"/>
  <c r="B875" i="1" a="1"/>
  <c r="B875" i="1" s="1"/>
  <c r="A875" i="1" s="1"/>
  <c r="B939" i="1" a="1"/>
  <c r="B939" i="1" s="1"/>
  <c r="A939" i="1" s="1"/>
  <c r="B991" i="1" a="1"/>
  <c r="B991" i="1" s="1"/>
  <c r="A991" i="1" s="1"/>
  <c r="B1112" i="1" a="1"/>
  <c r="B1112" i="1" s="1"/>
  <c r="A1112" i="1" s="1"/>
  <c r="B1138" i="1" a="1"/>
  <c r="B1138" i="1" s="1"/>
  <c r="A1138" i="1" s="1"/>
  <c r="B1147" i="1" a="1"/>
  <c r="B1147" i="1" s="1"/>
  <c r="A1147" i="1" s="1"/>
  <c r="B1156" i="1" a="1"/>
  <c r="B1156" i="1" s="1"/>
  <c r="A1156" i="1" s="1"/>
  <c r="B1164" i="1" a="1"/>
  <c r="B1164" i="1" s="1"/>
  <c r="A1164" i="1" s="1"/>
  <c r="B1172" i="1" a="1"/>
  <c r="B1172" i="1" s="1"/>
  <c r="A1172" i="1" s="1"/>
  <c r="B1180" i="1" a="1"/>
  <c r="B1180" i="1" s="1"/>
  <c r="A1180" i="1" s="1"/>
  <c r="B1194" i="1" a="1"/>
  <c r="B1194" i="1" s="1"/>
  <c r="A1194" i="1" s="1"/>
  <c r="B1200" i="1" a="1"/>
  <c r="B1200" i="1" s="1"/>
  <c r="A1200" i="1" s="1"/>
  <c r="B1207" i="1" a="1"/>
  <c r="B1207" i="1" s="1"/>
  <c r="A1207" i="1" s="1"/>
  <c r="B1214" i="1" a="1"/>
  <c r="B1214" i="1" s="1"/>
  <c r="A1214" i="1" s="1"/>
  <c r="B1221" i="1" a="1"/>
  <c r="B1221" i="1" s="1"/>
  <c r="A1221" i="1" s="1"/>
  <c r="B1228" i="1" a="1"/>
  <c r="B1228" i="1" s="1"/>
  <c r="A1228" i="1" s="1"/>
  <c r="B1242" i="1" a="1"/>
  <c r="B1242" i="1" s="1"/>
  <c r="A1242" i="1" s="1"/>
  <c r="B1249" i="1" a="1"/>
  <c r="B1249" i="1" s="1"/>
  <c r="A1249" i="1" s="1"/>
  <c r="B1256" i="1" a="1"/>
  <c r="B1256" i="1" s="1"/>
  <c r="A1256" i="1" s="1"/>
  <c r="B1262" i="1" a="1"/>
  <c r="B1262" i="1" s="1"/>
  <c r="A1262" i="1" s="1"/>
  <c r="B1269" i="1" a="1"/>
  <c r="B1269" i="1" s="1"/>
  <c r="A1269" i="1" s="1"/>
  <c r="B1277" i="1" a="1"/>
  <c r="B1277" i="1" s="1"/>
  <c r="A1277" i="1" s="1"/>
  <c r="B1283" i="1" a="1"/>
  <c r="B1283" i="1" s="1"/>
  <c r="A1283" i="1" s="1"/>
  <c r="B1297" i="1" a="1"/>
  <c r="B1297" i="1" s="1"/>
  <c r="A1297" i="1" s="1"/>
  <c r="B1307" i="1" a="1"/>
  <c r="B1307" i="1" s="1"/>
  <c r="A1307" i="1" s="1"/>
  <c r="B1316" i="1" a="1"/>
  <c r="B1316" i="1" s="1"/>
  <c r="A1316" i="1" s="1"/>
  <c r="B1325" i="1" a="1"/>
  <c r="B1325" i="1" s="1"/>
  <c r="A1325" i="1" s="1"/>
  <c r="B1330" i="1" a="1"/>
  <c r="B1330" i="1" s="1"/>
  <c r="A1330" i="1" s="1"/>
  <c r="B1339" i="1" a="1"/>
  <c r="B1339" i="1" s="1"/>
  <c r="A1339" i="1" s="1"/>
  <c r="B1348" i="1" a="1"/>
  <c r="B1348" i="1" s="1"/>
  <c r="A1348" i="1" s="1"/>
  <c r="B1357" i="1" a="1"/>
  <c r="B1357" i="1" s="1"/>
  <c r="A1357" i="1" s="1"/>
  <c r="B1362" i="1" a="1"/>
  <c r="B1362" i="1" s="1"/>
  <c r="A1362" i="1" s="1"/>
  <c r="B1371" i="1" a="1"/>
  <c r="B1371" i="1" s="1"/>
  <c r="A1371" i="1" s="1"/>
  <c r="B1380" i="1" a="1"/>
  <c r="B1380" i="1" s="1"/>
  <c r="A1380" i="1" s="1"/>
  <c r="B1389" i="1" a="1"/>
  <c r="B1389" i="1" s="1"/>
  <c r="A1389" i="1" s="1"/>
  <c r="B1394" i="1" a="1"/>
  <c r="B1394" i="1" s="1"/>
  <c r="A1394" i="1" s="1"/>
  <c r="B1403" i="1" a="1"/>
  <c r="B1403" i="1" s="1"/>
  <c r="A1403" i="1" s="1"/>
  <c r="B1412" i="1" a="1"/>
  <c r="B1412" i="1" s="1"/>
  <c r="A1412" i="1" s="1"/>
  <c r="B1421" i="1" a="1"/>
  <c r="B1421" i="1" s="1"/>
  <c r="A1421" i="1" s="1"/>
  <c r="B1427" i="1" a="1"/>
  <c r="B1427" i="1" s="1"/>
  <c r="A1427" i="1" s="1"/>
  <c r="B1432" i="1" a="1"/>
  <c r="B1432" i="1" s="1"/>
  <c r="A1432" i="1" s="1"/>
  <c r="B1437" i="1" a="1"/>
  <c r="B1437" i="1" s="1"/>
  <c r="A1437" i="1" s="1"/>
  <c r="B1443" i="1" a="1"/>
  <c r="B1443" i="1" s="1"/>
  <c r="A1443" i="1" s="1"/>
  <c r="B1448" i="1" a="1"/>
  <c r="B1448" i="1" s="1"/>
  <c r="A1448" i="1" s="1"/>
  <c r="B1453" i="1" a="1"/>
  <c r="B1453" i="1" s="1"/>
  <c r="A1453" i="1" s="1"/>
  <c r="B1459" i="1" a="1"/>
  <c r="B1459" i="1" s="1"/>
  <c r="A1459" i="1" s="1"/>
  <c r="B1464" i="1" a="1"/>
  <c r="B1464" i="1" s="1"/>
  <c r="A1464" i="1" s="1"/>
  <c r="B1469" i="1" a="1"/>
  <c r="B1469" i="1" s="1"/>
  <c r="A1469" i="1" s="1"/>
  <c r="B1475" i="1" a="1"/>
  <c r="B1475" i="1" s="1"/>
  <c r="A1475" i="1" s="1"/>
  <c r="B1480" i="1" a="1"/>
  <c r="B1480" i="1" s="1"/>
  <c r="A1480" i="1" s="1"/>
  <c r="B1485" i="1" a="1"/>
  <c r="B1485" i="1" s="1"/>
  <c r="A1485" i="1" s="1"/>
  <c r="B1492" i="1" a="1"/>
  <c r="B1492" i="1" s="1"/>
  <c r="A1492" i="1" s="1"/>
  <c r="B1497" i="1" a="1"/>
  <c r="B1497" i="1" s="1"/>
  <c r="A1497" i="1" s="1"/>
  <c r="B1503" i="1" a="1"/>
  <c r="B1503" i="1" s="1"/>
  <c r="A1503" i="1" s="1"/>
  <c r="B1509" i="1" a="1"/>
  <c r="B1509" i="1" s="1"/>
  <c r="A1509" i="1" s="1"/>
  <c r="B1515" i="1" a="1"/>
  <c r="B1515" i="1" s="1"/>
  <c r="A1515" i="1" s="1"/>
  <c r="B1527" i="1" a="1"/>
  <c r="B1527" i="1" s="1"/>
  <c r="A1527" i="1" s="1"/>
  <c r="B1539" i="1" a="1"/>
  <c r="B1539" i="1" s="1"/>
  <c r="A1539" i="1" s="1"/>
  <c r="B1545" i="1" a="1"/>
  <c r="B1545" i="1" s="1"/>
  <c r="A1545" i="1" s="1"/>
  <c r="B1551" i="1" a="1"/>
  <c r="B1551" i="1" s="1"/>
  <c r="A1551" i="1" s="1"/>
  <c r="B286" i="1" a="1"/>
  <c r="B286" i="1" s="1"/>
  <c r="B579" i="1" a="1"/>
  <c r="B579" i="1" s="1"/>
  <c r="B637" i="1" a="1"/>
  <c r="B637" i="1" s="1"/>
  <c r="B755" i="1" a="1"/>
  <c r="B755" i="1" s="1"/>
  <c r="A755" i="1" s="1"/>
  <c r="B819" i="1" a="1"/>
  <c r="B819" i="1" s="1"/>
  <c r="B883" i="1" a="1"/>
  <c r="B883" i="1" s="1"/>
  <c r="A883" i="1" s="1"/>
  <c r="B946" i="1" a="1"/>
  <c r="B946" i="1" s="1"/>
  <c r="A946" i="1" s="1"/>
  <c r="B1058" i="1" a="1"/>
  <c r="B1058" i="1" s="1"/>
  <c r="A1058" i="1" s="1"/>
  <c r="B1117" i="1" a="1"/>
  <c r="B1117" i="1" s="1"/>
  <c r="A1117" i="1" s="1"/>
  <c r="B1139" i="1" a="1"/>
  <c r="B1139" i="1" s="1"/>
  <c r="A1139" i="1" s="1"/>
  <c r="B1149" i="1" a="1"/>
  <c r="B1149" i="1" s="1"/>
  <c r="A1149" i="1" s="1"/>
  <c r="B1157" i="1" a="1"/>
  <c r="B1157" i="1" s="1"/>
  <c r="A1157" i="1" s="1"/>
  <c r="B1165" i="1" a="1"/>
  <c r="B1165" i="1" s="1"/>
  <c r="A1165" i="1" s="1"/>
  <c r="B1173" i="1" a="1"/>
  <c r="B1173" i="1" s="1"/>
  <c r="A1173" i="1" s="1"/>
  <c r="B1181" i="1" a="1"/>
  <c r="B1181" i="1" s="1"/>
  <c r="A1181" i="1" s="1"/>
  <c r="B1187" i="1" a="1"/>
  <c r="B1187" i="1" s="1"/>
  <c r="A1187" i="1" s="1"/>
  <c r="B1201" i="1" a="1"/>
  <c r="B1201" i="1" s="1"/>
  <c r="A1201" i="1" s="1"/>
  <c r="B1208" i="1" a="1"/>
  <c r="B1208" i="1" s="1"/>
  <c r="A1208" i="1" s="1"/>
  <c r="B1215" i="1" a="1"/>
  <c r="B1215" i="1" s="1"/>
  <c r="A1215" i="1" s="1"/>
  <c r="B1222" i="1" a="1"/>
  <c r="B1222" i="1" s="1"/>
  <c r="A1222" i="1" s="1"/>
  <c r="B1229" i="1" a="1"/>
  <c r="B1229" i="1" s="1"/>
  <c r="A1229" i="1" s="1"/>
  <c r="B1235" i="1" a="1"/>
  <c r="B1235" i="1" s="1"/>
  <c r="A1235" i="1" s="1"/>
  <c r="B1243" i="1" a="1"/>
  <c r="B1243" i="1" s="1"/>
  <c r="A1243" i="1" s="1"/>
  <c r="B1250" i="1" a="1"/>
  <c r="B1250" i="1" s="1"/>
  <c r="A1250" i="1" s="1"/>
  <c r="B1257" i="1" a="1"/>
  <c r="B1257" i="1" s="1"/>
  <c r="A1257" i="1" s="1"/>
  <c r="B1263" i="1" a="1"/>
  <c r="B1263" i="1" s="1"/>
  <c r="A1263" i="1" s="1"/>
  <c r="B1270" i="1" a="1"/>
  <c r="B1270" i="1" s="1"/>
  <c r="A1270" i="1" s="1"/>
  <c r="B1284" i="1" a="1"/>
  <c r="B1284" i="1" s="1"/>
  <c r="A1284" i="1" s="1"/>
  <c r="B1291" i="1" a="1"/>
  <c r="B1291" i="1" s="1"/>
  <c r="A1291" i="1" s="1"/>
  <c r="B1298" i="1" a="1"/>
  <c r="B1298" i="1" s="1"/>
  <c r="A1298" i="1" s="1"/>
  <c r="B1303" i="1" a="1"/>
  <c r="B1303" i="1" s="1"/>
  <c r="A1303" i="1" s="1"/>
  <c r="B1312" i="1" a="1"/>
  <c r="B1312" i="1" s="1"/>
  <c r="A1312" i="1" s="1"/>
  <c r="B1321" i="1" a="1"/>
  <c r="B1321" i="1" s="1"/>
  <c r="A1321" i="1" s="1"/>
  <c r="B1326" i="1" a="1"/>
  <c r="B1326" i="1" s="1"/>
  <c r="A1326" i="1" s="1"/>
  <c r="B1335" i="1" a="1"/>
  <c r="B1335" i="1" s="1"/>
  <c r="A1335" i="1" s="1"/>
  <c r="B1344" i="1" a="1"/>
  <c r="B1344" i="1" s="1"/>
  <c r="A1344" i="1" s="1"/>
  <c r="B1353" i="1" a="1"/>
  <c r="B1353" i="1" s="1"/>
  <c r="A1353" i="1" s="1"/>
  <c r="B1358" i="1" a="1"/>
  <c r="B1358" i="1" s="1"/>
  <c r="A1358" i="1" s="1"/>
  <c r="B1367" i="1" a="1"/>
  <c r="B1367" i="1" s="1"/>
  <c r="A1367" i="1" s="1"/>
  <c r="B1376" i="1" a="1"/>
  <c r="B1376" i="1" s="1"/>
  <c r="A1376" i="1" s="1"/>
  <c r="B1385" i="1" a="1"/>
  <c r="B1385" i="1" s="1"/>
  <c r="A1385" i="1" s="1"/>
  <c r="B1390" i="1" a="1"/>
  <c r="B1390" i="1" s="1"/>
  <c r="A1390" i="1" s="1"/>
  <c r="B1399" i="1" a="1"/>
  <c r="B1399" i="1" s="1"/>
  <c r="A1399" i="1" s="1"/>
  <c r="B1408" i="1" a="1"/>
  <c r="B1408" i="1" s="1"/>
  <c r="A1408" i="1" s="1"/>
  <c r="B1417" i="1" a="1"/>
  <c r="B1417" i="1" s="1"/>
  <c r="A1417" i="1" s="1"/>
  <c r="B1422" i="1" a="1"/>
  <c r="B1422" i="1" s="1"/>
  <c r="A1422" i="1" s="1"/>
  <c r="B1438" i="1" a="1"/>
  <c r="B1438" i="1" s="1"/>
  <c r="A1438" i="1" s="1"/>
  <c r="B1454" i="1" a="1"/>
  <c r="B1454" i="1" s="1"/>
  <c r="A1454" i="1" s="1"/>
  <c r="B1470" i="1" a="1"/>
  <c r="B1470" i="1" s="1"/>
  <c r="A1470" i="1" s="1"/>
  <c r="B1486" i="1" a="1"/>
  <c r="B1486" i="1" s="1"/>
  <c r="A1486" i="1" s="1"/>
  <c r="B1498" i="1" a="1"/>
  <c r="B1498" i="1" s="1"/>
  <c r="A1498" i="1" s="1"/>
  <c r="B1504" i="1" a="1"/>
  <c r="B1504" i="1" s="1"/>
  <c r="A1504" i="1" s="1"/>
  <c r="B1510" i="1" a="1"/>
  <c r="B1510" i="1" s="1"/>
  <c r="A1510" i="1" s="1"/>
  <c r="B1521" i="1" a="1"/>
  <c r="B1521" i="1" s="1"/>
  <c r="A1521" i="1" s="1"/>
  <c r="B1528" i="1" a="1"/>
  <c r="B1528" i="1" s="1"/>
  <c r="A1528" i="1" s="1"/>
  <c r="B1533" i="1" a="1"/>
  <c r="B1533" i="1" s="1"/>
  <c r="A1533" i="1" s="1"/>
  <c r="B1540" i="1" a="1"/>
  <c r="B1540" i="1" s="1"/>
  <c r="A1540" i="1" s="1"/>
  <c r="B1546" i="1" a="1"/>
  <c r="B1546" i="1" s="1"/>
  <c r="A1546" i="1" s="1"/>
  <c r="B1552" i="1" a="1"/>
  <c r="B1552" i="1" s="1"/>
  <c r="A1552" i="1" s="1"/>
  <c r="B1558" i="1" a="1"/>
  <c r="B1558" i="1" s="1"/>
  <c r="A1558" i="1" s="1"/>
  <c r="B398" i="1" a="1"/>
  <c r="B398" i="1" s="1"/>
  <c r="B593" i="1" a="1"/>
  <c r="B593" i="1" s="1"/>
  <c r="A593" i="1" s="1"/>
  <c r="B771" i="1" a="1"/>
  <c r="B771" i="1" s="1"/>
  <c r="A771" i="1" s="1"/>
  <c r="B835" i="1" a="1"/>
  <c r="B835" i="1" s="1"/>
  <c r="A835" i="1" s="1"/>
  <c r="B899" i="1" a="1"/>
  <c r="B899" i="1" s="1"/>
  <c r="A899" i="1" s="1"/>
  <c r="B958" i="1" a="1"/>
  <c r="B958" i="1" s="1"/>
  <c r="A958" i="1" s="1"/>
  <c r="B1013" i="1" a="1"/>
  <c r="B1013" i="1" s="1"/>
  <c r="A1013" i="1" s="1"/>
  <c r="B1073" i="1" a="1"/>
  <c r="B1073" i="1" s="1"/>
  <c r="A1073" i="1" s="1"/>
  <c r="B1125" i="1" a="1"/>
  <c r="B1125" i="1" s="1"/>
  <c r="A1125" i="1" s="1"/>
  <c r="B1143" i="1" a="1"/>
  <c r="B1143" i="1" s="1"/>
  <c r="A1143" i="1" s="1"/>
  <c r="B1151" i="1" a="1"/>
  <c r="B1151" i="1" s="1"/>
  <c r="A1151" i="1" s="1"/>
  <c r="B1159" i="1" a="1"/>
  <c r="B1159" i="1" s="1"/>
  <c r="A1159" i="1" s="1"/>
  <c r="B1167" i="1" a="1"/>
  <c r="B1167" i="1" s="1"/>
  <c r="A1167" i="1" s="1"/>
  <c r="B1175" i="1" a="1"/>
  <c r="B1175" i="1" s="1"/>
  <c r="A1175" i="1" s="1"/>
  <c r="B1182" i="1" a="1"/>
  <c r="B1182" i="1" s="1"/>
  <c r="A1182" i="1" s="1"/>
  <c r="B1189" i="1" a="1"/>
  <c r="B1189" i="1" s="1"/>
  <c r="A1189" i="1" s="1"/>
  <c r="B1196" i="1" a="1"/>
  <c r="B1196" i="1" s="1"/>
  <c r="A1196" i="1" s="1"/>
  <c r="B1210" i="1" a="1"/>
  <c r="B1210" i="1" s="1"/>
  <c r="A1210" i="1" s="1"/>
  <c r="B1217" i="1" a="1"/>
  <c r="B1217" i="1" s="1"/>
  <c r="A1217" i="1" s="1"/>
  <c r="B1224" i="1" a="1"/>
  <c r="B1224" i="1" s="1"/>
  <c r="A1224" i="1" s="1"/>
  <c r="B1230" i="1" a="1"/>
  <c r="B1230" i="1" s="1"/>
  <c r="A1230" i="1" s="1"/>
  <c r="B1237" i="1" a="1"/>
  <c r="B1237" i="1" s="1"/>
  <c r="A1237" i="1" s="1"/>
  <c r="B1245" i="1" a="1"/>
  <c r="B1245" i="1" s="1"/>
  <c r="A1245" i="1" s="1"/>
  <c r="B1251" i="1" a="1"/>
  <c r="B1251" i="1" s="1"/>
  <c r="A1251" i="1" s="1"/>
  <c r="B1265" i="1" a="1"/>
  <c r="B1265" i="1" s="1"/>
  <c r="A1265" i="1" s="1"/>
  <c r="B1272" i="1" a="1"/>
  <c r="B1272" i="1" s="1"/>
  <c r="A1272" i="1" s="1"/>
  <c r="B1279" i="1" a="1"/>
  <c r="B1279" i="1" s="1"/>
  <c r="A1279" i="1" s="1"/>
  <c r="B1286" i="1" a="1"/>
  <c r="B1286" i="1" s="1"/>
  <c r="A1286" i="1" s="1"/>
  <c r="B1293" i="1" a="1"/>
  <c r="B1293" i="1" s="1"/>
  <c r="A1293" i="1" s="1"/>
  <c r="B1299" i="1" a="1"/>
  <c r="B1299" i="1" s="1"/>
  <c r="A1299" i="1" s="1"/>
  <c r="B1304" i="1" a="1"/>
  <c r="B1304" i="1" s="1"/>
  <c r="A1304" i="1" s="1"/>
  <c r="B1313" i="1" a="1"/>
  <c r="B1313" i="1" s="1"/>
  <c r="A1313" i="1" s="1"/>
  <c r="B1318" i="1" a="1"/>
  <c r="B1318" i="1" s="1"/>
  <c r="A1318" i="1" s="1"/>
  <c r="B1327" i="1" a="1"/>
  <c r="B1327" i="1" s="1"/>
  <c r="A1327" i="1" s="1"/>
  <c r="B1336" i="1" a="1"/>
  <c r="B1336" i="1" s="1"/>
  <c r="A1336" i="1" s="1"/>
  <c r="B1345" i="1" a="1"/>
  <c r="B1345" i="1" s="1"/>
  <c r="A1345" i="1" s="1"/>
  <c r="B1350" i="1" a="1"/>
  <c r="B1350" i="1" s="1"/>
  <c r="A1350" i="1" s="1"/>
  <c r="B1359" i="1" a="1"/>
  <c r="B1359" i="1" s="1"/>
  <c r="A1359" i="1" s="1"/>
  <c r="B1368" i="1" a="1"/>
  <c r="B1368" i="1" s="1"/>
  <c r="A1368" i="1" s="1"/>
  <c r="B1377" i="1" a="1"/>
  <c r="B1377" i="1" s="1"/>
  <c r="A1377" i="1" s="1"/>
  <c r="B1382" i="1" a="1"/>
  <c r="B1382" i="1" s="1"/>
  <c r="A1382" i="1" s="1"/>
  <c r="B1391" i="1" a="1"/>
  <c r="B1391" i="1" s="1"/>
  <c r="A1391" i="1" s="1"/>
  <c r="B1400" i="1" a="1"/>
  <c r="B1400" i="1" s="1"/>
  <c r="A1400" i="1" s="1"/>
  <c r="B1409" i="1" a="1"/>
  <c r="B1409" i="1" s="1"/>
  <c r="A1409" i="1" s="1"/>
  <c r="B1414" i="1" a="1"/>
  <c r="B1414" i="1" s="1"/>
  <c r="A1414" i="1" s="1"/>
  <c r="B1434" i="1" a="1"/>
  <c r="B1434" i="1" s="1"/>
  <c r="A1434" i="1" s="1"/>
  <c r="B1450" i="1" a="1"/>
  <c r="B1450" i="1" s="1"/>
  <c r="A1450" i="1" s="1"/>
  <c r="B1466" i="1" a="1"/>
  <c r="B1466" i="1" s="1"/>
  <c r="A1466" i="1" s="1"/>
  <c r="B1482" i="1" a="1"/>
  <c r="B1482" i="1" s="1"/>
  <c r="A1482" i="1" s="1"/>
  <c r="B1488" i="1" a="1"/>
  <c r="B1488" i="1" s="1"/>
  <c r="A1488" i="1" s="1"/>
  <c r="B1494" i="1" a="1"/>
  <c r="B1494" i="1" s="1"/>
  <c r="A1494" i="1" s="1"/>
  <c r="B1505" i="1" a="1"/>
  <c r="B1505" i="1" s="1"/>
  <c r="A1505" i="1" s="1"/>
  <c r="B1523" i="1" a="1"/>
  <c r="B1523" i="1" s="1"/>
  <c r="A1523" i="1" s="1"/>
  <c r="B1529" i="1" a="1"/>
  <c r="B1529" i="1" s="1"/>
  <c r="A1529" i="1" s="1"/>
  <c r="B1535" i="1" a="1"/>
  <c r="B1535" i="1" s="1"/>
  <c r="A1535" i="1" s="1"/>
  <c r="B1541" i="1" a="1"/>
  <c r="B1541" i="1" s="1"/>
  <c r="A1541" i="1" s="1"/>
  <c r="B1553" i="1" a="1"/>
  <c r="B1553" i="1" s="1"/>
  <c r="A1553" i="1" s="1"/>
  <c r="B1560" i="1" a="1"/>
  <c r="B1560" i="1" s="1"/>
  <c r="A1560" i="1" s="1"/>
  <c r="B345" i="1" a="1"/>
  <c r="B345" i="1" s="1"/>
  <c r="B1005" i="1" a="1"/>
  <c r="B1005" i="1" s="1"/>
  <c r="A1005" i="1" s="1"/>
  <c r="B1236" i="1" a="1"/>
  <c r="B1236" i="1" s="1"/>
  <c r="A1236" i="1" s="1"/>
  <c r="B1292" i="1" a="1"/>
  <c r="B1292" i="1" s="1"/>
  <c r="A1292" i="1" s="1"/>
  <c r="B1331" i="1" a="1"/>
  <c r="B1331" i="1" s="1"/>
  <c r="A1331" i="1" s="1"/>
  <c r="B1404" i="1" a="1"/>
  <c r="B1404" i="1" s="1"/>
  <c r="A1404" i="1" s="1"/>
  <c r="B1444" i="1" a="1"/>
  <c r="B1444" i="1" s="1"/>
  <c r="A1444" i="1" s="1"/>
  <c r="B1487" i="1" a="1"/>
  <c r="B1487" i="1" s="1"/>
  <c r="A1487" i="1" s="1"/>
  <c r="B1534" i="1" a="1"/>
  <c r="B1534" i="1" s="1"/>
  <c r="A1534" i="1" s="1"/>
  <c r="B1559" i="1" a="1"/>
  <c r="B1559" i="1" s="1"/>
  <c r="A1559" i="1" s="1"/>
  <c r="B1575" i="1" a="1"/>
  <c r="B1575" i="1" s="1"/>
  <c r="A1575" i="1" s="1"/>
  <c r="B1587" i="1" a="1"/>
  <c r="B1587" i="1" s="1"/>
  <c r="A1587" i="1" s="1"/>
  <c r="B1593" i="1" a="1"/>
  <c r="B1593" i="1" s="1"/>
  <c r="A1593" i="1" s="1"/>
  <c r="B1599" i="1" a="1"/>
  <c r="B1599" i="1" s="1"/>
  <c r="A1599" i="1" s="1"/>
  <c r="B1605" i="1" a="1"/>
  <c r="B1605" i="1" s="1"/>
  <c r="A1605" i="1" s="1"/>
  <c r="B1611" i="1" a="1"/>
  <c r="B1611" i="1" s="1"/>
  <c r="A1611" i="1" s="1"/>
  <c r="B1616" i="1" a="1"/>
  <c r="B1616" i="1" s="1"/>
  <c r="A1616" i="1" s="1"/>
  <c r="B1626" i="1" a="1"/>
  <c r="B1626" i="1" s="1"/>
  <c r="A1626" i="1" s="1"/>
  <c r="B1646" i="1" a="1"/>
  <c r="B1646" i="1" s="1"/>
  <c r="A1646" i="1" s="1"/>
  <c r="B1655" i="1" a="1"/>
  <c r="B1655" i="1" s="1"/>
  <c r="A1655" i="1" s="1"/>
  <c r="B1660" i="1" a="1"/>
  <c r="B1660" i="1" s="1"/>
  <c r="A1660" i="1" s="1"/>
  <c r="B1665" i="1" a="1"/>
  <c r="B1665" i="1" s="1"/>
  <c r="A1665" i="1" s="1"/>
  <c r="B1670" i="1" a="1"/>
  <c r="B1670" i="1" s="1"/>
  <c r="A1670" i="1" s="1"/>
  <c r="B1675" i="1" a="1"/>
  <c r="B1675" i="1" s="1"/>
  <c r="A1675" i="1" s="1"/>
  <c r="B1680" i="1" a="1"/>
  <c r="B1680" i="1" s="1"/>
  <c r="A1680" i="1" s="1"/>
  <c r="B1690" i="1" a="1"/>
  <c r="B1690" i="1" s="1"/>
  <c r="A1690" i="1" s="1"/>
  <c r="B1710" i="1" a="1"/>
  <c r="B1710" i="1" s="1"/>
  <c r="A1710" i="1" s="1"/>
  <c r="B1719" i="1" a="1"/>
  <c r="B1719" i="1" s="1"/>
  <c r="A1719" i="1" s="1"/>
  <c r="B1724" i="1" a="1"/>
  <c r="B1724" i="1" s="1"/>
  <c r="A1724" i="1" s="1"/>
  <c r="B1729" i="1" a="1"/>
  <c r="B1729" i="1" s="1"/>
  <c r="A1729" i="1" s="1"/>
  <c r="B1734" i="1" a="1"/>
  <c r="B1734" i="1" s="1"/>
  <c r="A1734" i="1" s="1"/>
  <c r="B1739" i="1" a="1"/>
  <c r="B1739" i="1" s="1"/>
  <c r="A1739" i="1" s="1"/>
  <c r="B1744" i="1" a="1"/>
  <c r="B1744" i="1" s="1"/>
  <c r="A1744" i="1" s="1"/>
  <c r="B1754" i="1" a="1"/>
  <c r="B1754" i="1" s="1"/>
  <c r="A1754" i="1" s="1"/>
  <c r="B1759" i="1" a="1"/>
  <c r="B1759" i="1" s="1"/>
  <c r="A1759" i="1" s="1"/>
  <c r="B1770" i="1" a="1"/>
  <c r="B1770" i="1" s="1"/>
  <c r="A1770" i="1" s="1"/>
  <c r="B1781" i="1" a="1"/>
  <c r="B1781" i="1" s="1"/>
  <c r="A1781" i="1" s="1"/>
  <c r="B1787" i="1" a="1"/>
  <c r="B1787" i="1" s="1"/>
  <c r="A1787" i="1" s="1"/>
  <c r="B1793" i="1" a="1"/>
  <c r="B1793" i="1" s="1"/>
  <c r="A1793" i="1" s="1"/>
  <c r="B1821" i="1" a="1"/>
  <c r="B1821" i="1" s="1"/>
  <c r="A1821" i="1" s="1"/>
  <c r="B1828" i="1" a="1"/>
  <c r="B1828" i="1" s="1"/>
  <c r="A1828" i="1" s="1"/>
  <c r="B1834" i="1" a="1"/>
  <c r="B1834" i="1" s="1"/>
  <c r="A1834" i="1" s="1"/>
  <c r="B1845" i="1" a="1"/>
  <c r="B1845" i="1" s="1"/>
  <c r="A1845" i="1" s="1"/>
  <c r="B1851" i="1" a="1"/>
  <c r="B1851" i="1" s="1"/>
  <c r="A1851" i="1" s="1"/>
  <c r="B1857" i="1" a="1"/>
  <c r="B1857" i="1" s="1"/>
  <c r="A1857" i="1" s="1"/>
  <c r="B1885" i="1" a="1"/>
  <c r="B1885" i="1" s="1"/>
  <c r="A1885" i="1" s="1"/>
  <c r="B1892" i="1" a="1"/>
  <c r="B1892" i="1" s="1"/>
  <c r="A1892" i="1" s="1"/>
  <c r="B1898" i="1" a="1"/>
  <c r="B1898" i="1" s="1"/>
  <c r="A1898" i="1" s="1"/>
  <c r="B1909" i="1" a="1"/>
  <c r="B1909" i="1" s="1"/>
  <c r="A1909" i="1" s="1"/>
  <c r="B1915" i="1" a="1"/>
  <c r="B1915" i="1" s="1"/>
  <c r="A1915" i="1" s="1"/>
  <c r="B1921" i="1" a="1"/>
  <c r="B1921" i="1" s="1"/>
  <c r="A1921" i="1" s="1"/>
  <c r="B1949" i="1" a="1"/>
  <c r="B1949" i="1" s="1"/>
  <c r="A1949" i="1" s="1"/>
  <c r="B1956" i="1" a="1"/>
  <c r="B1956" i="1" s="1"/>
  <c r="A1956" i="1" s="1"/>
  <c r="B1962" i="1" a="1"/>
  <c r="B1962" i="1" s="1"/>
  <c r="A1962" i="1" s="1"/>
  <c r="B1973" i="1" a="1"/>
  <c r="B1973" i="1" s="1"/>
  <c r="A1973" i="1" s="1"/>
  <c r="B1979" i="1" a="1"/>
  <c r="B1979" i="1" s="1"/>
  <c r="A1979" i="1" s="1"/>
  <c r="B1988" i="1" a="1"/>
  <c r="B1988" i="1" s="1"/>
  <c r="A1988" i="1" s="1"/>
  <c r="B1994" i="1" a="1"/>
  <c r="B1994" i="1" s="1"/>
  <c r="A1994" i="1" s="1"/>
  <c r="B1999" i="1" a="1"/>
  <c r="B1999" i="1" s="1"/>
  <c r="A1999" i="1" s="1"/>
  <c r="B2004" i="1" a="1"/>
  <c r="B2004" i="1" s="1"/>
  <c r="A2004" i="1" s="1"/>
  <c r="B2010" i="1" a="1"/>
  <c r="B2010" i="1" s="1"/>
  <c r="A2010" i="1" s="1"/>
  <c r="B2015" i="1" a="1"/>
  <c r="B2015" i="1" s="1"/>
  <c r="A2015" i="1" s="1"/>
  <c r="B2020" i="1" a="1"/>
  <c r="B2020" i="1" s="1"/>
  <c r="A2020" i="1" s="1"/>
  <c r="B2026" i="1" a="1"/>
  <c r="B2026" i="1" s="1"/>
  <c r="A2026" i="1" s="1"/>
  <c r="B2031" i="1" a="1"/>
  <c r="B2031" i="1" s="1"/>
  <c r="A2031" i="1" s="1"/>
  <c r="B2036" i="1" a="1"/>
  <c r="B2036" i="1" s="1"/>
  <c r="A2036" i="1" s="1"/>
  <c r="B2042" i="1" a="1"/>
  <c r="B2042" i="1" s="1"/>
  <c r="A2042" i="1" s="1"/>
  <c r="B2047" i="1" a="1"/>
  <c r="B2047" i="1" s="1"/>
  <c r="A2047" i="1" s="1"/>
  <c r="B2053" i="1" a="1"/>
  <c r="B2053" i="1" s="1"/>
  <c r="A2053" i="1" s="1"/>
  <c r="B2059" i="1" a="1"/>
  <c r="B2059" i="1" s="1"/>
  <c r="A2059" i="1" s="1"/>
  <c r="B2066" i="1" a="1"/>
  <c r="B2066" i="1" s="1"/>
  <c r="A2066" i="1" s="1"/>
  <c r="B2072" i="1" a="1"/>
  <c r="B2072" i="1" s="1"/>
  <c r="A2072" i="1" s="1"/>
  <c r="B2085" i="1" a="1"/>
  <c r="B2085" i="1" s="1"/>
  <c r="A2085" i="1" s="1"/>
  <c r="B2091" i="1" a="1"/>
  <c r="B2091" i="1" s="1"/>
  <c r="A2091" i="1" s="1"/>
  <c r="B2098" i="1" a="1"/>
  <c r="B2098" i="1" s="1"/>
  <c r="A2098" i="1" s="1"/>
  <c r="B2104" i="1" a="1"/>
  <c r="B2104" i="1" s="1"/>
  <c r="A2104" i="1" s="1"/>
  <c r="B2112" i="1" a="1"/>
  <c r="B2112" i="1" s="1"/>
  <c r="A2112" i="1" s="1"/>
  <c r="B2119" i="1" a="1"/>
  <c r="B2119" i="1" s="1"/>
  <c r="A2119" i="1" s="1"/>
  <c r="B2133" i="1" a="1"/>
  <c r="B2133" i="1" s="1"/>
  <c r="A2133" i="1" s="1"/>
  <c r="B2141" i="1" a="1"/>
  <c r="B2141" i="1" s="1"/>
  <c r="A2141" i="1" s="1"/>
  <c r="B2148" i="1" a="1"/>
  <c r="B2148" i="1" s="1"/>
  <c r="A2148" i="1" s="1"/>
  <c r="B2156" i="1" a="1"/>
  <c r="B2156" i="1" s="1"/>
  <c r="A2156" i="1" s="1"/>
  <c r="B2170" i="1" a="1"/>
  <c r="B2170" i="1" s="1"/>
  <c r="A2170" i="1" s="1"/>
  <c r="B2178" i="1" a="1"/>
  <c r="B2178" i="1" s="1"/>
  <c r="A2178" i="1" s="1"/>
  <c r="B2184" i="1" a="1"/>
  <c r="B2184" i="1" s="1"/>
  <c r="A2184" i="1" s="1"/>
  <c r="B2191" i="1" a="1"/>
  <c r="B2191" i="1" s="1"/>
  <c r="A2191" i="1" s="1"/>
  <c r="B2198" i="1" a="1"/>
  <c r="B2198" i="1" s="1"/>
  <c r="A2198" i="1" s="1"/>
  <c r="B2206" i="1" a="1"/>
  <c r="B2206" i="1" s="1"/>
  <c r="A2206" i="1" s="1"/>
  <c r="B2213" i="1" a="1"/>
  <c r="B2213" i="1" s="1"/>
  <c r="A2213" i="1" s="1"/>
  <c r="B2221" i="1" a="1"/>
  <c r="B2221" i="1" s="1"/>
  <c r="A2221" i="1" s="1"/>
  <c r="B2227" i="1" a="1"/>
  <c r="B2227" i="1" s="1"/>
  <c r="A2227" i="1" s="1"/>
  <c r="B2235" i="1" a="1"/>
  <c r="B2235" i="1" s="1"/>
  <c r="A2235" i="1" s="1"/>
  <c r="B2249" i="1" a="1"/>
  <c r="B2249" i="1" s="1"/>
  <c r="A2249" i="1" s="1"/>
  <c r="B2256" i="1" a="1"/>
  <c r="B2256" i="1" s="1"/>
  <c r="A2256" i="1" s="1"/>
  <c r="B2263" i="1" a="1"/>
  <c r="B2263" i="1" s="1"/>
  <c r="A2263" i="1" s="1"/>
  <c r="B2271" i="1" a="1"/>
  <c r="B2271" i="1" s="1"/>
  <c r="A2271" i="1" s="1"/>
  <c r="B2278" i="1" a="1"/>
  <c r="B2278" i="1" s="1"/>
  <c r="A2278" i="1" s="1"/>
  <c r="B2285" i="1" a="1"/>
  <c r="B2285" i="1" s="1"/>
  <c r="A2285" i="1" s="1"/>
  <c r="B2291" i="1" a="1"/>
  <c r="B2291" i="1" s="1"/>
  <c r="A2291" i="1" s="1"/>
  <c r="B2299" i="1" a="1"/>
  <c r="B2299" i="1" s="1"/>
  <c r="A2299" i="1" s="1"/>
  <c r="B2313" i="1" a="1"/>
  <c r="B2313" i="1" s="1"/>
  <c r="A2313" i="1" s="1"/>
  <c r="B2320" i="1" a="1"/>
  <c r="B2320" i="1" s="1"/>
  <c r="A2320" i="1" s="1"/>
  <c r="B2327" i="1" a="1"/>
  <c r="B2327" i="1" s="1"/>
  <c r="A2327" i="1" s="1"/>
  <c r="B2335" i="1" a="1"/>
  <c r="B2335" i="1" s="1"/>
  <c r="A2335" i="1" s="1"/>
  <c r="B2342" i="1" a="1"/>
  <c r="B2342" i="1" s="1"/>
  <c r="A2342" i="1" s="1"/>
  <c r="B2349" i="1" a="1"/>
  <c r="B2349" i="1" s="1"/>
  <c r="A2349" i="1" s="1"/>
  <c r="B2355" i="1" a="1"/>
  <c r="B2355" i="1" s="1"/>
  <c r="A2355" i="1" s="1"/>
  <c r="B2363" i="1" a="1"/>
  <c r="B2363" i="1" s="1"/>
  <c r="A2363" i="1" s="1"/>
  <c r="B2377" i="1" a="1"/>
  <c r="B2377" i="1" s="1"/>
  <c r="A2377" i="1" s="1"/>
  <c r="B2384" i="1" a="1"/>
  <c r="B2384" i="1" s="1"/>
  <c r="A2384" i="1" s="1"/>
  <c r="B2391" i="1" a="1"/>
  <c r="B2391" i="1" s="1"/>
  <c r="A2391" i="1" s="1"/>
  <c r="B2399" i="1" a="1"/>
  <c r="B2399" i="1" s="1"/>
  <c r="A2399" i="1" s="1"/>
  <c r="B2406" i="1" a="1"/>
  <c r="B2406" i="1" s="1"/>
  <c r="A2406" i="1" s="1"/>
  <c r="B2413" i="1" a="1"/>
  <c r="B2413" i="1" s="1"/>
  <c r="A2413" i="1" s="1"/>
  <c r="B2419" i="1" a="1"/>
  <c r="B2419" i="1" s="1"/>
  <c r="A2419" i="1" s="1"/>
  <c r="B2427" i="1" a="1"/>
  <c r="B2427" i="1" s="1"/>
  <c r="A2427" i="1" s="1"/>
  <c r="B2435" i="1" a="1"/>
  <c r="B2435" i="1" s="1"/>
  <c r="A2435" i="1" s="1"/>
  <c r="B2442" i="1" a="1"/>
  <c r="B2442" i="1" s="1"/>
  <c r="A2442" i="1" s="1"/>
  <c r="B2449" i="1" a="1"/>
  <c r="B2449" i="1" s="1"/>
  <c r="A2449" i="1" s="1"/>
  <c r="B2456" i="1" a="1"/>
  <c r="B2456" i="1" s="1"/>
  <c r="A2456" i="1" s="1"/>
  <c r="B2464" i="1" a="1"/>
  <c r="B2464" i="1" s="1"/>
  <c r="A2464" i="1" s="1"/>
  <c r="B2471" i="1" a="1"/>
  <c r="B2471" i="1" s="1"/>
  <c r="A2471" i="1" s="1"/>
  <c r="B2485" i="1" a="1"/>
  <c r="B2485" i="1" s="1"/>
  <c r="A2485" i="1" s="1"/>
  <c r="B2493" i="1" a="1"/>
  <c r="B2493" i="1" s="1"/>
  <c r="A2493" i="1" s="1"/>
  <c r="B2501" i="1" a="1"/>
  <c r="B2501" i="1" s="1"/>
  <c r="A2501" i="1" s="1"/>
  <c r="B2508" i="1" a="1"/>
  <c r="B2508" i="1" s="1"/>
  <c r="A2508" i="1" s="1"/>
  <c r="B2515" i="1" a="1"/>
  <c r="B2515" i="1" s="1"/>
  <c r="A2515" i="1" s="1"/>
  <c r="B2522" i="1" a="1"/>
  <c r="B2522" i="1" s="1"/>
  <c r="A2522" i="1" s="1"/>
  <c r="B2536" i="1" a="1"/>
  <c r="B2536" i="1" s="1"/>
  <c r="A2536" i="1" s="1"/>
  <c r="B585" i="1" a="1"/>
  <c r="B585" i="1" s="1"/>
  <c r="B1065" i="1" a="1"/>
  <c r="B1065" i="1" s="1"/>
  <c r="A1065" i="1" s="1"/>
  <c r="B1188" i="1" a="1"/>
  <c r="B1188" i="1" s="1"/>
  <c r="A1188" i="1" s="1"/>
  <c r="B1244" i="1" a="1"/>
  <c r="B1244" i="1" s="1"/>
  <c r="A1244" i="1" s="1"/>
  <c r="B1372" i="1" a="1"/>
  <c r="B1372" i="1" s="1"/>
  <c r="A1372" i="1" s="1"/>
  <c r="B1449" i="1" a="1"/>
  <c r="B1449" i="1" s="1"/>
  <c r="A1449" i="1" s="1"/>
  <c r="B1493" i="1" a="1"/>
  <c r="B1493" i="1" s="1"/>
  <c r="A1493" i="1" s="1"/>
  <c r="B1562" i="1" a="1"/>
  <c r="B1562" i="1" s="1"/>
  <c r="A1562" i="1" s="1"/>
  <c r="B1569" i="1" a="1"/>
  <c r="B1569" i="1" s="1"/>
  <c r="A1569" i="1" s="1"/>
  <c r="B1576" i="1" a="1"/>
  <c r="B1576" i="1" s="1"/>
  <c r="A1576" i="1" s="1"/>
  <c r="B1581" i="1" a="1"/>
  <c r="B1581" i="1" s="1"/>
  <c r="A1581" i="1" s="1"/>
  <c r="B1588" i="1" a="1"/>
  <c r="B1588" i="1" s="1"/>
  <c r="A1588" i="1" s="1"/>
  <c r="B1594" i="1" a="1"/>
  <c r="B1594" i="1" s="1"/>
  <c r="A1594" i="1" s="1"/>
  <c r="B1600" i="1" a="1"/>
  <c r="B1600" i="1" s="1"/>
  <c r="A1600" i="1" s="1"/>
  <c r="B1606" i="1" a="1"/>
  <c r="B1606" i="1" s="1"/>
  <c r="A1606" i="1" s="1"/>
  <c r="B1612" i="1" a="1"/>
  <c r="B1612" i="1" s="1"/>
  <c r="A1612" i="1" s="1"/>
  <c r="B1621" i="1" a="1"/>
  <c r="B1621" i="1" s="1"/>
  <c r="A1621" i="1" s="1"/>
  <c r="B1631" i="1" a="1"/>
  <c r="B1631" i="1" s="1"/>
  <c r="A1631" i="1" s="1"/>
  <c r="B1636" i="1" a="1"/>
  <c r="B1636" i="1" s="1"/>
  <c r="A1636" i="1" s="1"/>
  <c r="B1641" i="1" a="1"/>
  <c r="B1641" i="1" s="1"/>
  <c r="A1641" i="1" s="1"/>
  <c r="B1651" i="1" a="1"/>
  <c r="B1651" i="1" s="1"/>
  <c r="A1651" i="1" s="1"/>
  <c r="B1656" i="1" a="1"/>
  <c r="B1656" i="1" s="1"/>
  <c r="A1656" i="1" s="1"/>
  <c r="B1666" i="1" a="1"/>
  <c r="B1666" i="1" s="1"/>
  <c r="A1666" i="1" s="1"/>
  <c r="B1676" i="1" a="1"/>
  <c r="B1676" i="1" s="1"/>
  <c r="A1676" i="1" s="1"/>
  <c r="B1685" i="1" a="1"/>
  <c r="B1685" i="1" s="1"/>
  <c r="A1685" i="1" s="1"/>
  <c r="B1695" i="1" a="1"/>
  <c r="B1695" i="1" s="1"/>
  <c r="A1695" i="1" s="1"/>
  <c r="B1700" i="1" a="1"/>
  <c r="B1700" i="1" s="1"/>
  <c r="A1700" i="1" s="1"/>
  <c r="B1705" i="1" a="1"/>
  <c r="B1705" i="1" s="1"/>
  <c r="A1705" i="1" s="1"/>
  <c r="B1715" i="1" a="1"/>
  <c r="B1715" i="1" s="1"/>
  <c r="A1715" i="1" s="1"/>
  <c r="B1720" i="1" a="1"/>
  <c r="B1720" i="1" s="1"/>
  <c r="A1720" i="1" s="1"/>
  <c r="B1730" i="1" a="1"/>
  <c r="B1730" i="1" s="1"/>
  <c r="A1730" i="1" s="1"/>
  <c r="B1740" i="1" a="1"/>
  <c r="B1740" i="1" s="1"/>
  <c r="A1740" i="1" s="1"/>
  <c r="B1749" i="1" a="1"/>
  <c r="B1749" i="1" s="1"/>
  <c r="A1749" i="1" s="1"/>
  <c r="B1760" i="1" a="1"/>
  <c r="B1760" i="1" s="1"/>
  <c r="A1760" i="1" s="1"/>
  <c r="B1765" i="1" a="1"/>
  <c r="B1765" i="1" s="1"/>
  <c r="A1765" i="1" s="1"/>
  <c r="B1776" i="1" a="1"/>
  <c r="B1776" i="1" s="1"/>
  <c r="A1776" i="1" s="1"/>
  <c r="B1782" i="1" a="1"/>
  <c r="B1782" i="1" s="1"/>
  <c r="A1782" i="1" s="1"/>
  <c r="B1794" i="1" a="1"/>
  <c r="B1794" i="1" s="1"/>
  <c r="A1794" i="1" s="1"/>
  <c r="B1799" i="1" a="1"/>
  <c r="B1799" i="1" s="1"/>
  <c r="A1799" i="1" s="1"/>
  <c r="B1805" i="1" a="1"/>
  <c r="B1805" i="1" s="1"/>
  <c r="A1805" i="1" s="1"/>
  <c r="B1811" i="1" a="1"/>
  <c r="B1811" i="1" s="1"/>
  <c r="A1811" i="1" s="1"/>
  <c r="B1817" i="1" a="1"/>
  <c r="B1817" i="1" s="1"/>
  <c r="A1817" i="1" s="1"/>
  <c r="B1822" i="1" a="1"/>
  <c r="B1822" i="1" s="1"/>
  <c r="A1822" i="1" s="1"/>
  <c r="B1840" i="1" a="1"/>
  <c r="B1840" i="1" s="1"/>
  <c r="A1840" i="1" s="1"/>
  <c r="B1846" i="1" a="1"/>
  <c r="B1846" i="1" s="1"/>
  <c r="A1846" i="1" s="1"/>
  <c r="B1858" i="1" a="1"/>
  <c r="B1858" i="1" s="1"/>
  <c r="A1858" i="1" s="1"/>
  <c r="B1863" i="1" a="1"/>
  <c r="B1863" i="1" s="1"/>
  <c r="A1863" i="1" s="1"/>
  <c r="B1869" i="1" a="1"/>
  <c r="B1869" i="1" s="1"/>
  <c r="A1869" i="1" s="1"/>
  <c r="B1875" i="1" a="1"/>
  <c r="B1875" i="1" s="1"/>
  <c r="A1875" i="1" s="1"/>
  <c r="B1881" i="1" a="1"/>
  <c r="B1881" i="1" s="1"/>
  <c r="A1881" i="1" s="1"/>
  <c r="B1886" i="1" a="1"/>
  <c r="B1886" i="1" s="1"/>
  <c r="A1886" i="1" s="1"/>
  <c r="B1904" i="1" a="1"/>
  <c r="B1904" i="1" s="1"/>
  <c r="A1904" i="1" s="1"/>
  <c r="B1910" i="1" a="1"/>
  <c r="B1910" i="1" s="1"/>
  <c r="A1910" i="1" s="1"/>
  <c r="B1922" i="1" a="1"/>
  <c r="B1922" i="1" s="1"/>
  <c r="A1922" i="1" s="1"/>
  <c r="B1927" i="1" a="1"/>
  <c r="B1927" i="1" s="1"/>
  <c r="A1927" i="1" s="1"/>
  <c r="B1933" i="1" a="1"/>
  <c r="B1933" i="1" s="1"/>
  <c r="A1933" i="1" s="1"/>
  <c r="B1939" i="1" a="1"/>
  <c r="B1939" i="1" s="1"/>
  <c r="A1939" i="1" s="1"/>
  <c r="B1945" i="1" a="1"/>
  <c r="B1945" i="1" s="1"/>
  <c r="A1945" i="1" s="1"/>
  <c r="B1950" i="1" a="1"/>
  <c r="B1950" i="1" s="1"/>
  <c r="A1950" i="1" s="1"/>
  <c r="B1968" i="1" a="1"/>
  <c r="B1968" i="1" s="1"/>
  <c r="A1968" i="1" s="1"/>
  <c r="B1974" i="1" a="1"/>
  <c r="B1974" i="1" s="1"/>
  <c r="A1974" i="1" s="1"/>
  <c r="B1984" i="1" a="1"/>
  <c r="B1984" i="1" s="1"/>
  <c r="A1984" i="1" s="1"/>
  <c r="B1989" i="1" a="1"/>
  <c r="B1989" i="1" s="1"/>
  <c r="A1989" i="1" s="1"/>
  <c r="B2005" i="1" a="1"/>
  <c r="B2005" i="1" s="1"/>
  <c r="A2005" i="1" s="1"/>
  <c r="B2021" i="1" a="1"/>
  <c r="B2021" i="1" s="1"/>
  <c r="A2021" i="1" s="1"/>
  <c r="B2037" i="1" a="1"/>
  <c r="B2037" i="1" s="1"/>
  <c r="A2037" i="1" s="1"/>
  <c r="B2054" i="1" a="1"/>
  <c r="B2054" i="1" s="1"/>
  <c r="A2054" i="1" s="1"/>
  <c r="B2060" i="1" a="1"/>
  <c r="B2060" i="1" s="1"/>
  <c r="A2060" i="1" s="1"/>
  <c r="B2073" i="1" a="1"/>
  <c r="B2073" i="1" s="1"/>
  <c r="A2073" i="1" s="1"/>
  <c r="B2079" i="1" a="1"/>
  <c r="B2079" i="1" s="1"/>
  <c r="A2079" i="1" s="1"/>
  <c r="B2086" i="1" a="1"/>
  <c r="B2086" i="1" s="1"/>
  <c r="A2086" i="1" s="1"/>
  <c r="B2092" i="1" a="1"/>
  <c r="B2092" i="1" s="1"/>
  <c r="A2092" i="1" s="1"/>
  <c r="B2105" i="1" a="1"/>
  <c r="B2105" i="1" s="1"/>
  <c r="A2105" i="1" s="1"/>
  <c r="B2113" i="1" a="1"/>
  <c r="B2113" i="1" s="1"/>
  <c r="A2113" i="1" s="1"/>
  <c r="B2120" i="1" a="1"/>
  <c r="B2120" i="1" s="1"/>
  <c r="A2120" i="1" s="1"/>
  <c r="B2127" i="1" a="1"/>
  <c r="B2127" i="1" s="1"/>
  <c r="A2127" i="1" s="1"/>
  <c r="B2134" i="1" a="1"/>
  <c r="B2134" i="1" s="1"/>
  <c r="A2134" i="1" s="1"/>
  <c r="B2142" i="1" a="1"/>
  <c r="B2142" i="1" s="1"/>
  <c r="A2142" i="1" s="1"/>
  <c r="B2149" i="1" a="1"/>
  <c r="B2149" i="1" s="1"/>
  <c r="A2149" i="1" s="1"/>
  <c r="B2157" i="1" a="1"/>
  <c r="B2157" i="1" s="1"/>
  <c r="A2157" i="1" s="1"/>
  <c r="B2163" i="1" a="1"/>
  <c r="B2163" i="1" s="1"/>
  <c r="A2163" i="1" s="1"/>
  <c r="B2171" i="1" a="1"/>
  <c r="B2171" i="1" s="1"/>
  <c r="A2171" i="1" s="1"/>
  <c r="B2185" i="1" a="1"/>
  <c r="B2185" i="1" s="1"/>
  <c r="A2185" i="1" s="1"/>
  <c r="B2192" i="1" a="1"/>
  <c r="B2192" i="1" s="1"/>
  <c r="A2192" i="1" s="1"/>
  <c r="B2199" i="1" a="1"/>
  <c r="B2199" i="1" s="1"/>
  <c r="A2199" i="1" s="1"/>
  <c r="B2207" i="1" a="1"/>
  <c r="B2207" i="1" s="1"/>
  <c r="A2207" i="1" s="1"/>
  <c r="B2214" i="1" a="1"/>
  <c r="B2214" i="1" s="1"/>
  <c r="A2214" i="1" s="1"/>
  <c r="B2222" i="1" a="1"/>
  <c r="B2222" i="1" s="1"/>
  <c r="A2222" i="1" s="1"/>
  <c r="B2228" i="1" a="1"/>
  <c r="B2228" i="1" s="1"/>
  <c r="A2228" i="1" s="1"/>
  <c r="B2236" i="1" a="1"/>
  <c r="B2236" i="1" s="1"/>
  <c r="A2236" i="1" s="1"/>
  <c r="B2243" i="1" a="1"/>
  <c r="B2243" i="1" s="1"/>
  <c r="A2243" i="1" s="1"/>
  <c r="B2250" i="1" a="1"/>
  <c r="B2250" i="1" s="1"/>
  <c r="A2250" i="1" s="1"/>
  <c r="B2257" i="1" a="1"/>
  <c r="B2257" i="1" s="1"/>
  <c r="A2257" i="1" s="1"/>
  <c r="B2264" i="1" a="1"/>
  <c r="B2264" i="1" s="1"/>
  <c r="A2264" i="1" s="1"/>
  <c r="B2272" i="1" a="1"/>
  <c r="B2272" i="1" s="1"/>
  <c r="A2272" i="1" s="1"/>
  <c r="B2286" i="1" a="1"/>
  <c r="B2286" i="1" s="1"/>
  <c r="A2286" i="1" s="1"/>
  <c r="B2292" i="1" a="1"/>
  <c r="B2292" i="1" s="1"/>
  <c r="A2292" i="1" s="1"/>
  <c r="B2300" i="1" a="1"/>
  <c r="B2300" i="1" s="1"/>
  <c r="A2300" i="1" s="1"/>
  <c r="B2307" i="1" a="1"/>
  <c r="B2307" i="1" s="1"/>
  <c r="A2307" i="1" s="1"/>
  <c r="B2314" i="1" a="1"/>
  <c r="B2314" i="1" s="1"/>
  <c r="A2314" i="1" s="1"/>
  <c r="B2321" i="1" a="1"/>
  <c r="B2321" i="1" s="1"/>
  <c r="A2321" i="1" s="1"/>
  <c r="B2328" i="1" a="1"/>
  <c r="B2328" i="1" s="1"/>
  <c r="A2328" i="1" s="1"/>
  <c r="B2336" i="1" a="1"/>
  <c r="B2336" i="1" s="1"/>
  <c r="A2336" i="1" s="1"/>
  <c r="B2350" i="1" a="1"/>
  <c r="B2350" i="1" s="1"/>
  <c r="A2350" i="1" s="1"/>
  <c r="B2356" i="1" a="1"/>
  <c r="B2356" i="1" s="1"/>
  <c r="A2356" i="1" s="1"/>
  <c r="B2364" i="1" a="1"/>
  <c r="B2364" i="1" s="1"/>
  <c r="A2364" i="1" s="1"/>
  <c r="B2371" i="1" a="1"/>
  <c r="B2371" i="1" s="1"/>
  <c r="A2371" i="1" s="1"/>
  <c r="B2378" i="1" a="1"/>
  <c r="B2378" i="1" s="1"/>
  <c r="A2378" i="1" s="1"/>
  <c r="B2385" i="1" a="1"/>
  <c r="B2385" i="1" s="1"/>
  <c r="A2385" i="1" s="1"/>
  <c r="B2392" i="1" a="1"/>
  <c r="B2392" i="1" s="1"/>
  <c r="A2392" i="1" s="1"/>
  <c r="B2400" i="1" a="1"/>
  <c r="B2400" i="1" s="1"/>
  <c r="A2400" i="1" s="1"/>
  <c r="B2414" i="1" a="1"/>
  <c r="B2414" i="1" s="1"/>
  <c r="A2414" i="1" s="1"/>
  <c r="B2420" i="1" a="1"/>
  <c r="B2420" i="1" s="1"/>
  <c r="A2420" i="1" s="1"/>
  <c r="B2428" i="1" a="1"/>
  <c r="B2428" i="1" s="1"/>
  <c r="A2428" i="1" s="1"/>
  <c r="B2436" i="1" a="1"/>
  <c r="B2436" i="1" s="1"/>
  <c r="A2436" i="1" s="1"/>
  <c r="B2443" i="1" a="1"/>
  <c r="B2443" i="1" s="1"/>
  <c r="A2443" i="1" s="1"/>
  <c r="B2450" i="1" a="1"/>
  <c r="B2450" i="1" s="1"/>
  <c r="A2450" i="1" s="1"/>
  <c r="B2457" i="1" a="1"/>
  <c r="B2457" i="1" s="1"/>
  <c r="A2457" i="1" s="1"/>
  <c r="B2465" i="1" a="1"/>
  <c r="B2465" i="1" s="1"/>
  <c r="A2465" i="1" s="1"/>
  <c r="B2472" i="1" a="1"/>
  <c r="B2472" i="1" s="1"/>
  <c r="A2472" i="1" s="1"/>
  <c r="B2479" i="1" a="1"/>
  <c r="B2479" i="1" s="1"/>
  <c r="A2479" i="1" s="1"/>
  <c r="B2486" i="1" a="1"/>
  <c r="B2486" i="1" s="1"/>
  <c r="A2486" i="1" s="1"/>
  <c r="B2494" i="1" a="1"/>
  <c r="B2494" i="1" s="1"/>
  <c r="A2494" i="1" s="1"/>
  <c r="B2502" i="1" a="1"/>
  <c r="B2502" i="1" s="1"/>
  <c r="A2502" i="1" s="1"/>
  <c r="B2509" i="1" a="1"/>
  <c r="B2509" i="1" s="1"/>
  <c r="A2509" i="1" s="1"/>
  <c r="B2516" i="1" a="1"/>
  <c r="B2516" i="1" s="1"/>
  <c r="A2516" i="1" s="1"/>
  <c r="B2523" i="1" a="1"/>
  <c r="B2523" i="1" s="1"/>
  <c r="A2523" i="1" s="1"/>
  <c r="B2530" i="1" a="1"/>
  <c r="B2530" i="1" s="1"/>
  <c r="A2530" i="1" s="1"/>
  <c r="B2537" i="1" a="1"/>
  <c r="B2537" i="1" s="1"/>
  <c r="A2537" i="1" s="1"/>
  <c r="B644" i="1" a="1"/>
  <c r="B644" i="1" s="1"/>
  <c r="B1120" i="1" a="1"/>
  <c r="B1120" i="1" s="1"/>
  <c r="A1120" i="1" s="1"/>
  <c r="B1195" i="1" a="1"/>
  <c r="B1195" i="1" s="1"/>
  <c r="A1195" i="1" s="1"/>
  <c r="B1340" i="1" a="1"/>
  <c r="B1340" i="1" s="1"/>
  <c r="A1340" i="1" s="1"/>
  <c r="B1413" i="1" a="1"/>
  <c r="B1413" i="1" s="1"/>
  <c r="A1413" i="1" s="1"/>
  <c r="B1455" i="1" a="1"/>
  <c r="B1455" i="1" s="1"/>
  <c r="A1455" i="1" s="1"/>
  <c r="B1499" i="1" a="1"/>
  <c r="B1499" i="1" s="1"/>
  <c r="A1499" i="1" s="1"/>
  <c r="B1544" i="1" a="1"/>
  <c r="B1544" i="1" s="1"/>
  <c r="A1544" i="1" s="1"/>
  <c r="B1570" i="1" a="1"/>
  <c r="B1570" i="1" s="1"/>
  <c r="A1570" i="1" s="1"/>
  <c r="B1582" i="1" a="1"/>
  <c r="B1582" i="1" s="1"/>
  <c r="A1582" i="1" s="1"/>
  <c r="B1595" i="1" a="1"/>
  <c r="B1595" i="1" s="1"/>
  <c r="A1595" i="1" s="1"/>
  <c r="B1607" i="1" a="1"/>
  <c r="B1607" i="1" s="1"/>
  <c r="A1607" i="1" s="1"/>
  <c r="B1617" i="1" a="1"/>
  <c r="B1617" i="1" s="1"/>
  <c r="A1617" i="1" s="1"/>
  <c r="B1622" i="1" a="1"/>
  <c r="B1622" i="1" s="1"/>
  <c r="A1622" i="1" s="1"/>
  <c r="B1627" i="1" a="1"/>
  <c r="B1627" i="1" s="1"/>
  <c r="A1627" i="1" s="1"/>
  <c r="B1632" i="1" a="1"/>
  <c r="B1632" i="1" s="1"/>
  <c r="A1632" i="1" s="1"/>
  <c r="B1642" i="1" a="1"/>
  <c r="B1642" i="1" s="1"/>
  <c r="A1642" i="1" s="1"/>
  <c r="B1647" i="1" a="1"/>
  <c r="B1647" i="1" s="1"/>
  <c r="A1647" i="1" s="1"/>
  <c r="B1661" i="1" a="1"/>
  <c r="B1661" i="1" s="1"/>
  <c r="A1661" i="1" s="1"/>
  <c r="B1671" i="1" a="1"/>
  <c r="B1671" i="1" s="1"/>
  <c r="A1671" i="1" s="1"/>
  <c r="B1681" i="1" a="1"/>
  <c r="B1681" i="1" s="1"/>
  <c r="A1681" i="1" s="1"/>
  <c r="B1686" i="1" a="1"/>
  <c r="B1686" i="1" s="1"/>
  <c r="A1686" i="1" s="1"/>
  <c r="B1691" i="1" a="1"/>
  <c r="B1691" i="1" s="1"/>
  <c r="A1691" i="1" s="1"/>
  <c r="B1696" i="1" a="1"/>
  <c r="B1696" i="1" s="1"/>
  <c r="A1696" i="1" s="1"/>
  <c r="B1706" i="1" a="1"/>
  <c r="B1706" i="1" s="1"/>
  <c r="A1706" i="1" s="1"/>
  <c r="B1711" i="1" a="1"/>
  <c r="B1711" i="1" s="1"/>
  <c r="A1711" i="1" s="1"/>
  <c r="B1725" i="1" a="1"/>
  <c r="B1725" i="1" s="1"/>
  <c r="A1725" i="1" s="1"/>
  <c r="B1735" i="1" a="1"/>
  <c r="B1735" i="1" s="1"/>
  <c r="A1735" i="1" s="1"/>
  <c r="B1745" i="1" a="1"/>
  <c r="B1745" i="1" s="1"/>
  <c r="A1745" i="1" s="1"/>
  <c r="B1750" i="1" a="1"/>
  <c r="B1750" i="1" s="1"/>
  <c r="A1750" i="1" s="1"/>
  <c r="B1755" i="1" a="1"/>
  <c r="B1755" i="1" s="1"/>
  <c r="A1755" i="1" s="1"/>
  <c r="B1766" i="1" a="1"/>
  <c r="B1766" i="1" s="1"/>
  <c r="A1766" i="1" s="1"/>
  <c r="B1771" i="1" a="1"/>
  <c r="B1771" i="1" s="1"/>
  <c r="A1771" i="1" s="1"/>
  <c r="B1777" i="1" a="1"/>
  <c r="B1777" i="1" s="1"/>
  <c r="A1777" i="1" s="1"/>
  <c r="B1783" i="1" a="1"/>
  <c r="B1783" i="1" s="1"/>
  <c r="A1783" i="1" s="1"/>
  <c r="B1788" i="1" a="1"/>
  <c r="B1788" i="1" s="1"/>
  <c r="A1788" i="1" s="1"/>
  <c r="B1795" i="1" a="1"/>
  <c r="B1795" i="1" s="1"/>
  <c r="A1795" i="1" s="1"/>
  <c r="B1800" i="1" a="1"/>
  <c r="B1800" i="1" s="1"/>
  <c r="A1800" i="1" s="1"/>
  <c r="B1806" i="1" a="1"/>
  <c r="B1806" i="1" s="1"/>
  <c r="A1806" i="1" s="1"/>
  <c r="B1818" i="1" a="1"/>
  <c r="B1818" i="1" s="1"/>
  <c r="A1818" i="1" s="1"/>
  <c r="B1823" i="1" a="1"/>
  <c r="B1823" i="1" s="1"/>
  <c r="A1823" i="1" s="1"/>
  <c r="B1829" i="1" a="1"/>
  <c r="B1829" i="1" s="1"/>
  <c r="A1829" i="1" s="1"/>
  <c r="B1835" i="1" a="1"/>
  <c r="B1835" i="1" s="1"/>
  <c r="A1835" i="1" s="1"/>
  <c r="B1841" i="1" a="1"/>
  <c r="B1841" i="1" s="1"/>
  <c r="A1841" i="1" s="1"/>
  <c r="B1847" i="1" a="1"/>
  <c r="B1847" i="1" s="1"/>
  <c r="A1847" i="1" s="1"/>
  <c r="B1852" i="1" a="1"/>
  <c r="B1852" i="1" s="1"/>
  <c r="A1852" i="1" s="1"/>
  <c r="B1859" i="1" a="1"/>
  <c r="B1859" i="1" s="1"/>
  <c r="A1859" i="1" s="1"/>
  <c r="B1864" i="1" a="1"/>
  <c r="B1864" i="1" s="1"/>
  <c r="A1864" i="1" s="1"/>
  <c r="B1870" i="1" a="1"/>
  <c r="B1870" i="1" s="1"/>
  <c r="A1870" i="1" s="1"/>
  <c r="B1882" i="1" a="1"/>
  <c r="B1882" i="1" s="1"/>
  <c r="A1882" i="1" s="1"/>
  <c r="B1887" i="1" a="1"/>
  <c r="B1887" i="1" s="1"/>
  <c r="A1887" i="1" s="1"/>
  <c r="B1893" i="1" a="1"/>
  <c r="B1893" i="1" s="1"/>
  <c r="A1893" i="1" s="1"/>
  <c r="B1899" i="1" a="1"/>
  <c r="B1899" i="1" s="1"/>
  <c r="A1899" i="1" s="1"/>
  <c r="B1905" i="1" a="1"/>
  <c r="B1905" i="1" s="1"/>
  <c r="A1905" i="1" s="1"/>
  <c r="B1911" i="1" a="1"/>
  <c r="B1911" i="1" s="1"/>
  <c r="A1911" i="1" s="1"/>
  <c r="B1916" i="1" a="1"/>
  <c r="B1916" i="1" s="1"/>
  <c r="A1916" i="1" s="1"/>
  <c r="B1923" i="1" a="1"/>
  <c r="B1923" i="1" s="1"/>
  <c r="A1923" i="1" s="1"/>
  <c r="B1928" i="1" a="1"/>
  <c r="B1928" i="1" s="1"/>
  <c r="A1928" i="1" s="1"/>
  <c r="B1934" i="1" a="1"/>
  <c r="B1934" i="1" s="1"/>
  <c r="A1934" i="1" s="1"/>
  <c r="B1946" i="1" a="1"/>
  <c r="B1946" i="1" s="1"/>
  <c r="A1946" i="1" s="1"/>
  <c r="B1951" i="1" a="1"/>
  <c r="B1951" i="1" s="1"/>
  <c r="A1951" i="1" s="1"/>
  <c r="B1957" i="1" a="1"/>
  <c r="B1957" i="1" s="1"/>
  <c r="A1957" i="1" s="1"/>
  <c r="B1963" i="1" a="1"/>
  <c r="B1963" i="1" s="1"/>
  <c r="A1963" i="1" s="1"/>
  <c r="B1969" i="1" a="1"/>
  <c r="B1969" i="1" s="1"/>
  <c r="A1969" i="1" s="1"/>
  <c r="B1975" i="1" a="1"/>
  <c r="B1975" i="1" s="1"/>
  <c r="A1975" i="1" s="1"/>
  <c r="B1980" i="1" a="1"/>
  <c r="B1980" i="1" s="1"/>
  <c r="A1980" i="1" s="1"/>
  <c r="B1990" i="1" a="1"/>
  <c r="B1990" i="1" s="1"/>
  <c r="A1990" i="1" s="1"/>
  <c r="B1995" i="1" a="1"/>
  <c r="B1995" i="1" s="1"/>
  <c r="A1995" i="1" s="1"/>
  <c r="B2000" i="1" a="1"/>
  <c r="B2000" i="1" s="1"/>
  <c r="A2000" i="1" s="1"/>
  <c r="B2006" i="1" a="1"/>
  <c r="B2006" i="1" s="1"/>
  <c r="A2006" i="1" s="1"/>
  <c r="B2011" i="1" a="1"/>
  <c r="B2011" i="1" s="1"/>
  <c r="A2011" i="1" s="1"/>
  <c r="B2016" i="1" a="1"/>
  <c r="B2016" i="1" s="1"/>
  <c r="A2016" i="1" s="1"/>
  <c r="B2022" i="1" a="1"/>
  <c r="B2022" i="1" s="1"/>
  <c r="A2022" i="1" s="1"/>
  <c r="B2027" i="1" a="1"/>
  <c r="B2027" i="1" s="1"/>
  <c r="A2027" i="1" s="1"/>
  <c r="B2032" i="1" a="1"/>
  <c r="B2032" i="1" s="1"/>
  <c r="A2032" i="1" s="1"/>
  <c r="B2038" i="1" a="1"/>
  <c r="B2038" i="1" s="1"/>
  <c r="A2038" i="1" s="1"/>
  <c r="B2043" i="1" a="1"/>
  <c r="B2043" i="1" s="1"/>
  <c r="A2043" i="1" s="1"/>
  <c r="B2048" i="1" a="1"/>
  <c r="B2048" i="1" s="1"/>
  <c r="A2048" i="1" s="1"/>
  <c r="B2061" i="1" a="1"/>
  <c r="B2061" i="1" s="1"/>
  <c r="A2061" i="1" s="1"/>
  <c r="B2067" i="1" a="1"/>
  <c r="B2067" i="1" s="1"/>
  <c r="A2067" i="1" s="1"/>
  <c r="B2074" i="1" a="1"/>
  <c r="B2074" i="1" s="1"/>
  <c r="A2074" i="1" s="1"/>
  <c r="B2080" i="1" a="1"/>
  <c r="B2080" i="1" s="1"/>
  <c r="A2080" i="1" s="1"/>
  <c r="B2093" i="1" a="1"/>
  <c r="B2093" i="1" s="1"/>
  <c r="A2093" i="1" s="1"/>
  <c r="B2099" i="1" a="1"/>
  <c r="B2099" i="1" s="1"/>
  <c r="A2099" i="1" s="1"/>
  <c r="B2106" i="1" a="1"/>
  <c r="B2106" i="1" s="1"/>
  <c r="A2106" i="1" s="1"/>
  <c r="B2114" i="1" a="1"/>
  <c r="B2114" i="1" s="1"/>
  <c r="A2114" i="1" s="1"/>
  <c r="B2121" i="1" a="1"/>
  <c r="B2121" i="1" s="1"/>
  <c r="A2121" i="1" s="1"/>
  <c r="B2128" i="1" a="1"/>
  <c r="B2128" i="1" s="1"/>
  <c r="A2128" i="1" s="1"/>
  <c r="B2135" i="1" a="1"/>
  <c r="B2135" i="1" s="1"/>
  <c r="A2135" i="1" s="1"/>
  <c r="B2143" i="1" a="1"/>
  <c r="B2143" i="1" s="1"/>
  <c r="A2143" i="1" s="1"/>
  <c r="B2150" i="1" a="1"/>
  <c r="B2150" i="1" s="1"/>
  <c r="A2150" i="1" s="1"/>
  <c r="B2158" i="1" a="1"/>
  <c r="B2158" i="1" s="1"/>
  <c r="A2158" i="1" s="1"/>
  <c r="B2164" i="1" a="1"/>
  <c r="B2164" i="1" s="1"/>
  <c r="A2164" i="1" s="1"/>
  <c r="B2172" i="1" a="1"/>
  <c r="B2172" i="1" s="1"/>
  <c r="A2172" i="1" s="1"/>
  <c r="B2179" i="1" a="1"/>
  <c r="B2179" i="1" s="1"/>
  <c r="A2179" i="1" s="1"/>
  <c r="B2186" i="1" a="1"/>
  <c r="B2186" i="1" s="1"/>
  <c r="A2186" i="1" s="1"/>
  <c r="B2193" i="1" a="1"/>
  <c r="B2193" i="1" s="1"/>
  <c r="A2193" i="1" s="1"/>
  <c r="B2200" i="1" a="1"/>
  <c r="B2200" i="1" s="1"/>
  <c r="A2200" i="1" s="1"/>
  <c r="B2208" i="1" a="1"/>
  <c r="B2208" i="1" s="1"/>
  <c r="A2208" i="1" s="1"/>
  <c r="B2215" i="1" a="1"/>
  <c r="B2215" i="1" s="1"/>
  <c r="A2215" i="1" s="1"/>
  <c r="B2229" i="1" a="1"/>
  <c r="B2229" i="1" s="1"/>
  <c r="A2229" i="1" s="1"/>
  <c r="B2237" i="1" a="1"/>
  <c r="B2237" i="1" s="1"/>
  <c r="A2237" i="1" s="1"/>
  <c r="B2244" i="1" a="1"/>
  <c r="B2244" i="1" s="1"/>
  <c r="A2244" i="1" s="1"/>
  <c r="B2251" i="1" a="1"/>
  <c r="B2251" i="1" s="1"/>
  <c r="A2251" i="1" s="1"/>
  <c r="B2258" i="1" a="1"/>
  <c r="B2258" i="1" s="1"/>
  <c r="A2258" i="1" s="1"/>
  <c r="B2265" i="1" a="1"/>
  <c r="B2265" i="1" s="1"/>
  <c r="A2265" i="1" s="1"/>
  <c r="B2273" i="1" a="1"/>
  <c r="B2273" i="1" s="1"/>
  <c r="A2273" i="1" s="1"/>
  <c r="B2279" i="1" a="1"/>
  <c r="B2279" i="1" s="1"/>
  <c r="A2279" i="1" s="1"/>
  <c r="B2293" i="1" a="1"/>
  <c r="B2293" i="1" s="1"/>
  <c r="A2293" i="1" s="1"/>
  <c r="B2301" i="1" a="1"/>
  <c r="B2301" i="1" s="1"/>
  <c r="A2301" i="1" s="1"/>
  <c r="B2308" i="1" a="1"/>
  <c r="B2308" i="1" s="1"/>
  <c r="A2308" i="1" s="1"/>
  <c r="B2315" i="1" a="1"/>
  <c r="B2315" i="1" s="1"/>
  <c r="A2315" i="1" s="1"/>
  <c r="B2322" i="1" a="1"/>
  <c r="B2322" i="1" s="1"/>
  <c r="A2322" i="1" s="1"/>
  <c r="B2329" i="1" a="1"/>
  <c r="B2329" i="1" s="1"/>
  <c r="A2329" i="1" s="1"/>
  <c r="B2337" i="1" a="1"/>
  <c r="B2337" i="1" s="1"/>
  <c r="A2337" i="1" s="1"/>
  <c r="B2343" i="1" a="1"/>
  <c r="B2343" i="1" s="1"/>
  <c r="A2343" i="1" s="1"/>
  <c r="B2357" i="1" a="1"/>
  <c r="B2357" i="1" s="1"/>
  <c r="A2357" i="1" s="1"/>
  <c r="B2365" i="1" a="1"/>
  <c r="B2365" i="1" s="1"/>
  <c r="A2365" i="1" s="1"/>
  <c r="B2372" i="1" a="1"/>
  <c r="B2372" i="1" s="1"/>
  <c r="A2372" i="1" s="1"/>
  <c r="B2379" i="1" a="1"/>
  <c r="B2379" i="1" s="1"/>
  <c r="A2379" i="1" s="1"/>
  <c r="B2386" i="1" a="1"/>
  <c r="B2386" i="1" s="1"/>
  <c r="A2386" i="1" s="1"/>
  <c r="B2393" i="1" a="1"/>
  <c r="B2393" i="1" s="1"/>
  <c r="A2393" i="1" s="1"/>
  <c r="B2401" i="1" a="1"/>
  <c r="B2401" i="1" s="1"/>
  <c r="A2401" i="1" s="1"/>
  <c r="B2407" i="1" a="1"/>
  <c r="B2407" i="1" s="1"/>
  <c r="A2407" i="1" s="1"/>
  <c r="B2421" i="1" a="1"/>
  <c r="B2421" i="1" s="1"/>
  <c r="A2421" i="1" s="1"/>
  <c r="B2429" i="1" a="1"/>
  <c r="B2429" i="1" s="1"/>
  <c r="A2429" i="1" s="1"/>
  <c r="B2437" i="1" a="1"/>
  <c r="B2437" i="1" s="1"/>
  <c r="A2437" i="1" s="1"/>
  <c r="B2444" i="1" a="1"/>
  <c r="B2444" i="1" s="1"/>
  <c r="A2444" i="1" s="1"/>
  <c r="B2458" i="1" a="1"/>
  <c r="B2458" i="1" s="1"/>
  <c r="A2458" i="1" s="1"/>
  <c r="B2466" i="1" a="1"/>
  <c r="B2466" i="1" s="1"/>
  <c r="A2466" i="1" s="1"/>
  <c r="B2473" i="1" a="1"/>
  <c r="B2473" i="1" s="1"/>
  <c r="A2473" i="1" s="1"/>
  <c r="B2480" i="1" a="1"/>
  <c r="B2480" i="1" s="1"/>
  <c r="A2480" i="1" s="1"/>
  <c r="B2487" i="1" a="1"/>
  <c r="B2487" i="1" s="1"/>
  <c r="A2487" i="1" s="1"/>
  <c r="B2495" i="1" a="1"/>
  <c r="B2495" i="1" s="1"/>
  <c r="A2495" i="1" s="1"/>
  <c r="B2510" i="1" a="1"/>
  <c r="B2510" i="1" s="1"/>
  <c r="A2510" i="1" s="1"/>
  <c r="B2517" i="1" a="1"/>
  <c r="B2517" i="1" s="1"/>
  <c r="A2517" i="1" s="1"/>
  <c r="B2524" i="1" a="1"/>
  <c r="B2524" i="1" s="1"/>
  <c r="A2524" i="1" s="1"/>
  <c r="B2531" i="1" a="1"/>
  <c r="B2531" i="1" s="1"/>
  <c r="A2531" i="1" s="1"/>
  <c r="B1140" i="1" a="1"/>
  <c r="B1140" i="1" s="1"/>
  <c r="A1140" i="1" s="1"/>
  <c r="B1202" i="1" a="1"/>
  <c r="B1202" i="1" s="1"/>
  <c r="A1202" i="1" s="1"/>
  <c r="B1258" i="1" a="1"/>
  <c r="B1258" i="1" s="1"/>
  <c r="A1258" i="1" s="1"/>
  <c r="B1308" i="1" a="1"/>
  <c r="B1308" i="1" s="1"/>
  <c r="A1308" i="1" s="1"/>
  <c r="B1381" i="1" a="1"/>
  <c r="B1381" i="1" s="1"/>
  <c r="A1381" i="1" s="1"/>
  <c r="B1418" i="1" a="1"/>
  <c r="B1418" i="1" s="1"/>
  <c r="A1418" i="1" s="1"/>
  <c r="B1460" i="1" a="1"/>
  <c r="B1460" i="1" s="1"/>
  <c r="A1460" i="1" s="1"/>
  <c r="B1547" i="1" a="1"/>
  <c r="B1547" i="1" s="1"/>
  <c r="A1547" i="1" s="1"/>
  <c r="B1564" i="1" a="1"/>
  <c r="B1564" i="1" s="1"/>
  <c r="A1564" i="1" s="1"/>
  <c r="B1571" i="1" a="1"/>
  <c r="B1571" i="1" s="1"/>
  <c r="A1571" i="1" s="1"/>
  <c r="B1577" i="1" a="1"/>
  <c r="B1577" i="1" s="1"/>
  <c r="A1577" i="1" s="1"/>
  <c r="B1583" i="1" a="1"/>
  <c r="B1583" i="1" s="1"/>
  <c r="A1583" i="1" s="1"/>
  <c r="B1589" i="1" a="1"/>
  <c r="B1589" i="1" s="1"/>
  <c r="A1589" i="1" s="1"/>
  <c r="B1601" i="1" a="1"/>
  <c r="B1601" i="1" s="1"/>
  <c r="A1601" i="1" s="1"/>
  <c r="B1608" i="1" a="1"/>
  <c r="B1608" i="1" s="1"/>
  <c r="A1608" i="1" s="1"/>
  <c r="B1613" i="1" a="1"/>
  <c r="B1613" i="1" s="1"/>
  <c r="A1613" i="1" s="1"/>
  <c r="B1618" i="1" a="1"/>
  <c r="B1618" i="1" s="1"/>
  <c r="A1618" i="1" s="1"/>
  <c r="B1637" i="1" a="1"/>
  <c r="B1637" i="1" s="1"/>
  <c r="A1637" i="1" s="1"/>
  <c r="B1652" i="1" a="1"/>
  <c r="B1652" i="1" s="1"/>
  <c r="A1652" i="1" s="1"/>
  <c r="B1657" i="1" a="1"/>
  <c r="B1657" i="1" s="1"/>
  <c r="A1657" i="1" s="1"/>
  <c r="B1662" i="1" a="1"/>
  <c r="B1662" i="1" s="1"/>
  <c r="A1662" i="1" s="1"/>
  <c r="B1667" i="1" a="1"/>
  <c r="B1667" i="1" s="1"/>
  <c r="A1667" i="1" s="1"/>
  <c r="B1672" i="1" a="1"/>
  <c r="B1672" i="1" s="1"/>
  <c r="A1672" i="1" s="1"/>
  <c r="B1677" i="1" a="1"/>
  <c r="B1677" i="1" s="1"/>
  <c r="A1677" i="1" s="1"/>
  <c r="B1682" i="1" a="1"/>
  <c r="B1682" i="1" s="1"/>
  <c r="A1682" i="1" s="1"/>
  <c r="B1701" i="1" a="1"/>
  <c r="B1701" i="1" s="1"/>
  <c r="A1701" i="1" s="1"/>
  <c r="B1716" i="1" a="1"/>
  <c r="B1716" i="1" s="1"/>
  <c r="A1716" i="1" s="1"/>
  <c r="B1721" i="1" a="1"/>
  <c r="B1721" i="1" s="1"/>
  <c r="A1721" i="1" s="1"/>
  <c r="B1726" i="1" a="1"/>
  <c r="B1726" i="1" s="1"/>
  <c r="A1726" i="1" s="1"/>
  <c r="B1731" i="1" a="1"/>
  <c r="B1731" i="1" s="1"/>
  <c r="A1731" i="1" s="1"/>
  <c r="B1736" i="1" a="1"/>
  <c r="B1736" i="1" s="1"/>
  <c r="A1736" i="1" s="1"/>
  <c r="B1741" i="1" a="1"/>
  <c r="B1741" i="1" s="1"/>
  <c r="A1741" i="1" s="1"/>
  <c r="B1746" i="1" a="1"/>
  <c r="B1746" i="1" s="1"/>
  <c r="A1746" i="1" s="1"/>
  <c r="B1761" i="1" a="1"/>
  <c r="B1761" i="1" s="1"/>
  <c r="A1761" i="1" s="1"/>
  <c r="B1772" i="1" a="1"/>
  <c r="B1772" i="1" s="1"/>
  <c r="A1772" i="1" s="1"/>
  <c r="B1778" i="1" a="1"/>
  <c r="B1778" i="1" s="1"/>
  <c r="A1778" i="1" s="1"/>
  <c r="B1784" i="1" a="1"/>
  <c r="B1784" i="1" s="1"/>
  <c r="A1784" i="1" s="1"/>
  <c r="B1801" i="1" a="1"/>
  <c r="B1801" i="1" s="1"/>
  <c r="A1801" i="1" s="1"/>
  <c r="B1807" i="1" a="1"/>
  <c r="B1807" i="1" s="1"/>
  <c r="A1807" i="1" s="1"/>
  <c r="B1812" i="1" a="1"/>
  <c r="B1812" i="1" s="1"/>
  <c r="A1812" i="1" s="1"/>
  <c r="B1824" i="1" a="1"/>
  <c r="B1824" i="1" s="1"/>
  <c r="A1824" i="1" s="1"/>
  <c r="B1830" i="1" a="1"/>
  <c r="B1830" i="1" s="1"/>
  <c r="A1830" i="1" s="1"/>
  <c r="B1836" i="1" a="1"/>
  <c r="B1836" i="1" s="1"/>
  <c r="A1836" i="1" s="1"/>
  <c r="B1842" i="1" a="1"/>
  <c r="B1842" i="1" s="1"/>
  <c r="A1842" i="1" s="1"/>
  <c r="B1848" i="1" a="1"/>
  <c r="B1848" i="1" s="1"/>
  <c r="A1848" i="1" s="1"/>
  <c r="B1865" i="1" a="1"/>
  <c r="B1865" i="1" s="1"/>
  <c r="A1865" i="1" s="1"/>
  <c r="B1871" i="1" a="1"/>
  <c r="B1871" i="1" s="1"/>
  <c r="A1871" i="1" s="1"/>
  <c r="B1876" i="1" a="1"/>
  <c r="B1876" i="1" s="1"/>
  <c r="A1876" i="1" s="1"/>
  <c r="B1888" i="1" a="1"/>
  <c r="B1888" i="1" s="1"/>
  <c r="A1888" i="1" s="1"/>
  <c r="B1894" i="1" a="1"/>
  <c r="B1894" i="1" s="1"/>
  <c r="A1894" i="1" s="1"/>
  <c r="B1900" i="1" a="1"/>
  <c r="B1900" i="1" s="1"/>
  <c r="A1900" i="1" s="1"/>
  <c r="B1906" i="1" a="1"/>
  <c r="B1906" i="1" s="1"/>
  <c r="A1906" i="1" s="1"/>
  <c r="B1912" i="1" a="1"/>
  <c r="B1912" i="1" s="1"/>
  <c r="A1912" i="1" s="1"/>
  <c r="B1929" i="1" a="1"/>
  <c r="B1929" i="1" s="1"/>
  <c r="A1929" i="1" s="1"/>
  <c r="B1935" i="1" a="1"/>
  <c r="B1935" i="1" s="1"/>
  <c r="A1935" i="1" s="1"/>
  <c r="B1940" i="1" a="1"/>
  <c r="B1940" i="1" s="1"/>
  <c r="A1940" i="1" s="1"/>
  <c r="B1952" i="1" a="1"/>
  <c r="B1952" i="1" s="1"/>
  <c r="A1952" i="1" s="1"/>
  <c r="B1958" i="1" a="1"/>
  <c r="B1958" i="1" s="1"/>
  <c r="A1958" i="1" s="1"/>
  <c r="B1964" i="1" a="1"/>
  <c r="B1964" i="1" s="1"/>
  <c r="A1964" i="1" s="1"/>
  <c r="B1970" i="1" a="1"/>
  <c r="B1970" i="1" s="1"/>
  <c r="A1970" i="1" s="1"/>
  <c r="B1976" i="1" a="1"/>
  <c r="B1976" i="1" s="1"/>
  <c r="A1976" i="1" s="1"/>
  <c r="B1985" i="1" a="1"/>
  <c r="B1985" i="1" s="1"/>
  <c r="A1985" i="1" s="1"/>
  <c r="B2001" i="1" a="1"/>
  <c r="B2001" i="1" s="1"/>
  <c r="A2001" i="1" s="1"/>
  <c r="B2017" i="1" a="1"/>
  <c r="B2017" i="1" s="1"/>
  <c r="A2017" i="1" s="1"/>
  <c r="B2033" i="1" a="1"/>
  <c r="B2033" i="1" s="1"/>
  <c r="A2033" i="1" s="1"/>
  <c r="B2049" i="1" a="1"/>
  <c r="B2049" i="1" s="1"/>
  <c r="A2049" i="1" s="1"/>
  <c r="B2055" i="1" a="1"/>
  <c r="B2055" i="1" s="1"/>
  <c r="A2055" i="1" s="1"/>
  <c r="B2062" i="1" a="1"/>
  <c r="B2062" i="1" s="1"/>
  <c r="A2062" i="1" s="1"/>
  <c r="B2068" i="1" a="1"/>
  <c r="B2068" i="1" s="1"/>
  <c r="A2068" i="1" s="1"/>
  <c r="B2081" i="1" a="1"/>
  <c r="B2081" i="1" s="1"/>
  <c r="A2081" i="1" s="1"/>
  <c r="B2087" i="1" a="1"/>
  <c r="B2087" i="1" s="1"/>
  <c r="A2087" i="1" s="1"/>
  <c r="B2094" i="1" a="1"/>
  <c r="B2094" i="1" s="1"/>
  <c r="A2094" i="1" s="1"/>
  <c r="B2100" i="1" a="1"/>
  <c r="B2100" i="1" s="1"/>
  <c r="A2100" i="1" s="1"/>
  <c r="B2107" i="1" a="1"/>
  <c r="B2107" i="1" s="1"/>
  <c r="A2107" i="1" s="1"/>
  <c r="B2122" i="1" a="1"/>
  <c r="B2122" i="1" s="1"/>
  <c r="A2122" i="1" s="1"/>
  <c r="B2129" i="1" a="1"/>
  <c r="B2129" i="1" s="1"/>
  <c r="A2129" i="1" s="1"/>
  <c r="B2136" i="1" a="1"/>
  <c r="B2136" i="1" s="1"/>
  <c r="A2136" i="1" s="1"/>
  <c r="B2144" i="1" a="1"/>
  <c r="B2144" i="1" s="1"/>
  <c r="A2144" i="1" s="1"/>
  <c r="B2151" i="1" a="1"/>
  <c r="B2151" i="1" s="1"/>
  <c r="A2151" i="1" s="1"/>
  <c r="B2165" i="1" a="1"/>
  <c r="B2165" i="1" s="1"/>
  <c r="A2165" i="1" s="1"/>
  <c r="B2173" i="1" a="1"/>
  <c r="B2173" i="1" s="1"/>
  <c r="A2173" i="1" s="1"/>
  <c r="B2180" i="1" a="1"/>
  <c r="B2180" i="1" s="1"/>
  <c r="A2180" i="1" s="1"/>
  <c r="B2187" i="1" a="1"/>
  <c r="B2187" i="1" s="1"/>
  <c r="A2187" i="1" s="1"/>
  <c r="B2194" i="1" a="1"/>
  <c r="B2194" i="1" s="1"/>
  <c r="A2194" i="1" s="1"/>
  <c r="B2201" i="1" a="1"/>
  <c r="B2201" i="1" s="1"/>
  <c r="A2201" i="1" s="1"/>
  <c r="B2209" i="1" a="1"/>
  <c r="B2209" i="1" s="1"/>
  <c r="A2209" i="1" s="1"/>
  <c r="B2216" i="1" a="1"/>
  <c r="B2216" i="1" s="1"/>
  <c r="A2216" i="1" s="1"/>
  <c r="B2223" i="1" a="1"/>
  <c r="B2223" i="1" s="1"/>
  <c r="A2223" i="1" s="1"/>
  <c r="B2230" i="1" a="1"/>
  <c r="B2230" i="1" s="1"/>
  <c r="A2230" i="1" s="1"/>
  <c r="B2238" i="1" a="1"/>
  <c r="B2238" i="1" s="1"/>
  <c r="A2238" i="1" s="1"/>
  <c r="B2245" i="1" a="1"/>
  <c r="B2245" i="1" s="1"/>
  <c r="A2245" i="1" s="1"/>
  <c r="B2252" i="1" a="1"/>
  <c r="B2252" i="1" s="1"/>
  <c r="A2252" i="1" s="1"/>
  <c r="B2266" i="1" a="1"/>
  <c r="B2266" i="1" s="1"/>
  <c r="A2266" i="1" s="1"/>
  <c r="B2274" i="1" a="1"/>
  <c r="B2274" i="1" s="1"/>
  <c r="A2274" i="1" s="1"/>
  <c r="B2280" i="1" a="1"/>
  <c r="B2280" i="1" s="1"/>
  <c r="A2280" i="1" s="1"/>
  <c r="B2287" i="1" a="1"/>
  <c r="B2287" i="1" s="1"/>
  <c r="A2287" i="1" s="1"/>
  <c r="B2294" i="1" a="1"/>
  <c r="B2294" i="1" s="1"/>
  <c r="A2294" i="1" s="1"/>
  <c r="B2302" i="1" a="1"/>
  <c r="B2302" i="1" s="1"/>
  <c r="A2302" i="1" s="1"/>
  <c r="B2309" i="1" a="1"/>
  <c r="B2309" i="1" s="1"/>
  <c r="A2309" i="1" s="1"/>
  <c r="B2316" i="1" a="1"/>
  <c r="B2316" i="1" s="1"/>
  <c r="A2316" i="1" s="1"/>
  <c r="B2330" i="1" a="1"/>
  <c r="B2330" i="1" s="1"/>
  <c r="A2330" i="1" s="1"/>
  <c r="B2338" i="1" a="1"/>
  <c r="B2338" i="1" s="1"/>
  <c r="A2338" i="1" s="1"/>
  <c r="B2344" i="1" a="1"/>
  <c r="B2344" i="1" s="1"/>
  <c r="A2344" i="1" s="1"/>
  <c r="B2351" i="1" a="1"/>
  <c r="B2351" i="1" s="1"/>
  <c r="A2351" i="1" s="1"/>
  <c r="B2358" i="1" a="1"/>
  <c r="B2358" i="1" s="1"/>
  <c r="A2358" i="1" s="1"/>
  <c r="B2366" i="1" a="1"/>
  <c r="B2366" i="1" s="1"/>
  <c r="A2366" i="1" s="1"/>
  <c r="B2373" i="1" a="1"/>
  <c r="B2373" i="1" s="1"/>
  <c r="A2373" i="1" s="1"/>
  <c r="B2380" i="1" a="1"/>
  <c r="B2380" i="1" s="1"/>
  <c r="A2380" i="1" s="1"/>
  <c r="B2394" i="1" a="1"/>
  <c r="B2394" i="1" s="1"/>
  <c r="A2394" i="1" s="1"/>
  <c r="B2402" i="1" a="1"/>
  <c r="B2402" i="1" s="1"/>
  <c r="A2402" i="1" s="1"/>
  <c r="B2408" i="1" a="1"/>
  <c r="B2408" i="1" s="1"/>
  <c r="A2408" i="1" s="1"/>
  <c r="B2415" i="1" a="1"/>
  <c r="B2415" i="1" s="1"/>
  <c r="A2415" i="1" s="1"/>
  <c r="B2422" i="1" a="1"/>
  <c r="B2422" i="1" s="1"/>
  <c r="A2422" i="1" s="1"/>
  <c r="B2430" i="1" a="1"/>
  <c r="B2430" i="1" s="1"/>
  <c r="A2430" i="1" s="1"/>
  <c r="B2438" i="1" a="1"/>
  <c r="B2438" i="1" s="1"/>
  <c r="A2438" i="1" s="1"/>
  <c r="B2445" i="1" a="1"/>
  <c r="B2445" i="1" s="1"/>
  <c r="A2445" i="1" s="1"/>
  <c r="B2451" i="1" a="1"/>
  <c r="B2451" i="1" s="1"/>
  <c r="A2451" i="1" s="1"/>
  <c r="B2459" i="1" a="1"/>
  <c r="B2459" i="1" s="1"/>
  <c r="A2459" i="1" s="1"/>
  <c r="B2467" i="1" a="1"/>
  <c r="B2467" i="1" s="1"/>
  <c r="A2467" i="1" s="1"/>
  <c r="B2474" i="1" a="1"/>
  <c r="B2474" i="1" s="1"/>
  <c r="A2474" i="1" s="1"/>
  <c r="B2481" i="1" a="1"/>
  <c r="B2481" i="1" s="1"/>
  <c r="A2481" i="1" s="1"/>
  <c r="B2488" i="1" a="1"/>
  <c r="B2488" i="1" s="1"/>
  <c r="A2488" i="1" s="1"/>
  <c r="B2496" i="1" a="1"/>
  <c r="B2496" i="1" s="1"/>
  <c r="A2496" i="1" s="1"/>
  <c r="B2503" i="1" a="1"/>
  <c r="B2503" i="1" s="1"/>
  <c r="A2503" i="1" s="1"/>
  <c r="B2511" i="1" a="1"/>
  <c r="B2511" i="1" s="1"/>
  <c r="A2511" i="1" s="1"/>
  <c r="B2518" i="1" a="1"/>
  <c r="B2518" i="1" s="1"/>
  <c r="A2518" i="1" s="1"/>
  <c r="B2525" i="1" a="1"/>
  <c r="B2525" i="1" s="1"/>
  <c r="A2525" i="1" s="1"/>
  <c r="B2532" i="1" a="1"/>
  <c r="B2532" i="1" s="1"/>
  <c r="A2532" i="1" s="1"/>
  <c r="B2539" i="1" a="1"/>
  <c r="B2539" i="1" s="1"/>
  <c r="A2539" i="1" s="1"/>
  <c r="B763" i="1" a="1"/>
  <c r="B763" i="1" s="1"/>
  <c r="B1150" i="1" a="1"/>
  <c r="B1150" i="1" s="1"/>
  <c r="A1150" i="1" s="1"/>
  <c r="B1209" i="1" a="1"/>
  <c r="B1209" i="1" s="1"/>
  <c r="A1209" i="1" s="1"/>
  <c r="B1264" i="1" a="1"/>
  <c r="B1264" i="1" s="1"/>
  <c r="A1264" i="1" s="1"/>
  <c r="B1349" i="1" a="1"/>
  <c r="B1349" i="1" s="1"/>
  <c r="A1349" i="1" s="1"/>
  <c r="B1386" i="1" a="1"/>
  <c r="B1386" i="1" s="1"/>
  <c r="A1386" i="1" s="1"/>
  <c r="B1423" i="1" a="1"/>
  <c r="B1423" i="1" s="1"/>
  <c r="A1423" i="1" s="1"/>
  <c r="B1465" i="1" a="1"/>
  <c r="B1465" i="1" s="1"/>
  <c r="A1465" i="1" s="1"/>
  <c r="B1511" i="1" a="1"/>
  <c r="B1511" i="1" s="1"/>
  <c r="A1511" i="1" s="1"/>
  <c r="B1549" i="1" a="1"/>
  <c r="B1549" i="1" s="1"/>
  <c r="A1549" i="1" s="1"/>
  <c r="B1572" i="1" a="1"/>
  <c r="B1572" i="1" s="1"/>
  <c r="A1572" i="1" s="1"/>
  <c r="B1578" i="1" a="1"/>
  <c r="B1578" i="1" s="1"/>
  <c r="A1578" i="1" s="1"/>
  <c r="B1584" i="1" a="1"/>
  <c r="B1584" i="1" s="1"/>
  <c r="A1584" i="1" s="1"/>
  <c r="B1590" i="1" a="1"/>
  <c r="B1590" i="1" s="1"/>
  <c r="A1590" i="1" s="1"/>
  <c r="B1596" i="1" a="1"/>
  <c r="B1596" i="1" s="1"/>
  <c r="A1596" i="1" s="1"/>
  <c r="B1602" i="1" a="1"/>
  <c r="B1602" i="1" s="1"/>
  <c r="A1602" i="1" s="1"/>
  <c r="B1614" i="1" a="1"/>
  <c r="B1614" i="1" s="1"/>
  <c r="A1614" i="1" s="1"/>
  <c r="B1623" i="1" a="1"/>
  <c r="B1623" i="1" s="1"/>
  <c r="A1623" i="1" s="1"/>
  <c r="B1628" i="1" a="1"/>
  <c r="B1628" i="1" s="1"/>
  <c r="A1628" i="1" s="1"/>
  <c r="B1633" i="1" a="1"/>
  <c r="B1633" i="1" s="1"/>
  <c r="A1633" i="1" s="1"/>
  <c r="B1638" i="1" a="1"/>
  <c r="B1638" i="1" s="1"/>
  <c r="A1638" i="1" s="1"/>
  <c r="B1643" i="1" a="1"/>
  <c r="B1643" i="1" s="1"/>
  <c r="A1643" i="1" s="1"/>
  <c r="B1648" i="1" a="1"/>
  <c r="B1648" i="1" s="1"/>
  <c r="A1648" i="1" s="1"/>
  <c r="B1658" i="1" a="1"/>
  <c r="B1658" i="1" s="1"/>
  <c r="A1658" i="1" s="1"/>
  <c r="B1678" i="1" a="1"/>
  <c r="B1678" i="1" s="1"/>
  <c r="A1678" i="1" s="1"/>
  <c r="B1687" i="1" a="1"/>
  <c r="B1687" i="1" s="1"/>
  <c r="A1687" i="1" s="1"/>
  <c r="B1692" i="1" a="1"/>
  <c r="B1692" i="1" s="1"/>
  <c r="A1692" i="1" s="1"/>
  <c r="B1697" i="1" a="1"/>
  <c r="B1697" i="1" s="1"/>
  <c r="A1697" i="1" s="1"/>
  <c r="B1702" i="1" a="1"/>
  <c r="B1702" i="1" s="1"/>
  <c r="A1702" i="1" s="1"/>
  <c r="B1707" i="1" a="1"/>
  <c r="B1707" i="1" s="1"/>
  <c r="A1707" i="1" s="1"/>
  <c r="B1712" i="1" a="1"/>
  <c r="B1712" i="1" s="1"/>
  <c r="A1712" i="1" s="1"/>
  <c r="B1722" i="1" a="1"/>
  <c r="B1722" i="1" s="1"/>
  <c r="A1722" i="1" s="1"/>
  <c r="B1742" i="1" a="1"/>
  <c r="B1742" i="1" s="1"/>
  <c r="A1742" i="1" s="1"/>
  <c r="B1751" i="1" a="1"/>
  <c r="B1751" i="1" s="1"/>
  <c r="A1751" i="1" s="1"/>
  <c r="B1756" i="1" a="1"/>
  <c r="B1756" i="1" s="1"/>
  <c r="A1756" i="1" s="1"/>
  <c r="B1762" i="1" a="1"/>
  <c r="B1762" i="1" s="1"/>
  <c r="A1762" i="1" s="1"/>
  <c r="B1767" i="1" a="1"/>
  <c r="B1767" i="1" s="1"/>
  <c r="A1767" i="1" s="1"/>
  <c r="B1789" i="1" a="1"/>
  <c r="B1789" i="1" s="1"/>
  <c r="A1789" i="1" s="1"/>
  <c r="B1796" i="1" a="1"/>
  <c r="B1796" i="1" s="1"/>
  <c r="A1796" i="1" s="1"/>
  <c r="B1802" i="1" a="1"/>
  <c r="B1802" i="1" s="1"/>
  <c r="A1802" i="1" s="1"/>
  <c r="B1813" i="1" a="1"/>
  <c r="B1813" i="1" s="1"/>
  <c r="A1813" i="1" s="1"/>
  <c r="B1819" i="1" a="1"/>
  <c r="B1819" i="1" s="1"/>
  <c r="A1819" i="1" s="1"/>
  <c r="B1825" i="1" a="1"/>
  <c r="B1825" i="1" s="1"/>
  <c r="A1825" i="1" s="1"/>
  <c r="B1853" i="1" a="1"/>
  <c r="B1853" i="1" s="1"/>
  <c r="A1853" i="1" s="1"/>
  <c r="B1860" i="1" a="1"/>
  <c r="B1860" i="1" s="1"/>
  <c r="A1860" i="1" s="1"/>
  <c r="B1866" i="1" a="1"/>
  <c r="B1866" i="1" s="1"/>
  <c r="A1866" i="1" s="1"/>
  <c r="B1877" i="1" a="1"/>
  <c r="B1877" i="1" s="1"/>
  <c r="A1877" i="1" s="1"/>
  <c r="B1883" i="1" a="1"/>
  <c r="B1883" i="1" s="1"/>
  <c r="A1883" i="1" s="1"/>
  <c r="B1889" i="1" a="1"/>
  <c r="B1889" i="1" s="1"/>
  <c r="A1889" i="1" s="1"/>
  <c r="B1917" i="1" a="1"/>
  <c r="B1917" i="1" s="1"/>
  <c r="A1917" i="1" s="1"/>
  <c r="B1924" i="1" a="1"/>
  <c r="B1924" i="1" s="1"/>
  <c r="A1924" i="1" s="1"/>
  <c r="B1930" i="1" a="1"/>
  <c r="B1930" i="1" s="1"/>
  <c r="A1930" i="1" s="1"/>
  <c r="B1941" i="1" a="1"/>
  <c r="B1941" i="1" s="1"/>
  <c r="A1941" i="1" s="1"/>
  <c r="B1947" i="1" a="1"/>
  <c r="B1947" i="1" s="1"/>
  <c r="A1947" i="1" s="1"/>
  <c r="B1953" i="1" a="1"/>
  <c r="B1953" i="1" s="1"/>
  <c r="A1953" i="1" s="1"/>
  <c r="B1981" i="1" a="1"/>
  <c r="B1981" i="1" s="1"/>
  <c r="A1981" i="1" s="1"/>
  <c r="B1986" i="1" a="1"/>
  <c r="B1986" i="1" s="1"/>
  <c r="A1986" i="1" s="1"/>
  <c r="B1991" i="1" a="1"/>
  <c r="B1991" i="1" s="1"/>
  <c r="A1991" i="1" s="1"/>
  <c r="B1996" i="1" a="1"/>
  <c r="B1996" i="1" s="1"/>
  <c r="A1996" i="1" s="1"/>
  <c r="B2002" i="1" a="1"/>
  <c r="B2002" i="1" s="1"/>
  <c r="A2002" i="1" s="1"/>
  <c r="B2007" i="1" a="1"/>
  <c r="B2007" i="1" s="1"/>
  <c r="A2007" i="1" s="1"/>
  <c r="B2012" i="1" a="1"/>
  <c r="B2012" i="1" s="1"/>
  <c r="A2012" i="1" s="1"/>
  <c r="B2018" i="1" a="1"/>
  <c r="B2018" i="1" s="1"/>
  <c r="A2018" i="1" s="1"/>
  <c r="B2023" i="1" a="1"/>
  <c r="B2023" i="1" s="1"/>
  <c r="A2023" i="1" s="1"/>
  <c r="B2028" i="1" a="1"/>
  <c r="B2028" i="1" s="1"/>
  <c r="A2028" i="1" s="1"/>
  <c r="B2034" i="1" a="1"/>
  <c r="B2034" i="1" s="1"/>
  <c r="A2034" i="1" s="1"/>
  <c r="B2039" i="1" a="1"/>
  <c r="B2039" i="1" s="1"/>
  <c r="A2039" i="1" s="1"/>
  <c r="B2044" i="1" a="1"/>
  <c r="B2044" i="1" s="1"/>
  <c r="A2044" i="1" s="1"/>
  <c r="B2050" i="1" a="1"/>
  <c r="B2050" i="1" s="1"/>
  <c r="A2050" i="1" s="1"/>
  <c r="B2056" i="1" a="1"/>
  <c r="B2056" i="1" s="1"/>
  <c r="A2056" i="1" s="1"/>
  <c r="B2069" i="1" a="1"/>
  <c r="B2069" i="1" s="1"/>
  <c r="A2069" i="1" s="1"/>
  <c r="B2075" i="1" a="1"/>
  <c r="B2075" i="1" s="1"/>
  <c r="A2075" i="1" s="1"/>
  <c r="B2082" i="1" a="1"/>
  <c r="B2082" i="1" s="1"/>
  <c r="A2082" i="1" s="1"/>
  <c r="B2088" i="1" a="1"/>
  <c r="B2088" i="1" s="1"/>
  <c r="A2088" i="1" s="1"/>
  <c r="B2101" i="1" a="1"/>
  <c r="B2101" i="1" s="1"/>
  <c r="A2101" i="1" s="1"/>
  <c r="B2108" i="1" a="1"/>
  <c r="B2108" i="1" s="1"/>
  <c r="A2108" i="1" s="1"/>
  <c r="B2115" i="1" a="1"/>
  <c r="B2115" i="1" s="1"/>
  <c r="A2115" i="1" s="1"/>
  <c r="B2123" i="1" a="1"/>
  <c r="B2123" i="1" s="1"/>
  <c r="A2123" i="1" s="1"/>
  <c r="B2130" i="1" a="1"/>
  <c r="B2130" i="1" s="1"/>
  <c r="A2130" i="1" s="1"/>
  <c r="B2137" i="1" a="1"/>
  <c r="B2137" i="1" s="1"/>
  <c r="A2137" i="1" s="1"/>
  <c r="B2145" i="1" a="1"/>
  <c r="B2145" i="1" s="1"/>
  <c r="A2145" i="1" s="1"/>
  <c r="B2152" i="1" a="1"/>
  <c r="B2152" i="1" s="1"/>
  <c r="A2152" i="1" s="1"/>
  <c r="B2159" i="1" a="1"/>
  <c r="B2159" i="1" s="1"/>
  <c r="A2159" i="1" s="1"/>
  <c r="B2166" i="1" a="1"/>
  <c r="B2166" i="1" s="1"/>
  <c r="A2166" i="1" s="1"/>
  <c r="B2174" i="1" a="1"/>
  <c r="B2174" i="1" s="1"/>
  <c r="A2174" i="1" s="1"/>
  <c r="B2181" i="1" a="1"/>
  <c r="B2181" i="1" s="1"/>
  <c r="A2181" i="1" s="1"/>
  <c r="B2188" i="1" a="1"/>
  <c r="B2188" i="1" s="1"/>
  <c r="A2188" i="1" s="1"/>
  <c r="B2202" i="1" a="1"/>
  <c r="B2202" i="1" s="1"/>
  <c r="A2202" i="1" s="1"/>
  <c r="B2210" i="1" a="1"/>
  <c r="B2210" i="1" s="1"/>
  <c r="A2210" i="1" s="1"/>
  <c r="B2217" i="1" a="1"/>
  <c r="B2217" i="1" s="1"/>
  <c r="A2217" i="1" s="1"/>
  <c r="B2224" i="1" a="1"/>
  <c r="B2224" i="1" s="1"/>
  <c r="A2224" i="1" s="1"/>
  <c r="B2231" i="1" a="1"/>
  <c r="B2231" i="1" s="1"/>
  <c r="A2231" i="1" s="1"/>
  <c r="B2239" i="1" a="1"/>
  <c r="B2239" i="1" s="1"/>
  <c r="A2239" i="1" s="1"/>
  <c r="B2246" i="1" a="1"/>
  <c r="B2246" i="1" s="1"/>
  <c r="A2246" i="1" s="1"/>
  <c r="B2253" i="1" a="1"/>
  <c r="B2253" i="1" s="1"/>
  <c r="A2253" i="1" s="1"/>
  <c r="B2259" i="1" a="1"/>
  <c r="B2259" i="1" s="1"/>
  <c r="A2259" i="1" s="1"/>
  <c r="B2267" i="1" a="1"/>
  <c r="B2267" i="1" s="1"/>
  <c r="A2267" i="1" s="1"/>
  <c r="B2281" i="1" a="1"/>
  <c r="B2281" i="1" s="1"/>
  <c r="A2281" i="1" s="1"/>
  <c r="B2288" i="1" a="1"/>
  <c r="B2288" i="1" s="1"/>
  <c r="A2288" i="1" s="1"/>
  <c r="B2295" i="1" a="1"/>
  <c r="B2295" i="1" s="1"/>
  <c r="A2295" i="1" s="1"/>
  <c r="B2303" i="1" a="1"/>
  <c r="B2303" i="1" s="1"/>
  <c r="A2303" i="1" s="1"/>
  <c r="B2310" i="1" a="1"/>
  <c r="B2310" i="1" s="1"/>
  <c r="A2310" i="1" s="1"/>
  <c r="B2317" i="1" a="1"/>
  <c r="B2317" i="1" s="1"/>
  <c r="A2317" i="1" s="1"/>
  <c r="B2323" i="1" a="1"/>
  <c r="B2323" i="1" s="1"/>
  <c r="A2323" i="1" s="1"/>
  <c r="B2331" i="1" a="1"/>
  <c r="B2331" i="1" s="1"/>
  <c r="A2331" i="1" s="1"/>
  <c r="B2345" i="1" a="1"/>
  <c r="B2345" i="1" s="1"/>
  <c r="A2345" i="1" s="1"/>
  <c r="B2352" i="1" a="1"/>
  <c r="B2352" i="1" s="1"/>
  <c r="A2352" i="1" s="1"/>
  <c r="B2359" i="1" a="1"/>
  <c r="B2359" i="1" s="1"/>
  <c r="A2359" i="1" s="1"/>
  <c r="B2367" i="1" a="1"/>
  <c r="B2367" i="1" s="1"/>
  <c r="A2367" i="1" s="1"/>
  <c r="B2374" i="1" a="1"/>
  <c r="B2374" i="1" s="1"/>
  <c r="A2374" i="1" s="1"/>
  <c r="B2381" i="1" a="1"/>
  <c r="B2381" i="1" s="1"/>
  <c r="A2381" i="1" s="1"/>
  <c r="B2387" i="1" a="1"/>
  <c r="B2387" i="1" s="1"/>
  <c r="A2387" i="1" s="1"/>
  <c r="B2395" i="1" a="1"/>
  <c r="B2395" i="1" s="1"/>
  <c r="A2395" i="1" s="1"/>
  <c r="B2409" i="1" a="1"/>
  <c r="B2409" i="1" s="1"/>
  <c r="A2409" i="1" s="1"/>
  <c r="B2416" i="1" a="1"/>
  <c r="B2416" i="1" s="1"/>
  <c r="A2416" i="1" s="1"/>
  <c r="B2423" i="1" a="1"/>
  <c r="B2423" i="1" s="1"/>
  <c r="A2423" i="1" s="1"/>
  <c r="B2431" i="1" a="1"/>
  <c r="B2431" i="1" s="1"/>
  <c r="A2431" i="1" s="1"/>
  <c r="B2446" i="1" a="1"/>
  <c r="B2446" i="1" s="1"/>
  <c r="A2446" i="1" s="1"/>
  <c r="B2452" i="1" a="1"/>
  <c r="B2452" i="1" s="1"/>
  <c r="A2452" i="1" s="1"/>
  <c r="B2460" i="1" a="1"/>
  <c r="B2460" i="1" s="1"/>
  <c r="A2460" i="1" s="1"/>
  <c r="B2468" i="1" a="1"/>
  <c r="B2468" i="1" s="1"/>
  <c r="A2468" i="1" s="1"/>
  <c r="B2475" i="1" a="1"/>
  <c r="B2475" i="1" s="1"/>
  <c r="A2475" i="1" s="1"/>
  <c r="B2482" i="1" a="1"/>
  <c r="B2482" i="1" s="1"/>
  <c r="A2482" i="1" s="1"/>
  <c r="B2489" i="1" a="1"/>
  <c r="B2489" i="1" s="1"/>
  <c r="A2489" i="1" s="1"/>
  <c r="B2497" i="1" a="1"/>
  <c r="B2497" i="1" s="1"/>
  <c r="A2497" i="1" s="1"/>
  <c r="B2504" i="1" a="1"/>
  <c r="B2504" i="1" s="1"/>
  <c r="A2504" i="1" s="1"/>
  <c r="B2512" i="1" a="1"/>
  <c r="B2512" i="1" s="1"/>
  <c r="A2512" i="1" s="1"/>
  <c r="B2526" i="1" a="1"/>
  <c r="B2526" i="1" s="1"/>
  <c r="A2526" i="1" s="1"/>
  <c r="B2533" i="1" a="1"/>
  <c r="B2533" i="1" s="1"/>
  <c r="A2533" i="1" s="1"/>
  <c r="B2540" i="1" a="1"/>
  <c r="B2540" i="1" s="1"/>
  <c r="A2540" i="1" s="1"/>
  <c r="B827" i="1" a="1"/>
  <c r="B827" i="1" s="1"/>
  <c r="A827" i="1" s="1"/>
  <c r="B1158" i="1" a="1"/>
  <c r="B1158" i="1" s="1"/>
  <c r="A1158" i="1" s="1"/>
  <c r="B1216" i="1" a="1"/>
  <c r="B1216" i="1" s="1"/>
  <c r="A1216" i="1" s="1"/>
  <c r="B1271" i="1" a="1"/>
  <c r="B1271" i="1" s="1"/>
  <c r="A1271" i="1" s="1"/>
  <c r="B1317" i="1" a="1"/>
  <c r="B1317" i="1" s="1"/>
  <c r="A1317" i="1" s="1"/>
  <c r="B1354" i="1" a="1"/>
  <c r="B1354" i="1" s="1"/>
  <c r="A1354" i="1" s="1"/>
  <c r="B1428" i="1" a="1"/>
  <c r="B1428" i="1" s="1"/>
  <c r="A1428" i="1" s="1"/>
  <c r="B1471" i="1" a="1"/>
  <c r="B1471" i="1" s="1"/>
  <c r="A1471" i="1" s="1"/>
  <c r="B1516" i="1" a="1"/>
  <c r="B1516" i="1" s="1"/>
  <c r="A1516" i="1" s="1"/>
  <c r="B1565" i="1" a="1"/>
  <c r="B1565" i="1" s="1"/>
  <c r="A1565" i="1" s="1"/>
  <c r="B1579" i="1" a="1"/>
  <c r="B1579" i="1" s="1"/>
  <c r="A1579" i="1" s="1"/>
  <c r="B1591" i="1" a="1"/>
  <c r="B1591" i="1" s="1"/>
  <c r="A1591" i="1" s="1"/>
  <c r="B1603" i="1" a="1"/>
  <c r="B1603" i="1" s="1"/>
  <c r="A1603" i="1" s="1"/>
  <c r="B1609" i="1" a="1"/>
  <c r="B1609" i="1" s="1"/>
  <c r="A1609" i="1" s="1"/>
  <c r="B1619" i="1" a="1"/>
  <c r="B1619" i="1" s="1"/>
  <c r="A1619" i="1" s="1"/>
  <c r="B1624" i="1" a="1"/>
  <c r="B1624" i="1" s="1"/>
  <c r="A1624" i="1" s="1"/>
  <c r="B1634" i="1" a="1"/>
  <c r="B1634" i="1" s="1"/>
  <c r="A1634" i="1" s="1"/>
  <c r="B1644" i="1" a="1"/>
  <c r="B1644" i="1" s="1"/>
  <c r="A1644" i="1" s="1"/>
  <c r="B1653" i="1" a="1"/>
  <c r="B1653" i="1" s="1"/>
  <c r="A1653" i="1" s="1"/>
  <c r="B1663" i="1" a="1"/>
  <c r="B1663" i="1" s="1"/>
  <c r="A1663" i="1" s="1"/>
  <c r="B1668" i="1" a="1"/>
  <c r="B1668" i="1" s="1"/>
  <c r="A1668" i="1" s="1"/>
  <c r="B1673" i="1" a="1"/>
  <c r="B1673" i="1" s="1"/>
  <c r="A1673" i="1" s="1"/>
  <c r="B1683" i="1" a="1"/>
  <c r="B1683" i="1" s="1"/>
  <c r="A1683" i="1" s="1"/>
  <c r="B1688" i="1" a="1"/>
  <c r="B1688" i="1" s="1"/>
  <c r="A1688" i="1" s="1"/>
  <c r="B1698" i="1" a="1"/>
  <c r="B1698" i="1" s="1"/>
  <c r="A1698" i="1" s="1"/>
  <c r="B1708" i="1" a="1"/>
  <c r="B1708" i="1" s="1"/>
  <c r="A1708" i="1" s="1"/>
  <c r="B1717" i="1" a="1"/>
  <c r="B1717" i="1" s="1"/>
  <c r="A1717" i="1" s="1"/>
  <c r="B1727" i="1" a="1"/>
  <c r="B1727" i="1" s="1"/>
  <c r="A1727" i="1" s="1"/>
  <c r="B1732" i="1" a="1"/>
  <c r="B1732" i="1" s="1"/>
  <c r="A1732" i="1" s="1"/>
  <c r="B1737" i="1" a="1"/>
  <c r="B1737" i="1" s="1"/>
  <c r="A1737" i="1" s="1"/>
  <c r="B1747" i="1" a="1"/>
  <c r="B1747" i="1" s="1"/>
  <c r="A1747" i="1" s="1"/>
  <c r="B1752" i="1" a="1"/>
  <c r="B1752" i="1" s="1"/>
  <c r="A1752" i="1" s="1"/>
  <c r="B1763" i="1" a="1"/>
  <c r="B1763" i="1" s="1"/>
  <c r="A1763" i="1" s="1"/>
  <c r="B1768" i="1" a="1"/>
  <c r="B1768" i="1" s="1"/>
  <c r="A1768" i="1" s="1"/>
  <c r="B1773" i="1" a="1"/>
  <c r="B1773" i="1" s="1"/>
  <c r="A1773" i="1" s="1"/>
  <c r="B1779" i="1" a="1"/>
  <c r="B1779" i="1" s="1"/>
  <c r="A1779" i="1" s="1"/>
  <c r="B1785" i="1" a="1"/>
  <c r="B1785" i="1" s="1"/>
  <c r="A1785" i="1" s="1"/>
  <c r="B1790" i="1" a="1"/>
  <c r="B1790" i="1" s="1"/>
  <c r="A1790" i="1" s="1"/>
  <c r="B1808" i="1" a="1"/>
  <c r="B1808" i="1" s="1"/>
  <c r="A1808" i="1" s="1"/>
  <c r="B1814" i="1" a="1"/>
  <c r="B1814" i="1" s="1"/>
  <c r="A1814" i="1" s="1"/>
  <c r="B1826" i="1" a="1"/>
  <c r="B1826" i="1" s="1"/>
  <c r="A1826" i="1" s="1"/>
  <c r="B1831" i="1" a="1"/>
  <c r="B1831" i="1" s="1"/>
  <c r="A1831" i="1" s="1"/>
  <c r="B1837" i="1" a="1"/>
  <c r="B1837" i="1" s="1"/>
  <c r="A1837" i="1" s="1"/>
  <c r="B1843" i="1" a="1"/>
  <c r="B1843" i="1" s="1"/>
  <c r="A1843" i="1" s="1"/>
  <c r="B1849" i="1" a="1"/>
  <c r="B1849" i="1" s="1"/>
  <c r="A1849" i="1" s="1"/>
  <c r="B1854" i="1" a="1"/>
  <c r="B1854" i="1" s="1"/>
  <c r="A1854" i="1" s="1"/>
  <c r="B1872" i="1" a="1"/>
  <c r="B1872" i="1" s="1"/>
  <c r="A1872" i="1" s="1"/>
  <c r="B1878" i="1" a="1"/>
  <c r="B1878" i="1" s="1"/>
  <c r="A1878" i="1" s="1"/>
  <c r="B1890" i="1" a="1"/>
  <c r="B1890" i="1" s="1"/>
  <c r="A1890" i="1" s="1"/>
  <c r="B1895" i="1" a="1"/>
  <c r="B1895" i="1" s="1"/>
  <c r="A1895" i="1" s="1"/>
  <c r="B1901" i="1" a="1"/>
  <c r="B1901" i="1" s="1"/>
  <c r="A1901" i="1" s="1"/>
  <c r="B1907" i="1" a="1"/>
  <c r="B1907" i="1" s="1"/>
  <c r="A1907" i="1" s="1"/>
  <c r="B1913" i="1" a="1"/>
  <c r="B1913" i="1" s="1"/>
  <c r="A1913" i="1" s="1"/>
  <c r="B1918" i="1" a="1"/>
  <c r="B1918" i="1" s="1"/>
  <c r="A1918" i="1" s="1"/>
  <c r="B1936" i="1" a="1"/>
  <c r="B1936" i="1" s="1"/>
  <c r="A1936" i="1" s="1"/>
  <c r="B1942" i="1" a="1"/>
  <c r="B1942" i="1" s="1"/>
  <c r="A1942" i="1" s="1"/>
  <c r="B1954" i="1" a="1"/>
  <c r="B1954" i="1" s="1"/>
  <c r="A1954" i="1" s="1"/>
  <c r="B1959" i="1" a="1"/>
  <c r="B1959" i="1" s="1"/>
  <c r="A1959" i="1" s="1"/>
  <c r="B1965" i="1" a="1"/>
  <c r="B1965" i="1" s="1"/>
  <c r="A1965" i="1" s="1"/>
  <c r="B1971" i="1" a="1"/>
  <c r="B1971" i="1" s="1"/>
  <c r="A1971" i="1" s="1"/>
  <c r="B1977" i="1" a="1"/>
  <c r="B1977" i="1" s="1"/>
  <c r="A1977" i="1" s="1"/>
  <c r="B1982" i="1" a="1"/>
  <c r="B1982" i="1" s="1"/>
  <c r="A1982" i="1" s="1"/>
  <c r="B1997" i="1" a="1"/>
  <c r="B1997" i="1" s="1"/>
  <c r="A1997" i="1" s="1"/>
  <c r="B2013" i="1" a="1"/>
  <c r="B2013" i="1" s="1"/>
  <c r="A2013" i="1" s="1"/>
  <c r="B2029" i="1" a="1"/>
  <c r="B2029" i="1" s="1"/>
  <c r="A2029" i="1" s="1"/>
  <c r="B2045" i="1" a="1"/>
  <c r="B2045" i="1" s="1"/>
  <c r="A2045" i="1" s="1"/>
  <c r="B2057" i="1" a="1"/>
  <c r="B2057" i="1" s="1"/>
  <c r="A2057" i="1" s="1"/>
  <c r="B2063" i="1" a="1"/>
  <c r="B2063" i="1" s="1"/>
  <c r="A2063" i="1" s="1"/>
  <c r="B2070" i="1" a="1"/>
  <c r="B2070" i="1" s="1"/>
  <c r="A2070" i="1" s="1"/>
  <c r="B2076" i="1" a="1"/>
  <c r="B2076" i="1" s="1"/>
  <c r="A2076" i="1" s="1"/>
  <c r="B2089" i="1" a="1"/>
  <c r="B2089" i="1" s="1"/>
  <c r="A2089" i="1" s="1"/>
  <c r="B2095" i="1" a="1"/>
  <c r="B2095" i="1" s="1"/>
  <c r="A2095" i="1" s="1"/>
  <c r="B2102" i="1" a="1"/>
  <c r="B2102" i="1" s="1"/>
  <c r="A2102" i="1" s="1"/>
  <c r="B2109" i="1" a="1"/>
  <c r="B2109" i="1" s="1"/>
  <c r="A2109" i="1" s="1"/>
  <c r="B2116" i="1" a="1"/>
  <c r="B2116" i="1" s="1"/>
  <c r="A2116" i="1" s="1"/>
  <c r="B2124" i="1" a="1"/>
  <c r="B2124" i="1" s="1"/>
  <c r="A2124" i="1" s="1"/>
  <c r="B2138" i="1" a="1"/>
  <c r="B2138" i="1" s="1"/>
  <c r="A2138" i="1" s="1"/>
  <c r="B2146" i="1" a="1"/>
  <c r="B2146" i="1" s="1"/>
  <c r="A2146" i="1" s="1"/>
  <c r="B2153" i="1" a="1"/>
  <c r="B2153" i="1" s="1"/>
  <c r="A2153" i="1" s="1"/>
  <c r="B2160" i="1" a="1"/>
  <c r="B2160" i="1" s="1"/>
  <c r="A2160" i="1" s="1"/>
  <c r="B2167" i="1" a="1"/>
  <c r="B2167" i="1" s="1"/>
  <c r="A2167" i="1" s="1"/>
  <c r="B2175" i="1" a="1"/>
  <c r="B2175" i="1" s="1"/>
  <c r="A2175" i="1" s="1"/>
  <c r="B2182" i="1" a="1"/>
  <c r="B2182" i="1" s="1"/>
  <c r="A2182" i="1" s="1"/>
  <c r="B2189" i="1" a="1"/>
  <c r="B2189" i="1" s="1"/>
  <c r="A2189" i="1" s="1"/>
  <c r="B2195" i="1" a="1"/>
  <c r="B2195" i="1" s="1"/>
  <c r="A2195" i="1" s="1"/>
  <c r="B2203" i="1" a="1"/>
  <c r="B2203" i="1" s="1"/>
  <c r="A2203" i="1" s="1"/>
  <c r="B2218" i="1" a="1"/>
  <c r="B2218" i="1" s="1"/>
  <c r="A2218" i="1" s="1"/>
  <c r="B2225" i="1" a="1"/>
  <c r="B2225" i="1" s="1"/>
  <c r="A2225" i="1" s="1"/>
  <c r="B2232" i="1" a="1"/>
  <c r="B2232" i="1" s="1"/>
  <c r="A2232" i="1" s="1"/>
  <c r="B2240" i="1" a="1"/>
  <c r="B2240" i="1" s="1"/>
  <c r="A2240" i="1" s="1"/>
  <c r="B2254" i="1" a="1"/>
  <c r="B2254" i="1" s="1"/>
  <c r="A2254" i="1" s="1"/>
  <c r="B2260" i="1" a="1"/>
  <c r="B2260" i="1" s="1"/>
  <c r="A2260" i="1" s="1"/>
  <c r="B2268" i="1" a="1"/>
  <c r="B2268" i="1" s="1"/>
  <c r="A2268" i="1" s="1"/>
  <c r="B2275" i="1" a="1"/>
  <c r="B2275" i="1" s="1"/>
  <c r="A2275" i="1" s="1"/>
  <c r="B2282" i="1" a="1"/>
  <c r="B2282" i="1" s="1"/>
  <c r="A2282" i="1" s="1"/>
  <c r="B2289" i="1" a="1"/>
  <c r="B2289" i="1" s="1"/>
  <c r="A2289" i="1" s="1"/>
  <c r="B2296" i="1" a="1"/>
  <c r="B2296" i="1" s="1"/>
  <c r="A2296" i="1" s="1"/>
  <c r="B2304" i="1" a="1"/>
  <c r="B2304" i="1" s="1"/>
  <c r="A2304" i="1" s="1"/>
  <c r="B2318" i="1" a="1"/>
  <c r="B2318" i="1" s="1"/>
  <c r="A2318" i="1" s="1"/>
  <c r="B2324" i="1" a="1"/>
  <c r="B2324" i="1" s="1"/>
  <c r="A2324" i="1" s="1"/>
  <c r="B2332" i="1" a="1"/>
  <c r="B2332" i="1" s="1"/>
  <c r="A2332" i="1" s="1"/>
  <c r="B2339" i="1" a="1"/>
  <c r="B2339" i="1" s="1"/>
  <c r="A2339" i="1" s="1"/>
  <c r="B2346" i="1" a="1"/>
  <c r="B2346" i="1" s="1"/>
  <c r="A2346" i="1" s="1"/>
  <c r="B2353" i="1" a="1"/>
  <c r="B2353" i="1" s="1"/>
  <c r="A2353" i="1" s="1"/>
  <c r="B2360" i="1" a="1"/>
  <c r="B2360" i="1" s="1"/>
  <c r="A2360" i="1" s="1"/>
  <c r="B2368" i="1" a="1"/>
  <c r="B2368" i="1" s="1"/>
  <c r="A2368" i="1" s="1"/>
  <c r="B2382" i="1" a="1"/>
  <c r="B2382" i="1" s="1"/>
  <c r="A2382" i="1" s="1"/>
  <c r="B2388" i="1" a="1"/>
  <c r="B2388" i="1" s="1"/>
  <c r="A2388" i="1" s="1"/>
  <c r="B2396" i="1" a="1"/>
  <c r="B2396" i="1" s="1"/>
  <c r="A2396" i="1" s="1"/>
  <c r="B2403" i="1" a="1"/>
  <c r="B2403" i="1" s="1"/>
  <c r="A2403" i="1" s="1"/>
  <c r="B2410" i="1" a="1"/>
  <c r="B2410" i="1" s="1"/>
  <c r="A2410" i="1" s="1"/>
  <c r="B2417" i="1" a="1"/>
  <c r="B2417" i="1" s="1"/>
  <c r="A2417" i="1" s="1"/>
  <c r="B2424" i="1" a="1"/>
  <c r="B2424" i="1" s="1"/>
  <c r="A2424" i="1" s="1"/>
  <c r="B2432" i="1" a="1"/>
  <c r="B2432" i="1" s="1"/>
  <c r="A2432" i="1" s="1"/>
  <c r="B2439" i="1" a="1"/>
  <c r="B2439" i="1" s="1"/>
  <c r="A2439" i="1" s="1"/>
  <c r="B2453" i="1" a="1"/>
  <c r="B2453" i="1" s="1"/>
  <c r="A2453" i="1" s="1"/>
  <c r="B2461" i="1" a="1"/>
  <c r="B2461" i="1" s="1"/>
  <c r="A2461" i="1" s="1"/>
  <c r="B2469" i="1" a="1"/>
  <c r="B2469" i="1" s="1"/>
  <c r="A2469" i="1" s="1"/>
  <c r="B2476" i="1" a="1"/>
  <c r="B2476" i="1" s="1"/>
  <c r="A2476" i="1" s="1"/>
  <c r="B2490" i="1" a="1"/>
  <c r="B2490" i="1" s="1"/>
  <c r="A2490" i="1" s="1"/>
  <c r="B2498" i="1" a="1"/>
  <c r="B2498" i="1" s="1"/>
  <c r="A2498" i="1" s="1"/>
  <c r="B2505" i="1" a="1"/>
  <c r="B2505" i="1" s="1"/>
  <c r="A2505" i="1" s="1"/>
  <c r="B2513" i="1" a="1"/>
  <c r="B2513" i="1" s="1"/>
  <c r="A2513" i="1" s="1"/>
  <c r="B2519" i="1" a="1"/>
  <c r="B2519" i="1" s="1"/>
  <c r="A2519" i="1" s="1"/>
  <c r="B2527" i="1" a="1"/>
  <c r="B2527" i="1" s="1"/>
  <c r="A2527" i="1" s="1"/>
  <c r="B2534" i="1" a="1"/>
  <c r="B2534" i="1" s="1"/>
  <c r="A2534" i="1" s="1"/>
  <c r="B953" i="1" a="1"/>
  <c r="B953" i="1" s="1"/>
  <c r="A953" i="1" s="1"/>
  <c r="B1174" i="1" a="1"/>
  <c r="B1174" i="1" s="1"/>
  <c r="A1174" i="1" s="1"/>
  <c r="B1285" i="1" a="1"/>
  <c r="B1285" i="1" s="1"/>
  <c r="A1285" i="1" s="1"/>
  <c r="B1363" i="1" a="1"/>
  <c r="B1363" i="1" s="1"/>
  <c r="A1363" i="1" s="1"/>
  <c r="B1439" i="1" a="1"/>
  <c r="B1439" i="1" s="1"/>
  <c r="A1439" i="1" s="1"/>
  <c r="B1481" i="1" a="1"/>
  <c r="B1481" i="1" s="1"/>
  <c r="A1481" i="1" s="1"/>
  <c r="B1557" i="1" a="1"/>
  <c r="B1557" i="1" s="1"/>
  <c r="A1557" i="1" s="1"/>
  <c r="B1568" i="1" a="1"/>
  <c r="B1568" i="1" s="1"/>
  <c r="A1568" i="1" s="1"/>
  <c r="B1574" i="1" a="1"/>
  <c r="B1574" i="1" s="1"/>
  <c r="A1574" i="1" s="1"/>
  <c r="B1580" i="1" a="1"/>
  <c r="B1580" i="1" s="1"/>
  <c r="A1580" i="1" s="1"/>
  <c r="B1586" i="1" a="1"/>
  <c r="B1586" i="1" s="1"/>
  <c r="A1586" i="1" s="1"/>
  <c r="B1598" i="1" a="1"/>
  <c r="B1598" i="1" s="1"/>
  <c r="A1598" i="1" s="1"/>
  <c r="B1620" i="1" a="1"/>
  <c r="B1620" i="1" s="1"/>
  <c r="A1620" i="1" s="1"/>
  <c r="B1625" i="1" a="1"/>
  <c r="B1625" i="1" s="1"/>
  <c r="A1625" i="1" s="1"/>
  <c r="B1630" i="1" a="1"/>
  <c r="B1630" i="1" s="1"/>
  <c r="A1630" i="1" s="1"/>
  <c r="B1635" i="1" a="1"/>
  <c r="B1635" i="1" s="1"/>
  <c r="A1635" i="1" s="1"/>
  <c r="B1640" i="1" a="1"/>
  <c r="B1640" i="1" s="1"/>
  <c r="A1640" i="1" s="1"/>
  <c r="B1645" i="1" a="1"/>
  <c r="B1645" i="1" s="1"/>
  <c r="A1645" i="1" s="1"/>
  <c r="B1650" i="1" a="1"/>
  <c r="B1650" i="1" s="1"/>
  <c r="A1650" i="1" s="1"/>
  <c r="B1669" i="1" a="1"/>
  <c r="B1669" i="1" s="1"/>
  <c r="A1669" i="1" s="1"/>
  <c r="B1684" i="1" a="1"/>
  <c r="B1684" i="1" s="1"/>
  <c r="A1684" i="1" s="1"/>
  <c r="B1689" i="1" a="1"/>
  <c r="B1689" i="1" s="1"/>
  <c r="A1689" i="1" s="1"/>
  <c r="B1694" i="1" a="1"/>
  <c r="B1694" i="1" s="1"/>
  <c r="A1694" i="1" s="1"/>
  <c r="B1699" i="1" a="1"/>
  <c r="B1699" i="1" s="1"/>
  <c r="A1699" i="1" s="1"/>
  <c r="B1704" i="1" a="1"/>
  <c r="B1704" i="1" s="1"/>
  <c r="A1704" i="1" s="1"/>
  <c r="B1709" i="1" a="1"/>
  <c r="B1709" i="1" s="1"/>
  <c r="A1709" i="1" s="1"/>
  <c r="B1714" i="1" a="1"/>
  <c r="B1714" i="1" s="1"/>
  <c r="A1714" i="1" s="1"/>
  <c r="B1733" i="1" a="1"/>
  <c r="B1733" i="1" s="1"/>
  <c r="A1733" i="1" s="1"/>
  <c r="B1748" i="1" a="1"/>
  <c r="B1748" i="1" s="1"/>
  <c r="A1748" i="1" s="1"/>
  <c r="B1753" i="1" a="1"/>
  <c r="B1753" i="1" s="1"/>
  <c r="A1753" i="1" s="1"/>
  <c r="B1758" i="1" a="1"/>
  <c r="B1758" i="1" s="1"/>
  <c r="A1758" i="1" s="1"/>
  <c r="B1764" i="1" a="1"/>
  <c r="B1764" i="1" s="1"/>
  <c r="A1764" i="1" s="1"/>
  <c r="B1769" i="1" a="1"/>
  <c r="B1769" i="1" s="1"/>
  <c r="A1769" i="1" s="1"/>
  <c r="B1775" i="1" a="1"/>
  <c r="B1775" i="1" s="1"/>
  <c r="A1775" i="1" s="1"/>
  <c r="B1780" i="1" a="1"/>
  <c r="B1780" i="1" s="1"/>
  <c r="A1780" i="1" s="1"/>
  <c r="B1792" i="1" a="1"/>
  <c r="B1792" i="1" s="1"/>
  <c r="A1792" i="1" s="1"/>
  <c r="B1798" i="1" a="1"/>
  <c r="B1798" i="1" s="1"/>
  <c r="A1798" i="1" s="1"/>
  <c r="B1804" i="1" a="1"/>
  <c r="B1804" i="1" s="1"/>
  <c r="A1804" i="1" s="1"/>
  <c r="B1810" i="1" a="1"/>
  <c r="B1810" i="1" s="1"/>
  <c r="A1810" i="1" s="1"/>
  <c r="B1816" i="1" a="1"/>
  <c r="B1816" i="1" s="1"/>
  <c r="A1816" i="1" s="1"/>
  <c r="B1833" i="1" a="1"/>
  <c r="B1833" i="1" s="1"/>
  <c r="A1833" i="1" s="1"/>
  <c r="B1839" i="1" a="1"/>
  <c r="B1839" i="1" s="1"/>
  <c r="A1839" i="1" s="1"/>
  <c r="B1844" i="1" a="1"/>
  <c r="B1844" i="1" s="1"/>
  <c r="A1844" i="1" s="1"/>
  <c r="B1856" i="1" a="1"/>
  <c r="B1856" i="1" s="1"/>
  <c r="A1856" i="1" s="1"/>
  <c r="B1862" i="1" a="1"/>
  <c r="B1862" i="1" s="1"/>
  <c r="A1862" i="1" s="1"/>
  <c r="B1868" i="1" a="1"/>
  <c r="B1868" i="1" s="1"/>
  <c r="A1868" i="1" s="1"/>
  <c r="B1874" i="1" a="1"/>
  <c r="B1874" i="1" s="1"/>
  <c r="A1874" i="1" s="1"/>
  <c r="B1880" i="1" a="1"/>
  <c r="B1880" i="1" s="1"/>
  <c r="A1880" i="1" s="1"/>
  <c r="B1897" i="1" a="1"/>
  <c r="B1897" i="1" s="1"/>
  <c r="A1897" i="1" s="1"/>
  <c r="B1903" i="1" a="1"/>
  <c r="B1903" i="1" s="1"/>
  <c r="A1903" i="1" s="1"/>
  <c r="B1908" i="1" a="1"/>
  <c r="B1908" i="1" s="1"/>
  <c r="A1908" i="1" s="1"/>
  <c r="B1920" i="1" a="1"/>
  <c r="B1920" i="1" s="1"/>
  <c r="A1920" i="1" s="1"/>
  <c r="B1926" i="1" a="1"/>
  <c r="B1926" i="1" s="1"/>
  <c r="A1926" i="1" s="1"/>
  <c r="B1932" i="1" a="1"/>
  <c r="B1932" i="1" s="1"/>
  <c r="A1932" i="1" s="1"/>
  <c r="B1938" i="1" a="1"/>
  <c r="B1938" i="1" s="1"/>
  <c r="A1938" i="1" s="1"/>
  <c r="B1944" i="1" a="1"/>
  <c r="B1944" i="1" s="1"/>
  <c r="A1944" i="1" s="1"/>
  <c r="B1961" i="1" a="1"/>
  <c r="B1961" i="1" s="1"/>
  <c r="A1961" i="1" s="1"/>
  <c r="B1967" i="1" a="1"/>
  <c r="B1967" i="1" s="1"/>
  <c r="A1967" i="1" s="1"/>
  <c r="B1972" i="1" a="1"/>
  <c r="B1972" i="1" s="1"/>
  <c r="A1972" i="1" s="1"/>
  <c r="B1983" i="1" a="1"/>
  <c r="B1983" i="1" s="1"/>
  <c r="A1983" i="1" s="1"/>
  <c r="B1993" i="1" a="1"/>
  <c r="B1993" i="1" s="1"/>
  <c r="A1993" i="1" s="1"/>
  <c r="B2009" i="1" a="1"/>
  <c r="B2009" i="1" s="1"/>
  <c r="A2009" i="1" s="1"/>
  <c r="B2025" i="1" a="1"/>
  <c r="B2025" i="1" s="1"/>
  <c r="A2025" i="1" s="1"/>
  <c r="B2041" i="1" a="1"/>
  <c r="B2041" i="1" s="1"/>
  <c r="A2041" i="1" s="1"/>
  <c r="B2052" i="1" a="1"/>
  <c r="B2052" i="1" s="1"/>
  <c r="A2052" i="1" s="1"/>
  <c r="B2065" i="1" a="1"/>
  <c r="B2065" i="1" s="1"/>
  <c r="A2065" i="1" s="1"/>
  <c r="B2071" i="1" a="1"/>
  <c r="B2071" i="1" s="1"/>
  <c r="A2071" i="1" s="1"/>
  <c r="B2078" i="1" a="1"/>
  <c r="B2078" i="1" s="1"/>
  <c r="A2078" i="1" s="1"/>
  <c r="B2084" i="1" a="1"/>
  <c r="B2084" i="1" s="1"/>
  <c r="A2084" i="1" s="1"/>
  <c r="B2097" i="1" a="1"/>
  <c r="B2097" i="1" s="1"/>
  <c r="A2097" i="1" s="1"/>
  <c r="B2103" i="1" a="1"/>
  <c r="B2103" i="1" s="1"/>
  <c r="A2103" i="1" s="1"/>
  <c r="B2111" i="1" a="1"/>
  <c r="B2111" i="1" s="1"/>
  <c r="A2111" i="1" s="1"/>
  <c r="B2118" i="1" a="1"/>
  <c r="B2118" i="1" s="1"/>
  <c r="A2118" i="1" s="1"/>
  <c r="B2126" i="1" a="1"/>
  <c r="B2126" i="1" s="1"/>
  <c r="A2126" i="1" s="1"/>
  <c r="B2132" i="1" a="1"/>
  <c r="B2132" i="1" s="1"/>
  <c r="A2132" i="1" s="1"/>
  <c r="B2140" i="1" a="1"/>
  <c r="B2140" i="1" s="1"/>
  <c r="A2140" i="1" s="1"/>
  <c r="B2147" i="1" a="1"/>
  <c r="B2147" i="1" s="1"/>
  <c r="A2147" i="1" s="1"/>
  <c r="B2155" i="1" a="1"/>
  <c r="B2155" i="1" s="1"/>
  <c r="A2155" i="1" s="1"/>
  <c r="B2162" i="1" a="1"/>
  <c r="B2162" i="1" s="1"/>
  <c r="A2162" i="1" s="1"/>
  <c r="B2169" i="1" a="1"/>
  <c r="B2169" i="1" s="1"/>
  <c r="A2169" i="1" s="1"/>
  <c r="B2177" i="1" a="1"/>
  <c r="B2177" i="1" s="1"/>
  <c r="A2177" i="1" s="1"/>
  <c r="B2183" i="1" a="1"/>
  <c r="B2183" i="1" s="1"/>
  <c r="A2183" i="1" s="1"/>
  <c r="B2197" i="1" a="1"/>
  <c r="B2197" i="1" s="1"/>
  <c r="A2197" i="1" s="1"/>
  <c r="B2205" i="1" a="1"/>
  <c r="B2205" i="1" s="1"/>
  <c r="A2205" i="1" s="1"/>
  <c r="B2212" i="1" a="1"/>
  <c r="B2212" i="1" s="1"/>
  <c r="A2212" i="1" s="1"/>
  <c r="B2220" i="1" a="1"/>
  <c r="B2220" i="1" s="1"/>
  <c r="A2220" i="1" s="1"/>
  <c r="B2234" i="1" a="1"/>
  <c r="B2234" i="1" s="1"/>
  <c r="A2234" i="1" s="1"/>
  <c r="B2242" i="1" a="1"/>
  <c r="B2242" i="1" s="1"/>
  <c r="A2242" i="1" s="1"/>
  <c r="B2248" i="1" a="1"/>
  <c r="B2248" i="1" s="1"/>
  <c r="A2248" i="1" s="1"/>
  <c r="B2255" i="1" a="1"/>
  <c r="B2255" i="1" s="1"/>
  <c r="A2255" i="1" s="1"/>
  <c r="B2262" i="1" a="1"/>
  <c r="B2262" i="1" s="1"/>
  <c r="A2262" i="1" s="1"/>
  <c r="B2270" i="1" a="1"/>
  <c r="B2270" i="1" s="1"/>
  <c r="A2270" i="1" s="1"/>
  <c r="B2277" i="1" a="1"/>
  <c r="B2277" i="1" s="1"/>
  <c r="A2277" i="1" s="1"/>
  <c r="B2284" i="1" a="1"/>
  <c r="B2284" i="1" s="1"/>
  <c r="A2284" i="1" s="1"/>
  <c r="B2298" i="1" a="1"/>
  <c r="B2298" i="1" s="1"/>
  <c r="A2298" i="1" s="1"/>
  <c r="B2306" i="1" a="1"/>
  <c r="B2306" i="1" s="1"/>
  <c r="A2306" i="1" s="1"/>
  <c r="B2312" i="1" a="1"/>
  <c r="B2312" i="1" s="1"/>
  <c r="A2312" i="1" s="1"/>
  <c r="B2319" i="1" a="1"/>
  <c r="B2319" i="1" s="1"/>
  <c r="A2319" i="1" s="1"/>
  <c r="B2326" i="1" a="1"/>
  <c r="B2326" i="1" s="1"/>
  <c r="A2326" i="1" s="1"/>
  <c r="B2334" i="1" a="1"/>
  <c r="B2334" i="1" s="1"/>
  <c r="A2334" i="1" s="1"/>
  <c r="B2341" i="1" a="1"/>
  <c r="B2341" i="1" s="1"/>
  <c r="A2341" i="1" s="1"/>
  <c r="B2348" i="1" a="1"/>
  <c r="B2348" i="1" s="1"/>
  <c r="A2348" i="1" s="1"/>
  <c r="B2362" i="1" a="1"/>
  <c r="B2362" i="1" s="1"/>
  <c r="A2362" i="1" s="1"/>
  <c r="B2370" i="1" a="1"/>
  <c r="B2370" i="1" s="1"/>
  <c r="A2370" i="1" s="1"/>
  <c r="B2376" i="1" a="1"/>
  <c r="B2376" i="1" s="1"/>
  <c r="A2376" i="1" s="1"/>
  <c r="B2383" i="1" a="1"/>
  <c r="B2383" i="1" s="1"/>
  <c r="A2383" i="1" s="1"/>
  <c r="B2390" i="1" a="1"/>
  <c r="B2390" i="1" s="1"/>
  <c r="A2390" i="1" s="1"/>
  <c r="B2398" i="1" a="1"/>
  <c r="B2398" i="1" s="1"/>
  <c r="A2398" i="1" s="1"/>
  <c r="B2405" i="1" a="1"/>
  <c r="B2405" i="1" s="1"/>
  <c r="A2405" i="1" s="1"/>
  <c r="B2412" i="1" a="1"/>
  <c r="B2412" i="1" s="1"/>
  <c r="A2412" i="1" s="1"/>
  <c r="B2426" i="1" a="1"/>
  <c r="B2426" i="1" s="1"/>
  <c r="A2426" i="1" s="1"/>
  <c r="B2434" i="1" a="1"/>
  <c r="B2434" i="1" s="1"/>
  <c r="A2434" i="1" s="1"/>
  <c r="B2441" i="1" a="1"/>
  <c r="B2441" i="1" s="1"/>
  <c r="A2441" i="1" s="1"/>
  <c r="B2448" i="1" a="1"/>
  <c r="B2448" i="1" s="1"/>
  <c r="A2448" i="1" s="1"/>
  <c r="B2455" i="1" a="1"/>
  <c r="B2455" i="1" s="1"/>
  <c r="A2455" i="1" s="1"/>
  <c r="B2463" i="1" a="1"/>
  <c r="B2463" i="1" s="1"/>
  <c r="A2463" i="1" s="1"/>
  <c r="B2478" i="1" a="1"/>
  <c r="B2478" i="1" s="1"/>
  <c r="A2478" i="1" s="1"/>
  <c r="B2484" i="1" a="1"/>
  <c r="B2484" i="1" s="1"/>
  <c r="A2484" i="1" s="1"/>
  <c r="B2492" i="1" a="1"/>
  <c r="B2492" i="1" s="1"/>
  <c r="A2492" i="1" s="1"/>
  <c r="B2500" i="1" a="1"/>
  <c r="B2500" i="1" s="1"/>
  <c r="A2500" i="1" s="1"/>
  <c r="B2507" i="1" a="1"/>
  <c r="B2507" i="1" s="1"/>
  <c r="A2507" i="1" s="1"/>
  <c r="B2514" i="1" a="1"/>
  <c r="B2514" i="1" s="1"/>
  <c r="A2514" i="1" s="1"/>
  <c r="B2521" i="1" a="1"/>
  <c r="B2521" i="1" s="1"/>
  <c r="A2521" i="1" s="1"/>
  <c r="B2529" i="1" a="1"/>
  <c r="B2529" i="1" s="1"/>
  <c r="A2529" i="1" s="1"/>
  <c r="B2535" i="1" a="1"/>
  <c r="B2535" i="1" s="1"/>
  <c r="A2535" i="1" s="1"/>
  <c r="B891" i="1" a="1"/>
  <c r="B891" i="1" s="1"/>
  <c r="A891" i="1" s="1"/>
  <c r="B1476" i="1" a="1"/>
  <c r="B1476" i="1" s="1"/>
  <c r="A1476" i="1" s="1"/>
  <c r="B1597" i="1" a="1"/>
  <c r="B1597" i="1" s="1"/>
  <c r="A1597" i="1" s="1"/>
  <c r="B1639" i="1" a="1"/>
  <c r="B1639" i="1" s="1"/>
  <c r="A1639" i="1" s="1"/>
  <c r="B1679" i="1" a="1"/>
  <c r="B1679" i="1" s="1"/>
  <c r="A1679" i="1" s="1"/>
  <c r="B1718" i="1" a="1"/>
  <c r="B1718" i="1" s="1"/>
  <c r="A1718" i="1" s="1"/>
  <c r="B1757" i="1" a="1"/>
  <c r="B1757" i="1" s="1"/>
  <c r="A1757" i="1" s="1"/>
  <c r="B1803" i="1" a="1"/>
  <c r="B1803" i="1" s="1"/>
  <c r="A1803" i="1" s="1"/>
  <c r="B1850" i="1" a="1"/>
  <c r="B1850" i="1" s="1"/>
  <c r="A1850" i="1" s="1"/>
  <c r="B1896" i="1" a="1"/>
  <c r="B1896" i="1" s="1"/>
  <c r="A1896" i="1" s="1"/>
  <c r="B1943" i="1" a="1"/>
  <c r="B1943" i="1" s="1"/>
  <c r="A1943" i="1" s="1"/>
  <c r="B1987" i="1" a="1"/>
  <c r="B1987" i="1" s="1"/>
  <c r="A1987" i="1" s="1"/>
  <c r="B2030" i="1" a="1"/>
  <c r="B2030" i="1" s="1"/>
  <c r="A2030" i="1" s="1"/>
  <c r="B2077" i="1" a="1"/>
  <c r="B2077" i="1" s="1"/>
  <c r="A2077" i="1" s="1"/>
  <c r="B2131" i="1" a="1"/>
  <c r="B2131" i="1" s="1"/>
  <c r="A2131" i="1" s="1"/>
  <c r="B2190" i="1" a="1"/>
  <c r="B2190" i="1" s="1"/>
  <c r="A2190" i="1" s="1"/>
  <c r="B2247" i="1" a="1"/>
  <c r="B2247" i="1" s="1"/>
  <c r="A2247" i="1" s="1"/>
  <c r="B2305" i="1" a="1"/>
  <c r="B2305" i="1" s="1"/>
  <c r="A2305" i="1" s="1"/>
  <c r="B2361" i="1" a="1"/>
  <c r="B2361" i="1" s="1"/>
  <c r="A2361" i="1" s="1"/>
  <c r="B2418" i="1" a="1"/>
  <c r="B2418" i="1" s="1"/>
  <c r="A2418" i="1" s="1"/>
  <c r="B2477" i="1" a="1"/>
  <c r="B2477" i="1" s="1"/>
  <c r="A2477" i="1" s="1"/>
  <c r="B2546" i="1" a="1"/>
  <c r="B2546" i="1" s="1"/>
  <c r="A2546" i="1" s="1"/>
  <c r="B2553" i="1" a="1"/>
  <c r="B2553" i="1" s="1"/>
  <c r="A2553" i="1" s="1"/>
  <c r="B2561" i="1" a="1"/>
  <c r="B2561" i="1" s="1"/>
  <c r="A2561" i="1" s="1"/>
  <c r="B2567" i="1" a="1"/>
  <c r="B2567" i="1" s="1"/>
  <c r="A2567" i="1" s="1"/>
  <c r="B2575" i="1" a="1"/>
  <c r="B2575" i="1" s="1"/>
  <c r="A2575" i="1" s="1"/>
  <c r="B2582" i="1" a="1"/>
  <c r="B2582" i="1" s="1"/>
  <c r="A2582" i="1" s="1"/>
  <c r="B2589" i="1" a="1"/>
  <c r="B2589" i="1" s="1"/>
  <c r="A2589" i="1" s="1"/>
  <c r="B2596" i="1" a="1"/>
  <c r="B2596" i="1" s="1"/>
  <c r="A2596" i="1" s="1"/>
  <c r="B2603" i="1" a="1"/>
  <c r="B2603" i="1" s="1"/>
  <c r="A2603" i="1" s="1"/>
  <c r="B2610" i="1" a="1"/>
  <c r="B2610" i="1" s="1"/>
  <c r="A2610" i="1" s="1"/>
  <c r="B2617" i="1" a="1"/>
  <c r="B2617" i="1" s="1"/>
  <c r="A2617" i="1" s="1"/>
  <c r="B2625" i="1" a="1"/>
  <c r="B2625" i="1" s="1"/>
  <c r="A2625" i="1" s="1"/>
  <c r="B2631" i="1" a="1"/>
  <c r="B2631" i="1" s="1"/>
  <c r="A2631" i="1" s="1"/>
  <c r="B2639" i="1" a="1"/>
  <c r="B2639" i="1" s="1"/>
  <c r="A2639" i="1" s="1"/>
  <c r="B2644" i="1" a="1"/>
  <c r="B2644" i="1" s="1"/>
  <c r="A2644" i="1" s="1"/>
  <c r="B2653" i="1" a="1"/>
  <c r="B2653" i="1" s="1"/>
  <c r="A2653" i="1" s="1"/>
  <c r="B2662" i="1" a="1"/>
  <c r="B2662" i="1" s="1"/>
  <c r="A2662" i="1" s="1"/>
  <c r="B2667" i="1" a="1"/>
  <c r="B2667" i="1" s="1"/>
  <c r="A2667" i="1" s="1"/>
  <c r="B2673" i="1" a="1"/>
  <c r="B2673" i="1" s="1"/>
  <c r="A2673" i="1" s="1"/>
  <c r="B2678" i="1" a="1"/>
  <c r="B2678" i="1" s="1"/>
  <c r="A2678" i="1" s="1"/>
  <c r="B2683" i="1" a="1"/>
  <c r="B2683" i="1" s="1"/>
  <c r="A2683" i="1" s="1"/>
  <c r="B2689" i="1" a="1"/>
  <c r="B2689" i="1" s="1"/>
  <c r="A2689" i="1" s="1"/>
  <c r="B2701" i="1" a="1"/>
  <c r="B2701" i="1" s="1"/>
  <c r="A2701" i="1" s="1"/>
  <c r="B2707" i="1" a="1"/>
  <c r="B2707" i="1" s="1"/>
  <c r="A2707" i="1" s="1"/>
  <c r="B2714" i="1" a="1"/>
  <c r="B2714" i="1" s="1"/>
  <c r="A2714" i="1" s="1"/>
  <c r="B2720" i="1" a="1"/>
  <c r="B2720" i="1" s="1"/>
  <c r="A2720" i="1" s="1"/>
  <c r="B2733" i="1" a="1"/>
  <c r="B2733" i="1" s="1"/>
  <c r="A2733" i="1" s="1"/>
  <c r="B2739" i="1" a="1"/>
  <c r="B2739" i="1" s="1"/>
  <c r="A2739" i="1" s="1"/>
  <c r="B2746" i="1" a="1"/>
  <c r="B2746" i="1" s="1"/>
  <c r="A2746" i="1" s="1"/>
  <c r="B2752" i="1" a="1"/>
  <c r="B2752" i="1" s="1"/>
  <c r="A2752" i="1" s="1"/>
  <c r="B2759" i="1" a="1"/>
  <c r="B2759" i="1" s="1"/>
  <c r="A2759" i="1" s="1"/>
  <c r="B2774" i="1" a="1"/>
  <c r="B2774" i="1" s="1"/>
  <c r="A2774" i="1" s="1"/>
  <c r="B2781" i="1" a="1"/>
  <c r="B2781" i="1" s="1"/>
  <c r="A2781" i="1" s="1"/>
  <c r="B2788" i="1" a="1"/>
  <c r="B2788" i="1" s="1"/>
  <c r="A2788" i="1" s="1"/>
  <c r="B2795" i="1" a="1"/>
  <c r="B2795" i="1" s="1"/>
  <c r="A2795" i="1" s="1"/>
  <c r="B2802" i="1" a="1"/>
  <c r="B2802" i="1" s="1"/>
  <c r="A2802" i="1" s="1"/>
  <c r="B2809" i="1" a="1"/>
  <c r="B2809" i="1" s="1"/>
  <c r="A2809" i="1" s="1"/>
  <c r="B2816" i="1" a="1"/>
  <c r="B2816" i="1" s="1"/>
  <c r="A2816" i="1" s="1"/>
  <c r="B2823" i="1" a="1"/>
  <c r="B2823" i="1" s="1"/>
  <c r="A2823" i="1" s="1"/>
  <c r="B2838" i="1" a="1"/>
  <c r="B2838" i="1" s="1"/>
  <c r="A2838" i="1" s="1"/>
  <c r="B2845" i="1" a="1"/>
  <c r="B2845" i="1" s="1"/>
  <c r="A2845" i="1" s="1"/>
  <c r="B2852" i="1" a="1"/>
  <c r="B2852" i="1" s="1"/>
  <c r="A2852" i="1" s="1"/>
  <c r="B2859" i="1" a="1"/>
  <c r="B2859" i="1" s="1"/>
  <c r="A2859" i="1" s="1"/>
  <c r="B2867" i="1" a="1"/>
  <c r="B2867" i="1" s="1"/>
  <c r="A2867" i="1" s="1"/>
  <c r="B2874" i="1" a="1"/>
  <c r="B2874" i="1" s="1"/>
  <c r="A2874" i="1" s="1"/>
  <c r="B2881" i="1" a="1"/>
  <c r="B2881" i="1" s="1"/>
  <c r="A2881" i="1" s="1"/>
  <c r="B2888" i="1" a="1"/>
  <c r="B2888" i="1" s="1"/>
  <c r="A2888" i="1" s="1"/>
  <c r="B2896" i="1" a="1"/>
  <c r="B2896" i="1" s="1"/>
  <c r="A2896" i="1" s="1"/>
  <c r="B2903" i="1" a="1"/>
  <c r="B2903" i="1" s="1"/>
  <c r="A2903" i="1" s="1"/>
  <c r="B2918" i="1" a="1"/>
  <c r="B2918" i="1" s="1"/>
  <c r="A2918" i="1" s="1"/>
  <c r="B2925" i="1" a="1"/>
  <c r="B2925" i="1" s="1"/>
  <c r="A2925" i="1" s="1"/>
  <c r="B2933" i="1" a="1"/>
  <c r="B2933" i="1" s="1"/>
  <c r="A2933" i="1" s="1"/>
  <c r="B2940" i="1" a="1"/>
  <c r="B2940" i="1" s="1"/>
  <c r="A2940" i="1" s="1"/>
  <c r="B2947" i="1" a="1"/>
  <c r="B2947" i="1" s="1"/>
  <c r="A2947" i="1" s="1"/>
  <c r="B2954" i="1" a="1"/>
  <c r="B2954" i="1" s="1"/>
  <c r="A2954" i="1" s="1"/>
  <c r="B2962" i="1" a="1"/>
  <c r="B2962" i="1" s="1"/>
  <c r="A2962" i="1" s="1"/>
  <c r="B2969" i="1" a="1"/>
  <c r="B2969" i="1" s="1"/>
  <c r="A2969" i="1" s="1"/>
  <c r="B2976" i="1" a="1"/>
  <c r="B2976" i="1" s="1"/>
  <c r="A2976" i="1" s="1"/>
  <c r="B2983" i="1" a="1"/>
  <c r="B2983" i="1" s="1"/>
  <c r="A2983" i="1" s="1"/>
  <c r="B2991" i="1" a="1"/>
  <c r="B2991" i="1" s="1"/>
  <c r="A2991" i="1" s="1"/>
  <c r="B3005" i="1" a="1"/>
  <c r="B3005" i="1" s="1"/>
  <c r="A3005" i="1" s="1"/>
  <c r="B3012" i="1" a="1"/>
  <c r="B3012" i="1" s="1"/>
  <c r="A3012" i="1" s="1"/>
  <c r="B3025" i="1" a="1"/>
  <c r="B3025" i="1" s="1"/>
  <c r="A3025" i="1" s="1"/>
  <c r="B3033" i="1" a="1"/>
  <c r="B3033" i="1" s="1"/>
  <c r="A3033" i="1" s="1"/>
  <c r="B3041" i="1" a="1"/>
  <c r="B3041" i="1" s="1"/>
  <c r="A3041" i="1" s="1"/>
  <c r="B3049" i="1" a="1"/>
  <c r="B3049" i="1" s="1"/>
  <c r="A3049" i="1" s="1"/>
  <c r="B3057" i="1" a="1"/>
  <c r="B3057" i="1" s="1"/>
  <c r="A3057" i="1" s="1"/>
  <c r="B1166" i="1" a="1"/>
  <c r="B1166" i="1" s="1"/>
  <c r="A1166" i="1" s="1"/>
  <c r="B1522" i="1" a="1"/>
  <c r="B1522" i="1" s="1"/>
  <c r="A1522" i="1" s="1"/>
  <c r="B1604" i="1" a="1"/>
  <c r="B1604" i="1" s="1"/>
  <c r="A1604" i="1" s="1"/>
  <c r="B1723" i="1" a="1"/>
  <c r="B1723" i="1" s="1"/>
  <c r="A1723" i="1" s="1"/>
  <c r="B1809" i="1" a="1"/>
  <c r="B1809" i="1" s="1"/>
  <c r="A1809" i="1" s="1"/>
  <c r="B1855" i="1" a="1"/>
  <c r="B1855" i="1" s="1"/>
  <c r="A1855" i="1" s="1"/>
  <c r="B1902" i="1" a="1"/>
  <c r="B1902" i="1" s="1"/>
  <c r="A1902" i="1" s="1"/>
  <c r="B1948" i="1" a="1"/>
  <c r="B1948" i="1" s="1"/>
  <c r="A1948" i="1" s="1"/>
  <c r="B1992" i="1" a="1"/>
  <c r="B1992" i="1" s="1"/>
  <c r="A1992" i="1" s="1"/>
  <c r="B2035" i="1" a="1"/>
  <c r="B2035" i="1" s="1"/>
  <c r="A2035" i="1" s="1"/>
  <c r="B2083" i="1" a="1"/>
  <c r="B2083" i="1" s="1"/>
  <c r="A2083" i="1" s="1"/>
  <c r="B2139" i="1" a="1"/>
  <c r="B2139" i="1" s="1"/>
  <c r="A2139" i="1" s="1"/>
  <c r="B2196" i="1" a="1"/>
  <c r="B2196" i="1" s="1"/>
  <c r="A2196" i="1" s="1"/>
  <c r="B2311" i="1" a="1"/>
  <c r="B2311" i="1" s="1"/>
  <c r="A2311" i="1" s="1"/>
  <c r="B2369" i="1" a="1"/>
  <c r="B2369" i="1" s="1"/>
  <c r="A2369" i="1" s="1"/>
  <c r="B2425" i="1" a="1"/>
  <c r="B2425" i="1" s="1"/>
  <c r="A2425" i="1" s="1"/>
  <c r="B2483" i="1" a="1"/>
  <c r="B2483" i="1" s="1"/>
  <c r="A2483" i="1" s="1"/>
  <c r="B2538" i="1" a="1"/>
  <c r="B2538" i="1" s="1"/>
  <c r="A2538" i="1" s="1"/>
  <c r="B2547" i="1" a="1"/>
  <c r="B2547" i="1" s="1"/>
  <c r="A2547" i="1" s="1"/>
  <c r="B2554" i="1" a="1"/>
  <c r="B2554" i="1" s="1"/>
  <c r="A2554" i="1" s="1"/>
  <c r="B2568" i="1" a="1"/>
  <c r="B2568" i="1" s="1"/>
  <c r="A2568" i="1" s="1"/>
  <c r="B2576" i="1" a="1"/>
  <c r="B2576" i="1" s="1"/>
  <c r="A2576" i="1" s="1"/>
  <c r="B2590" i="1" a="1"/>
  <c r="B2590" i="1" s="1"/>
  <c r="A2590" i="1" s="1"/>
  <c r="B2597" i="1" a="1"/>
  <c r="B2597" i="1" s="1"/>
  <c r="A2597" i="1" s="1"/>
  <c r="B2604" i="1" a="1"/>
  <c r="B2604" i="1" s="1"/>
  <c r="A2604" i="1" s="1"/>
  <c r="B2611" i="1" a="1"/>
  <c r="B2611" i="1" s="1"/>
  <c r="A2611" i="1" s="1"/>
  <c r="B2618" i="1" a="1"/>
  <c r="B2618" i="1" s="1"/>
  <c r="A2618" i="1" s="1"/>
  <c r="B2632" i="1" a="1"/>
  <c r="B2632" i="1" s="1"/>
  <c r="A2632" i="1" s="1"/>
  <c r="B2640" i="1" a="1"/>
  <c r="B2640" i="1" s="1"/>
  <c r="A2640" i="1" s="1"/>
  <c r="B2649" i="1" a="1"/>
  <c r="B2649" i="1" s="1"/>
  <c r="A2649" i="1" s="1"/>
  <c r="B2658" i="1" a="1"/>
  <c r="B2658" i="1" s="1"/>
  <c r="A2658" i="1" s="1"/>
  <c r="B2668" i="1" a="1"/>
  <c r="B2668" i="1" s="1"/>
  <c r="A2668" i="1" s="1"/>
  <c r="B2684" i="1" a="1"/>
  <c r="B2684" i="1" s="1"/>
  <c r="A2684" i="1" s="1"/>
  <c r="B2695" i="1" a="1"/>
  <c r="B2695" i="1" s="1"/>
  <c r="A2695" i="1" s="1"/>
  <c r="B2702" i="1" a="1"/>
  <c r="B2702" i="1" s="1"/>
  <c r="A2702" i="1" s="1"/>
  <c r="B2708" i="1" a="1"/>
  <c r="B2708" i="1" s="1"/>
  <c r="A2708" i="1" s="1"/>
  <c r="B2721" i="1" a="1"/>
  <c r="B2721" i="1" s="1"/>
  <c r="A2721" i="1" s="1"/>
  <c r="B2727" i="1" a="1"/>
  <c r="B2727" i="1" s="1"/>
  <c r="A2727" i="1" s="1"/>
  <c r="B2734" i="1" a="1"/>
  <c r="B2734" i="1" s="1"/>
  <c r="A2734" i="1" s="1"/>
  <c r="B2740" i="1" a="1"/>
  <c r="B2740" i="1" s="1"/>
  <c r="A2740" i="1" s="1"/>
  <c r="B2753" i="1" a="1"/>
  <c r="B2753" i="1" s="1"/>
  <c r="A2753" i="1" s="1"/>
  <c r="B2760" i="1" a="1"/>
  <c r="B2760" i="1" s="1"/>
  <c r="A2760" i="1" s="1"/>
  <c r="B2767" i="1" a="1"/>
  <c r="B2767" i="1" s="1"/>
  <c r="A2767" i="1" s="1"/>
  <c r="B2782" i="1" a="1"/>
  <c r="B2782" i="1" s="1"/>
  <c r="A2782" i="1" s="1"/>
  <c r="B2789" i="1" a="1"/>
  <c r="B2789" i="1" s="1"/>
  <c r="A2789" i="1" s="1"/>
  <c r="B2796" i="1" a="1"/>
  <c r="B2796" i="1" s="1"/>
  <c r="A2796" i="1" s="1"/>
  <c r="B2803" i="1" a="1"/>
  <c r="B2803" i="1" s="1"/>
  <c r="A2803" i="1" s="1"/>
  <c r="B2810" i="1" a="1"/>
  <c r="B2810" i="1" s="1"/>
  <c r="A2810" i="1" s="1"/>
  <c r="B2817" i="1" a="1"/>
  <c r="B2817" i="1" s="1"/>
  <c r="A2817" i="1" s="1"/>
  <c r="B2824" i="1" a="1"/>
  <c r="B2824" i="1" s="1"/>
  <c r="A2824" i="1" s="1"/>
  <c r="B2831" i="1" a="1"/>
  <c r="B2831" i="1" s="1"/>
  <c r="A2831" i="1" s="1"/>
  <c r="B2846" i="1" a="1"/>
  <c r="B2846" i="1" s="1"/>
  <c r="A2846" i="1" s="1"/>
  <c r="B2853" i="1" a="1"/>
  <c r="B2853" i="1" s="1"/>
  <c r="A2853" i="1" s="1"/>
  <c r="B2860" i="1" a="1"/>
  <c r="B2860" i="1" s="1"/>
  <c r="A2860" i="1" s="1"/>
  <c r="B2868" i="1" a="1"/>
  <c r="B2868" i="1" s="1"/>
  <c r="A2868" i="1" s="1"/>
  <c r="B2875" i="1" a="1"/>
  <c r="B2875" i="1" s="1"/>
  <c r="A2875" i="1" s="1"/>
  <c r="B2882" i="1" a="1"/>
  <c r="B2882" i="1" s="1"/>
  <c r="A2882" i="1" s="1"/>
  <c r="B2889" i="1" a="1"/>
  <c r="B2889" i="1" s="1"/>
  <c r="A2889" i="1" s="1"/>
  <c r="B2897" i="1" a="1"/>
  <c r="B2897" i="1" s="1"/>
  <c r="A2897" i="1" s="1"/>
  <c r="B2904" i="1" a="1"/>
  <c r="B2904" i="1" s="1"/>
  <c r="A2904" i="1" s="1"/>
  <c r="B2911" i="1" a="1"/>
  <c r="B2911" i="1" s="1"/>
  <c r="A2911" i="1" s="1"/>
  <c r="B2926" i="1" a="1"/>
  <c r="B2926" i="1" s="1"/>
  <c r="A2926" i="1" s="1"/>
  <c r="B2934" i="1" a="1"/>
  <c r="B2934" i="1" s="1"/>
  <c r="A2934" i="1" s="1"/>
  <c r="B2941" i="1" a="1"/>
  <c r="B2941" i="1" s="1"/>
  <c r="A2941" i="1" s="1"/>
  <c r="B2948" i="1" a="1"/>
  <c r="B2948" i="1" s="1"/>
  <c r="A2948" i="1" s="1"/>
  <c r="B2955" i="1" a="1"/>
  <c r="B2955" i="1" s="1"/>
  <c r="A2955" i="1" s="1"/>
  <c r="B2963" i="1" a="1"/>
  <c r="B2963" i="1" s="1"/>
  <c r="A2963" i="1" s="1"/>
  <c r="B2970" i="1" a="1"/>
  <c r="B2970" i="1" s="1"/>
  <c r="A2970" i="1" s="1"/>
  <c r="B2977" i="1" a="1"/>
  <c r="B2977" i="1" s="1"/>
  <c r="A2977" i="1" s="1"/>
  <c r="B2984" i="1" a="1"/>
  <c r="B2984" i="1" s="1"/>
  <c r="A2984" i="1" s="1"/>
  <c r="B2992" i="1" a="1"/>
  <c r="B2992" i="1" s="1"/>
  <c r="A2992" i="1" s="1"/>
  <c r="B2999" i="1" a="1"/>
  <c r="B2999" i="1" s="1"/>
  <c r="A2999" i="1" s="1"/>
  <c r="B3006" i="1" a="1"/>
  <c r="B3006" i="1" s="1"/>
  <c r="A3006" i="1" s="1"/>
  <c r="B3013" i="1" a="1"/>
  <c r="B3013" i="1" s="1"/>
  <c r="A3013" i="1" s="1"/>
  <c r="B3019" i="1" a="1"/>
  <c r="B3019" i="1" s="1"/>
  <c r="A3019" i="1" s="1"/>
  <c r="B3026" i="1" a="1"/>
  <c r="B3026" i="1" s="1"/>
  <c r="A3026" i="1" s="1"/>
  <c r="B3034" i="1" a="1"/>
  <c r="B3034" i="1" s="1"/>
  <c r="A3034" i="1" s="1"/>
  <c r="B3042" i="1" a="1"/>
  <c r="B3042" i="1" s="1"/>
  <c r="A3042" i="1" s="1"/>
  <c r="B3050" i="1" a="1"/>
  <c r="B3050" i="1" s="1"/>
  <c r="A3050" i="1" s="1"/>
  <c r="B3058" i="1" a="1"/>
  <c r="B3058" i="1" s="1"/>
  <c r="A3058" i="1" s="1"/>
  <c r="B3066" i="1" a="1"/>
  <c r="B3066" i="1" s="1"/>
  <c r="A3066" i="1" s="1"/>
  <c r="B3074" i="1" a="1"/>
  <c r="B3074" i="1" s="1"/>
  <c r="A3074" i="1" s="1"/>
  <c r="B3082" i="1" a="1"/>
  <c r="B3082" i="1" s="1"/>
  <c r="A3082" i="1" s="1"/>
  <c r="B3090" i="1" a="1"/>
  <c r="B3090" i="1" s="1"/>
  <c r="A3090" i="1" s="1"/>
  <c r="B3098" i="1" a="1"/>
  <c r="B3098" i="1" s="1"/>
  <c r="A3098" i="1" s="1"/>
  <c r="B3106" i="1" a="1"/>
  <c r="B3106" i="1" s="1"/>
  <c r="A3106" i="1" s="1"/>
  <c r="B3114" i="1" a="1"/>
  <c r="B3114" i="1" s="1"/>
  <c r="A3114" i="1" s="1"/>
  <c r="B3122" i="1" a="1"/>
  <c r="B3122" i="1" s="1"/>
  <c r="A3122" i="1" s="1"/>
  <c r="B3130" i="1" a="1"/>
  <c r="B3130" i="1" s="1"/>
  <c r="A3130" i="1" s="1"/>
  <c r="B3138" i="1" a="1"/>
  <c r="B3138" i="1" s="1"/>
  <c r="A3138" i="1" s="1"/>
  <c r="B3146" i="1" a="1"/>
  <c r="B3146" i="1" s="1"/>
  <c r="A3146" i="1" s="1"/>
  <c r="B3154" i="1" a="1"/>
  <c r="B3154" i="1" s="1"/>
  <c r="A3154" i="1" s="1"/>
  <c r="B3162" i="1" a="1"/>
  <c r="B3162" i="1" s="1"/>
  <c r="A3162" i="1" s="1"/>
  <c r="B3170" i="1" a="1"/>
  <c r="B3170" i="1" s="1"/>
  <c r="A3170" i="1" s="1"/>
  <c r="B3178" i="1" a="1"/>
  <c r="B3178" i="1" s="1"/>
  <c r="A3178" i="1" s="1"/>
  <c r="B3186" i="1" a="1"/>
  <c r="B3186" i="1" s="1"/>
  <c r="A3186" i="1" s="1"/>
  <c r="B3194" i="1" a="1"/>
  <c r="B3194" i="1" s="1"/>
  <c r="A3194" i="1" s="1"/>
  <c r="B3202" i="1" a="1"/>
  <c r="B3202" i="1" s="1"/>
  <c r="A3202" i="1" s="1"/>
  <c r="B3210" i="1" a="1"/>
  <c r="B3210" i="1" s="1"/>
  <c r="A3210" i="1" s="1"/>
  <c r="B3218" i="1" a="1"/>
  <c r="B3218" i="1" s="1"/>
  <c r="A3218" i="1" s="1"/>
  <c r="B3226" i="1" a="1"/>
  <c r="B3226" i="1" s="1"/>
  <c r="A3226" i="1" s="1"/>
  <c r="B3234" i="1" a="1"/>
  <c r="B3234" i="1" s="1"/>
  <c r="A3234" i="1" s="1"/>
  <c r="B3242" i="1" a="1"/>
  <c r="B3242" i="1" s="1"/>
  <c r="A3242" i="1" s="1"/>
  <c r="B3250" i="1" a="1"/>
  <c r="B3250" i="1" s="1"/>
  <c r="A3250" i="1" s="1"/>
  <c r="B3258" i="1" a="1"/>
  <c r="B3258" i="1" s="1"/>
  <c r="A3258" i="1" s="1"/>
  <c r="B3266" i="1" a="1"/>
  <c r="B3266" i="1" s="1"/>
  <c r="A3266" i="1" s="1"/>
  <c r="B3274" i="1" a="1"/>
  <c r="B3274" i="1" s="1"/>
  <c r="A3274" i="1" s="1"/>
  <c r="B3282" i="1" a="1"/>
  <c r="B3282" i="1" s="1"/>
  <c r="A3282" i="1" s="1"/>
  <c r="B3290" i="1" a="1"/>
  <c r="B3290" i="1" s="1"/>
  <c r="A3290" i="1" s="1"/>
  <c r="B3298" i="1" a="1"/>
  <c r="B3298" i="1" s="1"/>
  <c r="A3298" i="1" s="1"/>
  <c r="B3306" i="1" a="1"/>
  <c r="B3306" i="1" s="1"/>
  <c r="A3306" i="1" s="1"/>
  <c r="B3314" i="1" a="1"/>
  <c r="B3314" i="1" s="1"/>
  <c r="A3314" i="1" s="1"/>
  <c r="B3322" i="1" a="1"/>
  <c r="B3322" i="1" s="1"/>
  <c r="A3322" i="1" s="1"/>
  <c r="B3330" i="1" a="1"/>
  <c r="B3330" i="1" s="1"/>
  <c r="A3330" i="1" s="1"/>
  <c r="B3338" i="1" a="1"/>
  <c r="B3338" i="1" s="1"/>
  <c r="A3338" i="1" s="1"/>
  <c r="B3346" i="1" a="1"/>
  <c r="B3346" i="1" s="1"/>
  <c r="A3346" i="1" s="1"/>
  <c r="B3354" i="1" a="1"/>
  <c r="B3354" i="1" s="1"/>
  <c r="A3354" i="1" s="1"/>
  <c r="B3362" i="1" a="1"/>
  <c r="B3362" i="1" s="1"/>
  <c r="A3362" i="1" s="1"/>
  <c r="B3369" i="1" a="1"/>
  <c r="B3369" i="1" s="1"/>
  <c r="A3369" i="1" s="1"/>
  <c r="B3381" i="1" a="1"/>
  <c r="B3381" i="1" s="1"/>
  <c r="A3381" i="1" s="1"/>
  <c r="B3400" i="1" a="1"/>
  <c r="B3400" i="1" s="1"/>
  <c r="A3400" i="1" s="1"/>
  <c r="B3406" i="1" a="1"/>
  <c r="B3406" i="1" s="1"/>
  <c r="A3406" i="1" s="1"/>
  <c r="B3418" i="1" a="1"/>
  <c r="B3418" i="1" s="1"/>
  <c r="A3418" i="1" s="1"/>
  <c r="B3424" i="1" a="1"/>
  <c r="B3424" i="1" s="1"/>
  <c r="A3424" i="1" s="1"/>
  <c r="B3430" i="1" a="1"/>
  <c r="B3430" i="1" s="1"/>
  <c r="A3430" i="1" s="1"/>
  <c r="B3436" i="1" a="1"/>
  <c r="B3436" i="1" s="1"/>
  <c r="A3436" i="1" s="1"/>
  <c r="B3442" i="1" a="1"/>
  <c r="B3442" i="1" s="1"/>
  <c r="A3442" i="1" s="1"/>
  <c r="B3449" i="1" a="1"/>
  <c r="B3449" i="1" s="1"/>
  <c r="A3449" i="1" s="1"/>
  <c r="B3455" i="1" a="1"/>
  <c r="B3455" i="1" s="1"/>
  <c r="A3455" i="1" s="1"/>
  <c r="B3461" i="1" a="1"/>
  <c r="B3461" i="1" s="1"/>
  <c r="A3461" i="1" s="1"/>
  <c r="B3480" i="1" a="1"/>
  <c r="B3480" i="1" s="1"/>
  <c r="A3480" i="1" s="1"/>
  <c r="B3486" i="1" a="1"/>
  <c r="B3486" i="1" s="1"/>
  <c r="A3486" i="1" s="1"/>
  <c r="B3492" i="1" a="1"/>
  <c r="B3492" i="1" s="1"/>
  <c r="A3492" i="1" s="1"/>
  <c r="B3498" i="1" a="1"/>
  <c r="B3498" i="1" s="1"/>
  <c r="A3498" i="1" s="1"/>
  <c r="B3506" i="1" a="1"/>
  <c r="B3506" i="1" s="1"/>
  <c r="A3506" i="1" s="1"/>
  <c r="B3514" i="1" a="1"/>
  <c r="B3514" i="1" s="1"/>
  <c r="A3514" i="1" s="1"/>
  <c r="B3522" i="1" a="1"/>
  <c r="B3522" i="1" s="1"/>
  <c r="A3522" i="1" s="1"/>
  <c r="B3530" i="1" a="1"/>
  <c r="B3530" i="1" s="1"/>
  <c r="A3530" i="1" s="1"/>
  <c r="B3538" i="1" a="1"/>
  <c r="B3538" i="1" s="1"/>
  <c r="A3538" i="1" s="1"/>
  <c r="B3546" i="1" a="1"/>
  <c r="B3546" i="1" s="1"/>
  <c r="A3546" i="1" s="1"/>
  <c r="B3554" i="1" a="1"/>
  <c r="B3554" i="1" s="1"/>
  <c r="A3554" i="1" s="1"/>
  <c r="B3562" i="1" a="1"/>
  <c r="B3562" i="1" s="1"/>
  <c r="A3562" i="1" s="1"/>
  <c r="B3570" i="1" a="1"/>
  <c r="B3570" i="1" s="1"/>
  <c r="A3570" i="1" s="1"/>
  <c r="B3578" i="1" a="1"/>
  <c r="B3578" i="1" s="1"/>
  <c r="A3578" i="1" s="1"/>
  <c r="B3586" i="1" a="1"/>
  <c r="B3586" i="1" s="1"/>
  <c r="A3586" i="1" s="1"/>
  <c r="B3594" i="1" a="1"/>
  <c r="B3594" i="1" s="1"/>
  <c r="A3594" i="1" s="1"/>
  <c r="B3602" i="1" a="1"/>
  <c r="B3602" i="1" s="1"/>
  <c r="A3602" i="1" s="1"/>
  <c r="B1223" i="1" a="1"/>
  <c r="B1223" i="1" s="1"/>
  <c r="A1223" i="1" s="1"/>
  <c r="B1556" i="1" a="1"/>
  <c r="B1556" i="1" s="1"/>
  <c r="A1556" i="1" s="1"/>
  <c r="B1610" i="1" a="1"/>
  <c r="B1610" i="1" s="1"/>
  <c r="A1610" i="1" s="1"/>
  <c r="B1649" i="1" a="1"/>
  <c r="B1649" i="1" s="1"/>
  <c r="A1649" i="1" s="1"/>
  <c r="B1728" i="1" a="1"/>
  <c r="B1728" i="1" s="1"/>
  <c r="A1728" i="1" s="1"/>
  <c r="B1815" i="1" a="1"/>
  <c r="B1815" i="1" s="1"/>
  <c r="A1815" i="1" s="1"/>
  <c r="B1861" i="1" a="1"/>
  <c r="B1861" i="1" s="1"/>
  <c r="A1861" i="1" s="1"/>
  <c r="B1955" i="1" a="1"/>
  <c r="B1955" i="1" s="1"/>
  <c r="A1955" i="1" s="1"/>
  <c r="B1998" i="1" a="1"/>
  <c r="B1998" i="1" s="1"/>
  <c r="A1998" i="1" s="1"/>
  <c r="B2040" i="1" a="1"/>
  <c r="B2040" i="1" s="1"/>
  <c r="A2040" i="1" s="1"/>
  <c r="B2090" i="1" a="1"/>
  <c r="B2090" i="1" s="1"/>
  <c r="A2090" i="1" s="1"/>
  <c r="B2204" i="1" a="1"/>
  <c r="B2204" i="1" s="1"/>
  <c r="A2204" i="1" s="1"/>
  <c r="B2261" i="1" a="1"/>
  <c r="B2261" i="1" s="1"/>
  <c r="A2261" i="1" s="1"/>
  <c r="B2375" i="1" a="1"/>
  <c r="B2375" i="1" s="1"/>
  <c r="A2375" i="1" s="1"/>
  <c r="B2433" i="1" a="1"/>
  <c r="B2433" i="1" s="1"/>
  <c r="A2433" i="1" s="1"/>
  <c r="B2491" i="1" a="1"/>
  <c r="B2491" i="1" s="1"/>
  <c r="A2491" i="1" s="1"/>
  <c r="B2541" i="1" a="1"/>
  <c r="B2541" i="1" s="1"/>
  <c r="A2541" i="1" s="1"/>
  <c r="B2548" i="1" a="1"/>
  <c r="B2548" i="1" s="1"/>
  <c r="A2548" i="1" s="1"/>
  <c r="B2555" i="1" a="1"/>
  <c r="B2555" i="1" s="1"/>
  <c r="A2555" i="1" s="1"/>
  <c r="B2562" i="1" a="1"/>
  <c r="B2562" i="1" s="1"/>
  <c r="A2562" i="1" s="1"/>
  <c r="B2569" i="1" a="1"/>
  <c r="B2569" i="1" s="1"/>
  <c r="A2569" i="1" s="1"/>
  <c r="B2577" i="1" a="1"/>
  <c r="B2577" i="1" s="1"/>
  <c r="A2577" i="1" s="1"/>
  <c r="B2583" i="1" a="1"/>
  <c r="B2583" i="1" s="1"/>
  <c r="A2583" i="1" s="1"/>
  <c r="B2591" i="1" a="1"/>
  <c r="B2591" i="1" s="1"/>
  <c r="A2591" i="1" s="1"/>
  <c r="B2598" i="1" a="1"/>
  <c r="B2598" i="1" s="1"/>
  <c r="A2598" i="1" s="1"/>
  <c r="B2605" i="1" a="1"/>
  <c r="B2605" i="1" s="1"/>
  <c r="A2605" i="1" s="1"/>
  <c r="B2612" i="1" a="1"/>
  <c r="B2612" i="1" s="1"/>
  <c r="A2612" i="1" s="1"/>
  <c r="B2619" i="1" a="1"/>
  <c r="B2619" i="1" s="1"/>
  <c r="A2619" i="1" s="1"/>
  <c r="B2626" i="1" a="1"/>
  <c r="B2626" i="1" s="1"/>
  <c r="A2626" i="1" s="1"/>
  <c r="B2633" i="1" a="1"/>
  <c r="B2633" i="1" s="1"/>
  <c r="A2633" i="1" s="1"/>
  <c r="B2645" i="1" a="1"/>
  <c r="B2645" i="1" s="1"/>
  <c r="A2645" i="1" s="1"/>
  <c r="B2654" i="1" a="1"/>
  <c r="B2654" i="1" s="1"/>
  <c r="A2654" i="1" s="1"/>
  <c r="B2663" i="1" a="1"/>
  <c r="B2663" i="1" s="1"/>
  <c r="A2663" i="1" s="1"/>
  <c r="B2669" i="1" a="1"/>
  <c r="B2669" i="1" s="1"/>
  <c r="A2669" i="1" s="1"/>
  <c r="B2674" i="1" a="1"/>
  <c r="B2674" i="1" s="1"/>
  <c r="A2674" i="1" s="1"/>
  <c r="B2679" i="1" a="1"/>
  <c r="B2679" i="1" s="1"/>
  <c r="A2679" i="1" s="1"/>
  <c r="B2685" i="1" a="1"/>
  <c r="B2685" i="1" s="1"/>
  <c r="A2685" i="1" s="1"/>
  <c r="B2690" i="1" a="1"/>
  <c r="B2690" i="1" s="1"/>
  <c r="A2690" i="1" s="1"/>
  <c r="B2696" i="1" a="1"/>
  <c r="B2696" i="1" s="1"/>
  <c r="A2696" i="1" s="1"/>
  <c r="B2709" i="1" a="1"/>
  <c r="B2709" i="1" s="1"/>
  <c r="A2709" i="1" s="1"/>
  <c r="B2715" i="1" a="1"/>
  <c r="B2715" i="1" s="1"/>
  <c r="A2715" i="1" s="1"/>
  <c r="B2722" i="1" a="1"/>
  <c r="B2722" i="1" s="1"/>
  <c r="A2722" i="1" s="1"/>
  <c r="B2728" i="1" a="1"/>
  <c r="B2728" i="1" s="1"/>
  <c r="A2728" i="1" s="1"/>
  <c r="B2741" i="1" a="1"/>
  <c r="B2741" i="1" s="1"/>
  <c r="A2741" i="1" s="1"/>
  <c r="B2747" i="1" a="1"/>
  <c r="B2747" i="1" s="1"/>
  <c r="A2747" i="1" s="1"/>
  <c r="B2754" i="1" a="1"/>
  <c r="B2754" i="1" s="1"/>
  <c r="A2754" i="1" s="1"/>
  <c r="B2761" i="1" a="1"/>
  <c r="B2761" i="1" s="1"/>
  <c r="A2761" i="1" s="1"/>
  <c r="B2768" i="1" a="1"/>
  <c r="B2768" i="1" s="1"/>
  <c r="A2768" i="1" s="1"/>
  <c r="B2775" i="1" a="1"/>
  <c r="B2775" i="1" s="1"/>
  <c r="A2775" i="1" s="1"/>
  <c r="B2790" i="1" a="1"/>
  <c r="B2790" i="1" s="1"/>
  <c r="A2790" i="1" s="1"/>
  <c r="B2797" i="1" a="1"/>
  <c r="B2797" i="1" s="1"/>
  <c r="A2797" i="1" s="1"/>
  <c r="B2804" i="1" a="1"/>
  <c r="B2804" i="1" s="1"/>
  <c r="A2804" i="1" s="1"/>
  <c r="B2811" i="1" a="1"/>
  <c r="B2811" i="1" s="1"/>
  <c r="A2811" i="1" s="1"/>
  <c r="B2818" i="1" a="1"/>
  <c r="B2818" i="1" s="1"/>
  <c r="A2818" i="1" s="1"/>
  <c r="B2825" i="1" a="1"/>
  <c r="B2825" i="1" s="1"/>
  <c r="A2825" i="1" s="1"/>
  <c r="B2832" i="1" a="1"/>
  <c r="B2832" i="1" s="1"/>
  <c r="A2832" i="1" s="1"/>
  <c r="B2839" i="1" a="1"/>
  <c r="B2839" i="1" s="1"/>
  <c r="A2839" i="1" s="1"/>
  <c r="B2854" i="1" a="1"/>
  <c r="B2854" i="1" s="1"/>
  <c r="A2854" i="1" s="1"/>
  <c r="B2861" i="1" a="1"/>
  <c r="B2861" i="1" s="1"/>
  <c r="A2861" i="1" s="1"/>
  <c r="B2869" i="1" a="1"/>
  <c r="B2869" i="1" s="1"/>
  <c r="A2869" i="1" s="1"/>
  <c r="B2876" i="1" a="1"/>
  <c r="B2876" i="1" s="1"/>
  <c r="A2876" i="1" s="1"/>
  <c r="B2883" i="1" a="1"/>
  <c r="B2883" i="1" s="1"/>
  <c r="A2883" i="1" s="1"/>
  <c r="B2890" i="1" a="1"/>
  <c r="B2890" i="1" s="1"/>
  <c r="A2890" i="1" s="1"/>
  <c r="B2898" i="1" a="1"/>
  <c r="B2898" i="1" s="1"/>
  <c r="A2898" i="1" s="1"/>
  <c r="B2905" i="1" a="1"/>
  <c r="B2905" i="1" s="1"/>
  <c r="A2905" i="1" s="1"/>
  <c r="B2912" i="1" a="1"/>
  <c r="B2912" i="1" s="1"/>
  <c r="A2912" i="1" s="1"/>
  <c r="B2919" i="1" a="1"/>
  <c r="B2919" i="1" s="1"/>
  <c r="A2919" i="1" s="1"/>
  <c r="B2927" i="1" a="1"/>
  <c r="B2927" i="1" s="1"/>
  <c r="A2927" i="1" s="1"/>
  <c r="B2942" i="1" a="1"/>
  <c r="B2942" i="1" s="1"/>
  <c r="A2942" i="1" s="1"/>
  <c r="B2949" i="1" a="1"/>
  <c r="B2949" i="1" s="1"/>
  <c r="A2949" i="1" s="1"/>
  <c r="B2956" i="1" a="1"/>
  <c r="B2956" i="1" s="1"/>
  <c r="A2956" i="1" s="1"/>
  <c r="B2964" i="1" a="1"/>
  <c r="B2964" i="1" s="1"/>
  <c r="A2964" i="1" s="1"/>
  <c r="B2971" i="1" a="1"/>
  <c r="B2971" i="1" s="1"/>
  <c r="A2971" i="1" s="1"/>
  <c r="B2978" i="1" a="1"/>
  <c r="B2978" i="1" s="1"/>
  <c r="A2978" i="1" s="1"/>
  <c r="B2985" i="1" a="1"/>
  <c r="B2985" i="1" s="1"/>
  <c r="A2985" i="1" s="1"/>
  <c r="B2993" i="1" a="1"/>
  <c r="B2993" i="1" s="1"/>
  <c r="A2993" i="1" s="1"/>
  <c r="B3000" i="1" a="1"/>
  <c r="B3000" i="1" s="1"/>
  <c r="A3000" i="1" s="1"/>
  <c r="B3014" i="1" a="1"/>
  <c r="B3014" i="1" s="1"/>
  <c r="A3014" i="1" s="1"/>
  <c r="B3020" i="1" a="1"/>
  <c r="B3020" i="1" s="1"/>
  <c r="A3020" i="1" s="1"/>
  <c r="B3027" i="1" a="1"/>
  <c r="B3027" i="1" s="1"/>
  <c r="A3027" i="1" s="1"/>
  <c r="B3035" i="1" a="1"/>
  <c r="B3035" i="1" s="1"/>
  <c r="A3035" i="1" s="1"/>
  <c r="B3043" i="1" a="1"/>
  <c r="B3043" i="1" s="1"/>
  <c r="A3043" i="1" s="1"/>
  <c r="B3051" i="1" a="1"/>
  <c r="B3051" i="1" s="1"/>
  <c r="A3051" i="1" s="1"/>
  <c r="B3059" i="1" a="1"/>
  <c r="B3059" i="1" s="1"/>
  <c r="A3059" i="1" s="1"/>
  <c r="B3067" i="1" a="1"/>
  <c r="B3067" i="1" s="1"/>
  <c r="A3067" i="1" s="1"/>
  <c r="B3075" i="1" a="1"/>
  <c r="B3075" i="1" s="1"/>
  <c r="A3075" i="1" s="1"/>
  <c r="B3083" i="1" a="1"/>
  <c r="B3083" i="1" s="1"/>
  <c r="A3083" i="1" s="1"/>
  <c r="B3091" i="1" a="1"/>
  <c r="B3091" i="1" s="1"/>
  <c r="A3091" i="1" s="1"/>
  <c r="B3099" i="1" a="1"/>
  <c r="B3099" i="1" s="1"/>
  <c r="A3099" i="1" s="1"/>
  <c r="B3107" i="1" a="1"/>
  <c r="B3107" i="1" s="1"/>
  <c r="A3107" i="1" s="1"/>
  <c r="B3115" i="1" a="1"/>
  <c r="B3115" i="1" s="1"/>
  <c r="A3115" i="1" s="1"/>
  <c r="B3123" i="1" a="1"/>
  <c r="B3123" i="1" s="1"/>
  <c r="A3123" i="1" s="1"/>
  <c r="B3131" i="1" a="1"/>
  <c r="B3131" i="1" s="1"/>
  <c r="A3131" i="1" s="1"/>
  <c r="B3139" i="1" a="1"/>
  <c r="B3139" i="1" s="1"/>
  <c r="A3139" i="1" s="1"/>
  <c r="B3147" i="1" a="1"/>
  <c r="B3147" i="1" s="1"/>
  <c r="A3147" i="1" s="1"/>
  <c r="B3155" i="1" a="1"/>
  <c r="B3155" i="1" s="1"/>
  <c r="A3155" i="1" s="1"/>
  <c r="B3163" i="1" a="1"/>
  <c r="B3163" i="1" s="1"/>
  <c r="A3163" i="1" s="1"/>
  <c r="B3171" i="1" a="1"/>
  <c r="B3171" i="1" s="1"/>
  <c r="A3171" i="1" s="1"/>
  <c r="B3179" i="1" a="1"/>
  <c r="B3179" i="1" s="1"/>
  <c r="A3179" i="1" s="1"/>
  <c r="B3187" i="1" a="1"/>
  <c r="B3187" i="1" s="1"/>
  <c r="A3187" i="1" s="1"/>
  <c r="B3195" i="1" a="1"/>
  <c r="B3195" i="1" s="1"/>
  <c r="A3195" i="1" s="1"/>
  <c r="B3203" i="1" a="1"/>
  <c r="B3203" i="1" s="1"/>
  <c r="A3203" i="1" s="1"/>
  <c r="B3211" i="1" a="1"/>
  <c r="B3211" i="1" s="1"/>
  <c r="A3211" i="1" s="1"/>
  <c r="B3219" i="1" a="1"/>
  <c r="B3219" i="1" s="1"/>
  <c r="A3219" i="1" s="1"/>
  <c r="B3227" i="1" a="1"/>
  <c r="B3227" i="1" s="1"/>
  <c r="A3227" i="1" s="1"/>
  <c r="B3235" i="1" a="1"/>
  <c r="B3235" i="1" s="1"/>
  <c r="A3235" i="1" s="1"/>
  <c r="B3243" i="1" a="1"/>
  <c r="B3243" i="1" s="1"/>
  <c r="A3243" i="1" s="1"/>
  <c r="B3251" i="1" a="1"/>
  <c r="B3251" i="1" s="1"/>
  <c r="A3251" i="1" s="1"/>
  <c r="B3259" i="1" a="1"/>
  <c r="B3259" i="1" s="1"/>
  <c r="A3259" i="1" s="1"/>
  <c r="B3267" i="1" a="1"/>
  <c r="B3267" i="1" s="1"/>
  <c r="A3267" i="1" s="1"/>
  <c r="B3275" i="1" a="1"/>
  <c r="B3275" i="1" s="1"/>
  <c r="A3275" i="1" s="1"/>
  <c r="B3283" i="1" a="1"/>
  <c r="B3283" i="1" s="1"/>
  <c r="A3283" i="1" s="1"/>
  <c r="B3291" i="1" a="1"/>
  <c r="B3291" i="1" s="1"/>
  <c r="A3291" i="1" s="1"/>
  <c r="B3299" i="1" a="1"/>
  <c r="B3299" i="1" s="1"/>
  <c r="A3299" i="1" s="1"/>
  <c r="B3307" i="1" a="1"/>
  <c r="B3307" i="1" s="1"/>
  <c r="A3307" i="1" s="1"/>
  <c r="B3315" i="1" a="1"/>
  <c r="B3315" i="1" s="1"/>
  <c r="A3315" i="1" s="1"/>
  <c r="B3323" i="1" a="1"/>
  <c r="B3323" i="1" s="1"/>
  <c r="A3323" i="1" s="1"/>
  <c r="B3331" i="1" a="1"/>
  <c r="B3331" i="1" s="1"/>
  <c r="A3331" i="1" s="1"/>
  <c r="B3339" i="1" a="1"/>
  <c r="B3339" i="1" s="1"/>
  <c r="A3339" i="1" s="1"/>
  <c r="B3347" i="1" a="1"/>
  <c r="B3347" i="1" s="1"/>
  <c r="A3347" i="1" s="1"/>
  <c r="B3355" i="1" a="1"/>
  <c r="B3355" i="1" s="1"/>
  <c r="A3355" i="1" s="1"/>
  <c r="B3363" i="1" a="1"/>
  <c r="B3363" i="1" s="1"/>
  <c r="A3363" i="1" s="1"/>
  <c r="B3376" i="1" a="1"/>
  <c r="B3376" i="1" s="1"/>
  <c r="A3376" i="1" s="1"/>
  <c r="B3382" i="1" a="1"/>
  <c r="B3382" i="1" s="1"/>
  <c r="A3382" i="1" s="1"/>
  <c r="B3388" i="1" a="1"/>
  <c r="B3388" i="1" s="1"/>
  <c r="A3388" i="1" s="1"/>
  <c r="B3394" i="1" a="1"/>
  <c r="B3394" i="1" s="1"/>
  <c r="A3394" i="1" s="1"/>
  <c r="B3401" i="1" a="1"/>
  <c r="B3401" i="1" s="1"/>
  <c r="A3401" i="1" s="1"/>
  <c r="B3407" i="1" a="1"/>
  <c r="B3407" i="1" s="1"/>
  <c r="A3407" i="1" s="1"/>
  <c r="B3412" i="1" a="1"/>
  <c r="B3412" i="1" s="1"/>
  <c r="A3412" i="1" s="1"/>
  <c r="B3419" i="1" a="1"/>
  <c r="B3419" i="1" s="1"/>
  <c r="A3419" i="1" s="1"/>
  <c r="B3425" i="1" a="1"/>
  <c r="B3425" i="1" s="1"/>
  <c r="A3425" i="1" s="1"/>
  <c r="B3431" i="1" a="1"/>
  <c r="B3431" i="1" s="1"/>
  <c r="A3431" i="1" s="1"/>
  <c r="B3437" i="1" a="1"/>
  <c r="B3437" i="1" s="1"/>
  <c r="A3437" i="1" s="1"/>
  <c r="B3443" i="1" a="1"/>
  <c r="B3443" i="1" s="1"/>
  <c r="A3443" i="1" s="1"/>
  <c r="B3462" i="1" a="1"/>
  <c r="B3462" i="1" s="1"/>
  <c r="A3462" i="1" s="1"/>
  <c r="B3468" i="1" a="1"/>
  <c r="B3468" i="1" s="1"/>
  <c r="A3468" i="1" s="1"/>
  <c r="B3474" i="1" a="1"/>
  <c r="B3474" i="1" s="1"/>
  <c r="A3474" i="1" s="1"/>
  <c r="B3481" i="1" a="1"/>
  <c r="B3481" i="1" s="1"/>
  <c r="A3481" i="1" s="1"/>
  <c r="B3499" i="1" a="1"/>
  <c r="B3499" i="1" s="1"/>
  <c r="A3499" i="1" s="1"/>
  <c r="B3507" i="1" a="1"/>
  <c r="B3507" i="1" s="1"/>
  <c r="A3507" i="1" s="1"/>
  <c r="B3515" i="1" a="1"/>
  <c r="B3515" i="1" s="1"/>
  <c r="A3515" i="1" s="1"/>
  <c r="B3523" i="1" a="1"/>
  <c r="B3523" i="1" s="1"/>
  <c r="A3523" i="1" s="1"/>
  <c r="B3531" i="1" a="1"/>
  <c r="B3531" i="1" s="1"/>
  <c r="A3531" i="1" s="1"/>
  <c r="B3539" i="1" a="1"/>
  <c r="B3539" i="1" s="1"/>
  <c r="A3539" i="1" s="1"/>
  <c r="B3547" i="1" a="1"/>
  <c r="B3547" i="1" s="1"/>
  <c r="A3547" i="1" s="1"/>
  <c r="B3555" i="1" a="1"/>
  <c r="B3555" i="1" s="1"/>
  <c r="A3555" i="1" s="1"/>
  <c r="B3563" i="1" a="1"/>
  <c r="B3563" i="1" s="1"/>
  <c r="A3563" i="1" s="1"/>
  <c r="B3571" i="1" a="1"/>
  <c r="B3571" i="1" s="1"/>
  <c r="A3571" i="1" s="1"/>
  <c r="B3579" i="1" a="1"/>
  <c r="B3579" i="1" s="1"/>
  <c r="A3579" i="1" s="1"/>
  <c r="B3587" i="1" a="1"/>
  <c r="B3587" i="1" s="1"/>
  <c r="A3587" i="1" s="1"/>
  <c r="B3595" i="1" a="1"/>
  <c r="B3595" i="1" s="1"/>
  <c r="A3595" i="1" s="1"/>
  <c r="B1278" i="1" a="1"/>
  <c r="B1278" i="1" s="1"/>
  <c r="A1278" i="1" s="1"/>
  <c r="B1567" i="1" a="1"/>
  <c r="B1567" i="1" s="1"/>
  <c r="A1567" i="1" s="1"/>
  <c r="B1615" i="1" a="1"/>
  <c r="B1615" i="1" s="1"/>
  <c r="A1615" i="1" s="1"/>
  <c r="B1654" i="1" a="1"/>
  <c r="B1654" i="1" s="1"/>
  <c r="A1654" i="1" s="1"/>
  <c r="B1693" i="1" a="1"/>
  <c r="B1693" i="1" s="1"/>
  <c r="A1693" i="1" s="1"/>
  <c r="B1774" i="1" a="1"/>
  <c r="B1774" i="1" s="1"/>
  <c r="A1774" i="1" s="1"/>
  <c r="B1820" i="1" a="1"/>
  <c r="B1820" i="1" s="1"/>
  <c r="A1820" i="1" s="1"/>
  <c r="B1867" i="1" a="1"/>
  <c r="B1867" i="1" s="1"/>
  <c r="A1867" i="1" s="1"/>
  <c r="B1914" i="1" a="1"/>
  <c r="B1914" i="1" s="1"/>
  <c r="A1914" i="1" s="1"/>
  <c r="B1960" i="1" a="1"/>
  <c r="B1960" i="1" s="1"/>
  <c r="A1960" i="1" s="1"/>
  <c r="B2003" i="1" a="1"/>
  <c r="B2003" i="1" s="1"/>
  <c r="A2003" i="1" s="1"/>
  <c r="B2046" i="1" a="1"/>
  <c r="B2046" i="1" s="1"/>
  <c r="A2046" i="1" s="1"/>
  <c r="B2096" i="1" a="1"/>
  <c r="B2096" i="1" s="1"/>
  <c r="A2096" i="1" s="1"/>
  <c r="B2154" i="1" a="1"/>
  <c r="B2154" i="1" s="1"/>
  <c r="A2154" i="1" s="1"/>
  <c r="B2211" i="1" a="1"/>
  <c r="B2211" i="1" s="1"/>
  <c r="A2211" i="1" s="1"/>
  <c r="B2269" i="1" a="1"/>
  <c r="B2269" i="1" s="1"/>
  <c r="A2269" i="1" s="1"/>
  <c r="B2325" i="1" a="1"/>
  <c r="B2325" i="1" s="1"/>
  <c r="A2325" i="1" s="1"/>
  <c r="B2440" i="1" a="1"/>
  <c r="B2440" i="1" s="1"/>
  <c r="A2440" i="1" s="1"/>
  <c r="B2499" i="1" a="1"/>
  <c r="B2499" i="1" s="1"/>
  <c r="A2499" i="1" s="1"/>
  <c r="B2542" i="1" a="1"/>
  <c r="B2542" i="1" s="1"/>
  <c r="A2542" i="1" s="1"/>
  <c r="B2549" i="1" a="1"/>
  <c r="B2549" i="1" s="1"/>
  <c r="A2549" i="1" s="1"/>
  <c r="B2556" i="1" a="1"/>
  <c r="B2556" i="1" s="1"/>
  <c r="A2556" i="1" s="1"/>
  <c r="B2563" i="1" a="1"/>
  <c r="B2563" i="1" s="1"/>
  <c r="A2563" i="1" s="1"/>
  <c r="B2570" i="1" a="1"/>
  <c r="B2570" i="1" s="1"/>
  <c r="A2570" i="1" s="1"/>
  <c r="B2584" i="1" a="1"/>
  <c r="B2584" i="1" s="1"/>
  <c r="A2584" i="1" s="1"/>
  <c r="B2592" i="1" a="1"/>
  <c r="B2592" i="1" s="1"/>
  <c r="A2592" i="1" s="1"/>
  <c r="B2606" i="1" a="1"/>
  <c r="B2606" i="1" s="1"/>
  <c r="A2606" i="1" s="1"/>
  <c r="B2613" i="1" a="1"/>
  <c r="B2613" i="1" s="1"/>
  <c r="A2613" i="1" s="1"/>
  <c r="B2620" i="1" a="1"/>
  <c r="B2620" i="1" s="1"/>
  <c r="A2620" i="1" s="1"/>
  <c r="B2627" i="1" a="1"/>
  <c r="B2627" i="1" s="1"/>
  <c r="A2627" i="1" s="1"/>
  <c r="B2634" i="1" a="1"/>
  <c r="B2634" i="1" s="1"/>
  <c r="A2634" i="1" s="1"/>
  <c r="B2641" i="1" a="1"/>
  <c r="B2641" i="1" s="1"/>
  <c r="A2641" i="1" s="1"/>
  <c r="B2650" i="1" a="1"/>
  <c r="B2650" i="1" s="1"/>
  <c r="A2650" i="1" s="1"/>
  <c r="B2659" i="1" a="1"/>
  <c r="B2659" i="1" s="1"/>
  <c r="A2659" i="1" s="1"/>
  <c r="B2664" i="1" a="1"/>
  <c r="B2664" i="1" s="1"/>
  <c r="A2664" i="1" s="1"/>
  <c r="B2680" i="1" a="1"/>
  <c r="B2680" i="1" s="1"/>
  <c r="A2680" i="1" s="1"/>
  <c r="B2697" i="1" a="1"/>
  <c r="B2697" i="1" s="1"/>
  <c r="A2697" i="1" s="1"/>
  <c r="B2703" i="1" a="1"/>
  <c r="B2703" i="1" s="1"/>
  <c r="A2703" i="1" s="1"/>
  <c r="B2710" i="1" a="1"/>
  <c r="B2710" i="1" s="1"/>
  <c r="A2710" i="1" s="1"/>
  <c r="B2716" i="1" a="1"/>
  <c r="B2716" i="1" s="1"/>
  <c r="A2716" i="1" s="1"/>
  <c r="B2729" i="1" a="1"/>
  <c r="B2729" i="1" s="1"/>
  <c r="A2729" i="1" s="1"/>
  <c r="B2735" i="1" a="1"/>
  <c r="B2735" i="1" s="1"/>
  <c r="A2735" i="1" s="1"/>
  <c r="B2742" i="1" a="1"/>
  <c r="B2742" i="1" s="1"/>
  <c r="A2742" i="1" s="1"/>
  <c r="B2748" i="1" a="1"/>
  <c r="B2748" i="1" s="1"/>
  <c r="A2748" i="1" s="1"/>
  <c r="B2755" i="1" a="1"/>
  <c r="B2755" i="1" s="1"/>
  <c r="A2755" i="1" s="1"/>
  <c r="B2762" i="1" a="1"/>
  <c r="B2762" i="1" s="1"/>
  <c r="A2762" i="1" s="1"/>
  <c r="B2769" i="1" a="1"/>
  <c r="B2769" i="1" s="1"/>
  <c r="A2769" i="1" s="1"/>
  <c r="B2776" i="1" a="1"/>
  <c r="B2776" i="1" s="1"/>
  <c r="A2776" i="1" s="1"/>
  <c r="B2783" i="1" a="1"/>
  <c r="B2783" i="1" s="1"/>
  <c r="A2783" i="1" s="1"/>
  <c r="B2798" i="1" a="1"/>
  <c r="B2798" i="1" s="1"/>
  <c r="A2798" i="1" s="1"/>
  <c r="B2805" i="1" a="1"/>
  <c r="B2805" i="1" s="1"/>
  <c r="A2805" i="1" s="1"/>
  <c r="B2812" i="1" a="1"/>
  <c r="B2812" i="1" s="1"/>
  <c r="A2812" i="1" s="1"/>
  <c r="B2819" i="1" a="1"/>
  <c r="B2819" i="1" s="1"/>
  <c r="A2819" i="1" s="1"/>
  <c r="B2826" i="1" a="1"/>
  <c r="B2826" i="1" s="1"/>
  <c r="A2826" i="1" s="1"/>
  <c r="B2833" i="1" a="1"/>
  <c r="B2833" i="1" s="1"/>
  <c r="A2833" i="1" s="1"/>
  <c r="B2840" i="1" a="1"/>
  <c r="B2840" i="1" s="1"/>
  <c r="A2840" i="1" s="1"/>
  <c r="B2847" i="1" a="1"/>
  <c r="B2847" i="1" s="1"/>
  <c r="A2847" i="1" s="1"/>
  <c r="B2862" i="1" a="1"/>
  <c r="B2862" i="1" s="1"/>
  <c r="A2862" i="1" s="1"/>
  <c r="B2870" i="1" a="1"/>
  <c r="B2870" i="1" s="1"/>
  <c r="A2870" i="1" s="1"/>
  <c r="B2877" i="1" a="1"/>
  <c r="B2877" i="1" s="1"/>
  <c r="A2877" i="1" s="1"/>
  <c r="B2884" i="1" a="1"/>
  <c r="B2884" i="1" s="1"/>
  <c r="A2884" i="1" s="1"/>
  <c r="B2891" i="1" a="1"/>
  <c r="B2891" i="1" s="1"/>
  <c r="A2891" i="1" s="1"/>
  <c r="B2899" i="1" a="1"/>
  <c r="B2899" i="1" s="1"/>
  <c r="A2899" i="1" s="1"/>
  <c r="B2906" i="1" a="1"/>
  <c r="B2906" i="1" s="1"/>
  <c r="A2906" i="1" s="1"/>
  <c r="B2913" i="1" a="1"/>
  <c r="B2913" i="1" s="1"/>
  <c r="A2913" i="1" s="1"/>
  <c r="B2920" i="1" a="1"/>
  <c r="B2920" i="1" s="1"/>
  <c r="A2920" i="1" s="1"/>
  <c r="B2928" i="1" a="1"/>
  <c r="B2928" i="1" s="1"/>
  <c r="A2928" i="1" s="1"/>
  <c r="B2935" i="1" a="1"/>
  <c r="B2935" i="1" s="1"/>
  <c r="A2935" i="1" s="1"/>
  <c r="B2950" i="1" a="1"/>
  <c r="B2950" i="1" s="1"/>
  <c r="A2950" i="1" s="1"/>
  <c r="B2957" i="1" a="1"/>
  <c r="B2957" i="1" s="1"/>
  <c r="A2957" i="1" s="1"/>
  <c r="B2965" i="1" a="1"/>
  <c r="B2965" i="1" s="1"/>
  <c r="A2965" i="1" s="1"/>
  <c r="B2972" i="1" a="1"/>
  <c r="B2972" i="1" s="1"/>
  <c r="A2972" i="1" s="1"/>
  <c r="B2979" i="1" a="1"/>
  <c r="B2979" i="1" s="1"/>
  <c r="A2979" i="1" s="1"/>
  <c r="B2986" i="1" a="1"/>
  <c r="B2986" i="1" s="1"/>
  <c r="A2986" i="1" s="1"/>
  <c r="B2994" i="1" a="1"/>
  <c r="B2994" i="1" s="1"/>
  <c r="A2994" i="1" s="1"/>
  <c r="B3001" i="1" a="1"/>
  <c r="B3001" i="1" s="1"/>
  <c r="A3001" i="1" s="1"/>
  <c r="B3007" i="1" a="1"/>
  <c r="B3007" i="1" s="1"/>
  <c r="A3007" i="1" s="1"/>
  <c r="B3021" i="1" a="1"/>
  <c r="B3021" i="1" s="1"/>
  <c r="A3021" i="1" s="1"/>
  <c r="B3028" i="1" a="1"/>
  <c r="B3028" i="1" s="1"/>
  <c r="A3028" i="1" s="1"/>
  <c r="B3036" i="1" a="1"/>
  <c r="B3036" i="1" s="1"/>
  <c r="A3036" i="1" s="1"/>
  <c r="B3044" i="1" a="1"/>
  <c r="B3044" i="1" s="1"/>
  <c r="A3044" i="1" s="1"/>
  <c r="B3052" i="1" a="1"/>
  <c r="B3052" i="1" s="1"/>
  <c r="A3052" i="1" s="1"/>
  <c r="B3060" i="1" a="1"/>
  <c r="B3060" i="1" s="1"/>
  <c r="A3060" i="1" s="1"/>
  <c r="B3068" i="1" a="1"/>
  <c r="B3068" i="1" s="1"/>
  <c r="A3068" i="1" s="1"/>
  <c r="B3076" i="1" a="1"/>
  <c r="B3076" i="1" s="1"/>
  <c r="A3076" i="1" s="1"/>
  <c r="B3084" i="1" a="1"/>
  <c r="B3084" i="1" s="1"/>
  <c r="A3084" i="1" s="1"/>
  <c r="B3092" i="1" a="1"/>
  <c r="B3092" i="1" s="1"/>
  <c r="A3092" i="1" s="1"/>
  <c r="B3100" i="1" a="1"/>
  <c r="B3100" i="1" s="1"/>
  <c r="A3100" i="1" s="1"/>
  <c r="B3108" i="1" a="1"/>
  <c r="B3108" i="1" s="1"/>
  <c r="A3108" i="1" s="1"/>
  <c r="B3116" i="1" a="1"/>
  <c r="B3116" i="1" s="1"/>
  <c r="A3116" i="1" s="1"/>
  <c r="B3124" i="1" a="1"/>
  <c r="B3124" i="1" s="1"/>
  <c r="A3124" i="1" s="1"/>
  <c r="B3132" i="1" a="1"/>
  <c r="B3132" i="1" s="1"/>
  <c r="A3132" i="1" s="1"/>
  <c r="B3140" i="1" a="1"/>
  <c r="B3140" i="1" s="1"/>
  <c r="A3140" i="1" s="1"/>
  <c r="B3148" i="1" a="1"/>
  <c r="B3148" i="1" s="1"/>
  <c r="A3148" i="1" s="1"/>
  <c r="B3156" i="1" a="1"/>
  <c r="B3156" i="1" s="1"/>
  <c r="A3156" i="1" s="1"/>
  <c r="B3164" i="1" a="1"/>
  <c r="B3164" i="1" s="1"/>
  <c r="A3164" i="1" s="1"/>
  <c r="B3172" i="1" a="1"/>
  <c r="B3172" i="1" s="1"/>
  <c r="A3172" i="1" s="1"/>
  <c r="B3180" i="1" a="1"/>
  <c r="B3180" i="1" s="1"/>
  <c r="A3180" i="1" s="1"/>
  <c r="B3188" i="1" a="1"/>
  <c r="B3188" i="1" s="1"/>
  <c r="A3188" i="1" s="1"/>
  <c r="B3196" i="1" a="1"/>
  <c r="B3196" i="1" s="1"/>
  <c r="A3196" i="1" s="1"/>
  <c r="B3204" i="1" a="1"/>
  <c r="B3204" i="1" s="1"/>
  <c r="A3204" i="1" s="1"/>
  <c r="B3212" i="1" a="1"/>
  <c r="B3212" i="1" s="1"/>
  <c r="A3212" i="1" s="1"/>
  <c r="B3220" i="1" a="1"/>
  <c r="B3220" i="1" s="1"/>
  <c r="A3220" i="1" s="1"/>
  <c r="B3228" i="1" a="1"/>
  <c r="B3228" i="1" s="1"/>
  <c r="A3228" i="1" s="1"/>
  <c r="B3236" i="1" a="1"/>
  <c r="B3236" i="1" s="1"/>
  <c r="A3236" i="1" s="1"/>
  <c r="B3244" i="1" a="1"/>
  <c r="B3244" i="1" s="1"/>
  <c r="A3244" i="1" s="1"/>
  <c r="B3252" i="1" a="1"/>
  <c r="B3252" i="1" s="1"/>
  <c r="A3252" i="1" s="1"/>
  <c r="B3260" i="1" a="1"/>
  <c r="B3260" i="1" s="1"/>
  <c r="A3260" i="1" s="1"/>
  <c r="B3268" i="1" a="1"/>
  <c r="B3268" i="1" s="1"/>
  <c r="A3268" i="1" s="1"/>
  <c r="B3276" i="1" a="1"/>
  <c r="B3276" i="1" s="1"/>
  <c r="A3276" i="1" s="1"/>
  <c r="B3284" i="1" a="1"/>
  <c r="B3284" i="1" s="1"/>
  <c r="A3284" i="1" s="1"/>
  <c r="B3292" i="1" a="1"/>
  <c r="B3292" i="1" s="1"/>
  <c r="A3292" i="1" s="1"/>
  <c r="B3300" i="1" a="1"/>
  <c r="B3300" i="1" s="1"/>
  <c r="A3300" i="1" s="1"/>
  <c r="B3308" i="1" a="1"/>
  <c r="B3308" i="1" s="1"/>
  <c r="A3308" i="1" s="1"/>
  <c r="B3316" i="1" a="1"/>
  <c r="B3316" i="1" s="1"/>
  <c r="A3316" i="1" s="1"/>
  <c r="B3324" i="1" a="1"/>
  <c r="B3324" i="1" s="1"/>
  <c r="A3324" i="1" s="1"/>
  <c r="B3332" i="1" a="1"/>
  <c r="B3332" i="1" s="1"/>
  <c r="A3332" i="1" s="1"/>
  <c r="B3340" i="1" a="1"/>
  <c r="B3340" i="1" s="1"/>
  <c r="A3340" i="1" s="1"/>
  <c r="B3348" i="1" a="1"/>
  <c r="B3348" i="1" s="1"/>
  <c r="A3348" i="1" s="1"/>
  <c r="B3356" i="1" a="1"/>
  <c r="B3356" i="1" s="1"/>
  <c r="A3356" i="1" s="1"/>
  <c r="B3364" i="1" a="1"/>
  <c r="B3364" i="1" s="1"/>
  <c r="A3364" i="1" s="1"/>
  <c r="B3370" i="1" a="1"/>
  <c r="B3370" i="1" s="1"/>
  <c r="A3370" i="1" s="1"/>
  <c r="B3377" i="1" a="1"/>
  <c r="B3377" i="1" s="1"/>
  <c r="A3377" i="1" s="1"/>
  <c r="B3383" i="1" a="1"/>
  <c r="B3383" i="1" s="1"/>
  <c r="A3383" i="1" s="1"/>
  <c r="B3389" i="1" a="1"/>
  <c r="B3389" i="1" s="1"/>
  <c r="A3389" i="1" s="1"/>
  <c r="B3395" i="1" a="1"/>
  <c r="B3395" i="1" s="1"/>
  <c r="A3395" i="1" s="1"/>
  <c r="B3413" i="1" a="1"/>
  <c r="B3413" i="1" s="1"/>
  <c r="A3413" i="1" s="1"/>
  <c r="B3432" i="1" a="1"/>
  <c r="B3432" i="1" s="1"/>
  <c r="A3432" i="1" s="1"/>
  <c r="B3438" i="1" a="1"/>
  <c r="B3438" i="1" s="1"/>
  <c r="A3438" i="1" s="1"/>
  <c r="B3450" i="1" a="1"/>
  <c r="B3450" i="1" s="1"/>
  <c r="A3450" i="1" s="1"/>
  <c r="B3456" i="1" a="1"/>
  <c r="B3456" i="1" s="1"/>
  <c r="A3456" i="1" s="1"/>
  <c r="B3463" i="1" a="1"/>
  <c r="B3463" i="1" s="1"/>
  <c r="A3463" i="1" s="1"/>
  <c r="B3469" i="1" a="1"/>
  <c r="B3469" i="1" s="1"/>
  <c r="A3469" i="1" s="1"/>
  <c r="B3475" i="1" a="1"/>
  <c r="B3475" i="1" s="1"/>
  <c r="A3475" i="1" s="1"/>
  <c r="B3487" i="1" a="1"/>
  <c r="B3487" i="1" s="1"/>
  <c r="A3487" i="1" s="1"/>
  <c r="B3493" i="1" a="1"/>
  <c r="B3493" i="1" s="1"/>
  <c r="A3493" i="1" s="1"/>
  <c r="B3500" i="1" a="1"/>
  <c r="B3500" i="1" s="1"/>
  <c r="A3500" i="1" s="1"/>
  <c r="B3508" i="1" a="1"/>
  <c r="B3508" i="1" s="1"/>
  <c r="A3508" i="1" s="1"/>
  <c r="B3516" i="1" a="1"/>
  <c r="B3516" i="1" s="1"/>
  <c r="A3516" i="1" s="1"/>
  <c r="B3524" i="1" a="1"/>
  <c r="B3524" i="1" s="1"/>
  <c r="A3524" i="1" s="1"/>
  <c r="B3532" i="1" a="1"/>
  <c r="B3532" i="1" s="1"/>
  <c r="A3532" i="1" s="1"/>
  <c r="B3540" i="1" a="1"/>
  <c r="B3540" i="1" s="1"/>
  <c r="A3540" i="1" s="1"/>
  <c r="B3548" i="1" a="1"/>
  <c r="B3548" i="1" s="1"/>
  <c r="A3548" i="1" s="1"/>
  <c r="B3556" i="1" a="1"/>
  <c r="B3556" i="1" s="1"/>
  <c r="A3556" i="1" s="1"/>
  <c r="B3564" i="1" a="1"/>
  <c r="B3564" i="1" s="1"/>
  <c r="A3564" i="1" s="1"/>
  <c r="B3572" i="1" a="1"/>
  <c r="B3572" i="1" s="1"/>
  <c r="A3572" i="1" s="1"/>
  <c r="B3580" i="1" a="1"/>
  <c r="B3580" i="1" s="1"/>
  <c r="A3580" i="1" s="1"/>
  <c r="B3588" i="1" a="1"/>
  <c r="B3588" i="1" s="1"/>
  <c r="A3588" i="1" s="1"/>
  <c r="B3596" i="1" a="1"/>
  <c r="B3596" i="1" s="1"/>
  <c r="A3596" i="1" s="1"/>
  <c r="B1322" i="1" a="1"/>
  <c r="B1322" i="1" s="1"/>
  <c r="A1322" i="1" s="1"/>
  <c r="B1573" i="1" a="1"/>
  <c r="B1573" i="1" s="1"/>
  <c r="A1573" i="1" s="1"/>
  <c r="B1659" i="1" a="1"/>
  <c r="B1659" i="1" s="1"/>
  <c r="A1659" i="1" s="1"/>
  <c r="B1738" i="1" a="1"/>
  <c r="B1738" i="1" s="1"/>
  <c r="A1738" i="1" s="1"/>
  <c r="B1827" i="1" a="1"/>
  <c r="B1827" i="1" s="1"/>
  <c r="A1827" i="1" s="1"/>
  <c r="B1873" i="1" a="1"/>
  <c r="B1873" i="1" s="1"/>
  <c r="A1873" i="1" s="1"/>
  <c r="B1919" i="1" a="1"/>
  <c r="B1919" i="1" s="1"/>
  <c r="A1919" i="1" s="1"/>
  <c r="B1966" i="1" a="1"/>
  <c r="B1966" i="1" s="1"/>
  <c r="A1966" i="1" s="1"/>
  <c r="B2008" i="1" a="1"/>
  <c r="B2008" i="1" s="1"/>
  <c r="A2008" i="1" s="1"/>
  <c r="B2051" i="1" a="1"/>
  <c r="B2051" i="1" s="1"/>
  <c r="A2051" i="1" s="1"/>
  <c r="B2161" i="1" a="1"/>
  <c r="B2161" i="1" s="1"/>
  <c r="A2161" i="1" s="1"/>
  <c r="B2219" i="1" a="1"/>
  <c r="B2219" i="1" s="1"/>
  <c r="A2219" i="1" s="1"/>
  <c r="B2276" i="1" a="1"/>
  <c r="B2276" i="1" s="1"/>
  <c r="A2276" i="1" s="1"/>
  <c r="B2333" i="1" a="1"/>
  <c r="B2333" i="1" s="1"/>
  <c r="A2333" i="1" s="1"/>
  <c r="B2389" i="1" a="1"/>
  <c r="B2389" i="1" s="1"/>
  <c r="A2389" i="1" s="1"/>
  <c r="B2447" i="1" a="1"/>
  <c r="B2447" i="1" s="1"/>
  <c r="A2447" i="1" s="1"/>
  <c r="B2506" i="1" a="1"/>
  <c r="B2506" i="1" s="1"/>
  <c r="A2506" i="1" s="1"/>
  <c r="B2543" i="1" a="1"/>
  <c r="B2543" i="1" s="1"/>
  <c r="A2543" i="1" s="1"/>
  <c r="B2550" i="1" a="1"/>
  <c r="B2550" i="1" s="1"/>
  <c r="A2550" i="1" s="1"/>
  <c r="B2557" i="1" a="1"/>
  <c r="B2557" i="1" s="1"/>
  <c r="A2557" i="1" s="1"/>
  <c r="B2564" i="1" a="1"/>
  <c r="B2564" i="1" s="1"/>
  <c r="A2564" i="1" s="1"/>
  <c r="B2571" i="1" a="1"/>
  <c r="B2571" i="1" s="1"/>
  <c r="A2571" i="1" s="1"/>
  <c r="B2578" i="1" a="1"/>
  <c r="B2578" i="1" s="1"/>
  <c r="A2578" i="1" s="1"/>
  <c r="B2585" i="1" a="1"/>
  <c r="B2585" i="1" s="1"/>
  <c r="A2585" i="1" s="1"/>
  <c r="B2593" i="1" a="1"/>
  <c r="B2593" i="1" s="1"/>
  <c r="A2593" i="1" s="1"/>
  <c r="B2599" i="1" a="1"/>
  <c r="B2599" i="1" s="1"/>
  <c r="A2599" i="1" s="1"/>
  <c r="B2607" i="1" a="1"/>
  <c r="B2607" i="1" s="1"/>
  <c r="A2607" i="1" s="1"/>
  <c r="B2614" i="1" a="1"/>
  <c r="B2614" i="1" s="1"/>
  <c r="A2614" i="1" s="1"/>
  <c r="B2621" i="1" a="1"/>
  <c r="B2621" i="1" s="1"/>
  <c r="A2621" i="1" s="1"/>
  <c r="B2628" i="1" a="1"/>
  <c r="B2628" i="1" s="1"/>
  <c r="A2628" i="1" s="1"/>
  <c r="B2635" i="1" a="1"/>
  <c r="B2635" i="1" s="1"/>
  <c r="A2635" i="1" s="1"/>
  <c r="B2646" i="1" a="1"/>
  <c r="B2646" i="1" s="1"/>
  <c r="A2646" i="1" s="1"/>
  <c r="B2655" i="1" a="1"/>
  <c r="B2655" i="1" s="1"/>
  <c r="A2655" i="1" s="1"/>
  <c r="B2660" i="1" a="1"/>
  <c r="B2660" i="1" s="1"/>
  <c r="A2660" i="1" s="1"/>
  <c r="B2665" i="1" a="1"/>
  <c r="B2665" i="1" s="1"/>
  <c r="A2665" i="1" s="1"/>
  <c r="B2670" i="1" a="1"/>
  <c r="B2670" i="1" s="1"/>
  <c r="A2670" i="1" s="1"/>
  <c r="B2675" i="1" a="1"/>
  <c r="B2675" i="1" s="1"/>
  <c r="A2675" i="1" s="1"/>
  <c r="B2681" i="1" a="1"/>
  <c r="B2681" i="1" s="1"/>
  <c r="A2681" i="1" s="1"/>
  <c r="B2686" i="1" a="1"/>
  <c r="B2686" i="1" s="1"/>
  <c r="A2686" i="1" s="1"/>
  <c r="B2691" i="1" a="1"/>
  <c r="B2691" i="1" s="1"/>
  <c r="A2691" i="1" s="1"/>
  <c r="B2698" i="1" a="1"/>
  <c r="B2698" i="1" s="1"/>
  <c r="A2698" i="1" s="1"/>
  <c r="B2704" i="1" a="1"/>
  <c r="B2704" i="1" s="1"/>
  <c r="A2704" i="1" s="1"/>
  <c r="B2717" i="1" a="1"/>
  <c r="B2717" i="1" s="1"/>
  <c r="A2717" i="1" s="1"/>
  <c r="B2723" i="1" a="1"/>
  <c r="B2723" i="1" s="1"/>
  <c r="A2723" i="1" s="1"/>
  <c r="B2730" i="1" a="1"/>
  <c r="B2730" i="1" s="1"/>
  <c r="A2730" i="1" s="1"/>
  <c r="B2736" i="1" a="1"/>
  <c r="B2736" i="1" s="1"/>
  <c r="A2736" i="1" s="1"/>
  <c r="B2749" i="1" a="1"/>
  <c r="B2749" i="1" s="1"/>
  <c r="A2749" i="1" s="1"/>
  <c r="B2756" i="1" a="1"/>
  <c r="B2756" i="1" s="1"/>
  <c r="A2756" i="1" s="1"/>
  <c r="B2763" i="1" a="1"/>
  <c r="B2763" i="1" s="1"/>
  <c r="A2763" i="1" s="1"/>
  <c r="B2770" i="1" a="1"/>
  <c r="B2770" i="1" s="1"/>
  <c r="A2770" i="1" s="1"/>
  <c r="B2777" i="1" a="1"/>
  <c r="B2777" i="1" s="1"/>
  <c r="A2777" i="1" s="1"/>
  <c r="B2784" i="1" a="1"/>
  <c r="B2784" i="1" s="1"/>
  <c r="A2784" i="1" s="1"/>
  <c r="B2791" i="1" a="1"/>
  <c r="B2791" i="1" s="1"/>
  <c r="A2791" i="1" s="1"/>
  <c r="B2806" i="1" a="1"/>
  <c r="B2806" i="1" s="1"/>
  <c r="A2806" i="1" s="1"/>
  <c r="B2813" i="1" a="1"/>
  <c r="B2813" i="1" s="1"/>
  <c r="A2813" i="1" s="1"/>
  <c r="B2820" i="1" a="1"/>
  <c r="B2820" i="1" s="1"/>
  <c r="A2820" i="1" s="1"/>
  <c r="B2827" i="1" a="1"/>
  <c r="B2827" i="1" s="1"/>
  <c r="A2827" i="1" s="1"/>
  <c r="B2834" i="1" a="1"/>
  <c r="B2834" i="1" s="1"/>
  <c r="A2834" i="1" s="1"/>
  <c r="B2841" i="1" a="1"/>
  <c r="B2841" i="1" s="1"/>
  <c r="A2841" i="1" s="1"/>
  <c r="B2848" i="1" a="1"/>
  <c r="B2848" i="1" s="1"/>
  <c r="A2848" i="1" s="1"/>
  <c r="B2855" i="1" a="1"/>
  <c r="B2855" i="1" s="1"/>
  <c r="A2855" i="1" s="1"/>
  <c r="B2863" i="1" a="1"/>
  <c r="B2863" i="1" s="1"/>
  <c r="A2863" i="1" s="1"/>
  <c r="B2878" i="1" a="1"/>
  <c r="B2878" i="1" s="1"/>
  <c r="A2878" i="1" s="1"/>
  <c r="B2885" i="1" a="1"/>
  <c r="B2885" i="1" s="1"/>
  <c r="A2885" i="1" s="1"/>
  <c r="B2892" i="1" a="1"/>
  <c r="B2892" i="1" s="1"/>
  <c r="A2892" i="1" s="1"/>
  <c r="B2900" i="1" a="1"/>
  <c r="B2900" i="1" s="1"/>
  <c r="A2900" i="1" s="1"/>
  <c r="B2907" i="1" a="1"/>
  <c r="B2907" i="1" s="1"/>
  <c r="A2907" i="1" s="1"/>
  <c r="B2914" i="1" a="1"/>
  <c r="B2914" i="1" s="1"/>
  <c r="A2914" i="1" s="1"/>
  <c r="B2921" i="1" a="1"/>
  <c r="B2921" i="1" s="1"/>
  <c r="A2921" i="1" s="1"/>
  <c r="B2929" i="1" a="1"/>
  <c r="B2929" i="1" s="1"/>
  <c r="A2929" i="1" s="1"/>
  <c r="B2936" i="1" a="1"/>
  <c r="B2936" i="1" s="1"/>
  <c r="A2936" i="1" s="1"/>
  <c r="B2943" i="1" a="1"/>
  <c r="B2943" i="1" s="1"/>
  <c r="A2943" i="1" s="1"/>
  <c r="B2958" i="1" a="1"/>
  <c r="B2958" i="1" s="1"/>
  <c r="A2958" i="1" s="1"/>
  <c r="B2966" i="1" a="1"/>
  <c r="B2966" i="1" s="1"/>
  <c r="A2966" i="1" s="1"/>
  <c r="B2973" i="1" a="1"/>
  <c r="B2973" i="1" s="1"/>
  <c r="A2973" i="1" s="1"/>
  <c r="B2980" i="1" a="1"/>
  <c r="B2980" i="1" s="1"/>
  <c r="A2980" i="1" s="1"/>
  <c r="B2987" i="1" a="1"/>
  <c r="B2987" i="1" s="1"/>
  <c r="A2987" i="1" s="1"/>
  <c r="B2995" i="1" a="1"/>
  <c r="B2995" i="1" s="1"/>
  <c r="A2995" i="1" s="1"/>
  <c r="B3002" i="1" a="1"/>
  <c r="B3002" i="1" s="1"/>
  <c r="A3002" i="1" s="1"/>
  <c r="B3008" i="1" a="1"/>
  <c r="B3008" i="1" s="1"/>
  <c r="A3008" i="1" s="1"/>
  <c r="B3015" i="1" a="1"/>
  <c r="B3015" i="1" s="1"/>
  <c r="A3015" i="1" s="1"/>
  <c r="B3029" i="1" a="1"/>
  <c r="B3029" i="1" s="1"/>
  <c r="A3029" i="1" s="1"/>
  <c r="B3037" i="1" a="1"/>
  <c r="B3037" i="1" s="1"/>
  <c r="A3037" i="1" s="1"/>
  <c r="B3045" i="1" a="1"/>
  <c r="B3045" i="1" s="1"/>
  <c r="A3045" i="1" s="1"/>
  <c r="B3053" i="1" a="1"/>
  <c r="B3053" i="1" s="1"/>
  <c r="A3053" i="1" s="1"/>
  <c r="B3061" i="1" a="1"/>
  <c r="B3061" i="1" s="1"/>
  <c r="A3061" i="1" s="1"/>
  <c r="B3069" i="1" a="1"/>
  <c r="B3069" i="1" s="1"/>
  <c r="A3069" i="1" s="1"/>
  <c r="B3077" i="1" a="1"/>
  <c r="B3077" i="1" s="1"/>
  <c r="A3077" i="1" s="1"/>
  <c r="B3085" i="1" a="1"/>
  <c r="B3085" i="1" s="1"/>
  <c r="A3085" i="1" s="1"/>
  <c r="B3093" i="1" a="1"/>
  <c r="B3093" i="1" s="1"/>
  <c r="A3093" i="1" s="1"/>
  <c r="B3101" i="1" a="1"/>
  <c r="B3101" i="1" s="1"/>
  <c r="A3101" i="1" s="1"/>
  <c r="B3109" i="1" a="1"/>
  <c r="B3109" i="1" s="1"/>
  <c r="A3109" i="1" s="1"/>
  <c r="B3117" i="1" a="1"/>
  <c r="B3117" i="1" s="1"/>
  <c r="A3117" i="1" s="1"/>
  <c r="B3125" i="1" a="1"/>
  <c r="B3125" i="1" s="1"/>
  <c r="A3125" i="1" s="1"/>
  <c r="B3133" i="1" a="1"/>
  <c r="B3133" i="1" s="1"/>
  <c r="A3133" i="1" s="1"/>
  <c r="B3141" i="1" a="1"/>
  <c r="B3141" i="1" s="1"/>
  <c r="A3141" i="1" s="1"/>
  <c r="B3149" i="1" a="1"/>
  <c r="B3149" i="1" s="1"/>
  <c r="A3149" i="1" s="1"/>
  <c r="B3157" i="1" a="1"/>
  <c r="B3157" i="1" s="1"/>
  <c r="A3157" i="1" s="1"/>
  <c r="B3165" i="1" a="1"/>
  <c r="B3165" i="1" s="1"/>
  <c r="A3165" i="1" s="1"/>
  <c r="B3173" i="1" a="1"/>
  <c r="B3173" i="1" s="1"/>
  <c r="A3173" i="1" s="1"/>
  <c r="B3181" i="1" a="1"/>
  <c r="B3181" i="1" s="1"/>
  <c r="A3181" i="1" s="1"/>
  <c r="B3189" i="1" a="1"/>
  <c r="B3189" i="1" s="1"/>
  <c r="A3189" i="1" s="1"/>
  <c r="B3197" i="1" a="1"/>
  <c r="B3197" i="1" s="1"/>
  <c r="A3197" i="1" s="1"/>
  <c r="B3205" i="1" a="1"/>
  <c r="B3205" i="1" s="1"/>
  <c r="A3205" i="1" s="1"/>
  <c r="B3213" i="1" a="1"/>
  <c r="B3213" i="1" s="1"/>
  <c r="A3213" i="1" s="1"/>
  <c r="B3221" i="1" a="1"/>
  <c r="B3221" i="1" s="1"/>
  <c r="A3221" i="1" s="1"/>
  <c r="B3229" i="1" a="1"/>
  <c r="B3229" i="1" s="1"/>
  <c r="A3229" i="1" s="1"/>
  <c r="B3237" i="1" a="1"/>
  <c r="B3237" i="1" s="1"/>
  <c r="A3237" i="1" s="1"/>
  <c r="B3245" i="1" a="1"/>
  <c r="B3245" i="1" s="1"/>
  <c r="A3245" i="1" s="1"/>
  <c r="B3253" i="1" a="1"/>
  <c r="B3253" i="1" s="1"/>
  <c r="A3253" i="1" s="1"/>
  <c r="B3261" i="1" a="1"/>
  <c r="B3261" i="1" s="1"/>
  <c r="A3261" i="1" s="1"/>
  <c r="B3269" i="1" a="1"/>
  <c r="B3269" i="1" s="1"/>
  <c r="A3269" i="1" s="1"/>
  <c r="B3277" i="1" a="1"/>
  <c r="B3277" i="1" s="1"/>
  <c r="A3277" i="1" s="1"/>
  <c r="B3285" i="1" a="1"/>
  <c r="B3285" i="1" s="1"/>
  <c r="A3285" i="1" s="1"/>
  <c r="B3293" i="1" a="1"/>
  <c r="B3293" i="1" s="1"/>
  <c r="A3293" i="1" s="1"/>
  <c r="B3301" i="1" a="1"/>
  <c r="B3301" i="1" s="1"/>
  <c r="A3301" i="1" s="1"/>
  <c r="B3309" i="1" a="1"/>
  <c r="B3309" i="1" s="1"/>
  <c r="A3309" i="1" s="1"/>
  <c r="B3317" i="1" a="1"/>
  <c r="B3317" i="1" s="1"/>
  <c r="A3317" i="1" s="1"/>
  <c r="B3325" i="1" a="1"/>
  <c r="B3325" i="1" s="1"/>
  <c r="A3325" i="1" s="1"/>
  <c r="B3333" i="1" a="1"/>
  <c r="B3333" i="1" s="1"/>
  <c r="A3333" i="1" s="1"/>
  <c r="B3341" i="1" a="1"/>
  <c r="B3341" i="1" s="1"/>
  <c r="A3341" i="1" s="1"/>
  <c r="B3349" i="1" a="1"/>
  <c r="B3349" i="1" s="1"/>
  <c r="A3349" i="1" s="1"/>
  <c r="B3357" i="1" a="1"/>
  <c r="B3357" i="1" s="1"/>
  <c r="A3357" i="1" s="1"/>
  <c r="B3365" i="1" a="1"/>
  <c r="B3365" i="1" s="1"/>
  <c r="A3365" i="1" s="1"/>
  <c r="B3371" i="1" a="1"/>
  <c r="B3371" i="1" s="1"/>
  <c r="A3371" i="1" s="1"/>
  <c r="B3384" i="1" a="1"/>
  <c r="B3384" i="1" s="1"/>
  <c r="A3384" i="1" s="1"/>
  <c r="B3390" i="1" a="1"/>
  <c r="B3390" i="1" s="1"/>
  <c r="A3390" i="1" s="1"/>
  <c r="B3402" i="1" a="1"/>
  <c r="B3402" i="1" s="1"/>
  <c r="A3402" i="1" s="1"/>
  <c r="B3408" i="1" a="1"/>
  <c r="B3408" i="1" s="1"/>
  <c r="A3408" i="1" s="1"/>
  <c r="B3414" i="1" a="1"/>
  <c r="B3414" i="1" s="1"/>
  <c r="A3414" i="1" s="1"/>
  <c r="B3420" i="1" a="1"/>
  <c r="B3420" i="1" s="1"/>
  <c r="A3420" i="1" s="1"/>
  <c r="B3426" i="1" a="1"/>
  <c r="B3426" i="1" s="1"/>
  <c r="A3426" i="1" s="1"/>
  <c r="B3433" i="1" a="1"/>
  <c r="B3433" i="1" s="1"/>
  <c r="A3433" i="1" s="1"/>
  <c r="B3439" i="1" a="1"/>
  <c r="B3439" i="1" s="1"/>
  <c r="A3439" i="1" s="1"/>
  <c r="B3444" i="1" a="1"/>
  <c r="B3444" i="1" s="1"/>
  <c r="A3444" i="1" s="1"/>
  <c r="B3451" i="1" a="1"/>
  <c r="B3451" i="1" s="1"/>
  <c r="A3451" i="1" s="1"/>
  <c r="B3457" i="1" a="1"/>
  <c r="B3457" i="1" s="1"/>
  <c r="A3457" i="1" s="1"/>
  <c r="B3464" i="1" a="1"/>
  <c r="B3464" i="1" s="1"/>
  <c r="A3464" i="1" s="1"/>
  <c r="B3470" i="1" a="1"/>
  <c r="B3470" i="1" s="1"/>
  <c r="A3470" i="1" s="1"/>
  <c r="B3482" i="1" a="1"/>
  <c r="B3482" i="1" s="1"/>
  <c r="A3482" i="1" s="1"/>
  <c r="B3488" i="1" a="1"/>
  <c r="B3488" i="1" s="1"/>
  <c r="A3488" i="1" s="1"/>
  <c r="B3494" i="1" a="1"/>
  <c r="B3494" i="1" s="1"/>
  <c r="A3494" i="1" s="1"/>
  <c r="B3501" i="1" a="1"/>
  <c r="B3501" i="1" s="1"/>
  <c r="A3501" i="1" s="1"/>
  <c r="B3509" i="1" a="1"/>
  <c r="B3509" i="1" s="1"/>
  <c r="A3509" i="1" s="1"/>
  <c r="B3517" i="1" a="1"/>
  <c r="B3517" i="1" s="1"/>
  <c r="A3517" i="1" s="1"/>
  <c r="B3525" i="1" a="1"/>
  <c r="B3525" i="1" s="1"/>
  <c r="A3525" i="1" s="1"/>
  <c r="B3533" i="1" a="1"/>
  <c r="B3533" i="1" s="1"/>
  <c r="A3533" i="1" s="1"/>
  <c r="B3541" i="1" a="1"/>
  <c r="B3541" i="1" s="1"/>
  <c r="A3541" i="1" s="1"/>
  <c r="B3549" i="1" a="1"/>
  <c r="B3549" i="1" s="1"/>
  <c r="A3549" i="1" s="1"/>
  <c r="B3557" i="1" a="1"/>
  <c r="B3557" i="1" s="1"/>
  <c r="A3557" i="1" s="1"/>
  <c r="B3565" i="1" a="1"/>
  <c r="B3565" i="1" s="1"/>
  <c r="A3565" i="1" s="1"/>
  <c r="B3573" i="1" a="1"/>
  <c r="B3573" i="1" s="1"/>
  <c r="A3573" i="1" s="1"/>
  <c r="B3581" i="1" a="1"/>
  <c r="B3581" i="1" s="1"/>
  <c r="A3581" i="1" s="1"/>
  <c r="B3589" i="1" a="1"/>
  <c r="B3589" i="1" s="1"/>
  <c r="A3589" i="1" s="1"/>
  <c r="B3597" i="1" a="1"/>
  <c r="B3597" i="1" s="1"/>
  <c r="A3597" i="1" s="1"/>
  <c r="B1664" i="1" a="1"/>
  <c r="B1664" i="1" s="1"/>
  <c r="A1664" i="1" s="1"/>
  <c r="B1703" i="1" a="1"/>
  <c r="B1703" i="1" s="1"/>
  <c r="A1703" i="1" s="1"/>
  <c r="B1743" i="1" a="1"/>
  <c r="B1743" i="1" s="1"/>
  <c r="A1743" i="1" s="1"/>
  <c r="B1786" i="1" a="1"/>
  <c r="B1786" i="1" s="1"/>
  <c r="A1786" i="1" s="1"/>
  <c r="B1832" i="1" a="1"/>
  <c r="B1832" i="1" s="1"/>
  <c r="A1832" i="1" s="1"/>
  <c r="B1879" i="1" a="1"/>
  <c r="B1879" i="1" s="1"/>
  <c r="A1879" i="1" s="1"/>
  <c r="B1925" i="1" a="1"/>
  <c r="B1925" i="1" s="1"/>
  <c r="A1925" i="1" s="1"/>
  <c r="B2014" i="1" a="1"/>
  <c r="B2014" i="1" s="1"/>
  <c r="A2014" i="1" s="1"/>
  <c r="B2058" i="1" a="1"/>
  <c r="B2058" i="1" s="1"/>
  <c r="A2058" i="1" s="1"/>
  <c r="B2110" i="1" a="1"/>
  <c r="B2110" i="1" s="1"/>
  <c r="A2110" i="1" s="1"/>
  <c r="B2168" i="1" a="1"/>
  <c r="B2168" i="1" s="1"/>
  <c r="A2168" i="1" s="1"/>
  <c r="B2226" i="1" a="1"/>
  <c r="B2226" i="1" s="1"/>
  <c r="A2226" i="1" s="1"/>
  <c r="B2283" i="1" a="1"/>
  <c r="B2283" i="1" s="1"/>
  <c r="A2283" i="1" s="1"/>
  <c r="B2340" i="1" a="1"/>
  <c r="B2340" i="1" s="1"/>
  <c r="A2340" i="1" s="1"/>
  <c r="B2397" i="1" a="1"/>
  <c r="B2397" i="1" s="1"/>
  <c r="A2397" i="1" s="1"/>
  <c r="B2454" i="1" a="1"/>
  <c r="B2454" i="1" s="1"/>
  <c r="A2454" i="1" s="1"/>
  <c r="B2544" i="1" a="1"/>
  <c r="B2544" i="1" s="1"/>
  <c r="A2544" i="1" s="1"/>
  <c r="B2558" i="1" a="1"/>
  <c r="B2558" i="1" s="1"/>
  <c r="A2558" i="1" s="1"/>
  <c r="B2565" i="1" a="1"/>
  <c r="B2565" i="1" s="1"/>
  <c r="A2565" i="1" s="1"/>
  <c r="B2572" i="1" a="1"/>
  <c r="B2572" i="1" s="1"/>
  <c r="A2572" i="1" s="1"/>
  <c r="B2579" i="1" a="1"/>
  <c r="B2579" i="1" s="1"/>
  <c r="A2579" i="1" s="1"/>
  <c r="B2586" i="1" a="1"/>
  <c r="B2586" i="1" s="1"/>
  <c r="A2586" i="1" s="1"/>
  <c r="B2600" i="1" a="1"/>
  <c r="B2600" i="1" s="1"/>
  <c r="A2600" i="1" s="1"/>
  <c r="B2608" i="1" a="1"/>
  <c r="B2608" i="1" s="1"/>
  <c r="A2608" i="1" s="1"/>
  <c r="B2622" i="1" a="1"/>
  <c r="B2622" i="1" s="1"/>
  <c r="A2622" i="1" s="1"/>
  <c r="B2629" i="1" a="1"/>
  <c r="B2629" i="1" s="1"/>
  <c r="A2629" i="1" s="1"/>
  <c r="B2636" i="1" a="1"/>
  <c r="B2636" i="1" s="1"/>
  <c r="A2636" i="1" s="1"/>
  <c r="B2642" i="1" a="1"/>
  <c r="B2642" i="1" s="1"/>
  <c r="A2642" i="1" s="1"/>
  <c r="B2651" i="1" a="1"/>
  <c r="B2651" i="1" s="1"/>
  <c r="A2651" i="1" s="1"/>
  <c r="B2656" i="1" a="1"/>
  <c r="B2656" i="1" s="1"/>
  <c r="A2656" i="1" s="1"/>
  <c r="B2676" i="1" a="1"/>
  <c r="B2676" i="1" s="1"/>
  <c r="A2676" i="1" s="1"/>
  <c r="B2692" i="1" a="1"/>
  <c r="B2692" i="1" s="1"/>
  <c r="A2692" i="1" s="1"/>
  <c r="B2705" i="1" a="1"/>
  <c r="B2705" i="1" s="1"/>
  <c r="A2705" i="1" s="1"/>
  <c r="B2711" i="1" a="1"/>
  <c r="B2711" i="1" s="1"/>
  <c r="A2711" i="1" s="1"/>
  <c r="B2718" i="1" a="1"/>
  <c r="B2718" i="1" s="1"/>
  <c r="A2718" i="1" s="1"/>
  <c r="B2724" i="1" a="1"/>
  <c r="B2724" i="1" s="1"/>
  <c r="A2724" i="1" s="1"/>
  <c r="B2737" i="1" a="1"/>
  <c r="B2737" i="1" s="1"/>
  <c r="A2737" i="1" s="1"/>
  <c r="B2743" i="1" a="1"/>
  <c r="B2743" i="1" s="1"/>
  <c r="A2743" i="1" s="1"/>
  <c r="B2750" i="1" a="1"/>
  <c r="B2750" i="1" s="1"/>
  <c r="A2750" i="1" s="1"/>
  <c r="B2757" i="1" a="1"/>
  <c r="B2757" i="1" s="1"/>
  <c r="A2757" i="1" s="1"/>
  <c r="B2764" i="1" a="1"/>
  <c r="B2764" i="1" s="1"/>
  <c r="A2764" i="1" s="1"/>
  <c r="B2771" i="1" a="1"/>
  <c r="B2771" i="1" s="1"/>
  <c r="A2771" i="1" s="1"/>
  <c r="B2778" i="1" a="1"/>
  <c r="B2778" i="1" s="1"/>
  <c r="A2778" i="1" s="1"/>
  <c r="B2785" i="1" a="1"/>
  <c r="B2785" i="1" s="1"/>
  <c r="A2785" i="1" s="1"/>
  <c r="B2792" i="1" a="1"/>
  <c r="B2792" i="1" s="1"/>
  <c r="A2792" i="1" s="1"/>
  <c r="B2799" i="1" a="1"/>
  <c r="B2799" i="1" s="1"/>
  <c r="A2799" i="1" s="1"/>
  <c r="B2814" i="1" a="1"/>
  <c r="B2814" i="1" s="1"/>
  <c r="A2814" i="1" s="1"/>
  <c r="B2821" i="1" a="1"/>
  <c r="B2821" i="1" s="1"/>
  <c r="A2821" i="1" s="1"/>
  <c r="B2828" i="1" a="1"/>
  <c r="B2828" i="1" s="1"/>
  <c r="A2828" i="1" s="1"/>
  <c r="B2835" i="1" a="1"/>
  <c r="B2835" i="1" s="1"/>
  <c r="A2835" i="1" s="1"/>
  <c r="B2842" i="1" a="1"/>
  <c r="B2842" i="1" s="1"/>
  <c r="A2842" i="1" s="1"/>
  <c r="B2849" i="1" a="1"/>
  <c r="B2849" i="1" s="1"/>
  <c r="A2849" i="1" s="1"/>
  <c r="B2856" i="1" a="1"/>
  <c r="B2856" i="1" s="1"/>
  <c r="A2856" i="1" s="1"/>
  <c r="B2864" i="1" a="1"/>
  <c r="B2864" i="1" s="1"/>
  <c r="A2864" i="1" s="1"/>
  <c r="B2871" i="1" a="1"/>
  <c r="B2871" i="1" s="1"/>
  <c r="A2871" i="1" s="1"/>
  <c r="B2886" i="1" a="1"/>
  <c r="B2886" i="1" s="1"/>
  <c r="A2886" i="1" s="1"/>
  <c r="B2893" i="1" a="1"/>
  <c r="B2893" i="1" s="1"/>
  <c r="A2893" i="1" s="1"/>
  <c r="B2901" i="1" a="1"/>
  <c r="B2901" i="1" s="1"/>
  <c r="A2901" i="1" s="1"/>
  <c r="B2908" i="1" a="1"/>
  <c r="B2908" i="1" s="1"/>
  <c r="A2908" i="1" s="1"/>
  <c r="B2915" i="1" a="1"/>
  <c r="B2915" i="1" s="1"/>
  <c r="A2915" i="1" s="1"/>
  <c r="B2922" i="1" a="1"/>
  <c r="B2922" i="1" s="1"/>
  <c r="A2922" i="1" s="1"/>
  <c r="B2930" i="1" a="1"/>
  <c r="B2930" i="1" s="1"/>
  <c r="A2930" i="1" s="1"/>
  <c r="B2937" i="1" a="1"/>
  <c r="B2937" i="1" s="1"/>
  <c r="A2937" i="1" s="1"/>
  <c r="B2944" i="1" a="1"/>
  <c r="B2944" i="1" s="1"/>
  <c r="A2944" i="1" s="1"/>
  <c r="B2951" i="1" a="1"/>
  <c r="B2951" i="1" s="1"/>
  <c r="A2951" i="1" s="1"/>
  <c r="B2959" i="1" a="1"/>
  <c r="B2959" i="1" s="1"/>
  <c r="A2959" i="1" s="1"/>
  <c r="B2974" i="1" a="1"/>
  <c r="B2974" i="1" s="1"/>
  <c r="A2974" i="1" s="1"/>
  <c r="B2981" i="1" a="1"/>
  <c r="B2981" i="1" s="1"/>
  <c r="A2981" i="1" s="1"/>
  <c r="B2988" i="1" a="1"/>
  <c r="B2988" i="1" s="1"/>
  <c r="A2988" i="1" s="1"/>
  <c r="B2996" i="1" a="1"/>
  <c r="B2996" i="1" s="1"/>
  <c r="A2996" i="1" s="1"/>
  <c r="B3009" i="1" a="1"/>
  <c r="B3009" i="1" s="1"/>
  <c r="A3009" i="1" s="1"/>
  <c r="B3016" i="1" a="1"/>
  <c r="B3016" i="1" s="1"/>
  <c r="A3016" i="1" s="1"/>
  <c r="B3022" i="1" a="1"/>
  <c r="B3022" i="1" s="1"/>
  <c r="A3022" i="1" s="1"/>
  <c r="B3030" i="1" a="1"/>
  <c r="B3030" i="1" s="1"/>
  <c r="A3030" i="1" s="1"/>
  <c r="B3038" i="1" a="1"/>
  <c r="B3038" i="1" s="1"/>
  <c r="A3038" i="1" s="1"/>
  <c r="B3046" i="1" a="1"/>
  <c r="B3046" i="1" s="1"/>
  <c r="A3046" i="1" s="1"/>
  <c r="B3054" i="1" a="1"/>
  <c r="B3054" i="1" s="1"/>
  <c r="A3054" i="1" s="1"/>
  <c r="B3062" i="1" a="1"/>
  <c r="B3062" i="1" s="1"/>
  <c r="A3062" i="1" s="1"/>
  <c r="B3070" i="1" a="1"/>
  <c r="B3070" i="1" s="1"/>
  <c r="A3070" i="1" s="1"/>
  <c r="B3078" i="1" a="1"/>
  <c r="B3078" i="1" s="1"/>
  <c r="A3078" i="1" s="1"/>
  <c r="B3086" i="1" a="1"/>
  <c r="B3086" i="1" s="1"/>
  <c r="A3086" i="1" s="1"/>
  <c r="B3094" i="1" a="1"/>
  <c r="B3094" i="1" s="1"/>
  <c r="A3094" i="1" s="1"/>
  <c r="B3102" i="1" a="1"/>
  <c r="B3102" i="1" s="1"/>
  <c r="A3102" i="1" s="1"/>
  <c r="B3110" i="1" a="1"/>
  <c r="B3110" i="1" s="1"/>
  <c r="A3110" i="1" s="1"/>
  <c r="B3118" i="1" a="1"/>
  <c r="B3118" i="1" s="1"/>
  <c r="A3118" i="1" s="1"/>
  <c r="B3126" i="1" a="1"/>
  <c r="B3126" i="1" s="1"/>
  <c r="A3126" i="1" s="1"/>
  <c r="B3134" i="1" a="1"/>
  <c r="B3134" i="1" s="1"/>
  <c r="A3134" i="1" s="1"/>
  <c r="B3142" i="1" a="1"/>
  <c r="B3142" i="1" s="1"/>
  <c r="A3142" i="1" s="1"/>
  <c r="B3150" i="1" a="1"/>
  <c r="B3150" i="1" s="1"/>
  <c r="A3150" i="1" s="1"/>
  <c r="B3158" i="1" a="1"/>
  <c r="B3158" i="1" s="1"/>
  <c r="A3158" i="1" s="1"/>
  <c r="B3166" i="1" a="1"/>
  <c r="B3166" i="1" s="1"/>
  <c r="A3166" i="1" s="1"/>
  <c r="B3174" i="1" a="1"/>
  <c r="B3174" i="1" s="1"/>
  <c r="A3174" i="1" s="1"/>
  <c r="B3182" i="1" a="1"/>
  <c r="B3182" i="1" s="1"/>
  <c r="A3182" i="1" s="1"/>
  <c r="B3190" i="1" a="1"/>
  <c r="B3190" i="1" s="1"/>
  <c r="A3190" i="1" s="1"/>
  <c r="B3198" i="1" a="1"/>
  <c r="B3198" i="1" s="1"/>
  <c r="A3198" i="1" s="1"/>
  <c r="B3206" i="1" a="1"/>
  <c r="B3206" i="1" s="1"/>
  <c r="A3206" i="1" s="1"/>
  <c r="B3214" i="1" a="1"/>
  <c r="B3214" i="1" s="1"/>
  <c r="A3214" i="1" s="1"/>
  <c r="B3222" i="1" a="1"/>
  <c r="B3222" i="1" s="1"/>
  <c r="A3222" i="1" s="1"/>
  <c r="B3230" i="1" a="1"/>
  <c r="B3230" i="1" s="1"/>
  <c r="A3230" i="1" s="1"/>
  <c r="B3238" i="1" a="1"/>
  <c r="B3238" i="1" s="1"/>
  <c r="A3238" i="1" s="1"/>
  <c r="B3246" i="1" a="1"/>
  <c r="B3246" i="1" s="1"/>
  <c r="A3246" i="1" s="1"/>
  <c r="B3254" i="1" a="1"/>
  <c r="B3254" i="1" s="1"/>
  <c r="A3254" i="1" s="1"/>
  <c r="B3262" i="1" a="1"/>
  <c r="B3262" i="1" s="1"/>
  <c r="A3262" i="1" s="1"/>
  <c r="B3270" i="1" a="1"/>
  <c r="B3270" i="1" s="1"/>
  <c r="A3270" i="1" s="1"/>
  <c r="B3278" i="1" a="1"/>
  <c r="B3278" i="1" s="1"/>
  <c r="A3278" i="1" s="1"/>
  <c r="B3286" i="1" a="1"/>
  <c r="B3286" i="1" s="1"/>
  <c r="A3286" i="1" s="1"/>
  <c r="B3294" i="1" a="1"/>
  <c r="B3294" i="1" s="1"/>
  <c r="A3294" i="1" s="1"/>
  <c r="B3302" i="1" a="1"/>
  <c r="B3302" i="1" s="1"/>
  <c r="A3302" i="1" s="1"/>
  <c r="B3310" i="1" a="1"/>
  <c r="B3310" i="1" s="1"/>
  <c r="A3310" i="1" s="1"/>
  <c r="B3318" i="1" a="1"/>
  <c r="B3318" i="1" s="1"/>
  <c r="A3318" i="1" s="1"/>
  <c r="B3326" i="1" a="1"/>
  <c r="B3326" i="1" s="1"/>
  <c r="A3326" i="1" s="1"/>
  <c r="B3334" i="1" a="1"/>
  <c r="B3334" i="1" s="1"/>
  <c r="A3334" i="1" s="1"/>
  <c r="B3342" i="1" a="1"/>
  <c r="B3342" i="1" s="1"/>
  <c r="A3342" i="1" s="1"/>
  <c r="B3350" i="1" a="1"/>
  <c r="B3350" i="1" s="1"/>
  <c r="A3350" i="1" s="1"/>
  <c r="B3358" i="1" a="1"/>
  <c r="B3358" i="1" s="1"/>
  <c r="A3358" i="1" s="1"/>
  <c r="B3372" i="1" a="1"/>
  <c r="B3372" i="1" s="1"/>
  <c r="A3372" i="1" s="1"/>
  <c r="B3378" i="1" a="1"/>
  <c r="B3378" i="1" s="1"/>
  <c r="A3378" i="1" s="1"/>
  <c r="B3385" i="1" a="1"/>
  <c r="B3385" i="1" s="1"/>
  <c r="A3385" i="1" s="1"/>
  <c r="B3391" i="1" a="1"/>
  <c r="B3391" i="1" s="1"/>
  <c r="A3391" i="1" s="1"/>
  <c r="B3396" i="1" a="1"/>
  <c r="B3396" i="1" s="1"/>
  <c r="A3396" i="1" s="1"/>
  <c r="B3403" i="1" a="1"/>
  <c r="B3403" i="1" s="1"/>
  <c r="A3403" i="1" s="1"/>
  <c r="B3409" i="1" a="1"/>
  <c r="B3409" i="1" s="1"/>
  <c r="A3409" i="1" s="1"/>
  <c r="B3415" i="1" a="1"/>
  <c r="B3415" i="1" s="1"/>
  <c r="A3415" i="1" s="1"/>
  <c r="B3421" i="1" a="1"/>
  <c r="B3421" i="1" s="1"/>
  <c r="A3421" i="1" s="1"/>
  <c r="B3427" i="1" a="1"/>
  <c r="B3427" i="1" s="1"/>
  <c r="A3427" i="1" s="1"/>
  <c r="B3445" i="1" a="1"/>
  <c r="B3445" i="1" s="1"/>
  <c r="A3445" i="1" s="1"/>
  <c r="B3465" i="1" a="1"/>
  <c r="B3465" i="1" s="1"/>
  <c r="A3465" i="1" s="1"/>
  <c r="B3471" i="1" a="1"/>
  <c r="B3471" i="1" s="1"/>
  <c r="A3471" i="1" s="1"/>
  <c r="B3476" i="1" a="1"/>
  <c r="B3476" i="1" s="1"/>
  <c r="A3476" i="1" s="1"/>
  <c r="B3483" i="1" a="1"/>
  <c r="B3483" i="1" s="1"/>
  <c r="A3483" i="1" s="1"/>
  <c r="B3495" i="1" a="1"/>
  <c r="B3495" i="1" s="1"/>
  <c r="A3495" i="1" s="1"/>
  <c r="B3502" i="1" a="1"/>
  <c r="B3502" i="1" s="1"/>
  <c r="A3502" i="1" s="1"/>
  <c r="B3510" i="1" a="1"/>
  <c r="B3510" i="1" s="1"/>
  <c r="A3510" i="1" s="1"/>
  <c r="B3518" i="1" a="1"/>
  <c r="B3518" i="1" s="1"/>
  <c r="A3518" i="1" s="1"/>
  <c r="B3526" i="1" a="1"/>
  <c r="B3526" i="1" s="1"/>
  <c r="A3526" i="1" s="1"/>
  <c r="B3534" i="1" a="1"/>
  <c r="B3534" i="1" s="1"/>
  <c r="A3534" i="1" s="1"/>
  <c r="B3542" i="1" a="1"/>
  <c r="B3542" i="1" s="1"/>
  <c r="A3542" i="1" s="1"/>
  <c r="B3550" i="1" a="1"/>
  <c r="B3550" i="1" s="1"/>
  <c r="A3550" i="1" s="1"/>
  <c r="B3558" i="1" a="1"/>
  <c r="B3558" i="1" s="1"/>
  <c r="A3558" i="1" s="1"/>
  <c r="B3566" i="1" a="1"/>
  <c r="B3566" i="1" s="1"/>
  <c r="A3566" i="1" s="1"/>
  <c r="B3574" i="1" a="1"/>
  <c r="B3574" i="1" s="1"/>
  <c r="A3574" i="1" s="1"/>
  <c r="B3582" i="1" a="1"/>
  <c r="B3582" i="1" s="1"/>
  <c r="A3582" i="1" s="1"/>
  <c r="B3590" i="1" a="1"/>
  <c r="B3590" i="1" s="1"/>
  <c r="A3590" i="1" s="1"/>
  <c r="B3598" i="1" a="1"/>
  <c r="B3598" i="1" s="1"/>
  <c r="A3598" i="1" s="1"/>
  <c r="B1395" i="1" a="1"/>
  <c r="B1395" i="1" s="1"/>
  <c r="A1395" i="1" s="1"/>
  <c r="B1585" i="1" a="1"/>
  <c r="B1585" i="1" s="1"/>
  <c r="A1585" i="1" s="1"/>
  <c r="B1629" i="1" a="1"/>
  <c r="B1629" i="1" s="1"/>
  <c r="A1629" i="1" s="1"/>
  <c r="B1791" i="1" a="1"/>
  <c r="B1791" i="1" s="1"/>
  <c r="A1791" i="1" s="1"/>
  <c r="B1838" i="1" a="1"/>
  <c r="B1838" i="1" s="1"/>
  <c r="A1838" i="1" s="1"/>
  <c r="B1884" i="1" a="1"/>
  <c r="B1884" i="1" s="1"/>
  <c r="A1884" i="1" s="1"/>
  <c r="B1931" i="1" a="1"/>
  <c r="B1931" i="1" s="1"/>
  <c r="A1931" i="1" s="1"/>
  <c r="B1978" i="1" a="1"/>
  <c r="B1978" i="1" s="1"/>
  <c r="A1978" i="1" s="1"/>
  <c r="B2019" i="1" a="1"/>
  <c r="B2019" i="1" s="1"/>
  <c r="A2019" i="1" s="1"/>
  <c r="B2064" i="1" a="1"/>
  <c r="B2064" i="1" s="1"/>
  <c r="A2064" i="1" s="1"/>
  <c r="B2117" i="1" a="1"/>
  <c r="B2117" i="1" s="1"/>
  <c r="A2117" i="1" s="1"/>
  <c r="B2176" i="1" a="1"/>
  <c r="B2176" i="1" s="1"/>
  <c r="A2176" i="1" s="1"/>
  <c r="B2233" i="1" a="1"/>
  <c r="B2233" i="1" s="1"/>
  <c r="A2233" i="1" s="1"/>
  <c r="B2290" i="1" a="1"/>
  <c r="B2290" i="1" s="1"/>
  <c r="A2290" i="1" s="1"/>
  <c r="B2347" i="1" a="1"/>
  <c r="B2347" i="1" s="1"/>
  <c r="A2347" i="1" s="1"/>
  <c r="B2404" i="1" a="1"/>
  <c r="B2404" i="1" s="1"/>
  <c r="A2404" i="1" s="1"/>
  <c r="B2462" i="1" a="1"/>
  <c r="B2462" i="1" s="1"/>
  <c r="A2462" i="1" s="1"/>
  <c r="B2520" i="1" a="1"/>
  <c r="B2520" i="1" s="1"/>
  <c r="A2520" i="1" s="1"/>
  <c r="B2545" i="1" a="1"/>
  <c r="B2545" i="1" s="1"/>
  <c r="A2545" i="1" s="1"/>
  <c r="B2551" i="1" a="1"/>
  <c r="B2551" i="1" s="1"/>
  <c r="A2551" i="1" s="1"/>
  <c r="B2559" i="1" a="1"/>
  <c r="B2559" i="1" s="1"/>
  <c r="A2559" i="1" s="1"/>
  <c r="B2566" i="1" a="1"/>
  <c r="B2566" i="1" s="1"/>
  <c r="A2566" i="1" s="1"/>
  <c r="B2573" i="1" a="1"/>
  <c r="B2573" i="1" s="1"/>
  <c r="A2573" i="1" s="1"/>
  <c r="B2580" i="1" a="1"/>
  <c r="B2580" i="1" s="1"/>
  <c r="A2580" i="1" s="1"/>
  <c r="B2587" i="1" a="1"/>
  <c r="B2587" i="1" s="1"/>
  <c r="A2587" i="1" s="1"/>
  <c r="B2594" i="1" a="1"/>
  <c r="B2594" i="1" s="1"/>
  <c r="A2594" i="1" s="1"/>
  <c r="B2601" i="1" a="1"/>
  <c r="B2601" i="1" s="1"/>
  <c r="A2601" i="1" s="1"/>
  <c r="B2609" i="1" a="1"/>
  <c r="B2609" i="1" s="1"/>
  <c r="A2609" i="1" s="1"/>
  <c r="B2615" i="1" a="1"/>
  <c r="B2615" i="1" s="1"/>
  <c r="A2615" i="1" s="1"/>
  <c r="B2623" i="1" a="1"/>
  <c r="B2623" i="1" s="1"/>
  <c r="A2623" i="1" s="1"/>
  <c r="B2630" i="1" a="1"/>
  <c r="B2630" i="1" s="1"/>
  <c r="A2630" i="1" s="1"/>
  <c r="B2637" i="1" a="1"/>
  <c r="B2637" i="1" s="1"/>
  <c r="A2637" i="1" s="1"/>
  <c r="B2647" i="1" a="1"/>
  <c r="B2647" i="1" s="1"/>
  <c r="A2647" i="1" s="1"/>
  <c r="B2652" i="1" a="1"/>
  <c r="B2652" i="1" s="1"/>
  <c r="A2652" i="1" s="1"/>
  <c r="B2661" i="1" a="1"/>
  <c r="B2661" i="1" s="1"/>
  <c r="A2661" i="1" s="1"/>
  <c r="B2666" i="1" a="1"/>
  <c r="B2666" i="1" s="1"/>
  <c r="A2666" i="1" s="1"/>
  <c r="B2671" i="1" a="1"/>
  <c r="B2671" i="1" s="1"/>
  <c r="A2671" i="1" s="1"/>
  <c r="B2677" i="1" a="1"/>
  <c r="B2677" i="1" s="1"/>
  <c r="A2677" i="1" s="1"/>
  <c r="B2682" i="1" a="1"/>
  <c r="B2682" i="1" s="1"/>
  <c r="A2682" i="1" s="1"/>
  <c r="B2687" i="1" a="1"/>
  <c r="B2687" i="1" s="1"/>
  <c r="A2687" i="1" s="1"/>
  <c r="B2693" i="1" a="1"/>
  <c r="B2693" i="1" s="1"/>
  <c r="A2693" i="1" s="1"/>
  <c r="B2699" i="1" a="1"/>
  <c r="B2699" i="1" s="1"/>
  <c r="A2699" i="1" s="1"/>
  <c r="B2706" i="1" a="1"/>
  <c r="B2706" i="1" s="1"/>
  <c r="A2706" i="1" s="1"/>
  <c r="B2712" i="1" a="1"/>
  <c r="B2712" i="1" s="1"/>
  <c r="A2712" i="1" s="1"/>
  <c r="B2725" i="1" a="1"/>
  <c r="B2725" i="1" s="1"/>
  <c r="A2725" i="1" s="1"/>
  <c r="B2731" i="1" a="1"/>
  <c r="B2731" i="1" s="1"/>
  <c r="A2731" i="1" s="1"/>
  <c r="B2738" i="1" a="1"/>
  <c r="B2738" i="1" s="1"/>
  <c r="A2738" i="1" s="1"/>
  <c r="B2744" i="1" a="1"/>
  <c r="B2744" i="1" s="1"/>
  <c r="A2744" i="1" s="1"/>
  <c r="B2758" i="1" a="1"/>
  <c r="B2758" i="1" s="1"/>
  <c r="A2758" i="1" s="1"/>
  <c r="B2765" i="1" a="1"/>
  <c r="B2765" i="1" s="1"/>
  <c r="A2765" i="1" s="1"/>
  <c r="B2772" i="1" a="1"/>
  <c r="B2772" i="1" s="1"/>
  <c r="A2772" i="1" s="1"/>
  <c r="B2779" i="1" a="1"/>
  <c r="B2779" i="1" s="1"/>
  <c r="A2779" i="1" s="1"/>
  <c r="B2786" i="1" a="1"/>
  <c r="B2786" i="1" s="1"/>
  <c r="A2786" i="1" s="1"/>
  <c r="B2793" i="1" a="1"/>
  <c r="B2793" i="1" s="1"/>
  <c r="A2793" i="1" s="1"/>
  <c r="B2800" i="1" a="1"/>
  <c r="B2800" i="1" s="1"/>
  <c r="A2800" i="1" s="1"/>
  <c r="B2807" i="1" a="1"/>
  <c r="B2807" i="1" s="1"/>
  <c r="A2807" i="1" s="1"/>
  <c r="B2822" i="1" a="1"/>
  <c r="B2822" i="1" s="1"/>
  <c r="A2822" i="1" s="1"/>
  <c r="B2829" i="1" a="1"/>
  <c r="B2829" i="1" s="1"/>
  <c r="A2829" i="1" s="1"/>
  <c r="B2836" i="1" a="1"/>
  <c r="B2836" i="1" s="1"/>
  <c r="A2836" i="1" s="1"/>
  <c r="B2843" i="1" a="1"/>
  <c r="B2843" i="1" s="1"/>
  <c r="A2843" i="1" s="1"/>
  <c r="B2850" i="1" a="1"/>
  <c r="B2850" i="1" s="1"/>
  <c r="A2850" i="1" s="1"/>
  <c r="B2857" i="1" a="1"/>
  <c r="B2857" i="1" s="1"/>
  <c r="A2857" i="1" s="1"/>
  <c r="B2865" i="1" a="1"/>
  <c r="B2865" i="1" s="1"/>
  <c r="A2865" i="1" s="1"/>
  <c r="B2872" i="1" a="1"/>
  <c r="B2872" i="1" s="1"/>
  <c r="A2872" i="1" s="1"/>
  <c r="B2879" i="1" a="1"/>
  <c r="B2879" i="1" s="1"/>
  <c r="A2879" i="1" s="1"/>
  <c r="B2894" i="1" a="1"/>
  <c r="B2894" i="1" s="1"/>
  <c r="A2894" i="1" s="1"/>
  <c r="B2902" i="1" a="1"/>
  <c r="B2902" i="1" s="1"/>
  <c r="A2902" i="1" s="1"/>
  <c r="B2909" i="1" a="1"/>
  <c r="B2909" i="1" s="1"/>
  <c r="A2909" i="1" s="1"/>
  <c r="B2916" i="1" a="1"/>
  <c r="B2916" i="1" s="1"/>
  <c r="A2916" i="1" s="1"/>
  <c r="B2923" i="1" a="1"/>
  <c r="B2923" i="1" s="1"/>
  <c r="A2923" i="1" s="1"/>
  <c r="B2931" i="1" a="1"/>
  <c r="B2931" i="1" s="1"/>
  <c r="A2931" i="1" s="1"/>
  <c r="B2938" i="1" a="1"/>
  <c r="B2938" i="1" s="1"/>
  <c r="A2938" i="1" s="1"/>
  <c r="B2945" i="1" a="1"/>
  <c r="B2945" i="1" s="1"/>
  <c r="A2945" i="1" s="1"/>
  <c r="B2952" i="1" a="1"/>
  <c r="B2952" i="1" s="1"/>
  <c r="A2952" i="1" s="1"/>
  <c r="B2960" i="1" a="1"/>
  <c r="B2960" i="1" s="1"/>
  <c r="A2960" i="1" s="1"/>
  <c r="B2967" i="1" a="1"/>
  <c r="B2967" i="1" s="1"/>
  <c r="A2967" i="1" s="1"/>
  <c r="B2982" i="1" a="1"/>
  <c r="B2982" i="1" s="1"/>
  <c r="A2982" i="1" s="1"/>
  <c r="B2989" i="1" a="1"/>
  <c r="B2989" i="1" s="1"/>
  <c r="A2989" i="1" s="1"/>
  <c r="B2997" i="1" a="1"/>
  <c r="B2997" i="1" s="1"/>
  <c r="A2997" i="1" s="1"/>
  <c r="B3003" i="1" a="1"/>
  <c r="B3003" i="1" s="1"/>
  <c r="A3003" i="1" s="1"/>
  <c r="B3010" i="1" a="1"/>
  <c r="B3010" i="1" s="1"/>
  <c r="A3010" i="1" s="1"/>
  <c r="B3017" i="1" a="1"/>
  <c r="B3017" i="1" s="1"/>
  <c r="A3017" i="1" s="1"/>
  <c r="B3023" i="1" a="1"/>
  <c r="B3023" i="1" s="1"/>
  <c r="A3023" i="1" s="1"/>
  <c r="B3031" i="1" a="1"/>
  <c r="B3031" i="1" s="1"/>
  <c r="A3031" i="1" s="1"/>
  <c r="B3039" i="1" a="1"/>
  <c r="B3039" i="1" s="1"/>
  <c r="A3039" i="1" s="1"/>
  <c r="B3047" i="1" a="1"/>
  <c r="B3047" i="1" s="1"/>
  <c r="A3047" i="1" s="1"/>
  <c r="B3055" i="1" a="1"/>
  <c r="B3055" i="1" s="1"/>
  <c r="A3055" i="1" s="1"/>
  <c r="B3063" i="1" a="1"/>
  <c r="B3063" i="1" s="1"/>
  <c r="A3063" i="1" s="1"/>
  <c r="B3071" i="1" a="1"/>
  <c r="B3071" i="1" s="1"/>
  <c r="A3071" i="1" s="1"/>
  <c r="B3079" i="1" a="1"/>
  <c r="B3079" i="1" s="1"/>
  <c r="A3079" i="1" s="1"/>
  <c r="B3087" i="1" a="1"/>
  <c r="B3087" i="1" s="1"/>
  <c r="A3087" i="1" s="1"/>
  <c r="B3095" i="1" a="1"/>
  <c r="B3095" i="1" s="1"/>
  <c r="A3095" i="1" s="1"/>
  <c r="B3103" i="1" a="1"/>
  <c r="B3103" i="1" s="1"/>
  <c r="A3103" i="1" s="1"/>
  <c r="B3111" i="1" a="1"/>
  <c r="B3111" i="1" s="1"/>
  <c r="A3111" i="1" s="1"/>
  <c r="B3119" i="1" a="1"/>
  <c r="B3119" i="1" s="1"/>
  <c r="A3119" i="1" s="1"/>
  <c r="B3127" i="1" a="1"/>
  <c r="B3127" i="1" s="1"/>
  <c r="A3127" i="1" s="1"/>
  <c r="B3135" i="1" a="1"/>
  <c r="B3135" i="1" s="1"/>
  <c r="A3135" i="1" s="1"/>
  <c r="B3143" i="1" a="1"/>
  <c r="B3143" i="1" s="1"/>
  <c r="A3143" i="1" s="1"/>
  <c r="B3151" i="1" a="1"/>
  <c r="B3151" i="1" s="1"/>
  <c r="A3151" i="1" s="1"/>
  <c r="B3159" i="1" a="1"/>
  <c r="B3159" i="1" s="1"/>
  <c r="A3159" i="1" s="1"/>
  <c r="B3167" i="1" a="1"/>
  <c r="B3167" i="1" s="1"/>
  <c r="A3167" i="1" s="1"/>
  <c r="B3175" i="1" a="1"/>
  <c r="B3175" i="1" s="1"/>
  <c r="A3175" i="1" s="1"/>
  <c r="B3183" i="1" a="1"/>
  <c r="B3183" i="1" s="1"/>
  <c r="A3183" i="1" s="1"/>
  <c r="B3191" i="1" a="1"/>
  <c r="B3191" i="1" s="1"/>
  <c r="A3191" i="1" s="1"/>
  <c r="B3199" i="1" a="1"/>
  <c r="B3199" i="1" s="1"/>
  <c r="A3199" i="1" s="1"/>
  <c r="B3207" i="1" a="1"/>
  <c r="B3207" i="1" s="1"/>
  <c r="A3207" i="1" s="1"/>
  <c r="B3215" i="1" a="1"/>
  <c r="B3215" i="1" s="1"/>
  <c r="A3215" i="1" s="1"/>
  <c r="B3223" i="1" a="1"/>
  <c r="B3223" i="1" s="1"/>
  <c r="A3223" i="1" s="1"/>
  <c r="B3231" i="1" a="1"/>
  <c r="B3231" i="1" s="1"/>
  <c r="A3231" i="1" s="1"/>
  <c r="B3239" i="1" a="1"/>
  <c r="B3239" i="1" s="1"/>
  <c r="A3239" i="1" s="1"/>
  <c r="B3247" i="1" a="1"/>
  <c r="B3247" i="1" s="1"/>
  <c r="A3247" i="1" s="1"/>
  <c r="B3255" i="1" a="1"/>
  <c r="B3255" i="1" s="1"/>
  <c r="A3255" i="1" s="1"/>
  <c r="B3263" i="1" a="1"/>
  <c r="B3263" i="1" s="1"/>
  <c r="A3263" i="1" s="1"/>
  <c r="B3271" i="1" a="1"/>
  <c r="B3271" i="1" s="1"/>
  <c r="A3271" i="1" s="1"/>
  <c r="B3279" i="1" a="1"/>
  <c r="B3279" i="1" s="1"/>
  <c r="A3279" i="1" s="1"/>
  <c r="B3287" i="1" a="1"/>
  <c r="B3287" i="1" s="1"/>
  <c r="A3287" i="1" s="1"/>
  <c r="B3295" i="1" a="1"/>
  <c r="B3295" i="1" s="1"/>
  <c r="A3295" i="1" s="1"/>
  <c r="B3303" i="1" a="1"/>
  <c r="B3303" i="1" s="1"/>
  <c r="A3303" i="1" s="1"/>
  <c r="B3311" i="1" a="1"/>
  <c r="B3311" i="1" s="1"/>
  <c r="A3311" i="1" s="1"/>
  <c r="B3319" i="1" a="1"/>
  <c r="B3319" i="1" s="1"/>
  <c r="A3319" i="1" s="1"/>
  <c r="B3327" i="1" a="1"/>
  <c r="B3327" i="1" s="1"/>
  <c r="A3327" i="1" s="1"/>
  <c r="B3335" i="1" a="1"/>
  <c r="B3335" i="1" s="1"/>
  <c r="A3335" i="1" s="1"/>
  <c r="B3343" i="1" a="1"/>
  <c r="B3343" i="1" s="1"/>
  <c r="A3343" i="1" s="1"/>
  <c r="B3351" i="1" a="1"/>
  <c r="B3351" i="1" s="1"/>
  <c r="A3351" i="1" s="1"/>
  <c r="B3359" i="1" a="1"/>
  <c r="B3359" i="1" s="1"/>
  <c r="A3359" i="1" s="1"/>
  <c r="B3366" i="1" a="1"/>
  <c r="B3366" i="1" s="1"/>
  <c r="A3366" i="1" s="1"/>
  <c r="B3373" i="1" a="1"/>
  <c r="B3373" i="1" s="1"/>
  <c r="A3373" i="1" s="1"/>
  <c r="B3379" i="1" a="1"/>
  <c r="B3379" i="1" s="1"/>
  <c r="A3379" i="1" s="1"/>
  <c r="B3397" i="1" a="1"/>
  <c r="B3397" i="1" s="1"/>
  <c r="A3397" i="1" s="1"/>
  <c r="B3416" i="1" a="1"/>
  <c r="B3416" i="1" s="1"/>
  <c r="A3416" i="1" s="1"/>
  <c r="B3422" i="1" a="1"/>
  <c r="B3422" i="1" s="1"/>
  <c r="A3422" i="1" s="1"/>
  <c r="B3434" i="1" a="1"/>
  <c r="B3434" i="1" s="1"/>
  <c r="A3434" i="1" s="1"/>
  <c r="B3440" i="1" a="1"/>
  <c r="B3440" i="1" s="1"/>
  <c r="A3440" i="1" s="1"/>
  <c r="B3446" i="1" a="1"/>
  <c r="B3446" i="1" s="1"/>
  <c r="A3446" i="1" s="1"/>
  <c r="B3452" i="1" a="1"/>
  <c r="B3452" i="1" s="1"/>
  <c r="A3452" i="1" s="1"/>
  <c r="B3458" i="1" a="1"/>
  <c r="B3458" i="1" s="1"/>
  <c r="A3458" i="1" s="1"/>
  <c r="B3477" i="1" a="1"/>
  <c r="B3477" i="1" s="1"/>
  <c r="A3477" i="1" s="1"/>
  <c r="B3489" i="1" a="1"/>
  <c r="B3489" i="1" s="1"/>
  <c r="A3489" i="1" s="1"/>
  <c r="B3496" i="1" a="1"/>
  <c r="B3496" i="1" s="1"/>
  <c r="A3496" i="1" s="1"/>
  <c r="B3503" i="1" a="1"/>
  <c r="B3503" i="1" s="1"/>
  <c r="A3503" i="1" s="1"/>
  <c r="B3511" i="1" a="1"/>
  <c r="B3511" i="1" s="1"/>
  <c r="A3511" i="1" s="1"/>
  <c r="B3519" i="1" a="1"/>
  <c r="B3519" i="1" s="1"/>
  <c r="A3519" i="1" s="1"/>
  <c r="B3527" i="1" a="1"/>
  <c r="B3527" i="1" s="1"/>
  <c r="A3527" i="1" s="1"/>
  <c r="B3535" i="1" a="1"/>
  <c r="B3535" i="1" s="1"/>
  <c r="A3535" i="1" s="1"/>
  <c r="B3543" i="1" a="1"/>
  <c r="B3543" i="1" s="1"/>
  <c r="A3543" i="1" s="1"/>
  <c r="B3551" i="1" a="1"/>
  <c r="B3551" i="1" s="1"/>
  <c r="A3551" i="1" s="1"/>
  <c r="B3559" i="1" a="1"/>
  <c r="B3559" i="1" s="1"/>
  <c r="A3559" i="1" s="1"/>
  <c r="B3567" i="1" a="1"/>
  <c r="B3567" i="1" s="1"/>
  <c r="A3567" i="1" s="1"/>
  <c r="B3575" i="1" a="1"/>
  <c r="B3575" i="1" s="1"/>
  <c r="A3575" i="1" s="1"/>
  <c r="B1433" i="1" a="1"/>
  <c r="B1433" i="1" s="1"/>
  <c r="A1433" i="1" s="1"/>
  <c r="B1592" i="1" a="1"/>
  <c r="B1592" i="1" s="1"/>
  <c r="A1592" i="1" s="1"/>
  <c r="B1674" i="1" a="1"/>
  <c r="B1674" i="1" s="1"/>
  <c r="A1674" i="1" s="1"/>
  <c r="B1713" i="1" a="1"/>
  <c r="B1713" i="1" s="1"/>
  <c r="A1713" i="1" s="1"/>
  <c r="B1797" i="1" a="1"/>
  <c r="B1797" i="1" s="1"/>
  <c r="A1797" i="1" s="1"/>
  <c r="B1891" i="1" a="1"/>
  <c r="B1891" i="1" s="1"/>
  <c r="A1891" i="1" s="1"/>
  <c r="B1937" i="1" a="1"/>
  <c r="B1937" i="1" s="1"/>
  <c r="A1937" i="1" s="1"/>
  <c r="B2024" i="1" a="1"/>
  <c r="B2024" i="1" s="1"/>
  <c r="A2024" i="1" s="1"/>
  <c r="B2125" i="1" a="1"/>
  <c r="B2125" i="1" s="1"/>
  <c r="A2125" i="1" s="1"/>
  <c r="B2241" i="1" a="1"/>
  <c r="B2241" i="1" s="1"/>
  <c r="A2241" i="1" s="1"/>
  <c r="B2297" i="1" a="1"/>
  <c r="B2297" i="1" s="1"/>
  <c r="A2297" i="1" s="1"/>
  <c r="B2354" i="1" a="1"/>
  <c r="B2354" i="1" s="1"/>
  <c r="A2354" i="1" s="1"/>
  <c r="B2411" i="1" a="1"/>
  <c r="B2411" i="1" s="1"/>
  <c r="A2411" i="1" s="1"/>
  <c r="B2470" i="1" a="1"/>
  <c r="B2470" i="1" s="1"/>
  <c r="A2470" i="1" s="1"/>
  <c r="B2528" i="1" a="1"/>
  <c r="B2528" i="1" s="1"/>
  <c r="A2528" i="1" s="1"/>
  <c r="B2552" i="1" a="1"/>
  <c r="B2552" i="1" s="1"/>
  <c r="A2552" i="1" s="1"/>
  <c r="B2560" i="1" a="1"/>
  <c r="B2560" i="1" s="1"/>
  <c r="A2560" i="1" s="1"/>
  <c r="B2574" i="1" a="1"/>
  <c r="B2574" i="1" s="1"/>
  <c r="A2574" i="1" s="1"/>
  <c r="B2581" i="1" a="1"/>
  <c r="B2581" i="1" s="1"/>
  <c r="A2581" i="1" s="1"/>
  <c r="B2588" i="1" a="1"/>
  <c r="B2588" i="1" s="1"/>
  <c r="A2588" i="1" s="1"/>
  <c r="B2595" i="1" a="1"/>
  <c r="B2595" i="1" s="1"/>
  <c r="A2595" i="1" s="1"/>
  <c r="B2602" i="1" a="1"/>
  <c r="B2602" i="1" s="1"/>
  <c r="A2602" i="1" s="1"/>
  <c r="B2616" i="1" a="1"/>
  <c r="B2616" i="1" s="1"/>
  <c r="A2616" i="1" s="1"/>
  <c r="B2624" i="1" a="1"/>
  <c r="B2624" i="1" s="1"/>
  <c r="A2624" i="1" s="1"/>
  <c r="B2638" i="1" a="1"/>
  <c r="B2638" i="1" s="1"/>
  <c r="A2638" i="1" s="1"/>
  <c r="B2643" i="1" a="1"/>
  <c r="B2643" i="1" s="1"/>
  <c r="A2643" i="1" s="1"/>
  <c r="B2648" i="1" a="1"/>
  <c r="B2648" i="1" s="1"/>
  <c r="A2648" i="1" s="1"/>
  <c r="B2657" i="1" a="1"/>
  <c r="B2657" i="1" s="1"/>
  <c r="A2657" i="1" s="1"/>
  <c r="B2672" i="1" a="1"/>
  <c r="B2672" i="1" s="1"/>
  <c r="A2672" i="1" s="1"/>
  <c r="B2688" i="1" a="1"/>
  <c r="B2688" i="1" s="1"/>
  <c r="A2688" i="1" s="1"/>
  <c r="B2694" i="1" a="1"/>
  <c r="B2694" i="1" s="1"/>
  <c r="A2694" i="1" s="1"/>
  <c r="B2700" i="1" a="1"/>
  <c r="B2700" i="1" s="1"/>
  <c r="A2700" i="1" s="1"/>
  <c r="B2713" i="1" a="1"/>
  <c r="B2713" i="1" s="1"/>
  <c r="A2713" i="1" s="1"/>
  <c r="B2719" i="1" a="1"/>
  <c r="B2719" i="1" s="1"/>
  <c r="A2719" i="1" s="1"/>
  <c r="B2726" i="1" a="1"/>
  <c r="B2726" i="1" s="1"/>
  <c r="A2726" i="1" s="1"/>
  <c r="B2732" i="1" a="1"/>
  <c r="B2732" i="1" s="1"/>
  <c r="A2732" i="1" s="1"/>
  <c r="B2745" i="1" a="1"/>
  <c r="B2745" i="1" s="1"/>
  <c r="A2745" i="1" s="1"/>
  <c r="B2751" i="1" a="1"/>
  <c r="B2751" i="1" s="1"/>
  <c r="A2751" i="1" s="1"/>
  <c r="B2766" i="1" a="1"/>
  <c r="B2766" i="1" s="1"/>
  <c r="A2766" i="1" s="1"/>
  <c r="B2773" i="1" a="1"/>
  <c r="B2773" i="1" s="1"/>
  <c r="A2773" i="1" s="1"/>
  <c r="B2780" i="1" a="1"/>
  <c r="B2780" i="1" s="1"/>
  <c r="A2780" i="1" s="1"/>
  <c r="B2787" i="1" a="1"/>
  <c r="B2787" i="1" s="1"/>
  <c r="A2787" i="1" s="1"/>
  <c r="B2794" i="1" a="1"/>
  <c r="B2794" i="1" s="1"/>
  <c r="A2794" i="1" s="1"/>
  <c r="B2801" i="1" a="1"/>
  <c r="B2801" i="1" s="1"/>
  <c r="A2801" i="1" s="1"/>
  <c r="B2808" i="1" a="1"/>
  <c r="B2808" i="1" s="1"/>
  <c r="A2808" i="1" s="1"/>
  <c r="B2815" i="1" a="1"/>
  <c r="B2815" i="1" s="1"/>
  <c r="A2815" i="1" s="1"/>
  <c r="B2830" i="1" a="1"/>
  <c r="B2830" i="1" s="1"/>
  <c r="A2830" i="1" s="1"/>
  <c r="B2837" i="1" a="1"/>
  <c r="B2837" i="1" s="1"/>
  <c r="A2837" i="1" s="1"/>
  <c r="B2844" i="1" a="1"/>
  <c r="B2844" i="1" s="1"/>
  <c r="A2844" i="1" s="1"/>
  <c r="B2851" i="1" a="1"/>
  <c r="B2851" i="1" s="1"/>
  <c r="A2851" i="1" s="1"/>
  <c r="B2858" i="1" a="1"/>
  <c r="B2858" i="1" s="1"/>
  <c r="A2858" i="1" s="1"/>
  <c r="B2866" i="1" a="1"/>
  <c r="B2866" i="1" s="1"/>
  <c r="A2866" i="1" s="1"/>
  <c r="B2873" i="1" a="1"/>
  <c r="B2873" i="1" s="1"/>
  <c r="A2873" i="1" s="1"/>
  <c r="B2880" i="1" a="1"/>
  <c r="B2880" i="1" s="1"/>
  <c r="A2880" i="1" s="1"/>
  <c r="B2887" i="1" a="1"/>
  <c r="B2887" i="1" s="1"/>
  <c r="A2887" i="1" s="1"/>
  <c r="B2895" i="1" a="1"/>
  <c r="B2895" i="1" s="1"/>
  <c r="A2895" i="1" s="1"/>
  <c r="B2910" i="1" a="1"/>
  <c r="B2910" i="1" s="1"/>
  <c r="A2910" i="1" s="1"/>
  <c r="B2917" i="1" a="1"/>
  <c r="B2917" i="1" s="1"/>
  <c r="A2917" i="1" s="1"/>
  <c r="B2924" i="1" a="1"/>
  <c r="B2924" i="1" s="1"/>
  <c r="A2924" i="1" s="1"/>
  <c r="B2932" i="1" a="1"/>
  <c r="B2932" i="1" s="1"/>
  <c r="A2932" i="1" s="1"/>
  <c r="B2939" i="1" a="1"/>
  <c r="B2939" i="1" s="1"/>
  <c r="A2939" i="1" s="1"/>
  <c r="B2946" i="1" a="1"/>
  <c r="B2946" i="1" s="1"/>
  <c r="A2946" i="1" s="1"/>
  <c r="B2953" i="1" a="1"/>
  <c r="B2953" i="1" s="1"/>
  <c r="A2953" i="1" s="1"/>
  <c r="B2961" i="1" a="1"/>
  <c r="B2961" i="1" s="1"/>
  <c r="A2961" i="1" s="1"/>
  <c r="B2968" i="1" a="1"/>
  <c r="B2968" i="1" s="1"/>
  <c r="A2968" i="1" s="1"/>
  <c r="B2975" i="1" a="1"/>
  <c r="B2975" i="1" s="1"/>
  <c r="A2975" i="1" s="1"/>
  <c r="B2990" i="1" a="1"/>
  <c r="B2990" i="1" s="1"/>
  <c r="A2990" i="1" s="1"/>
  <c r="B2998" i="1" a="1"/>
  <c r="B2998" i="1" s="1"/>
  <c r="A2998" i="1" s="1"/>
  <c r="B3004" i="1" a="1"/>
  <c r="B3004" i="1" s="1"/>
  <c r="A3004" i="1" s="1"/>
  <c r="B3011" i="1" a="1"/>
  <c r="B3011" i="1" s="1"/>
  <c r="A3011" i="1" s="1"/>
  <c r="B3018" i="1" a="1"/>
  <c r="B3018" i="1" s="1"/>
  <c r="A3018" i="1" s="1"/>
  <c r="B3024" i="1" a="1"/>
  <c r="B3024" i="1" s="1"/>
  <c r="A3024" i="1" s="1"/>
  <c r="B3032" i="1" a="1"/>
  <c r="B3032" i="1" s="1"/>
  <c r="A3032" i="1" s="1"/>
  <c r="B3040" i="1" a="1"/>
  <c r="B3040" i="1" s="1"/>
  <c r="A3040" i="1" s="1"/>
  <c r="B3048" i="1" a="1"/>
  <c r="B3048" i="1" s="1"/>
  <c r="A3048" i="1" s="1"/>
  <c r="B3056" i="1" a="1"/>
  <c r="B3056" i="1" s="1"/>
  <c r="A3056" i="1" s="1"/>
  <c r="B3064" i="1" a="1"/>
  <c r="B3064" i="1" s="1"/>
  <c r="A3064" i="1" s="1"/>
  <c r="B3072" i="1" a="1"/>
  <c r="B3072" i="1" s="1"/>
  <c r="A3072" i="1" s="1"/>
  <c r="B3080" i="1" a="1"/>
  <c r="B3080" i="1" s="1"/>
  <c r="A3080" i="1" s="1"/>
  <c r="B3088" i="1" a="1"/>
  <c r="B3088" i="1" s="1"/>
  <c r="A3088" i="1" s="1"/>
  <c r="B3096" i="1" a="1"/>
  <c r="B3096" i="1" s="1"/>
  <c r="A3096" i="1" s="1"/>
  <c r="B3104" i="1" a="1"/>
  <c r="B3104" i="1" s="1"/>
  <c r="A3104" i="1" s="1"/>
  <c r="B3112" i="1" a="1"/>
  <c r="B3112" i="1" s="1"/>
  <c r="A3112" i="1" s="1"/>
  <c r="B3120" i="1" a="1"/>
  <c r="B3120" i="1" s="1"/>
  <c r="A3120" i="1" s="1"/>
  <c r="B3128" i="1" a="1"/>
  <c r="B3128" i="1" s="1"/>
  <c r="A3128" i="1" s="1"/>
  <c r="B3136" i="1" a="1"/>
  <c r="B3136" i="1" s="1"/>
  <c r="A3136" i="1" s="1"/>
  <c r="B3144" i="1" a="1"/>
  <c r="B3144" i="1" s="1"/>
  <c r="A3144" i="1" s="1"/>
  <c r="B3152" i="1" a="1"/>
  <c r="B3152" i="1" s="1"/>
  <c r="A3152" i="1" s="1"/>
  <c r="B3160" i="1" a="1"/>
  <c r="B3160" i="1" s="1"/>
  <c r="A3160" i="1" s="1"/>
  <c r="B3168" i="1" a="1"/>
  <c r="B3168" i="1" s="1"/>
  <c r="A3168" i="1" s="1"/>
  <c r="B3176" i="1" a="1"/>
  <c r="B3176" i="1" s="1"/>
  <c r="A3176" i="1" s="1"/>
  <c r="B3184" i="1" a="1"/>
  <c r="B3184" i="1" s="1"/>
  <c r="A3184" i="1" s="1"/>
  <c r="B3192" i="1" a="1"/>
  <c r="B3192" i="1" s="1"/>
  <c r="A3192" i="1" s="1"/>
  <c r="B3200" i="1" a="1"/>
  <c r="B3200" i="1" s="1"/>
  <c r="A3200" i="1" s="1"/>
  <c r="B3208" i="1" a="1"/>
  <c r="B3208" i="1" s="1"/>
  <c r="A3208" i="1" s="1"/>
  <c r="B3216" i="1" a="1"/>
  <c r="B3216" i="1" s="1"/>
  <c r="A3216" i="1" s="1"/>
  <c r="B3224" i="1" a="1"/>
  <c r="B3224" i="1" s="1"/>
  <c r="A3224" i="1" s="1"/>
  <c r="B3232" i="1" a="1"/>
  <c r="B3232" i="1" s="1"/>
  <c r="A3232" i="1" s="1"/>
  <c r="B3240" i="1" a="1"/>
  <c r="B3240" i="1" s="1"/>
  <c r="A3240" i="1" s="1"/>
  <c r="B3248" i="1" a="1"/>
  <c r="B3248" i="1" s="1"/>
  <c r="A3248" i="1" s="1"/>
  <c r="B3256" i="1" a="1"/>
  <c r="B3256" i="1" s="1"/>
  <c r="A3256" i="1" s="1"/>
  <c r="B3264" i="1" a="1"/>
  <c r="B3264" i="1" s="1"/>
  <c r="A3264" i="1" s="1"/>
  <c r="B3272" i="1" a="1"/>
  <c r="B3272" i="1" s="1"/>
  <c r="A3272" i="1" s="1"/>
  <c r="B3280" i="1" a="1"/>
  <c r="B3280" i="1" s="1"/>
  <c r="A3280" i="1" s="1"/>
  <c r="B3288" i="1" a="1"/>
  <c r="B3288" i="1" s="1"/>
  <c r="A3288" i="1" s="1"/>
  <c r="B3296" i="1" a="1"/>
  <c r="B3296" i="1" s="1"/>
  <c r="A3296" i="1" s="1"/>
  <c r="B3304" i="1" a="1"/>
  <c r="B3304" i="1" s="1"/>
  <c r="A3304" i="1" s="1"/>
  <c r="B3312" i="1" a="1"/>
  <c r="B3312" i="1" s="1"/>
  <c r="A3312" i="1" s="1"/>
  <c r="B3320" i="1" a="1"/>
  <c r="B3320" i="1" s="1"/>
  <c r="A3320" i="1" s="1"/>
  <c r="B3328" i="1" a="1"/>
  <c r="B3328" i="1" s="1"/>
  <c r="A3328" i="1" s="1"/>
  <c r="B3336" i="1" a="1"/>
  <c r="B3336" i="1" s="1"/>
  <c r="A3336" i="1" s="1"/>
  <c r="B3344" i="1" a="1"/>
  <c r="B3344" i="1" s="1"/>
  <c r="A3344" i="1" s="1"/>
  <c r="B3352" i="1" a="1"/>
  <c r="B3352" i="1" s="1"/>
  <c r="A3352" i="1" s="1"/>
  <c r="B3360" i="1" a="1"/>
  <c r="B3360" i="1" s="1"/>
  <c r="A3360" i="1" s="1"/>
  <c r="B3367" i="1" a="1"/>
  <c r="B3367" i="1" s="1"/>
  <c r="A3367" i="1" s="1"/>
  <c r="B3374" i="1" a="1"/>
  <c r="B3374" i="1" s="1"/>
  <c r="A3374" i="1" s="1"/>
  <c r="B3386" i="1" a="1"/>
  <c r="B3386" i="1" s="1"/>
  <c r="A3386" i="1" s="1"/>
  <c r="B3392" i="1" a="1"/>
  <c r="B3392" i="1" s="1"/>
  <c r="A3392" i="1" s="1"/>
  <c r="B3398" i="1" a="1"/>
  <c r="B3398" i="1" s="1"/>
  <c r="A3398" i="1" s="1"/>
  <c r="B3404" i="1" a="1"/>
  <c r="B3404" i="1" s="1"/>
  <c r="A3404" i="1" s="1"/>
  <c r="B3410" i="1" a="1"/>
  <c r="B3410" i="1" s="1"/>
  <c r="A3410" i="1" s="1"/>
  <c r="B3417" i="1" a="1"/>
  <c r="B3417" i="1" s="1"/>
  <c r="A3417" i="1" s="1"/>
  <c r="B3423" i="1" a="1"/>
  <c r="B3423" i="1" s="1"/>
  <c r="A3423" i="1" s="1"/>
  <c r="B3428" i="1" a="1"/>
  <c r="B3428" i="1" s="1"/>
  <c r="A3428" i="1" s="1"/>
  <c r="B3435" i="1" a="1"/>
  <c r="B3435" i="1" s="1"/>
  <c r="A3435" i="1" s="1"/>
  <c r="B3441" i="1" a="1"/>
  <c r="B3441" i="1" s="1"/>
  <c r="A3441" i="1" s="1"/>
  <c r="B3447" i="1" a="1"/>
  <c r="B3447" i="1" s="1"/>
  <c r="A3447" i="1" s="1"/>
  <c r="B3453" i="1" a="1"/>
  <c r="B3453" i="1" s="1"/>
  <c r="A3453" i="1" s="1"/>
  <c r="B3459" i="1" a="1"/>
  <c r="B3459" i="1" s="1"/>
  <c r="A3459" i="1" s="1"/>
  <c r="B3466" i="1" a="1"/>
  <c r="B3466" i="1" s="1"/>
  <c r="A3466" i="1" s="1"/>
  <c r="B3472" i="1" a="1"/>
  <c r="B3472" i="1" s="1"/>
  <c r="A3472" i="1" s="1"/>
  <c r="B3478" i="1" a="1"/>
  <c r="B3478" i="1" s="1"/>
  <c r="A3478" i="1" s="1"/>
  <c r="B3484" i="1" a="1"/>
  <c r="B3484" i="1" s="1"/>
  <c r="A3484" i="1" s="1"/>
  <c r="B3490" i="1" a="1"/>
  <c r="B3490" i="1" s="1"/>
  <c r="A3490" i="1" s="1"/>
  <c r="B3504" i="1" a="1"/>
  <c r="B3504" i="1" s="1"/>
  <c r="A3504" i="1" s="1"/>
  <c r="B3512" i="1" a="1"/>
  <c r="B3512" i="1" s="1"/>
  <c r="A3512" i="1" s="1"/>
  <c r="B3520" i="1" a="1"/>
  <c r="B3520" i="1" s="1"/>
  <c r="A3520" i="1" s="1"/>
  <c r="B3528" i="1" a="1"/>
  <c r="B3528" i="1" s="1"/>
  <c r="A3528" i="1" s="1"/>
  <c r="B3536" i="1" a="1"/>
  <c r="B3536" i="1" s="1"/>
  <c r="A3536" i="1" s="1"/>
  <c r="B3544" i="1" a="1"/>
  <c r="B3544" i="1" s="1"/>
  <c r="A3544" i="1" s="1"/>
  <c r="B3552" i="1" a="1"/>
  <c r="B3552" i="1" s="1"/>
  <c r="A3552" i="1" s="1"/>
  <c r="B3560" i="1" a="1"/>
  <c r="B3560" i="1" s="1"/>
  <c r="A3560" i="1" s="1"/>
  <c r="B3568" i="1" a="1"/>
  <c r="B3568" i="1" s="1"/>
  <c r="A3568" i="1" s="1"/>
  <c r="B3576" i="1" a="1"/>
  <c r="B3576" i="1" s="1"/>
  <c r="A3576" i="1" s="1"/>
  <c r="B3584" i="1" a="1"/>
  <c r="B3584" i="1" s="1"/>
  <c r="A3584" i="1" s="1"/>
  <c r="B3592" i="1" a="1"/>
  <c r="B3592" i="1" s="1"/>
  <c r="A3592" i="1" s="1"/>
  <c r="B3600" i="1" a="1"/>
  <c r="B3600" i="1" s="1"/>
  <c r="A3600" i="1" s="1"/>
  <c r="B3065" i="1" a="1"/>
  <c r="B3065" i="1" s="1"/>
  <c r="A3065" i="1" s="1"/>
  <c r="B3129" i="1" a="1"/>
  <c r="B3129" i="1" s="1"/>
  <c r="A3129" i="1" s="1"/>
  <c r="B3193" i="1" a="1"/>
  <c r="B3193" i="1" s="1"/>
  <c r="A3193" i="1" s="1"/>
  <c r="B3257" i="1" a="1"/>
  <c r="B3257" i="1" s="1"/>
  <c r="A3257" i="1" s="1"/>
  <c r="B3321" i="1" a="1"/>
  <c r="B3321" i="1" s="1"/>
  <c r="A3321" i="1" s="1"/>
  <c r="B3380" i="1" a="1"/>
  <c r="B3380" i="1" s="1"/>
  <c r="A3380" i="1" s="1"/>
  <c r="B3429" i="1" a="1"/>
  <c r="B3429" i="1" s="1"/>
  <c r="A3429" i="1" s="1"/>
  <c r="B3479" i="1" a="1"/>
  <c r="B3479" i="1" s="1"/>
  <c r="A3479" i="1" s="1"/>
  <c r="B3537" i="1" a="1"/>
  <c r="B3537" i="1" s="1"/>
  <c r="A3537" i="1" s="1"/>
  <c r="B3591" i="1" a="1"/>
  <c r="B3591" i="1" s="1"/>
  <c r="A3591" i="1" s="1"/>
  <c r="B3607" i="1" a="1"/>
  <c r="B3607" i="1" s="1"/>
  <c r="A3607" i="1" s="1"/>
  <c r="B3615" i="1" a="1"/>
  <c r="B3615" i="1" s="1"/>
  <c r="A3615" i="1" s="1"/>
  <c r="B3623" i="1" a="1"/>
  <c r="B3623" i="1" s="1"/>
  <c r="A3623" i="1" s="1"/>
  <c r="B3631" i="1" a="1"/>
  <c r="B3631" i="1" s="1"/>
  <c r="A3631" i="1" s="1"/>
  <c r="B3639" i="1" a="1"/>
  <c r="B3639" i="1" s="1"/>
  <c r="A3639" i="1" s="1"/>
  <c r="B3647" i="1" a="1"/>
  <c r="B3647" i="1" s="1"/>
  <c r="A3647" i="1" s="1"/>
  <c r="B3655" i="1" a="1"/>
  <c r="B3655" i="1" s="1"/>
  <c r="A3655" i="1" s="1"/>
  <c r="B3663" i="1" a="1"/>
  <c r="B3663" i="1" s="1"/>
  <c r="A3663" i="1" s="1"/>
  <c r="B3671" i="1" a="1"/>
  <c r="B3671" i="1" s="1"/>
  <c r="A3671" i="1" s="1"/>
  <c r="B3679" i="1" a="1"/>
  <c r="B3679" i="1" s="1"/>
  <c r="A3679" i="1" s="1"/>
  <c r="B3687" i="1" a="1"/>
  <c r="B3687" i="1" s="1"/>
  <c r="A3687" i="1" s="1"/>
  <c r="B3695" i="1" a="1"/>
  <c r="B3695" i="1" s="1"/>
  <c r="A3695" i="1" s="1"/>
  <c r="B3703" i="1" a="1"/>
  <c r="B3703" i="1" s="1"/>
  <c r="A3703" i="1" s="1"/>
  <c r="B3711" i="1" a="1"/>
  <c r="B3711" i="1" s="1"/>
  <c r="A3711" i="1" s="1"/>
  <c r="B3719" i="1" a="1"/>
  <c r="B3719" i="1" s="1"/>
  <c r="A3719" i="1" s="1"/>
  <c r="B3727" i="1" a="1"/>
  <c r="B3727" i="1" s="1"/>
  <c r="A3727" i="1" s="1"/>
  <c r="B3735" i="1" a="1"/>
  <c r="B3735" i="1" s="1"/>
  <c r="A3735" i="1" s="1"/>
  <c r="B3743" i="1" a="1"/>
  <c r="B3743" i="1" s="1"/>
  <c r="A3743" i="1" s="1"/>
  <c r="B3751" i="1" a="1"/>
  <c r="B3751" i="1" s="1"/>
  <c r="A3751" i="1" s="1"/>
  <c r="B3759" i="1" a="1"/>
  <c r="B3759" i="1" s="1"/>
  <c r="A3759" i="1" s="1"/>
  <c r="B3767" i="1" a="1"/>
  <c r="B3767" i="1" s="1"/>
  <c r="A3767" i="1" s="1"/>
  <c r="B3775" i="1" a="1"/>
  <c r="B3775" i="1" s="1"/>
  <c r="A3775" i="1" s="1"/>
  <c r="B3783" i="1" a="1"/>
  <c r="B3783" i="1" s="1"/>
  <c r="A3783" i="1" s="1"/>
  <c r="B3791" i="1" a="1"/>
  <c r="B3791" i="1" s="1"/>
  <c r="A3791" i="1" s="1"/>
  <c r="B3799" i="1" a="1"/>
  <c r="B3799" i="1" s="1"/>
  <c r="A3799" i="1" s="1"/>
  <c r="B3807" i="1" a="1"/>
  <c r="B3807" i="1" s="1"/>
  <c r="A3807" i="1" s="1"/>
  <c r="B3815" i="1" a="1"/>
  <c r="B3815" i="1" s="1"/>
  <c r="A3815" i="1" s="1"/>
  <c r="B3823" i="1" a="1"/>
  <c r="B3823" i="1" s="1"/>
  <c r="A3823" i="1" s="1"/>
  <c r="B3831" i="1" a="1"/>
  <c r="B3831" i="1" s="1"/>
  <c r="A3831" i="1" s="1"/>
  <c r="B3839" i="1" a="1"/>
  <c r="B3839" i="1" s="1"/>
  <c r="A3839" i="1" s="1"/>
  <c r="B3847" i="1" a="1"/>
  <c r="B3847" i="1" s="1"/>
  <c r="A3847" i="1" s="1"/>
  <c r="B3855" i="1" a="1"/>
  <c r="B3855" i="1" s="1"/>
  <c r="A3855" i="1" s="1"/>
  <c r="B3863" i="1" a="1"/>
  <c r="B3863" i="1" s="1"/>
  <c r="A3863" i="1" s="1"/>
  <c r="B3871" i="1" a="1"/>
  <c r="B3871" i="1" s="1"/>
  <c r="A3871" i="1" s="1"/>
  <c r="B3879" i="1" a="1"/>
  <c r="B3879" i="1" s="1"/>
  <c r="A3879" i="1" s="1"/>
  <c r="B3887" i="1" a="1"/>
  <c r="B3887" i="1" s="1"/>
  <c r="A3887" i="1" s="1"/>
  <c r="B3895" i="1" a="1"/>
  <c r="B3895" i="1" s="1"/>
  <c r="A3895" i="1" s="1"/>
  <c r="B3903" i="1" a="1"/>
  <c r="B3903" i="1" s="1"/>
  <c r="A3903" i="1" s="1"/>
  <c r="B3911" i="1" a="1"/>
  <c r="B3911" i="1" s="1"/>
  <c r="A3911" i="1" s="1"/>
  <c r="B3919" i="1" a="1"/>
  <c r="B3919" i="1" s="1"/>
  <c r="A3919" i="1" s="1"/>
  <c r="B3927" i="1" a="1"/>
  <c r="B3927" i="1" s="1"/>
  <c r="A3927" i="1" s="1"/>
  <c r="B3935" i="1" a="1"/>
  <c r="B3935" i="1" s="1"/>
  <c r="A3935" i="1" s="1"/>
  <c r="B3943" i="1" a="1"/>
  <c r="B3943" i="1" s="1"/>
  <c r="A3943" i="1" s="1"/>
  <c r="B3951" i="1" a="1"/>
  <c r="B3951" i="1" s="1"/>
  <c r="A3951" i="1" s="1"/>
  <c r="B3959" i="1" a="1"/>
  <c r="B3959" i="1" s="1"/>
  <c r="A3959" i="1" s="1"/>
  <c r="B3967" i="1" a="1"/>
  <c r="B3967" i="1" s="1"/>
  <c r="A3967" i="1" s="1"/>
  <c r="B3975" i="1" a="1"/>
  <c r="B3975" i="1" s="1"/>
  <c r="A3975" i="1" s="1"/>
  <c r="B3983" i="1" a="1"/>
  <c r="B3983" i="1" s="1"/>
  <c r="A3983" i="1" s="1"/>
  <c r="B3991" i="1" a="1"/>
  <c r="B3991" i="1" s="1"/>
  <c r="A3991" i="1" s="1"/>
  <c r="B3999" i="1" a="1"/>
  <c r="B3999" i="1" s="1"/>
  <c r="A3999" i="1" s="1"/>
  <c r="B4007" i="1" a="1"/>
  <c r="B4007" i="1" s="1"/>
  <c r="A4007" i="1" s="1"/>
  <c r="B4015" i="1" a="1"/>
  <c r="B4015" i="1" s="1"/>
  <c r="A4015" i="1" s="1"/>
  <c r="B4023" i="1" a="1"/>
  <c r="B4023" i="1" s="1"/>
  <c r="A4023" i="1" s="1"/>
  <c r="B4031" i="1" a="1"/>
  <c r="B4031" i="1" s="1"/>
  <c r="A4031" i="1" s="1"/>
  <c r="B4039" i="1" a="1"/>
  <c r="B4039" i="1" s="1"/>
  <c r="A4039" i="1" s="1"/>
  <c r="B4047" i="1" a="1"/>
  <c r="B4047" i="1" s="1"/>
  <c r="A4047" i="1" s="1"/>
  <c r="B4055" i="1" a="1"/>
  <c r="B4055" i="1" s="1"/>
  <c r="A4055" i="1" s="1"/>
  <c r="B4063" i="1" a="1"/>
  <c r="B4063" i="1" s="1"/>
  <c r="A4063" i="1" s="1"/>
  <c r="B4071" i="1" a="1"/>
  <c r="B4071" i="1" s="1"/>
  <c r="A4071" i="1" s="1"/>
  <c r="B4079" i="1" a="1"/>
  <c r="B4079" i="1" s="1"/>
  <c r="A4079" i="1" s="1"/>
  <c r="B4087" i="1" a="1"/>
  <c r="B4087" i="1" s="1"/>
  <c r="A4087" i="1" s="1"/>
  <c r="B4095" i="1" a="1"/>
  <c r="B4095" i="1" s="1"/>
  <c r="A4095" i="1" s="1"/>
  <c r="B4103" i="1" a="1"/>
  <c r="B4103" i="1" s="1"/>
  <c r="A4103" i="1" s="1"/>
  <c r="B4111" i="1" a="1"/>
  <c r="B4111" i="1" s="1"/>
  <c r="A4111" i="1" s="1"/>
  <c r="B4119" i="1" a="1"/>
  <c r="B4119" i="1" s="1"/>
  <c r="A4119" i="1" s="1"/>
  <c r="B4127" i="1" a="1"/>
  <c r="B4127" i="1" s="1"/>
  <c r="A4127" i="1" s="1"/>
  <c r="B4135" i="1" a="1"/>
  <c r="B4135" i="1" s="1"/>
  <c r="A4135" i="1" s="1"/>
  <c r="B4141" i="1" a="1"/>
  <c r="B4141" i="1" s="1"/>
  <c r="A4141" i="1" s="1"/>
  <c r="B4146" i="1" a="1"/>
  <c r="B4146" i="1" s="1"/>
  <c r="A4146" i="1" s="1"/>
  <c r="B4152" i="1" a="1"/>
  <c r="B4152" i="1" s="1"/>
  <c r="A4152" i="1" s="1"/>
  <c r="B4159" i="1" a="1"/>
  <c r="B4159" i="1" s="1"/>
  <c r="A4159" i="1" s="1"/>
  <c r="B4167" i="1" a="1"/>
  <c r="B4167" i="1" s="1"/>
  <c r="A4167" i="1" s="1"/>
  <c r="B4175" i="1" a="1"/>
  <c r="B4175" i="1" s="1"/>
  <c r="A4175" i="1" s="1"/>
  <c r="B4183" i="1" a="1"/>
  <c r="B4183" i="1" s="1"/>
  <c r="A4183" i="1" s="1"/>
  <c r="B4191" i="1" a="1"/>
  <c r="B4191" i="1" s="1"/>
  <c r="A4191" i="1" s="1"/>
  <c r="B4199" i="1" a="1"/>
  <c r="B4199" i="1" s="1"/>
  <c r="A4199" i="1" s="1"/>
  <c r="B4207" i="1" a="1"/>
  <c r="B4207" i="1" s="1"/>
  <c r="A4207" i="1" s="1"/>
  <c r="B4215" i="1" a="1"/>
  <c r="B4215" i="1" s="1"/>
  <c r="A4215" i="1" s="1"/>
  <c r="B4223" i="1" a="1"/>
  <c r="B4223" i="1" s="1"/>
  <c r="A4223" i="1" s="1"/>
  <c r="B4231" i="1" a="1"/>
  <c r="B4231" i="1" s="1"/>
  <c r="A4231" i="1" s="1"/>
  <c r="B4239" i="1" a="1"/>
  <c r="B4239" i="1" s="1"/>
  <c r="A4239" i="1" s="1"/>
  <c r="B4247" i="1" a="1"/>
  <c r="B4247" i="1" s="1"/>
  <c r="A4247" i="1" s="1"/>
  <c r="B4255" i="1" a="1"/>
  <c r="B4255" i="1" s="1"/>
  <c r="A4255" i="1" s="1"/>
  <c r="B4263" i="1" a="1"/>
  <c r="B4263" i="1" s="1"/>
  <c r="A4263" i="1" s="1"/>
  <c r="B4271" i="1" a="1"/>
  <c r="B4271" i="1" s="1"/>
  <c r="A4271" i="1" s="1"/>
  <c r="B4279" i="1" a="1"/>
  <c r="B4279" i="1" s="1"/>
  <c r="A4279" i="1" s="1"/>
  <c r="B4287" i="1" a="1"/>
  <c r="B4287" i="1" s="1"/>
  <c r="A4287" i="1" s="1"/>
  <c r="B4295" i="1" a="1"/>
  <c r="B4295" i="1" s="1"/>
  <c r="A4295" i="1" s="1"/>
  <c r="B4303" i="1" a="1"/>
  <c r="B4303" i="1" s="1"/>
  <c r="A4303" i="1" s="1"/>
  <c r="B4311" i="1" a="1"/>
  <c r="B4311" i="1" s="1"/>
  <c r="A4311" i="1" s="1"/>
  <c r="B4319" i="1" a="1"/>
  <c r="B4319" i="1" s="1"/>
  <c r="A4319" i="1" s="1"/>
  <c r="B4327" i="1" a="1"/>
  <c r="B4327" i="1" s="1"/>
  <c r="A4327" i="1" s="1"/>
  <c r="B4335" i="1" a="1"/>
  <c r="B4335" i="1" s="1"/>
  <c r="A4335" i="1" s="1"/>
  <c r="B4343" i="1" a="1"/>
  <c r="B4343" i="1" s="1"/>
  <c r="A4343" i="1" s="1"/>
  <c r="B4351" i="1" a="1"/>
  <c r="B4351" i="1" s="1"/>
  <c r="A4351" i="1" s="1"/>
  <c r="B4359" i="1" a="1"/>
  <c r="B4359" i="1" s="1"/>
  <c r="A4359" i="1" s="1"/>
  <c r="B4367" i="1" a="1"/>
  <c r="B4367" i="1" s="1"/>
  <c r="A4367" i="1" s="1"/>
  <c r="B4375" i="1" a="1"/>
  <c r="B4375" i="1" s="1"/>
  <c r="A4375" i="1" s="1"/>
  <c r="B4383" i="1" a="1"/>
  <c r="B4383" i="1" s="1"/>
  <c r="A4383" i="1" s="1"/>
  <c r="B4391" i="1" a="1"/>
  <c r="B4391" i="1" s="1"/>
  <c r="A4391" i="1" s="1"/>
  <c r="B4399" i="1" a="1"/>
  <c r="B4399" i="1" s="1"/>
  <c r="A4399" i="1" s="1"/>
  <c r="B4407" i="1" a="1"/>
  <c r="B4407" i="1" s="1"/>
  <c r="A4407" i="1" s="1"/>
  <c r="B4415" i="1" a="1"/>
  <c r="B4415" i="1" s="1"/>
  <c r="A4415" i="1" s="1"/>
  <c r="B4423" i="1" a="1"/>
  <c r="B4423" i="1" s="1"/>
  <c r="A4423" i="1" s="1"/>
  <c r="B4431" i="1" a="1"/>
  <c r="B4431" i="1" s="1"/>
  <c r="A4431" i="1" s="1"/>
  <c r="B4439" i="1" a="1"/>
  <c r="B4439" i="1" s="1"/>
  <c r="A4439" i="1" s="1"/>
  <c r="B4447" i="1" a="1"/>
  <c r="B4447" i="1" s="1"/>
  <c r="A4447" i="1" s="1"/>
  <c r="B4455" i="1" a="1"/>
  <c r="B4455" i="1" s="1"/>
  <c r="A4455" i="1" s="1"/>
  <c r="B4463" i="1" a="1"/>
  <c r="B4463" i="1" s="1"/>
  <c r="A4463" i="1" s="1"/>
  <c r="B4471" i="1" a="1"/>
  <c r="B4471" i="1" s="1"/>
  <c r="A4471" i="1" s="1"/>
  <c r="B4479" i="1" a="1"/>
  <c r="B4479" i="1" s="1"/>
  <c r="A4479" i="1" s="1"/>
  <c r="B4487" i="1" a="1"/>
  <c r="B4487" i="1" s="1"/>
  <c r="A4487" i="1" s="1"/>
  <c r="B4495" i="1" a="1"/>
  <c r="B4495" i="1" s="1"/>
  <c r="A4495" i="1" s="1"/>
  <c r="B4503" i="1" a="1"/>
  <c r="B4503" i="1" s="1"/>
  <c r="A4503" i="1" s="1"/>
  <c r="B4511" i="1" a="1"/>
  <c r="B4511" i="1" s="1"/>
  <c r="A4511" i="1" s="1"/>
  <c r="B4519" i="1" a="1"/>
  <c r="B4519" i="1" s="1"/>
  <c r="A4519" i="1" s="1"/>
  <c r="B4527" i="1" a="1"/>
  <c r="B4527" i="1" s="1"/>
  <c r="A4527" i="1" s="1"/>
  <c r="B4535" i="1" a="1"/>
  <c r="B4535" i="1" s="1"/>
  <c r="A4535" i="1" s="1"/>
  <c r="B4543" i="1" a="1"/>
  <c r="B4543" i="1" s="1"/>
  <c r="A4543" i="1" s="1"/>
  <c r="B4551" i="1" a="1"/>
  <c r="B4551" i="1" s="1"/>
  <c r="A4551" i="1" s="1"/>
  <c r="B4559" i="1" a="1"/>
  <c r="B4559" i="1" s="1"/>
  <c r="A4559" i="1" s="1"/>
  <c r="B4567" i="1" a="1"/>
  <c r="B4567" i="1" s="1"/>
  <c r="A4567" i="1" s="1"/>
  <c r="B4575" i="1" a="1"/>
  <c r="B4575" i="1" s="1"/>
  <c r="A4575" i="1" s="1"/>
  <c r="B4583" i="1" a="1"/>
  <c r="B4583" i="1" s="1"/>
  <c r="A4583" i="1" s="1"/>
  <c r="B4591" i="1" a="1"/>
  <c r="B4591" i="1" s="1"/>
  <c r="A4591" i="1" s="1"/>
  <c r="B4599" i="1" a="1"/>
  <c r="B4599" i="1" s="1"/>
  <c r="A4599" i="1" s="1"/>
  <c r="B4607" i="1" a="1"/>
  <c r="B4607" i="1" s="1"/>
  <c r="A4607" i="1" s="1"/>
  <c r="B4615" i="1" a="1"/>
  <c r="B4615" i="1" s="1"/>
  <c r="A4615" i="1" s="1"/>
  <c r="B4623" i="1" a="1"/>
  <c r="B4623" i="1" s="1"/>
  <c r="A4623" i="1" s="1"/>
  <c r="B4631" i="1" a="1"/>
  <c r="B4631" i="1" s="1"/>
  <c r="A4631" i="1" s="1"/>
  <c r="B4639" i="1" a="1"/>
  <c r="B4639" i="1" s="1"/>
  <c r="A4639" i="1" s="1"/>
  <c r="B4647" i="1" a="1"/>
  <c r="B4647" i="1" s="1"/>
  <c r="A4647" i="1" s="1"/>
  <c r="B4655" i="1" a="1"/>
  <c r="B4655" i="1" s="1"/>
  <c r="A4655" i="1" s="1"/>
  <c r="B4663" i="1" a="1"/>
  <c r="B4663" i="1" s="1"/>
  <c r="A4663" i="1" s="1"/>
  <c r="B4671" i="1" a="1"/>
  <c r="B4671" i="1" s="1"/>
  <c r="A4671" i="1" s="1"/>
  <c r="B4679" i="1" a="1"/>
  <c r="B4679" i="1" s="1"/>
  <c r="A4679" i="1" s="1"/>
  <c r="B4687" i="1" a="1"/>
  <c r="B4687" i="1" s="1"/>
  <c r="A4687" i="1" s="1"/>
  <c r="B4695" i="1" a="1"/>
  <c r="B4695" i="1" s="1"/>
  <c r="A4695" i="1" s="1"/>
  <c r="B4703" i="1" a="1"/>
  <c r="B4703" i="1" s="1"/>
  <c r="A4703" i="1" s="1"/>
  <c r="B4711" i="1" a="1"/>
  <c r="B4711" i="1" s="1"/>
  <c r="A4711" i="1" s="1"/>
  <c r="B4719" i="1" a="1"/>
  <c r="B4719" i="1" s="1"/>
  <c r="A4719" i="1" s="1"/>
  <c r="B4727" i="1" a="1"/>
  <c r="B4727" i="1" s="1"/>
  <c r="A4727" i="1" s="1"/>
  <c r="B4735" i="1" a="1"/>
  <c r="B4735" i="1" s="1"/>
  <c r="A4735" i="1" s="1"/>
  <c r="B4743" i="1" a="1"/>
  <c r="B4743" i="1" s="1"/>
  <c r="A4743" i="1" s="1"/>
  <c r="B4751" i="1" a="1"/>
  <c r="B4751" i="1" s="1"/>
  <c r="A4751" i="1" s="1"/>
  <c r="B4759" i="1" a="1"/>
  <c r="B4759" i="1" s="1"/>
  <c r="A4759" i="1" s="1"/>
  <c r="B4767" i="1" a="1"/>
  <c r="B4767" i="1" s="1"/>
  <c r="A4767" i="1" s="1"/>
  <c r="B4775" i="1" a="1"/>
  <c r="B4775" i="1" s="1"/>
  <c r="A4775" i="1" s="1"/>
  <c r="B4783" i="1" a="1"/>
  <c r="B4783" i="1" s="1"/>
  <c r="A4783" i="1" s="1"/>
  <c r="B4791" i="1" a="1"/>
  <c r="B4791" i="1" s="1"/>
  <c r="A4791" i="1" s="1"/>
  <c r="B4799" i="1" a="1"/>
  <c r="B4799" i="1" s="1"/>
  <c r="A4799" i="1" s="1"/>
  <c r="B4807" i="1" a="1"/>
  <c r="B4807" i="1" s="1"/>
  <c r="A4807" i="1" s="1"/>
  <c r="B4815" i="1" a="1"/>
  <c r="B4815" i="1" s="1"/>
  <c r="A4815" i="1" s="1"/>
  <c r="B4823" i="1" a="1"/>
  <c r="B4823" i="1" s="1"/>
  <c r="A4823" i="1" s="1"/>
  <c r="B4838" i="1" a="1"/>
  <c r="B4838" i="1" s="1"/>
  <c r="A4838" i="1" s="1"/>
  <c r="B4843" i="1" a="1"/>
  <c r="B4843" i="1" s="1"/>
  <c r="A4843" i="1" s="1"/>
  <c r="B4855" i="1" a="1"/>
  <c r="B4855" i="1" s="1"/>
  <c r="A4855" i="1" s="1"/>
  <c r="B4863" i="1" a="1"/>
  <c r="B4863" i="1" s="1"/>
  <c r="A4863" i="1" s="1"/>
  <c r="B3073" i="1" a="1"/>
  <c r="B3073" i="1" s="1"/>
  <c r="A3073" i="1" s="1"/>
  <c r="B3137" i="1" a="1"/>
  <c r="B3137" i="1" s="1"/>
  <c r="A3137" i="1" s="1"/>
  <c r="B3201" i="1" a="1"/>
  <c r="B3201" i="1" s="1"/>
  <c r="A3201" i="1" s="1"/>
  <c r="B3265" i="1" a="1"/>
  <c r="B3265" i="1" s="1"/>
  <c r="A3265" i="1" s="1"/>
  <c r="B3329" i="1" a="1"/>
  <c r="B3329" i="1" s="1"/>
  <c r="A3329" i="1" s="1"/>
  <c r="B3387" i="1" a="1"/>
  <c r="B3387" i="1" s="1"/>
  <c r="A3387" i="1" s="1"/>
  <c r="B3485" i="1" a="1"/>
  <c r="B3485" i="1" s="1"/>
  <c r="A3485" i="1" s="1"/>
  <c r="B3545" i="1" a="1"/>
  <c r="B3545" i="1" s="1"/>
  <c r="A3545" i="1" s="1"/>
  <c r="B3593" i="1" a="1"/>
  <c r="B3593" i="1" s="1"/>
  <c r="A3593" i="1" s="1"/>
  <c r="B3608" i="1" a="1"/>
  <c r="B3608" i="1" s="1"/>
  <c r="A3608" i="1" s="1"/>
  <c r="B3616" i="1" a="1"/>
  <c r="B3616" i="1" s="1"/>
  <c r="A3616" i="1" s="1"/>
  <c r="B3624" i="1" a="1"/>
  <c r="B3624" i="1" s="1"/>
  <c r="A3624" i="1" s="1"/>
  <c r="B3632" i="1" a="1"/>
  <c r="B3632" i="1" s="1"/>
  <c r="A3632" i="1" s="1"/>
  <c r="B3640" i="1" a="1"/>
  <c r="B3640" i="1" s="1"/>
  <c r="A3640" i="1" s="1"/>
  <c r="B3648" i="1" a="1"/>
  <c r="B3648" i="1" s="1"/>
  <c r="A3648" i="1" s="1"/>
  <c r="B3656" i="1" a="1"/>
  <c r="B3656" i="1" s="1"/>
  <c r="A3656" i="1" s="1"/>
  <c r="B3664" i="1" a="1"/>
  <c r="B3664" i="1" s="1"/>
  <c r="A3664" i="1" s="1"/>
  <c r="B3672" i="1" a="1"/>
  <c r="B3672" i="1" s="1"/>
  <c r="A3672" i="1" s="1"/>
  <c r="B3680" i="1" a="1"/>
  <c r="B3680" i="1" s="1"/>
  <c r="A3680" i="1" s="1"/>
  <c r="B3688" i="1" a="1"/>
  <c r="B3688" i="1" s="1"/>
  <c r="A3688" i="1" s="1"/>
  <c r="B3696" i="1" a="1"/>
  <c r="B3696" i="1" s="1"/>
  <c r="A3696" i="1" s="1"/>
  <c r="B3704" i="1" a="1"/>
  <c r="B3704" i="1" s="1"/>
  <c r="A3704" i="1" s="1"/>
  <c r="B3712" i="1" a="1"/>
  <c r="B3712" i="1" s="1"/>
  <c r="A3712" i="1" s="1"/>
  <c r="B3720" i="1" a="1"/>
  <c r="B3720" i="1" s="1"/>
  <c r="A3720" i="1" s="1"/>
  <c r="B3728" i="1" a="1"/>
  <c r="B3728" i="1" s="1"/>
  <c r="A3728" i="1" s="1"/>
  <c r="B3736" i="1" a="1"/>
  <c r="B3736" i="1" s="1"/>
  <c r="A3736" i="1" s="1"/>
  <c r="B3744" i="1" a="1"/>
  <c r="B3744" i="1" s="1"/>
  <c r="A3744" i="1" s="1"/>
  <c r="B3752" i="1" a="1"/>
  <c r="B3752" i="1" s="1"/>
  <c r="A3752" i="1" s="1"/>
  <c r="B3760" i="1" a="1"/>
  <c r="B3760" i="1" s="1"/>
  <c r="A3760" i="1" s="1"/>
  <c r="B3768" i="1" a="1"/>
  <c r="B3768" i="1" s="1"/>
  <c r="A3768" i="1" s="1"/>
  <c r="B3776" i="1" a="1"/>
  <c r="B3776" i="1" s="1"/>
  <c r="A3776" i="1" s="1"/>
  <c r="B3784" i="1" a="1"/>
  <c r="B3784" i="1" s="1"/>
  <c r="A3784" i="1" s="1"/>
  <c r="B3792" i="1" a="1"/>
  <c r="B3792" i="1" s="1"/>
  <c r="A3792" i="1" s="1"/>
  <c r="B3800" i="1" a="1"/>
  <c r="B3800" i="1" s="1"/>
  <c r="A3800" i="1" s="1"/>
  <c r="B3808" i="1" a="1"/>
  <c r="B3808" i="1" s="1"/>
  <c r="A3808" i="1" s="1"/>
  <c r="B3816" i="1" a="1"/>
  <c r="B3816" i="1" s="1"/>
  <c r="A3816" i="1" s="1"/>
  <c r="B3824" i="1" a="1"/>
  <c r="B3824" i="1" s="1"/>
  <c r="A3824" i="1" s="1"/>
  <c r="B3832" i="1" a="1"/>
  <c r="B3832" i="1" s="1"/>
  <c r="A3832" i="1" s="1"/>
  <c r="B3840" i="1" a="1"/>
  <c r="B3840" i="1" s="1"/>
  <c r="A3840" i="1" s="1"/>
  <c r="B3848" i="1" a="1"/>
  <c r="B3848" i="1" s="1"/>
  <c r="A3848" i="1" s="1"/>
  <c r="B3856" i="1" a="1"/>
  <c r="B3856" i="1" s="1"/>
  <c r="A3856" i="1" s="1"/>
  <c r="B3864" i="1" a="1"/>
  <c r="B3864" i="1" s="1"/>
  <c r="A3864" i="1" s="1"/>
  <c r="B3872" i="1" a="1"/>
  <c r="B3872" i="1" s="1"/>
  <c r="A3872" i="1" s="1"/>
  <c r="B3880" i="1" a="1"/>
  <c r="B3880" i="1" s="1"/>
  <c r="A3880" i="1" s="1"/>
  <c r="B3888" i="1" a="1"/>
  <c r="B3888" i="1" s="1"/>
  <c r="A3888" i="1" s="1"/>
  <c r="B3896" i="1" a="1"/>
  <c r="B3896" i="1" s="1"/>
  <c r="A3896" i="1" s="1"/>
  <c r="B3904" i="1" a="1"/>
  <c r="B3904" i="1" s="1"/>
  <c r="A3904" i="1" s="1"/>
  <c r="B3912" i="1" a="1"/>
  <c r="B3912" i="1" s="1"/>
  <c r="A3912" i="1" s="1"/>
  <c r="B3920" i="1" a="1"/>
  <c r="B3920" i="1" s="1"/>
  <c r="A3920" i="1" s="1"/>
  <c r="B3928" i="1" a="1"/>
  <c r="B3928" i="1" s="1"/>
  <c r="A3928" i="1" s="1"/>
  <c r="B3936" i="1" a="1"/>
  <c r="B3936" i="1" s="1"/>
  <c r="A3936" i="1" s="1"/>
  <c r="B3944" i="1" a="1"/>
  <c r="B3944" i="1" s="1"/>
  <c r="A3944" i="1" s="1"/>
  <c r="B3952" i="1" a="1"/>
  <c r="B3952" i="1" s="1"/>
  <c r="A3952" i="1" s="1"/>
  <c r="B3960" i="1" a="1"/>
  <c r="B3960" i="1" s="1"/>
  <c r="A3960" i="1" s="1"/>
  <c r="B3968" i="1" a="1"/>
  <c r="B3968" i="1" s="1"/>
  <c r="A3968" i="1" s="1"/>
  <c r="B3976" i="1" a="1"/>
  <c r="B3976" i="1" s="1"/>
  <c r="A3976" i="1" s="1"/>
  <c r="B3984" i="1" a="1"/>
  <c r="B3984" i="1" s="1"/>
  <c r="A3984" i="1" s="1"/>
  <c r="B3992" i="1" a="1"/>
  <c r="B3992" i="1" s="1"/>
  <c r="A3992" i="1" s="1"/>
  <c r="B4000" i="1" a="1"/>
  <c r="B4000" i="1" s="1"/>
  <c r="A4000" i="1" s="1"/>
  <c r="B4008" i="1" a="1"/>
  <c r="B4008" i="1" s="1"/>
  <c r="A4008" i="1" s="1"/>
  <c r="B4016" i="1" a="1"/>
  <c r="B4016" i="1" s="1"/>
  <c r="A4016" i="1" s="1"/>
  <c r="B4024" i="1" a="1"/>
  <c r="B4024" i="1" s="1"/>
  <c r="A4024" i="1" s="1"/>
  <c r="B4032" i="1" a="1"/>
  <c r="B4032" i="1" s="1"/>
  <c r="A4032" i="1" s="1"/>
  <c r="B4040" i="1" a="1"/>
  <c r="B4040" i="1" s="1"/>
  <c r="A4040" i="1" s="1"/>
  <c r="B4048" i="1" a="1"/>
  <c r="B4048" i="1" s="1"/>
  <c r="A4048" i="1" s="1"/>
  <c r="B4056" i="1" a="1"/>
  <c r="B4056" i="1" s="1"/>
  <c r="A4056" i="1" s="1"/>
  <c r="B4064" i="1" a="1"/>
  <c r="B4064" i="1" s="1"/>
  <c r="A4064" i="1" s="1"/>
  <c r="B4072" i="1" a="1"/>
  <c r="B4072" i="1" s="1"/>
  <c r="A4072" i="1" s="1"/>
  <c r="B4080" i="1" a="1"/>
  <c r="B4080" i="1" s="1"/>
  <c r="A4080" i="1" s="1"/>
  <c r="B4088" i="1" a="1"/>
  <c r="B4088" i="1" s="1"/>
  <c r="A4088" i="1" s="1"/>
  <c r="B4096" i="1" a="1"/>
  <c r="B4096" i="1" s="1"/>
  <c r="A4096" i="1" s="1"/>
  <c r="B4104" i="1" a="1"/>
  <c r="B4104" i="1" s="1"/>
  <c r="A4104" i="1" s="1"/>
  <c r="B4112" i="1" a="1"/>
  <c r="B4112" i="1" s="1"/>
  <c r="A4112" i="1" s="1"/>
  <c r="B4120" i="1" a="1"/>
  <c r="B4120" i="1" s="1"/>
  <c r="A4120" i="1" s="1"/>
  <c r="B4128" i="1" a="1"/>
  <c r="B4128" i="1" s="1"/>
  <c r="A4128" i="1" s="1"/>
  <c r="B4136" i="1" a="1"/>
  <c r="B4136" i="1" s="1"/>
  <c r="A4136" i="1" s="1"/>
  <c r="B4160" i="1" a="1"/>
  <c r="B4160" i="1" s="1"/>
  <c r="A4160" i="1" s="1"/>
  <c r="B4168" i="1" a="1"/>
  <c r="B4168" i="1" s="1"/>
  <c r="A4168" i="1" s="1"/>
  <c r="B4176" i="1" a="1"/>
  <c r="B4176" i="1" s="1"/>
  <c r="A4176" i="1" s="1"/>
  <c r="B4184" i="1" a="1"/>
  <c r="B4184" i="1" s="1"/>
  <c r="A4184" i="1" s="1"/>
  <c r="B4192" i="1" a="1"/>
  <c r="B4192" i="1" s="1"/>
  <c r="A4192" i="1" s="1"/>
  <c r="B4200" i="1" a="1"/>
  <c r="B4200" i="1" s="1"/>
  <c r="A4200" i="1" s="1"/>
  <c r="B4208" i="1" a="1"/>
  <c r="B4208" i="1" s="1"/>
  <c r="A4208" i="1" s="1"/>
  <c r="B4216" i="1" a="1"/>
  <c r="B4216" i="1" s="1"/>
  <c r="A4216" i="1" s="1"/>
  <c r="B4224" i="1" a="1"/>
  <c r="B4224" i="1" s="1"/>
  <c r="A4224" i="1" s="1"/>
  <c r="B4232" i="1" a="1"/>
  <c r="B4232" i="1" s="1"/>
  <c r="A4232" i="1" s="1"/>
  <c r="B4240" i="1" a="1"/>
  <c r="B4240" i="1" s="1"/>
  <c r="A4240" i="1" s="1"/>
  <c r="B4248" i="1" a="1"/>
  <c r="B4248" i="1" s="1"/>
  <c r="A4248" i="1" s="1"/>
  <c r="B4256" i="1" a="1"/>
  <c r="B4256" i="1" s="1"/>
  <c r="A4256" i="1" s="1"/>
  <c r="B4264" i="1" a="1"/>
  <c r="B4264" i="1" s="1"/>
  <c r="A4264" i="1" s="1"/>
  <c r="B4272" i="1" a="1"/>
  <c r="B4272" i="1" s="1"/>
  <c r="A4272" i="1" s="1"/>
  <c r="B4280" i="1" a="1"/>
  <c r="B4280" i="1" s="1"/>
  <c r="A4280" i="1" s="1"/>
  <c r="B4288" i="1" a="1"/>
  <c r="B4288" i="1" s="1"/>
  <c r="A4288" i="1" s="1"/>
  <c r="B4296" i="1" a="1"/>
  <c r="B4296" i="1" s="1"/>
  <c r="A4296" i="1" s="1"/>
  <c r="B4304" i="1" a="1"/>
  <c r="B4304" i="1" s="1"/>
  <c r="A4304" i="1" s="1"/>
  <c r="B4312" i="1" a="1"/>
  <c r="B4312" i="1" s="1"/>
  <c r="A4312" i="1" s="1"/>
  <c r="B4320" i="1" a="1"/>
  <c r="B4320" i="1" s="1"/>
  <c r="A4320" i="1" s="1"/>
  <c r="B4328" i="1" a="1"/>
  <c r="B4328" i="1" s="1"/>
  <c r="A4328" i="1" s="1"/>
  <c r="B4336" i="1" a="1"/>
  <c r="B4336" i="1" s="1"/>
  <c r="A4336" i="1" s="1"/>
  <c r="B4344" i="1" a="1"/>
  <c r="B4344" i="1" s="1"/>
  <c r="A4344" i="1" s="1"/>
  <c r="B4352" i="1" a="1"/>
  <c r="B4352" i="1" s="1"/>
  <c r="A4352" i="1" s="1"/>
  <c r="B4360" i="1" a="1"/>
  <c r="B4360" i="1" s="1"/>
  <c r="A4360" i="1" s="1"/>
  <c r="B4368" i="1" a="1"/>
  <c r="B4368" i="1" s="1"/>
  <c r="A4368" i="1" s="1"/>
  <c r="B4376" i="1" a="1"/>
  <c r="B4376" i="1" s="1"/>
  <c r="A4376" i="1" s="1"/>
  <c r="B4384" i="1" a="1"/>
  <c r="B4384" i="1" s="1"/>
  <c r="A4384" i="1" s="1"/>
  <c r="B4392" i="1" a="1"/>
  <c r="B4392" i="1" s="1"/>
  <c r="A4392" i="1" s="1"/>
  <c r="B4400" i="1" a="1"/>
  <c r="B4400" i="1" s="1"/>
  <c r="A4400" i="1" s="1"/>
  <c r="B4408" i="1" a="1"/>
  <c r="B4408" i="1" s="1"/>
  <c r="A4408" i="1" s="1"/>
  <c r="B4416" i="1" a="1"/>
  <c r="B4416" i="1" s="1"/>
  <c r="A4416" i="1" s="1"/>
  <c r="B4424" i="1" a="1"/>
  <c r="B4424" i="1" s="1"/>
  <c r="A4424" i="1" s="1"/>
  <c r="B4432" i="1" a="1"/>
  <c r="B4432" i="1" s="1"/>
  <c r="A4432" i="1" s="1"/>
  <c r="B4440" i="1" a="1"/>
  <c r="B4440" i="1" s="1"/>
  <c r="A4440" i="1" s="1"/>
  <c r="B4448" i="1" a="1"/>
  <c r="B4448" i="1" s="1"/>
  <c r="A4448" i="1" s="1"/>
  <c r="B4456" i="1" a="1"/>
  <c r="B4456" i="1" s="1"/>
  <c r="A4456" i="1" s="1"/>
  <c r="B4464" i="1" a="1"/>
  <c r="B4464" i="1" s="1"/>
  <c r="A4464" i="1" s="1"/>
  <c r="B4472" i="1" a="1"/>
  <c r="B4472" i="1" s="1"/>
  <c r="A4472" i="1" s="1"/>
  <c r="B4480" i="1" a="1"/>
  <c r="B4480" i="1" s="1"/>
  <c r="A4480" i="1" s="1"/>
  <c r="B4488" i="1" a="1"/>
  <c r="B4488" i="1" s="1"/>
  <c r="A4488" i="1" s="1"/>
  <c r="B4496" i="1" a="1"/>
  <c r="B4496" i="1" s="1"/>
  <c r="A4496" i="1" s="1"/>
  <c r="B4504" i="1" a="1"/>
  <c r="B4504" i="1" s="1"/>
  <c r="A4504" i="1" s="1"/>
  <c r="B4512" i="1" a="1"/>
  <c r="B4512" i="1" s="1"/>
  <c r="A4512" i="1" s="1"/>
  <c r="B4520" i="1" a="1"/>
  <c r="B4520" i="1" s="1"/>
  <c r="A4520" i="1" s="1"/>
  <c r="B4528" i="1" a="1"/>
  <c r="B4528" i="1" s="1"/>
  <c r="A4528" i="1" s="1"/>
  <c r="B4536" i="1" a="1"/>
  <c r="B4536" i="1" s="1"/>
  <c r="A4536" i="1" s="1"/>
  <c r="B4544" i="1" a="1"/>
  <c r="B4544" i="1" s="1"/>
  <c r="A4544" i="1" s="1"/>
  <c r="B4552" i="1" a="1"/>
  <c r="B4552" i="1" s="1"/>
  <c r="A4552" i="1" s="1"/>
  <c r="B4560" i="1" a="1"/>
  <c r="B4560" i="1" s="1"/>
  <c r="A4560" i="1" s="1"/>
  <c r="B4568" i="1" a="1"/>
  <c r="B4568" i="1" s="1"/>
  <c r="A4568" i="1" s="1"/>
  <c r="B4576" i="1" a="1"/>
  <c r="B4576" i="1" s="1"/>
  <c r="A4576" i="1" s="1"/>
  <c r="B4584" i="1" a="1"/>
  <c r="B4584" i="1" s="1"/>
  <c r="A4584" i="1" s="1"/>
  <c r="B4592" i="1" a="1"/>
  <c r="B4592" i="1" s="1"/>
  <c r="A4592" i="1" s="1"/>
  <c r="B4600" i="1" a="1"/>
  <c r="B4600" i="1" s="1"/>
  <c r="A4600" i="1" s="1"/>
  <c r="B4608" i="1" a="1"/>
  <c r="B4608" i="1" s="1"/>
  <c r="A4608" i="1" s="1"/>
  <c r="B4616" i="1" a="1"/>
  <c r="B4616" i="1" s="1"/>
  <c r="A4616" i="1" s="1"/>
  <c r="B4624" i="1" a="1"/>
  <c r="B4624" i="1" s="1"/>
  <c r="A4624" i="1" s="1"/>
  <c r="B4632" i="1" a="1"/>
  <c r="B4632" i="1" s="1"/>
  <c r="A4632" i="1" s="1"/>
  <c r="B4640" i="1" a="1"/>
  <c r="B4640" i="1" s="1"/>
  <c r="A4640" i="1" s="1"/>
  <c r="B4648" i="1" a="1"/>
  <c r="B4648" i="1" s="1"/>
  <c r="A4648" i="1" s="1"/>
  <c r="B4656" i="1" a="1"/>
  <c r="B4656" i="1" s="1"/>
  <c r="A4656" i="1" s="1"/>
  <c r="B4664" i="1" a="1"/>
  <c r="B4664" i="1" s="1"/>
  <c r="A4664" i="1" s="1"/>
  <c r="B4672" i="1" a="1"/>
  <c r="B4672" i="1" s="1"/>
  <c r="A4672" i="1" s="1"/>
  <c r="B4680" i="1" a="1"/>
  <c r="B4680" i="1" s="1"/>
  <c r="A4680" i="1" s="1"/>
  <c r="B4688" i="1" a="1"/>
  <c r="B4688" i="1" s="1"/>
  <c r="A4688" i="1" s="1"/>
  <c r="B4696" i="1" a="1"/>
  <c r="B4696" i="1" s="1"/>
  <c r="A4696" i="1" s="1"/>
  <c r="B4704" i="1" a="1"/>
  <c r="B4704" i="1" s="1"/>
  <c r="A4704" i="1" s="1"/>
  <c r="B4712" i="1" a="1"/>
  <c r="B4712" i="1" s="1"/>
  <c r="A4712" i="1" s="1"/>
  <c r="B4720" i="1" a="1"/>
  <c r="B4720" i="1" s="1"/>
  <c r="A4720" i="1" s="1"/>
  <c r="B4728" i="1" a="1"/>
  <c r="B4728" i="1" s="1"/>
  <c r="A4728" i="1" s="1"/>
  <c r="B4736" i="1" a="1"/>
  <c r="B4736" i="1" s="1"/>
  <c r="A4736" i="1" s="1"/>
  <c r="B4744" i="1" a="1"/>
  <c r="B4744" i="1" s="1"/>
  <c r="A4744" i="1" s="1"/>
  <c r="B4752" i="1" a="1"/>
  <c r="B4752" i="1" s="1"/>
  <c r="A4752" i="1" s="1"/>
  <c r="B4760" i="1" a="1"/>
  <c r="B4760" i="1" s="1"/>
  <c r="A4760" i="1" s="1"/>
  <c r="B4768" i="1" a="1"/>
  <c r="B4768" i="1" s="1"/>
  <c r="A4768" i="1" s="1"/>
  <c r="B4776" i="1" a="1"/>
  <c r="B4776" i="1" s="1"/>
  <c r="A4776" i="1" s="1"/>
  <c r="B4784" i="1" a="1"/>
  <c r="B4784" i="1" s="1"/>
  <c r="A4784" i="1" s="1"/>
  <c r="B4792" i="1" a="1"/>
  <c r="B4792" i="1" s="1"/>
  <c r="A4792" i="1" s="1"/>
  <c r="B4800" i="1" a="1"/>
  <c r="B4800" i="1" s="1"/>
  <c r="A4800" i="1" s="1"/>
  <c r="B4808" i="1" a="1"/>
  <c r="B4808" i="1" s="1"/>
  <c r="A4808" i="1" s="1"/>
  <c r="B4816" i="1" a="1"/>
  <c r="B4816" i="1" s="1"/>
  <c r="A4816" i="1" s="1"/>
  <c r="B4824" i="1" a="1"/>
  <c r="B4824" i="1" s="1"/>
  <c r="A4824" i="1" s="1"/>
  <c r="B4831" i="1" a="1"/>
  <c r="B4831" i="1" s="1"/>
  <c r="A4831" i="1" s="1"/>
  <c r="B4844" i="1" a="1"/>
  <c r="B4844" i="1" s="1"/>
  <c r="A4844" i="1" s="1"/>
  <c r="B4849" i="1" a="1"/>
  <c r="B4849" i="1" s="1"/>
  <c r="A4849" i="1" s="1"/>
  <c r="B4856" i="1" a="1"/>
  <c r="B4856" i="1" s="1"/>
  <c r="A4856" i="1" s="1"/>
  <c r="B4864" i="1" a="1"/>
  <c r="B4864" i="1" s="1"/>
  <c r="A4864" i="1" s="1"/>
  <c r="B3081" i="1" a="1"/>
  <c r="B3081" i="1" s="1"/>
  <c r="A3081" i="1" s="1"/>
  <c r="B3145" i="1" a="1"/>
  <c r="B3145" i="1" s="1"/>
  <c r="A3145" i="1" s="1"/>
  <c r="B3209" i="1" a="1"/>
  <c r="B3209" i="1" s="1"/>
  <c r="A3209" i="1" s="1"/>
  <c r="B3273" i="1" a="1"/>
  <c r="B3273" i="1" s="1"/>
  <c r="A3273" i="1" s="1"/>
  <c r="B3337" i="1" a="1"/>
  <c r="B3337" i="1" s="1"/>
  <c r="A3337" i="1" s="1"/>
  <c r="B3393" i="1" a="1"/>
  <c r="B3393" i="1" s="1"/>
  <c r="A3393" i="1" s="1"/>
  <c r="B3491" i="1" a="1"/>
  <c r="B3491" i="1" s="1"/>
  <c r="A3491" i="1" s="1"/>
  <c r="B3553" i="1" a="1"/>
  <c r="B3553" i="1" s="1"/>
  <c r="A3553" i="1" s="1"/>
  <c r="B3599" i="1" a="1"/>
  <c r="B3599" i="1" s="1"/>
  <c r="A3599" i="1" s="1"/>
  <c r="B3609" i="1" a="1"/>
  <c r="B3609" i="1" s="1"/>
  <c r="A3609" i="1" s="1"/>
  <c r="B3617" i="1" a="1"/>
  <c r="B3617" i="1" s="1"/>
  <c r="A3617" i="1" s="1"/>
  <c r="B3625" i="1" a="1"/>
  <c r="B3625" i="1" s="1"/>
  <c r="A3625" i="1" s="1"/>
  <c r="B3633" i="1" a="1"/>
  <c r="B3633" i="1" s="1"/>
  <c r="A3633" i="1" s="1"/>
  <c r="B3641" i="1" a="1"/>
  <c r="B3641" i="1" s="1"/>
  <c r="A3641" i="1" s="1"/>
  <c r="B3649" i="1" a="1"/>
  <c r="B3649" i="1" s="1"/>
  <c r="A3649" i="1" s="1"/>
  <c r="B3657" i="1" a="1"/>
  <c r="B3657" i="1" s="1"/>
  <c r="A3657" i="1" s="1"/>
  <c r="B3665" i="1" a="1"/>
  <c r="B3665" i="1" s="1"/>
  <c r="A3665" i="1" s="1"/>
  <c r="B3673" i="1" a="1"/>
  <c r="B3673" i="1" s="1"/>
  <c r="A3673" i="1" s="1"/>
  <c r="B3681" i="1" a="1"/>
  <c r="B3681" i="1" s="1"/>
  <c r="A3681" i="1" s="1"/>
  <c r="B3689" i="1" a="1"/>
  <c r="B3689" i="1" s="1"/>
  <c r="A3689" i="1" s="1"/>
  <c r="B3697" i="1" a="1"/>
  <c r="B3697" i="1" s="1"/>
  <c r="A3697" i="1" s="1"/>
  <c r="B3705" i="1" a="1"/>
  <c r="B3705" i="1" s="1"/>
  <c r="A3705" i="1" s="1"/>
  <c r="B3713" i="1" a="1"/>
  <c r="B3713" i="1" s="1"/>
  <c r="A3713" i="1" s="1"/>
  <c r="B3721" i="1" a="1"/>
  <c r="B3721" i="1" s="1"/>
  <c r="A3721" i="1" s="1"/>
  <c r="B3729" i="1" a="1"/>
  <c r="B3729" i="1" s="1"/>
  <c r="A3729" i="1" s="1"/>
  <c r="B3737" i="1" a="1"/>
  <c r="B3737" i="1" s="1"/>
  <c r="A3737" i="1" s="1"/>
  <c r="B3745" i="1" a="1"/>
  <c r="B3745" i="1" s="1"/>
  <c r="A3745" i="1" s="1"/>
  <c r="B3753" i="1" a="1"/>
  <c r="B3753" i="1" s="1"/>
  <c r="A3753" i="1" s="1"/>
  <c r="B3761" i="1" a="1"/>
  <c r="B3761" i="1" s="1"/>
  <c r="A3761" i="1" s="1"/>
  <c r="B3769" i="1" a="1"/>
  <c r="B3769" i="1" s="1"/>
  <c r="A3769" i="1" s="1"/>
  <c r="B3777" i="1" a="1"/>
  <c r="B3777" i="1" s="1"/>
  <c r="A3777" i="1" s="1"/>
  <c r="B3785" i="1" a="1"/>
  <c r="B3785" i="1" s="1"/>
  <c r="A3785" i="1" s="1"/>
  <c r="B3793" i="1" a="1"/>
  <c r="B3793" i="1" s="1"/>
  <c r="A3793" i="1" s="1"/>
  <c r="B3801" i="1" a="1"/>
  <c r="B3801" i="1" s="1"/>
  <c r="A3801" i="1" s="1"/>
  <c r="B3809" i="1" a="1"/>
  <c r="B3809" i="1" s="1"/>
  <c r="A3809" i="1" s="1"/>
  <c r="B3817" i="1" a="1"/>
  <c r="B3817" i="1" s="1"/>
  <c r="A3817" i="1" s="1"/>
  <c r="B3825" i="1" a="1"/>
  <c r="B3825" i="1" s="1"/>
  <c r="A3825" i="1" s="1"/>
  <c r="B3833" i="1" a="1"/>
  <c r="B3833" i="1" s="1"/>
  <c r="A3833" i="1" s="1"/>
  <c r="B3841" i="1" a="1"/>
  <c r="B3841" i="1" s="1"/>
  <c r="A3841" i="1" s="1"/>
  <c r="B3849" i="1" a="1"/>
  <c r="B3849" i="1" s="1"/>
  <c r="A3849" i="1" s="1"/>
  <c r="B3857" i="1" a="1"/>
  <c r="B3857" i="1" s="1"/>
  <c r="A3857" i="1" s="1"/>
  <c r="B3865" i="1" a="1"/>
  <c r="B3865" i="1" s="1"/>
  <c r="A3865" i="1" s="1"/>
  <c r="B3873" i="1" a="1"/>
  <c r="B3873" i="1" s="1"/>
  <c r="A3873" i="1" s="1"/>
  <c r="B3881" i="1" a="1"/>
  <c r="B3881" i="1" s="1"/>
  <c r="A3881" i="1" s="1"/>
  <c r="B3889" i="1" a="1"/>
  <c r="B3889" i="1" s="1"/>
  <c r="A3889" i="1" s="1"/>
  <c r="B3897" i="1" a="1"/>
  <c r="B3897" i="1" s="1"/>
  <c r="A3897" i="1" s="1"/>
  <c r="B3905" i="1" a="1"/>
  <c r="B3905" i="1" s="1"/>
  <c r="A3905" i="1" s="1"/>
  <c r="B3913" i="1" a="1"/>
  <c r="B3913" i="1" s="1"/>
  <c r="A3913" i="1" s="1"/>
  <c r="B3921" i="1" a="1"/>
  <c r="B3921" i="1" s="1"/>
  <c r="A3921" i="1" s="1"/>
  <c r="B3929" i="1" a="1"/>
  <c r="B3929" i="1" s="1"/>
  <c r="A3929" i="1" s="1"/>
  <c r="B3937" i="1" a="1"/>
  <c r="B3937" i="1" s="1"/>
  <c r="A3937" i="1" s="1"/>
  <c r="B3945" i="1" a="1"/>
  <c r="B3945" i="1" s="1"/>
  <c r="A3945" i="1" s="1"/>
  <c r="B3953" i="1" a="1"/>
  <c r="B3953" i="1" s="1"/>
  <c r="A3953" i="1" s="1"/>
  <c r="B3961" i="1" a="1"/>
  <c r="B3961" i="1" s="1"/>
  <c r="A3961" i="1" s="1"/>
  <c r="B3969" i="1" a="1"/>
  <c r="B3969" i="1" s="1"/>
  <c r="A3969" i="1" s="1"/>
  <c r="B3977" i="1" a="1"/>
  <c r="B3977" i="1" s="1"/>
  <c r="A3977" i="1" s="1"/>
  <c r="B3985" i="1" a="1"/>
  <c r="B3985" i="1" s="1"/>
  <c r="A3985" i="1" s="1"/>
  <c r="B3993" i="1" a="1"/>
  <c r="B3993" i="1" s="1"/>
  <c r="A3993" i="1" s="1"/>
  <c r="B4001" i="1" a="1"/>
  <c r="B4001" i="1" s="1"/>
  <c r="A4001" i="1" s="1"/>
  <c r="B4009" i="1" a="1"/>
  <c r="B4009" i="1" s="1"/>
  <c r="A4009" i="1" s="1"/>
  <c r="B4017" i="1" a="1"/>
  <c r="B4017" i="1" s="1"/>
  <c r="A4017" i="1" s="1"/>
  <c r="B4025" i="1" a="1"/>
  <c r="B4025" i="1" s="1"/>
  <c r="A4025" i="1" s="1"/>
  <c r="B4033" i="1" a="1"/>
  <c r="B4033" i="1" s="1"/>
  <c r="A4033" i="1" s="1"/>
  <c r="B4041" i="1" a="1"/>
  <c r="B4041" i="1" s="1"/>
  <c r="A4041" i="1" s="1"/>
  <c r="B4049" i="1" a="1"/>
  <c r="B4049" i="1" s="1"/>
  <c r="A4049" i="1" s="1"/>
  <c r="B4057" i="1" a="1"/>
  <c r="B4057" i="1" s="1"/>
  <c r="A4057" i="1" s="1"/>
  <c r="B4065" i="1" a="1"/>
  <c r="B4065" i="1" s="1"/>
  <c r="A4065" i="1" s="1"/>
  <c r="B4073" i="1" a="1"/>
  <c r="B4073" i="1" s="1"/>
  <c r="A4073" i="1" s="1"/>
  <c r="B4081" i="1" a="1"/>
  <c r="B4081" i="1" s="1"/>
  <c r="A4081" i="1" s="1"/>
  <c r="B4089" i="1" a="1"/>
  <c r="B4089" i="1" s="1"/>
  <c r="A4089" i="1" s="1"/>
  <c r="B4097" i="1" a="1"/>
  <c r="B4097" i="1" s="1"/>
  <c r="A4097" i="1" s="1"/>
  <c r="B4105" i="1" a="1"/>
  <c r="B4105" i="1" s="1"/>
  <c r="A4105" i="1" s="1"/>
  <c r="B4113" i="1" a="1"/>
  <c r="B4113" i="1" s="1"/>
  <c r="A4113" i="1" s="1"/>
  <c r="B4121" i="1" a="1"/>
  <c r="B4121" i="1" s="1"/>
  <c r="A4121" i="1" s="1"/>
  <c r="B4129" i="1" a="1"/>
  <c r="B4129" i="1" s="1"/>
  <c r="A4129" i="1" s="1"/>
  <c r="B4137" i="1" a="1"/>
  <c r="B4137" i="1" s="1"/>
  <c r="A4137" i="1" s="1"/>
  <c r="B4142" i="1" a="1"/>
  <c r="B4142" i="1" s="1"/>
  <c r="A4142" i="1" s="1"/>
  <c r="B4147" i="1" a="1"/>
  <c r="B4147" i="1" s="1"/>
  <c r="A4147" i="1" s="1"/>
  <c r="B4153" i="1" a="1"/>
  <c r="B4153" i="1" s="1"/>
  <c r="A4153" i="1" s="1"/>
  <c r="B4161" i="1" a="1"/>
  <c r="B4161" i="1" s="1"/>
  <c r="A4161" i="1" s="1"/>
  <c r="B4169" i="1" a="1"/>
  <c r="B4169" i="1" s="1"/>
  <c r="A4169" i="1" s="1"/>
  <c r="B4177" i="1" a="1"/>
  <c r="B4177" i="1" s="1"/>
  <c r="A4177" i="1" s="1"/>
  <c r="B4185" i="1" a="1"/>
  <c r="B4185" i="1" s="1"/>
  <c r="A4185" i="1" s="1"/>
  <c r="B4193" i="1" a="1"/>
  <c r="B4193" i="1" s="1"/>
  <c r="A4193" i="1" s="1"/>
  <c r="B4201" i="1" a="1"/>
  <c r="B4201" i="1" s="1"/>
  <c r="A4201" i="1" s="1"/>
  <c r="B4209" i="1" a="1"/>
  <c r="B4209" i="1" s="1"/>
  <c r="A4209" i="1" s="1"/>
  <c r="B4217" i="1" a="1"/>
  <c r="B4217" i="1" s="1"/>
  <c r="A4217" i="1" s="1"/>
  <c r="B4225" i="1" a="1"/>
  <c r="B4225" i="1" s="1"/>
  <c r="A4225" i="1" s="1"/>
  <c r="B4233" i="1" a="1"/>
  <c r="B4233" i="1" s="1"/>
  <c r="A4233" i="1" s="1"/>
  <c r="B4241" i="1" a="1"/>
  <c r="B4241" i="1" s="1"/>
  <c r="A4241" i="1" s="1"/>
  <c r="B4249" i="1" a="1"/>
  <c r="B4249" i="1" s="1"/>
  <c r="A4249" i="1" s="1"/>
  <c r="B4257" i="1" a="1"/>
  <c r="B4257" i="1" s="1"/>
  <c r="A4257" i="1" s="1"/>
  <c r="B4265" i="1" a="1"/>
  <c r="B4265" i="1" s="1"/>
  <c r="A4265" i="1" s="1"/>
  <c r="B4273" i="1" a="1"/>
  <c r="B4273" i="1" s="1"/>
  <c r="A4273" i="1" s="1"/>
  <c r="B4281" i="1" a="1"/>
  <c r="B4281" i="1" s="1"/>
  <c r="A4281" i="1" s="1"/>
  <c r="B4289" i="1" a="1"/>
  <c r="B4289" i="1" s="1"/>
  <c r="A4289" i="1" s="1"/>
  <c r="B4297" i="1" a="1"/>
  <c r="B4297" i="1" s="1"/>
  <c r="A4297" i="1" s="1"/>
  <c r="B4305" i="1" a="1"/>
  <c r="B4305" i="1" s="1"/>
  <c r="A4305" i="1" s="1"/>
  <c r="B4313" i="1" a="1"/>
  <c r="B4313" i="1" s="1"/>
  <c r="A4313" i="1" s="1"/>
  <c r="B4321" i="1" a="1"/>
  <c r="B4321" i="1" s="1"/>
  <c r="A4321" i="1" s="1"/>
  <c r="B4329" i="1" a="1"/>
  <c r="B4329" i="1" s="1"/>
  <c r="A4329" i="1" s="1"/>
  <c r="B4337" i="1" a="1"/>
  <c r="B4337" i="1" s="1"/>
  <c r="A4337" i="1" s="1"/>
  <c r="B4345" i="1" a="1"/>
  <c r="B4345" i="1" s="1"/>
  <c r="A4345" i="1" s="1"/>
  <c r="B4353" i="1" a="1"/>
  <c r="B4353" i="1" s="1"/>
  <c r="A4353" i="1" s="1"/>
  <c r="B4361" i="1" a="1"/>
  <c r="B4361" i="1" s="1"/>
  <c r="A4361" i="1" s="1"/>
  <c r="B4369" i="1" a="1"/>
  <c r="B4369" i="1" s="1"/>
  <c r="A4369" i="1" s="1"/>
  <c r="B4377" i="1" a="1"/>
  <c r="B4377" i="1" s="1"/>
  <c r="A4377" i="1" s="1"/>
  <c r="B4385" i="1" a="1"/>
  <c r="B4385" i="1" s="1"/>
  <c r="A4385" i="1" s="1"/>
  <c r="B4393" i="1" a="1"/>
  <c r="B4393" i="1" s="1"/>
  <c r="A4393" i="1" s="1"/>
  <c r="B4401" i="1" a="1"/>
  <c r="B4401" i="1" s="1"/>
  <c r="A4401" i="1" s="1"/>
  <c r="B4409" i="1" a="1"/>
  <c r="B4409" i="1" s="1"/>
  <c r="A4409" i="1" s="1"/>
  <c r="B4417" i="1" a="1"/>
  <c r="B4417" i="1" s="1"/>
  <c r="A4417" i="1" s="1"/>
  <c r="B4425" i="1" a="1"/>
  <c r="B4425" i="1" s="1"/>
  <c r="A4425" i="1" s="1"/>
  <c r="B4433" i="1" a="1"/>
  <c r="B4433" i="1" s="1"/>
  <c r="A4433" i="1" s="1"/>
  <c r="B4441" i="1" a="1"/>
  <c r="B4441" i="1" s="1"/>
  <c r="A4441" i="1" s="1"/>
  <c r="B4449" i="1" a="1"/>
  <c r="B4449" i="1" s="1"/>
  <c r="A4449" i="1" s="1"/>
  <c r="B4457" i="1" a="1"/>
  <c r="B4457" i="1" s="1"/>
  <c r="A4457" i="1" s="1"/>
  <c r="B4465" i="1" a="1"/>
  <c r="B4465" i="1" s="1"/>
  <c r="A4465" i="1" s="1"/>
  <c r="B4473" i="1" a="1"/>
  <c r="B4473" i="1" s="1"/>
  <c r="A4473" i="1" s="1"/>
  <c r="B4481" i="1" a="1"/>
  <c r="B4481" i="1" s="1"/>
  <c r="A4481" i="1" s="1"/>
  <c r="B4489" i="1" a="1"/>
  <c r="B4489" i="1" s="1"/>
  <c r="A4489" i="1" s="1"/>
  <c r="B4497" i="1" a="1"/>
  <c r="B4497" i="1" s="1"/>
  <c r="A4497" i="1" s="1"/>
  <c r="B4505" i="1" a="1"/>
  <c r="B4505" i="1" s="1"/>
  <c r="A4505" i="1" s="1"/>
  <c r="B4513" i="1" a="1"/>
  <c r="B4513" i="1" s="1"/>
  <c r="A4513" i="1" s="1"/>
  <c r="B4521" i="1" a="1"/>
  <c r="B4521" i="1" s="1"/>
  <c r="A4521" i="1" s="1"/>
  <c r="B4529" i="1" a="1"/>
  <c r="B4529" i="1" s="1"/>
  <c r="A4529" i="1" s="1"/>
  <c r="B4537" i="1" a="1"/>
  <c r="B4537" i="1" s="1"/>
  <c r="A4537" i="1" s="1"/>
  <c r="B4545" i="1" a="1"/>
  <c r="B4545" i="1" s="1"/>
  <c r="A4545" i="1" s="1"/>
  <c r="B4553" i="1" a="1"/>
  <c r="B4553" i="1" s="1"/>
  <c r="A4553" i="1" s="1"/>
  <c r="B4561" i="1" a="1"/>
  <c r="B4561" i="1" s="1"/>
  <c r="A4561" i="1" s="1"/>
  <c r="B4569" i="1" a="1"/>
  <c r="B4569" i="1" s="1"/>
  <c r="A4569" i="1" s="1"/>
  <c r="B4577" i="1" a="1"/>
  <c r="B4577" i="1" s="1"/>
  <c r="A4577" i="1" s="1"/>
  <c r="B4585" i="1" a="1"/>
  <c r="B4585" i="1" s="1"/>
  <c r="A4585" i="1" s="1"/>
  <c r="B4593" i="1" a="1"/>
  <c r="B4593" i="1" s="1"/>
  <c r="A4593" i="1" s="1"/>
  <c r="B4601" i="1" a="1"/>
  <c r="B4601" i="1" s="1"/>
  <c r="A4601" i="1" s="1"/>
  <c r="B4609" i="1" a="1"/>
  <c r="B4609" i="1" s="1"/>
  <c r="A4609" i="1" s="1"/>
  <c r="B4617" i="1" a="1"/>
  <c r="B4617" i="1" s="1"/>
  <c r="A4617" i="1" s="1"/>
  <c r="B4625" i="1" a="1"/>
  <c r="B4625" i="1" s="1"/>
  <c r="A4625" i="1" s="1"/>
  <c r="B4633" i="1" a="1"/>
  <c r="B4633" i="1" s="1"/>
  <c r="A4633" i="1" s="1"/>
  <c r="B4641" i="1" a="1"/>
  <c r="B4641" i="1" s="1"/>
  <c r="A4641" i="1" s="1"/>
  <c r="B4649" i="1" a="1"/>
  <c r="B4649" i="1" s="1"/>
  <c r="A4649" i="1" s="1"/>
  <c r="B4657" i="1" a="1"/>
  <c r="B4657" i="1" s="1"/>
  <c r="A4657" i="1" s="1"/>
  <c r="B4665" i="1" a="1"/>
  <c r="B4665" i="1" s="1"/>
  <c r="A4665" i="1" s="1"/>
  <c r="B4673" i="1" a="1"/>
  <c r="B4673" i="1" s="1"/>
  <c r="A4673" i="1" s="1"/>
  <c r="B4681" i="1" a="1"/>
  <c r="B4681" i="1" s="1"/>
  <c r="A4681" i="1" s="1"/>
  <c r="B4689" i="1" a="1"/>
  <c r="B4689" i="1" s="1"/>
  <c r="A4689" i="1" s="1"/>
  <c r="B4697" i="1" a="1"/>
  <c r="B4697" i="1" s="1"/>
  <c r="A4697" i="1" s="1"/>
  <c r="B4705" i="1" a="1"/>
  <c r="B4705" i="1" s="1"/>
  <c r="A4705" i="1" s="1"/>
  <c r="B4713" i="1" a="1"/>
  <c r="B4713" i="1" s="1"/>
  <c r="A4713" i="1" s="1"/>
  <c r="B4721" i="1" a="1"/>
  <c r="B4721" i="1" s="1"/>
  <c r="A4721" i="1" s="1"/>
  <c r="B4729" i="1" a="1"/>
  <c r="B4729" i="1" s="1"/>
  <c r="A4729" i="1" s="1"/>
  <c r="B4737" i="1" a="1"/>
  <c r="B4737" i="1" s="1"/>
  <c r="A4737" i="1" s="1"/>
  <c r="B4745" i="1" a="1"/>
  <c r="B4745" i="1" s="1"/>
  <c r="A4745" i="1" s="1"/>
  <c r="B4753" i="1" a="1"/>
  <c r="B4753" i="1" s="1"/>
  <c r="A4753" i="1" s="1"/>
  <c r="B4761" i="1" a="1"/>
  <c r="B4761" i="1" s="1"/>
  <c r="A4761" i="1" s="1"/>
  <c r="B4769" i="1" a="1"/>
  <c r="B4769" i="1" s="1"/>
  <c r="A4769" i="1" s="1"/>
  <c r="B4777" i="1" a="1"/>
  <c r="B4777" i="1" s="1"/>
  <c r="A4777" i="1" s="1"/>
  <c r="B4785" i="1" a="1"/>
  <c r="B4785" i="1" s="1"/>
  <c r="A4785" i="1" s="1"/>
  <c r="B4793" i="1" a="1"/>
  <c r="B4793" i="1" s="1"/>
  <c r="A4793" i="1" s="1"/>
  <c r="B4801" i="1" a="1"/>
  <c r="B4801" i="1" s="1"/>
  <c r="A4801" i="1" s="1"/>
  <c r="B4809" i="1" a="1"/>
  <c r="B4809" i="1" s="1"/>
  <c r="A4809" i="1" s="1"/>
  <c r="B4817" i="1" a="1"/>
  <c r="B4817" i="1" s="1"/>
  <c r="A4817" i="1" s="1"/>
  <c r="B4825" i="1" a="1"/>
  <c r="B4825" i="1" s="1"/>
  <c r="A4825" i="1" s="1"/>
  <c r="B4832" i="1" a="1"/>
  <c r="B4832" i="1" s="1"/>
  <c r="A4832" i="1" s="1"/>
  <c r="B4839" i="1" a="1"/>
  <c r="B4839" i="1" s="1"/>
  <c r="A4839" i="1" s="1"/>
  <c r="B4850" i="1" a="1"/>
  <c r="B4850" i="1" s="1"/>
  <c r="A4850" i="1" s="1"/>
  <c r="B4857" i="1" a="1"/>
  <c r="B4857" i="1" s="1"/>
  <c r="A4857" i="1" s="1"/>
  <c r="B4865" i="1" a="1"/>
  <c r="B4865" i="1" s="1"/>
  <c r="A4865" i="1" s="1"/>
  <c r="B3089" i="1" a="1"/>
  <c r="B3089" i="1" s="1"/>
  <c r="A3089" i="1" s="1"/>
  <c r="B3153" i="1" a="1"/>
  <c r="B3153" i="1" s="1"/>
  <c r="A3153" i="1" s="1"/>
  <c r="B3217" i="1" a="1"/>
  <c r="B3217" i="1" s="1"/>
  <c r="A3217" i="1" s="1"/>
  <c r="B3281" i="1" a="1"/>
  <c r="B3281" i="1" s="1"/>
  <c r="A3281" i="1" s="1"/>
  <c r="B3345" i="1" a="1"/>
  <c r="B3345" i="1" s="1"/>
  <c r="A3345" i="1" s="1"/>
  <c r="B3399" i="1" a="1"/>
  <c r="B3399" i="1" s="1"/>
  <c r="A3399" i="1" s="1"/>
  <c r="B3448" i="1" a="1"/>
  <c r="B3448" i="1" s="1"/>
  <c r="A3448" i="1" s="1"/>
  <c r="B3497" i="1" a="1"/>
  <c r="B3497" i="1" s="1"/>
  <c r="A3497" i="1" s="1"/>
  <c r="B3561" i="1" a="1"/>
  <c r="B3561" i="1" s="1"/>
  <c r="A3561" i="1" s="1"/>
  <c r="B3601" i="1" a="1"/>
  <c r="B3601" i="1" s="1"/>
  <c r="A3601" i="1" s="1"/>
  <c r="B3610" i="1" a="1"/>
  <c r="B3610" i="1" s="1"/>
  <c r="A3610" i="1" s="1"/>
  <c r="B3618" i="1" a="1"/>
  <c r="B3618" i="1" s="1"/>
  <c r="A3618" i="1" s="1"/>
  <c r="B3626" i="1" a="1"/>
  <c r="B3626" i="1" s="1"/>
  <c r="A3626" i="1" s="1"/>
  <c r="B3634" i="1" a="1"/>
  <c r="B3634" i="1" s="1"/>
  <c r="A3634" i="1" s="1"/>
  <c r="B3642" i="1" a="1"/>
  <c r="B3642" i="1" s="1"/>
  <c r="A3642" i="1" s="1"/>
  <c r="B3650" i="1" a="1"/>
  <c r="B3650" i="1" s="1"/>
  <c r="A3650" i="1" s="1"/>
  <c r="B3658" i="1" a="1"/>
  <c r="B3658" i="1" s="1"/>
  <c r="A3658" i="1" s="1"/>
  <c r="B3666" i="1" a="1"/>
  <c r="B3666" i="1" s="1"/>
  <c r="A3666" i="1" s="1"/>
  <c r="B3674" i="1" a="1"/>
  <c r="B3674" i="1" s="1"/>
  <c r="A3674" i="1" s="1"/>
  <c r="B3682" i="1" a="1"/>
  <c r="B3682" i="1" s="1"/>
  <c r="A3682" i="1" s="1"/>
  <c r="B3690" i="1" a="1"/>
  <c r="B3690" i="1" s="1"/>
  <c r="A3690" i="1" s="1"/>
  <c r="B3698" i="1" a="1"/>
  <c r="B3698" i="1" s="1"/>
  <c r="A3698" i="1" s="1"/>
  <c r="B3706" i="1" a="1"/>
  <c r="B3706" i="1" s="1"/>
  <c r="A3706" i="1" s="1"/>
  <c r="B3714" i="1" a="1"/>
  <c r="B3714" i="1" s="1"/>
  <c r="A3714" i="1" s="1"/>
  <c r="B3722" i="1" a="1"/>
  <c r="B3722" i="1" s="1"/>
  <c r="A3722" i="1" s="1"/>
  <c r="B3730" i="1" a="1"/>
  <c r="B3730" i="1" s="1"/>
  <c r="A3730" i="1" s="1"/>
  <c r="B3738" i="1" a="1"/>
  <c r="B3738" i="1" s="1"/>
  <c r="A3738" i="1" s="1"/>
  <c r="B3746" i="1" a="1"/>
  <c r="B3746" i="1" s="1"/>
  <c r="A3746" i="1" s="1"/>
  <c r="B3754" i="1" a="1"/>
  <c r="B3754" i="1" s="1"/>
  <c r="A3754" i="1" s="1"/>
  <c r="B3762" i="1" a="1"/>
  <c r="B3762" i="1" s="1"/>
  <c r="A3762" i="1" s="1"/>
  <c r="B3770" i="1" a="1"/>
  <c r="B3770" i="1" s="1"/>
  <c r="A3770" i="1" s="1"/>
  <c r="B3778" i="1" a="1"/>
  <c r="B3778" i="1" s="1"/>
  <c r="A3778" i="1" s="1"/>
  <c r="B3786" i="1" a="1"/>
  <c r="B3786" i="1" s="1"/>
  <c r="A3786" i="1" s="1"/>
  <c r="B3794" i="1" a="1"/>
  <c r="B3794" i="1" s="1"/>
  <c r="A3794" i="1" s="1"/>
  <c r="B3802" i="1" a="1"/>
  <c r="B3802" i="1" s="1"/>
  <c r="A3802" i="1" s="1"/>
  <c r="B3810" i="1" a="1"/>
  <c r="B3810" i="1" s="1"/>
  <c r="A3810" i="1" s="1"/>
  <c r="B3818" i="1" a="1"/>
  <c r="B3818" i="1" s="1"/>
  <c r="A3818" i="1" s="1"/>
  <c r="B3826" i="1" a="1"/>
  <c r="B3826" i="1" s="1"/>
  <c r="A3826" i="1" s="1"/>
  <c r="B3834" i="1" a="1"/>
  <c r="B3834" i="1" s="1"/>
  <c r="A3834" i="1" s="1"/>
  <c r="B3842" i="1" a="1"/>
  <c r="B3842" i="1" s="1"/>
  <c r="A3842" i="1" s="1"/>
  <c r="B3850" i="1" a="1"/>
  <c r="B3850" i="1" s="1"/>
  <c r="A3850" i="1" s="1"/>
  <c r="B3858" i="1" a="1"/>
  <c r="B3858" i="1" s="1"/>
  <c r="A3858" i="1" s="1"/>
  <c r="B3866" i="1" a="1"/>
  <c r="B3866" i="1" s="1"/>
  <c r="A3866" i="1" s="1"/>
  <c r="B3874" i="1" a="1"/>
  <c r="B3874" i="1" s="1"/>
  <c r="A3874" i="1" s="1"/>
  <c r="B3882" i="1" a="1"/>
  <c r="B3882" i="1" s="1"/>
  <c r="A3882" i="1" s="1"/>
  <c r="B3890" i="1" a="1"/>
  <c r="B3890" i="1" s="1"/>
  <c r="A3890" i="1" s="1"/>
  <c r="B3898" i="1" a="1"/>
  <c r="B3898" i="1" s="1"/>
  <c r="A3898" i="1" s="1"/>
  <c r="B3906" i="1" a="1"/>
  <c r="B3906" i="1" s="1"/>
  <c r="A3906" i="1" s="1"/>
  <c r="B3914" i="1" a="1"/>
  <c r="B3914" i="1" s="1"/>
  <c r="A3914" i="1" s="1"/>
  <c r="B3922" i="1" a="1"/>
  <c r="B3922" i="1" s="1"/>
  <c r="A3922" i="1" s="1"/>
  <c r="B3930" i="1" a="1"/>
  <c r="B3930" i="1" s="1"/>
  <c r="A3930" i="1" s="1"/>
  <c r="B3938" i="1" a="1"/>
  <c r="B3938" i="1" s="1"/>
  <c r="A3938" i="1" s="1"/>
  <c r="B3946" i="1" a="1"/>
  <c r="B3946" i="1" s="1"/>
  <c r="A3946" i="1" s="1"/>
  <c r="B3954" i="1" a="1"/>
  <c r="B3954" i="1" s="1"/>
  <c r="A3954" i="1" s="1"/>
  <c r="B3962" i="1" a="1"/>
  <c r="B3962" i="1" s="1"/>
  <c r="A3962" i="1" s="1"/>
  <c r="B3970" i="1" a="1"/>
  <c r="B3970" i="1" s="1"/>
  <c r="A3970" i="1" s="1"/>
  <c r="B3978" i="1" a="1"/>
  <c r="B3978" i="1" s="1"/>
  <c r="A3978" i="1" s="1"/>
  <c r="B3986" i="1" a="1"/>
  <c r="B3986" i="1" s="1"/>
  <c r="A3986" i="1" s="1"/>
  <c r="B3994" i="1" a="1"/>
  <c r="B3994" i="1" s="1"/>
  <c r="A3994" i="1" s="1"/>
  <c r="B4002" i="1" a="1"/>
  <c r="B4002" i="1" s="1"/>
  <c r="A4002" i="1" s="1"/>
  <c r="B4010" i="1" a="1"/>
  <c r="B4010" i="1" s="1"/>
  <c r="A4010" i="1" s="1"/>
  <c r="B4018" i="1" a="1"/>
  <c r="B4018" i="1" s="1"/>
  <c r="A4018" i="1" s="1"/>
  <c r="B4026" i="1" a="1"/>
  <c r="B4026" i="1" s="1"/>
  <c r="A4026" i="1" s="1"/>
  <c r="B4034" i="1" a="1"/>
  <c r="B4034" i="1" s="1"/>
  <c r="A4034" i="1" s="1"/>
  <c r="B4042" i="1" a="1"/>
  <c r="B4042" i="1" s="1"/>
  <c r="A4042" i="1" s="1"/>
  <c r="B4050" i="1" a="1"/>
  <c r="B4050" i="1" s="1"/>
  <c r="A4050" i="1" s="1"/>
  <c r="B4058" i="1" a="1"/>
  <c r="B4058" i="1" s="1"/>
  <c r="A4058" i="1" s="1"/>
  <c r="B4066" i="1" a="1"/>
  <c r="B4066" i="1" s="1"/>
  <c r="A4066" i="1" s="1"/>
  <c r="B4074" i="1" a="1"/>
  <c r="B4074" i="1" s="1"/>
  <c r="A4074" i="1" s="1"/>
  <c r="B4082" i="1" a="1"/>
  <c r="B4082" i="1" s="1"/>
  <c r="A4082" i="1" s="1"/>
  <c r="B4090" i="1" a="1"/>
  <c r="B4090" i="1" s="1"/>
  <c r="A4090" i="1" s="1"/>
  <c r="B4098" i="1" a="1"/>
  <c r="B4098" i="1" s="1"/>
  <c r="A4098" i="1" s="1"/>
  <c r="B4106" i="1" a="1"/>
  <c r="B4106" i="1" s="1"/>
  <c r="A4106" i="1" s="1"/>
  <c r="B4114" i="1" a="1"/>
  <c r="B4114" i="1" s="1"/>
  <c r="A4114" i="1" s="1"/>
  <c r="B4122" i="1" a="1"/>
  <c r="B4122" i="1" s="1"/>
  <c r="A4122" i="1" s="1"/>
  <c r="B4130" i="1" a="1"/>
  <c r="B4130" i="1" s="1"/>
  <c r="A4130" i="1" s="1"/>
  <c r="B4148" i="1" a="1"/>
  <c r="B4148" i="1" s="1"/>
  <c r="A4148" i="1" s="1"/>
  <c r="B4154" i="1" a="1"/>
  <c r="B4154" i="1" s="1"/>
  <c r="A4154" i="1" s="1"/>
  <c r="B4162" i="1" a="1"/>
  <c r="B4162" i="1" s="1"/>
  <c r="A4162" i="1" s="1"/>
  <c r="B4170" i="1" a="1"/>
  <c r="B4170" i="1" s="1"/>
  <c r="A4170" i="1" s="1"/>
  <c r="B4178" i="1" a="1"/>
  <c r="B4178" i="1" s="1"/>
  <c r="A4178" i="1" s="1"/>
  <c r="B4186" i="1" a="1"/>
  <c r="B4186" i="1" s="1"/>
  <c r="A4186" i="1" s="1"/>
  <c r="B4194" i="1" a="1"/>
  <c r="B4194" i="1" s="1"/>
  <c r="A4194" i="1" s="1"/>
  <c r="B4202" i="1" a="1"/>
  <c r="B4202" i="1" s="1"/>
  <c r="A4202" i="1" s="1"/>
  <c r="B4210" i="1" a="1"/>
  <c r="B4210" i="1" s="1"/>
  <c r="A4210" i="1" s="1"/>
  <c r="B4218" i="1" a="1"/>
  <c r="B4218" i="1" s="1"/>
  <c r="A4218" i="1" s="1"/>
  <c r="B4226" i="1" a="1"/>
  <c r="B4226" i="1" s="1"/>
  <c r="A4226" i="1" s="1"/>
  <c r="B4234" i="1" a="1"/>
  <c r="B4234" i="1" s="1"/>
  <c r="A4234" i="1" s="1"/>
  <c r="B4242" i="1" a="1"/>
  <c r="B4242" i="1" s="1"/>
  <c r="A4242" i="1" s="1"/>
  <c r="B4250" i="1" a="1"/>
  <c r="B4250" i="1" s="1"/>
  <c r="A4250" i="1" s="1"/>
  <c r="B4258" i="1" a="1"/>
  <c r="B4258" i="1" s="1"/>
  <c r="A4258" i="1" s="1"/>
  <c r="B4266" i="1" a="1"/>
  <c r="B4266" i="1" s="1"/>
  <c r="A4266" i="1" s="1"/>
  <c r="B4274" i="1" a="1"/>
  <c r="B4274" i="1" s="1"/>
  <c r="A4274" i="1" s="1"/>
  <c r="B4282" i="1" a="1"/>
  <c r="B4282" i="1" s="1"/>
  <c r="A4282" i="1" s="1"/>
  <c r="B4290" i="1" a="1"/>
  <c r="B4290" i="1" s="1"/>
  <c r="A4290" i="1" s="1"/>
  <c r="B4298" i="1" a="1"/>
  <c r="B4298" i="1" s="1"/>
  <c r="A4298" i="1" s="1"/>
  <c r="B4306" i="1" a="1"/>
  <c r="B4306" i="1" s="1"/>
  <c r="A4306" i="1" s="1"/>
  <c r="B4314" i="1" a="1"/>
  <c r="B4314" i="1" s="1"/>
  <c r="A4314" i="1" s="1"/>
  <c r="B4322" i="1" a="1"/>
  <c r="B4322" i="1" s="1"/>
  <c r="A4322" i="1" s="1"/>
  <c r="B4330" i="1" a="1"/>
  <c r="B4330" i="1" s="1"/>
  <c r="A4330" i="1" s="1"/>
  <c r="B4338" i="1" a="1"/>
  <c r="B4338" i="1" s="1"/>
  <c r="A4338" i="1" s="1"/>
  <c r="B4346" i="1" a="1"/>
  <c r="B4346" i="1" s="1"/>
  <c r="A4346" i="1" s="1"/>
  <c r="B4354" i="1" a="1"/>
  <c r="B4354" i="1" s="1"/>
  <c r="A4354" i="1" s="1"/>
  <c r="B4362" i="1" a="1"/>
  <c r="B4362" i="1" s="1"/>
  <c r="A4362" i="1" s="1"/>
  <c r="B4370" i="1" a="1"/>
  <c r="B4370" i="1" s="1"/>
  <c r="A4370" i="1" s="1"/>
  <c r="B4378" i="1" a="1"/>
  <c r="B4378" i="1" s="1"/>
  <c r="A4378" i="1" s="1"/>
  <c r="B4386" i="1" a="1"/>
  <c r="B4386" i="1" s="1"/>
  <c r="A4386" i="1" s="1"/>
  <c r="B4394" i="1" a="1"/>
  <c r="B4394" i="1" s="1"/>
  <c r="A4394" i="1" s="1"/>
  <c r="B4402" i="1" a="1"/>
  <c r="B4402" i="1" s="1"/>
  <c r="A4402" i="1" s="1"/>
  <c r="B4410" i="1" a="1"/>
  <c r="B4410" i="1" s="1"/>
  <c r="A4410" i="1" s="1"/>
  <c r="B4418" i="1" a="1"/>
  <c r="B4418" i="1" s="1"/>
  <c r="A4418" i="1" s="1"/>
  <c r="B4426" i="1" a="1"/>
  <c r="B4426" i="1" s="1"/>
  <c r="A4426" i="1" s="1"/>
  <c r="B4434" i="1" a="1"/>
  <c r="B4434" i="1" s="1"/>
  <c r="A4434" i="1" s="1"/>
  <c r="B4442" i="1" a="1"/>
  <c r="B4442" i="1" s="1"/>
  <c r="A4442" i="1" s="1"/>
  <c r="B4450" i="1" a="1"/>
  <c r="B4450" i="1" s="1"/>
  <c r="A4450" i="1" s="1"/>
  <c r="B4458" i="1" a="1"/>
  <c r="B4458" i="1" s="1"/>
  <c r="A4458" i="1" s="1"/>
  <c r="B4466" i="1" a="1"/>
  <c r="B4466" i="1" s="1"/>
  <c r="A4466" i="1" s="1"/>
  <c r="B4474" i="1" a="1"/>
  <c r="B4474" i="1" s="1"/>
  <c r="A4474" i="1" s="1"/>
  <c r="B4482" i="1" a="1"/>
  <c r="B4482" i="1" s="1"/>
  <c r="A4482" i="1" s="1"/>
  <c r="B4490" i="1" a="1"/>
  <c r="B4490" i="1" s="1"/>
  <c r="A4490" i="1" s="1"/>
  <c r="B4498" i="1" a="1"/>
  <c r="B4498" i="1" s="1"/>
  <c r="A4498" i="1" s="1"/>
  <c r="B4506" i="1" a="1"/>
  <c r="B4506" i="1" s="1"/>
  <c r="A4506" i="1" s="1"/>
  <c r="B4514" i="1" a="1"/>
  <c r="B4514" i="1" s="1"/>
  <c r="A4514" i="1" s="1"/>
  <c r="B4522" i="1" a="1"/>
  <c r="B4522" i="1" s="1"/>
  <c r="A4522" i="1" s="1"/>
  <c r="B4530" i="1" a="1"/>
  <c r="B4530" i="1" s="1"/>
  <c r="A4530" i="1" s="1"/>
  <c r="B4538" i="1" a="1"/>
  <c r="B4538" i="1" s="1"/>
  <c r="A4538" i="1" s="1"/>
  <c r="B4546" i="1" a="1"/>
  <c r="B4546" i="1" s="1"/>
  <c r="A4546" i="1" s="1"/>
  <c r="B4554" i="1" a="1"/>
  <c r="B4554" i="1" s="1"/>
  <c r="A4554" i="1" s="1"/>
  <c r="B4562" i="1" a="1"/>
  <c r="B4562" i="1" s="1"/>
  <c r="A4562" i="1" s="1"/>
  <c r="B4570" i="1" a="1"/>
  <c r="B4570" i="1" s="1"/>
  <c r="A4570" i="1" s="1"/>
  <c r="B4578" i="1" a="1"/>
  <c r="B4578" i="1" s="1"/>
  <c r="A4578" i="1" s="1"/>
  <c r="B4586" i="1" a="1"/>
  <c r="B4586" i="1" s="1"/>
  <c r="A4586" i="1" s="1"/>
  <c r="B4594" i="1" a="1"/>
  <c r="B4594" i="1" s="1"/>
  <c r="A4594" i="1" s="1"/>
  <c r="B4602" i="1" a="1"/>
  <c r="B4602" i="1" s="1"/>
  <c r="A4602" i="1" s="1"/>
  <c r="B4610" i="1" a="1"/>
  <c r="B4610" i="1" s="1"/>
  <c r="A4610" i="1" s="1"/>
  <c r="B4618" i="1" a="1"/>
  <c r="B4618" i="1" s="1"/>
  <c r="A4618" i="1" s="1"/>
  <c r="B4626" i="1" a="1"/>
  <c r="B4626" i="1" s="1"/>
  <c r="A4626" i="1" s="1"/>
  <c r="B4634" i="1" a="1"/>
  <c r="B4634" i="1" s="1"/>
  <c r="A4634" i="1" s="1"/>
  <c r="B4642" i="1" a="1"/>
  <c r="B4642" i="1" s="1"/>
  <c r="A4642" i="1" s="1"/>
  <c r="B4650" i="1" a="1"/>
  <c r="B4650" i="1" s="1"/>
  <c r="A4650" i="1" s="1"/>
  <c r="B4658" i="1" a="1"/>
  <c r="B4658" i="1" s="1"/>
  <c r="A4658" i="1" s="1"/>
  <c r="B4666" i="1" a="1"/>
  <c r="B4666" i="1" s="1"/>
  <c r="A4666" i="1" s="1"/>
  <c r="B4674" i="1" a="1"/>
  <c r="B4674" i="1" s="1"/>
  <c r="A4674" i="1" s="1"/>
  <c r="B4682" i="1" a="1"/>
  <c r="B4682" i="1" s="1"/>
  <c r="A4682" i="1" s="1"/>
  <c r="B4690" i="1" a="1"/>
  <c r="B4690" i="1" s="1"/>
  <c r="A4690" i="1" s="1"/>
  <c r="B4698" i="1" a="1"/>
  <c r="B4698" i="1" s="1"/>
  <c r="A4698" i="1" s="1"/>
  <c r="B4706" i="1" a="1"/>
  <c r="B4706" i="1" s="1"/>
  <c r="A4706" i="1" s="1"/>
  <c r="B4714" i="1" a="1"/>
  <c r="B4714" i="1" s="1"/>
  <c r="A4714" i="1" s="1"/>
  <c r="B4722" i="1" a="1"/>
  <c r="B4722" i="1" s="1"/>
  <c r="A4722" i="1" s="1"/>
  <c r="B4730" i="1" a="1"/>
  <c r="B4730" i="1" s="1"/>
  <c r="A4730" i="1" s="1"/>
  <c r="B4738" i="1" a="1"/>
  <c r="B4738" i="1" s="1"/>
  <c r="A4738" i="1" s="1"/>
  <c r="B4746" i="1" a="1"/>
  <c r="B4746" i="1" s="1"/>
  <c r="A4746" i="1" s="1"/>
  <c r="B4754" i="1" a="1"/>
  <c r="B4754" i="1" s="1"/>
  <c r="A4754" i="1" s="1"/>
  <c r="B4762" i="1" a="1"/>
  <c r="B4762" i="1" s="1"/>
  <c r="A4762" i="1" s="1"/>
  <c r="B4770" i="1" a="1"/>
  <c r="B4770" i="1" s="1"/>
  <c r="A4770" i="1" s="1"/>
  <c r="B4778" i="1" a="1"/>
  <c r="B4778" i="1" s="1"/>
  <c r="A4778" i="1" s="1"/>
  <c r="B4786" i="1" a="1"/>
  <c r="B4786" i="1" s="1"/>
  <c r="A4786" i="1" s="1"/>
  <c r="B4794" i="1" a="1"/>
  <c r="B4794" i="1" s="1"/>
  <c r="A4794" i="1" s="1"/>
  <c r="B4802" i="1" a="1"/>
  <c r="B4802" i="1" s="1"/>
  <c r="A4802" i="1" s="1"/>
  <c r="B4810" i="1" a="1"/>
  <c r="B4810" i="1" s="1"/>
  <c r="A4810" i="1" s="1"/>
  <c r="B4818" i="1" a="1"/>
  <c r="B4818" i="1" s="1"/>
  <c r="A4818" i="1" s="1"/>
  <c r="B4826" i="1" a="1"/>
  <c r="B4826" i="1" s="1"/>
  <c r="A4826" i="1" s="1"/>
  <c r="B4833" i="1" a="1"/>
  <c r="B4833" i="1" s="1"/>
  <c r="A4833" i="1" s="1"/>
  <c r="B4840" i="1" a="1"/>
  <c r="B4840" i="1" s="1"/>
  <c r="A4840" i="1" s="1"/>
  <c r="B4845" i="1" a="1"/>
  <c r="B4845" i="1" s="1"/>
  <c r="A4845" i="1" s="1"/>
  <c r="B4851" i="1" a="1"/>
  <c r="B4851" i="1" s="1"/>
  <c r="A4851" i="1" s="1"/>
  <c r="B4858" i="1" a="1"/>
  <c r="B4858" i="1" s="1"/>
  <c r="A4858" i="1" s="1"/>
  <c r="B4866" i="1" a="1"/>
  <c r="B4866" i="1" s="1"/>
  <c r="A4866" i="1" s="1"/>
  <c r="B3097" i="1" a="1"/>
  <c r="B3097" i="1" s="1"/>
  <c r="A3097" i="1" s="1"/>
  <c r="B3161" i="1" a="1"/>
  <c r="B3161" i="1" s="1"/>
  <c r="A3161" i="1" s="1"/>
  <c r="B3225" i="1" a="1"/>
  <c r="B3225" i="1" s="1"/>
  <c r="A3225" i="1" s="1"/>
  <c r="B3289" i="1" a="1"/>
  <c r="B3289" i="1" s="1"/>
  <c r="A3289" i="1" s="1"/>
  <c r="B3353" i="1" a="1"/>
  <c r="B3353" i="1" s="1"/>
  <c r="A3353" i="1" s="1"/>
  <c r="B3405" i="1" a="1"/>
  <c r="B3405" i="1" s="1"/>
  <c r="A3405" i="1" s="1"/>
  <c r="B3454" i="1" a="1"/>
  <c r="B3454" i="1" s="1"/>
  <c r="A3454" i="1" s="1"/>
  <c r="B3505" i="1" a="1"/>
  <c r="B3505" i="1" s="1"/>
  <c r="A3505" i="1" s="1"/>
  <c r="B3569" i="1" a="1"/>
  <c r="B3569" i="1" s="1"/>
  <c r="A3569" i="1" s="1"/>
  <c r="B3603" i="1" a="1"/>
  <c r="B3603" i="1" s="1"/>
  <c r="A3603" i="1" s="1"/>
  <c r="B3611" i="1" a="1"/>
  <c r="B3611" i="1" s="1"/>
  <c r="A3611" i="1" s="1"/>
  <c r="B3619" i="1" a="1"/>
  <c r="B3619" i="1" s="1"/>
  <c r="A3619" i="1" s="1"/>
  <c r="B3627" i="1" a="1"/>
  <c r="B3627" i="1" s="1"/>
  <c r="A3627" i="1" s="1"/>
  <c r="B3635" i="1" a="1"/>
  <c r="B3635" i="1" s="1"/>
  <c r="A3635" i="1" s="1"/>
  <c r="B3643" i="1" a="1"/>
  <c r="B3643" i="1" s="1"/>
  <c r="A3643" i="1" s="1"/>
  <c r="B3651" i="1" a="1"/>
  <c r="B3651" i="1" s="1"/>
  <c r="A3651" i="1" s="1"/>
  <c r="B3659" i="1" a="1"/>
  <c r="B3659" i="1" s="1"/>
  <c r="A3659" i="1" s="1"/>
  <c r="B3667" i="1" a="1"/>
  <c r="B3667" i="1" s="1"/>
  <c r="A3667" i="1" s="1"/>
  <c r="B3675" i="1" a="1"/>
  <c r="B3675" i="1" s="1"/>
  <c r="A3675" i="1" s="1"/>
  <c r="B3683" i="1" a="1"/>
  <c r="B3683" i="1" s="1"/>
  <c r="A3683" i="1" s="1"/>
  <c r="B3691" i="1" a="1"/>
  <c r="B3691" i="1" s="1"/>
  <c r="A3691" i="1" s="1"/>
  <c r="B3699" i="1" a="1"/>
  <c r="B3699" i="1" s="1"/>
  <c r="A3699" i="1" s="1"/>
  <c r="B3707" i="1" a="1"/>
  <c r="B3707" i="1" s="1"/>
  <c r="A3707" i="1" s="1"/>
  <c r="B3715" i="1" a="1"/>
  <c r="B3715" i="1" s="1"/>
  <c r="A3715" i="1" s="1"/>
  <c r="B3723" i="1" a="1"/>
  <c r="B3723" i="1" s="1"/>
  <c r="A3723" i="1" s="1"/>
  <c r="B3731" i="1" a="1"/>
  <c r="B3731" i="1" s="1"/>
  <c r="A3731" i="1" s="1"/>
  <c r="B3739" i="1" a="1"/>
  <c r="B3739" i="1" s="1"/>
  <c r="A3739" i="1" s="1"/>
  <c r="B3747" i="1" a="1"/>
  <c r="B3747" i="1" s="1"/>
  <c r="A3747" i="1" s="1"/>
  <c r="B3755" i="1" a="1"/>
  <c r="B3755" i="1" s="1"/>
  <c r="A3755" i="1" s="1"/>
  <c r="B3763" i="1" a="1"/>
  <c r="B3763" i="1" s="1"/>
  <c r="A3763" i="1" s="1"/>
  <c r="B3771" i="1" a="1"/>
  <c r="B3771" i="1" s="1"/>
  <c r="A3771" i="1" s="1"/>
  <c r="B3779" i="1" a="1"/>
  <c r="B3779" i="1" s="1"/>
  <c r="A3779" i="1" s="1"/>
  <c r="B3787" i="1" a="1"/>
  <c r="B3787" i="1" s="1"/>
  <c r="A3787" i="1" s="1"/>
  <c r="B3795" i="1" a="1"/>
  <c r="B3795" i="1" s="1"/>
  <c r="A3795" i="1" s="1"/>
  <c r="B3803" i="1" a="1"/>
  <c r="B3803" i="1" s="1"/>
  <c r="A3803" i="1" s="1"/>
  <c r="B3811" i="1" a="1"/>
  <c r="B3811" i="1" s="1"/>
  <c r="A3811" i="1" s="1"/>
  <c r="B3819" i="1" a="1"/>
  <c r="B3819" i="1" s="1"/>
  <c r="A3819" i="1" s="1"/>
  <c r="B3827" i="1" a="1"/>
  <c r="B3827" i="1" s="1"/>
  <c r="A3827" i="1" s="1"/>
  <c r="B3835" i="1" a="1"/>
  <c r="B3835" i="1" s="1"/>
  <c r="A3835" i="1" s="1"/>
  <c r="B3843" i="1" a="1"/>
  <c r="B3843" i="1" s="1"/>
  <c r="A3843" i="1" s="1"/>
  <c r="B3851" i="1" a="1"/>
  <c r="B3851" i="1" s="1"/>
  <c r="A3851" i="1" s="1"/>
  <c r="B3859" i="1" a="1"/>
  <c r="B3859" i="1" s="1"/>
  <c r="A3859" i="1" s="1"/>
  <c r="B3867" i="1" a="1"/>
  <c r="B3867" i="1" s="1"/>
  <c r="A3867" i="1" s="1"/>
  <c r="B3875" i="1" a="1"/>
  <c r="B3875" i="1" s="1"/>
  <c r="A3875" i="1" s="1"/>
  <c r="B3883" i="1" a="1"/>
  <c r="B3883" i="1" s="1"/>
  <c r="A3883" i="1" s="1"/>
  <c r="B3891" i="1" a="1"/>
  <c r="B3891" i="1" s="1"/>
  <c r="A3891" i="1" s="1"/>
  <c r="B3899" i="1" a="1"/>
  <c r="B3899" i="1" s="1"/>
  <c r="A3899" i="1" s="1"/>
  <c r="B3907" i="1" a="1"/>
  <c r="B3907" i="1" s="1"/>
  <c r="A3907" i="1" s="1"/>
  <c r="B3915" i="1" a="1"/>
  <c r="B3915" i="1" s="1"/>
  <c r="A3915" i="1" s="1"/>
  <c r="B3923" i="1" a="1"/>
  <c r="B3923" i="1" s="1"/>
  <c r="A3923" i="1" s="1"/>
  <c r="B3931" i="1" a="1"/>
  <c r="B3931" i="1" s="1"/>
  <c r="A3931" i="1" s="1"/>
  <c r="B3939" i="1" a="1"/>
  <c r="B3939" i="1" s="1"/>
  <c r="A3939" i="1" s="1"/>
  <c r="B3947" i="1" a="1"/>
  <c r="B3947" i="1" s="1"/>
  <c r="A3947" i="1" s="1"/>
  <c r="B3955" i="1" a="1"/>
  <c r="B3955" i="1" s="1"/>
  <c r="A3955" i="1" s="1"/>
  <c r="B3963" i="1" a="1"/>
  <c r="B3963" i="1" s="1"/>
  <c r="A3963" i="1" s="1"/>
  <c r="B3971" i="1" a="1"/>
  <c r="B3971" i="1" s="1"/>
  <c r="A3971" i="1" s="1"/>
  <c r="B3979" i="1" a="1"/>
  <c r="B3979" i="1" s="1"/>
  <c r="A3979" i="1" s="1"/>
  <c r="B3987" i="1" a="1"/>
  <c r="B3987" i="1" s="1"/>
  <c r="A3987" i="1" s="1"/>
  <c r="B3995" i="1" a="1"/>
  <c r="B3995" i="1" s="1"/>
  <c r="A3995" i="1" s="1"/>
  <c r="B4003" i="1" a="1"/>
  <c r="B4003" i="1" s="1"/>
  <c r="A4003" i="1" s="1"/>
  <c r="B4011" i="1" a="1"/>
  <c r="B4011" i="1" s="1"/>
  <c r="A4011" i="1" s="1"/>
  <c r="B4019" i="1" a="1"/>
  <c r="B4019" i="1" s="1"/>
  <c r="A4019" i="1" s="1"/>
  <c r="B4027" i="1" a="1"/>
  <c r="B4027" i="1" s="1"/>
  <c r="A4027" i="1" s="1"/>
  <c r="B4035" i="1" a="1"/>
  <c r="B4035" i="1" s="1"/>
  <c r="A4035" i="1" s="1"/>
  <c r="B4043" i="1" a="1"/>
  <c r="B4043" i="1" s="1"/>
  <c r="A4043" i="1" s="1"/>
  <c r="B4051" i="1" a="1"/>
  <c r="B4051" i="1" s="1"/>
  <c r="A4051" i="1" s="1"/>
  <c r="B4059" i="1" a="1"/>
  <c r="B4059" i="1" s="1"/>
  <c r="A4059" i="1" s="1"/>
  <c r="B4067" i="1" a="1"/>
  <c r="B4067" i="1" s="1"/>
  <c r="A4067" i="1" s="1"/>
  <c r="B4075" i="1" a="1"/>
  <c r="B4075" i="1" s="1"/>
  <c r="A4075" i="1" s="1"/>
  <c r="B4083" i="1" a="1"/>
  <c r="B4083" i="1" s="1"/>
  <c r="A4083" i="1" s="1"/>
  <c r="B4091" i="1" a="1"/>
  <c r="B4091" i="1" s="1"/>
  <c r="A4091" i="1" s="1"/>
  <c r="B4099" i="1" a="1"/>
  <c r="B4099" i="1" s="1"/>
  <c r="A4099" i="1" s="1"/>
  <c r="B4107" i="1" a="1"/>
  <c r="B4107" i="1" s="1"/>
  <c r="A4107" i="1" s="1"/>
  <c r="B4115" i="1" a="1"/>
  <c r="B4115" i="1" s="1"/>
  <c r="A4115" i="1" s="1"/>
  <c r="B4123" i="1" a="1"/>
  <c r="B4123" i="1" s="1"/>
  <c r="A4123" i="1" s="1"/>
  <c r="B4131" i="1" a="1"/>
  <c r="B4131" i="1" s="1"/>
  <c r="A4131" i="1" s="1"/>
  <c r="B4138" i="1" a="1"/>
  <c r="B4138" i="1" s="1"/>
  <c r="A4138" i="1" s="1"/>
  <c r="B4143" i="1" a="1"/>
  <c r="B4143" i="1" s="1"/>
  <c r="A4143" i="1" s="1"/>
  <c r="B4155" i="1" a="1"/>
  <c r="B4155" i="1" s="1"/>
  <c r="A4155" i="1" s="1"/>
  <c r="B4163" i="1" a="1"/>
  <c r="B4163" i="1" s="1"/>
  <c r="A4163" i="1" s="1"/>
  <c r="B4171" i="1" a="1"/>
  <c r="B4171" i="1" s="1"/>
  <c r="A4171" i="1" s="1"/>
  <c r="B4179" i="1" a="1"/>
  <c r="B4179" i="1" s="1"/>
  <c r="A4179" i="1" s="1"/>
  <c r="B4187" i="1" a="1"/>
  <c r="B4187" i="1" s="1"/>
  <c r="A4187" i="1" s="1"/>
  <c r="B4195" i="1" a="1"/>
  <c r="B4195" i="1" s="1"/>
  <c r="A4195" i="1" s="1"/>
  <c r="B4203" i="1" a="1"/>
  <c r="B4203" i="1" s="1"/>
  <c r="A4203" i="1" s="1"/>
  <c r="B4211" i="1" a="1"/>
  <c r="B4211" i="1" s="1"/>
  <c r="A4211" i="1" s="1"/>
  <c r="B4219" i="1" a="1"/>
  <c r="B4219" i="1" s="1"/>
  <c r="A4219" i="1" s="1"/>
  <c r="B4227" i="1" a="1"/>
  <c r="B4227" i="1" s="1"/>
  <c r="A4227" i="1" s="1"/>
  <c r="B4235" i="1" a="1"/>
  <c r="B4235" i="1" s="1"/>
  <c r="A4235" i="1" s="1"/>
  <c r="B4243" i="1" a="1"/>
  <c r="B4243" i="1" s="1"/>
  <c r="A4243" i="1" s="1"/>
  <c r="B4251" i="1" a="1"/>
  <c r="B4251" i="1" s="1"/>
  <c r="A4251" i="1" s="1"/>
  <c r="B4259" i="1" a="1"/>
  <c r="B4259" i="1" s="1"/>
  <c r="A4259" i="1" s="1"/>
  <c r="B4267" i="1" a="1"/>
  <c r="B4267" i="1" s="1"/>
  <c r="A4267" i="1" s="1"/>
  <c r="B4275" i="1" a="1"/>
  <c r="B4275" i="1" s="1"/>
  <c r="A4275" i="1" s="1"/>
  <c r="B4283" i="1" a="1"/>
  <c r="B4283" i="1" s="1"/>
  <c r="A4283" i="1" s="1"/>
  <c r="B4291" i="1" a="1"/>
  <c r="B4291" i="1" s="1"/>
  <c r="A4291" i="1" s="1"/>
  <c r="B4299" i="1" a="1"/>
  <c r="B4299" i="1" s="1"/>
  <c r="A4299" i="1" s="1"/>
  <c r="B4307" i="1" a="1"/>
  <c r="B4307" i="1" s="1"/>
  <c r="A4307" i="1" s="1"/>
  <c r="B4315" i="1" a="1"/>
  <c r="B4315" i="1" s="1"/>
  <c r="A4315" i="1" s="1"/>
  <c r="B4323" i="1" a="1"/>
  <c r="B4323" i="1" s="1"/>
  <c r="A4323" i="1" s="1"/>
  <c r="B4331" i="1" a="1"/>
  <c r="B4331" i="1" s="1"/>
  <c r="A4331" i="1" s="1"/>
  <c r="B4339" i="1" a="1"/>
  <c r="B4339" i="1" s="1"/>
  <c r="A4339" i="1" s="1"/>
  <c r="B4347" i="1" a="1"/>
  <c r="B4347" i="1" s="1"/>
  <c r="A4347" i="1" s="1"/>
  <c r="B4355" i="1" a="1"/>
  <c r="B4355" i="1" s="1"/>
  <c r="A4355" i="1" s="1"/>
  <c r="B4363" i="1" a="1"/>
  <c r="B4363" i="1" s="1"/>
  <c r="A4363" i="1" s="1"/>
  <c r="B4371" i="1" a="1"/>
  <c r="B4371" i="1" s="1"/>
  <c r="A4371" i="1" s="1"/>
  <c r="B4379" i="1" a="1"/>
  <c r="B4379" i="1" s="1"/>
  <c r="A4379" i="1" s="1"/>
  <c r="B4387" i="1" a="1"/>
  <c r="B4387" i="1" s="1"/>
  <c r="A4387" i="1" s="1"/>
  <c r="B4395" i="1" a="1"/>
  <c r="B4395" i="1" s="1"/>
  <c r="A4395" i="1" s="1"/>
  <c r="B4403" i="1" a="1"/>
  <c r="B4403" i="1" s="1"/>
  <c r="A4403" i="1" s="1"/>
  <c r="B4411" i="1" a="1"/>
  <c r="B4411" i="1" s="1"/>
  <c r="A4411" i="1" s="1"/>
  <c r="B4419" i="1" a="1"/>
  <c r="B4419" i="1" s="1"/>
  <c r="A4419" i="1" s="1"/>
  <c r="B4427" i="1" a="1"/>
  <c r="B4427" i="1" s="1"/>
  <c r="A4427" i="1" s="1"/>
  <c r="B4435" i="1" a="1"/>
  <c r="B4435" i="1" s="1"/>
  <c r="A4435" i="1" s="1"/>
  <c r="B4443" i="1" a="1"/>
  <c r="B4443" i="1" s="1"/>
  <c r="A4443" i="1" s="1"/>
  <c r="B4451" i="1" a="1"/>
  <c r="B4451" i="1" s="1"/>
  <c r="A4451" i="1" s="1"/>
  <c r="B4459" i="1" a="1"/>
  <c r="B4459" i="1" s="1"/>
  <c r="A4459" i="1" s="1"/>
  <c r="B4467" i="1" a="1"/>
  <c r="B4467" i="1" s="1"/>
  <c r="A4467" i="1" s="1"/>
  <c r="B4475" i="1" a="1"/>
  <c r="B4475" i="1" s="1"/>
  <c r="A4475" i="1" s="1"/>
  <c r="B4483" i="1" a="1"/>
  <c r="B4483" i="1" s="1"/>
  <c r="A4483" i="1" s="1"/>
  <c r="B4491" i="1" a="1"/>
  <c r="B4491" i="1" s="1"/>
  <c r="A4491" i="1" s="1"/>
  <c r="B4499" i="1" a="1"/>
  <c r="B4499" i="1" s="1"/>
  <c r="A4499" i="1" s="1"/>
  <c r="B4507" i="1" a="1"/>
  <c r="B4507" i="1" s="1"/>
  <c r="A4507" i="1" s="1"/>
  <c r="B4515" i="1" a="1"/>
  <c r="B4515" i="1" s="1"/>
  <c r="A4515" i="1" s="1"/>
  <c r="B4523" i="1" a="1"/>
  <c r="B4523" i="1" s="1"/>
  <c r="A4523" i="1" s="1"/>
  <c r="B4531" i="1" a="1"/>
  <c r="B4531" i="1" s="1"/>
  <c r="A4531" i="1" s="1"/>
  <c r="B4539" i="1" a="1"/>
  <c r="B4539" i="1" s="1"/>
  <c r="A4539" i="1" s="1"/>
  <c r="B4547" i="1" a="1"/>
  <c r="B4547" i="1" s="1"/>
  <c r="A4547" i="1" s="1"/>
  <c r="B4555" i="1" a="1"/>
  <c r="B4555" i="1" s="1"/>
  <c r="A4555" i="1" s="1"/>
  <c r="B4563" i="1" a="1"/>
  <c r="B4563" i="1" s="1"/>
  <c r="A4563" i="1" s="1"/>
  <c r="B4571" i="1" a="1"/>
  <c r="B4571" i="1" s="1"/>
  <c r="A4571" i="1" s="1"/>
  <c r="B4579" i="1" a="1"/>
  <c r="B4579" i="1" s="1"/>
  <c r="A4579" i="1" s="1"/>
  <c r="B4587" i="1" a="1"/>
  <c r="B4587" i="1" s="1"/>
  <c r="A4587" i="1" s="1"/>
  <c r="B4595" i="1" a="1"/>
  <c r="B4595" i="1" s="1"/>
  <c r="A4595" i="1" s="1"/>
  <c r="B4603" i="1" a="1"/>
  <c r="B4603" i="1" s="1"/>
  <c r="A4603" i="1" s="1"/>
  <c r="B4611" i="1" a="1"/>
  <c r="B4611" i="1" s="1"/>
  <c r="A4611" i="1" s="1"/>
  <c r="B4619" i="1" a="1"/>
  <c r="B4619" i="1" s="1"/>
  <c r="A4619" i="1" s="1"/>
  <c r="B4627" i="1" a="1"/>
  <c r="B4627" i="1" s="1"/>
  <c r="A4627" i="1" s="1"/>
  <c r="B4635" i="1" a="1"/>
  <c r="B4635" i="1" s="1"/>
  <c r="A4635" i="1" s="1"/>
  <c r="B4643" i="1" a="1"/>
  <c r="B4643" i="1" s="1"/>
  <c r="A4643" i="1" s="1"/>
  <c r="B4651" i="1" a="1"/>
  <c r="B4651" i="1" s="1"/>
  <c r="A4651" i="1" s="1"/>
  <c r="B4659" i="1" a="1"/>
  <c r="B4659" i="1" s="1"/>
  <c r="A4659" i="1" s="1"/>
  <c r="B4667" i="1" a="1"/>
  <c r="B4667" i="1" s="1"/>
  <c r="A4667" i="1" s="1"/>
  <c r="B4675" i="1" a="1"/>
  <c r="B4675" i="1" s="1"/>
  <c r="A4675" i="1" s="1"/>
  <c r="B4683" i="1" a="1"/>
  <c r="B4683" i="1" s="1"/>
  <c r="A4683" i="1" s="1"/>
  <c r="B4691" i="1" a="1"/>
  <c r="B4691" i="1" s="1"/>
  <c r="A4691" i="1" s="1"/>
  <c r="B4699" i="1" a="1"/>
  <c r="B4699" i="1" s="1"/>
  <c r="A4699" i="1" s="1"/>
  <c r="B4707" i="1" a="1"/>
  <c r="B4707" i="1" s="1"/>
  <c r="A4707" i="1" s="1"/>
  <c r="B4715" i="1" a="1"/>
  <c r="B4715" i="1" s="1"/>
  <c r="A4715" i="1" s="1"/>
  <c r="B4723" i="1" a="1"/>
  <c r="B4723" i="1" s="1"/>
  <c r="A4723" i="1" s="1"/>
  <c r="B4731" i="1" a="1"/>
  <c r="B4731" i="1" s="1"/>
  <c r="A4731" i="1" s="1"/>
  <c r="B4739" i="1" a="1"/>
  <c r="B4739" i="1" s="1"/>
  <c r="A4739" i="1" s="1"/>
  <c r="B4747" i="1" a="1"/>
  <c r="B4747" i="1" s="1"/>
  <c r="A4747" i="1" s="1"/>
  <c r="B4755" i="1" a="1"/>
  <c r="B4755" i="1" s="1"/>
  <c r="A4755" i="1" s="1"/>
  <c r="B4763" i="1" a="1"/>
  <c r="B4763" i="1" s="1"/>
  <c r="A4763" i="1" s="1"/>
  <c r="B4771" i="1" a="1"/>
  <c r="B4771" i="1" s="1"/>
  <c r="A4771" i="1" s="1"/>
  <c r="B4779" i="1" a="1"/>
  <c r="B4779" i="1" s="1"/>
  <c r="A4779" i="1" s="1"/>
  <c r="B4787" i="1" a="1"/>
  <c r="B4787" i="1" s="1"/>
  <c r="A4787" i="1" s="1"/>
  <c r="B4795" i="1" a="1"/>
  <c r="B4795" i="1" s="1"/>
  <c r="A4795" i="1" s="1"/>
  <c r="B4803" i="1" a="1"/>
  <c r="B4803" i="1" s="1"/>
  <c r="A4803" i="1" s="1"/>
  <c r="B4811" i="1" a="1"/>
  <c r="B4811" i="1" s="1"/>
  <c r="A4811" i="1" s="1"/>
  <c r="B4819" i="1" a="1"/>
  <c r="B4819" i="1" s="1"/>
  <c r="A4819" i="1" s="1"/>
  <c r="B4827" i="1" a="1"/>
  <c r="B4827" i="1" s="1"/>
  <c r="A4827" i="1" s="1"/>
  <c r="B4834" i="1" a="1"/>
  <c r="B4834" i="1" s="1"/>
  <c r="A4834" i="1" s="1"/>
  <c r="B4846" i="1" a="1"/>
  <c r="B4846" i="1" s="1"/>
  <c r="A4846" i="1" s="1"/>
  <c r="B4852" i="1" a="1"/>
  <c r="B4852" i="1" s="1"/>
  <c r="A4852" i="1" s="1"/>
  <c r="B4859" i="1" a="1"/>
  <c r="B4859" i="1" s="1"/>
  <c r="A4859" i="1" s="1"/>
  <c r="B4867" i="1" a="1"/>
  <c r="B4867" i="1" s="1"/>
  <c r="A4867" i="1" s="1"/>
  <c r="B3105" i="1" a="1"/>
  <c r="B3105" i="1" s="1"/>
  <c r="A3105" i="1" s="1"/>
  <c r="B3169" i="1" a="1"/>
  <c r="B3169" i="1" s="1"/>
  <c r="A3169" i="1" s="1"/>
  <c r="B3233" i="1" a="1"/>
  <c r="B3233" i="1" s="1"/>
  <c r="A3233" i="1" s="1"/>
  <c r="B3297" i="1" a="1"/>
  <c r="B3297" i="1" s="1"/>
  <c r="A3297" i="1" s="1"/>
  <c r="B3361" i="1" a="1"/>
  <c r="B3361" i="1" s="1"/>
  <c r="A3361" i="1" s="1"/>
  <c r="B3411" i="1" a="1"/>
  <c r="B3411" i="1" s="1"/>
  <c r="A3411" i="1" s="1"/>
  <c r="B3460" i="1" a="1"/>
  <c r="B3460" i="1" s="1"/>
  <c r="A3460" i="1" s="1"/>
  <c r="B3513" i="1" a="1"/>
  <c r="B3513" i="1" s="1"/>
  <c r="A3513" i="1" s="1"/>
  <c r="B3577" i="1" a="1"/>
  <c r="B3577" i="1" s="1"/>
  <c r="A3577" i="1" s="1"/>
  <c r="B3604" i="1" a="1"/>
  <c r="B3604" i="1" s="1"/>
  <c r="A3604" i="1" s="1"/>
  <c r="B3612" i="1" a="1"/>
  <c r="B3612" i="1" s="1"/>
  <c r="A3612" i="1" s="1"/>
  <c r="B3620" i="1" a="1"/>
  <c r="B3620" i="1" s="1"/>
  <c r="A3620" i="1" s="1"/>
  <c r="B3628" i="1" a="1"/>
  <c r="B3628" i="1" s="1"/>
  <c r="A3628" i="1" s="1"/>
  <c r="B3636" i="1" a="1"/>
  <c r="B3636" i="1" s="1"/>
  <c r="A3636" i="1" s="1"/>
  <c r="B3644" i="1" a="1"/>
  <c r="B3644" i="1" s="1"/>
  <c r="A3644" i="1" s="1"/>
  <c r="B3652" i="1" a="1"/>
  <c r="B3652" i="1" s="1"/>
  <c r="A3652" i="1" s="1"/>
  <c r="B3660" i="1" a="1"/>
  <c r="B3660" i="1" s="1"/>
  <c r="A3660" i="1" s="1"/>
  <c r="B3668" i="1" a="1"/>
  <c r="B3668" i="1" s="1"/>
  <c r="A3668" i="1" s="1"/>
  <c r="B3676" i="1" a="1"/>
  <c r="B3676" i="1" s="1"/>
  <c r="A3676" i="1" s="1"/>
  <c r="B3684" i="1" a="1"/>
  <c r="B3684" i="1" s="1"/>
  <c r="A3684" i="1" s="1"/>
  <c r="B3692" i="1" a="1"/>
  <c r="B3692" i="1" s="1"/>
  <c r="A3692" i="1" s="1"/>
  <c r="B3700" i="1" a="1"/>
  <c r="B3700" i="1" s="1"/>
  <c r="A3700" i="1" s="1"/>
  <c r="B3708" i="1" a="1"/>
  <c r="B3708" i="1" s="1"/>
  <c r="A3708" i="1" s="1"/>
  <c r="B3716" i="1" a="1"/>
  <c r="B3716" i="1" s="1"/>
  <c r="A3716" i="1" s="1"/>
  <c r="B3724" i="1" a="1"/>
  <c r="B3724" i="1" s="1"/>
  <c r="A3724" i="1" s="1"/>
  <c r="B3732" i="1" a="1"/>
  <c r="B3732" i="1" s="1"/>
  <c r="A3732" i="1" s="1"/>
  <c r="B3740" i="1" a="1"/>
  <c r="B3740" i="1" s="1"/>
  <c r="A3740" i="1" s="1"/>
  <c r="B3748" i="1" a="1"/>
  <c r="B3748" i="1" s="1"/>
  <c r="A3748" i="1" s="1"/>
  <c r="B3756" i="1" a="1"/>
  <c r="B3756" i="1" s="1"/>
  <c r="A3756" i="1" s="1"/>
  <c r="B3764" i="1" a="1"/>
  <c r="B3764" i="1" s="1"/>
  <c r="A3764" i="1" s="1"/>
  <c r="B3772" i="1" a="1"/>
  <c r="B3772" i="1" s="1"/>
  <c r="A3772" i="1" s="1"/>
  <c r="B3780" i="1" a="1"/>
  <c r="B3780" i="1" s="1"/>
  <c r="A3780" i="1" s="1"/>
  <c r="B3788" i="1" a="1"/>
  <c r="B3788" i="1" s="1"/>
  <c r="A3788" i="1" s="1"/>
  <c r="B3796" i="1" a="1"/>
  <c r="B3796" i="1" s="1"/>
  <c r="A3796" i="1" s="1"/>
  <c r="B3804" i="1" a="1"/>
  <c r="B3804" i="1" s="1"/>
  <c r="A3804" i="1" s="1"/>
  <c r="B3812" i="1" a="1"/>
  <c r="B3812" i="1" s="1"/>
  <c r="A3812" i="1" s="1"/>
  <c r="B3820" i="1" a="1"/>
  <c r="B3820" i="1" s="1"/>
  <c r="A3820" i="1" s="1"/>
  <c r="B3828" i="1" a="1"/>
  <c r="B3828" i="1" s="1"/>
  <c r="A3828" i="1" s="1"/>
  <c r="B3836" i="1" a="1"/>
  <c r="B3836" i="1" s="1"/>
  <c r="A3836" i="1" s="1"/>
  <c r="B3844" i="1" a="1"/>
  <c r="B3844" i="1" s="1"/>
  <c r="A3844" i="1" s="1"/>
  <c r="B3852" i="1" a="1"/>
  <c r="B3852" i="1" s="1"/>
  <c r="A3852" i="1" s="1"/>
  <c r="B3860" i="1" a="1"/>
  <c r="B3860" i="1" s="1"/>
  <c r="A3860" i="1" s="1"/>
  <c r="B3868" i="1" a="1"/>
  <c r="B3868" i="1" s="1"/>
  <c r="A3868" i="1" s="1"/>
  <c r="B3876" i="1" a="1"/>
  <c r="B3876" i="1" s="1"/>
  <c r="A3876" i="1" s="1"/>
  <c r="B3884" i="1" a="1"/>
  <c r="B3884" i="1" s="1"/>
  <c r="A3884" i="1" s="1"/>
  <c r="B3892" i="1" a="1"/>
  <c r="B3892" i="1" s="1"/>
  <c r="A3892" i="1" s="1"/>
  <c r="B3900" i="1" a="1"/>
  <c r="B3900" i="1" s="1"/>
  <c r="A3900" i="1" s="1"/>
  <c r="B3908" i="1" a="1"/>
  <c r="B3908" i="1" s="1"/>
  <c r="A3908" i="1" s="1"/>
  <c r="B3916" i="1" a="1"/>
  <c r="B3916" i="1" s="1"/>
  <c r="A3916" i="1" s="1"/>
  <c r="B3924" i="1" a="1"/>
  <c r="B3924" i="1" s="1"/>
  <c r="A3924" i="1" s="1"/>
  <c r="B3932" i="1" a="1"/>
  <c r="B3932" i="1" s="1"/>
  <c r="A3932" i="1" s="1"/>
  <c r="B3940" i="1" a="1"/>
  <c r="B3940" i="1" s="1"/>
  <c r="A3940" i="1" s="1"/>
  <c r="B3948" i="1" a="1"/>
  <c r="B3948" i="1" s="1"/>
  <c r="A3948" i="1" s="1"/>
  <c r="B3956" i="1" a="1"/>
  <c r="B3956" i="1" s="1"/>
  <c r="A3956" i="1" s="1"/>
  <c r="B3964" i="1" a="1"/>
  <c r="B3964" i="1" s="1"/>
  <c r="A3964" i="1" s="1"/>
  <c r="B3972" i="1" a="1"/>
  <c r="B3972" i="1" s="1"/>
  <c r="A3972" i="1" s="1"/>
  <c r="B3980" i="1" a="1"/>
  <c r="B3980" i="1" s="1"/>
  <c r="A3980" i="1" s="1"/>
  <c r="B3988" i="1" a="1"/>
  <c r="B3988" i="1" s="1"/>
  <c r="A3988" i="1" s="1"/>
  <c r="B3996" i="1" a="1"/>
  <c r="B3996" i="1" s="1"/>
  <c r="A3996" i="1" s="1"/>
  <c r="B4004" i="1" a="1"/>
  <c r="B4004" i="1" s="1"/>
  <c r="A4004" i="1" s="1"/>
  <c r="B4012" i="1" a="1"/>
  <c r="B4012" i="1" s="1"/>
  <c r="A4012" i="1" s="1"/>
  <c r="B4020" i="1" a="1"/>
  <c r="B4020" i="1" s="1"/>
  <c r="A4020" i="1" s="1"/>
  <c r="B4028" i="1" a="1"/>
  <c r="B4028" i="1" s="1"/>
  <c r="A4028" i="1" s="1"/>
  <c r="B4036" i="1" a="1"/>
  <c r="B4036" i="1" s="1"/>
  <c r="A4036" i="1" s="1"/>
  <c r="B4044" i="1" a="1"/>
  <c r="B4044" i="1" s="1"/>
  <c r="A4044" i="1" s="1"/>
  <c r="B4052" i="1" a="1"/>
  <c r="B4052" i="1" s="1"/>
  <c r="A4052" i="1" s="1"/>
  <c r="B4060" i="1" a="1"/>
  <c r="B4060" i="1" s="1"/>
  <c r="A4060" i="1" s="1"/>
  <c r="B4068" i="1" a="1"/>
  <c r="B4068" i="1" s="1"/>
  <c r="A4068" i="1" s="1"/>
  <c r="B4076" i="1" a="1"/>
  <c r="B4076" i="1" s="1"/>
  <c r="A4076" i="1" s="1"/>
  <c r="B4084" i="1" a="1"/>
  <c r="B4084" i="1" s="1"/>
  <c r="A4084" i="1" s="1"/>
  <c r="B4092" i="1" a="1"/>
  <c r="B4092" i="1" s="1"/>
  <c r="A4092" i="1" s="1"/>
  <c r="B4100" i="1" a="1"/>
  <c r="B4100" i="1" s="1"/>
  <c r="A4100" i="1" s="1"/>
  <c r="B4108" i="1" a="1"/>
  <c r="B4108" i="1" s="1"/>
  <c r="A4108" i="1" s="1"/>
  <c r="B4116" i="1" a="1"/>
  <c r="B4116" i="1" s="1"/>
  <c r="A4116" i="1" s="1"/>
  <c r="B4124" i="1" a="1"/>
  <c r="B4124" i="1" s="1"/>
  <c r="A4124" i="1" s="1"/>
  <c r="B4132" i="1" a="1"/>
  <c r="B4132" i="1" s="1"/>
  <c r="A4132" i="1" s="1"/>
  <c r="B4139" i="1" a="1"/>
  <c r="B4139" i="1" s="1"/>
  <c r="A4139" i="1" s="1"/>
  <c r="B4144" i="1" a="1"/>
  <c r="B4144" i="1" s="1"/>
  <c r="A4144" i="1" s="1"/>
  <c r="B4149" i="1" a="1"/>
  <c r="B4149" i="1" s="1"/>
  <c r="A4149" i="1" s="1"/>
  <c r="B4156" i="1" a="1"/>
  <c r="B4156" i="1" s="1"/>
  <c r="A4156" i="1" s="1"/>
  <c r="B4164" i="1" a="1"/>
  <c r="B4164" i="1" s="1"/>
  <c r="A4164" i="1" s="1"/>
  <c r="B4172" i="1" a="1"/>
  <c r="B4172" i="1" s="1"/>
  <c r="A4172" i="1" s="1"/>
  <c r="B4180" i="1" a="1"/>
  <c r="B4180" i="1" s="1"/>
  <c r="A4180" i="1" s="1"/>
  <c r="B4188" i="1" a="1"/>
  <c r="B4188" i="1" s="1"/>
  <c r="A4188" i="1" s="1"/>
  <c r="B4196" i="1" a="1"/>
  <c r="B4196" i="1" s="1"/>
  <c r="A4196" i="1" s="1"/>
  <c r="B4204" i="1" a="1"/>
  <c r="B4204" i="1" s="1"/>
  <c r="A4204" i="1" s="1"/>
  <c r="B4212" i="1" a="1"/>
  <c r="B4212" i="1" s="1"/>
  <c r="A4212" i="1" s="1"/>
  <c r="B4220" i="1" a="1"/>
  <c r="B4220" i="1" s="1"/>
  <c r="A4220" i="1" s="1"/>
  <c r="B4228" i="1" a="1"/>
  <c r="B4228" i="1" s="1"/>
  <c r="A4228" i="1" s="1"/>
  <c r="B4236" i="1" a="1"/>
  <c r="B4236" i="1" s="1"/>
  <c r="A4236" i="1" s="1"/>
  <c r="B4244" i="1" a="1"/>
  <c r="B4244" i="1" s="1"/>
  <c r="A4244" i="1" s="1"/>
  <c r="B4252" i="1" a="1"/>
  <c r="B4252" i="1" s="1"/>
  <c r="A4252" i="1" s="1"/>
  <c r="B4260" i="1" a="1"/>
  <c r="B4260" i="1" s="1"/>
  <c r="A4260" i="1" s="1"/>
  <c r="B4268" i="1" a="1"/>
  <c r="B4268" i="1" s="1"/>
  <c r="A4268" i="1" s="1"/>
  <c r="B4276" i="1" a="1"/>
  <c r="B4276" i="1" s="1"/>
  <c r="A4276" i="1" s="1"/>
  <c r="B4284" i="1" a="1"/>
  <c r="B4284" i="1" s="1"/>
  <c r="A4284" i="1" s="1"/>
  <c r="B4292" i="1" a="1"/>
  <c r="B4292" i="1" s="1"/>
  <c r="A4292" i="1" s="1"/>
  <c r="B4300" i="1" a="1"/>
  <c r="B4300" i="1" s="1"/>
  <c r="A4300" i="1" s="1"/>
  <c r="B4308" i="1" a="1"/>
  <c r="B4308" i="1" s="1"/>
  <c r="A4308" i="1" s="1"/>
  <c r="B4316" i="1" a="1"/>
  <c r="B4316" i="1" s="1"/>
  <c r="A4316" i="1" s="1"/>
  <c r="B4324" i="1" a="1"/>
  <c r="B4324" i="1" s="1"/>
  <c r="A4324" i="1" s="1"/>
  <c r="B4332" i="1" a="1"/>
  <c r="B4332" i="1" s="1"/>
  <c r="A4332" i="1" s="1"/>
  <c r="B4340" i="1" a="1"/>
  <c r="B4340" i="1" s="1"/>
  <c r="A4340" i="1" s="1"/>
  <c r="B4348" i="1" a="1"/>
  <c r="B4348" i="1" s="1"/>
  <c r="A4348" i="1" s="1"/>
  <c r="B4356" i="1" a="1"/>
  <c r="B4356" i="1" s="1"/>
  <c r="A4356" i="1" s="1"/>
  <c r="B4364" i="1" a="1"/>
  <c r="B4364" i="1" s="1"/>
  <c r="A4364" i="1" s="1"/>
  <c r="B4372" i="1" a="1"/>
  <c r="B4372" i="1" s="1"/>
  <c r="A4372" i="1" s="1"/>
  <c r="B4380" i="1" a="1"/>
  <c r="B4380" i="1" s="1"/>
  <c r="A4380" i="1" s="1"/>
  <c r="B4388" i="1" a="1"/>
  <c r="B4388" i="1" s="1"/>
  <c r="A4388" i="1" s="1"/>
  <c r="B4396" i="1" a="1"/>
  <c r="B4396" i="1" s="1"/>
  <c r="A4396" i="1" s="1"/>
  <c r="B4404" i="1" a="1"/>
  <c r="B4404" i="1" s="1"/>
  <c r="A4404" i="1" s="1"/>
  <c r="B4412" i="1" a="1"/>
  <c r="B4412" i="1" s="1"/>
  <c r="A4412" i="1" s="1"/>
  <c r="B4420" i="1" a="1"/>
  <c r="B4420" i="1" s="1"/>
  <c r="A4420" i="1" s="1"/>
  <c r="B4428" i="1" a="1"/>
  <c r="B4428" i="1" s="1"/>
  <c r="A4428" i="1" s="1"/>
  <c r="B4436" i="1" a="1"/>
  <c r="B4436" i="1" s="1"/>
  <c r="A4436" i="1" s="1"/>
  <c r="B4444" i="1" a="1"/>
  <c r="B4444" i="1" s="1"/>
  <c r="A4444" i="1" s="1"/>
  <c r="B4452" i="1" a="1"/>
  <c r="B4452" i="1" s="1"/>
  <c r="A4452" i="1" s="1"/>
  <c r="B4460" i="1" a="1"/>
  <c r="B4460" i="1" s="1"/>
  <c r="A4460" i="1" s="1"/>
  <c r="B4468" i="1" a="1"/>
  <c r="B4468" i="1" s="1"/>
  <c r="A4468" i="1" s="1"/>
  <c r="B4476" i="1" a="1"/>
  <c r="B4476" i="1" s="1"/>
  <c r="A4476" i="1" s="1"/>
  <c r="B4484" i="1" a="1"/>
  <c r="B4484" i="1" s="1"/>
  <c r="A4484" i="1" s="1"/>
  <c r="B4492" i="1" a="1"/>
  <c r="B4492" i="1" s="1"/>
  <c r="A4492" i="1" s="1"/>
  <c r="B4500" i="1" a="1"/>
  <c r="B4500" i="1" s="1"/>
  <c r="A4500" i="1" s="1"/>
  <c r="B4508" i="1" a="1"/>
  <c r="B4508" i="1" s="1"/>
  <c r="A4508" i="1" s="1"/>
  <c r="B4516" i="1" a="1"/>
  <c r="B4516" i="1" s="1"/>
  <c r="A4516" i="1" s="1"/>
  <c r="B4524" i="1" a="1"/>
  <c r="B4524" i="1" s="1"/>
  <c r="A4524" i="1" s="1"/>
  <c r="B4532" i="1" a="1"/>
  <c r="B4532" i="1" s="1"/>
  <c r="A4532" i="1" s="1"/>
  <c r="B4540" i="1" a="1"/>
  <c r="B4540" i="1" s="1"/>
  <c r="A4540" i="1" s="1"/>
  <c r="B4548" i="1" a="1"/>
  <c r="B4548" i="1" s="1"/>
  <c r="A4548" i="1" s="1"/>
  <c r="B4556" i="1" a="1"/>
  <c r="B4556" i="1" s="1"/>
  <c r="A4556" i="1" s="1"/>
  <c r="B4564" i="1" a="1"/>
  <c r="B4564" i="1" s="1"/>
  <c r="A4564" i="1" s="1"/>
  <c r="B4572" i="1" a="1"/>
  <c r="B4572" i="1" s="1"/>
  <c r="A4572" i="1" s="1"/>
  <c r="B4580" i="1" a="1"/>
  <c r="B4580" i="1" s="1"/>
  <c r="A4580" i="1" s="1"/>
  <c r="B4588" i="1" a="1"/>
  <c r="B4588" i="1" s="1"/>
  <c r="A4588" i="1" s="1"/>
  <c r="B4596" i="1" a="1"/>
  <c r="B4596" i="1" s="1"/>
  <c r="A4596" i="1" s="1"/>
  <c r="B4604" i="1" a="1"/>
  <c r="B4604" i="1" s="1"/>
  <c r="A4604" i="1" s="1"/>
  <c r="B4612" i="1" a="1"/>
  <c r="B4612" i="1" s="1"/>
  <c r="A4612" i="1" s="1"/>
  <c r="B4620" i="1" a="1"/>
  <c r="B4620" i="1" s="1"/>
  <c r="A4620" i="1" s="1"/>
  <c r="B4628" i="1" a="1"/>
  <c r="B4628" i="1" s="1"/>
  <c r="A4628" i="1" s="1"/>
  <c r="B4636" i="1" a="1"/>
  <c r="B4636" i="1" s="1"/>
  <c r="A4636" i="1" s="1"/>
  <c r="B4644" i="1" a="1"/>
  <c r="B4644" i="1" s="1"/>
  <c r="A4644" i="1" s="1"/>
  <c r="B4652" i="1" a="1"/>
  <c r="B4652" i="1" s="1"/>
  <c r="A4652" i="1" s="1"/>
  <c r="B4660" i="1" a="1"/>
  <c r="B4660" i="1" s="1"/>
  <c r="A4660" i="1" s="1"/>
  <c r="B4668" i="1" a="1"/>
  <c r="B4668" i="1" s="1"/>
  <c r="A4668" i="1" s="1"/>
  <c r="B4676" i="1" a="1"/>
  <c r="B4676" i="1" s="1"/>
  <c r="A4676" i="1" s="1"/>
  <c r="B4684" i="1" a="1"/>
  <c r="B4684" i="1" s="1"/>
  <c r="A4684" i="1" s="1"/>
  <c r="B4692" i="1" a="1"/>
  <c r="B4692" i="1" s="1"/>
  <c r="A4692" i="1" s="1"/>
  <c r="B4700" i="1" a="1"/>
  <c r="B4700" i="1" s="1"/>
  <c r="A4700" i="1" s="1"/>
  <c r="B4708" i="1" a="1"/>
  <c r="B4708" i="1" s="1"/>
  <c r="A4708" i="1" s="1"/>
  <c r="B4716" i="1" a="1"/>
  <c r="B4716" i="1" s="1"/>
  <c r="A4716" i="1" s="1"/>
  <c r="B4724" i="1" a="1"/>
  <c r="B4724" i="1" s="1"/>
  <c r="A4724" i="1" s="1"/>
  <c r="B4732" i="1" a="1"/>
  <c r="B4732" i="1" s="1"/>
  <c r="A4732" i="1" s="1"/>
  <c r="B4740" i="1" a="1"/>
  <c r="B4740" i="1" s="1"/>
  <c r="A4740" i="1" s="1"/>
  <c r="B4748" i="1" a="1"/>
  <c r="B4748" i="1" s="1"/>
  <c r="A4748" i="1" s="1"/>
  <c r="B4756" i="1" a="1"/>
  <c r="B4756" i="1" s="1"/>
  <c r="A4756" i="1" s="1"/>
  <c r="B4764" i="1" a="1"/>
  <c r="B4764" i="1" s="1"/>
  <c r="A4764" i="1" s="1"/>
  <c r="B4772" i="1" a="1"/>
  <c r="B4772" i="1" s="1"/>
  <c r="A4772" i="1" s="1"/>
  <c r="B4780" i="1" a="1"/>
  <c r="B4780" i="1" s="1"/>
  <c r="A4780" i="1" s="1"/>
  <c r="B4788" i="1" a="1"/>
  <c r="B4788" i="1" s="1"/>
  <c r="A4788" i="1" s="1"/>
  <c r="B4796" i="1" a="1"/>
  <c r="B4796" i="1" s="1"/>
  <c r="A4796" i="1" s="1"/>
  <c r="B4804" i="1" a="1"/>
  <c r="B4804" i="1" s="1"/>
  <c r="A4804" i="1" s="1"/>
  <c r="B4812" i="1" a="1"/>
  <c r="B4812" i="1" s="1"/>
  <c r="A4812" i="1" s="1"/>
  <c r="B4820" i="1" a="1"/>
  <c r="B4820" i="1" s="1"/>
  <c r="A4820" i="1" s="1"/>
  <c r="B4828" i="1" a="1"/>
  <c r="B4828" i="1" s="1"/>
  <c r="A4828" i="1" s="1"/>
  <c r="B4835" i="1" a="1"/>
  <c r="B4835" i="1" s="1"/>
  <c r="A4835" i="1" s="1"/>
  <c r="B4841" i="1" a="1"/>
  <c r="B4841" i="1" s="1"/>
  <c r="A4841" i="1" s="1"/>
  <c r="B4860" i="1" a="1"/>
  <c r="B4860" i="1" s="1"/>
  <c r="A4860" i="1" s="1"/>
  <c r="B4868" i="1" a="1"/>
  <c r="B4868" i="1" s="1"/>
  <c r="A4868" i="1" s="1"/>
  <c r="B3121" i="1" a="1"/>
  <c r="B3121" i="1" s="1"/>
  <c r="A3121" i="1" s="1"/>
  <c r="B3185" i="1" a="1"/>
  <c r="B3185" i="1" s="1"/>
  <c r="A3185" i="1" s="1"/>
  <c r="B3249" i="1" a="1"/>
  <c r="B3249" i="1" s="1"/>
  <c r="A3249" i="1" s="1"/>
  <c r="B3313" i="1" a="1"/>
  <c r="B3313" i="1" s="1"/>
  <c r="A3313" i="1" s="1"/>
  <c r="B3375" i="1" a="1"/>
  <c r="B3375" i="1" s="1"/>
  <c r="A3375" i="1" s="1"/>
  <c r="B3473" i="1" a="1"/>
  <c r="B3473" i="1" s="1"/>
  <c r="A3473" i="1" s="1"/>
  <c r="B3529" i="1" a="1"/>
  <c r="B3529" i="1" s="1"/>
  <c r="A3529" i="1" s="1"/>
  <c r="B3585" i="1" a="1"/>
  <c r="B3585" i="1" s="1"/>
  <c r="A3585" i="1" s="1"/>
  <c r="B3606" i="1" a="1"/>
  <c r="B3606" i="1" s="1"/>
  <c r="A3606" i="1" s="1"/>
  <c r="B3614" i="1" a="1"/>
  <c r="B3614" i="1" s="1"/>
  <c r="A3614" i="1" s="1"/>
  <c r="B3622" i="1" a="1"/>
  <c r="B3622" i="1" s="1"/>
  <c r="A3622" i="1" s="1"/>
  <c r="B3630" i="1" a="1"/>
  <c r="B3630" i="1" s="1"/>
  <c r="A3630" i="1" s="1"/>
  <c r="B3638" i="1" a="1"/>
  <c r="B3638" i="1" s="1"/>
  <c r="A3638" i="1" s="1"/>
  <c r="B3646" i="1" a="1"/>
  <c r="B3646" i="1" s="1"/>
  <c r="A3646" i="1" s="1"/>
  <c r="B3654" i="1" a="1"/>
  <c r="B3654" i="1" s="1"/>
  <c r="A3654" i="1" s="1"/>
  <c r="B3662" i="1" a="1"/>
  <c r="B3662" i="1" s="1"/>
  <c r="A3662" i="1" s="1"/>
  <c r="B3670" i="1" a="1"/>
  <c r="B3670" i="1" s="1"/>
  <c r="A3670" i="1" s="1"/>
  <c r="B3678" i="1" a="1"/>
  <c r="B3678" i="1" s="1"/>
  <c r="A3678" i="1" s="1"/>
  <c r="B3686" i="1" a="1"/>
  <c r="B3686" i="1" s="1"/>
  <c r="A3686" i="1" s="1"/>
  <c r="B3694" i="1" a="1"/>
  <c r="B3694" i="1" s="1"/>
  <c r="A3694" i="1" s="1"/>
  <c r="B3702" i="1" a="1"/>
  <c r="B3702" i="1" s="1"/>
  <c r="A3702" i="1" s="1"/>
  <c r="B3710" i="1" a="1"/>
  <c r="B3710" i="1" s="1"/>
  <c r="A3710" i="1" s="1"/>
  <c r="B3718" i="1" a="1"/>
  <c r="B3718" i="1" s="1"/>
  <c r="A3718" i="1" s="1"/>
  <c r="B3726" i="1" a="1"/>
  <c r="B3726" i="1" s="1"/>
  <c r="A3726" i="1" s="1"/>
  <c r="B3734" i="1" a="1"/>
  <c r="B3734" i="1" s="1"/>
  <c r="A3734" i="1" s="1"/>
  <c r="B3742" i="1" a="1"/>
  <c r="B3742" i="1" s="1"/>
  <c r="A3742" i="1" s="1"/>
  <c r="B3750" i="1" a="1"/>
  <c r="B3750" i="1" s="1"/>
  <c r="A3750" i="1" s="1"/>
  <c r="B3758" i="1" a="1"/>
  <c r="B3758" i="1" s="1"/>
  <c r="A3758" i="1" s="1"/>
  <c r="B3766" i="1" a="1"/>
  <c r="B3766" i="1" s="1"/>
  <c r="A3766" i="1" s="1"/>
  <c r="B3774" i="1" a="1"/>
  <c r="B3774" i="1" s="1"/>
  <c r="A3774" i="1" s="1"/>
  <c r="B3782" i="1" a="1"/>
  <c r="B3782" i="1" s="1"/>
  <c r="A3782" i="1" s="1"/>
  <c r="B3790" i="1" a="1"/>
  <c r="B3790" i="1" s="1"/>
  <c r="A3790" i="1" s="1"/>
  <c r="B3798" i="1" a="1"/>
  <c r="B3798" i="1" s="1"/>
  <c r="A3798" i="1" s="1"/>
  <c r="B3806" i="1" a="1"/>
  <c r="B3806" i="1" s="1"/>
  <c r="A3806" i="1" s="1"/>
  <c r="B3814" i="1" a="1"/>
  <c r="B3814" i="1" s="1"/>
  <c r="A3814" i="1" s="1"/>
  <c r="B3822" i="1" a="1"/>
  <c r="B3822" i="1" s="1"/>
  <c r="A3822" i="1" s="1"/>
  <c r="B3830" i="1" a="1"/>
  <c r="B3830" i="1" s="1"/>
  <c r="A3830" i="1" s="1"/>
  <c r="B3838" i="1" a="1"/>
  <c r="B3838" i="1" s="1"/>
  <c r="A3838" i="1" s="1"/>
  <c r="B3846" i="1" a="1"/>
  <c r="B3846" i="1" s="1"/>
  <c r="A3846" i="1" s="1"/>
  <c r="B3854" i="1" a="1"/>
  <c r="B3854" i="1" s="1"/>
  <c r="A3854" i="1" s="1"/>
  <c r="B3862" i="1" a="1"/>
  <c r="B3862" i="1" s="1"/>
  <c r="A3862" i="1" s="1"/>
  <c r="B3870" i="1" a="1"/>
  <c r="B3870" i="1" s="1"/>
  <c r="A3870" i="1" s="1"/>
  <c r="B3878" i="1" a="1"/>
  <c r="B3878" i="1" s="1"/>
  <c r="A3878" i="1" s="1"/>
  <c r="B3886" i="1" a="1"/>
  <c r="B3886" i="1" s="1"/>
  <c r="A3886" i="1" s="1"/>
  <c r="B3894" i="1" a="1"/>
  <c r="B3894" i="1" s="1"/>
  <c r="A3894" i="1" s="1"/>
  <c r="B3902" i="1" a="1"/>
  <c r="B3902" i="1" s="1"/>
  <c r="A3902" i="1" s="1"/>
  <c r="B3910" i="1" a="1"/>
  <c r="B3910" i="1" s="1"/>
  <c r="A3910" i="1" s="1"/>
  <c r="B3918" i="1" a="1"/>
  <c r="B3918" i="1" s="1"/>
  <c r="A3918" i="1" s="1"/>
  <c r="B3926" i="1" a="1"/>
  <c r="B3926" i="1" s="1"/>
  <c r="A3926" i="1" s="1"/>
  <c r="B3934" i="1" a="1"/>
  <c r="B3934" i="1" s="1"/>
  <c r="A3934" i="1" s="1"/>
  <c r="B3942" i="1" a="1"/>
  <c r="B3942" i="1" s="1"/>
  <c r="A3942" i="1" s="1"/>
  <c r="B3950" i="1" a="1"/>
  <c r="B3950" i="1" s="1"/>
  <c r="A3950" i="1" s="1"/>
  <c r="B3958" i="1" a="1"/>
  <c r="B3958" i="1" s="1"/>
  <c r="A3958" i="1" s="1"/>
  <c r="B3966" i="1" a="1"/>
  <c r="B3966" i="1" s="1"/>
  <c r="A3966" i="1" s="1"/>
  <c r="B3974" i="1" a="1"/>
  <c r="B3974" i="1" s="1"/>
  <c r="A3974" i="1" s="1"/>
  <c r="B3982" i="1" a="1"/>
  <c r="B3982" i="1" s="1"/>
  <c r="A3982" i="1" s="1"/>
  <c r="B3990" i="1" a="1"/>
  <c r="B3990" i="1" s="1"/>
  <c r="A3990" i="1" s="1"/>
  <c r="B3998" i="1" a="1"/>
  <c r="B3998" i="1" s="1"/>
  <c r="A3998" i="1" s="1"/>
  <c r="B4006" i="1" a="1"/>
  <c r="B4006" i="1" s="1"/>
  <c r="A4006" i="1" s="1"/>
  <c r="B4014" i="1" a="1"/>
  <c r="B4014" i="1" s="1"/>
  <c r="A4014" i="1" s="1"/>
  <c r="B4022" i="1" a="1"/>
  <c r="B4022" i="1" s="1"/>
  <c r="A4022" i="1" s="1"/>
  <c r="B4030" i="1" a="1"/>
  <c r="B4030" i="1" s="1"/>
  <c r="A4030" i="1" s="1"/>
  <c r="B4038" i="1" a="1"/>
  <c r="B4038" i="1" s="1"/>
  <c r="A4038" i="1" s="1"/>
  <c r="B4046" i="1" a="1"/>
  <c r="B4046" i="1" s="1"/>
  <c r="A4046" i="1" s="1"/>
  <c r="B4054" i="1" a="1"/>
  <c r="B4054" i="1" s="1"/>
  <c r="A4054" i="1" s="1"/>
  <c r="B4062" i="1" a="1"/>
  <c r="B4062" i="1" s="1"/>
  <c r="A4062" i="1" s="1"/>
  <c r="B4070" i="1" a="1"/>
  <c r="B4070" i="1" s="1"/>
  <c r="A4070" i="1" s="1"/>
  <c r="B4078" i="1" a="1"/>
  <c r="B4078" i="1" s="1"/>
  <c r="A4078" i="1" s="1"/>
  <c r="B4086" i="1" a="1"/>
  <c r="B4086" i="1" s="1"/>
  <c r="A4086" i="1" s="1"/>
  <c r="B4094" i="1" a="1"/>
  <c r="B4094" i="1" s="1"/>
  <c r="A4094" i="1" s="1"/>
  <c r="B4102" i="1" a="1"/>
  <c r="B4102" i="1" s="1"/>
  <c r="A4102" i="1" s="1"/>
  <c r="B4110" i="1" a="1"/>
  <c r="B4110" i="1" s="1"/>
  <c r="A4110" i="1" s="1"/>
  <c r="B4118" i="1" a="1"/>
  <c r="B4118" i="1" s="1"/>
  <c r="A4118" i="1" s="1"/>
  <c r="B4126" i="1" a="1"/>
  <c r="B4126" i="1" s="1"/>
  <c r="A4126" i="1" s="1"/>
  <c r="B4134" i="1" a="1"/>
  <c r="B4134" i="1" s="1"/>
  <c r="A4134" i="1" s="1"/>
  <c r="B4145" i="1" a="1"/>
  <c r="B4145" i="1" s="1"/>
  <c r="A4145" i="1" s="1"/>
  <c r="B4151" i="1" a="1"/>
  <c r="B4151" i="1" s="1"/>
  <c r="A4151" i="1" s="1"/>
  <c r="B4158" i="1" a="1"/>
  <c r="B4158" i="1" s="1"/>
  <c r="A4158" i="1" s="1"/>
  <c r="B4166" i="1" a="1"/>
  <c r="B4166" i="1" s="1"/>
  <c r="A4166" i="1" s="1"/>
  <c r="B4174" i="1" a="1"/>
  <c r="B4174" i="1" s="1"/>
  <c r="A4174" i="1" s="1"/>
  <c r="B4182" i="1" a="1"/>
  <c r="B4182" i="1" s="1"/>
  <c r="A4182" i="1" s="1"/>
  <c r="B4190" i="1" a="1"/>
  <c r="B4190" i="1" s="1"/>
  <c r="A4190" i="1" s="1"/>
  <c r="B4198" i="1" a="1"/>
  <c r="B4198" i="1" s="1"/>
  <c r="A4198" i="1" s="1"/>
  <c r="B4206" i="1" a="1"/>
  <c r="B4206" i="1" s="1"/>
  <c r="A4206" i="1" s="1"/>
  <c r="B4214" i="1" a="1"/>
  <c r="B4214" i="1" s="1"/>
  <c r="A4214" i="1" s="1"/>
  <c r="B4222" i="1" a="1"/>
  <c r="B4222" i="1" s="1"/>
  <c r="A4222" i="1" s="1"/>
  <c r="B4230" i="1" a="1"/>
  <c r="B4230" i="1" s="1"/>
  <c r="A4230" i="1" s="1"/>
  <c r="B4238" i="1" a="1"/>
  <c r="B4238" i="1" s="1"/>
  <c r="A4238" i="1" s="1"/>
  <c r="B4246" i="1" a="1"/>
  <c r="B4246" i="1" s="1"/>
  <c r="A4246" i="1" s="1"/>
  <c r="B4254" i="1" a="1"/>
  <c r="B4254" i="1" s="1"/>
  <c r="A4254" i="1" s="1"/>
  <c r="B4262" i="1" a="1"/>
  <c r="B4262" i="1" s="1"/>
  <c r="A4262" i="1" s="1"/>
  <c r="B4270" i="1" a="1"/>
  <c r="B4270" i="1" s="1"/>
  <c r="A4270" i="1" s="1"/>
  <c r="B4278" i="1" a="1"/>
  <c r="B4278" i="1" s="1"/>
  <c r="A4278" i="1" s="1"/>
  <c r="B4286" i="1" a="1"/>
  <c r="B4286" i="1" s="1"/>
  <c r="A4286" i="1" s="1"/>
  <c r="B4294" i="1" a="1"/>
  <c r="B4294" i="1" s="1"/>
  <c r="A4294" i="1" s="1"/>
  <c r="B4302" i="1" a="1"/>
  <c r="B4302" i="1" s="1"/>
  <c r="A4302" i="1" s="1"/>
  <c r="B4310" i="1" a="1"/>
  <c r="B4310" i="1" s="1"/>
  <c r="A4310" i="1" s="1"/>
  <c r="B4318" i="1" a="1"/>
  <c r="B4318" i="1" s="1"/>
  <c r="A4318" i="1" s="1"/>
  <c r="B4326" i="1" a="1"/>
  <c r="B4326" i="1" s="1"/>
  <c r="A4326" i="1" s="1"/>
  <c r="B4334" i="1" a="1"/>
  <c r="B4334" i="1" s="1"/>
  <c r="A4334" i="1" s="1"/>
  <c r="B4342" i="1" a="1"/>
  <c r="B4342" i="1" s="1"/>
  <c r="A4342" i="1" s="1"/>
  <c r="B4350" i="1" a="1"/>
  <c r="B4350" i="1" s="1"/>
  <c r="A4350" i="1" s="1"/>
  <c r="B4358" i="1" a="1"/>
  <c r="B4358" i="1" s="1"/>
  <c r="A4358" i="1" s="1"/>
  <c r="B4366" i="1" a="1"/>
  <c r="B4366" i="1" s="1"/>
  <c r="A4366" i="1" s="1"/>
  <c r="B4374" i="1" a="1"/>
  <c r="B4374" i="1" s="1"/>
  <c r="A4374" i="1" s="1"/>
  <c r="B4382" i="1" a="1"/>
  <c r="B4382" i="1" s="1"/>
  <c r="A4382" i="1" s="1"/>
  <c r="B4390" i="1" a="1"/>
  <c r="B4390" i="1" s="1"/>
  <c r="A4390" i="1" s="1"/>
  <c r="B4398" i="1" a="1"/>
  <c r="B4398" i="1" s="1"/>
  <c r="A4398" i="1" s="1"/>
  <c r="B4406" i="1" a="1"/>
  <c r="B4406" i="1" s="1"/>
  <c r="A4406" i="1" s="1"/>
  <c r="B4414" i="1" a="1"/>
  <c r="B4414" i="1" s="1"/>
  <c r="A4414" i="1" s="1"/>
  <c r="B4422" i="1" a="1"/>
  <c r="B4422" i="1" s="1"/>
  <c r="A4422" i="1" s="1"/>
  <c r="B4430" i="1" a="1"/>
  <c r="B4430" i="1" s="1"/>
  <c r="A4430" i="1" s="1"/>
  <c r="B4438" i="1" a="1"/>
  <c r="B4438" i="1" s="1"/>
  <c r="A4438" i="1" s="1"/>
  <c r="B4446" i="1" a="1"/>
  <c r="B4446" i="1" s="1"/>
  <c r="A4446" i="1" s="1"/>
  <c r="B4454" i="1" a="1"/>
  <c r="B4454" i="1" s="1"/>
  <c r="A4454" i="1" s="1"/>
  <c r="B4462" i="1" a="1"/>
  <c r="B4462" i="1" s="1"/>
  <c r="A4462" i="1" s="1"/>
  <c r="B4470" i="1" a="1"/>
  <c r="B4470" i="1" s="1"/>
  <c r="A4470" i="1" s="1"/>
  <c r="B4478" i="1" a="1"/>
  <c r="B4478" i="1" s="1"/>
  <c r="A4478" i="1" s="1"/>
  <c r="B4486" i="1" a="1"/>
  <c r="B4486" i="1" s="1"/>
  <c r="A4486" i="1" s="1"/>
  <c r="B4494" i="1" a="1"/>
  <c r="B4494" i="1" s="1"/>
  <c r="A4494" i="1" s="1"/>
  <c r="B4502" i="1" a="1"/>
  <c r="B4502" i="1" s="1"/>
  <c r="A4502" i="1" s="1"/>
  <c r="B4510" i="1" a="1"/>
  <c r="B4510" i="1" s="1"/>
  <c r="A4510" i="1" s="1"/>
  <c r="B4518" i="1" a="1"/>
  <c r="B4518" i="1" s="1"/>
  <c r="A4518" i="1" s="1"/>
  <c r="B4526" i="1" a="1"/>
  <c r="B4526" i="1" s="1"/>
  <c r="A4526" i="1" s="1"/>
  <c r="B4534" i="1" a="1"/>
  <c r="B4534" i="1" s="1"/>
  <c r="A4534" i="1" s="1"/>
  <c r="B4542" i="1" a="1"/>
  <c r="B4542" i="1" s="1"/>
  <c r="A4542" i="1" s="1"/>
  <c r="B4550" i="1" a="1"/>
  <c r="B4550" i="1" s="1"/>
  <c r="A4550" i="1" s="1"/>
  <c r="B4558" i="1" a="1"/>
  <c r="B4558" i="1" s="1"/>
  <c r="A4558" i="1" s="1"/>
  <c r="B4566" i="1" a="1"/>
  <c r="B4566" i="1" s="1"/>
  <c r="A4566" i="1" s="1"/>
  <c r="B4574" i="1" a="1"/>
  <c r="B4574" i="1" s="1"/>
  <c r="A4574" i="1" s="1"/>
  <c r="B4582" i="1" a="1"/>
  <c r="B4582" i="1" s="1"/>
  <c r="A4582" i="1" s="1"/>
  <c r="B4590" i="1" a="1"/>
  <c r="B4590" i="1" s="1"/>
  <c r="A4590" i="1" s="1"/>
  <c r="B4598" i="1" a="1"/>
  <c r="B4598" i="1" s="1"/>
  <c r="A4598" i="1" s="1"/>
  <c r="B4606" i="1" a="1"/>
  <c r="B4606" i="1" s="1"/>
  <c r="A4606" i="1" s="1"/>
  <c r="B4614" i="1" a="1"/>
  <c r="B4614" i="1" s="1"/>
  <c r="A4614" i="1" s="1"/>
  <c r="B4622" i="1" a="1"/>
  <c r="B4622" i="1" s="1"/>
  <c r="A4622" i="1" s="1"/>
  <c r="B4630" i="1" a="1"/>
  <c r="B4630" i="1" s="1"/>
  <c r="A4630" i="1" s="1"/>
  <c r="B4638" i="1" a="1"/>
  <c r="B4638" i="1" s="1"/>
  <c r="A4638" i="1" s="1"/>
  <c r="B4646" i="1" a="1"/>
  <c r="B4646" i="1" s="1"/>
  <c r="A4646" i="1" s="1"/>
  <c r="B4654" i="1" a="1"/>
  <c r="B4654" i="1" s="1"/>
  <c r="A4654" i="1" s="1"/>
  <c r="B4662" i="1" a="1"/>
  <c r="B4662" i="1" s="1"/>
  <c r="A4662" i="1" s="1"/>
  <c r="B4670" i="1" a="1"/>
  <c r="B4670" i="1" s="1"/>
  <c r="A4670" i="1" s="1"/>
  <c r="B4678" i="1" a="1"/>
  <c r="B4678" i="1" s="1"/>
  <c r="A4678" i="1" s="1"/>
  <c r="B4686" i="1" a="1"/>
  <c r="B4686" i="1" s="1"/>
  <c r="A4686" i="1" s="1"/>
  <c r="B4694" i="1" a="1"/>
  <c r="B4694" i="1" s="1"/>
  <c r="A4694" i="1" s="1"/>
  <c r="B4702" i="1" a="1"/>
  <c r="B4702" i="1" s="1"/>
  <c r="A4702" i="1" s="1"/>
  <c r="B4710" i="1" a="1"/>
  <c r="B4710" i="1" s="1"/>
  <c r="A4710" i="1" s="1"/>
  <c r="B4718" i="1" a="1"/>
  <c r="B4718" i="1" s="1"/>
  <c r="A4718" i="1" s="1"/>
  <c r="B4726" i="1" a="1"/>
  <c r="B4726" i="1" s="1"/>
  <c r="A4726" i="1" s="1"/>
  <c r="B4734" i="1" a="1"/>
  <c r="B4734" i="1" s="1"/>
  <c r="A4734" i="1" s="1"/>
  <c r="B4742" i="1" a="1"/>
  <c r="B4742" i="1" s="1"/>
  <c r="A4742" i="1" s="1"/>
  <c r="B4750" i="1" a="1"/>
  <c r="B4750" i="1" s="1"/>
  <c r="A4750" i="1" s="1"/>
  <c r="B4758" i="1" a="1"/>
  <c r="B4758" i="1" s="1"/>
  <c r="A4758" i="1" s="1"/>
  <c r="B4766" i="1" a="1"/>
  <c r="B4766" i="1" s="1"/>
  <c r="A4766" i="1" s="1"/>
  <c r="B4774" i="1" a="1"/>
  <c r="B4774" i="1" s="1"/>
  <c r="A4774" i="1" s="1"/>
  <c r="B4782" i="1" a="1"/>
  <c r="B4782" i="1" s="1"/>
  <c r="A4782" i="1" s="1"/>
  <c r="B4790" i="1" a="1"/>
  <c r="B4790" i="1" s="1"/>
  <c r="A4790" i="1" s="1"/>
  <c r="B4798" i="1" a="1"/>
  <c r="B4798" i="1" s="1"/>
  <c r="A4798" i="1" s="1"/>
  <c r="B4806" i="1" a="1"/>
  <c r="B4806" i="1" s="1"/>
  <c r="A4806" i="1" s="1"/>
  <c r="B4814" i="1" a="1"/>
  <c r="B4814" i="1" s="1"/>
  <c r="A4814" i="1" s="1"/>
  <c r="B4822" i="1" a="1"/>
  <c r="B4822" i="1" s="1"/>
  <c r="A4822" i="1" s="1"/>
  <c r="B4830" i="1" a="1"/>
  <c r="B4830" i="1" s="1"/>
  <c r="A4830" i="1" s="1"/>
  <c r="B4837" i="1" a="1"/>
  <c r="B4837" i="1" s="1"/>
  <c r="A4837" i="1" s="1"/>
  <c r="B4848" i="1" a="1"/>
  <c r="B4848" i="1" s="1"/>
  <c r="A4848" i="1" s="1"/>
  <c r="B4854" i="1" a="1"/>
  <c r="B4854" i="1" s="1"/>
  <c r="A4854" i="1" s="1"/>
  <c r="B4862" i="1" a="1"/>
  <c r="B4862" i="1" s="1"/>
  <c r="A4862" i="1" s="1"/>
  <c r="B4870" i="1" a="1"/>
  <c r="B4870" i="1" s="1"/>
  <c r="A4870" i="1" s="1"/>
  <c r="B4994" i="1" a="1"/>
  <c r="B4994" i="1" s="1"/>
  <c r="A4994" i="1" s="1"/>
  <c r="B4986" i="1" a="1"/>
  <c r="B4986" i="1" s="1"/>
  <c r="A4986" i="1" s="1"/>
  <c r="B4978" i="1" a="1"/>
  <c r="B4978" i="1" s="1"/>
  <c r="A4978" i="1" s="1"/>
  <c r="B4970" i="1" a="1"/>
  <c r="B4970" i="1" s="1"/>
  <c r="A4970" i="1" s="1"/>
  <c r="B4962" i="1" a="1"/>
  <c r="B4962" i="1" s="1"/>
  <c r="A4962" i="1" s="1"/>
  <c r="B4954" i="1" a="1"/>
  <c r="B4954" i="1" s="1"/>
  <c r="A4954" i="1" s="1"/>
  <c r="B4946" i="1" a="1"/>
  <c r="B4946" i="1" s="1"/>
  <c r="A4946" i="1" s="1"/>
  <c r="B4938" i="1" a="1"/>
  <c r="B4938" i="1" s="1"/>
  <c r="A4938" i="1" s="1"/>
  <c r="B4930" i="1" a="1"/>
  <c r="B4930" i="1" s="1"/>
  <c r="A4930" i="1" s="1"/>
  <c r="B4922" i="1" a="1"/>
  <c r="B4922" i="1" s="1"/>
  <c r="A4922" i="1" s="1"/>
  <c r="B4914" i="1" a="1"/>
  <c r="B4914" i="1" s="1"/>
  <c r="A4914" i="1" s="1"/>
  <c r="B4906" i="1" a="1"/>
  <c r="B4906" i="1" s="1"/>
  <c r="A4906" i="1" s="1"/>
  <c r="B4898" i="1" a="1"/>
  <c r="B4898" i="1" s="1"/>
  <c r="A4898" i="1" s="1"/>
  <c r="B4890" i="1" a="1"/>
  <c r="B4890" i="1" s="1"/>
  <c r="A4890" i="1" s="1"/>
  <c r="B4882" i="1" a="1"/>
  <c r="B4882" i="1" s="1"/>
  <c r="A4882" i="1" s="1"/>
  <c r="B4874" i="1" a="1"/>
  <c r="B4874" i="1" s="1"/>
  <c r="A4874" i="1" s="1"/>
  <c r="B4842" i="1" a="1"/>
  <c r="B4842" i="1" s="1"/>
  <c r="A4842" i="1" s="1"/>
  <c r="B4781" i="1" a="1"/>
  <c r="B4781" i="1" s="1"/>
  <c r="A4781" i="1" s="1"/>
  <c r="B4717" i="1" a="1"/>
  <c r="B4717" i="1" s="1"/>
  <c r="A4717" i="1" s="1"/>
  <c r="B4653" i="1" a="1"/>
  <c r="B4653" i="1" s="1"/>
  <c r="A4653" i="1" s="1"/>
  <c r="B4589" i="1" a="1"/>
  <c r="B4589" i="1" s="1"/>
  <c r="A4589" i="1" s="1"/>
  <c r="B4525" i="1" a="1"/>
  <c r="B4525" i="1" s="1"/>
  <c r="A4525" i="1" s="1"/>
  <c r="B4461" i="1" a="1"/>
  <c r="B4461" i="1" s="1"/>
  <c r="A4461" i="1" s="1"/>
  <c r="B4397" i="1" a="1"/>
  <c r="B4397" i="1" s="1"/>
  <c r="A4397" i="1" s="1"/>
  <c r="B4333" i="1" a="1"/>
  <c r="B4333" i="1" s="1"/>
  <c r="A4333" i="1" s="1"/>
  <c r="B4269" i="1" a="1"/>
  <c r="B4269" i="1" s="1"/>
  <c r="A4269" i="1" s="1"/>
  <c r="B4205" i="1" a="1"/>
  <c r="B4205" i="1" s="1"/>
  <c r="A4205" i="1" s="1"/>
  <c r="B4085" i="1" a="1"/>
  <c r="B4085" i="1" s="1"/>
  <c r="A4085" i="1" s="1"/>
  <c r="B4021" i="1" a="1"/>
  <c r="B4021" i="1" s="1"/>
  <c r="A4021" i="1" s="1"/>
  <c r="B3957" i="1" a="1"/>
  <c r="B3957" i="1" s="1"/>
  <c r="A3957" i="1" s="1"/>
  <c r="B3893" i="1" a="1"/>
  <c r="B3893" i="1" s="1"/>
  <c r="A3893" i="1" s="1"/>
  <c r="B3829" i="1" a="1"/>
  <c r="B3829" i="1" s="1"/>
  <c r="A3829" i="1" s="1"/>
  <c r="B3765" i="1" a="1"/>
  <c r="B3765" i="1" s="1"/>
  <c r="A3765" i="1" s="1"/>
  <c r="B3701" i="1" a="1"/>
  <c r="B3701" i="1" s="1"/>
  <c r="A3701" i="1" s="1"/>
  <c r="B3637" i="1" a="1"/>
  <c r="B3637" i="1" s="1"/>
  <c r="A3637" i="1" s="1"/>
  <c r="B5001" i="1" a="1"/>
  <c r="B5001" i="1" s="1"/>
  <c r="A5001" i="1" s="1"/>
  <c r="B4993" i="1" a="1"/>
  <c r="B4993" i="1" s="1"/>
  <c r="A4993" i="1" s="1"/>
  <c r="B4985" i="1" a="1"/>
  <c r="B4985" i="1" s="1"/>
  <c r="A4985" i="1" s="1"/>
  <c r="B4977" i="1" a="1"/>
  <c r="B4977" i="1" s="1"/>
  <c r="A4977" i="1" s="1"/>
  <c r="B4969" i="1" a="1"/>
  <c r="B4969" i="1" s="1"/>
  <c r="A4969" i="1" s="1"/>
  <c r="B4961" i="1" a="1"/>
  <c r="B4961" i="1" s="1"/>
  <c r="A4961" i="1" s="1"/>
  <c r="B4953" i="1" a="1"/>
  <c r="B4953" i="1" s="1"/>
  <c r="A4953" i="1" s="1"/>
  <c r="B4945" i="1" a="1"/>
  <c r="B4945" i="1" s="1"/>
  <c r="A4945" i="1" s="1"/>
  <c r="B4937" i="1" a="1"/>
  <c r="B4937" i="1" s="1"/>
  <c r="A4937" i="1" s="1"/>
  <c r="B4929" i="1" a="1"/>
  <c r="B4929" i="1" s="1"/>
  <c r="A4929" i="1" s="1"/>
  <c r="B4921" i="1" a="1"/>
  <c r="B4921" i="1" s="1"/>
  <c r="A4921" i="1" s="1"/>
  <c r="B4913" i="1" a="1"/>
  <c r="B4913" i="1" s="1"/>
  <c r="A4913" i="1" s="1"/>
  <c r="B4905" i="1" a="1"/>
  <c r="B4905" i="1" s="1"/>
  <c r="A4905" i="1" s="1"/>
  <c r="B4897" i="1" a="1"/>
  <c r="B4897" i="1" s="1"/>
  <c r="A4897" i="1" s="1"/>
  <c r="B4889" i="1" a="1"/>
  <c r="B4889" i="1" s="1"/>
  <c r="A4889" i="1" s="1"/>
  <c r="B4881" i="1" a="1"/>
  <c r="B4881" i="1" s="1"/>
  <c r="A4881" i="1" s="1"/>
  <c r="B4873" i="1" a="1"/>
  <c r="B4873" i="1" s="1"/>
  <c r="A4873" i="1" s="1"/>
  <c r="B4836" i="1" a="1"/>
  <c r="B4836" i="1" s="1"/>
  <c r="A4836" i="1" s="1"/>
  <c r="B4773" i="1" a="1"/>
  <c r="B4773" i="1" s="1"/>
  <c r="A4773" i="1" s="1"/>
  <c r="B4709" i="1" a="1"/>
  <c r="B4709" i="1" s="1"/>
  <c r="A4709" i="1" s="1"/>
  <c r="B4645" i="1" a="1"/>
  <c r="B4645" i="1" s="1"/>
  <c r="A4645" i="1" s="1"/>
  <c r="B4581" i="1" a="1"/>
  <c r="B4581" i="1" s="1"/>
  <c r="A4581" i="1" s="1"/>
  <c r="B4517" i="1" a="1"/>
  <c r="B4517" i="1" s="1"/>
  <c r="A4517" i="1" s="1"/>
  <c r="B4453" i="1" a="1"/>
  <c r="B4453" i="1" s="1"/>
  <c r="A4453" i="1" s="1"/>
  <c r="B4389" i="1" a="1"/>
  <c r="B4389" i="1" s="1"/>
  <c r="A4389" i="1" s="1"/>
  <c r="B4325" i="1" a="1"/>
  <c r="B4325" i="1" s="1"/>
  <c r="A4325" i="1" s="1"/>
  <c r="B4261" i="1" a="1"/>
  <c r="B4261" i="1" s="1"/>
  <c r="A4261" i="1" s="1"/>
  <c r="B4197" i="1" a="1"/>
  <c r="B4197" i="1" s="1"/>
  <c r="A4197" i="1" s="1"/>
  <c r="B4140" i="1" a="1"/>
  <c r="B4140" i="1" s="1"/>
  <c r="A4140" i="1" s="1"/>
  <c r="B4077" i="1" a="1"/>
  <c r="B4077" i="1" s="1"/>
  <c r="A4077" i="1" s="1"/>
  <c r="B4013" i="1" a="1"/>
  <c r="B4013" i="1" s="1"/>
  <c r="A4013" i="1" s="1"/>
  <c r="B3949" i="1" a="1"/>
  <c r="B3949" i="1" s="1"/>
  <c r="A3949" i="1" s="1"/>
  <c r="B3885" i="1" a="1"/>
  <c r="B3885" i="1" s="1"/>
  <c r="A3885" i="1" s="1"/>
  <c r="B3821" i="1" a="1"/>
  <c r="B3821" i="1" s="1"/>
  <c r="A3821" i="1" s="1"/>
  <c r="B3757" i="1" a="1"/>
  <c r="B3757" i="1" s="1"/>
  <c r="A3757" i="1" s="1"/>
  <c r="B3693" i="1" a="1"/>
  <c r="B3693" i="1" s="1"/>
  <c r="A3693" i="1" s="1"/>
  <c r="B3629" i="1" a="1"/>
  <c r="B3629" i="1" s="1"/>
  <c r="A3629" i="1" s="1"/>
  <c r="B3368" i="1" a="1"/>
  <c r="B3368" i="1" s="1"/>
  <c r="A3368" i="1" s="1"/>
  <c r="B5000" i="1" a="1"/>
  <c r="B5000" i="1" s="1"/>
  <c r="A5000" i="1" s="1"/>
  <c r="B4992" i="1" a="1"/>
  <c r="B4992" i="1" s="1"/>
  <c r="A4992" i="1" s="1"/>
  <c r="B4984" i="1" a="1"/>
  <c r="B4984" i="1" s="1"/>
  <c r="A4984" i="1" s="1"/>
  <c r="B4976" i="1" a="1"/>
  <c r="B4976" i="1" s="1"/>
  <c r="A4976" i="1" s="1"/>
  <c r="B4968" i="1" a="1"/>
  <c r="B4968" i="1" s="1"/>
  <c r="A4968" i="1" s="1"/>
  <c r="B4960" i="1" a="1"/>
  <c r="B4960" i="1" s="1"/>
  <c r="A4960" i="1" s="1"/>
  <c r="B4952" i="1" a="1"/>
  <c r="B4952" i="1" s="1"/>
  <c r="A4952" i="1" s="1"/>
  <c r="B4944" i="1" a="1"/>
  <c r="B4944" i="1" s="1"/>
  <c r="A4944" i="1" s="1"/>
  <c r="B4936" i="1" a="1"/>
  <c r="B4936" i="1" s="1"/>
  <c r="A4936" i="1" s="1"/>
  <c r="B4928" i="1" a="1"/>
  <c r="B4928" i="1" s="1"/>
  <c r="A4928" i="1" s="1"/>
  <c r="B4920" i="1" a="1"/>
  <c r="B4920" i="1" s="1"/>
  <c r="A4920" i="1" s="1"/>
  <c r="B4912" i="1" a="1"/>
  <c r="B4912" i="1" s="1"/>
  <c r="A4912" i="1" s="1"/>
  <c r="B4904" i="1" a="1"/>
  <c r="B4904" i="1" s="1"/>
  <c r="A4904" i="1" s="1"/>
  <c r="B4896" i="1" a="1"/>
  <c r="B4896" i="1" s="1"/>
  <c r="A4896" i="1" s="1"/>
  <c r="B4888" i="1" a="1"/>
  <c r="B4888" i="1" s="1"/>
  <c r="A4888" i="1" s="1"/>
  <c r="B4880" i="1" a="1"/>
  <c r="B4880" i="1" s="1"/>
  <c r="A4880" i="1" s="1"/>
  <c r="B4872" i="1" a="1"/>
  <c r="B4872" i="1" s="1"/>
  <c r="A4872" i="1" s="1"/>
  <c r="B4829" i="1" a="1"/>
  <c r="B4829" i="1" s="1"/>
  <c r="A4829" i="1" s="1"/>
  <c r="B4765" i="1" a="1"/>
  <c r="B4765" i="1" s="1"/>
  <c r="A4765" i="1" s="1"/>
  <c r="B4701" i="1" a="1"/>
  <c r="B4701" i="1" s="1"/>
  <c r="A4701" i="1" s="1"/>
  <c r="B4637" i="1" a="1"/>
  <c r="B4637" i="1" s="1"/>
  <c r="A4637" i="1" s="1"/>
  <c r="B4573" i="1" a="1"/>
  <c r="B4573" i="1" s="1"/>
  <c r="A4573" i="1" s="1"/>
  <c r="B4509" i="1" a="1"/>
  <c r="B4509" i="1" s="1"/>
  <c r="A4509" i="1" s="1"/>
  <c r="B4445" i="1" a="1"/>
  <c r="B4445" i="1" s="1"/>
  <c r="A4445" i="1" s="1"/>
  <c r="B4381" i="1" a="1"/>
  <c r="B4381" i="1" s="1"/>
  <c r="A4381" i="1" s="1"/>
  <c r="B4317" i="1" a="1"/>
  <c r="B4317" i="1" s="1"/>
  <c r="A4317" i="1" s="1"/>
  <c r="B4253" i="1" a="1"/>
  <c r="B4253" i="1" s="1"/>
  <c r="A4253" i="1" s="1"/>
  <c r="B4189" i="1" a="1"/>
  <c r="B4189" i="1" s="1"/>
  <c r="A4189" i="1" s="1"/>
  <c r="B4133" i="1" a="1"/>
  <c r="B4133" i="1" s="1"/>
  <c r="A4133" i="1" s="1"/>
  <c r="B4069" i="1" a="1"/>
  <c r="B4069" i="1" s="1"/>
  <c r="A4069" i="1" s="1"/>
  <c r="B4005" i="1" a="1"/>
  <c r="B4005" i="1" s="1"/>
  <c r="A4005" i="1" s="1"/>
  <c r="B3941" i="1" a="1"/>
  <c r="B3941" i="1" s="1"/>
  <c r="A3941" i="1" s="1"/>
  <c r="B3877" i="1" a="1"/>
  <c r="B3877" i="1" s="1"/>
  <c r="A3877" i="1" s="1"/>
  <c r="B3813" i="1" a="1"/>
  <c r="B3813" i="1" s="1"/>
  <c r="A3813" i="1" s="1"/>
  <c r="B3749" i="1" a="1"/>
  <c r="B3749" i="1" s="1"/>
  <c r="A3749" i="1" s="1"/>
  <c r="B3685" i="1" a="1"/>
  <c r="B3685" i="1" s="1"/>
  <c r="A3685" i="1" s="1"/>
  <c r="B3621" i="1" a="1"/>
  <c r="B3621" i="1" s="1"/>
  <c r="A3621" i="1" s="1"/>
  <c r="B3305" i="1" a="1"/>
  <c r="B3305" i="1" s="1"/>
  <c r="A3305" i="1" s="1"/>
  <c r="B4999" i="1" a="1"/>
  <c r="B4999" i="1" s="1"/>
  <c r="A4999" i="1" s="1"/>
  <c r="B4991" i="1" a="1"/>
  <c r="B4991" i="1" s="1"/>
  <c r="A4991" i="1" s="1"/>
  <c r="B4983" i="1" a="1"/>
  <c r="B4983" i="1" s="1"/>
  <c r="A4983" i="1" s="1"/>
  <c r="B4975" i="1" a="1"/>
  <c r="B4975" i="1" s="1"/>
  <c r="A4975" i="1" s="1"/>
  <c r="B4967" i="1" a="1"/>
  <c r="B4967" i="1" s="1"/>
  <c r="A4967" i="1" s="1"/>
  <c r="B4959" i="1" a="1"/>
  <c r="B4959" i="1" s="1"/>
  <c r="A4959" i="1" s="1"/>
  <c r="B4951" i="1" a="1"/>
  <c r="B4951" i="1" s="1"/>
  <c r="A4951" i="1" s="1"/>
  <c r="B4943" i="1" a="1"/>
  <c r="B4943" i="1" s="1"/>
  <c r="A4943" i="1" s="1"/>
  <c r="B4935" i="1" a="1"/>
  <c r="B4935" i="1" s="1"/>
  <c r="A4935" i="1" s="1"/>
  <c r="B4927" i="1" a="1"/>
  <c r="B4927" i="1" s="1"/>
  <c r="A4927" i="1" s="1"/>
  <c r="B4919" i="1" a="1"/>
  <c r="B4919" i="1" s="1"/>
  <c r="A4919" i="1" s="1"/>
  <c r="B4911" i="1" a="1"/>
  <c r="B4911" i="1" s="1"/>
  <c r="A4911" i="1" s="1"/>
  <c r="B4903" i="1" a="1"/>
  <c r="B4903" i="1" s="1"/>
  <c r="A4903" i="1" s="1"/>
  <c r="B4895" i="1" a="1"/>
  <c r="B4895" i="1" s="1"/>
  <c r="A4895" i="1" s="1"/>
  <c r="B4887" i="1" a="1"/>
  <c r="B4887" i="1" s="1"/>
  <c r="A4887" i="1" s="1"/>
  <c r="B4879" i="1" a="1"/>
  <c r="B4879" i="1" s="1"/>
  <c r="A4879" i="1" s="1"/>
  <c r="B4871" i="1" a="1"/>
  <c r="B4871" i="1" s="1"/>
  <c r="A4871" i="1" s="1"/>
  <c r="B4821" i="1" a="1"/>
  <c r="B4821" i="1" s="1"/>
  <c r="A4821" i="1" s="1"/>
  <c r="B4757" i="1" a="1"/>
  <c r="B4757" i="1" s="1"/>
  <c r="A4757" i="1" s="1"/>
  <c r="B4693" i="1" a="1"/>
  <c r="B4693" i="1" s="1"/>
  <c r="A4693" i="1" s="1"/>
  <c r="B4629" i="1" a="1"/>
  <c r="B4629" i="1" s="1"/>
  <c r="A4629" i="1" s="1"/>
  <c r="B4565" i="1" a="1"/>
  <c r="B4565" i="1" s="1"/>
  <c r="A4565" i="1" s="1"/>
  <c r="B4501" i="1" a="1"/>
  <c r="B4501" i="1" s="1"/>
  <c r="A4501" i="1" s="1"/>
  <c r="B4437" i="1" a="1"/>
  <c r="B4437" i="1" s="1"/>
  <c r="A4437" i="1" s="1"/>
  <c r="B4373" i="1" a="1"/>
  <c r="B4373" i="1" s="1"/>
  <c r="A4373" i="1" s="1"/>
  <c r="B4309" i="1" a="1"/>
  <c r="B4309" i="1" s="1"/>
  <c r="A4309" i="1" s="1"/>
  <c r="B4245" i="1" a="1"/>
  <c r="B4245" i="1" s="1"/>
  <c r="A4245" i="1" s="1"/>
  <c r="B4181" i="1" a="1"/>
  <c r="B4181" i="1" s="1"/>
  <c r="A4181" i="1" s="1"/>
  <c r="B4125" i="1" a="1"/>
  <c r="B4125" i="1" s="1"/>
  <c r="A4125" i="1" s="1"/>
  <c r="B4061" i="1" a="1"/>
  <c r="B4061" i="1" s="1"/>
  <c r="A4061" i="1" s="1"/>
  <c r="B3997" i="1" a="1"/>
  <c r="B3997" i="1" s="1"/>
  <c r="A3997" i="1" s="1"/>
  <c r="B3933" i="1" a="1"/>
  <c r="B3933" i="1" s="1"/>
  <c r="A3933" i="1" s="1"/>
  <c r="B3869" i="1" a="1"/>
  <c r="B3869" i="1" s="1"/>
  <c r="A3869" i="1" s="1"/>
  <c r="B3805" i="1" a="1"/>
  <c r="B3805" i="1" s="1"/>
  <c r="A3805" i="1" s="1"/>
  <c r="B3741" i="1" a="1"/>
  <c r="B3741" i="1" s="1"/>
  <c r="A3741" i="1" s="1"/>
  <c r="B3677" i="1" a="1"/>
  <c r="B3677" i="1" s="1"/>
  <c r="A3677" i="1" s="1"/>
  <c r="B3613" i="1" a="1"/>
  <c r="B3613" i="1" s="1"/>
  <c r="A3613" i="1" s="1"/>
  <c r="B3241" i="1" a="1"/>
  <c r="B3241" i="1" s="1"/>
  <c r="A3241" i="1" s="1"/>
  <c r="B4998" i="1" a="1"/>
  <c r="B4998" i="1" s="1"/>
  <c r="A4998" i="1" s="1"/>
  <c r="B4990" i="1" a="1"/>
  <c r="B4990" i="1" s="1"/>
  <c r="A4990" i="1" s="1"/>
  <c r="B4982" i="1" a="1"/>
  <c r="B4982" i="1" s="1"/>
  <c r="A4982" i="1" s="1"/>
  <c r="B4974" i="1" a="1"/>
  <c r="B4974" i="1" s="1"/>
  <c r="A4974" i="1" s="1"/>
  <c r="B4966" i="1" a="1"/>
  <c r="B4966" i="1" s="1"/>
  <c r="A4966" i="1" s="1"/>
  <c r="B4958" i="1" a="1"/>
  <c r="B4958" i="1" s="1"/>
  <c r="A4958" i="1" s="1"/>
  <c r="B4950" i="1" a="1"/>
  <c r="B4950" i="1" s="1"/>
  <c r="A4950" i="1" s="1"/>
  <c r="B4942" i="1" a="1"/>
  <c r="B4942" i="1" s="1"/>
  <c r="A4942" i="1" s="1"/>
  <c r="B4934" i="1" a="1"/>
  <c r="B4934" i="1" s="1"/>
  <c r="A4934" i="1" s="1"/>
  <c r="B4926" i="1" a="1"/>
  <c r="B4926" i="1" s="1"/>
  <c r="A4926" i="1" s="1"/>
  <c r="B4918" i="1" a="1"/>
  <c r="B4918" i="1" s="1"/>
  <c r="A4918" i="1" s="1"/>
  <c r="B4910" i="1" a="1"/>
  <c r="B4910" i="1" s="1"/>
  <c r="A4910" i="1" s="1"/>
  <c r="B4902" i="1" a="1"/>
  <c r="B4902" i="1" s="1"/>
  <c r="A4902" i="1" s="1"/>
  <c r="B4894" i="1" a="1"/>
  <c r="B4894" i="1" s="1"/>
  <c r="A4894" i="1" s="1"/>
  <c r="B4886" i="1" a="1"/>
  <c r="B4886" i="1" s="1"/>
  <c r="A4886" i="1" s="1"/>
  <c r="B4878" i="1" a="1"/>
  <c r="B4878" i="1" s="1"/>
  <c r="A4878" i="1" s="1"/>
  <c r="B4869" i="1" a="1"/>
  <c r="B4869" i="1" s="1"/>
  <c r="A4869" i="1" s="1"/>
  <c r="B4813" i="1" a="1"/>
  <c r="B4813" i="1" s="1"/>
  <c r="A4813" i="1" s="1"/>
  <c r="B4749" i="1" a="1"/>
  <c r="B4749" i="1" s="1"/>
  <c r="A4749" i="1" s="1"/>
  <c r="B4685" i="1" a="1"/>
  <c r="B4685" i="1" s="1"/>
  <c r="A4685" i="1" s="1"/>
  <c r="B4621" i="1" a="1"/>
  <c r="B4621" i="1" s="1"/>
  <c r="A4621" i="1" s="1"/>
  <c r="B4557" i="1" a="1"/>
  <c r="B4557" i="1" s="1"/>
  <c r="A4557" i="1" s="1"/>
  <c r="B4493" i="1" a="1"/>
  <c r="B4493" i="1" s="1"/>
  <c r="A4493" i="1" s="1"/>
  <c r="B4429" i="1" a="1"/>
  <c r="B4429" i="1" s="1"/>
  <c r="A4429" i="1" s="1"/>
  <c r="B4365" i="1" a="1"/>
  <c r="B4365" i="1" s="1"/>
  <c r="A4365" i="1" s="1"/>
  <c r="B4301" i="1" a="1"/>
  <c r="B4301" i="1" s="1"/>
  <c r="A4301" i="1" s="1"/>
  <c r="B4237" i="1" a="1"/>
  <c r="B4237" i="1" s="1"/>
  <c r="A4237" i="1" s="1"/>
  <c r="B4173" i="1" a="1"/>
  <c r="B4173" i="1" s="1"/>
  <c r="A4173" i="1" s="1"/>
  <c r="B4117" i="1" a="1"/>
  <c r="B4117" i="1" s="1"/>
  <c r="A4117" i="1" s="1"/>
  <c r="B4053" i="1" a="1"/>
  <c r="B4053" i="1" s="1"/>
  <c r="A4053" i="1" s="1"/>
  <c r="B3989" i="1" a="1"/>
  <c r="B3989" i="1" s="1"/>
  <c r="A3989" i="1" s="1"/>
  <c r="B3925" i="1" a="1"/>
  <c r="B3925" i="1" s="1"/>
  <c r="A3925" i="1" s="1"/>
  <c r="B3861" i="1" a="1"/>
  <c r="B3861" i="1" s="1"/>
  <c r="A3861" i="1" s="1"/>
  <c r="B3797" i="1" a="1"/>
  <c r="B3797" i="1" s="1"/>
  <c r="A3797" i="1" s="1"/>
  <c r="B3733" i="1" a="1"/>
  <c r="B3733" i="1" s="1"/>
  <c r="A3733" i="1" s="1"/>
  <c r="B3669" i="1" a="1"/>
  <c r="B3669" i="1" s="1"/>
  <c r="A3669" i="1" s="1"/>
  <c r="B3605" i="1" a="1"/>
  <c r="B3605" i="1" s="1"/>
  <c r="A3605" i="1" s="1"/>
  <c r="B3177" i="1" a="1"/>
  <c r="B3177" i="1" s="1"/>
  <c r="A3177" i="1" s="1"/>
  <c r="B4997" i="1" a="1"/>
  <c r="B4997" i="1" s="1"/>
  <c r="A4997" i="1" s="1"/>
  <c r="B4989" i="1" a="1"/>
  <c r="B4989" i="1" s="1"/>
  <c r="A4989" i="1" s="1"/>
  <c r="B4981" i="1" a="1"/>
  <c r="B4981" i="1" s="1"/>
  <c r="A4981" i="1" s="1"/>
  <c r="B4973" i="1" a="1"/>
  <c r="B4973" i="1" s="1"/>
  <c r="A4973" i="1" s="1"/>
  <c r="B4965" i="1" a="1"/>
  <c r="B4965" i="1" s="1"/>
  <c r="A4965" i="1" s="1"/>
  <c r="B4957" i="1" a="1"/>
  <c r="B4957" i="1" s="1"/>
  <c r="A4957" i="1" s="1"/>
  <c r="B4949" i="1" a="1"/>
  <c r="B4949" i="1" s="1"/>
  <c r="A4949" i="1" s="1"/>
  <c r="B4941" i="1" a="1"/>
  <c r="B4941" i="1" s="1"/>
  <c r="A4941" i="1" s="1"/>
  <c r="B4933" i="1" a="1"/>
  <c r="B4933" i="1" s="1"/>
  <c r="A4933" i="1" s="1"/>
  <c r="B4925" i="1" a="1"/>
  <c r="B4925" i="1" s="1"/>
  <c r="A4925" i="1" s="1"/>
  <c r="B4917" i="1" a="1"/>
  <c r="B4917" i="1" s="1"/>
  <c r="A4917" i="1" s="1"/>
  <c r="B4909" i="1" a="1"/>
  <c r="B4909" i="1" s="1"/>
  <c r="A4909" i="1" s="1"/>
  <c r="B4901" i="1" a="1"/>
  <c r="B4901" i="1" s="1"/>
  <c r="A4901" i="1" s="1"/>
  <c r="B4893" i="1" a="1"/>
  <c r="B4893" i="1" s="1"/>
  <c r="A4893" i="1" s="1"/>
  <c r="B4885" i="1" a="1"/>
  <c r="B4885" i="1" s="1"/>
  <c r="A4885" i="1" s="1"/>
  <c r="B4877" i="1" a="1"/>
  <c r="B4877" i="1" s="1"/>
  <c r="A4877" i="1" s="1"/>
  <c r="B4861" i="1" a="1"/>
  <c r="B4861" i="1" s="1"/>
  <c r="A4861" i="1" s="1"/>
  <c r="B4805" i="1" a="1"/>
  <c r="B4805" i="1" s="1"/>
  <c r="A4805" i="1" s="1"/>
  <c r="B4741" i="1" a="1"/>
  <c r="B4741" i="1" s="1"/>
  <c r="A4741" i="1" s="1"/>
  <c r="B4677" i="1" a="1"/>
  <c r="B4677" i="1" s="1"/>
  <c r="A4677" i="1" s="1"/>
  <c r="B4613" i="1" a="1"/>
  <c r="B4613" i="1" s="1"/>
  <c r="A4613" i="1" s="1"/>
  <c r="B4549" i="1" a="1"/>
  <c r="B4549" i="1" s="1"/>
  <c r="A4549" i="1" s="1"/>
  <c r="B4485" i="1" a="1"/>
  <c r="B4485" i="1" s="1"/>
  <c r="A4485" i="1" s="1"/>
  <c r="B4421" i="1" a="1"/>
  <c r="B4421" i="1" s="1"/>
  <c r="A4421" i="1" s="1"/>
  <c r="B4357" i="1" a="1"/>
  <c r="B4357" i="1" s="1"/>
  <c r="A4357" i="1" s="1"/>
  <c r="B4293" i="1" a="1"/>
  <c r="B4293" i="1" s="1"/>
  <c r="A4293" i="1" s="1"/>
  <c r="B4229" i="1" a="1"/>
  <c r="B4229" i="1" s="1"/>
  <c r="A4229" i="1" s="1"/>
  <c r="B4165" i="1" a="1"/>
  <c r="B4165" i="1" s="1"/>
  <c r="A4165" i="1" s="1"/>
  <c r="B4109" i="1" a="1"/>
  <c r="B4109" i="1" s="1"/>
  <c r="A4109" i="1" s="1"/>
  <c r="B4045" i="1" a="1"/>
  <c r="B4045" i="1" s="1"/>
  <c r="A4045" i="1" s="1"/>
  <c r="B3981" i="1" a="1"/>
  <c r="B3981" i="1" s="1"/>
  <c r="A3981" i="1" s="1"/>
  <c r="B3917" i="1" a="1"/>
  <c r="B3917" i="1" s="1"/>
  <c r="A3917" i="1" s="1"/>
  <c r="B3853" i="1" a="1"/>
  <c r="B3853" i="1" s="1"/>
  <c r="A3853" i="1" s="1"/>
  <c r="B3789" i="1" a="1"/>
  <c r="B3789" i="1" s="1"/>
  <c r="A3789" i="1" s="1"/>
  <c r="B3725" i="1" a="1"/>
  <c r="B3725" i="1" s="1"/>
  <c r="A3725" i="1" s="1"/>
  <c r="B3661" i="1" a="1"/>
  <c r="B3661" i="1" s="1"/>
  <c r="A3661" i="1" s="1"/>
  <c r="B3583" i="1" a="1"/>
  <c r="B3583" i="1" s="1"/>
  <c r="A3583" i="1" s="1"/>
  <c r="B3113" i="1" a="1"/>
  <c r="B3113" i="1" s="1"/>
  <c r="A3113" i="1" s="1"/>
  <c r="E5" i="1"/>
  <c r="F2" i="1"/>
  <c r="E2" i="1"/>
  <c r="F5" i="1"/>
  <c r="C405" i="1"/>
  <c r="C277" i="1"/>
  <c r="C347" i="1"/>
  <c r="C147" i="1"/>
  <c r="D44" i="1" l="1" a="1"/>
  <c r="D44" i="1" s="1"/>
  <c r="C44" i="1"/>
  <c r="D644" i="1" a="1"/>
  <c r="D644" i="1" s="1"/>
  <c r="F644" i="1" s="1"/>
  <c r="A644" i="1"/>
  <c r="D286" i="1" a="1"/>
  <c r="D286" i="1" s="1"/>
  <c r="F286" i="1" s="1"/>
  <c r="A286" i="1"/>
  <c r="D622" i="1" a="1"/>
  <c r="D622" i="1" s="1"/>
  <c r="E622" i="1" s="1"/>
  <c r="A622" i="1"/>
  <c r="D851" i="1" a="1"/>
  <c r="D851" i="1" s="1"/>
  <c r="F851" i="1" s="1"/>
  <c r="A851" i="1"/>
  <c r="D715" i="1" a="1"/>
  <c r="D715" i="1" s="1"/>
  <c r="E715" i="1" s="1"/>
  <c r="A715" i="1"/>
  <c r="D858" i="1" a="1"/>
  <c r="D858" i="1" s="1"/>
  <c r="F858" i="1" s="1"/>
  <c r="A858" i="1"/>
  <c r="D794" i="1" a="1"/>
  <c r="D794" i="1" s="1"/>
  <c r="F794" i="1" s="1"/>
  <c r="A794" i="1"/>
  <c r="D570" i="1" a="1"/>
  <c r="D570" i="1" s="1"/>
  <c r="E570" i="1" s="1"/>
  <c r="A570" i="1"/>
  <c r="D98" i="1" a="1"/>
  <c r="D98" i="1" s="1"/>
  <c r="F98" i="1" s="1"/>
  <c r="A98" i="1"/>
  <c r="D817" i="1" a="1"/>
  <c r="D817" i="1" s="1"/>
  <c r="F817" i="1" s="1"/>
  <c r="A817" i="1"/>
  <c r="D643" i="1" a="1"/>
  <c r="D643" i="1" s="1"/>
  <c r="F643" i="1" s="1"/>
  <c r="A643" i="1"/>
  <c r="D569" i="1" a="1"/>
  <c r="D569" i="1" s="1"/>
  <c r="F569" i="1" s="1"/>
  <c r="A569" i="1"/>
  <c r="D211" i="1" a="1"/>
  <c r="D211" i="1" s="1"/>
  <c r="F211" i="1" s="1"/>
  <c r="A211" i="1"/>
  <c r="D816" i="1" a="1"/>
  <c r="D816" i="1" s="1"/>
  <c r="F816" i="1" s="1"/>
  <c r="A816" i="1"/>
  <c r="D752" i="1" a="1"/>
  <c r="D752" i="1" s="1"/>
  <c r="F752" i="1" s="1"/>
  <c r="A752" i="1"/>
  <c r="D654" i="1" a="1"/>
  <c r="D654" i="1" s="1"/>
  <c r="E654" i="1" s="1"/>
  <c r="A654" i="1"/>
  <c r="D597" i="1" a="1"/>
  <c r="D597" i="1" s="1"/>
  <c r="E597" i="1" s="1"/>
  <c r="A597" i="1"/>
  <c r="D436" i="1" a="1"/>
  <c r="D436" i="1" s="1"/>
  <c r="E436" i="1" s="1"/>
  <c r="A436" i="1"/>
  <c r="D855" i="1" a="1"/>
  <c r="D855" i="1" s="1"/>
  <c r="F855" i="1" s="1"/>
  <c r="A855" i="1"/>
  <c r="D711" i="1" a="1"/>
  <c r="D711" i="1" s="1"/>
  <c r="F711" i="1" s="1"/>
  <c r="A711" i="1"/>
  <c r="D633" i="1" a="1"/>
  <c r="D633" i="1" s="1"/>
  <c r="F633" i="1" s="1"/>
  <c r="A633" i="1"/>
  <c r="D567" i="1" a="1"/>
  <c r="D567" i="1" s="1"/>
  <c r="F567" i="1" s="1"/>
  <c r="A567" i="1"/>
  <c r="D137" i="1" a="1"/>
  <c r="D137" i="1" s="1"/>
  <c r="F137" i="1" s="1"/>
  <c r="A137" i="1"/>
  <c r="D766" i="1" a="1"/>
  <c r="D766" i="1" s="1"/>
  <c r="F766" i="1" s="1"/>
  <c r="A766" i="1"/>
  <c r="D581" i="1" a="1"/>
  <c r="D581" i="1" s="1"/>
  <c r="F581" i="1" s="1"/>
  <c r="A581" i="1"/>
  <c r="D308" i="1" a="1"/>
  <c r="D308" i="1" s="1"/>
  <c r="E308" i="1" s="1"/>
  <c r="A308" i="1"/>
  <c r="D781" i="1" a="1"/>
  <c r="D781" i="1" s="1"/>
  <c r="F781" i="1" s="1"/>
  <c r="A781" i="1"/>
  <c r="D624" i="1" a="1"/>
  <c r="D624" i="1" s="1"/>
  <c r="E624" i="1" s="1"/>
  <c r="A624" i="1"/>
  <c r="D565" i="1" a="1"/>
  <c r="D565" i="1" s="1"/>
  <c r="F565" i="1" s="1"/>
  <c r="A565" i="1"/>
  <c r="D182" i="1" a="1"/>
  <c r="D182" i="1" s="1"/>
  <c r="F182" i="1" s="1"/>
  <c r="A182" i="1"/>
  <c r="D852" i="1" a="1"/>
  <c r="D852" i="1" s="1"/>
  <c r="F852" i="1" s="1"/>
  <c r="A852" i="1"/>
  <c r="D788" i="1" a="1"/>
  <c r="D788" i="1" s="1"/>
  <c r="F788" i="1" s="1"/>
  <c r="A788" i="1"/>
  <c r="D708" i="1" a="1"/>
  <c r="D708" i="1" s="1"/>
  <c r="F708" i="1" s="1"/>
  <c r="A708" i="1"/>
  <c r="D638" i="1" a="1"/>
  <c r="D638" i="1" s="1"/>
  <c r="E638" i="1" s="1"/>
  <c r="A638" i="1"/>
  <c r="D564" i="1" a="1"/>
  <c r="D564" i="1" s="1"/>
  <c r="F564" i="1" s="1"/>
  <c r="A564" i="1"/>
  <c r="D114" i="1" a="1"/>
  <c r="D114" i="1" s="1"/>
  <c r="F114" i="1" s="1"/>
  <c r="A114" i="1"/>
  <c r="D494" i="1" a="1"/>
  <c r="D494" i="1" s="1"/>
  <c r="F494" i="1" s="1"/>
  <c r="A494" i="1"/>
  <c r="D435" i="1" a="1"/>
  <c r="D435" i="1" s="1"/>
  <c r="F435" i="1" s="1"/>
  <c r="A435" i="1"/>
  <c r="D376" i="1" a="1"/>
  <c r="D376" i="1" s="1"/>
  <c r="E376" i="1" s="1"/>
  <c r="A376" i="1"/>
  <c r="D307" i="1" a="1"/>
  <c r="D307" i="1" s="1"/>
  <c r="F307" i="1" s="1"/>
  <c r="A307" i="1"/>
  <c r="D239" i="1" a="1"/>
  <c r="D239" i="1" s="1"/>
  <c r="F239" i="1" s="1"/>
  <c r="A239" i="1"/>
  <c r="D181" i="1" a="1"/>
  <c r="D181" i="1" s="1"/>
  <c r="F181" i="1" s="1"/>
  <c r="A181" i="1"/>
  <c r="D113" i="1" a="1"/>
  <c r="D113" i="1" s="1"/>
  <c r="F113" i="1" s="1"/>
  <c r="A113" i="1"/>
  <c r="D547" i="1" a="1"/>
  <c r="D547" i="1" s="1"/>
  <c r="F547" i="1" s="1"/>
  <c r="A547" i="1"/>
  <c r="D486" i="1" a="1"/>
  <c r="D486" i="1" s="1"/>
  <c r="E486" i="1" s="1"/>
  <c r="A486" i="1"/>
  <c r="D412" i="1" a="1"/>
  <c r="D412" i="1" s="1"/>
  <c r="F412" i="1" s="1"/>
  <c r="A412" i="1"/>
  <c r="D350" i="1" a="1"/>
  <c r="D350" i="1" s="1"/>
  <c r="F350" i="1" s="1"/>
  <c r="A350" i="1"/>
  <c r="D276" i="1" a="1"/>
  <c r="D276" i="1" s="1"/>
  <c r="F276" i="1" s="1"/>
  <c r="A276" i="1"/>
  <c r="D217" i="1" a="1"/>
  <c r="D217" i="1" s="1"/>
  <c r="F217" i="1" s="1"/>
  <c r="A217" i="1"/>
  <c r="D158" i="1" a="1"/>
  <c r="D158" i="1" s="1"/>
  <c r="F158" i="1" s="1"/>
  <c r="A158" i="1"/>
  <c r="D97" i="1" a="1"/>
  <c r="D97" i="1" s="1"/>
  <c r="F97" i="1" s="1"/>
  <c r="A97" i="1"/>
  <c r="D500" i="1" a="1"/>
  <c r="D500" i="1" s="1"/>
  <c r="F500" i="1" s="1"/>
  <c r="A500" i="1"/>
  <c r="D440" i="1" a="1"/>
  <c r="D440" i="1" s="1"/>
  <c r="F440" i="1" s="1"/>
  <c r="A440" i="1"/>
  <c r="D375" i="1" a="1"/>
  <c r="D375" i="1" s="1"/>
  <c r="E375" i="1" s="1"/>
  <c r="A375" i="1"/>
  <c r="D313" i="1" a="1"/>
  <c r="D313" i="1" s="1"/>
  <c r="F313" i="1" s="1"/>
  <c r="A313" i="1"/>
  <c r="D253" i="1" a="1"/>
  <c r="D253" i="1" s="1"/>
  <c r="F253" i="1" s="1"/>
  <c r="A253" i="1"/>
  <c r="D179" i="1" a="1"/>
  <c r="D179" i="1" s="1"/>
  <c r="E179" i="1" s="1"/>
  <c r="A179" i="1"/>
  <c r="D119" i="1" a="1"/>
  <c r="D119" i="1" s="1"/>
  <c r="F119" i="1" s="1"/>
  <c r="A119" i="1"/>
  <c r="D545" i="1" a="1"/>
  <c r="D545" i="1" s="1"/>
  <c r="E545" i="1" s="1"/>
  <c r="A545" i="1"/>
  <c r="D484" i="1" a="1"/>
  <c r="D484" i="1" s="1"/>
  <c r="F484" i="1" s="1"/>
  <c r="A484" i="1"/>
  <c r="D418" i="1" a="1"/>
  <c r="D418" i="1" s="1"/>
  <c r="E418" i="1" s="1"/>
  <c r="A418" i="1"/>
  <c r="D355" i="1" a="1"/>
  <c r="D355" i="1" s="1"/>
  <c r="F355" i="1" s="1"/>
  <c r="A355" i="1"/>
  <c r="D297" i="1" a="1"/>
  <c r="D297" i="1" s="1"/>
  <c r="F297" i="1" s="1"/>
  <c r="A297" i="1"/>
  <c r="D229" i="1" a="1"/>
  <c r="D229" i="1" s="1"/>
  <c r="E229" i="1" s="1"/>
  <c r="A229" i="1"/>
  <c r="D163" i="1" a="1"/>
  <c r="D163" i="1" s="1"/>
  <c r="F163" i="1" s="1"/>
  <c r="A163" i="1"/>
  <c r="D102" i="1" a="1"/>
  <c r="D102" i="1" s="1"/>
  <c r="F102" i="1" s="1"/>
  <c r="A102" i="1"/>
  <c r="D551" i="1" a="1"/>
  <c r="D551" i="1" s="1"/>
  <c r="F551" i="1" s="1"/>
  <c r="A551" i="1"/>
  <c r="D490" i="1" a="1"/>
  <c r="D490" i="1" s="1"/>
  <c r="F490" i="1" s="1"/>
  <c r="A490" i="1"/>
  <c r="D417" i="1" a="1"/>
  <c r="D417" i="1" s="1"/>
  <c r="F417" i="1" s="1"/>
  <c r="A417" i="1"/>
  <c r="D341" i="1" a="1"/>
  <c r="D341" i="1" s="1"/>
  <c r="F341" i="1" s="1"/>
  <c r="A341" i="1"/>
  <c r="D273" i="1" a="1"/>
  <c r="D273" i="1" s="1"/>
  <c r="E273" i="1" s="1"/>
  <c r="A273" i="1"/>
  <c r="D206" i="1" a="1"/>
  <c r="D206" i="1" s="1"/>
  <c r="F206" i="1" s="1"/>
  <c r="A206" i="1"/>
  <c r="D148" i="1" a="1"/>
  <c r="D148" i="1" s="1"/>
  <c r="E148" i="1" s="1"/>
  <c r="A148" i="1"/>
  <c r="D86" i="1" a="1"/>
  <c r="D86" i="1" s="1"/>
  <c r="F86" i="1" s="1"/>
  <c r="A86" i="1"/>
  <c r="D527" i="1" a="1"/>
  <c r="D527" i="1" s="1"/>
  <c r="F527" i="1" s="1"/>
  <c r="A527" i="1"/>
  <c r="D459" i="1" a="1"/>
  <c r="D459" i="1" s="1"/>
  <c r="F459" i="1" s="1"/>
  <c r="A459" i="1"/>
  <c r="D400" i="1" a="1"/>
  <c r="D400" i="1" s="1"/>
  <c r="F400" i="1" s="1"/>
  <c r="A400" i="1"/>
  <c r="D340" i="1" a="1"/>
  <c r="D340" i="1" s="1"/>
  <c r="F340" i="1" s="1"/>
  <c r="A340" i="1"/>
  <c r="D280" i="1" a="1"/>
  <c r="D280" i="1" s="1"/>
  <c r="F280" i="1" s="1"/>
  <c r="A280" i="1"/>
  <c r="D213" i="1" a="1"/>
  <c r="D213" i="1" s="1"/>
  <c r="F213" i="1" s="1"/>
  <c r="A213" i="1"/>
  <c r="D139" i="1" a="1"/>
  <c r="D139" i="1" s="1"/>
  <c r="E139" i="1" s="1"/>
  <c r="A139" i="1"/>
  <c r="D77" i="1" a="1"/>
  <c r="D77" i="1" s="1"/>
  <c r="F77" i="1" s="1"/>
  <c r="A77" i="1"/>
  <c r="D458" i="1" a="1"/>
  <c r="D458" i="1" s="1"/>
  <c r="E458" i="1" s="1"/>
  <c r="A458" i="1"/>
  <c r="D392" i="1" a="1"/>
  <c r="D392" i="1" s="1"/>
  <c r="E392" i="1" s="1"/>
  <c r="A392" i="1"/>
  <c r="D332" i="1" a="1"/>
  <c r="D332" i="1" s="1"/>
  <c r="F332" i="1" s="1"/>
  <c r="A332" i="1"/>
  <c r="D264" i="1" a="1"/>
  <c r="D264" i="1" s="1"/>
  <c r="F264" i="1" s="1"/>
  <c r="A264" i="1"/>
  <c r="D205" i="1" a="1"/>
  <c r="D205" i="1" s="1"/>
  <c r="F205" i="1" s="1"/>
  <c r="A205" i="1"/>
  <c r="D138" i="1" a="1"/>
  <c r="D138" i="1" s="1"/>
  <c r="E138" i="1" s="1"/>
  <c r="A138" i="1"/>
  <c r="D76" i="1" a="1"/>
  <c r="D76" i="1" s="1"/>
  <c r="F76" i="1" s="1"/>
  <c r="A76" i="1"/>
  <c r="C13" i="1"/>
  <c r="A13" i="1"/>
  <c r="C10" i="1"/>
  <c r="A10" i="1"/>
  <c r="C51" i="1"/>
  <c r="A51" i="1"/>
  <c r="C26" i="1"/>
  <c r="A26" i="1"/>
  <c r="D42" i="1" a="1"/>
  <c r="D42" i="1" s="1"/>
  <c r="E42" i="1" s="1"/>
  <c r="A42" i="1"/>
  <c r="D693" i="1" a="1"/>
  <c r="D693" i="1" s="1"/>
  <c r="E693" i="1" s="1"/>
  <c r="A693" i="1"/>
  <c r="D632" i="1" a="1"/>
  <c r="D632" i="1" s="1"/>
  <c r="F632" i="1" s="1"/>
  <c r="A632" i="1"/>
  <c r="D344" i="1" a="1"/>
  <c r="D344" i="1" s="1"/>
  <c r="F344" i="1" s="1"/>
  <c r="A344" i="1"/>
  <c r="D585" i="1" a="1"/>
  <c r="D585" i="1" s="1"/>
  <c r="F585" i="1" s="1"/>
  <c r="A585" i="1"/>
  <c r="D571" i="1" a="1"/>
  <c r="D571" i="1" s="1"/>
  <c r="F571" i="1" s="1"/>
  <c r="A571" i="1"/>
  <c r="D563" i="1" a="1"/>
  <c r="D563" i="1" s="1"/>
  <c r="F563" i="1" s="1"/>
  <c r="A563" i="1"/>
  <c r="D859" i="1" a="1"/>
  <c r="D859" i="1" s="1"/>
  <c r="F859" i="1" s="1"/>
  <c r="A859" i="1"/>
  <c r="D787" i="1" a="1"/>
  <c r="D787" i="1" s="1"/>
  <c r="F787" i="1" s="1"/>
  <c r="A787" i="1"/>
  <c r="D656" i="1" a="1"/>
  <c r="D656" i="1" s="1"/>
  <c r="F656" i="1" s="1"/>
  <c r="A656" i="1"/>
  <c r="D850" i="1" a="1"/>
  <c r="D850" i="1" s="1"/>
  <c r="F850" i="1" s="1"/>
  <c r="A850" i="1"/>
  <c r="D786" i="1" a="1"/>
  <c r="D786" i="1" s="1"/>
  <c r="F786" i="1" s="1"/>
  <c r="A786" i="1"/>
  <c r="D621" i="1" a="1"/>
  <c r="D621" i="1" s="1"/>
  <c r="E621" i="1" s="1"/>
  <c r="A621" i="1"/>
  <c r="D562" i="1" a="1"/>
  <c r="D562" i="1" s="1"/>
  <c r="F562" i="1" s="1"/>
  <c r="A562" i="1"/>
  <c r="D745" i="1" a="1"/>
  <c r="D745" i="1" s="1"/>
  <c r="F745" i="1" s="1"/>
  <c r="A745" i="1"/>
  <c r="D635" i="1" a="1"/>
  <c r="D635" i="1" s="1"/>
  <c r="E635" i="1" s="1"/>
  <c r="A635" i="1"/>
  <c r="D561" i="1" a="1"/>
  <c r="D561" i="1" s="1"/>
  <c r="F561" i="1" s="1"/>
  <c r="A561" i="1"/>
  <c r="D153" i="1" a="1"/>
  <c r="D153" i="1" s="1"/>
  <c r="E153" i="1" s="1"/>
  <c r="A153" i="1"/>
  <c r="D744" i="1" a="1"/>
  <c r="D744" i="1" s="1"/>
  <c r="F744" i="1" s="1"/>
  <c r="A744" i="1"/>
  <c r="D590" i="1" a="1"/>
  <c r="D590" i="1" s="1"/>
  <c r="F590" i="1" s="1"/>
  <c r="A590" i="1"/>
  <c r="D377" i="1" a="1"/>
  <c r="D377" i="1" s="1"/>
  <c r="F377" i="1" s="1"/>
  <c r="A377" i="1"/>
  <c r="D783" i="1" a="1"/>
  <c r="D783" i="1" s="1"/>
  <c r="F783" i="1" s="1"/>
  <c r="A783" i="1"/>
  <c r="D626" i="1" a="1"/>
  <c r="D626" i="1" s="1"/>
  <c r="E626" i="1" s="1"/>
  <c r="A626" i="1"/>
  <c r="D75" i="1" a="1"/>
  <c r="D75" i="1" s="1"/>
  <c r="F75" i="1" s="1"/>
  <c r="A75" i="1"/>
  <c r="D822" i="1" a="1"/>
  <c r="D822" i="1" s="1"/>
  <c r="F822" i="1" s="1"/>
  <c r="A822" i="1"/>
  <c r="D758" i="1" a="1"/>
  <c r="D758" i="1" s="1"/>
  <c r="F758" i="1" s="1"/>
  <c r="A758" i="1"/>
  <c r="D658" i="1" a="1"/>
  <c r="D658" i="1" s="1"/>
  <c r="F658" i="1" s="1"/>
  <c r="A658" i="1"/>
  <c r="D248" i="1" a="1"/>
  <c r="D248" i="1" s="1"/>
  <c r="F248" i="1" s="1"/>
  <c r="A248" i="1"/>
  <c r="D616" i="1" a="1"/>
  <c r="D616" i="1" s="1"/>
  <c r="E616" i="1" s="1"/>
  <c r="A616" i="1"/>
  <c r="D122" i="1" a="1"/>
  <c r="D122" i="1" s="1"/>
  <c r="F122" i="1" s="1"/>
  <c r="A122" i="1"/>
  <c r="D780" i="1" a="1"/>
  <c r="D780" i="1" s="1"/>
  <c r="F780" i="1" s="1"/>
  <c r="A780" i="1"/>
  <c r="D554" i="1" a="1"/>
  <c r="D554" i="1" s="1"/>
  <c r="F554" i="1" s="1"/>
  <c r="A554" i="1"/>
  <c r="D487" i="1" a="1"/>
  <c r="D487" i="1" s="1"/>
  <c r="F487" i="1" s="1"/>
  <c r="A487" i="1"/>
  <c r="D427" i="1" a="1"/>
  <c r="D427" i="1" s="1"/>
  <c r="E427" i="1" s="1"/>
  <c r="A427" i="1"/>
  <c r="D370" i="1" a="1"/>
  <c r="D370" i="1" s="1"/>
  <c r="F370" i="1" s="1"/>
  <c r="A370" i="1"/>
  <c r="D300" i="1" a="1"/>
  <c r="D300" i="1" s="1"/>
  <c r="F300" i="1" s="1"/>
  <c r="A300" i="1"/>
  <c r="D232" i="1" a="1"/>
  <c r="D232" i="1" s="1"/>
  <c r="F232" i="1" s="1"/>
  <c r="A232" i="1"/>
  <c r="D166" i="1" a="1"/>
  <c r="D166" i="1" s="1"/>
  <c r="F166" i="1" s="1"/>
  <c r="A166" i="1"/>
  <c r="D105" i="1" a="1"/>
  <c r="D105" i="1" s="1"/>
  <c r="F105" i="1" s="1"/>
  <c r="A105" i="1"/>
  <c r="D479" i="1" a="1"/>
  <c r="D479" i="1" s="1"/>
  <c r="F479" i="1" s="1"/>
  <c r="A479" i="1"/>
  <c r="D404" i="1" a="1"/>
  <c r="D404" i="1" s="1"/>
  <c r="F404" i="1" s="1"/>
  <c r="A404" i="1"/>
  <c r="D336" i="1" a="1"/>
  <c r="D336" i="1" s="1"/>
  <c r="F336" i="1" s="1"/>
  <c r="A336" i="1"/>
  <c r="D269" i="1" a="1"/>
  <c r="D269" i="1" s="1"/>
  <c r="F269" i="1" s="1"/>
  <c r="A269" i="1"/>
  <c r="D209" i="1" a="1"/>
  <c r="D209" i="1" s="1"/>
  <c r="F209" i="1" s="1"/>
  <c r="A209" i="1"/>
  <c r="D151" i="1" a="1"/>
  <c r="D151" i="1" s="1"/>
  <c r="F151" i="1" s="1"/>
  <c r="A151" i="1"/>
  <c r="D89" i="1" a="1"/>
  <c r="D89" i="1" s="1"/>
  <c r="F89" i="1" s="1"/>
  <c r="A89" i="1"/>
  <c r="D492" i="1" a="1"/>
  <c r="D492" i="1" s="1"/>
  <c r="E492" i="1" s="1"/>
  <c r="A492" i="1"/>
  <c r="D433" i="1" a="1"/>
  <c r="D433" i="1" s="1"/>
  <c r="E433" i="1" s="1"/>
  <c r="A433" i="1"/>
  <c r="D368" i="1" a="1"/>
  <c r="D368" i="1" s="1"/>
  <c r="F368" i="1" s="1"/>
  <c r="A368" i="1"/>
  <c r="D305" i="1" a="1"/>
  <c r="D305" i="1" s="1"/>
  <c r="E305" i="1" s="1"/>
  <c r="A305" i="1"/>
  <c r="D245" i="1" a="1"/>
  <c r="D245" i="1" s="1"/>
  <c r="F245" i="1" s="1"/>
  <c r="A245" i="1"/>
  <c r="D172" i="1" a="1"/>
  <c r="D172" i="1" s="1"/>
  <c r="F172" i="1" s="1"/>
  <c r="A172" i="1"/>
  <c r="D111" i="1" a="1"/>
  <c r="D111" i="1" s="1"/>
  <c r="F111" i="1" s="1"/>
  <c r="A111" i="1"/>
  <c r="D477" i="1" a="1"/>
  <c r="D477" i="1" s="1"/>
  <c r="F477" i="1" s="1"/>
  <c r="A477" i="1"/>
  <c r="D410" i="1" a="1"/>
  <c r="D410" i="1" s="1"/>
  <c r="F410" i="1" s="1"/>
  <c r="A410" i="1"/>
  <c r="D348" i="1" a="1"/>
  <c r="D348" i="1" s="1"/>
  <c r="F348" i="1" s="1"/>
  <c r="A348" i="1"/>
  <c r="D282" i="1" a="1"/>
  <c r="D282" i="1" s="1"/>
  <c r="E282" i="1" s="1"/>
  <c r="A282" i="1"/>
  <c r="D222" i="1" a="1"/>
  <c r="D222" i="1" s="1"/>
  <c r="F222" i="1" s="1"/>
  <c r="A222" i="1"/>
  <c r="D156" i="1" a="1"/>
  <c r="D156" i="1" s="1"/>
  <c r="F156" i="1" s="1"/>
  <c r="A156" i="1"/>
  <c r="D95" i="1" a="1"/>
  <c r="D95" i="1" s="1"/>
  <c r="E95" i="1" s="1"/>
  <c r="A95" i="1"/>
  <c r="D544" i="1" a="1"/>
  <c r="D544" i="1" s="1"/>
  <c r="F544" i="1" s="1"/>
  <c r="A544" i="1"/>
  <c r="D476" i="1" a="1"/>
  <c r="D476" i="1" s="1"/>
  <c r="F476" i="1" s="1"/>
  <c r="A476" i="1"/>
  <c r="D409" i="1" a="1"/>
  <c r="D409" i="1" s="1"/>
  <c r="E409" i="1" s="1"/>
  <c r="A409" i="1"/>
  <c r="D326" i="1" a="1"/>
  <c r="D326" i="1" s="1"/>
  <c r="F326" i="1" s="1"/>
  <c r="A326" i="1"/>
  <c r="D266" i="1" a="1"/>
  <c r="D266" i="1" s="1"/>
  <c r="F266" i="1" s="1"/>
  <c r="A266" i="1"/>
  <c r="D199" i="1" a="1"/>
  <c r="D199" i="1" s="1"/>
  <c r="E199" i="1" s="1"/>
  <c r="A199" i="1"/>
  <c r="D140" i="1" a="1"/>
  <c r="D140" i="1" s="1"/>
  <c r="F140" i="1" s="1"/>
  <c r="A140" i="1"/>
  <c r="D78" i="1" a="1"/>
  <c r="D78" i="1" s="1"/>
  <c r="F78" i="1" s="1"/>
  <c r="A78" i="1"/>
  <c r="D513" i="1" a="1"/>
  <c r="D513" i="1" s="1"/>
  <c r="F513" i="1" s="1"/>
  <c r="A513" i="1"/>
  <c r="D452" i="1" a="1"/>
  <c r="D452" i="1" s="1"/>
  <c r="E452" i="1" s="1"/>
  <c r="A452" i="1"/>
  <c r="D393" i="1" a="1"/>
  <c r="D393" i="1" s="1"/>
  <c r="E393" i="1" s="1"/>
  <c r="A393" i="1"/>
  <c r="D333" i="1" a="1"/>
  <c r="D333" i="1" s="1"/>
  <c r="E333" i="1" s="1"/>
  <c r="A333" i="1"/>
  <c r="D272" i="1" a="1"/>
  <c r="D272" i="1" s="1"/>
  <c r="F272" i="1" s="1"/>
  <c r="A272" i="1"/>
  <c r="D198" i="1" a="1"/>
  <c r="D198" i="1" s="1"/>
  <c r="F198" i="1" s="1"/>
  <c r="A198" i="1"/>
  <c r="D131" i="1" a="1"/>
  <c r="D131" i="1" s="1"/>
  <c r="F131" i="1" s="1"/>
  <c r="A131" i="1"/>
  <c r="D69" i="1" a="1"/>
  <c r="D69" i="1" s="1"/>
  <c r="F69" i="1" s="1"/>
  <c r="A69" i="1"/>
  <c r="D512" i="1" a="1"/>
  <c r="D512" i="1" s="1"/>
  <c r="F512" i="1" s="1"/>
  <c r="A512" i="1"/>
  <c r="D444" i="1" a="1"/>
  <c r="D444" i="1" s="1"/>
  <c r="F444" i="1" s="1"/>
  <c r="A444" i="1"/>
  <c r="D386" i="1" a="1"/>
  <c r="D386" i="1" s="1"/>
  <c r="E386" i="1" s="1"/>
  <c r="A386" i="1"/>
  <c r="D324" i="1" a="1"/>
  <c r="D324" i="1" s="1"/>
  <c r="F324" i="1" s="1"/>
  <c r="A324" i="1"/>
  <c r="D257" i="1" a="1"/>
  <c r="D257" i="1" s="1"/>
  <c r="F257" i="1" s="1"/>
  <c r="A257" i="1"/>
  <c r="D197" i="1" a="1"/>
  <c r="D197" i="1" s="1"/>
  <c r="F197" i="1" s="1"/>
  <c r="A197" i="1"/>
  <c r="D130" i="1" a="1"/>
  <c r="D130" i="1" s="1"/>
  <c r="F130" i="1" s="1"/>
  <c r="A130" i="1"/>
  <c r="D68" i="1" a="1"/>
  <c r="D68" i="1" s="1"/>
  <c r="F68" i="1" s="1"/>
  <c r="A68" i="1"/>
  <c r="C32" i="1"/>
  <c r="A32" i="1"/>
  <c r="C17" i="1"/>
  <c r="A17" i="1"/>
  <c r="C12" i="1"/>
  <c r="A12" i="1"/>
  <c r="C37" i="1"/>
  <c r="A37" i="1"/>
  <c r="C6" i="1"/>
  <c r="A6" i="1"/>
  <c r="C22" i="1"/>
  <c r="A22" i="1"/>
  <c r="D45" i="1" a="1"/>
  <c r="D45" i="1" s="1"/>
  <c r="F45" i="1" s="1"/>
  <c r="A45" i="1"/>
  <c r="C8" i="1"/>
  <c r="A8" i="1"/>
  <c r="D727" i="1" a="1"/>
  <c r="D727" i="1" s="1"/>
  <c r="E727" i="1" s="1"/>
  <c r="A727" i="1"/>
  <c r="D733" i="1" a="1"/>
  <c r="D733" i="1" s="1"/>
  <c r="E733" i="1" s="1"/>
  <c r="A733" i="1"/>
  <c r="D345" i="1" a="1"/>
  <c r="D345" i="1" s="1"/>
  <c r="E345" i="1" s="1"/>
  <c r="A345" i="1"/>
  <c r="D167" i="1" a="1"/>
  <c r="D167" i="1" s="1"/>
  <c r="F167" i="1" s="1"/>
  <c r="A167" i="1"/>
  <c r="D795" i="1" a="1"/>
  <c r="D795" i="1" s="1"/>
  <c r="F795" i="1" s="1"/>
  <c r="A795" i="1"/>
  <c r="D662" i="1" a="1"/>
  <c r="D662" i="1" s="1"/>
  <c r="E662" i="1" s="1"/>
  <c r="A662" i="1"/>
  <c r="D600" i="1" a="1"/>
  <c r="D600" i="1" s="1"/>
  <c r="E600" i="1" s="1"/>
  <c r="A600" i="1"/>
  <c r="D778" i="1" a="1"/>
  <c r="D778" i="1" s="1"/>
  <c r="F778" i="1" s="1"/>
  <c r="A778" i="1"/>
  <c r="D614" i="1" a="1"/>
  <c r="D614" i="1" s="1"/>
  <c r="E614" i="1" s="1"/>
  <c r="A614" i="1"/>
  <c r="D511" i="1" a="1"/>
  <c r="D511" i="1" s="1"/>
  <c r="E511" i="1" s="1"/>
  <c r="A511" i="1"/>
  <c r="D801" i="1" a="1"/>
  <c r="D801" i="1" s="1"/>
  <c r="F801" i="1" s="1"/>
  <c r="A801" i="1"/>
  <c r="D620" i="1" a="1"/>
  <c r="D620" i="1" s="1"/>
  <c r="F620" i="1" s="1"/>
  <c r="A620" i="1"/>
  <c r="D548" i="1" a="1"/>
  <c r="D548" i="1" s="1"/>
  <c r="F548" i="1" s="1"/>
  <c r="A548" i="1"/>
  <c r="D91" i="1" a="1"/>
  <c r="D91" i="1" s="1"/>
  <c r="F91" i="1" s="1"/>
  <c r="A91" i="1"/>
  <c r="D800" i="1" a="1"/>
  <c r="D800" i="1" s="1"/>
  <c r="F800" i="1" s="1"/>
  <c r="A800" i="1"/>
  <c r="D642" i="1" a="1"/>
  <c r="D642" i="1" s="1"/>
  <c r="E642" i="1" s="1"/>
  <c r="A642" i="1"/>
  <c r="D583" i="1" a="1"/>
  <c r="D583" i="1" s="1"/>
  <c r="F583" i="1" s="1"/>
  <c r="A583" i="1"/>
  <c r="D323" i="1" a="1"/>
  <c r="D323" i="1" s="1"/>
  <c r="E323" i="1" s="1"/>
  <c r="A323" i="1"/>
  <c r="D618" i="1" a="1"/>
  <c r="D618" i="1" s="1"/>
  <c r="E618" i="1" s="1"/>
  <c r="A618" i="1"/>
  <c r="D814" i="1" a="1"/>
  <c r="D814" i="1" s="1"/>
  <c r="F814" i="1" s="1"/>
  <c r="A814" i="1"/>
  <c r="D750" i="1" a="1"/>
  <c r="D750" i="1" s="1"/>
  <c r="F750" i="1" s="1"/>
  <c r="A750" i="1"/>
  <c r="D640" i="1" a="1"/>
  <c r="D640" i="1" s="1"/>
  <c r="E640" i="1" s="1"/>
  <c r="A640" i="1"/>
  <c r="D566" i="1" a="1"/>
  <c r="D566" i="1" s="1"/>
  <c r="F566" i="1" s="1"/>
  <c r="A566" i="1"/>
  <c r="D189" i="1" a="1"/>
  <c r="D189" i="1" s="1"/>
  <c r="F189" i="1" s="1"/>
  <c r="A189" i="1"/>
  <c r="D765" i="1" a="1"/>
  <c r="D765" i="1" s="1"/>
  <c r="F765" i="1" s="1"/>
  <c r="A765" i="1"/>
  <c r="D533" i="1" a="1"/>
  <c r="D533" i="1" s="1"/>
  <c r="E533" i="1" s="1"/>
  <c r="A533" i="1"/>
  <c r="D60" i="1" a="1"/>
  <c r="D60" i="1" s="1"/>
  <c r="F60" i="1" s="1"/>
  <c r="A60" i="1"/>
  <c r="D623" i="1" a="1"/>
  <c r="D623" i="1" s="1"/>
  <c r="E623" i="1" s="1"/>
  <c r="A623" i="1"/>
  <c r="D525" i="1" a="1"/>
  <c r="D525" i="1" s="1"/>
  <c r="F525" i="1" s="1"/>
  <c r="A525" i="1"/>
  <c r="D480" i="1" a="1"/>
  <c r="D480" i="1" s="1"/>
  <c r="E480" i="1" s="1"/>
  <c r="A480" i="1"/>
  <c r="D420" i="1" a="1"/>
  <c r="D420" i="1" s="1"/>
  <c r="F420" i="1" s="1"/>
  <c r="A420" i="1"/>
  <c r="D357" i="1" a="1"/>
  <c r="D357" i="1" s="1"/>
  <c r="F357" i="1" s="1"/>
  <c r="A357" i="1"/>
  <c r="D292" i="1" a="1"/>
  <c r="D292" i="1" s="1"/>
  <c r="F292" i="1" s="1"/>
  <c r="A292" i="1"/>
  <c r="D225" i="1" a="1"/>
  <c r="D225" i="1" s="1"/>
  <c r="E225" i="1" s="1"/>
  <c r="A225" i="1"/>
  <c r="D159" i="1" a="1"/>
  <c r="D159" i="1" s="1"/>
  <c r="F159" i="1" s="1"/>
  <c r="A159" i="1"/>
  <c r="D90" i="1" a="1"/>
  <c r="D90" i="1" s="1"/>
  <c r="F90" i="1" s="1"/>
  <c r="A90" i="1"/>
  <c r="D531" i="1" a="1"/>
  <c r="D531" i="1" s="1"/>
  <c r="F531" i="1" s="1"/>
  <c r="A531" i="1"/>
  <c r="D471" i="1" a="1"/>
  <c r="D471" i="1" s="1"/>
  <c r="E471" i="1" s="1"/>
  <c r="A471" i="1"/>
  <c r="D396" i="1" a="1"/>
  <c r="D396" i="1" s="1"/>
  <c r="F396" i="1" s="1"/>
  <c r="A396" i="1"/>
  <c r="D329" i="1" a="1"/>
  <c r="D329" i="1" s="1"/>
  <c r="F329" i="1" s="1"/>
  <c r="A329" i="1"/>
  <c r="D261" i="1" a="1"/>
  <c r="D261" i="1" s="1"/>
  <c r="E261" i="1" s="1"/>
  <c r="A261" i="1"/>
  <c r="D202" i="1" a="1"/>
  <c r="D202" i="1" s="1"/>
  <c r="F202" i="1" s="1"/>
  <c r="A202" i="1"/>
  <c r="D143" i="1" a="1"/>
  <c r="D143" i="1" s="1"/>
  <c r="F143" i="1" s="1"/>
  <c r="A143" i="1"/>
  <c r="D81" i="1" a="1"/>
  <c r="D81" i="1" s="1"/>
  <c r="E81" i="1" s="1"/>
  <c r="A81" i="1"/>
  <c r="D485" i="1" a="1"/>
  <c r="D485" i="1" s="1"/>
  <c r="E485" i="1" s="1"/>
  <c r="A485" i="1"/>
  <c r="D425" i="1" a="1"/>
  <c r="D425" i="1" s="1"/>
  <c r="E425" i="1" s="1"/>
  <c r="A425" i="1"/>
  <c r="D362" i="1" a="1"/>
  <c r="D362" i="1" s="1"/>
  <c r="F362" i="1" s="1"/>
  <c r="A362" i="1"/>
  <c r="D298" i="1" a="1"/>
  <c r="D298" i="1" s="1"/>
  <c r="F298" i="1" s="1"/>
  <c r="A298" i="1"/>
  <c r="D230" i="1" a="1"/>
  <c r="D230" i="1" s="1"/>
  <c r="F230" i="1" s="1"/>
  <c r="A230" i="1"/>
  <c r="D164" i="1" a="1"/>
  <c r="D164" i="1" s="1"/>
  <c r="F164" i="1" s="1"/>
  <c r="A164" i="1"/>
  <c r="D103" i="1" a="1"/>
  <c r="D103" i="1" s="1"/>
  <c r="F103" i="1" s="1"/>
  <c r="A103" i="1"/>
  <c r="D529" i="1" a="1"/>
  <c r="D529" i="1" s="1"/>
  <c r="F529" i="1" s="1"/>
  <c r="A529" i="1"/>
  <c r="D469" i="1" a="1"/>
  <c r="D469" i="1" s="1"/>
  <c r="F469" i="1" s="1"/>
  <c r="A469" i="1"/>
  <c r="D402" i="1" a="1"/>
  <c r="D402" i="1" s="1"/>
  <c r="F402" i="1" s="1"/>
  <c r="A402" i="1"/>
  <c r="D342" i="1" a="1"/>
  <c r="D342" i="1" s="1"/>
  <c r="F342" i="1" s="1"/>
  <c r="A342" i="1"/>
  <c r="D274" i="1" a="1"/>
  <c r="D274" i="1" s="1"/>
  <c r="E274" i="1" s="1"/>
  <c r="A274" i="1"/>
  <c r="D215" i="1" a="1"/>
  <c r="D215" i="1" s="1"/>
  <c r="F215" i="1" s="1"/>
  <c r="A215" i="1"/>
  <c r="D149" i="1" a="1"/>
  <c r="D149" i="1" s="1"/>
  <c r="F149" i="1" s="1"/>
  <c r="A149" i="1"/>
  <c r="D87" i="1" a="1"/>
  <c r="D87" i="1" s="1"/>
  <c r="F87" i="1" s="1"/>
  <c r="A87" i="1"/>
  <c r="D536" i="1" a="1"/>
  <c r="D536" i="1" s="1"/>
  <c r="F536" i="1" s="1"/>
  <c r="A536" i="1"/>
  <c r="D468" i="1" a="1"/>
  <c r="D468" i="1" s="1"/>
  <c r="F468" i="1" s="1"/>
  <c r="A468" i="1"/>
  <c r="D401" i="1" a="1"/>
  <c r="D401" i="1" s="1"/>
  <c r="F401" i="1" s="1"/>
  <c r="A401" i="1"/>
  <c r="D319" i="1" a="1"/>
  <c r="D319" i="1" s="1"/>
  <c r="E319" i="1" s="1"/>
  <c r="A319" i="1"/>
  <c r="D258" i="1" a="1"/>
  <c r="D258" i="1" s="1"/>
  <c r="E258" i="1" s="1"/>
  <c r="A258" i="1"/>
  <c r="D192" i="1" a="1"/>
  <c r="D192" i="1" s="1"/>
  <c r="F192" i="1" s="1"/>
  <c r="A192" i="1"/>
  <c r="D132" i="1" a="1"/>
  <c r="D132" i="1" s="1"/>
  <c r="F132" i="1" s="1"/>
  <c r="A132" i="1"/>
  <c r="D70" i="1" a="1"/>
  <c r="D70" i="1" s="1"/>
  <c r="F70" i="1" s="1"/>
  <c r="A70" i="1"/>
  <c r="D445" i="1" a="1"/>
  <c r="D445" i="1" s="1"/>
  <c r="E445" i="1" s="1"/>
  <c r="A445" i="1"/>
  <c r="D387" i="1" a="1"/>
  <c r="D387" i="1" s="1"/>
  <c r="F387" i="1" s="1"/>
  <c r="A387" i="1"/>
  <c r="D325" i="1" a="1"/>
  <c r="D325" i="1" s="1"/>
  <c r="F325" i="1" s="1"/>
  <c r="A325" i="1"/>
  <c r="D265" i="1" a="1"/>
  <c r="D265" i="1" s="1"/>
  <c r="E265" i="1" s="1"/>
  <c r="A265" i="1"/>
  <c r="D191" i="1" a="1"/>
  <c r="D191" i="1" s="1"/>
  <c r="F191" i="1" s="1"/>
  <c r="A191" i="1"/>
  <c r="D124" i="1" a="1"/>
  <c r="D124" i="1" s="1"/>
  <c r="F124" i="1" s="1"/>
  <c r="A124" i="1"/>
  <c r="D62" i="1" a="1"/>
  <c r="D62" i="1" s="1"/>
  <c r="F62" i="1" s="1"/>
  <c r="A62" i="1"/>
  <c r="D437" i="1" a="1"/>
  <c r="D437" i="1" s="1"/>
  <c r="F437" i="1" s="1"/>
  <c r="A437" i="1"/>
  <c r="D378" i="1" a="1"/>
  <c r="D378" i="1" s="1"/>
  <c r="E378" i="1" s="1"/>
  <c r="A378" i="1"/>
  <c r="D317" i="1" a="1"/>
  <c r="D317" i="1" s="1"/>
  <c r="F317" i="1" s="1"/>
  <c r="A317" i="1"/>
  <c r="D249" i="1" a="1"/>
  <c r="D249" i="1" s="1"/>
  <c r="F249" i="1" s="1"/>
  <c r="A249" i="1"/>
  <c r="D190" i="1" a="1"/>
  <c r="D190" i="1" s="1"/>
  <c r="E190" i="1" s="1"/>
  <c r="A190" i="1"/>
  <c r="D123" i="1" a="1"/>
  <c r="D123" i="1" s="1"/>
  <c r="E123" i="1" s="1"/>
  <c r="A123" i="1"/>
  <c r="D61" i="1" a="1"/>
  <c r="D61" i="1" s="1"/>
  <c r="F61" i="1" s="1"/>
  <c r="A61" i="1"/>
  <c r="C47" i="1"/>
  <c r="A47" i="1"/>
  <c r="C15" i="1"/>
  <c r="A15" i="1"/>
  <c r="D19" i="1" a="1"/>
  <c r="D19" i="1" s="1"/>
  <c r="A19" i="1"/>
  <c r="C53" i="1"/>
  <c r="A53" i="1"/>
  <c r="C11" i="1"/>
  <c r="A11" i="1"/>
  <c r="D707" i="1" a="1"/>
  <c r="D707" i="1" s="1"/>
  <c r="E707" i="1" s="1"/>
  <c r="A707" i="1"/>
  <c r="D697" i="1" a="1"/>
  <c r="D697" i="1" s="1"/>
  <c r="F697" i="1" s="1"/>
  <c r="A697" i="1"/>
  <c r="C49" i="1"/>
  <c r="A49" i="1"/>
  <c r="D722" i="1" a="1"/>
  <c r="D722" i="1" s="1"/>
  <c r="F722" i="1" s="1"/>
  <c r="A722" i="1"/>
  <c r="D615" i="1" a="1"/>
  <c r="D615" i="1" s="1"/>
  <c r="E615" i="1" s="1"/>
  <c r="A615" i="1"/>
  <c r="D608" i="1" a="1"/>
  <c r="D608" i="1" s="1"/>
  <c r="E608" i="1" s="1"/>
  <c r="A608" i="1"/>
  <c r="D457" i="1" a="1"/>
  <c r="D457" i="1" s="1"/>
  <c r="E457" i="1" s="1"/>
  <c r="A457" i="1"/>
  <c r="D770" i="1" a="1"/>
  <c r="D770" i="1" s="1"/>
  <c r="F770" i="1" s="1"/>
  <c r="A770" i="1"/>
  <c r="D607" i="1" a="1"/>
  <c r="D607" i="1" s="1"/>
  <c r="F607" i="1" s="1"/>
  <c r="A607" i="1"/>
  <c r="D451" i="1" a="1"/>
  <c r="D451" i="1" s="1"/>
  <c r="F451" i="1" s="1"/>
  <c r="A451" i="1"/>
  <c r="D857" i="1" a="1"/>
  <c r="D857" i="1" s="1"/>
  <c r="F857" i="1" s="1"/>
  <c r="A857" i="1"/>
  <c r="D713" i="1" a="1"/>
  <c r="D713" i="1" s="1"/>
  <c r="F713" i="1" s="1"/>
  <c r="A713" i="1"/>
  <c r="D856" i="1" a="1"/>
  <c r="D856" i="1" s="1"/>
  <c r="F856" i="1" s="1"/>
  <c r="A856" i="1"/>
  <c r="D712" i="1" a="1"/>
  <c r="D712" i="1" s="1"/>
  <c r="F712" i="1" s="1"/>
  <c r="A712" i="1"/>
  <c r="D634" i="1" a="1"/>
  <c r="D634" i="1" s="1"/>
  <c r="E634" i="1" s="1"/>
  <c r="A634" i="1"/>
  <c r="D263" i="1" a="1"/>
  <c r="D263" i="1" s="1"/>
  <c r="F263" i="1" s="1"/>
  <c r="A263" i="1"/>
  <c r="D767" i="1" a="1"/>
  <c r="D767" i="1" s="1"/>
  <c r="F767" i="1" s="1"/>
  <c r="A767" i="1"/>
  <c r="D604" i="1" a="1"/>
  <c r="D604" i="1" s="1"/>
  <c r="E604" i="1" s="1"/>
  <c r="A604" i="1"/>
  <c r="D428" i="1" a="1"/>
  <c r="D428" i="1" s="1"/>
  <c r="F428" i="1" s="1"/>
  <c r="A428" i="1"/>
  <c r="D806" i="1" a="1"/>
  <c r="D806" i="1" s="1"/>
  <c r="F806" i="1" s="1"/>
  <c r="A806" i="1"/>
  <c r="D742" i="1" a="1"/>
  <c r="D742" i="1" s="1"/>
  <c r="F742" i="1" s="1"/>
  <c r="A742" i="1"/>
  <c r="D625" i="1" a="1"/>
  <c r="D625" i="1" s="1"/>
  <c r="E625" i="1" s="1"/>
  <c r="A625" i="1"/>
  <c r="D67" i="1" a="1"/>
  <c r="D67" i="1" s="1"/>
  <c r="E67" i="1" s="1"/>
  <c r="A67" i="1"/>
  <c r="D821" i="1" a="1"/>
  <c r="D821" i="1" s="1"/>
  <c r="F821" i="1" s="1"/>
  <c r="A821" i="1"/>
  <c r="D657" i="1" a="1"/>
  <c r="D657" i="1" s="1"/>
  <c r="F657" i="1" s="1"/>
  <c r="A657" i="1"/>
  <c r="D602" i="1" a="1"/>
  <c r="D602" i="1" s="1"/>
  <c r="E602" i="1" s="1"/>
  <c r="A602" i="1"/>
  <c r="D473" i="1" a="1"/>
  <c r="D473" i="1" s="1"/>
  <c r="E473" i="1" s="1"/>
  <c r="A473" i="1"/>
  <c r="D764" i="1" a="1"/>
  <c r="D764" i="1" s="1"/>
  <c r="F764" i="1" s="1"/>
  <c r="A764" i="1"/>
  <c r="D465" i="1" a="1"/>
  <c r="D465" i="1" s="1"/>
  <c r="F465" i="1" s="1"/>
  <c r="A465" i="1"/>
  <c r="D532" i="1" a="1"/>
  <c r="D532" i="1" s="1"/>
  <c r="E532" i="1" s="1"/>
  <c r="A532" i="1"/>
  <c r="D472" i="1" a="1"/>
  <c r="D472" i="1" s="1"/>
  <c r="F472" i="1" s="1"/>
  <c r="A472" i="1"/>
  <c r="D413" i="1" a="1"/>
  <c r="D413" i="1" s="1"/>
  <c r="F413" i="1" s="1"/>
  <c r="A413" i="1"/>
  <c r="D351" i="1" a="1"/>
  <c r="D351" i="1" s="1"/>
  <c r="E351" i="1" s="1"/>
  <c r="A351" i="1"/>
  <c r="D285" i="1" a="1"/>
  <c r="D285" i="1" s="1"/>
  <c r="E285" i="1" s="1"/>
  <c r="A285" i="1"/>
  <c r="D218" i="1" a="1"/>
  <c r="D218" i="1" s="1"/>
  <c r="F218" i="1" s="1"/>
  <c r="A218" i="1"/>
  <c r="D152" i="1" a="1"/>
  <c r="D152" i="1" s="1"/>
  <c r="E152" i="1" s="1"/>
  <c r="A152" i="1"/>
  <c r="D82" i="1" a="1"/>
  <c r="D82" i="1" s="1"/>
  <c r="F82" i="1" s="1"/>
  <c r="A82" i="1"/>
  <c r="D463" i="1" a="1"/>
  <c r="D463" i="1" s="1"/>
  <c r="F463" i="1" s="1"/>
  <c r="A463" i="1"/>
  <c r="D390" i="1" a="1"/>
  <c r="D390" i="1" s="1"/>
  <c r="F390" i="1" s="1"/>
  <c r="A390" i="1"/>
  <c r="D314" i="1" a="1"/>
  <c r="D314" i="1" s="1"/>
  <c r="F314" i="1" s="1"/>
  <c r="A314" i="1"/>
  <c r="D254" i="1" a="1"/>
  <c r="D254" i="1" s="1"/>
  <c r="F254" i="1" s="1"/>
  <c r="A254" i="1"/>
  <c r="D194" i="1" a="1"/>
  <c r="D194" i="1" s="1"/>
  <c r="F194" i="1" s="1"/>
  <c r="A194" i="1"/>
  <c r="D135" i="1" a="1"/>
  <c r="D135" i="1" s="1"/>
  <c r="F135" i="1" s="1"/>
  <c r="A135" i="1"/>
  <c r="D73" i="1" a="1"/>
  <c r="D73" i="1" s="1"/>
  <c r="F73" i="1" s="1"/>
  <c r="A73" i="1"/>
  <c r="D478" i="1" a="1"/>
  <c r="D478" i="1" s="1"/>
  <c r="F478" i="1" s="1"/>
  <c r="A478" i="1"/>
  <c r="D419" i="1" a="1"/>
  <c r="D419" i="1" s="1"/>
  <c r="F419" i="1" s="1"/>
  <c r="A419" i="1"/>
  <c r="D349" i="1" a="1"/>
  <c r="D349" i="1" s="1"/>
  <c r="F349" i="1" s="1"/>
  <c r="A349" i="1"/>
  <c r="D290" i="1" a="1"/>
  <c r="D290" i="1" s="1"/>
  <c r="F290" i="1" s="1"/>
  <c r="A290" i="1"/>
  <c r="D223" i="1" a="1"/>
  <c r="D223" i="1" s="1"/>
  <c r="F223" i="1" s="1"/>
  <c r="A223" i="1"/>
  <c r="D157" i="1" a="1"/>
  <c r="D157" i="1" s="1"/>
  <c r="E157" i="1" s="1"/>
  <c r="A157" i="1"/>
  <c r="D96" i="1" a="1"/>
  <c r="D96" i="1" s="1"/>
  <c r="E96" i="1" s="1"/>
  <c r="A96" i="1"/>
  <c r="D461" i="1" a="1"/>
  <c r="D461" i="1" s="1"/>
  <c r="F461" i="1" s="1"/>
  <c r="A461" i="1"/>
  <c r="D395" i="1" a="1"/>
  <c r="D395" i="1" s="1"/>
  <c r="F395" i="1" s="1"/>
  <c r="A395" i="1"/>
  <c r="D334" i="1" a="1"/>
  <c r="D334" i="1" s="1"/>
  <c r="F334" i="1" s="1"/>
  <c r="A334" i="1"/>
  <c r="D267" i="1" a="1"/>
  <c r="D267" i="1" s="1"/>
  <c r="F267" i="1" s="1"/>
  <c r="A267" i="1"/>
  <c r="D207" i="1" a="1"/>
  <c r="D207" i="1" s="1"/>
  <c r="F207" i="1" s="1"/>
  <c r="A207" i="1"/>
  <c r="D141" i="1" a="1"/>
  <c r="D141" i="1" s="1"/>
  <c r="F141" i="1" s="1"/>
  <c r="A141" i="1"/>
  <c r="D79" i="1" a="1"/>
  <c r="D79" i="1" s="1"/>
  <c r="F79" i="1" s="1"/>
  <c r="A79" i="1"/>
  <c r="D528" i="1" a="1"/>
  <c r="D528" i="1" s="1"/>
  <c r="F528" i="1" s="1"/>
  <c r="A528" i="1"/>
  <c r="D460" i="1" a="1"/>
  <c r="D460" i="1" s="1"/>
  <c r="A460" i="1"/>
  <c r="D394" i="1" a="1"/>
  <c r="D394" i="1" s="1"/>
  <c r="E394" i="1" s="1"/>
  <c r="A394" i="1"/>
  <c r="D311" i="1" a="1"/>
  <c r="D311" i="1" s="1"/>
  <c r="E311" i="1" s="1"/>
  <c r="A311" i="1"/>
  <c r="D251" i="1" a="1"/>
  <c r="D251" i="1" s="1"/>
  <c r="F251" i="1" s="1"/>
  <c r="A251" i="1"/>
  <c r="D185" i="1" a="1"/>
  <c r="D185" i="1" s="1"/>
  <c r="E185" i="1" s="1"/>
  <c r="A185" i="1"/>
  <c r="D125" i="1" a="1"/>
  <c r="D125" i="1" s="1"/>
  <c r="F125" i="1" s="1"/>
  <c r="A125" i="1"/>
  <c r="D63" i="1" a="1"/>
  <c r="D63" i="1" s="1"/>
  <c r="E63" i="1" s="1"/>
  <c r="A63" i="1"/>
  <c r="D497" i="1" a="1"/>
  <c r="D497" i="1" s="1"/>
  <c r="F497" i="1" s="1"/>
  <c r="A497" i="1"/>
  <c r="D438" i="1" a="1"/>
  <c r="D438" i="1" s="1"/>
  <c r="F438" i="1" s="1"/>
  <c r="A438" i="1"/>
  <c r="D379" i="1" a="1"/>
  <c r="D379" i="1" s="1"/>
  <c r="F379" i="1" s="1"/>
  <c r="A379" i="1"/>
  <c r="D318" i="1" a="1"/>
  <c r="D318" i="1" s="1"/>
  <c r="F318" i="1" s="1"/>
  <c r="A318" i="1"/>
  <c r="D250" i="1" a="1"/>
  <c r="D250" i="1" s="1"/>
  <c r="F250" i="1" s="1"/>
  <c r="A250" i="1"/>
  <c r="D184" i="1" a="1"/>
  <c r="D184" i="1" s="1"/>
  <c r="E184" i="1" s="1"/>
  <c r="A184" i="1"/>
  <c r="D116" i="1" a="1"/>
  <c r="D116" i="1" s="1"/>
  <c r="F116" i="1" s="1"/>
  <c r="A116" i="1"/>
  <c r="D55" i="1" a="1"/>
  <c r="D55" i="1" s="1"/>
  <c r="F55" i="1" s="1"/>
  <c r="A55" i="1"/>
  <c r="D496" i="1" a="1"/>
  <c r="D496" i="1" s="1"/>
  <c r="F496" i="1" s="1"/>
  <c r="A496" i="1"/>
  <c r="D429" i="1" a="1"/>
  <c r="D429" i="1" s="1"/>
  <c r="F429" i="1" s="1"/>
  <c r="A429" i="1"/>
  <c r="D365" i="1" a="1"/>
  <c r="D365" i="1" s="1"/>
  <c r="F365" i="1" s="1"/>
  <c r="A365" i="1"/>
  <c r="D309" i="1" a="1"/>
  <c r="D309" i="1" s="1"/>
  <c r="F309" i="1" s="1"/>
  <c r="A309" i="1"/>
  <c r="D241" i="1" a="1"/>
  <c r="D241" i="1" s="1"/>
  <c r="E241" i="1" s="1"/>
  <c r="A241" i="1"/>
  <c r="D183" i="1" a="1"/>
  <c r="D183" i="1" s="1"/>
  <c r="F183" i="1" s="1"/>
  <c r="A183" i="1"/>
  <c r="D115" i="1" a="1"/>
  <c r="D115" i="1" s="1"/>
  <c r="E115" i="1" s="1"/>
  <c r="A115" i="1"/>
  <c r="D54" i="1" a="1"/>
  <c r="D54" i="1" s="1"/>
  <c r="F54" i="1" s="1"/>
  <c r="A54" i="1"/>
  <c r="D43" i="1" a="1"/>
  <c r="D43" i="1" s="1"/>
  <c r="E43" i="1" s="1"/>
  <c r="A43" i="1"/>
  <c r="C23" i="1"/>
  <c r="A23" i="1"/>
  <c r="C25" i="1"/>
  <c r="A25" i="1"/>
  <c r="C27" i="1"/>
  <c r="A27" i="1"/>
  <c r="D20" i="1" a="1"/>
  <c r="D20" i="1" s="1"/>
  <c r="E20" i="1" s="1"/>
  <c r="A20" i="1"/>
  <c r="C7" i="1"/>
  <c r="A7" i="1"/>
  <c r="D30" i="1" a="1"/>
  <c r="D30" i="1" s="1"/>
  <c r="F30" i="1" s="1"/>
  <c r="A30" i="1"/>
  <c r="D687" i="1" a="1"/>
  <c r="D687" i="1" s="1"/>
  <c r="F687" i="1" s="1"/>
  <c r="A687" i="1"/>
  <c r="D728" i="1" a="1"/>
  <c r="D728" i="1" s="1"/>
  <c r="E728" i="1" s="1"/>
  <c r="A728" i="1"/>
  <c r="D734" i="1" a="1"/>
  <c r="D734" i="1" s="1"/>
  <c r="F734" i="1" s="1"/>
  <c r="A734" i="1"/>
  <c r="D398" i="1" a="1"/>
  <c r="D398" i="1" s="1"/>
  <c r="F398" i="1" s="1"/>
  <c r="A398" i="1"/>
  <c r="D819" i="1" a="1"/>
  <c r="D819" i="1" s="1"/>
  <c r="F819" i="1" s="1"/>
  <c r="A819" i="1"/>
  <c r="D552" i="1" a="1"/>
  <c r="D552" i="1" s="1"/>
  <c r="F552" i="1" s="1"/>
  <c r="A552" i="1"/>
  <c r="D518" i="1" a="1"/>
  <c r="D518" i="1" s="1"/>
  <c r="F518" i="1" s="1"/>
  <c r="A518" i="1"/>
  <c r="D762" i="1" a="1"/>
  <c r="D762" i="1" s="1"/>
  <c r="F762" i="1" s="1"/>
  <c r="A762" i="1"/>
  <c r="D661" i="1" a="1"/>
  <c r="D661" i="1" s="1"/>
  <c r="E661" i="1" s="1"/>
  <c r="A661" i="1"/>
  <c r="D599" i="1" a="1"/>
  <c r="D599" i="1" s="1"/>
  <c r="E599" i="1" s="1"/>
  <c r="A599" i="1"/>
  <c r="D338" i="1" a="1"/>
  <c r="D338" i="1" s="1"/>
  <c r="F338" i="1" s="1"/>
  <c r="A338" i="1"/>
  <c r="D849" i="1" a="1"/>
  <c r="D849" i="1" s="1"/>
  <c r="F849" i="1" s="1"/>
  <c r="A849" i="1"/>
  <c r="D785" i="1" a="1"/>
  <c r="D785" i="1" s="1"/>
  <c r="F785" i="1" s="1"/>
  <c r="A785" i="1"/>
  <c r="D606" i="1" a="1"/>
  <c r="D606" i="1" s="1"/>
  <c r="E606" i="1" s="1"/>
  <c r="A606" i="1"/>
  <c r="D443" i="1" a="1"/>
  <c r="D443" i="1" s="1"/>
  <c r="F443" i="1" s="1"/>
  <c r="A443" i="1"/>
  <c r="D848" i="1" a="1"/>
  <c r="D848" i="1" s="1"/>
  <c r="F848" i="1" s="1"/>
  <c r="A848" i="1"/>
  <c r="D784" i="1" a="1"/>
  <c r="D784" i="1" s="1"/>
  <c r="F784" i="1" s="1"/>
  <c r="A784" i="1"/>
  <c r="D568" i="1" a="1"/>
  <c r="D568" i="1" s="1"/>
  <c r="F568" i="1" s="1"/>
  <c r="A568" i="1"/>
  <c r="D204" i="1" a="1"/>
  <c r="D204" i="1" s="1"/>
  <c r="F204" i="1" s="1"/>
  <c r="A204" i="1"/>
  <c r="D823" i="1" a="1"/>
  <c r="D823" i="1" s="1"/>
  <c r="F823" i="1" s="1"/>
  <c r="A823" i="1"/>
  <c r="D759" i="1" a="1"/>
  <c r="D759" i="1" s="1"/>
  <c r="F759" i="1" s="1"/>
  <c r="A759" i="1"/>
  <c r="D659" i="1" a="1"/>
  <c r="D659" i="1" s="1"/>
  <c r="E659" i="1" s="1"/>
  <c r="A659" i="1"/>
  <c r="D596" i="1" a="1"/>
  <c r="D596" i="1" s="1"/>
  <c r="E596" i="1" s="1"/>
  <c r="A596" i="1"/>
  <c r="D371" i="1" a="1"/>
  <c r="D371" i="1" s="1"/>
  <c r="F371" i="1" s="1"/>
  <c r="A371" i="1"/>
  <c r="D798" i="1" a="1"/>
  <c r="D798" i="1" s="1"/>
  <c r="F798" i="1" s="1"/>
  <c r="A798" i="1"/>
  <c r="D617" i="1" a="1"/>
  <c r="D617" i="1" s="1"/>
  <c r="E617" i="1" s="1"/>
  <c r="A617" i="1"/>
  <c r="D813" i="1" a="1"/>
  <c r="D813" i="1" s="1"/>
  <c r="F813" i="1" s="1"/>
  <c r="A813" i="1"/>
  <c r="D749" i="1" a="1"/>
  <c r="D749" i="1" s="1"/>
  <c r="F749" i="1" s="1"/>
  <c r="A749" i="1"/>
  <c r="D652" i="1" a="1"/>
  <c r="D652" i="1" s="1"/>
  <c r="E652" i="1" s="1"/>
  <c r="A652" i="1"/>
  <c r="D414" i="1" a="1"/>
  <c r="D414" i="1" s="1"/>
  <c r="F414" i="1" s="1"/>
  <c r="A414" i="1"/>
  <c r="D820" i="1" a="1"/>
  <c r="D820" i="1" s="1"/>
  <c r="F820" i="1" s="1"/>
  <c r="A820" i="1"/>
  <c r="D601" i="1" a="1"/>
  <c r="D601" i="1" s="1"/>
  <c r="E601" i="1" s="1"/>
  <c r="A601" i="1"/>
  <c r="D406" i="1" a="1"/>
  <c r="D406" i="1" s="1"/>
  <c r="F406" i="1" s="1"/>
  <c r="A406" i="1"/>
  <c r="D524" i="1" a="1"/>
  <c r="D524" i="1" s="1"/>
  <c r="F524" i="1" s="1"/>
  <c r="A524" i="1"/>
  <c r="D464" i="1" a="1"/>
  <c r="D464" i="1" s="1"/>
  <c r="F464" i="1" s="1"/>
  <c r="A464" i="1"/>
  <c r="D405" i="1" a="1"/>
  <c r="D405" i="1" s="1"/>
  <c r="F405" i="1" s="1"/>
  <c r="A405" i="1"/>
  <c r="D337" i="1" a="1"/>
  <c r="D337" i="1" s="1"/>
  <c r="F337" i="1" s="1"/>
  <c r="A337" i="1"/>
  <c r="D277" i="1" a="1"/>
  <c r="D277" i="1" s="1"/>
  <c r="A277" i="1"/>
  <c r="D210" i="1" a="1"/>
  <c r="D210" i="1" s="1"/>
  <c r="F210" i="1" s="1"/>
  <c r="A210" i="1"/>
  <c r="D144" i="1" a="1"/>
  <c r="D144" i="1" s="1"/>
  <c r="F144" i="1" s="1"/>
  <c r="A144" i="1"/>
  <c r="D74" i="1" a="1"/>
  <c r="D74" i="1" s="1"/>
  <c r="F74" i="1" s="1"/>
  <c r="A74" i="1"/>
  <c r="D516" i="1" a="1"/>
  <c r="D516" i="1" s="1"/>
  <c r="F516" i="1" s="1"/>
  <c r="A516" i="1"/>
  <c r="D449" i="1" a="1"/>
  <c r="D449" i="1" s="1"/>
  <c r="F449" i="1" s="1"/>
  <c r="A449" i="1"/>
  <c r="D383" i="1" a="1"/>
  <c r="D383" i="1" s="1"/>
  <c r="F383" i="1" s="1"/>
  <c r="A383" i="1"/>
  <c r="D306" i="1" a="1"/>
  <c r="D306" i="1" s="1"/>
  <c r="E306" i="1" s="1"/>
  <c r="A306" i="1"/>
  <c r="D246" i="1" a="1"/>
  <c r="D246" i="1" s="1"/>
  <c r="F246" i="1" s="1"/>
  <c r="A246" i="1"/>
  <c r="D187" i="1" a="1"/>
  <c r="D187" i="1" s="1"/>
  <c r="F187" i="1" s="1"/>
  <c r="A187" i="1"/>
  <c r="D128" i="1" a="1"/>
  <c r="D128" i="1" s="1"/>
  <c r="E128" i="1" s="1"/>
  <c r="A128" i="1"/>
  <c r="D58" i="1" a="1"/>
  <c r="D58" i="1" s="1"/>
  <c r="F58" i="1" s="1"/>
  <c r="A58" i="1"/>
  <c r="D470" i="1" a="1"/>
  <c r="D470" i="1" s="1"/>
  <c r="F470" i="1" s="1"/>
  <c r="A470" i="1"/>
  <c r="D411" i="1" a="1"/>
  <c r="D411" i="1" s="1"/>
  <c r="F411" i="1" s="1"/>
  <c r="A411" i="1"/>
  <c r="D343" i="1" a="1"/>
  <c r="D343" i="1" s="1"/>
  <c r="E343" i="1" s="1"/>
  <c r="A343" i="1"/>
  <c r="D283" i="1" a="1"/>
  <c r="D283" i="1" s="1"/>
  <c r="F283" i="1" s="1"/>
  <c r="A283" i="1"/>
  <c r="D216" i="1" a="1"/>
  <c r="D216" i="1" s="1"/>
  <c r="F216" i="1" s="1"/>
  <c r="A216" i="1"/>
  <c r="D150" i="1" a="1"/>
  <c r="D150" i="1" s="1"/>
  <c r="F150" i="1" s="1"/>
  <c r="A150" i="1"/>
  <c r="D88" i="1" a="1"/>
  <c r="D88" i="1" s="1"/>
  <c r="F88" i="1" s="1"/>
  <c r="A88" i="1"/>
  <c r="D515" i="1" a="1"/>
  <c r="D515" i="1" s="1"/>
  <c r="F515" i="1" s="1"/>
  <c r="A515" i="1"/>
  <c r="D454" i="1" a="1"/>
  <c r="D454" i="1" s="1"/>
  <c r="E454" i="1" s="1"/>
  <c r="A454" i="1"/>
  <c r="D388" i="1" a="1"/>
  <c r="D388" i="1" s="1"/>
  <c r="F388" i="1" s="1"/>
  <c r="A388" i="1"/>
  <c r="D327" i="1" a="1"/>
  <c r="D327" i="1" s="1"/>
  <c r="E327" i="1" s="1"/>
  <c r="A327" i="1"/>
  <c r="D259" i="1" a="1"/>
  <c r="D259" i="1" s="1"/>
  <c r="F259" i="1" s="1"/>
  <c r="A259" i="1"/>
  <c r="D200" i="1" a="1"/>
  <c r="D200" i="1" s="1"/>
  <c r="F200" i="1" s="1"/>
  <c r="A200" i="1"/>
  <c r="D133" i="1" a="1"/>
  <c r="D133" i="1" s="1"/>
  <c r="F133" i="1" s="1"/>
  <c r="A133" i="1"/>
  <c r="D71" i="1" a="1"/>
  <c r="D71" i="1" s="1"/>
  <c r="F71" i="1" s="1"/>
  <c r="A71" i="1"/>
  <c r="D453" i="1" a="1"/>
  <c r="D453" i="1" s="1"/>
  <c r="E453" i="1" s="1"/>
  <c r="A453" i="1"/>
  <c r="D373" i="1" a="1"/>
  <c r="D373" i="1" s="1"/>
  <c r="E373" i="1" s="1"/>
  <c r="A373" i="1"/>
  <c r="D303" i="1" a="1"/>
  <c r="D303" i="1" s="1"/>
  <c r="E303" i="1" s="1"/>
  <c r="A303" i="1"/>
  <c r="D243" i="1" a="1"/>
  <c r="D243" i="1" s="1"/>
  <c r="E243" i="1" s="1"/>
  <c r="A243" i="1"/>
  <c r="D177" i="1" a="1"/>
  <c r="D177" i="1" s="1"/>
  <c r="F177" i="1" s="1"/>
  <c r="A177" i="1"/>
  <c r="D117" i="1" a="1"/>
  <c r="D117" i="1" s="1"/>
  <c r="F117" i="1" s="1"/>
  <c r="A117" i="1"/>
  <c r="D56" i="1" a="1"/>
  <c r="D56" i="1" s="1"/>
  <c r="F56" i="1" s="1"/>
  <c r="A56" i="1"/>
  <c r="D489" i="1" a="1"/>
  <c r="D489" i="1" s="1"/>
  <c r="F489" i="1" s="1"/>
  <c r="A489" i="1"/>
  <c r="D430" i="1" a="1"/>
  <c r="D430" i="1" s="1"/>
  <c r="F430" i="1" s="1"/>
  <c r="A430" i="1"/>
  <c r="D372" i="1" a="1"/>
  <c r="D372" i="1" s="1"/>
  <c r="F372" i="1" s="1"/>
  <c r="A372" i="1"/>
  <c r="D310" i="1" a="1"/>
  <c r="D310" i="1" s="1"/>
  <c r="F310" i="1" s="1"/>
  <c r="A310" i="1"/>
  <c r="D242" i="1" a="1"/>
  <c r="D242" i="1" s="1"/>
  <c r="F242" i="1" s="1"/>
  <c r="A242" i="1"/>
  <c r="D176" i="1" a="1"/>
  <c r="D176" i="1" s="1"/>
  <c r="F176" i="1" s="1"/>
  <c r="A176" i="1"/>
  <c r="D108" i="1" a="1"/>
  <c r="D108" i="1" s="1"/>
  <c r="F108" i="1" s="1"/>
  <c r="A108" i="1"/>
  <c r="D549" i="1" a="1"/>
  <c r="D549" i="1" s="1"/>
  <c r="F549" i="1" s="1"/>
  <c r="A549" i="1"/>
  <c r="D488" i="1" a="1"/>
  <c r="D488" i="1" s="1"/>
  <c r="F488" i="1" s="1"/>
  <c r="A488" i="1"/>
  <c r="D422" i="1" a="1"/>
  <c r="D422" i="1" s="1"/>
  <c r="E422" i="1" s="1"/>
  <c r="A422" i="1"/>
  <c r="D359" i="1" a="1"/>
  <c r="D359" i="1" s="1"/>
  <c r="F359" i="1" s="1"/>
  <c r="A359" i="1"/>
  <c r="D294" i="1" a="1"/>
  <c r="D294" i="1" s="1"/>
  <c r="F294" i="1" s="1"/>
  <c r="A294" i="1"/>
  <c r="D234" i="1" a="1"/>
  <c r="D234" i="1" s="1"/>
  <c r="F234" i="1" s="1"/>
  <c r="A234" i="1"/>
  <c r="D175" i="1" a="1"/>
  <c r="D175" i="1" s="1"/>
  <c r="E175" i="1" s="1"/>
  <c r="A175" i="1"/>
  <c r="D107" i="1" a="1"/>
  <c r="D107" i="1" s="1"/>
  <c r="F107" i="1" s="1"/>
  <c r="A107" i="1"/>
  <c r="C16" i="1"/>
  <c r="A16" i="1"/>
  <c r="C21" i="1"/>
  <c r="A21" i="1"/>
  <c r="C35" i="1"/>
  <c r="A35" i="1"/>
  <c r="C38" i="1"/>
  <c r="A38" i="1"/>
  <c r="C40" i="1"/>
  <c r="A40" i="1"/>
  <c r="C29" i="1"/>
  <c r="A29" i="1"/>
  <c r="D694" i="1" a="1"/>
  <c r="D694" i="1" s="1"/>
  <c r="E694" i="1" s="1"/>
  <c r="A694" i="1"/>
  <c r="D698" i="1" a="1"/>
  <c r="D698" i="1" s="1"/>
  <c r="E698" i="1" s="1"/>
  <c r="A698" i="1"/>
  <c r="D729" i="1" a="1"/>
  <c r="D729" i="1" s="1"/>
  <c r="E729" i="1" s="1"/>
  <c r="A729" i="1"/>
  <c r="D723" i="1" a="1"/>
  <c r="D723" i="1" s="1"/>
  <c r="A723" i="1"/>
  <c r="D763" i="1" a="1"/>
  <c r="D763" i="1" s="1"/>
  <c r="F763" i="1" s="1"/>
  <c r="A763" i="1"/>
  <c r="D106" i="1" a="1"/>
  <c r="D106" i="1" s="1"/>
  <c r="F106" i="1" s="1"/>
  <c r="A106" i="1"/>
  <c r="D818" i="1" a="1"/>
  <c r="D818" i="1" s="1"/>
  <c r="F818" i="1" s="1"/>
  <c r="A818" i="1"/>
  <c r="D655" i="1" a="1"/>
  <c r="D655" i="1" s="1"/>
  <c r="F655" i="1" s="1"/>
  <c r="A655" i="1"/>
  <c r="D278" i="1" a="1"/>
  <c r="D278" i="1" s="1"/>
  <c r="F278" i="1" s="1"/>
  <c r="A278" i="1"/>
  <c r="D777" i="1" a="1"/>
  <c r="D777" i="1" s="1"/>
  <c r="F777" i="1" s="1"/>
  <c r="A777" i="1"/>
  <c r="D598" i="1" a="1"/>
  <c r="D598" i="1" s="1"/>
  <c r="E598" i="1" s="1"/>
  <c r="A598" i="1"/>
  <c r="D385" i="1" a="1"/>
  <c r="D385" i="1" s="1"/>
  <c r="E385" i="1" s="1"/>
  <c r="A385" i="1"/>
  <c r="D776" i="1" a="1"/>
  <c r="D776" i="1" s="1"/>
  <c r="F776" i="1" s="1"/>
  <c r="A776" i="1"/>
  <c r="D619" i="1" a="1"/>
  <c r="D619" i="1" s="1"/>
  <c r="F619" i="1" s="1"/>
  <c r="A619" i="1"/>
  <c r="D560" i="1" a="1"/>
  <c r="D560" i="1" s="1"/>
  <c r="F560" i="1" s="1"/>
  <c r="A560" i="1"/>
  <c r="D145" i="1" a="1"/>
  <c r="D145" i="1" s="1"/>
  <c r="E145" i="1" s="1"/>
  <c r="A145" i="1"/>
  <c r="D815" i="1" a="1"/>
  <c r="D815" i="1" s="1"/>
  <c r="F815" i="1" s="1"/>
  <c r="A815" i="1"/>
  <c r="D751" i="1" a="1"/>
  <c r="D751" i="1" s="1"/>
  <c r="F751" i="1" s="1"/>
  <c r="A751" i="1"/>
  <c r="D653" i="1" a="1"/>
  <c r="D653" i="1" s="1"/>
  <c r="E653" i="1" s="1"/>
  <c r="A653" i="1"/>
  <c r="D589" i="1" a="1"/>
  <c r="D589" i="1" s="1"/>
  <c r="F589" i="1" s="1"/>
  <c r="A589" i="1"/>
  <c r="D316" i="1" a="1"/>
  <c r="D316" i="1" s="1"/>
  <c r="E316" i="1" s="1"/>
  <c r="A316" i="1"/>
  <c r="D854" i="1" a="1"/>
  <c r="D854" i="1" s="1"/>
  <c r="F854" i="1" s="1"/>
  <c r="A854" i="1"/>
  <c r="D710" i="1" a="1"/>
  <c r="D710" i="1" s="1"/>
  <c r="F710" i="1" s="1"/>
  <c r="A710" i="1"/>
  <c r="D481" i="1" a="1"/>
  <c r="D481" i="1" s="1"/>
  <c r="F481" i="1" s="1"/>
  <c r="A481" i="1"/>
  <c r="D805" i="1" a="1"/>
  <c r="D805" i="1" s="1"/>
  <c r="F805" i="1" s="1"/>
  <c r="A805" i="1"/>
  <c r="D741" i="1" a="1"/>
  <c r="D741" i="1" s="1"/>
  <c r="F741" i="1" s="1"/>
  <c r="A741" i="1"/>
  <c r="D587" i="1" a="1"/>
  <c r="D587" i="1" s="1"/>
  <c r="F587" i="1" s="1"/>
  <c r="A587" i="1"/>
  <c r="D358" i="1" a="1"/>
  <c r="D358" i="1" s="1"/>
  <c r="F358" i="1" s="1"/>
  <c r="A358" i="1"/>
  <c r="D812" i="1" a="1"/>
  <c r="D812" i="1" s="1"/>
  <c r="F812" i="1" s="1"/>
  <c r="A812" i="1"/>
  <c r="D748" i="1" a="1"/>
  <c r="D748" i="1" s="1"/>
  <c r="F748" i="1" s="1"/>
  <c r="A748" i="1"/>
  <c r="D293" i="1" a="1"/>
  <c r="D293" i="1" s="1"/>
  <c r="F293" i="1" s="1"/>
  <c r="A293" i="1"/>
  <c r="D517" i="1" a="1"/>
  <c r="D517" i="1" s="1"/>
  <c r="F517" i="1" s="1"/>
  <c r="A517" i="1"/>
  <c r="D456" i="1" a="1"/>
  <c r="D456" i="1" s="1"/>
  <c r="A456" i="1"/>
  <c r="D397" i="1" a="1"/>
  <c r="D397" i="1" s="1"/>
  <c r="F397" i="1" s="1"/>
  <c r="A397" i="1"/>
  <c r="D330" i="1" a="1"/>
  <c r="D330" i="1" s="1"/>
  <c r="F330" i="1" s="1"/>
  <c r="A330" i="1"/>
  <c r="D262" i="1" a="1"/>
  <c r="D262" i="1" s="1"/>
  <c r="F262" i="1" s="1"/>
  <c r="A262" i="1"/>
  <c r="D203" i="1" a="1"/>
  <c r="D203" i="1" s="1"/>
  <c r="F203" i="1" s="1"/>
  <c r="A203" i="1"/>
  <c r="D136" i="1" a="1"/>
  <c r="D136" i="1" s="1"/>
  <c r="F136" i="1" s="1"/>
  <c r="A136" i="1"/>
  <c r="D66" i="1" a="1"/>
  <c r="D66" i="1" s="1"/>
  <c r="F66" i="1" s="1"/>
  <c r="A66" i="1"/>
  <c r="D509" i="1" a="1"/>
  <c r="D509" i="1" s="1"/>
  <c r="F509" i="1" s="1"/>
  <c r="A509" i="1"/>
  <c r="D441" i="1" a="1"/>
  <c r="D441" i="1" s="1"/>
  <c r="F441" i="1" s="1"/>
  <c r="A441" i="1"/>
  <c r="D369" i="1" a="1"/>
  <c r="D369" i="1" s="1"/>
  <c r="E369" i="1" s="1"/>
  <c r="A369" i="1"/>
  <c r="D299" i="1" a="1"/>
  <c r="D299" i="1" s="1"/>
  <c r="F299" i="1" s="1"/>
  <c r="A299" i="1"/>
  <c r="D238" i="1" a="1"/>
  <c r="D238" i="1" s="1"/>
  <c r="E238" i="1" s="1"/>
  <c r="A238" i="1"/>
  <c r="D180" i="1" a="1"/>
  <c r="D180" i="1" s="1"/>
  <c r="F180" i="1" s="1"/>
  <c r="A180" i="1"/>
  <c r="D120" i="1" a="1"/>
  <c r="D120" i="1" s="1"/>
  <c r="F120" i="1" s="1"/>
  <c r="A120" i="1"/>
  <c r="D530" i="1" a="1"/>
  <c r="D530" i="1" s="1"/>
  <c r="F530" i="1" s="1"/>
  <c r="A530" i="1"/>
  <c r="D462" i="1" a="1"/>
  <c r="D462" i="1" s="1"/>
  <c r="F462" i="1" s="1"/>
  <c r="A462" i="1"/>
  <c r="D403" i="1" a="1"/>
  <c r="D403" i="1" s="1"/>
  <c r="F403" i="1" s="1"/>
  <c r="A403" i="1"/>
  <c r="D335" i="1" a="1"/>
  <c r="D335" i="1" s="1"/>
  <c r="F335" i="1" s="1"/>
  <c r="A335" i="1"/>
  <c r="D275" i="1" a="1"/>
  <c r="D275" i="1" s="1"/>
  <c r="E275" i="1" s="1"/>
  <c r="A275" i="1"/>
  <c r="D208" i="1" a="1"/>
  <c r="D208" i="1" s="1"/>
  <c r="F208" i="1" s="1"/>
  <c r="A208" i="1"/>
  <c r="D142" i="1" a="1"/>
  <c r="D142" i="1" s="1"/>
  <c r="E142" i="1" s="1"/>
  <c r="A142" i="1"/>
  <c r="D80" i="1" a="1"/>
  <c r="D80" i="1" s="1"/>
  <c r="F80" i="1" s="1"/>
  <c r="A80" i="1"/>
  <c r="D507" i="1" a="1"/>
  <c r="D507" i="1" s="1"/>
  <c r="F507" i="1" s="1"/>
  <c r="A507" i="1"/>
  <c r="D447" i="1" a="1"/>
  <c r="D447" i="1" s="1"/>
  <c r="F447" i="1" s="1"/>
  <c r="A447" i="1"/>
  <c r="D381" i="1" a="1"/>
  <c r="D381" i="1" s="1"/>
  <c r="F381" i="1" s="1"/>
  <c r="A381" i="1"/>
  <c r="D320" i="1" a="1"/>
  <c r="D320" i="1" s="1"/>
  <c r="F320" i="1" s="1"/>
  <c r="A320" i="1"/>
  <c r="D252" i="1" a="1"/>
  <c r="D252" i="1" s="1"/>
  <c r="F252" i="1" s="1"/>
  <c r="A252" i="1"/>
  <c r="D193" i="1" a="1"/>
  <c r="D193" i="1" s="1"/>
  <c r="F193" i="1" s="1"/>
  <c r="A193" i="1"/>
  <c r="D126" i="1" a="1"/>
  <c r="D126" i="1" s="1"/>
  <c r="F126" i="1" s="1"/>
  <c r="A126" i="1"/>
  <c r="D64" i="1" a="1"/>
  <c r="D64" i="1" s="1"/>
  <c r="F64" i="1" s="1"/>
  <c r="A64" i="1"/>
  <c r="D514" i="1" a="1"/>
  <c r="D514" i="1" s="1"/>
  <c r="E514" i="1" s="1"/>
  <c r="A514" i="1"/>
  <c r="D446" i="1" a="1"/>
  <c r="D446" i="1" s="1"/>
  <c r="F446" i="1" s="1"/>
  <c r="A446" i="1"/>
  <c r="D367" i="1" a="1"/>
  <c r="D367" i="1" s="1"/>
  <c r="F367" i="1" s="1"/>
  <c r="A367" i="1"/>
  <c r="D296" i="1" a="1"/>
  <c r="D296" i="1" s="1"/>
  <c r="F296" i="1" s="1"/>
  <c r="A296" i="1"/>
  <c r="D236" i="1" a="1"/>
  <c r="D236" i="1" s="1"/>
  <c r="F236" i="1" s="1"/>
  <c r="A236" i="1"/>
  <c r="D170" i="1" a="1"/>
  <c r="D170" i="1" s="1"/>
  <c r="F170" i="1" s="1"/>
  <c r="A170" i="1"/>
  <c r="D109" i="1" a="1"/>
  <c r="D109" i="1" s="1"/>
  <c r="F109" i="1" s="1"/>
  <c r="A109" i="1"/>
  <c r="D550" i="1" a="1"/>
  <c r="D550" i="1" s="1"/>
  <c r="F550" i="1" s="1"/>
  <c r="A550" i="1"/>
  <c r="D483" i="1" a="1"/>
  <c r="D483" i="1" s="1"/>
  <c r="F483" i="1" s="1"/>
  <c r="A483" i="1"/>
  <c r="D423" i="1" a="1"/>
  <c r="D423" i="1" s="1"/>
  <c r="F423" i="1" s="1"/>
  <c r="A423" i="1"/>
  <c r="D366" i="1" a="1"/>
  <c r="D366" i="1" s="1"/>
  <c r="E366" i="1" s="1"/>
  <c r="A366" i="1"/>
  <c r="D302" i="1" a="1"/>
  <c r="D302" i="1" s="1"/>
  <c r="F302" i="1" s="1"/>
  <c r="A302" i="1"/>
  <c r="D235" i="1" a="1"/>
  <c r="D235" i="1" s="1"/>
  <c r="F235" i="1" s="1"/>
  <c r="A235" i="1"/>
  <c r="D169" i="1" a="1"/>
  <c r="D169" i="1" s="1"/>
  <c r="F169" i="1" s="1"/>
  <c r="A169" i="1"/>
  <c r="D100" i="1" a="1"/>
  <c r="D100" i="1" s="1"/>
  <c r="F100" i="1" s="1"/>
  <c r="A100" i="1"/>
  <c r="D542" i="1" a="1"/>
  <c r="D542" i="1" s="1"/>
  <c r="F542" i="1" s="1"/>
  <c r="A542" i="1"/>
  <c r="D482" i="1" a="1"/>
  <c r="D482" i="1" s="1"/>
  <c r="F482" i="1" s="1"/>
  <c r="A482" i="1"/>
  <c r="D415" i="1" a="1"/>
  <c r="D415" i="1" s="1"/>
  <c r="F415" i="1" s="1"/>
  <c r="A415" i="1"/>
  <c r="D352" i="1" a="1"/>
  <c r="D352" i="1" s="1"/>
  <c r="F352" i="1" s="1"/>
  <c r="A352" i="1"/>
  <c r="D287" i="1" a="1"/>
  <c r="D287" i="1" s="1"/>
  <c r="F287" i="1" s="1"/>
  <c r="A287" i="1"/>
  <c r="D226" i="1" a="1"/>
  <c r="D226" i="1" s="1"/>
  <c r="F226" i="1" s="1"/>
  <c r="A226" i="1"/>
  <c r="D168" i="1" a="1"/>
  <c r="D168" i="1" s="1"/>
  <c r="F168" i="1" s="1"/>
  <c r="A168" i="1"/>
  <c r="D99" i="1" a="1"/>
  <c r="D99" i="1" s="1"/>
  <c r="F99" i="1" s="1"/>
  <c r="A99" i="1"/>
  <c r="F4" i="1"/>
  <c r="A4" i="1"/>
  <c r="D31" i="1" a="1"/>
  <c r="D31" i="1" s="1"/>
  <c r="F31" i="1" s="1"/>
  <c r="A31" i="1"/>
  <c r="C33" i="1"/>
  <c r="A33" i="1"/>
  <c r="C50" i="1"/>
  <c r="A50" i="1"/>
  <c r="C52" i="1"/>
  <c r="A52" i="1"/>
  <c r="C39" i="1"/>
  <c r="A39" i="1"/>
  <c r="D380" i="1" a="1"/>
  <c r="D380" i="1" s="1"/>
  <c r="F380" i="1" s="1"/>
  <c r="A380" i="1"/>
  <c r="C34" i="1"/>
  <c r="A34" i="1"/>
  <c r="D704" i="1" a="1"/>
  <c r="D704" i="1" s="1"/>
  <c r="E704" i="1" s="1"/>
  <c r="A704" i="1"/>
  <c r="D725" i="1" a="1"/>
  <c r="D725" i="1" s="1"/>
  <c r="F725" i="1" s="1"/>
  <c r="A725" i="1"/>
  <c r="D730" i="1" a="1"/>
  <c r="D730" i="1" s="1"/>
  <c r="F730" i="1" s="1"/>
  <c r="A730" i="1"/>
  <c r="D637" i="1" a="1"/>
  <c r="D637" i="1" s="1"/>
  <c r="E637" i="1" s="1"/>
  <c r="A637" i="1"/>
  <c r="D747" i="1" a="1"/>
  <c r="D747" i="1" s="1"/>
  <c r="F747" i="1" s="1"/>
  <c r="A747" i="1"/>
  <c r="D803" i="1" a="1"/>
  <c r="D803" i="1" s="1"/>
  <c r="F803" i="1" s="1"/>
  <c r="A803" i="1"/>
  <c r="D746" i="1" a="1"/>
  <c r="D746" i="1" s="1"/>
  <c r="F746" i="1" s="1"/>
  <c r="A746" i="1"/>
  <c r="D650" i="1" a="1"/>
  <c r="D650" i="1" s="1"/>
  <c r="E650" i="1" s="1"/>
  <c r="A650" i="1"/>
  <c r="D584" i="1" a="1"/>
  <c r="D584" i="1" s="1"/>
  <c r="F584" i="1" s="1"/>
  <c r="A584" i="1"/>
  <c r="D219" i="1" a="1"/>
  <c r="D219" i="1" s="1"/>
  <c r="E219" i="1" s="1"/>
  <c r="A219" i="1"/>
  <c r="D769" i="1" a="1"/>
  <c r="D769" i="1" s="1"/>
  <c r="F769" i="1" s="1"/>
  <c r="A769" i="1"/>
  <c r="D331" i="1" a="1"/>
  <c r="D331" i="1" s="1"/>
  <c r="F331" i="1" s="1"/>
  <c r="A331" i="1"/>
  <c r="D768" i="1" a="1"/>
  <c r="D768" i="1" s="1"/>
  <c r="F768" i="1" s="1"/>
  <c r="A768" i="1"/>
  <c r="D546" i="1" a="1"/>
  <c r="D546" i="1" s="1"/>
  <c r="E546" i="1" s="1"/>
  <c r="A546" i="1"/>
  <c r="D83" i="1" a="1"/>
  <c r="D83" i="1" s="1"/>
  <c r="F83" i="1" s="1"/>
  <c r="A83" i="1"/>
  <c r="D743" i="1" a="1"/>
  <c r="D743" i="1" s="1"/>
  <c r="F743" i="1" s="1"/>
  <c r="A743" i="1"/>
  <c r="D582" i="1" a="1"/>
  <c r="D582" i="1" s="1"/>
  <c r="F582" i="1" s="1"/>
  <c r="A582" i="1"/>
  <c r="D256" i="1" a="1"/>
  <c r="D256" i="1" s="1"/>
  <c r="F256" i="1" s="1"/>
  <c r="A256" i="1"/>
  <c r="D782" i="1" a="1"/>
  <c r="D782" i="1" s="1"/>
  <c r="F782" i="1" s="1"/>
  <c r="A782" i="1"/>
  <c r="D603" i="1" a="1"/>
  <c r="D603" i="1" s="1"/>
  <c r="E603" i="1" s="1"/>
  <c r="A603" i="1"/>
  <c r="D421" i="1" a="1"/>
  <c r="D421" i="1" s="1"/>
  <c r="F421" i="1" s="1"/>
  <c r="A421" i="1"/>
  <c r="D797" i="1" a="1"/>
  <c r="D797" i="1" s="1"/>
  <c r="F797" i="1" s="1"/>
  <c r="A797" i="1"/>
  <c r="D639" i="1" a="1"/>
  <c r="D639" i="1" s="1"/>
  <c r="E639" i="1" s="1"/>
  <c r="A639" i="1"/>
  <c r="D580" i="1" a="1"/>
  <c r="D580" i="1" s="1"/>
  <c r="F580" i="1" s="1"/>
  <c r="A580" i="1"/>
  <c r="D301" i="1" a="1"/>
  <c r="D301" i="1" s="1"/>
  <c r="F301" i="1" s="1"/>
  <c r="A301" i="1"/>
  <c r="D804" i="1" a="1"/>
  <c r="D804" i="1" s="1"/>
  <c r="F804" i="1" s="1"/>
  <c r="A804" i="1"/>
  <c r="D740" i="1" a="1"/>
  <c r="D740" i="1" s="1"/>
  <c r="F740" i="1" s="1"/>
  <c r="A740" i="1"/>
  <c r="D651" i="1" a="1"/>
  <c r="D651" i="1" s="1"/>
  <c r="E651" i="1" s="1"/>
  <c r="A651" i="1"/>
  <c r="D586" i="1" a="1"/>
  <c r="D586" i="1" s="1"/>
  <c r="F586" i="1" s="1"/>
  <c r="A586" i="1"/>
  <c r="D233" i="1" a="1"/>
  <c r="D233" i="1" s="1"/>
  <c r="F233" i="1" s="1"/>
  <c r="A233" i="1"/>
  <c r="D510" i="1" a="1"/>
  <c r="D510" i="1" s="1"/>
  <c r="F510" i="1" s="1"/>
  <c r="A510" i="1"/>
  <c r="D450" i="1" a="1"/>
  <c r="D450" i="1" s="1"/>
  <c r="F450" i="1" s="1"/>
  <c r="A450" i="1"/>
  <c r="D391" i="1" a="1"/>
  <c r="D391" i="1" s="1"/>
  <c r="F391" i="1" s="1"/>
  <c r="A391" i="1"/>
  <c r="D322" i="1" a="1"/>
  <c r="D322" i="1" s="1"/>
  <c r="F322" i="1" s="1"/>
  <c r="A322" i="1"/>
  <c r="D255" i="1" a="1"/>
  <c r="D255" i="1" s="1"/>
  <c r="E255" i="1" s="1"/>
  <c r="A255" i="1"/>
  <c r="D195" i="1" a="1"/>
  <c r="D195" i="1" s="1"/>
  <c r="F195" i="1" s="1"/>
  <c r="A195" i="1"/>
  <c r="D129" i="1" a="1"/>
  <c r="D129" i="1" s="1"/>
  <c r="F129" i="1" s="1"/>
  <c r="A129" i="1"/>
  <c r="D59" i="1" a="1"/>
  <c r="D59" i="1" s="1"/>
  <c r="F59" i="1" s="1"/>
  <c r="A59" i="1"/>
  <c r="D434" i="1" a="1"/>
  <c r="D434" i="1" s="1"/>
  <c r="E434" i="1" s="1"/>
  <c r="A434" i="1"/>
  <c r="D363" i="1" a="1"/>
  <c r="D363" i="1" s="1"/>
  <c r="E363" i="1" s="1"/>
  <c r="A363" i="1"/>
  <c r="D291" i="1" a="1"/>
  <c r="D291" i="1" s="1"/>
  <c r="F291" i="1" s="1"/>
  <c r="A291" i="1"/>
  <c r="D231" i="1" a="1"/>
  <c r="D231" i="1" s="1"/>
  <c r="F231" i="1" s="1"/>
  <c r="A231" i="1"/>
  <c r="D173" i="1" a="1"/>
  <c r="D173" i="1" s="1"/>
  <c r="F173" i="1" s="1"/>
  <c r="A173" i="1"/>
  <c r="D112" i="1" a="1"/>
  <c r="D112" i="1" s="1"/>
  <c r="F112" i="1" s="1"/>
  <c r="A112" i="1"/>
  <c r="D455" i="1" a="1"/>
  <c r="D455" i="1" s="1"/>
  <c r="F455" i="1" s="1"/>
  <c r="A455" i="1"/>
  <c r="D389" i="1" a="1"/>
  <c r="D389" i="1" s="1"/>
  <c r="F389" i="1" s="1"/>
  <c r="A389" i="1"/>
  <c r="D328" i="1" a="1"/>
  <c r="D328" i="1" s="1"/>
  <c r="F328" i="1" s="1"/>
  <c r="A328" i="1"/>
  <c r="D268" i="1" a="1"/>
  <c r="D268" i="1" s="1"/>
  <c r="F268" i="1" s="1"/>
  <c r="A268" i="1"/>
  <c r="D201" i="1" a="1"/>
  <c r="D201" i="1" s="1"/>
  <c r="E201" i="1" s="1"/>
  <c r="A201" i="1"/>
  <c r="D134" i="1" a="1"/>
  <c r="D134" i="1" s="1"/>
  <c r="F134" i="1" s="1"/>
  <c r="A134" i="1"/>
  <c r="D72" i="1" a="1"/>
  <c r="D72" i="1" s="1"/>
  <c r="F72" i="1" s="1"/>
  <c r="A72" i="1"/>
  <c r="D499" i="1" a="1"/>
  <c r="D499" i="1" s="1"/>
  <c r="F499" i="1" s="1"/>
  <c r="A499" i="1"/>
  <c r="D432" i="1" a="1"/>
  <c r="D432" i="1" s="1"/>
  <c r="F432" i="1" s="1"/>
  <c r="A432" i="1"/>
  <c r="D374" i="1" a="1"/>
  <c r="D374" i="1" s="1"/>
  <c r="E374" i="1" s="1"/>
  <c r="A374" i="1"/>
  <c r="D312" i="1" a="1"/>
  <c r="D312" i="1" s="1"/>
  <c r="E312" i="1" s="1"/>
  <c r="A312" i="1"/>
  <c r="D244" i="1" a="1"/>
  <c r="D244" i="1" s="1"/>
  <c r="F244" i="1" s="1"/>
  <c r="A244" i="1"/>
  <c r="D178" i="1" a="1"/>
  <c r="D178" i="1" s="1"/>
  <c r="F178" i="1" s="1"/>
  <c r="A178" i="1"/>
  <c r="D118" i="1" a="1"/>
  <c r="D118" i="1" s="1"/>
  <c r="F118" i="1" s="1"/>
  <c r="A118" i="1"/>
  <c r="D57" i="1" a="1"/>
  <c r="D57" i="1" s="1"/>
  <c r="F57" i="1" s="1"/>
  <c r="A57" i="1"/>
  <c r="D506" i="1" a="1"/>
  <c r="D506" i="1" s="1"/>
  <c r="F506" i="1" s="1"/>
  <c r="A506" i="1"/>
  <c r="D439" i="1" a="1"/>
  <c r="D439" i="1" s="1"/>
  <c r="F439" i="1" s="1"/>
  <c r="A439" i="1"/>
  <c r="D360" i="1" a="1"/>
  <c r="D360" i="1" s="1"/>
  <c r="E360" i="1" s="1"/>
  <c r="A360" i="1"/>
  <c r="D289" i="1" a="1"/>
  <c r="D289" i="1" s="1"/>
  <c r="F289" i="1" s="1"/>
  <c r="A289" i="1"/>
  <c r="D228" i="1" a="1"/>
  <c r="D228" i="1" s="1"/>
  <c r="F228" i="1" s="1"/>
  <c r="A228" i="1"/>
  <c r="D162" i="1" a="1"/>
  <c r="D162" i="1" s="1"/>
  <c r="F162" i="1" s="1"/>
  <c r="A162" i="1"/>
  <c r="D101" i="1" a="1"/>
  <c r="D101" i="1" s="1"/>
  <c r="F101" i="1" s="1"/>
  <c r="A101" i="1"/>
  <c r="D543" i="1" a="1"/>
  <c r="D543" i="1" s="1"/>
  <c r="F543" i="1" s="1"/>
  <c r="A543" i="1"/>
  <c r="D475" i="1" a="1"/>
  <c r="D475" i="1" s="1"/>
  <c r="F475" i="1" s="1"/>
  <c r="A475" i="1"/>
  <c r="D416" i="1" a="1"/>
  <c r="D416" i="1" s="1"/>
  <c r="F416" i="1" s="1"/>
  <c r="A416" i="1"/>
  <c r="D353" i="1" a="1"/>
  <c r="D353" i="1" s="1"/>
  <c r="F353" i="1" s="1"/>
  <c r="A353" i="1"/>
  <c r="D295" i="1" a="1"/>
  <c r="D295" i="1" s="1"/>
  <c r="F295" i="1" s="1"/>
  <c r="A295" i="1"/>
  <c r="D227" i="1" a="1"/>
  <c r="D227" i="1" s="1"/>
  <c r="F227" i="1" s="1"/>
  <c r="A227" i="1"/>
  <c r="D154" i="1" a="1"/>
  <c r="D154" i="1" s="1"/>
  <c r="F154" i="1" s="1"/>
  <c r="A154" i="1"/>
  <c r="D93" i="1" a="1"/>
  <c r="D93" i="1" s="1"/>
  <c r="A93" i="1"/>
  <c r="D534" i="1" a="1"/>
  <c r="D534" i="1" s="1"/>
  <c r="E534" i="1" s="1"/>
  <c r="A534" i="1"/>
  <c r="D474" i="1" a="1"/>
  <c r="D474" i="1" s="1"/>
  <c r="F474" i="1" s="1"/>
  <c r="A474" i="1"/>
  <c r="D407" i="1" a="1"/>
  <c r="D407" i="1" s="1"/>
  <c r="F407" i="1" s="1"/>
  <c r="A407" i="1"/>
  <c r="D346" i="1" a="1"/>
  <c r="D346" i="1" s="1"/>
  <c r="F346" i="1" s="1"/>
  <c r="A346" i="1"/>
  <c r="D279" i="1" a="1"/>
  <c r="D279" i="1" s="1"/>
  <c r="F279" i="1" s="1"/>
  <c r="A279" i="1"/>
  <c r="D220" i="1" a="1"/>
  <c r="D220" i="1" s="1"/>
  <c r="F220" i="1" s="1"/>
  <c r="A220" i="1"/>
  <c r="D161" i="1" a="1"/>
  <c r="D161" i="1" s="1"/>
  <c r="F161" i="1" s="1"/>
  <c r="A161" i="1"/>
  <c r="D92" i="1" a="1"/>
  <c r="D92" i="1" s="1"/>
  <c r="F92" i="1" s="1"/>
  <c r="A92" i="1"/>
  <c r="C2" i="1"/>
  <c r="A2" i="1"/>
  <c r="C46" i="1"/>
  <c r="A46" i="1"/>
  <c r="C48" i="1"/>
  <c r="A48" i="1"/>
  <c r="C24" i="1"/>
  <c r="A24" i="1"/>
  <c r="C9" i="1"/>
  <c r="A9" i="1"/>
  <c r="C14" i="1"/>
  <c r="A14" i="1"/>
  <c r="D691" i="1" a="1"/>
  <c r="D691" i="1" s="1"/>
  <c r="E691" i="1" s="1"/>
  <c r="A691" i="1"/>
  <c r="D695" i="1" a="1"/>
  <c r="D695" i="1" s="1"/>
  <c r="E695" i="1" s="1"/>
  <c r="A695" i="1"/>
  <c r="D689" i="1" a="1"/>
  <c r="D689" i="1" s="1"/>
  <c r="E689" i="1" s="1"/>
  <c r="A689" i="1"/>
  <c r="D731" i="1" a="1"/>
  <c r="D731" i="1" s="1"/>
  <c r="F731" i="1" s="1"/>
  <c r="A731" i="1"/>
  <c r="D724" i="1" a="1"/>
  <c r="D724" i="1" s="1"/>
  <c r="F724" i="1" s="1"/>
  <c r="A724" i="1"/>
  <c r="D579" i="1" a="1"/>
  <c r="D579" i="1" s="1"/>
  <c r="F579" i="1" s="1"/>
  <c r="A579" i="1"/>
  <c r="D779" i="1" a="1"/>
  <c r="D779" i="1" s="1"/>
  <c r="F779" i="1" s="1"/>
  <c r="A779" i="1"/>
  <c r="D802" i="1" a="1"/>
  <c r="D802" i="1" s="1"/>
  <c r="F802" i="1" s="1"/>
  <c r="A802" i="1"/>
  <c r="D714" i="1" a="1"/>
  <c r="D714" i="1" s="1"/>
  <c r="F714" i="1" s="1"/>
  <c r="A714" i="1"/>
  <c r="D636" i="1" a="1"/>
  <c r="D636" i="1" s="1"/>
  <c r="E636" i="1" s="1"/>
  <c r="A636" i="1"/>
  <c r="D578" i="1" a="1"/>
  <c r="D578" i="1" s="1"/>
  <c r="F578" i="1" s="1"/>
  <c r="A578" i="1"/>
  <c r="D160" i="1" a="1"/>
  <c r="D160" i="1" s="1"/>
  <c r="F160" i="1" s="1"/>
  <c r="A160" i="1"/>
  <c r="D761" i="1" a="1"/>
  <c r="D761" i="1" s="1"/>
  <c r="F761" i="1" s="1"/>
  <c r="A761" i="1"/>
  <c r="D270" i="1" a="1"/>
  <c r="D270" i="1" s="1"/>
  <c r="E270" i="1" s="1"/>
  <c r="A270" i="1"/>
  <c r="D824" i="1" a="1"/>
  <c r="D824" i="1" s="1"/>
  <c r="F824" i="1" s="1"/>
  <c r="A824" i="1"/>
  <c r="D760" i="1" a="1"/>
  <c r="D760" i="1" s="1"/>
  <c r="F760" i="1" s="1"/>
  <c r="A760" i="1"/>
  <c r="D660" i="1" a="1"/>
  <c r="D660" i="1" s="1"/>
  <c r="E660" i="1" s="1"/>
  <c r="A660" i="1"/>
  <c r="D605" i="1" a="1"/>
  <c r="D605" i="1" s="1"/>
  <c r="E605" i="1" s="1"/>
  <c r="A605" i="1"/>
  <c r="D495" i="1" a="1"/>
  <c r="D495" i="1" s="1"/>
  <c r="F495" i="1" s="1"/>
  <c r="A495" i="1"/>
  <c r="D799" i="1" a="1"/>
  <c r="D799" i="1" s="1"/>
  <c r="F799" i="1" s="1"/>
  <c r="A799" i="1"/>
  <c r="D641" i="1" a="1"/>
  <c r="D641" i="1" s="1"/>
  <c r="E641" i="1" s="1"/>
  <c r="A641" i="1"/>
  <c r="D196" i="1" a="1"/>
  <c r="D196" i="1" s="1"/>
  <c r="F196" i="1" s="1"/>
  <c r="A196" i="1"/>
  <c r="D588" i="1" a="1"/>
  <c r="D588" i="1" s="1"/>
  <c r="F588" i="1" s="1"/>
  <c r="A588" i="1"/>
  <c r="D364" i="1" a="1"/>
  <c r="D364" i="1" s="1"/>
  <c r="F364" i="1" s="1"/>
  <c r="A364" i="1"/>
  <c r="D853" i="1" a="1"/>
  <c r="D853" i="1" s="1"/>
  <c r="F853" i="1" s="1"/>
  <c r="A853" i="1"/>
  <c r="D709" i="1" a="1"/>
  <c r="D709" i="1" s="1"/>
  <c r="F709" i="1" s="1"/>
  <c r="A709" i="1"/>
  <c r="D240" i="1" a="1"/>
  <c r="D240" i="1" s="1"/>
  <c r="F240" i="1" s="1"/>
  <c r="A240" i="1"/>
  <c r="D860" i="1" a="1"/>
  <c r="D860" i="1" s="1"/>
  <c r="F860" i="1" s="1"/>
  <c r="A860" i="1"/>
  <c r="D796" i="1" a="1"/>
  <c r="D796" i="1" s="1"/>
  <c r="F796" i="1" s="1"/>
  <c r="A796" i="1"/>
  <c r="D716" i="1" a="1"/>
  <c r="D716" i="1" s="1"/>
  <c r="E716" i="1" s="1"/>
  <c r="A716" i="1"/>
  <c r="D572" i="1" a="1"/>
  <c r="D572" i="1" s="1"/>
  <c r="F572" i="1" s="1"/>
  <c r="A572" i="1"/>
  <c r="D174" i="1" a="1"/>
  <c r="D174" i="1" s="1"/>
  <c r="F174" i="1" s="1"/>
  <c r="A174" i="1"/>
  <c r="D442" i="1" a="1"/>
  <c r="D442" i="1" s="1"/>
  <c r="F442" i="1" s="1"/>
  <c r="A442" i="1"/>
  <c r="D384" i="1" a="1"/>
  <c r="D384" i="1" s="1"/>
  <c r="F384" i="1" s="1"/>
  <c r="A384" i="1"/>
  <c r="D315" i="1" a="1"/>
  <c r="D315" i="1" s="1"/>
  <c r="A315" i="1"/>
  <c r="D247" i="1" a="1"/>
  <c r="D247" i="1" s="1"/>
  <c r="F247" i="1" s="1"/>
  <c r="A247" i="1"/>
  <c r="D188" i="1" a="1"/>
  <c r="D188" i="1" s="1"/>
  <c r="F188" i="1" s="1"/>
  <c r="A188" i="1"/>
  <c r="D121" i="1" a="1"/>
  <c r="D121" i="1" s="1"/>
  <c r="F121" i="1" s="1"/>
  <c r="A121" i="1"/>
  <c r="D553" i="1" a="1"/>
  <c r="D553" i="1" s="1"/>
  <c r="F553" i="1" s="1"/>
  <c r="A553" i="1"/>
  <c r="D493" i="1" a="1"/>
  <c r="D493" i="1" s="1"/>
  <c r="E493" i="1" s="1"/>
  <c r="A493" i="1"/>
  <c r="D426" i="1" a="1"/>
  <c r="D426" i="1" s="1"/>
  <c r="F426" i="1" s="1"/>
  <c r="A426" i="1"/>
  <c r="D356" i="1" a="1"/>
  <c r="D356" i="1" s="1"/>
  <c r="F356" i="1" s="1"/>
  <c r="A356" i="1"/>
  <c r="D284" i="1" a="1"/>
  <c r="D284" i="1" s="1"/>
  <c r="F284" i="1" s="1"/>
  <c r="A284" i="1"/>
  <c r="D224" i="1" a="1"/>
  <c r="D224" i="1" s="1"/>
  <c r="E224" i="1" s="1"/>
  <c r="A224" i="1"/>
  <c r="D165" i="1" a="1"/>
  <c r="D165" i="1" s="1"/>
  <c r="E165" i="1" s="1"/>
  <c r="A165" i="1"/>
  <c r="D104" i="1" a="1"/>
  <c r="D104" i="1" s="1"/>
  <c r="F104" i="1" s="1"/>
  <c r="A104" i="1"/>
  <c r="D508" i="1" a="1"/>
  <c r="D508" i="1" s="1"/>
  <c r="F508" i="1" s="1"/>
  <c r="A508" i="1"/>
  <c r="D448" i="1" a="1"/>
  <c r="D448" i="1" s="1"/>
  <c r="E448" i="1" s="1"/>
  <c r="A448" i="1"/>
  <c r="D382" i="1" a="1"/>
  <c r="D382" i="1" s="1"/>
  <c r="F382" i="1" s="1"/>
  <c r="A382" i="1"/>
  <c r="D321" i="1" a="1"/>
  <c r="D321" i="1" s="1"/>
  <c r="F321" i="1" s="1"/>
  <c r="A321" i="1"/>
  <c r="D260" i="1" a="1"/>
  <c r="D260" i="1" s="1"/>
  <c r="F260" i="1" s="1"/>
  <c r="A260" i="1"/>
  <c r="D186" i="1" a="1"/>
  <c r="D186" i="1" s="1"/>
  <c r="E186" i="1" s="1"/>
  <c r="A186" i="1"/>
  <c r="D127" i="1" a="1"/>
  <c r="D127" i="1" s="1"/>
  <c r="F127" i="1" s="1"/>
  <c r="A127" i="1"/>
  <c r="D65" i="1" a="1"/>
  <c r="D65" i="1" s="1"/>
  <c r="E65" i="1" s="1"/>
  <c r="A65" i="1"/>
  <c r="D491" i="1" a="1"/>
  <c r="D491" i="1" s="1"/>
  <c r="E491" i="1" s="1"/>
  <c r="A491" i="1"/>
  <c r="D424" i="1" a="1"/>
  <c r="D424" i="1" s="1"/>
  <c r="F424" i="1" s="1"/>
  <c r="A424" i="1"/>
  <c r="D361" i="1" a="1"/>
  <c r="D361" i="1" s="1"/>
  <c r="F361" i="1" s="1"/>
  <c r="A361" i="1"/>
  <c r="D304" i="1" a="1"/>
  <c r="D304" i="1" s="1"/>
  <c r="F304" i="1" s="1"/>
  <c r="A304" i="1"/>
  <c r="D237" i="1" a="1"/>
  <c r="D237" i="1" s="1"/>
  <c r="F237" i="1" s="1"/>
  <c r="A237" i="1"/>
  <c r="D171" i="1" a="1"/>
  <c r="D171" i="1" s="1"/>
  <c r="F171" i="1" s="1"/>
  <c r="A171" i="1"/>
  <c r="D110" i="1" a="1"/>
  <c r="D110" i="1" s="1"/>
  <c r="F110" i="1" s="1"/>
  <c r="A110" i="1"/>
  <c r="D498" i="1" a="1"/>
  <c r="D498" i="1" s="1"/>
  <c r="E498" i="1" s="1"/>
  <c r="A498" i="1"/>
  <c r="D431" i="1" a="1"/>
  <c r="D431" i="1" s="1"/>
  <c r="F431" i="1" s="1"/>
  <c r="A431" i="1"/>
  <c r="D354" i="1" a="1"/>
  <c r="D354" i="1" s="1"/>
  <c r="F354" i="1" s="1"/>
  <c r="A354" i="1"/>
  <c r="D281" i="1" a="1"/>
  <c r="D281" i="1" s="1"/>
  <c r="F281" i="1" s="1"/>
  <c r="A281" i="1"/>
  <c r="D214" i="1" a="1"/>
  <c r="D214" i="1" s="1"/>
  <c r="F214" i="1" s="1"/>
  <c r="A214" i="1"/>
  <c r="D155" i="1" a="1"/>
  <c r="D155" i="1" s="1"/>
  <c r="F155" i="1" s="1"/>
  <c r="A155" i="1"/>
  <c r="D94" i="1" a="1"/>
  <c r="D94" i="1" s="1"/>
  <c r="F94" i="1" s="1"/>
  <c r="A94" i="1"/>
  <c r="D535" i="1" a="1"/>
  <c r="D535" i="1" s="1"/>
  <c r="F535" i="1" s="1"/>
  <c r="A535" i="1"/>
  <c r="D467" i="1" a="1"/>
  <c r="D467" i="1" s="1"/>
  <c r="E467" i="1" s="1"/>
  <c r="A467" i="1"/>
  <c r="D408" i="1" a="1"/>
  <c r="D408" i="1" s="1"/>
  <c r="F408" i="1" s="1"/>
  <c r="A408" i="1"/>
  <c r="D347" i="1" a="1"/>
  <c r="D347" i="1" s="1"/>
  <c r="F347" i="1" s="1"/>
  <c r="A347" i="1"/>
  <c r="D288" i="1" a="1"/>
  <c r="D288" i="1" s="1"/>
  <c r="E288" i="1" s="1"/>
  <c r="A288" i="1"/>
  <c r="D221" i="1" a="1"/>
  <c r="D221" i="1" s="1"/>
  <c r="F221" i="1" s="1"/>
  <c r="A221" i="1"/>
  <c r="D147" i="1" a="1"/>
  <c r="D147" i="1" s="1"/>
  <c r="F147" i="1" s="1"/>
  <c r="A147" i="1"/>
  <c r="D85" i="1" a="1"/>
  <c r="D85" i="1" s="1"/>
  <c r="F85" i="1" s="1"/>
  <c r="A85" i="1"/>
  <c r="D526" i="1" a="1"/>
  <c r="D526" i="1" s="1"/>
  <c r="F526" i="1" s="1"/>
  <c r="A526" i="1"/>
  <c r="D466" i="1" a="1"/>
  <c r="D466" i="1" s="1"/>
  <c r="F466" i="1" s="1"/>
  <c r="A466" i="1"/>
  <c r="D399" i="1" a="1"/>
  <c r="D399" i="1" s="1"/>
  <c r="F399" i="1" s="1"/>
  <c r="A399" i="1"/>
  <c r="D339" i="1" a="1"/>
  <c r="D339" i="1" s="1"/>
  <c r="F339" i="1" s="1"/>
  <c r="A339" i="1"/>
  <c r="D271" i="1" a="1"/>
  <c r="D271" i="1" s="1"/>
  <c r="F271" i="1" s="1"/>
  <c r="A271" i="1"/>
  <c r="D212" i="1" a="1"/>
  <c r="D212" i="1" s="1"/>
  <c r="F212" i="1" s="1"/>
  <c r="A212" i="1"/>
  <c r="D146" i="1" a="1"/>
  <c r="D146" i="1" s="1"/>
  <c r="F146" i="1" s="1"/>
  <c r="A146" i="1"/>
  <c r="D84" i="1" a="1"/>
  <c r="D84" i="1" s="1"/>
  <c r="F84" i="1" s="1"/>
  <c r="A84" i="1"/>
  <c r="C41" i="1"/>
  <c r="A41" i="1"/>
  <c r="C3" i="1"/>
  <c r="A3" i="1"/>
  <c r="D36" i="1" a="1"/>
  <c r="D36" i="1" s="1"/>
  <c r="E36" i="1" s="1"/>
  <c r="A36" i="1"/>
  <c r="C18" i="1"/>
  <c r="A18" i="1"/>
  <c r="C28" i="1"/>
  <c r="A28" i="1"/>
  <c r="D706" i="1" a="1"/>
  <c r="D706" i="1" s="1"/>
  <c r="E706" i="1" s="1"/>
  <c r="A706" i="1"/>
  <c r="D696" i="1" a="1"/>
  <c r="D696" i="1" s="1"/>
  <c r="F696" i="1" s="1"/>
  <c r="A696" i="1"/>
  <c r="D705" i="1" a="1"/>
  <c r="D705" i="1" s="1"/>
  <c r="F705" i="1" s="1"/>
  <c r="A705" i="1"/>
  <c r="D726" i="1" a="1"/>
  <c r="D726" i="1" s="1"/>
  <c r="E726" i="1" s="1"/>
  <c r="A726" i="1"/>
  <c r="D732" i="1" a="1"/>
  <c r="D732" i="1" s="1"/>
  <c r="A732" i="1"/>
  <c r="C182" i="1"/>
  <c r="C138" i="1"/>
  <c r="F448" i="1"/>
  <c r="D49" i="1" a="1"/>
  <c r="D49" i="1" s="1"/>
  <c r="F49" i="1" s="1"/>
  <c r="D22" i="1" a="1"/>
  <c r="D22" i="1" s="1"/>
  <c r="E22" i="1" s="1"/>
  <c r="C93" i="1"/>
  <c r="D37" i="1" a="1"/>
  <c r="D37" i="1" s="1"/>
  <c r="E37" i="1" s="1"/>
  <c r="C456" i="1"/>
  <c r="C19" i="1"/>
  <c r="C30" i="1"/>
  <c r="C249" i="1"/>
  <c r="E722" i="1"/>
  <c r="F733" i="1"/>
  <c r="C20" i="1"/>
  <c r="C421" i="1"/>
  <c r="E248" i="1"/>
  <c r="C248" i="1"/>
  <c r="C45" i="1"/>
  <c r="E744" i="1"/>
  <c r="E751" i="1"/>
  <c r="E788" i="1"/>
  <c r="E801" i="1"/>
  <c r="E814" i="1"/>
  <c r="E851" i="1"/>
  <c r="E743" i="1"/>
  <c r="E800" i="1"/>
  <c r="E819" i="1"/>
  <c r="E850" i="1"/>
  <c r="E786" i="1"/>
  <c r="E780" i="1"/>
  <c r="E794" i="1"/>
  <c r="E741" i="1"/>
  <c r="E766" i="1"/>
  <c r="E785" i="1"/>
  <c r="E798" i="1"/>
  <c r="E805" i="1"/>
  <c r="E817" i="1"/>
  <c r="E812" i="1"/>
  <c r="E860" i="1"/>
  <c r="E784" i="1"/>
  <c r="E778" i="1"/>
  <c r="E822" i="1"/>
  <c r="E823" i="1"/>
  <c r="E745" i="1"/>
  <c r="E815" i="1"/>
  <c r="E858" i="1"/>
  <c r="E859" i="1"/>
  <c r="C224" i="1"/>
  <c r="C360" i="1"/>
  <c r="C162" i="1"/>
  <c r="F224" i="1"/>
  <c r="C70" i="1"/>
  <c r="C426" i="1"/>
  <c r="E494" i="1"/>
  <c r="C121" i="1"/>
  <c r="C315" i="1"/>
  <c r="C191" i="1"/>
  <c r="C80" i="1"/>
  <c r="C172" i="1"/>
  <c r="C340" i="1"/>
  <c r="C166" i="1"/>
  <c r="C368" i="1"/>
  <c r="C193" i="1"/>
  <c r="C357" i="1"/>
  <c r="C381" i="1"/>
  <c r="C409" i="1"/>
  <c r="C462" i="1"/>
  <c r="C206" i="1"/>
  <c r="C275" i="1"/>
  <c r="C122" i="1"/>
  <c r="C43" i="1"/>
  <c r="D28" i="1" a="1"/>
  <c r="D28" i="1" s="1"/>
  <c r="E28" i="1" s="1"/>
  <c r="C167" i="1"/>
  <c r="E697" i="1"/>
  <c r="C42" i="1"/>
  <c r="D50" i="1" a="1"/>
  <c r="D50" i="1" s="1"/>
  <c r="F50" i="1" s="1"/>
  <c r="F229" i="1"/>
  <c r="F418" i="1"/>
  <c r="C300" i="1"/>
  <c r="D52" i="1" a="1"/>
  <c r="D52" i="1" s="1"/>
  <c r="F52" i="1" s="1"/>
  <c r="E459" i="1"/>
  <c r="E687" i="1"/>
  <c r="D41" i="1" a="1"/>
  <c r="D41" i="1" s="1"/>
  <c r="F41" i="1" s="1"/>
  <c r="C329" i="1"/>
  <c r="C367" i="1"/>
  <c r="E329" i="1"/>
  <c r="F306" i="1"/>
  <c r="D34" i="1" a="1"/>
  <c r="D34" i="1" s="1"/>
  <c r="E34" i="1" s="1"/>
  <c r="C133" i="1"/>
  <c r="E309" i="1"/>
  <c r="F128" i="1"/>
  <c r="C229" i="1"/>
  <c r="C418" i="1"/>
  <c r="C309" i="1"/>
  <c r="C128" i="1"/>
  <c r="C293" i="1"/>
  <c r="C397" i="1"/>
  <c r="C327" i="1"/>
  <c r="C306" i="1"/>
  <c r="D26" i="1" a="1"/>
  <c r="D26" i="1" s="1"/>
  <c r="E26" i="1" s="1"/>
  <c r="D35" i="1" a="1"/>
  <c r="D35" i="1" s="1"/>
  <c r="E35" i="1" s="1"/>
  <c r="D32" i="1" a="1"/>
  <c r="D32" i="1" s="1"/>
  <c r="E32" i="1" s="1"/>
  <c r="D38" i="1" a="1"/>
  <c r="D38" i="1" s="1"/>
  <c r="E38" i="1" s="1"/>
  <c r="E708" i="1"/>
  <c r="D673" i="1" a="1"/>
  <c r="D673" i="1" s="1"/>
  <c r="E673" i="1" s="1"/>
  <c r="D688" i="1" a="1"/>
  <c r="D688" i="1" s="1"/>
  <c r="E688" i="1" s="1"/>
  <c r="D680" i="1" a="1"/>
  <c r="D680" i="1" s="1"/>
  <c r="F680" i="1" s="1"/>
  <c r="D675" i="1" a="1"/>
  <c r="D675" i="1" s="1"/>
  <c r="E675" i="1" s="1"/>
  <c r="D686" i="1" a="1"/>
  <c r="D686" i="1" s="1"/>
  <c r="E686" i="1" s="1"/>
  <c r="E712" i="1"/>
  <c r="D678" i="1" a="1"/>
  <c r="D678" i="1" s="1"/>
  <c r="E678" i="1" s="1"/>
  <c r="D690" i="1" a="1"/>
  <c r="D690" i="1" s="1"/>
  <c r="E690" i="1" s="1"/>
  <c r="D671" i="1" a="1"/>
  <c r="D671" i="1" s="1"/>
  <c r="F671" i="1" s="1"/>
  <c r="E711" i="1"/>
  <c r="D674" i="1" a="1"/>
  <c r="D674" i="1" s="1"/>
  <c r="E674" i="1" s="1"/>
  <c r="D692" i="1" a="1"/>
  <c r="D692" i="1" s="1"/>
  <c r="F692" i="1" s="1"/>
  <c r="D668" i="1" a="1"/>
  <c r="D668" i="1" s="1"/>
  <c r="F668" i="1" s="1"/>
  <c r="D679" i="1" a="1"/>
  <c r="D679" i="1" s="1"/>
  <c r="F679" i="1" s="1"/>
  <c r="D677" i="1" a="1"/>
  <c r="D677" i="1" s="1"/>
  <c r="E677" i="1" s="1"/>
  <c r="D672" i="1" a="1"/>
  <c r="D672" i="1" s="1"/>
  <c r="E672" i="1" s="1"/>
  <c r="D670" i="1" a="1"/>
  <c r="D670" i="1" s="1"/>
  <c r="F670" i="1" s="1"/>
  <c r="D676" i="1" a="1"/>
  <c r="D676" i="1" s="1"/>
  <c r="E676" i="1" s="1"/>
  <c r="F715" i="1"/>
  <c r="D669" i="1" a="1"/>
  <c r="D669" i="1" s="1"/>
  <c r="F669" i="1" s="1"/>
  <c r="D40" i="1" a="1"/>
  <c r="D40" i="1" s="1"/>
  <c r="E40" i="1" s="1"/>
  <c r="C270" i="1"/>
  <c r="E98" i="1"/>
  <c r="D46" i="1" a="1"/>
  <c r="D46" i="1" s="1"/>
  <c r="E46" i="1" s="1"/>
  <c r="D39" i="1" a="1"/>
  <c r="D39" i="1" s="1"/>
  <c r="F39" i="1" s="1"/>
  <c r="E126" i="1"/>
  <c r="C320" i="1"/>
  <c r="C294" i="1"/>
  <c r="E414" i="1"/>
  <c r="C126" i="1"/>
  <c r="C414" i="1"/>
  <c r="C299" i="1"/>
  <c r="C120" i="1"/>
  <c r="C105" i="1"/>
  <c r="C233" i="1"/>
  <c r="C459" i="1"/>
  <c r="E105" i="1"/>
  <c r="F392" i="1"/>
  <c r="C77" i="1"/>
  <c r="F148" i="1"/>
  <c r="C36" i="1"/>
  <c r="D27" i="1" a="1"/>
  <c r="D27" i="1" s="1"/>
  <c r="E27" i="1" s="1"/>
  <c r="D53" i="1" a="1"/>
  <c r="D53" i="1" s="1"/>
  <c r="E53" i="1" s="1"/>
  <c r="D48" i="1" a="1"/>
  <c r="D48" i="1" s="1"/>
  <c r="F48" i="1" s="1"/>
  <c r="D23" i="1" a="1"/>
  <c r="D23" i="1" s="1"/>
  <c r="E23" i="1" s="1"/>
  <c r="C31" i="1"/>
  <c r="C130" i="1"/>
  <c r="C238" i="1"/>
  <c r="C415" i="1"/>
  <c r="D51" i="1" a="1"/>
  <c r="D51" i="1" s="1"/>
  <c r="E51" i="1" s="1"/>
  <c r="F434" i="1"/>
  <c r="C170" i="1"/>
  <c r="D33" i="1" a="1"/>
  <c r="D33" i="1" s="1"/>
  <c r="F33" i="1" s="1"/>
  <c r="C61" i="1"/>
  <c r="C57" i="1"/>
  <c r="C226" i="1"/>
  <c r="D25" i="1" a="1"/>
  <c r="D25" i="1" s="1"/>
  <c r="E25" i="1" s="1"/>
  <c r="C65" i="1"/>
  <c r="C260" i="1"/>
  <c r="E324" i="1"/>
  <c r="C448" i="1"/>
  <c r="C231" i="1"/>
  <c r="C332" i="1"/>
  <c r="D47" i="1" a="1"/>
  <c r="D47" i="1" s="1"/>
  <c r="E47" i="1" s="1"/>
  <c r="C165" i="1"/>
  <c r="C161" i="1"/>
  <c r="C434" i="1"/>
  <c r="E513" i="1"/>
  <c r="E565" i="1"/>
  <c r="F608" i="1"/>
  <c r="F597" i="1"/>
  <c r="F622" i="1"/>
  <c r="F635" i="1"/>
  <c r="F654" i="1"/>
  <c r="E512" i="1"/>
  <c r="F532" i="1"/>
  <c r="E551" i="1"/>
  <c r="F570" i="1"/>
  <c r="E589" i="1"/>
  <c r="F602" i="1"/>
  <c r="F626" i="1"/>
  <c r="F621" i="1"/>
  <c r="F634" i="1"/>
  <c r="E536" i="1"/>
  <c r="E569" i="1"/>
  <c r="E563" i="1"/>
  <c r="E620" i="1"/>
  <c r="E644" i="1"/>
  <c r="E633" i="1"/>
  <c r="E658" i="1"/>
  <c r="F652" i="1"/>
  <c r="E515" i="1"/>
  <c r="E554" i="1"/>
  <c r="E581" i="1"/>
  <c r="F625" i="1"/>
  <c r="E619" i="1"/>
  <c r="E632" i="1"/>
  <c r="F638" i="1"/>
  <c r="E506" i="1"/>
  <c r="E529" i="1"/>
  <c r="E548" i="1"/>
  <c r="E567" i="1"/>
  <c r="F624" i="1"/>
  <c r="E553" i="1"/>
  <c r="E547" i="1"/>
  <c r="E590" i="1"/>
  <c r="F604" i="1"/>
  <c r="F623" i="1"/>
  <c r="F617" i="1"/>
  <c r="F642" i="1"/>
  <c r="F661" i="1"/>
  <c r="D24" i="1" a="1"/>
  <c r="D24" i="1" s="1"/>
  <c r="E24" i="1" s="1"/>
  <c r="D21" i="1" a="1"/>
  <c r="D21" i="1" s="1"/>
  <c r="E21" i="1" s="1"/>
  <c r="C156" i="1"/>
  <c r="C64" i="1"/>
  <c r="C422" i="1"/>
  <c r="F138" i="1"/>
  <c r="C234" i="1"/>
  <c r="C185" i="1"/>
  <c r="F422" i="1"/>
  <c r="F19" i="1"/>
  <c r="E19" i="1"/>
  <c r="E257" i="1"/>
  <c r="C362" i="1"/>
  <c r="F67" i="1"/>
  <c r="C296" i="1"/>
  <c r="C257" i="1"/>
  <c r="C235" i="1"/>
  <c r="C109" i="1"/>
  <c r="C67" i="1"/>
  <c r="C444" i="1"/>
  <c r="E109" i="1"/>
  <c r="F333" i="1"/>
  <c r="C173" i="1"/>
  <c r="C363" i="1"/>
  <c r="C261" i="1"/>
  <c r="C159" i="1"/>
  <c r="C164" i="1"/>
  <c r="C371" i="1"/>
  <c r="E68" i="1"/>
  <c r="C68" i="1"/>
  <c r="C168" i="1"/>
  <c r="C333" i="1"/>
  <c r="E29" i="1"/>
  <c r="F29" i="1"/>
  <c r="C186" i="1"/>
  <c r="E331" i="1"/>
  <c r="F285" i="1"/>
  <c r="C464" i="1"/>
  <c r="C331" i="1"/>
  <c r="C382" i="1"/>
  <c r="C395" i="1"/>
  <c r="C445" i="1"/>
  <c r="C110" i="1"/>
  <c r="C285" i="1"/>
  <c r="E82" i="1"/>
  <c r="F445" i="1"/>
  <c r="C92" i="1"/>
  <c r="F96" i="1"/>
  <c r="C190" i="1"/>
  <c r="C207" i="1"/>
  <c r="C82" i="1"/>
  <c r="C376" i="1"/>
  <c r="C188" i="1"/>
  <c r="F42" i="1"/>
  <c r="E44" i="1"/>
  <c r="F44" i="1"/>
  <c r="E163" i="1"/>
  <c r="C246" i="1"/>
  <c r="C355" i="1"/>
  <c r="C408" i="1"/>
  <c r="C281" i="1"/>
  <c r="C380" i="1"/>
  <c r="E246" i="1"/>
  <c r="C440" i="1"/>
  <c r="C94" i="1"/>
  <c r="C337" i="1"/>
  <c r="E58" i="1"/>
  <c r="C163" i="1"/>
  <c r="E54" i="1"/>
  <c r="C449" i="1"/>
  <c r="C253" i="1"/>
  <c r="C58" i="1"/>
  <c r="C454" i="1"/>
  <c r="C259" i="1"/>
  <c r="C71" i="1"/>
  <c r="F43" i="1"/>
  <c r="C298" i="1"/>
  <c r="C301" i="1"/>
  <c r="C366" i="1"/>
  <c r="C118" i="1"/>
  <c r="C145" i="1"/>
  <c r="C389" i="1"/>
  <c r="C169" i="1"/>
  <c r="C428" i="1"/>
  <c r="C273" i="1"/>
  <c r="C305" i="1"/>
  <c r="F492" i="1"/>
  <c r="C86" i="1"/>
  <c r="C403" i="1"/>
  <c r="C208" i="1"/>
  <c r="C311" i="1"/>
  <c r="C429" i="1"/>
  <c r="C125" i="1"/>
  <c r="C241" i="1"/>
  <c r="F311" i="1"/>
  <c r="C54" i="1"/>
  <c r="C184" i="1"/>
  <c r="C339" i="1"/>
  <c r="C351" i="1"/>
  <c r="C442" i="1"/>
  <c r="C123" i="1"/>
  <c r="C101" i="1"/>
  <c r="C334" i="1"/>
  <c r="C441" i="1"/>
  <c r="C394" i="1"/>
  <c r="C240" i="1"/>
  <c r="C220" i="1"/>
  <c r="C114" i="1"/>
  <c r="C141" i="1"/>
  <c r="C265" i="1"/>
  <c r="C179" i="1"/>
  <c r="C292" i="1"/>
  <c r="C398" i="1"/>
  <c r="C407" i="1"/>
  <c r="F179" i="1"/>
  <c r="C289" i="1"/>
  <c r="C436" i="1"/>
  <c r="F453" i="1"/>
  <c r="C245" i="1"/>
  <c r="C63" i="1"/>
  <c r="C99" i="1"/>
  <c r="C354" i="1"/>
  <c r="C323" i="1"/>
  <c r="C104" i="1"/>
  <c r="C144" i="1"/>
  <c r="C446" i="1"/>
  <c r="C230" i="1"/>
  <c r="C116" i="1"/>
  <c r="C341" i="1"/>
  <c r="C148" i="1"/>
  <c r="C318" i="1"/>
  <c r="C375" i="1"/>
  <c r="C272" i="1"/>
  <c r="C452" i="1"/>
  <c r="C227" i="1"/>
  <c r="C386" i="1"/>
  <c r="C251" i="1"/>
  <c r="F433" i="1"/>
  <c r="E245" i="1"/>
  <c r="C98" i="1"/>
  <c r="C155" i="1"/>
  <c r="C102" i="1"/>
  <c r="C202" i="1"/>
  <c r="C291" i="1"/>
  <c r="C435" i="1"/>
  <c r="C112" i="1"/>
  <c r="C416" i="1"/>
  <c r="C325" i="1"/>
  <c r="F142" i="1"/>
  <c r="C453" i="1"/>
  <c r="C377" i="1"/>
  <c r="F63" i="1"/>
  <c r="C124" i="1"/>
  <c r="C142" i="1"/>
  <c r="C335" i="1"/>
  <c r="C388" i="1"/>
  <c r="C197" i="1"/>
  <c r="C152" i="1"/>
  <c r="C433" i="1"/>
  <c r="C396" i="1"/>
  <c r="C319" i="1"/>
  <c r="E76" i="1"/>
  <c r="E500" i="1"/>
  <c r="F175" i="1"/>
  <c r="C413" i="1"/>
  <c r="C171" i="1"/>
  <c r="C175" i="1"/>
  <c r="C359" i="1"/>
  <c r="C461" i="1"/>
  <c r="C225" i="1"/>
  <c r="E87" i="1"/>
  <c r="E180" i="1"/>
  <c r="C330" i="1"/>
  <c r="C129" i="1"/>
  <c r="C369" i="1"/>
  <c r="C313" i="1"/>
  <c r="C431" i="1"/>
  <c r="C264" i="1"/>
  <c r="C180" i="1"/>
  <c r="C385" i="1"/>
  <c r="C198" i="1"/>
  <c r="C393" i="1"/>
  <c r="C267" i="1"/>
  <c r="C187" i="1"/>
  <c r="C75" i="1"/>
  <c r="C310" i="1"/>
  <c r="C213" i="1"/>
  <c r="F274" i="1"/>
  <c r="C183" i="1"/>
  <c r="C400" i="1"/>
  <c r="C274" i="1"/>
  <c r="C365" i="1"/>
  <c r="C87" i="1"/>
  <c r="E213" i="1"/>
  <c r="C457" i="1"/>
  <c r="C127" i="1"/>
  <c r="C232" i="1"/>
  <c r="C465" i="1"/>
  <c r="C439" i="1"/>
  <c r="E400" i="1"/>
  <c r="C217" i="1"/>
  <c r="C450" i="1"/>
  <c r="C412" i="1"/>
  <c r="C223" i="1"/>
  <c r="C316" i="1"/>
  <c r="C106" i="1"/>
  <c r="C430" i="1"/>
  <c r="E450" i="1"/>
  <c r="C350" i="1"/>
  <c r="C263" i="1"/>
  <c r="C432" i="1"/>
  <c r="C401" i="1"/>
  <c r="C312" i="1"/>
  <c r="C242" i="1"/>
  <c r="F486" i="1"/>
  <c r="C219" i="1"/>
  <c r="C212" i="1"/>
  <c r="C364" i="1"/>
  <c r="C78" i="1"/>
  <c r="C203" i="1"/>
  <c r="C174" i="1"/>
  <c r="C136" i="1"/>
  <c r="C271" i="1"/>
  <c r="C60" i="1"/>
  <c r="C374" i="1"/>
  <c r="C372" i="1"/>
  <c r="E364" i="1"/>
  <c r="C391" i="1"/>
  <c r="C468" i="1"/>
  <c r="C178" i="1"/>
  <c r="C66" i="1"/>
  <c r="C146" i="1"/>
  <c r="C96" i="1"/>
  <c r="C199" i="1"/>
  <c r="C399" i="1"/>
  <c r="C419" i="1"/>
  <c r="E419" i="1"/>
  <c r="C132" i="1"/>
  <c r="C4" i="1"/>
  <c r="C216" i="1"/>
  <c r="C458" i="1"/>
  <c r="C411" i="1"/>
  <c r="C237" i="1"/>
  <c r="E332" i="1"/>
  <c r="C151" i="1"/>
  <c r="C153" i="1"/>
  <c r="C304" i="1"/>
  <c r="C345" i="1"/>
  <c r="E479" i="1"/>
  <c r="E209" i="1"/>
  <c r="E286" i="1"/>
  <c r="F258" i="1"/>
  <c r="F345" i="1"/>
  <c r="C343" i="1"/>
  <c r="E269" i="1"/>
  <c r="C460" i="1"/>
  <c r="C76" i="1"/>
  <c r="C286" i="1"/>
  <c r="C283" i="1"/>
  <c r="E4" i="1"/>
  <c r="C89" i="1"/>
  <c r="C160" i="1"/>
  <c r="C336" i="1"/>
  <c r="C308" i="1"/>
  <c r="C269" i="1"/>
  <c r="C255" i="1"/>
  <c r="C209" i="1"/>
  <c r="C361" i="1"/>
  <c r="C195" i="1"/>
  <c r="C423" i="1"/>
  <c r="C424" i="1"/>
  <c r="C100" i="1"/>
  <c r="C302" i="1"/>
  <c r="C256" i="1"/>
  <c r="C322" i="1"/>
  <c r="C404" i="1"/>
  <c r="C205" i="1"/>
  <c r="C181" i="1"/>
  <c r="C83" i="1"/>
  <c r="C303" i="1"/>
  <c r="C314" i="1"/>
  <c r="E181" i="1"/>
  <c r="C85" i="1"/>
  <c r="C56" i="1"/>
  <c r="C358" i="1"/>
  <c r="C463" i="1"/>
  <c r="C201" i="1"/>
  <c r="C189" i="1"/>
  <c r="E189" i="1"/>
  <c r="F201" i="1"/>
  <c r="F288" i="1"/>
  <c r="E307" i="1"/>
  <c r="C72" i="1"/>
  <c r="C427" i="1"/>
  <c r="C348" i="1"/>
  <c r="C239" i="1"/>
  <c r="C117" i="1"/>
  <c r="C390" i="1"/>
  <c r="C282" i="1"/>
  <c r="C370" i="1"/>
  <c r="C373" i="1"/>
  <c r="C437" i="1"/>
  <c r="E370" i="1"/>
  <c r="E137" i="1"/>
  <c r="F243" i="1"/>
  <c r="F378" i="1"/>
  <c r="C113" i="1"/>
  <c r="C134" i="1"/>
  <c r="C137" i="1"/>
  <c r="C177" i="1"/>
  <c r="C194" i="1"/>
  <c r="C378" i="1"/>
  <c r="C243" i="1"/>
  <c r="C307" i="1"/>
  <c r="C467" i="1"/>
  <c r="E264" i="1"/>
  <c r="E499" i="1"/>
  <c r="F123" i="1"/>
  <c r="E191" i="1"/>
  <c r="E347" i="1"/>
  <c r="E75" i="1"/>
  <c r="E463" i="1"/>
  <c r="E167" i="1"/>
  <c r="E100" i="1"/>
  <c r="E263" i="1"/>
  <c r="E377" i="1"/>
  <c r="E114" i="1"/>
  <c r="E283" i="1"/>
  <c r="E172" i="1"/>
  <c r="E438" i="1"/>
  <c r="E253" i="1"/>
  <c r="E206" i="1"/>
  <c r="E435" i="1"/>
  <c r="E367" i="1"/>
  <c r="E368" i="1"/>
  <c r="E440" i="1"/>
  <c r="E78" i="1"/>
  <c r="E337" i="1"/>
  <c r="E174" i="1"/>
  <c r="E357" i="1"/>
  <c r="E298" i="1"/>
  <c r="E136" i="1"/>
  <c r="E99" i="1"/>
  <c r="E300" i="1"/>
  <c r="E86" i="1"/>
  <c r="F95" i="1"/>
  <c r="E318" i="1"/>
  <c r="E259" i="1"/>
  <c r="E194" i="1"/>
  <c r="E239" i="1"/>
  <c r="E490" i="1"/>
  <c r="C97" i="1"/>
  <c r="C344" i="1"/>
  <c r="C266" i="1"/>
  <c r="C324" i="1"/>
  <c r="F81" i="1"/>
  <c r="F157" i="1"/>
  <c r="E326" i="1"/>
  <c r="C154" i="1"/>
  <c r="C91" i="1"/>
  <c r="C108" i="1"/>
  <c r="C262" i="1"/>
  <c r="C326" i="1"/>
  <c r="C455" i="1"/>
  <c r="C288" i="1"/>
  <c r="C425" i="1"/>
  <c r="C252" i="1"/>
  <c r="E176" i="1"/>
  <c r="F139" i="1"/>
  <c r="C115" i="1"/>
  <c r="C278" i="1"/>
  <c r="C342" i="1"/>
  <c r="C406" i="1"/>
  <c r="C218" i="1"/>
  <c r="C284" i="1"/>
  <c r="E55" i="1"/>
  <c r="E103" i="1"/>
  <c r="E158" i="1"/>
  <c r="E410" i="1"/>
  <c r="E484" i="1"/>
  <c r="E381" i="1"/>
  <c r="C384" i="1"/>
  <c r="C140" i="1"/>
  <c r="C69" i="1"/>
  <c r="C158" i="1"/>
  <c r="C103" i="1"/>
  <c r="C222" i="1"/>
  <c r="C176" i="1"/>
  <c r="E344" i="1"/>
  <c r="E266" i="1"/>
  <c r="E387" i="1"/>
  <c r="C95" i="1"/>
  <c r="C297" i="1"/>
  <c r="C204" i="1"/>
  <c r="C356" i="1"/>
  <c r="E119" i="1"/>
  <c r="E451" i="1"/>
  <c r="C119" i="1"/>
  <c r="C81" i="1"/>
  <c r="C287" i="1"/>
  <c r="C328" i="1"/>
  <c r="C451" i="1"/>
  <c r="E69" i="1"/>
  <c r="E217" i="1"/>
  <c r="C420" i="1"/>
  <c r="C59" i="1"/>
  <c r="C139" i="1"/>
  <c r="C157" i="1"/>
  <c r="C200" i="1"/>
  <c r="C410" i="1"/>
  <c r="C387" i="1"/>
  <c r="C236" i="1"/>
  <c r="C55" i="1"/>
  <c r="C143" i="1"/>
  <c r="C346" i="1"/>
  <c r="C244" i="1"/>
  <c r="C90" i="1"/>
  <c r="C84" i="1"/>
  <c r="C135" i="1"/>
  <c r="C73" i="1"/>
  <c r="C214" i="1"/>
  <c r="C258" i="1"/>
  <c r="C211" i="1"/>
  <c r="C228" i="1"/>
  <c r="E79" i="1"/>
  <c r="E111" i="1"/>
  <c r="E334" i="1"/>
  <c r="E462" i="1"/>
  <c r="C149" i="1"/>
  <c r="C150" i="1"/>
  <c r="C79" i="1"/>
  <c r="C247" i="1"/>
  <c r="C5" i="1"/>
  <c r="C321" i="1"/>
  <c r="C317" i="1"/>
  <c r="C447" i="1"/>
  <c r="C192" i="1"/>
  <c r="E349" i="1"/>
  <c r="E211" i="1"/>
  <c r="C383" i="1"/>
  <c r="C402" i="1"/>
  <c r="C290" i="1"/>
  <c r="C196" i="1"/>
  <c r="C469" i="1"/>
  <c r="E73" i="1"/>
  <c r="E74" i="1"/>
  <c r="E90" i="1"/>
  <c r="E84" i="1"/>
  <c r="C210" i="1"/>
  <c r="C338" i="1"/>
  <c r="C466" i="1"/>
  <c r="C88" i="1"/>
  <c r="C392" i="1"/>
  <c r="C131" i="1"/>
  <c r="C111" i="1"/>
  <c r="C254" i="1"/>
  <c r="C215" i="1"/>
  <c r="C279" i="1"/>
  <c r="C280" i="1"/>
  <c r="C353" i="1"/>
  <c r="C417" i="1"/>
  <c r="C379" i="1"/>
  <c r="C443" i="1"/>
  <c r="C268" i="1"/>
  <c r="C221" i="1"/>
  <c r="C349" i="1"/>
  <c r="E280" i="1"/>
  <c r="E417" i="1"/>
  <c r="E276" i="1"/>
  <c r="C107" i="1"/>
  <c r="C74" i="1"/>
  <c r="C62" i="1"/>
  <c r="C352" i="1"/>
  <c r="C276" i="1"/>
  <c r="E314" i="1"/>
  <c r="E348" i="1"/>
  <c r="E412" i="1"/>
  <c r="E354" i="1" l="1"/>
  <c r="F186" i="1"/>
  <c r="E580" i="1"/>
  <c r="E227" i="1"/>
  <c r="E763" i="1"/>
  <c r="E339" i="1"/>
  <c r="F316" i="1"/>
  <c r="F366" i="1"/>
  <c r="E94" i="1"/>
  <c r="F603" i="1"/>
  <c r="E268" i="1"/>
  <c r="E171" i="1"/>
  <c r="E160" i="1"/>
  <c r="E247" i="1"/>
  <c r="E352" i="1"/>
  <c r="F493" i="1"/>
  <c r="E85" i="1"/>
  <c r="E203" i="1"/>
  <c r="E112" i="1"/>
  <c r="E403" i="1"/>
  <c r="E474" i="1"/>
  <c r="F363" i="1"/>
  <c r="F694" i="1"/>
  <c r="E776" i="1"/>
  <c r="E731" i="1"/>
  <c r="F651" i="1"/>
  <c r="E475" i="1"/>
  <c r="F650" i="1"/>
  <c r="E799" i="1"/>
  <c r="E228" i="1"/>
  <c r="E278" i="1"/>
  <c r="E244" i="1"/>
  <c r="E406" i="1"/>
  <c r="E220" i="1"/>
  <c r="E441" i="1"/>
  <c r="E424" i="1"/>
  <c r="E177" i="1"/>
  <c r="E195" i="1"/>
  <c r="E430" i="1"/>
  <c r="F637" i="1"/>
  <c r="E759" i="1"/>
  <c r="E161" i="1"/>
  <c r="F308" i="1"/>
  <c r="E127" i="1"/>
  <c r="E439" i="1"/>
  <c r="F20" i="1"/>
  <c r="F614" i="1"/>
  <c r="F616" i="1"/>
  <c r="E854" i="1"/>
  <c r="E469" i="1"/>
  <c r="E154" i="1"/>
  <c r="E468" i="1"/>
  <c r="E106" i="1"/>
  <c r="E232" i="1"/>
  <c r="F436" i="1"/>
  <c r="E535" i="1"/>
  <c r="E455" i="1"/>
  <c r="E188" i="1"/>
  <c r="E416" i="1"/>
  <c r="E216" i="1"/>
  <c r="E272" i="1"/>
  <c r="E77" i="1"/>
  <c r="E787" i="1"/>
  <c r="E107" i="1"/>
  <c r="E391" i="1"/>
  <c r="E102" i="1"/>
  <c r="E531" i="1"/>
  <c r="E816" i="1"/>
  <c r="E526" i="1"/>
  <c r="E853" i="1"/>
  <c r="E549" i="1"/>
  <c r="F473" i="1"/>
  <c r="F704" i="1"/>
  <c r="E781" i="1"/>
  <c r="E113" i="1"/>
  <c r="E215" i="1"/>
  <c r="E317" i="1"/>
  <c r="F485" i="1"/>
  <c r="E250" i="1"/>
  <c r="E390" i="1"/>
  <c r="E132" i="1"/>
  <c r="E251" i="1"/>
  <c r="E230" i="1"/>
  <c r="E524" i="1"/>
  <c r="E320" i="1"/>
  <c r="E89" i="1"/>
  <c r="E108" i="1"/>
  <c r="E338" i="1"/>
  <c r="E432" i="1"/>
  <c r="E397" i="1"/>
  <c r="F282" i="1"/>
  <c r="E129" i="1"/>
  <c r="F153" i="1"/>
  <c r="E429" i="1"/>
  <c r="E497" i="1"/>
  <c r="E296" i="1"/>
  <c r="F199" i="1"/>
  <c r="E585" i="1"/>
  <c r="E586" i="1"/>
  <c r="E583" i="1"/>
  <c r="E552" i="1"/>
  <c r="E166" i="1"/>
  <c r="E796" i="1"/>
  <c r="F375" i="1"/>
  <c r="E182" i="1"/>
  <c r="E313" i="1"/>
  <c r="F373" i="1"/>
  <c r="F273" i="1"/>
  <c r="E135" i="1"/>
  <c r="E198" i="1"/>
  <c r="E389" i="1"/>
  <c r="E461" i="1"/>
  <c r="E124" i="1"/>
  <c r="E200" i="1"/>
  <c r="F323" i="1"/>
  <c r="E325" i="1"/>
  <c r="E355" i="1"/>
  <c r="F454" i="1"/>
  <c r="E561" i="1"/>
  <c r="E544" i="1"/>
  <c r="F641" i="1"/>
  <c r="E527" i="1"/>
  <c r="F270" i="1"/>
  <c r="E765" i="1"/>
  <c r="E214" i="1"/>
  <c r="E97" i="1"/>
  <c r="E197" i="1"/>
  <c r="E304" i="1"/>
  <c r="F305" i="1"/>
  <c r="E797" i="1"/>
  <c r="E207" i="1"/>
  <c r="F662" i="1"/>
  <c r="E202" i="1"/>
  <c r="E249" i="1"/>
  <c r="E297" i="1"/>
  <c r="E444" i="1"/>
  <c r="F185" i="1"/>
  <c r="E122" i="1"/>
  <c r="E764" i="1"/>
  <c r="E643" i="1"/>
  <c r="F458" i="1"/>
  <c r="E31" i="1"/>
  <c r="E443" i="1"/>
  <c r="E222" i="1"/>
  <c r="E205" i="1"/>
  <c r="E310" i="1"/>
  <c r="E256" i="1"/>
  <c r="E476" i="1"/>
  <c r="E356" i="1"/>
  <c r="E91" i="1"/>
  <c r="E477" i="1"/>
  <c r="E336" i="1"/>
  <c r="E350" i="1"/>
  <c r="E183" i="1"/>
  <c r="E482" i="1"/>
  <c r="F184" i="1"/>
  <c r="F452" i="1"/>
  <c r="F514" i="1"/>
  <c r="F511" i="1"/>
  <c r="F480" i="1"/>
  <c r="F374" i="1"/>
  <c r="E290" i="1"/>
  <c r="E164" i="1"/>
  <c r="E401" i="1"/>
  <c r="E134" i="1"/>
  <c r="E187" i="1"/>
  <c r="F376" i="1"/>
  <c r="F598" i="1"/>
  <c r="E294" i="1"/>
  <c r="F303" i="1"/>
  <c r="E852" i="1"/>
  <c r="E818" i="1"/>
  <c r="E725" i="1"/>
  <c r="F265" i="1"/>
  <c r="E168" i="1"/>
  <c r="E143" i="1"/>
  <c r="E420" i="1"/>
  <c r="E140" i="1"/>
  <c r="E328" i="1"/>
  <c r="E489" i="1"/>
  <c r="E408" i="1"/>
  <c r="E383" i="1"/>
  <c r="E447" i="1"/>
  <c r="E465" i="1"/>
  <c r="F255" i="1"/>
  <c r="E60" i="1"/>
  <c r="F393" i="1"/>
  <c r="E30" i="1"/>
  <c r="E159" i="1"/>
  <c r="E510" i="1"/>
  <c r="F601" i="1"/>
  <c r="E170" i="1"/>
  <c r="E415" i="1"/>
  <c r="E849" i="1"/>
  <c r="E762" i="1"/>
  <c r="E782" i="1"/>
  <c r="E289" i="1"/>
  <c r="E423" i="1"/>
  <c r="E358" i="1"/>
  <c r="F385" i="1"/>
  <c r="E262" i="1"/>
  <c r="E362" i="1"/>
  <c r="E147" i="1"/>
  <c r="E156" i="1"/>
  <c r="E237" i="1"/>
  <c r="F238" i="1"/>
  <c r="F491" i="1"/>
  <c r="E517" i="1"/>
  <c r="F600" i="1"/>
  <c r="E607" i="1"/>
  <c r="F615" i="1"/>
  <c r="E508" i="1"/>
  <c r="E488" i="1"/>
  <c r="E295" i="1"/>
  <c r="E824" i="1"/>
  <c r="E767" i="1"/>
  <c r="E769" i="1"/>
  <c r="E730" i="1"/>
  <c r="E398" i="1"/>
  <c r="E223" i="1"/>
  <c r="E396" i="1"/>
  <c r="E130" i="1"/>
  <c r="E481" i="1"/>
  <c r="E146" i="1"/>
  <c r="E234" i="1"/>
  <c r="E240" i="1"/>
  <c r="E431" i="1"/>
  <c r="E437" i="1"/>
  <c r="E70" i="1"/>
  <c r="E71" i="1"/>
  <c r="E279" i="1"/>
  <c r="E131" i="1"/>
  <c r="F115" i="1"/>
  <c r="E144" i="1"/>
  <c r="E495" i="1"/>
  <c r="E446" i="1"/>
  <c r="F343" i="1"/>
  <c r="E141" i="1"/>
  <c r="F351" i="1"/>
  <c r="E588" i="1"/>
  <c r="E509" i="1"/>
  <c r="F707" i="1"/>
  <c r="F327" i="1"/>
  <c r="E696" i="1"/>
  <c r="E740" i="1"/>
  <c r="E742" i="1"/>
  <c r="E254" i="1"/>
  <c r="E399" i="1"/>
  <c r="E365" i="1"/>
  <c r="E125" i="1"/>
  <c r="F145" i="1"/>
  <c r="E45" i="1"/>
  <c r="E655" i="1"/>
  <c r="E657" i="1"/>
  <c r="E543" i="1"/>
  <c r="E749" i="1"/>
  <c r="F534" i="1"/>
  <c r="E405" i="1"/>
  <c r="E116" i="1"/>
  <c r="E342" i="1"/>
  <c r="E83" i="1"/>
  <c r="F36" i="1"/>
  <c r="E572" i="1"/>
  <c r="E260" i="1"/>
  <c r="E379" i="1"/>
  <c r="E284" i="1"/>
  <c r="E208" i="1"/>
  <c r="E380" i="1"/>
  <c r="E173" i="1"/>
  <c r="E57" i="1"/>
  <c r="E478" i="1"/>
  <c r="F319" i="1"/>
  <c r="F386" i="1"/>
  <c r="F394" i="1"/>
  <c r="F312" i="1"/>
  <c r="E566" i="1"/>
  <c r="F639" i="1"/>
  <c r="E578" i="1"/>
  <c r="E848" i="1"/>
  <c r="E779" i="1"/>
  <c r="E856" i="1"/>
  <c r="F409" i="1"/>
  <c r="E724" i="1"/>
  <c r="E193" i="1"/>
  <c r="E88" i="1"/>
  <c r="E371" i="1"/>
  <c r="F190" i="1"/>
  <c r="E72" i="1"/>
  <c r="E242" i="1"/>
  <c r="E155" i="1"/>
  <c r="E169" i="1"/>
  <c r="E395" i="1"/>
  <c r="F618" i="1"/>
  <c r="F689" i="1"/>
  <c r="E746" i="1"/>
  <c r="E382" i="1"/>
  <c r="E470" i="1"/>
  <c r="E287" i="1"/>
  <c r="E267" i="1"/>
  <c r="E404" i="1"/>
  <c r="E302" i="1"/>
  <c r="F457" i="1"/>
  <c r="F369" i="1"/>
  <c r="E291" i="1"/>
  <c r="E151" i="1"/>
  <c r="F241" i="1"/>
  <c r="F261" i="1"/>
  <c r="E528" i="1"/>
  <c r="E542" i="1"/>
  <c r="E568" i="1"/>
  <c r="E582" i="1"/>
  <c r="F660" i="1"/>
  <c r="E584" i="1"/>
  <c r="E120" i="1"/>
  <c r="F691" i="1"/>
  <c r="E162" i="1"/>
  <c r="E802" i="1"/>
  <c r="E748" i="1"/>
  <c r="E768" i="1"/>
  <c r="E705" i="1"/>
  <c r="F726" i="1"/>
  <c r="F728" i="1"/>
  <c r="E496" i="1"/>
  <c r="E218" i="1"/>
  <c r="E426" i="1"/>
  <c r="E64" i="1"/>
  <c r="E359" i="1"/>
  <c r="E335" i="1"/>
  <c r="E407" i="1"/>
  <c r="E472" i="1"/>
  <c r="F599" i="1"/>
  <c r="F659" i="1"/>
  <c r="E117" i="1"/>
  <c r="E777" i="1"/>
  <c r="E761" i="1"/>
  <c r="F727" i="1"/>
  <c r="E80" i="1"/>
  <c r="E340" i="1"/>
  <c r="E747" i="1"/>
  <c r="E857" i="1"/>
  <c r="E750" i="1"/>
  <c r="E271" i="1"/>
  <c r="E550" i="1"/>
  <c r="E442" i="1"/>
  <c r="E110" i="1"/>
  <c r="F698" i="1"/>
  <c r="E192" i="1"/>
  <c r="E361" i="1"/>
  <c r="E178" i="1"/>
  <c r="E292" i="1"/>
  <c r="E301" i="1"/>
  <c r="E487" i="1"/>
  <c r="E372" i="1"/>
  <c r="E341" i="1"/>
  <c r="E428" i="1"/>
  <c r="E281" i="1"/>
  <c r="F606" i="1"/>
  <c r="E525" i="1"/>
  <c r="E516" i="1"/>
  <c r="F165" i="1"/>
  <c r="E714" i="1"/>
  <c r="E760" i="1"/>
  <c r="E795" i="1"/>
  <c r="E421" i="1"/>
  <c r="E61" i="1"/>
  <c r="E210" i="1"/>
  <c r="E411" i="1"/>
  <c r="E212" i="1"/>
  <c r="E464" i="1"/>
  <c r="E507" i="1"/>
  <c r="E571" i="1"/>
  <c r="E226" i="1"/>
  <c r="F65" i="1"/>
  <c r="F693" i="1"/>
  <c r="E783" i="1"/>
  <c r="E752" i="1"/>
  <c r="E804" i="1"/>
  <c r="E855" i="1"/>
  <c r="E806" i="1"/>
  <c r="F729" i="1"/>
  <c r="F315" i="1"/>
  <c r="E315" i="1"/>
  <c r="F723" i="1"/>
  <c r="E723" i="1"/>
  <c r="E196" i="1"/>
  <c r="E321" i="1"/>
  <c r="E133" i="1"/>
  <c r="E56" i="1"/>
  <c r="E322" i="1"/>
  <c r="E330" i="1"/>
  <c r="F219" i="1"/>
  <c r="E579" i="1"/>
  <c r="E530" i="1"/>
  <c r="F653" i="1"/>
  <c r="F596" i="1"/>
  <c r="F546" i="1"/>
  <c r="E252" i="1"/>
  <c r="F716" i="1"/>
  <c r="E713" i="1"/>
  <c r="F706" i="1"/>
  <c r="E121" i="1"/>
  <c r="E770" i="1"/>
  <c r="E734" i="1"/>
  <c r="F732" i="1"/>
  <c r="E732" i="1"/>
  <c r="E460" i="1"/>
  <c r="F460" i="1"/>
  <c r="E118" i="1"/>
  <c r="E231" i="1"/>
  <c r="E92" i="1"/>
  <c r="F636" i="1"/>
  <c r="E803" i="1"/>
  <c r="E93" i="1"/>
  <c r="F93" i="1"/>
  <c r="F605" i="1"/>
  <c r="E150" i="1"/>
  <c r="E62" i="1"/>
  <c r="E204" i="1"/>
  <c r="E236" i="1"/>
  <c r="E384" i="1"/>
  <c r="E59" i="1"/>
  <c r="E233" i="1"/>
  <c r="E235" i="1"/>
  <c r="F425" i="1"/>
  <c r="F427" i="1"/>
  <c r="E49" i="1"/>
  <c r="F471" i="1"/>
  <c r="E656" i="1"/>
  <c r="E562" i="1"/>
  <c r="F640" i="1"/>
  <c r="E564" i="1"/>
  <c r="F533" i="1"/>
  <c r="F695" i="1"/>
  <c r="E821" i="1"/>
  <c r="E758" i="1"/>
  <c r="E820" i="1"/>
  <c r="E277" i="1"/>
  <c r="F277" i="1"/>
  <c r="E299" i="1"/>
  <c r="E483" i="1"/>
  <c r="F498" i="1"/>
  <c r="E587" i="1"/>
  <c r="E353" i="1"/>
  <c r="E466" i="1"/>
  <c r="E293" i="1"/>
  <c r="E104" i="1"/>
  <c r="E560" i="1"/>
  <c r="E709" i="1"/>
  <c r="E710" i="1"/>
  <c r="F467" i="1"/>
  <c r="E449" i="1"/>
  <c r="E221" i="1"/>
  <c r="E149" i="1"/>
  <c r="E402" i="1"/>
  <c r="E346" i="1"/>
  <c r="E388" i="1"/>
  <c r="E66" i="1"/>
  <c r="F225" i="1"/>
  <c r="E413" i="1"/>
  <c r="E101" i="1"/>
  <c r="F152" i="1"/>
  <c r="E518" i="1"/>
  <c r="F545" i="1"/>
  <c r="F275" i="1"/>
  <c r="F360" i="1"/>
  <c r="E813" i="1"/>
  <c r="E456" i="1"/>
  <c r="F456" i="1"/>
  <c r="F22" i="1"/>
  <c r="F674" i="1"/>
  <c r="F37" i="1"/>
  <c r="F675" i="1"/>
  <c r="E41" i="1"/>
  <c r="F28" i="1"/>
  <c r="F676" i="1"/>
  <c r="E52" i="1"/>
  <c r="F34" i="1"/>
  <c r="F53" i="1"/>
  <c r="E50" i="1"/>
  <c r="E670" i="1"/>
  <c r="E680" i="1"/>
  <c r="F23" i="1"/>
  <c r="F32" i="1"/>
  <c r="F40" i="1"/>
  <c r="F26" i="1"/>
  <c r="E668" i="1"/>
  <c r="F678" i="1"/>
  <c r="E39" i="1"/>
  <c r="E669" i="1"/>
  <c r="E692" i="1"/>
  <c r="F686" i="1"/>
  <c r="F673" i="1"/>
  <c r="F672" i="1"/>
  <c r="E679" i="1"/>
  <c r="F46" i="1"/>
  <c r="F688" i="1"/>
  <c r="F35" i="1"/>
  <c r="E48" i="1"/>
  <c r="F690" i="1"/>
  <c r="E671" i="1"/>
  <c r="F38" i="1"/>
  <c r="F24" i="1"/>
  <c r="F677" i="1"/>
  <c r="F51" i="1"/>
  <c r="F21" i="1"/>
  <c r="F25" i="1"/>
  <c r="F27" i="1"/>
  <c r="F47" i="1"/>
  <c r="E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36EB44-0C28-4ABE-9614-9D985A92C56E}" keepAlive="1" name="Consulta - tbEscolas" description="Conexão com a consulta 'tbEscolas' na pasta de trabalho." type="5" refreshedVersion="0" background="1">
    <dbPr connection="Provider=Microsoft.Mashup.OleDb.1;Data Source=$Workbook$;Location=tbEscolas;Extended Properties=&quot;&quot;" command="SELECT * FROM [tbEscolas]"/>
  </connection>
  <connection id="2" xr16:uid="{4A0872DD-11C2-426F-ABCC-482F02CDF3B5}" keepAlive="1" name="Consulta - tbLinhas" description="Conexão com a consulta 'tbLinhas' na pasta de trabalho." type="5" refreshedVersion="8" background="1" saveData="1">
    <dbPr connection="Provider=Microsoft.Mashup.OleDb.1;Data Source=$Workbook$;Location=tbLinhas;Extended Properties=&quot;&quot;" command="SELECT * FROM [tbLinhas]"/>
  </connection>
  <connection id="3" xr16:uid="{7F37DC9B-C58E-45F6-9219-E3E2771F6455}" keepAlive="1" name="Consulta - tbNucleo" description="Conexão com a consulta 'tbNucleo' na pasta de trabalho." type="5" refreshedVersion="0" background="1">
    <dbPr connection="Provider=Microsoft.Mashup.OleDb.1;Data Source=$Workbook$;Location=tbNucleo;Extended Properties=&quot;&quot;" command="SELECT * FROM [tbNucle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<sst xmlns="http://schemas.openxmlformats.org/spreadsheetml/2006/main" count="4115" uniqueCount="408">
  <si>
    <t>NÚCLEO</t>
  </si>
  <si>
    <t>ESCOLA</t>
  </si>
  <si>
    <t>ETAPA</t>
  </si>
  <si>
    <t>NOME DA LINHA</t>
  </si>
  <si>
    <t>NOME DO MOTORISTA</t>
  </si>
  <si>
    <t>TURNO DA LINHA</t>
  </si>
  <si>
    <t>FONE DO MOTORISTA</t>
  </si>
  <si>
    <t>CRECHE I</t>
  </si>
  <si>
    <t>CRECHE II</t>
  </si>
  <si>
    <t>PRE I</t>
  </si>
  <si>
    <t>PRE II</t>
  </si>
  <si>
    <t>1º ANO</t>
  </si>
  <si>
    <t>2º ANO</t>
  </si>
  <si>
    <t>3º ANO</t>
  </si>
  <si>
    <t>4º ANO</t>
  </si>
  <si>
    <t>5º ANO</t>
  </si>
  <si>
    <t>6º ANO</t>
  </si>
  <si>
    <t>7º ANO</t>
  </si>
  <si>
    <t>8º ANO</t>
  </si>
  <si>
    <t>9º ANO</t>
  </si>
  <si>
    <t>FUNDAMENTAL</t>
  </si>
  <si>
    <t>EJA I</t>
  </si>
  <si>
    <t>EJA II</t>
  </si>
  <si>
    <t>EDUCAÇÃO INFANTIL</t>
  </si>
  <si>
    <t>ENSINO MÉDIO</t>
  </si>
  <si>
    <t>NÍVEL</t>
  </si>
  <si>
    <t>Nº</t>
  </si>
  <si>
    <t>OFERTA</t>
  </si>
  <si>
    <t>COD ETPA</t>
  </si>
  <si>
    <t>TOTAL ETAPAS</t>
  </si>
  <si>
    <t>CODIGO DA LINHA</t>
  </si>
  <si>
    <t>URBANO</t>
  </si>
  <si>
    <t xml:space="preserve">SANTO ANTONIO DAS LENDAS/BARRANCO VERMELHO </t>
  </si>
  <si>
    <t>SIDNEI CEBALHO BARONCIELO</t>
  </si>
  <si>
    <t>VESPERTINO</t>
  </si>
  <si>
    <t>BARREIRO PRETO</t>
  </si>
  <si>
    <t>ADEMILCO SOUZA MILAS</t>
  </si>
  <si>
    <t>BOA ESPERANÇA/SÃO JOSE/BOM JARDIM</t>
  </si>
  <si>
    <t>RONY OLIVEIRA QUEROZ</t>
  </si>
  <si>
    <t>FAZENDA BAÚ</t>
  </si>
  <si>
    <t>SEBASTIÃO RAMOS OLIVEIRA</t>
  </si>
  <si>
    <t>CINTURÃO VERDE/FACÃO</t>
  </si>
  <si>
    <t>EDUARDO DE ALMEIDA CARLINO</t>
  </si>
  <si>
    <t>JOSE AUGUSTO DA SILVA CRUZ</t>
  </si>
  <si>
    <t>ROTA PNE</t>
  </si>
  <si>
    <t>ODENIR JESUS DE PAULA</t>
  </si>
  <si>
    <t>ROTA PCD</t>
  </si>
  <si>
    <t>ODAIR CAMACHO DE SOUZA</t>
  </si>
  <si>
    <t>JARDIM AEROPORTO</t>
  </si>
  <si>
    <t>WAGNER RODRIGUES DE SOUZA</t>
  </si>
  <si>
    <t>TAQUARAL/PERAPUTANGA/PONTA DO MORRO</t>
  </si>
  <si>
    <t>LAURILEU LUIZ DA SILVA JUNIOR</t>
  </si>
  <si>
    <t>CAIÇARA/MINUANO/ROTA DAS AGUAS</t>
  </si>
  <si>
    <t>ALISON RIBEIRO FELIX</t>
  </si>
  <si>
    <t>TARUMÃ/PEDRAS</t>
  </si>
  <si>
    <t>DOUGLAS CAMARGO</t>
  </si>
  <si>
    <t>PONTA DO MORRO/BOM TEMPO</t>
  </si>
  <si>
    <t>FRANCISCO FERREIRA LIMA FILHO</t>
  </si>
  <si>
    <t>MATUTINO</t>
  </si>
  <si>
    <t>DOIS DE OURO/AFFEMAT</t>
  </si>
  <si>
    <t>LUIZ ORLEI AGUIAR</t>
  </si>
  <si>
    <t>PEDREIRA/MATADOURO/CASCALHEIRA</t>
  </si>
  <si>
    <t>GENILDO DA SILVA</t>
  </si>
  <si>
    <t>BOM JARDIM/BR</t>
  </si>
  <si>
    <t>JOILSON FELIX MACEDO</t>
  </si>
  <si>
    <t>(65) 9934407953</t>
  </si>
  <si>
    <t>(65) 99977-7697</t>
  </si>
  <si>
    <t>(65) 99802-4770</t>
  </si>
  <si>
    <t>(65) 99914-7203</t>
  </si>
  <si>
    <t>(65) 99955-9699</t>
  </si>
  <si>
    <t>(65) 99947-4152</t>
  </si>
  <si>
    <t>(65) 99665-9133</t>
  </si>
  <si>
    <t>(65) 99609-0109</t>
  </si>
  <si>
    <t>(65) 99806-7902</t>
  </si>
  <si>
    <t>(65) 99969-5040</t>
  </si>
  <si>
    <t>(65) 99917-2749</t>
  </si>
  <si>
    <t>(65) 99964-9434</t>
  </si>
  <si>
    <t>(65) 996360-7189</t>
  </si>
  <si>
    <t>(65) 99946-0417</t>
  </si>
  <si>
    <t>(65) 999777-5657</t>
  </si>
  <si>
    <t xml:space="preserve">EM DR. JOSE RODRIGUES FONTES </t>
  </si>
  <si>
    <t xml:space="preserve"> EM CENTRO EDUCACIONAL DOM MAXIMO BIENNES </t>
  </si>
  <si>
    <t xml:space="preserve"> EM PROFª ERENICE SIMAO ALVARENGA </t>
  </si>
  <si>
    <t>EM ROCA VELHA</t>
  </si>
  <si>
    <t>EM SANTA CATARINA</t>
  </si>
  <si>
    <t>EM SOTECO</t>
  </si>
  <si>
    <t>EM GARCES</t>
  </si>
  <si>
    <t>EM TANCREDO NEVES</t>
  </si>
  <si>
    <t>EM JARDIM PARAISO</t>
  </si>
  <si>
    <t>EM BURITI</t>
  </si>
  <si>
    <t>EM PROFª ISABEL CAMPOS</t>
  </si>
  <si>
    <t>EM VILA REAL</t>
  </si>
  <si>
    <t xml:space="preserve"> EM NOVO ORIENTE</t>
  </si>
  <si>
    <t>EM VILA IRENE</t>
  </si>
  <si>
    <t xml:space="preserve"> EMEI BUSCANDO O SABER </t>
  </si>
  <si>
    <t>EM UNIAO</t>
  </si>
  <si>
    <t xml:space="preserve">EM CLARINÓPOLIS </t>
  </si>
  <si>
    <t>EM SANTOS DUMONT</t>
  </si>
  <si>
    <t xml:space="preserve"> EM LARANJEIRA I </t>
  </si>
  <si>
    <t>EM 16 DE MARÇO</t>
  </si>
  <si>
    <t>EM PAULO FREIRE</t>
  </si>
  <si>
    <t>EMEI BRINCANDO E APRENDENDO</t>
  </si>
  <si>
    <t xml:space="preserve">EM NOSSA SENHORA APARECIDA </t>
  </si>
  <si>
    <t>EM PEQUENO SABIO</t>
  </si>
  <si>
    <t>EM DUQUE DE CAXIAS</t>
  </si>
  <si>
    <t>EM LIMOEIRO</t>
  </si>
  <si>
    <t>EMEI FREI GRIGNION</t>
  </si>
  <si>
    <t>EM DESEMBARGADOR GABRIEL PINTO DE ARRUDA</t>
  </si>
  <si>
    <t xml:space="preserve"> EM VITORIA REGIA</t>
  </si>
  <si>
    <t>RURAL</t>
  </si>
  <si>
    <t>SOTECO</t>
  </si>
  <si>
    <t>LIMÃO</t>
  </si>
  <si>
    <t>LARANJEIRA</t>
  </si>
  <si>
    <t>LIMOEIRO</t>
  </si>
  <si>
    <t>PAIOL</t>
  </si>
  <si>
    <t>CLARINOPOLIS</t>
  </si>
  <si>
    <t>CARAMUJO</t>
  </si>
  <si>
    <t>VILA APARECIDA</t>
  </si>
  <si>
    <t>ROÇA VELHA</t>
  </si>
  <si>
    <t>SADIA</t>
  </si>
  <si>
    <t>SAPIQUÁ</t>
  </si>
  <si>
    <t xml:space="preserve">VILA APARECIDA </t>
  </si>
  <si>
    <t xml:space="preserve">CLARINOPOLIS </t>
  </si>
  <si>
    <t xml:space="preserve">LARANJEIRA </t>
  </si>
  <si>
    <t xml:space="preserve">SADIA </t>
  </si>
  <si>
    <t>não</t>
  </si>
  <si>
    <t>SIM</t>
  </si>
  <si>
    <t xml:space="preserve">EM CAIC </t>
  </si>
  <si>
    <t>E.E SÃO LUIZ</t>
  </si>
  <si>
    <t>E.E COLEGIO ESTADUAL ONZE DE MARÇO ( CEOM )</t>
  </si>
  <si>
    <t>EM SANTO ANTONIO DO CARAMUJO</t>
  </si>
  <si>
    <t>E.E 12 DE OUTUBRO ANEXA SAPIQUÁ</t>
  </si>
  <si>
    <t>E.E 12 DE OUTUBRO ANEXA CLARINOPOLIS</t>
  </si>
  <si>
    <t>E.E 12 DE OUTUBRO ANEXA SOTECO</t>
  </si>
  <si>
    <t>HORIZONTE D'OESTE</t>
  </si>
  <si>
    <t>NUCLEO</t>
  </si>
  <si>
    <t>CAIÇARA/LIMÃO</t>
  </si>
  <si>
    <t>ELYSSON VIDAL GUILHER</t>
  </si>
  <si>
    <t>(65) 98419-7041</t>
  </si>
  <si>
    <t>TRÊS RIOS</t>
  </si>
  <si>
    <t>RENATO TORRES CUNHA</t>
  </si>
  <si>
    <t>(65) 99643-6868</t>
  </si>
  <si>
    <t>SANTA CRUZ/MOEDA/SANTA MARIA</t>
  </si>
  <si>
    <t>MANOEL JOSE DA SILVA</t>
  </si>
  <si>
    <t>(65) 99693-6409</t>
  </si>
  <si>
    <t>ENCANTO/IPANEMA</t>
  </si>
  <si>
    <t>NATANAEL ALVES DA SILVA</t>
  </si>
  <si>
    <t>(65) 99936-2463</t>
  </si>
  <si>
    <t>SANTA HELENA/FAZENDA COMETA/ALAMBRADO</t>
  </si>
  <si>
    <t>JOSE LUIZ TORRES DA CUNHA</t>
  </si>
  <si>
    <t>(65) 65 99639-5618</t>
  </si>
  <si>
    <t>SANTA BARBARA/SANTA CRUZ</t>
  </si>
  <si>
    <t>JOÃO RAMOS PIRES</t>
  </si>
  <si>
    <t>(65)99815-3120</t>
  </si>
  <si>
    <t>PANTANAL/ANGICO</t>
  </si>
  <si>
    <t>MARIONEY LOURENÇO PATRICIO DA SILVA</t>
  </si>
  <si>
    <t>(65) 9961-1810</t>
  </si>
  <si>
    <t xml:space="preserve">KATIRA/JATOBA/BOA ESPERANÇA </t>
  </si>
  <si>
    <t>JOSE LEANDRO NUNES</t>
  </si>
  <si>
    <t>(65) 9801-9996</t>
  </si>
  <si>
    <t>CORIXA</t>
  </si>
  <si>
    <t>AIRTON LOURENÇO SALVIANI</t>
  </si>
  <si>
    <t>(65) 9674-1986</t>
  </si>
  <si>
    <t>RANCHO SAPIQUÁ</t>
  </si>
  <si>
    <t>ROBSON FRANCISCO BORGES</t>
  </si>
  <si>
    <t>(65) 9948-7537</t>
  </si>
  <si>
    <t>TREMEDAL/CORIXA</t>
  </si>
  <si>
    <t>DANIELI LOURENÇO SALVIANI</t>
  </si>
  <si>
    <t>(65) 9934-7834</t>
  </si>
  <si>
    <t>CORIXINHA/SAPIQUÁ</t>
  </si>
  <si>
    <t>RENATO ANTONIO VIANA</t>
  </si>
  <si>
    <t>(65) 9962-9113</t>
  </si>
  <si>
    <t>ROMARIO DA SILVA FREIRES</t>
  </si>
  <si>
    <t>ENCANTO/CORIXA</t>
  </si>
  <si>
    <t>(65) 9954-3256</t>
  </si>
  <si>
    <t>ODILIO PEREIRA DE LIMA</t>
  </si>
  <si>
    <t>SÃO GERALDO/PÉ DE ANTA/SÃO FRANCISCO</t>
  </si>
  <si>
    <t>(65) 9605-5309</t>
  </si>
  <si>
    <t xml:space="preserve">EDILSON DA CRUZ </t>
  </si>
  <si>
    <t>ITIQUIRA/CARAMUJO/SALVAÇÃO</t>
  </si>
  <si>
    <t>(65) 9900-9996</t>
  </si>
  <si>
    <t>SANTA LUZIA/BARRA NOVA</t>
  </si>
  <si>
    <t>SANTA RITA/SANTA MARIA</t>
  </si>
  <si>
    <t xml:space="preserve">PIUVAL/BARREIRO/ SÃO FRANCISCO </t>
  </si>
  <si>
    <t xml:space="preserve">EDER FERREIRA </t>
  </si>
  <si>
    <t>ANDRÉ LUIZ VILAS BOAS DO ESPIRITO SANTO</t>
  </si>
  <si>
    <t>RONEI DA SILVA GONÇALVES NETO</t>
  </si>
  <si>
    <t>MARGARIDA ALVES/BOA ESPERANÇA</t>
  </si>
  <si>
    <t xml:space="preserve">MARIO CAMPOS DA SILVA </t>
  </si>
  <si>
    <t>(65) 9911-0415</t>
  </si>
  <si>
    <t>(65) 9325-2392</t>
  </si>
  <si>
    <t>(65) 9817-6721</t>
  </si>
  <si>
    <t>(65) 9811-2336</t>
  </si>
  <si>
    <t xml:space="preserve">ALEGRIA 1 / AGUA BOA </t>
  </si>
  <si>
    <t>ALEGRIA 2 / AGUA BOA</t>
  </si>
  <si>
    <t>BARRANQUEIRA 1</t>
  </si>
  <si>
    <t>BARRANQUEIRA 2</t>
  </si>
  <si>
    <t>JULIANO DA SILVA CRUZ</t>
  </si>
  <si>
    <t>ADRIELTON NASCIMENTO CARVALHO</t>
  </si>
  <si>
    <t>VANDERSON BRITO MIRANDA</t>
  </si>
  <si>
    <t>ALMERINDO DUARTE DA SILVA</t>
  </si>
  <si>
    <t>(65) 9936-2135</t>
  </si>
  <si>
    <t>(65) 9957-3628</t>
  </si>
  <si>
    <t>(65) 9353-8785</t>
  </si>
  <si>
    <t>(65) 9665-8012</t>
  </si>
  <si>
    <t>E.E JOÃO FLORENTINO SILVA NETO ANEXA SADIA</t>
  </si>
  <si>
    <t>E.E JOÃO FLORENTINO SILVA NETO ANEXA PAIOL</t>
  </si>
  <si>
    <t>E.E JOÃO FLORENTINO SILVA NETO ANEXA LARANJEIRA</t>
  </si>
  <si>
    <t>E.E JOÃO FLORENTINO SILVA NETO ANEXA HORIZONTE D'OESTE</t>
  </si>
  <si>
    <t>E.E 12 DE OUTUBRO LIMÃO</t>
  </si>
  <si>
    <t>E.E JOÃO FLORENTINO SILVA NETO CARAMUJO</t>
  </si>
  <si>
    <t>MT 343/ GUARANDI</t>
  </si>
  <si>
    <t>FLOR DA MATA</t>
  </si>
  <si>
    <t>BOCAINA DO CASCAVEL</t>
  </si>
  <si>
    <t>SEPUTUBINHA/ BARRANQUINHO</t>
  </si>
  <si>
    <t>RIO CACHOEIRA/ PINDAIVAL</t>
  </si>
  <si>
    <t>SANTANA /EXU/ SÃO NICOLAU</t>
  </si>
  <si>
    <t>FAZENDA OURO VERDE/ ZÉ DO OLEO</t>
  </si>
  <si>
    <t>RENATO SEBASTIÃO DE SOUZA</t>
  </si>
  <si>
    <t>EDISON EGUES</t>
  </si>
  <si>
    <t>ALOISIO DA CONCEICAO LOPES MARTINS VIANA</t>
  </si>
  <si>
    <t>JOÃO FELIPE DA MATA</t>
  </si>
  <si>
    <t>GONÇALO DA COSTA VILANOVA</t>
  </si>
  <si>
    <t>LORIVALDO DE PAULA DE OLIVEIRA</t>
  </si>
  <si>
    <t>JESUS VALDECI FRANCO RODRIGUES</t>
  </si>
  <si>
    <t>(65) 9616-4969</t>
  </si>
  <si>
    <t>(65) 9642-7778</t>
  </si>
  <si>
    <t>(65) 9965-2410</t>
  </si>
  <si>
    <t>(65) 9935-7420</t>
  </si>
  <si>
    <t>(65) 9996-4238</t>
  </si>
  <si>
    <t>(65) 9800-0488</t>
  </si>
  <si>
    <t>(65) 9941-7125</t>
  </si>
  <si>
    <t>NOVA LIMEIRA/CACIMBA</t>
  </si>
  <si>
    <t>JOSE ANTONIO EVANGELISTA</t>
  </si>
  <si>
    <t>(65) 9999-9303</t>
  </si>
  <si>
    <t>SAVIO DA SILVA CEBALHO</t>
  </si>
  <si>
    <t>PADRE INACIO</t>
  </si>
  <si>
    <t>(65) 9971-2916</t>
  </si>
  <si>
    <t>SEBASTIÃO MARTINS NERES</t>
  </si>
  <si>
    <t>QUATRO BOCAS</t>
  </si>
  <si>
    <t>(65)9614-0062</t>
  </si>
  <si>
    <t>CLAUDINEI ANACLETO DA SILVA</t>
  </si>
  <si>
    <t>IPÊ ROXO/7 LOTES/ LARANJEIRA 1</t>
  </si>
  <si>
    <t>(65) 9801-4528</t>
  </si>
  <si>
    <t>ADEMAR CARVALHO SILVA</t>
  </si>
  <si>
    <t>VIDA NOVA/ LARANJEIRA / FURNAS</t>
  </si>
  <si>
    <t>(65) 9948-5799</t>
  </si>
  <si>
    <t>JOSE ROBERTO DE MIRANDA</t>
  </si>
  <si>
    <t>LARANJEIRA/ FEIJÃO/ VIDA NOVA</t>
  </si>
  <si>
    <t>(65) 9685-0924</t>
  </si>
  <si>
    <t>LINHÃO DAS BRANCAS</t>
  </si>
  <si>
    <t>MONJOLO/LAGOA/RESERVA</t>
  </si>
  <si>
    <t>VALE DO MANGAVAL</t>
  </si>
  <si>
    <t>BR/PAIOL</t>
  </si>
  <si>
    <t>SIVANILDO CIRIACO SANTANA</t>
  </si>
  <si>
    <t>CESAR OLIVEIRA QUEROZ</t>
  </si>
  <si>
    <t>ELTON DOS SANTOS</t>
  </si>
  <si>
    <t>HENRIQUE RODRGUES LARANJEIRA</t>
  </si>
  <si>
    <t>(65) 9957-6772</t>
  </si>
  <si>
    <t>(65) 9678-0791</t>
  </si>
  <si>
    <t>(65) 8461-9301</t>
  </si>
  <si>
    <t>(65) 8453-1069</t>
  </si>
  <si>
    <t>REINALDO TEIXEIRA SILVA</t>
  </si>
  <si>
    <t>LUIZ CARLOS RIBEIRO RAMOS</t>
  </si>
  <si>
    <t>FAZENDA DREBOR/SANTA MARCIA/LIMOEIRO</t>
  </si>
  <si>
    <t>RIO/FAZ.FEMA/ LIMOEIRO</t>
  </si>
  <si>
    <t>(65) 9641-1570</t>
  </si>
  <si>
    <t>(65) 9916-9491</t>
  </si>
  <si>
    <t>SIDNEI ADÃO DE CAMPOS</t>
  </si>
  <si>
    <t>NOVAS FLECHAS</t>
  </si>
  <si>
    <t>EDER PRADO DE SOUZA</t>
  </si>
  <si>
    <t>FRANCISLAINE DOS SANTOS</t>
  </si>
  <si>
    <t>WALLACE MORAES DA SILVA</t>
  </si>
  <si>
    <t>PAULO CESAR DA SILVA MACHADO</t>
  </si>
  <si>
    <t>DIVANEI UNIMOTO DA CRUZ</t>
  </si>
  <si>
    <t xml:space="preserve">ARIZONA/ BOA SORTE/CARANDA </t>
  </si>
  <si>
    <t>VALE AZUL/ TEXEIRINHA</t>
  </si>
  <si>
    <t>LINHÃO 1 E 4 (ESQUERDO)</t>
  </si>
  <si>
    <t xml:space="preserve">UNIÃO/TRABALHO/ LINHÃO 2,3,5 </t>
  </si>
  <si>
    <t>SANGRADOURO/VALE VERDE /BOQUEIRÃO</t>
  </si>
  <si>
    <t>(65) 9905-3400</t>
  </si>
  <si>
    <t>(65) 9607-9876</t>
  </si>
  <si>
    <t>(65) 9956-1461</t>
  </si>
  <si>
    <t>(65) 9618-6881</t>
  </si>
  <si>
    <t>(65) 9942-7381</t>
  </si>
  <si>
    <t>(65) 9680-8617</t>
  </si>
  <si>
    <t>JACKSON FORNAZARI DO NASCIMENTO</t>
  </si>
  <si>
    <t>CAMPARINO/PORTO</t>
  </si>
  <si>
    <t>JERSON MENDES DE CARVALHO</t>
  </si>
  <si>
    <t>SEPUTUBA/PANAMBI/ ARAÇATUBA</t>
  </si>
  <si>
    <t>DENNIS FABRICIO DA SILVA FERRON</t>
  </si>
  <si>
    <t>AVIÃO CAIDO</t>
  </si>
  <si>
    <t>(65) 9672-9185</t>
  </si>
  <si>
    <t>(65) 9844-4160</t>
  </si>
  <si>
    <t>(65) 9600-9031</t>
  </si>
  <si>
    <t>MARCO ANTONIO DO NASCIMENTO</t>
  </si>
  <si>
    <t>JOEL CAVALCANTI DE ALMEIDA</t>
  </si>
  <si>
    <t>SOJA</t>
  </si>
  <si>
    <t>BAIA BELA</t>
  </si>
  <si>
    <t>(65) 9960-6859</t>
  </si>
  <si>
    <t>E. E. C. M. Profª Ana Maria G. Noronha</t>
  </si>
  <si>
    <t>EM RAQUEL RAMAO DA SILVA</t>
  </si>
  <si>
    <t>E. E. EDIEB – Prof. Miltom Marques Curvo</t>
  </si>
  <si>
    <t>E. E. Prof. Demétrio Costa Pereira</t>
  </si>
  <si>
    <t>E. E. M. Tiradentes Prof. Natalino F. Mendes</t>
  </si>
  <si>
    <t>E. E. C. M. Frei Ambrósio</t>
  </si>
  <si>
    <t>E. E. C. M. Senador Mário Motta</t>
  </si>
  <si>
    <t xml:space="preserve">(65) 99636-2859 </t>
  </si>
  <si>
    <t>ESCOLAS</t>
  </si>
  <si>
    <t>Dom máximo/ Vitoria regia/Isabel Campos/São Luiz/CEOM/ Buscando Saber</t>
  </si>
  <si>
    <t>VITORIA REGIA/CEOM/SAO LUIZ/NOVO ORIENTE/CAIC/DOM MAXIMO/TIRADENTES</t>
  </si>
  <si>
    <t>SÃO LUIZ/RODRIGUES FONTES/DEMETRIO/TIRADENTES/CEOM/DOM MAXIMO/CAIC/ISABEL CAMPOS/ERENICE SIMÃO</t>
  </si>
  <si>
    <t xml:space="preserve">VITORIA REGIA/NOVO ORIENTE/ERENICE SIMÃO/SÃO LUIZ/CEOM/FREI AMBROSIO </t>
  </si>
  <si>
    <t>NOVO ORIENTE/VITORIA REGIA/MARIO MOTTA/SÃO LUIZ</t>
  </si>
  <si>
    <t>CEOM/MILTON MARQUES CURVO/VILA IRENE/FREI GRIGNION/ANA MARIA/SANTOS DUMONT</t>
  </si>
  <si>
    <t xml:space="preserve">SÃO LUIZ/DEMETRIO/TIRADENTES/GUANABARA/CEOM/MARIO MOTTA/FREI AMBROSIO </t>
  </si>
  <si>
    <t>ANA MARIA/GABRIEL P. DE ARRUDA/TANCREDO NEVES/PEQUENO SABIO</t>
  </si>
  <si>
    <t>SANTOS DUMONT/BRINCANDO E APRENDENDO/DEMETRIO/RODRIGUES FONTES/SAO LUIZ/CEOM</t>
  </si>
  <si>
    <t>Jardim Paraiso/Mario Motta/Milton Marques Curvo (EJA)/CEOM/Isabel Campos/ Buscando Saber/São Luiz/ Raquel ramão</t>
  </si>
  <si>
    <t>TIRADENTES/CEOM/ANA MARIA/GABRIEL P. DE ARRUDA/PEQUENO SABIO</t>
  </si>
  <si>
    <t>NOVO ORIENTE/VITORIA REGIA/ERENICE/SÃO LUIZ/TIRADENTES/CEOM/Isabel campos</t>
  </si>
  <si>
    <t>CEOM/DUQUE DE CAXIAS/MILTON MARQUES CURVO/ MARIO MOTTA/SAO LUIZ/DOM MAXIMO</t>
  </si>
  <si>
    <t>GABRIEL P. DE ARRUDA/ ANA MARIA/DEMETRIO/ RODRIGUES FONTES</t>
  </si>
  <si>
    <t>FREI AMBROSIO/CAIC/VILA REAL/MARIO MOTTA/SÃO LUIZ/VITORIA REGIA/NOVO ORIENTE/MILTON MARQUES</t>
  </si>
  <si>
    <t>CEOM/São Luiz/Ana Maria/Gabriel Pinto de Arruda/Pequeno Sábio/Demetrio</t>
  </si>
  <si>
    <t>Vitoria Regia/Novo Oriente/Frei Ambrosio/Mario Motta/CEOM/Tira dentes/São Luiz/Isabel Campos</t>
  </si>
  <si>
    <t>Vitoria Régia/Isabel Campos/Caic/CEOM/MARIO MOTTA</t>
  </si>
  <si>
    <t>SANTA CATARINA/12 DE OUTUBRO MATRIZ</t>
  </si>
  <si>
    <t>NOSSA SENHORA APARECIDA/12 DE OUTUBRO ANEXA SAPIQUÁ</t>
  </si>
  <si>
    <t>SANTO ANTONIO DO CARAMUJO/JOAO FLORENTINO MATRIZ</t>
  </si>
  <si>
    <t>E.M CLARINOPOLIS/12 DE OUTUBRO ANEXA CLARINOPOLIS</t>
  </si>
  <si>
    <t>E.E JOÃO FLORENTINO SILVA NETO ANEXA VILA APARECIDA</t>
  </si>
  <si>
    <t>E.M BURITI/JOÃO FLORENTINO ANEXA VILA APARECIDA</t>
  </si>
  <si>
    <t>E.M UNIÃO/JOÃO FLORENTINO ANEXA HORIZONTE D'OESTE</t>
  </si>
  <si>
    <t>E.M LARANJEIRA/JOÃO FLORENTINO ANEXA LARANJEIRA</t>
  </si>
  <si>
    <t>E.M PAULO FREIRE/JOÃO FLORENTINO ANEXA PAIOL</t>
  </si>
  <si>
    <t>E.M LIMOEIRO/JOÃO FLORENTINO ANEXA LIMOEIRO</t>
  </si>
  <si>
    <t>E.M 16 DE MARÇO/JOÃO FLORENTINO ANEXA SADIA</t>
  </si>
  <si>
    <t xml:space="preserve">E.M SOTECO/12 DE OUTUBRO ANEXA SOTECO </t>
  </si>
  <si>
    <t>E.E 12 DE OUTUBRO ANEXA ROÇA VELHA</t>
  </si>
  <si>
    <t>E.M ROÇA VELHA/12 DE OUTUBRO ANEXA ROÇA VELHA</t>
  </si>
  <si>
    <t>ROTA DO FORDINHO</t>
  </si>
  <si>
    <t xml:space="preserve">FLAVIO BRASILINO DE CAMPOS </t>
  </si>
  <si>
    <t>(65) 99677-5530</t>
  </si>
  <si>
    <t>E.M LARANJEIRA</t>
  </si>
  <si>
    <t>JOÃO FLORENTINO ANEXA LARANJEIRA</t>
  </si>
  <si>
    <t>E.M CLARINOPOLIS</t>
  </si>
  <si>
    <t>12 DE OUTUBRO ANEXA CLARINOPOLIS</t>
  </si>
  <si>
    <t>E.M BURITI</t>
  </si>
  <si>
    <t>JOÃO FLORENTINO ANEXA VILA APARECIDA</t>
  </si>
  <si>
    <t>SANTO ANTONIO DO CARAMUJO</t>
  </si>
  <si>
    <t>JOAO FLORENTINO MATRIZ</t>
  </si>
  <si>
    <t>VITORIA REGIA</t>
  </si>
  <si>
    <t>CEOM</t>
  </si>
  <si>
    <t>SAO LUIZ</t>
  </si>
  <si>
    <t>NOVO ORIENTE</t>
  </si>
  <si>
    <t>CAIC</t>
  </si>
  <si>
    <t>DOM MAXIMO</t>
  </si>
  <si>
    <t>TIRADENTES</t>
  </si>
  <si>
    <t>SÃO LUIZ</t>
  </si>
  <si>
    <t>RODRIGUES FONTES</t>
  </si>
  <si>
    <t>DEMETRIO</t>
  </si>
  <si>
    <t>ISABEL CAMPOS</t>
  </si>
  <si>
    <t>ERENICE SIMÃO</t>
  </si>
  <si>
    <t>FREI AMBROSIO</t>
  </si>
  <si>
    <t>MARIO MOTTA</t>
  </si>
  <si>
    <t>TIRA DENTES</t>
  </si>
  <si>
    <t>SANTA CATARINA</t>
  </si>
  <si>
    <t>12 DE OUTUBRO MATRIZ</t>
  </si>
  <si>
    <t>JARDIM PARAISO</t>
  </si>
  <si>
    <t>MILTON MARQUES CURVO (EJA)</t>
  </si>
  <si>
    <t>BUSCANDO SABER</t>
  </si>
  <si>
    <t>RAQUEL RAMÃO</t>
  </si>
  <si>
    <t>E.M PAULO FREIRE</t>
  </si>
  <si>
    <t>JOÃO FLORENTINO ANEXA PAIOL</t>
  </si>
  <si>
    <t>VITORIA RÉGIA</t>
  </si>
  <si>
    <t>NOSSA SENHORA APARECIDA</t>
  </si>
  <si>
    <t>12 DE OUTUBRO ANEXA SAPIQUÁ</t>
  </si>
  <si>
    <t>E.M SOTECO</t>
  </si>
  <si>
    <t>12 DE OUTUBRO ANEXA SOTECO</t>
  </si>
  <si>
    <t>E.M 16 DE MARÇO</t>
  </si>
  <si>
    <t>JOÃO FLORENTINO ANEXA SADIA</t>
  </si>
  <si>
    <t>VILA REAL</t>
  </si>
  <si>
    <t>MILTON MARQUES</t>
  </si>
  <si>
    <t>ANA MARIA</t>
  </si>
  <si>
    <t>GABRIEL P. DE ARRUDA</t>
  </si>
  <si>
    <t>TANCREDO NEVES</t>
  </si>
  <si>
    <t>PEQUENO SABIO</t>
  </si>
  <si>
    <t>E.M ROÇA VELHA</t>
  </si>
  <si>
    <t>12 DE OUTUBRO ANEXA ROÇA VELHA</t>
  </si>
  <si>
    <t>E.M UNIÃO</t>
  </si>
  <si>
    <t>JOÃO FLORENTINO ANEXA HORIZONTE D'OESTE</t>
  </si>
  <si>
    <t>E.M LIMOEIRO</t>
  </si>
  <si>
    <t>JOÃO FLORENTINO ANEXA LIMOEIRO</t>
  </si>
  <si>
    <t>GABRIEL PINTO DE ARRUDA</t>
  </si>
  <si>
    <t>PEQUENO SÁBIO</t>
  </si>
  <si>
    <t>ERENICE</t>
  </si>
  <si>
    <t>GUANABARA</t>
  </si>
  <si>
    <t>MILTON MARQUES CURVO</t>
  </si>
  <si>
    <t>VILA IRENE</t>
  </si>
  <si>
    <t>FREI GRIGNION</t>
  </si>
  <si>
    <t>SANTOS DUMONT</t>
  </si>
  <si>
    <t>DUQUE DE CAXIAS</t>
  </si>
  <si>
    <t>DOM MÁXIMO</t>
  </si>
  <si>
    <t>BRINCANDO E APRENDENDO</t>
  </si>
  <si>
    <t>COD NÚCLEO</t>
  </si>
  <si>
    <t>COD NUCLEO</t>
  </si>
  <si>
    <t>COD ESCOLA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</si>
</sst>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8EA9DB"/>
      </right>
      <top style="medium">
        <color rgb="FF8EA9DB"/>
      </top>
      <bottom style="medium">
        <color rgb="FF8EA9DB"/>
      </bottom>
      <diagonal/>
    </border>
    <border>
      <left style="medium">
        <color rgb="FFCCCCCC"/>
      </left>
      <right style="medium">
        <color rgb="FF8EA9DB"/>
      </right>
      <top style="medium">
        <color rgb="FFCCCCCC"/>
      </top>
      <bottom style="medium">
        <color rgb="FF8EA9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2" xfId="0" applyFont="1" applyBorder="1"/>
    <xf numFmtId="0" fontId="5" fillId="14" borderId="0" xfId="0" applyFont="1" applyFill="1" applyAlignment="1">
      <alignment wrapText="1"/>
    </xf>
    <xf numFmtId="0" fontId="5" fillId="0" borderId="1" xfId="0" applyFont="1" applyBorder="1"/>
    <xf numFmtId="0" fontId="6" fillId="15" borderId="3" xfId="0" applyFont="1" applyFill="1" applyBorder="1"/>
    <xf numFmtId="0" fontId="0" fillId="16" borderId="3" xfId="0" applyFont="1" applyFill="1" applyBorder="1"/>
    <xf numFmtId="0" fontId="0" fillId="0" borderId="3" xfId="0" applyFont="1" applyBorder="1"/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0" fillId="9" borderId="0" xfId="0" applyNumberFormat="1" applyFill="1"/>
    <xf numFmtId="0" fontId="0" fillId="10" borderId="0" xfId="0" applyNumberFormat="1" applyFill="1"/>
    <xf numFmtId="0" fontId="0" fillId="11" borderId="0" xfId="0" applyNumberFormat="1" applyFill="1"/>
    <xf numFmtId="0" fontId="0" fillId="12" borderId="0" xfId="0" applyNumberFormat="1" applyFill="1"/>
    <xf numFmtId="0" fontId="0" fillId="13" borderId="0" xfId="0" applyNumberFormat="1" applyFill="1"/>
    <xf numFmtId="0" fontId="0" fillId="0" borderId="0" xfId="0" applyBorder="1"/>
    <xf numFmtId="0" fontId="0" fillId="16" borderId="4" xfId="0" applyFont="1" applyFill="1" applyBorder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6600"/>
      <color rgb="FF00FFCC"/>
      <color rgb="FF6600FF"/>
      <color rgb="FF996600"/>
      <color rgb="FF3366FF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342900</xdr:colOff>
      <xdr:row>0</xdr:row>
      <xdr:rowOff>114299</xdr:rowOff>
    </xdr:from>
    <xdr:to>
      <xdr:col>15</xdr:col>
      <xdr:colOff>142875</xdr:colOff>
      <xdr:row>19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SCOLA">
              <a:extLst>
                <a:ext uri="{FF2B5EF4-FFF2-40B4-BE49-F238E27FC236}">
                  <a16:creationId xmlns:a16="http://schemas.microsoft.com/office/drawing/2014/main" id="{24740D77-87AC-D762-589A-B2A0E57FE3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COL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00" y="114299"/>
              <a:ext cx="4143375" cy="3505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31D14564-1FB2-4FE3-A6C5-4A32D56B1F62}" autoFormatId="16" applyNumberFormats="0" applyBorderFormats="0" applyFontFormats="0" applyPatternFormats="0" applyAlignmentFormats="0" applyWidthHeightFormats="0">
  <queryTableRefresh nextId="9">
    <queryTableFields count="8">
      <queryTableField id="1" name="CODIGO DA LINHA" tableColumnId="1"/>
      <queryTableField id="2" name="NOME DA LINHA" tableColumnId="2"/>
      <queryTableField id="3" name="ESCOLAS" tableColumnId="3"/>
      <queryTableField id="4" name="NOME DO MOTORISTA" tableColumnId="4"/>
      <queryTableField id="5" name="FONE DO MOTORISTA" tableColumnId="5"/>
      <queryTableField id="6" name="TURNO DA LINHA" tableColumnId="6"/>
      <queryTableField id="7" name="NUCLEO" tableColumnId="7"/>
      <queryTableField id="8" name="ESCOLA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COLA" xr10:uid="{56ADF6EA-3EB4-4D75-916D-E4D0528B313B}" sourceName="ESCOLA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COLA" xr10:uid="{E8D20F7B-EF80-4BE3-8397-5A2799B9771B}" cache="SegmentaçãodeDados_ESCOLA" caption="ESCOLA" startItem="32" columnCount="2" rowHeight="257175"/>
</slicer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A174B-4A09-47D9-BD7A-B80AC41FF7C8}" name="tbNucleo" displayName="tbNucleo" ref="A1:D52" totalsRowShown="0">
  <autoFilter ref="A1:D52" xr:uid="{90FA174B-4A09-47D9-BD7A-B80AC41FF7C8}"/>
  <tableColumns count="4">
    <tableColumn id="3" xr3:uid="{532D606B-18BD-4688-BA7B-B8A7323846CE}" name="COD ESCOLA"/>
    <tableColumn id="1" xr3:uid="{4AB15D01-A2E8-41DF-BC70-BED529F55BEB}" name="ESCOLA"/>
    <tableColumn id="2" xr3:uid="{D9CF8AEB-02B7-49D3-969C-B59ECAB41BE6}" name="NÚCLEO"/>
    <tableColumn id="4" xr3:uid="{68DA6B13-6DA0-4848-92A0-5A4B75B2C4DC}" name="COD NUCLEO" dataDxfId="1">
      <calculatedColumnFormula>_xlfn.XLOOKUP(tbNucleo[[#This Row],[NÚCLEO]],tbNucleos[NÚCLEO],tbNucleos[COD NÚCLEO],"")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AF539-C772-42A1-BBA7-7979F06E0E5A}" name="tbEtapas" displayName="tbEtapas" ref="F1:H19" totalsRowShown="0">
  <autoFilter ref="F1:H19" xr:uid="{FF2AF539-C772-42A1-BBA7-7979F06E0E5A}"/>
  <tableColumns count="3">
    <tableColumn id="3" xr3:uid="{9BB9458F-8BBE-43BF-A115-C0CC0EAA21D6}" name="Nº"/>
    <tableColumn id="1" xr3:uid="{E3E07A0F-A55B-43E5-B54A-6503C2D9DD91}" name="ETAPA"/>
    <tableColumn id="2" xr3:uid="{FF62FED6-B50A-4F17-B602-DCF1B3F04B92}" name="NÍ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BD9630-2B5A-4F00-AA55-CFD0B05102EF}" name="tbNucleos" displayName="tbNucleos" ref="L1:M15" totalsRowShown="0" tableBorderDxfId="3">
  <autoFilter ref="L1:M15" xr:uid="{46BD9630-2B5A-4F00-AA55-CFD0B05102EF}"/>
  <sortState xmlns:xlrd2="http://schemas.microsoft.com/office/spreadsheetml/2017/richdata2" ref="L2:M15">
    <sortCondition ref="M1:M15"/>
  </sortState>
  <tableColumns count="2">
    <tableColumn id="1" xr3:uid="{C7127CD5-BDEB-4510-ACF0-5713BA4EDFA4}" name="COD NÚCLEO"/>
    <tableColumn id="2" xr3:uid="{1C7D8D2D-358C-4CA4-9DA8-30BD303BC506}" name="NÚCLEO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E23D1D-D5A8-4A16-A0BF-2ACCF2CDDA4A}" name="tbEscolas" displayName="tbEscolas" ref="A1:G5001" totalsRowShown="0">
  <autoFilter ref="A1:G5001" xr:uid="{FFE23D1D-D5A8-4A16-A0BF-2ACCF2CDDA4A}"/>
  <tableColumns count="7">
    <tableColumn id="5" xr3:uid="{EF358A8C-8219-4EAE-81A1-9B1D29BE5E6C}" name="COD ESCOLA" dataDxfId="0">
      <calculatedColumnFormula>_xlfn.XLOOKUP(tbEscolas[[#This Row],[ESCOLA]],tbNucleo[ESCOLA],tbNucleo[COD ESCOLA],"")</calculatedColumnFormula>
    </tableColumn>
    <tableColumn id="1" xr3:uid="{F79E4833-CCE1-459B-B2F7-22267BF1E5AE}" name="ESCOLA" dataDxfId="7">
      <calculatedColumnFormula array="1">IFERROR(INDEX(tbNucleo[ESCOLA],ROUNDUP(ROW(B1)/TotalEtapas,0)),"")</calculatedColumnFormula>
    </tableColumn>
    <tableColumn id="2" xr3:uid="{F36CE514-D307-4106-8A3A-03668F3CC2F6}" name="NÚCLEO"/>
    <tableColumn id="3" xr3:uid="{29D23084-238D-4F7C-BA80-A4C46B77512E}" name="COD ETPA"/>
    <tableColumn id="6" xr3:uid="{AE88A39E-EBD5-432A-A998-B439CFA88393}" name="ETAPA" dataDxfId="6">
      <calculatedColumnFormula>IFERROR(VLOOKUP(tbEscolas[[#This Row],[COD ETPA]],tbEtapas[],2,FALSE),"")</calculatedColumnFormula>
    </tableColumn>
    <tableColumn id="7" xr3:uid="{E9145C3B-34FB-48AE-AE38-9B4E60FA7203}" name="NÍVEL" dataDxfId="5">
      <calculatedColumnFormula>IFERROR(VLOOKUP(tbEscolas[[#This Row],[COD ETPA]],tbEtapas[],3,FALSE),"")</calculatedColumnFormula>
    </tableColumn>
    <tableColumn id="4" xr3:uid="{1879DE3D-DAD2-4051-88C4-49C76EC5A02E}" name="OFER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AEF4DD-EE6A-4496-9026-E8B26D1A4962}" name="tbLinhas" displayName="tbLinhas" ref="A1:G92" totalsRowShown="0">
  <autoFilter ref="A1:G92" xr:uid="{24AEF4DD-EE6A-4496-9026-E8B26D1A4962}"/>
  <sortState xmlns:xlrd2="http://schemas.microsoft.com/office/spreadsheetml/2017/richdata2" ref="A2:G92">
    <sortCondition ref="B1:B92"/>
  </sortState>
  <tableColumns count="7">
    <tableColumn id="5" xr3:uid="{5B7D3BD5-CD69-48E3-A27B-ABD9F303AC9D}" name="CODIGO DA LINHA">
      <calculatedColumnFormula>ROW()-1</calculatedColumnFormula>
    </tableColumn>
    <tableColumn id="1" xr3:uid="{9A593570-0838-4DFE-A597-34C9B00A5B78}" name="NOME DA LINHA"/>
    <tableColumn id="7" xr3:uid="{3807388F-AA01-4DEE-B03F-38ABAEEC19F6}" name="ESCOLAS" dataDxfId="4"/>
    <tableColumn id="2" xr3:uid="{81E26F45-5317-4384-8609-59B2ABA3D36E}" name="NOME DO MOTORISTA"/>
    <tableColumn id="3" xr3:uid="{37CA6DCE-D27E-43B8-8C9E-BB9CF5A2D10E}" name="FONE DO MOTORISTA"/>
    <tableColumn id="4" xr3:uid="{F7B03FB6-A38B-4AB6-977E-FEA88C792C11}" name="TURNO DA LINHA"/>
    <tableColumn id="6" xr3:uid="{4C604BA4-264D-48E5-8377-630736F5DAC6}" name="NUCLE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2BCDFA-275D-4719-BDB2-F0EA2548D055}" name="tbLinhas_1" displayName="tbLinhas_1" ref="A1:H267" tableType="queryTable" totalsRowShown="0">
  <autoFilter ref="A1:H267" xr:uid="{FA2BCDFA-275D-4719-BDB2-F0EA2548D055}"/>
  <tableColumns count="8">
    <tableColumn id="1" xr3:uid="{56813545-CC10-4196-8DD2-53863478E1B2}" uniqueName="1" name="CODIGO DA LINHA" queryTableFieldId="1"/>
    <tableColumn id="2" xr3:uid="{2493C3EF-F278-4A04-9B96-E607B236CC68}" uniqueName="2" name="NOME DA LINHA" queryTableFieldId="2" dataDxfId="14"/>
    <tableColumn id="3" xr3:uid="{D9F427DA-39F6-436B-8380-7B8983AEF555}" uniqueName="3" name="ESCOLAS" queryTableFieldId="3" dataDxfId="13"/>
    <tableColumn id="4" xr3:uid="{6B976D65-F2E6-4856-8585-5A2F95140FFC}" uniqueName="4" name="NOME DO MOTORISTA" queryTableFieldId="4" dataDxfId="12"/>
    <tableColumn id="5" xr3:uid="{FA635CB1-C181-45B2-B546-8F250BBCA03F}" uniqueName="5" name="FONE DO MOTORISTA" queryTableFieldId="5" dataDxfId="11"/>
    <tableColumn id="6" xr3:uid="{5BE58EB7-74F3-4EDC-871E-5FBD0DB56FF0}" uniqueName="6" name="TURNO DA LINHA" queryTableFieldId="6" dataDxfId="10"/>
    <tableColumn id="7" xr3:uid="{8C5104C7-0910-4B53-84C1-7B68FF9A492C}" uniqueName="7" name="NUCLEO" queryTableFieldId="7" dataDxfId="9"/>
    <tableColumn id="8" xr3:uid="{A94C39FF-F958-4699-903C-2826CCDD0132}" uniqueName="8" name="ESCOLA" queryTableFieldId="8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258D-D0D9-4F14-AB04-6D0BD3FAE276}">
  <dimension ref="A1:M52"/>
  <sheetViews>
    <sheetView workbookViewId="0">
      <selection activeCell="A2" sqref="A2"/>
    </sheetView>
  </sheetViews>
  <sheetFormatPr defaultRowHeight="15" x14ac:dyDescent="0.25"/>
  <cols>
    <col min="1" max="1" width="17" customWidth="1"/>
    <col min="2" max="2" width="57" bestFit="1" customWidth="1"/>
    <col min="3" max="3" width="19.140625" bestFit="1" customWidth="1"/>
    <col min="4" max="4" width="15.85546875" bestFit="1" customWidth="1"/>
    <col min="5" max="5" width="8.5703125" customWidth="1"/>
    <col min="6" max="6" width="16.5703125" customWidth="1"/>
    <col min="7" max="7" width="28.5703125" customWidth="1"/>
    <col min="8" max="8" width="19.28515625" bestFit="1" customWidth="1"/>
    <col min="9" max="9" width="23.5703125" hidden="1" customWidth="1"/>
    <col min="12" max="13" width="19.140625" bestFit="1" customWidth="1"/>
  </cols>
  <sheetData>
    <row r="1" spans="1:13" x14ac:dyDescent="0.25">
      <c r="A1" t="s">
        <v>407</v>
      </c>
      <c r="B1" t="s">
        <v>1</v>
      </c>
      <c r="C1" t="s">
        <v>0</v>
      </c>
      <c r="D1" t="s">
        <v>406</v>
      </c>
      <c r="F1" t="s">
        <v>26</v>
      </c>
      <c r="G1" t="s">
        <v>2</v>
      </c>
      <c r="H1" t="s">
        <v>25</v>
      </c>
      <c r="J1" t="s">
        <v>29</v>
      </c>
      <c r="L1" t="s">
        <v>405</v>
      </c>
      <c r="M1" s="21" t="s">
        <v>0</v>
      </c>
    </row>
    <row r="2" spans="1:13" x14ac:dyDescent="0.25">
      <c r="A2">
        <v>1</v>
      </c>
      <c r="B2" t="s">
        <v>81</v>
      </c>
      <c r="C2" t="s">
        <v>31</v>
      </c>
      <c r="D2">
        <f>_xlfn.XLOOKUP(tbNucleo[[#This Row],[NÚCLEO]],tbNucleos[NÚCLEO],tbNucleos[COD NÚCLEO],"")</f>
        <v>13</v>
      </c>
      <c r="F2">
        <v>1</v>
      </c>
      <c r="G2" t="s">
        <v>7</v>
      </c>
      <c r="H2" t="s">
        <v>23</v>
      </c>
      <c r="J2">
        <f>COUNTA(tbEtapas[ETAPA])</f>
        <v>18</v>
      </c>
      <c r="L2" s="37">
        <v>1</v>
      </c>
      <c r="M2" s="23" t="s">
        <v>116</v>
      </c>
    </row>
    <row r="3" spans="1:13" x14ac:dyDescent="0.25">
      <c r="A3">
        <v>2</v>
      </c>
      <c r="B3" t="s">
        <v>98</v>
      </c>
      <c r="C3" t="s">
        <v>112</v>
      </c>
      <c r="D3">
        <f>_xlfn.XLOOKUP(tbNucleo[[#This Row],[NÚCLEO]],tbNucleos[NÚCLEO],tbNucleos[COD NÚCLEO],"")</f>
        <v>4</v>
      </c>
      <c r="F3">
        <v>2</v>
      </c>
      <c r="G3" t="s">
        <v>8</v>
      </c>
      <c r="H3" t="s">
        <v>23</v>
      </c>
      <c r="L3" s="37">
        <v>2</v>
      </c>
      <c r="M3" s="22" t="s">
        <v>115</v>
      </c>
    </row>
    <row r="4" spans="1:13" x14ac:dyDescent="0.25">
      <c r="A4">
        <v>3</v>
      </c>
      <c r="B4" t="s">
        <v>92</v>
      </c>
      <c r="C4" t="s">
        <v>31</v>
      </c>
      <c r="D4">
        <f>_xlfn.XLOOKUP(tbNucleo[[#This Row],[NÚCLEO]],tbNucleos[NÚCLEO],tbNucleos[COD NÚCLEO],"")</f>
        <v>13</v>
      </c>
      <c r="F4">
        <v>3</v>
      </c>
      <c r="G4" t="s">
        <v>9</v>
      </c>
      <c r="H4" t="s">
        <v>23</v>
      </c>
      <c r="L4" s="37">
        <v>3</v>
      </c>
      <c r="M4" s="22" t="s">
        <v>134</v>
      </c>
    </row>
    <row r="5" spans="1:13" x14ac:dyDescent="0.25">
      <c r="A5">
        <v>4</v>
      </c>
      <c r="B5" t="s">
        <v>82</v>
      </c>
      <c r="C5" t="s">
        <v>31</v>
      </c>
      <c r="D5">
        <f>_xlfn.XLOOKUP(tbNucleo[[#This Row],[NÚCLEO]],tbNucleos[NÚCLEO],tbNucleos[COD NÚCLEO],"")</f>
        <v>13</v>
      </c>
      <c r="F5">
        <v>4</v>
      </c>
      <c r="G5" t="s">
        <v>10</v>
      </c>
      <c r="H5" t="s">
        <v>23</v>
      </c>
      <c r="L5" s="37">
        <v>4</v>
      </c>
      <c r="M5" s="23" t="s">
        <v>112</v>
      </c>
    </row>
    <row r="6" spans="1:13" x14ac:dyDescent="0.25">
      <c r="A6">
        <v>5</v>
      </c>
      <c r="B6" t="s">
        <v>108</v>
      </c>
      <c r="C6" t="s">
        <v>31</v>
      </c>
      <c r="D6">
        <f>_xlfn.XLOOKUP(tbNucleo[[#This Row],[NÚCLEO]],tbNucleos[NÚCLEO],tbNucleos[COD NÚCLEO],"")</f>
        <v>13</v>
      </c>
      <c r="F6">
        <v>5</v>
      </c>
      <c r="G6" t="s">
        <v>11</v>
      </c>
      <c r="H6" t="s">
        <v>20</v>
      </c>
      <c r="L6" s="37">
        <v>5</v>
      </c>
      <c r="M6" s="22" t="s">
        <v>111</v>
      </c>
    </row>
    <row r="7" spans="1:13" x14ac:dyDescent="0.25">
      <c r="A7">
        <v>6</v>
      </c>
      <c r="B7" t="s">
        <v>94</v>
      </c>
      <c r="C7" t="s">
        <v>31</v>
      </c>
      <c r="D7">
        <f>_xlfn.XLOOKUP(tbNucleo[[#This Row],[NÚCLEO]],tbNucleos[NÚCLEO],tbNucleos[COD NÚCLEO],"")</f>
        <v>13</v>
      </c>
      <c r="F7">
        <v>6</v>
      </c>
      <c r="G7" t="s">
        <v>12</v>
      </c>
      <c r="H7" t="s">
        <v>20</v>
      </c>
      <c r="L7" s="37">
        <v>6</v>
      </c>
      <c r="M7" s="22" t="s">
        <v>113</v>
      </c>
    </row>
    <row r="8" spans="1:13" x14ac:dyDescent="0.25">
      <c r="A8">
        <v>7</v>
      </c>
      <c r="B8" s="15" t="s">
        <v>305</v>
      </c>
      <c r="C8" t="s">
        <v>31</v>
      </c>
      <c r="D8">
        <f>_xlfn.XLOOKUP(tbNucleo[[#This Row],[NÚCLEO]],tbNucleos[NÚCLEO],tbNucleos[COD NÚCLEO],"")</f>
        <v>13</v>
      </c>
      <c r="F8">
        <v>7</v>
      </c>
      <c r="G8" t="s">
        <v>13</v>
      </c>
      <c r="H8" t="s">
        <v>20</v>
      </c>
      <c r="L8" s="37">
        <v>7</v>
      </c>
      <c r="M8" s="22" t="s">
        <v>114</v>
      </c>
    </row>
    <row r="9" spans="1:13" x14ac:dyDescent="0.25">
      <c r="A9">
        <v>8</v>
      </c>
      <c r="B9" s="15" t="s">
        <v>300</v>
      </c>
      <c r="C9" t="s">
        <v>31</v>
      </c>
      <c r="D9">
        <f>_xlfn.XLOOKUP(tbNucleo[[#This Row],[NÚCLEO]],tbNucleos[NÚCLEO],tbNucleos[COD NÚCLEO],"")</f>
        <v>13</v>
      </c>
      <c r="F9">
        <v>8</v>
      </c>
      <c r="G9" t="s">
        <v>14</v>
      </c>
      <c r="H9" t="s">
        <v>20</v>
      </c>
      <c r="L9" s="37">
        <v>8</v>
      </c>
      <c r="M9" s="23" t="s">
        <v>118</v>
      </c>
    </row>
    <row r="10" spans="1:13" x14ac:dyDescent="0.25">
      <c r="A10">
        <v>9</v>
      </c>
      <c r="B10" s="15" t="s">
        <v>306</v>
      </c>
      <c r="C10" t="s">
        <v>31</v>
      </c>
      <c r="D10">
        <f>_xlfn.XLOOKUP(tbNucleo[[#This Row],[NÚCLEO]],tbNucleos[NÚCLEO],tbNucleos[COD NÚCLEO],"")</f>
        <v>13</v>
      </c>
      <c r="F10">
        <v>9</v>
      </c>
      <c r="G10" t="s">
        <v>15</v>
      </c>
      <c r="H10" t="s">
        <v>20</v>
      </c>
      <c r="L10" s="37">
        <v>9</v>
      </c>
      <c r="M10" s="23" t="s">
        <v>109</v>
      </c>
    </row>
    <row r="11" spans="1:13" x14ac:dyDescent="0.25">
      <c r="A11">
        <v>10</v>
      </c>
      <c r="B11" s="15" t="s">
        <v>302</v>
      </c>
      <c r="C11" t="s">
        <v>31</v>
      </c>
      <c r="D11">
        <f>_xlfn.XLOOKUP(tbNucleo[[#This Row],[NÚCLEO]],tbNucleos[NÚCLEO],tbNucleos[COD NÚCLEO],"")</f>
        <v>13</v>
      </c>
      <c r="F11">
        <v>10</v>
      </c>
      <c r="G11" t="s">
        <v>16</v>
      </c>
      <c r="H11" t="s">
        <v>20</v>
      </c>
      <c r="L11" s="37">
        <v>10</v>
      </c>
      <c r="M11" s="23" t="s">
        <v>119</v>
      </c>
    </row>
    <row r="12" spans="1:13" x14ac:dyDescent="0.25">
      <c r="A12">
        <v>11</v>
      </c>
      <c r="B12" s="15" t="s">
        <v>304</v>
      </c>
      <c r="C12" t="s">
        <v>31</v>
      </c>
      <c r="D12">
        <f>_xlfn.XLOOKUP(tbNucleo[[#This Row],[NÚCLEO]],tbNucleos[NÚCLEO],tbNucleos[COD NÚCLEO],"")</f>
        <v>13</v>
      </c>
      <c r="F12">
        <v>11</v>
      </c>
      <c r="G12" t="s">
        <v>17</v>
      </c>
      <c r="H12" t="s">
        <v>20</v>
      </c>
      <c r="L12" s="37">
        <v>11</v>
      </c>
      <c r="M12" s="22" t="s">
        <v>120</v>
      </c>
    </row>
    <row r="13" spans="1:13" x14ac:dyDescent="0.25">
      <c r="A13">
        <v>12</v>
      </c>
      <c r="B13" s="15" t="s">
        <v>303</v>
      </c>
      <c r="C13" t="s">
        <v>31</v>
      </c>
      <c r="D13">
        <f>_xlfn.XLOOKUP(tbNucleo[[#This Row],[NÚCLEO]],tbNucleos[NÚCLEO],tbNucleos[COD NÚCLEO],"")</f>
        <v>13</v>
      </c>
      <c r="F13">
        <v>12</v>
      </c>
      <c r="G13" t="s">
        <v>18</v>
      </c>
      <c r="H13" t="s">
        <v>20</v>
      </c>
      <c r="L13" s="37">
        <v>12</v>
      </c>
      <c r="M13" s="23" t="s">
        <v>110</v>
      </c>
    </row>
    <row r="14" spans="1:13" x14ac:dyDescent="0.25">
      <c r="A14">
        <v>13</v>
      </c>
      <c r="B14" t="s">
        <v>132</v>
      </c>
      <c r="C14" t="s">
        <v>115</v>
      </c>
      <c r="D14">
        <f>_xlfn.XLOOKUP(tbNucleo[[#This Row],[NÚCLEO]],tbNucleos[NÚCLEO],tbNucleos[COD NÚCLEO],"")</f>
        <v>2</v>
      </c>
      <c r="F14">
        <v>13</v>
      </c>
      <c r="G14" t="s">
        <v>19</v>
      </c>
      <c r="H14" t="s">
        <v>20</v>
      </c>
      <c r="L14" s="37">
        <v>13</v>
      </c>
      <c r="M14" s="22" t="s">
        <v>31</v>
      </c>
    </row>
    <row r="15" spans="1:13" x14ac:dyDescent="0.25">
      <c r="A15">
        <v>14</v>
      </c>
      <c r="B15" t="s">
        <v>339</v>
      </c>
      <c r="C15" t="s">
        <v>118</v>
      </c>
      <c r="D15">
        <f>_xlfn.XLOOKUP(tbNucleo[[#This Row],[NÚCLEO]],tbNucleos[NÚCLEO],tbNucleos[COD NÚCLEO],"")</f>
        <v>8</v>
      </c>
      <c r="F15">
        <v>14</v>
      </c>
      <c r="G15" t="s">
        <v>11</v>
      </c>
      <c r="H15" t="s">
        <v>24</v>
      </c>
      <c r="L15" s="37">
        <v>14</v>
      </c>
      <c r="M15" s="38" t="s">
        <v>117</v>
      </c>
    </row>
    <row r="16" spans="1:13" x14ac:dyDescent="0.25">
      <c r="A16">
        <v>15</v>
      </c>
      <c r="B16" t="s">
        <v>131</v>
      </c>
      <c r="C16" t="s">
        <v>120</v>
      </c>
      <c r="D16">
        <f>_xlfn.XLOOKUP(tbNucleo[[#This Row],[NÚCLEO]],tbNucleos[NÚCLEO],tbNucleos[COD NÚCLEO],"")</f>
        <v>11</v>
      </c>
      <c r="F16">
        <v>15</v>
      </c>
      <c r="G16" t="s">
        <v>12</v>
      </c>
      <c r="H16" t="s">
        <v>24</v>
      </c>
    </row>
    <row r="17" spans="1:8" x14ac:dyDescent="0.25">
      <c r="A17">
        <v>16</v>
      </c>
      <c r="B17" t="s">
        <v>133</v>
      </c>
      <c r="C17" t="s">
        <v>110</v>
      </c>
      <c r="D17">
        <f>_xlfn.XLOOKUP(tbNucleo[[#This Row],[NÚCLEO]],tbNucleos[NÚCLEO],tbNucleos[COD NÚCLEO],"")</f>
        <v>12</v>
      </c>
      <c r="F17">
        <v>16</v>
      </c>
      <c r="G17" t="s">
        <v>13</v>
      </c>
      <c r="H17" t="s">
        <v>24</v>
      </c>
    </row>
    <row r="18" spans="1:8" x14ac:dyDescent="0.25">
      <c r="A18">
        <v>17</v>
      </c>
      <c r="B18" t="s">
        <v>209</v>
      </c>
      <c r="C18" t="s">
        <v>111</v>
      </c>
      <c r="D18">
        <f>_xlfn.XLOOKUP(tbNucleo[[#This Row],[NÚCLEO]],tbNucleos[NÚCLEO],tbNucleos[COD NÚCLEO],"")</f>
        <v>5</v>
      </c>
      <c r="F18">
        <v>17</v>
      </c>
      <c r="G18" t="s">
        <v>21</v>
      </c>
      <c r="H18" t="s">
        <v>20</v>
      </c>
    </row>
    <row r="19" spans="1:8" x14ac:dyDescent="0.25">
      <c r="A19">
        <v>18</v>
      </c>
      <c r="B19" t="s">
        <v>129</v>
      </c>
      <c r="C19" t="s">
        <v>31</v>
      </c>
      <c r="D19">
        <f>_xlfn.XLOOKUP(tbNucleo[[#This Row],[NÚCLEO]],tbNucleos[NÚCLEO],tbNucleos[COD NÚCLEO],"")</f>
        <v>13</v>
      </c>
      <c r="F19">
        <v>18</v>
      </c>
      <c r="G19" t="s">
        <v>22</v>
      </c>
      <c r="H19" t="s">
        <v>24</v>
      </c>
    </row>
    <row r="20" spans="1:8" x14ac:dyDescent="0.25">
      <c r="A20">
        <v>19</v>
      </c>
      <c r="B20" t="s">
        <v>208</v>
      </c>
      <c r="C20" t="s">
        <v>134</v>
      </c>
      <c r="D20">
        <f>_xlfn.XLOOKUP(tbNucleo[[#This Row],[NÚCLEO]],tbNucleos[NÚCLEO],tbNucleos[COD NÚCLEO],"")</f>
        <v>3</v>
      </c>
    </row>
    <row r="21" spans="1:8" x14ac:dyDescent="0.25">
      <c r="A21">
        <v>20</v>
      </c>
      <c r="B21" t="s">
        <v>207</v>
      </c>
      <c r="C21" t="s">
        <v>112</v>
      </c>
      <c r="D21">
        <f>_xlfn.XLOOKUP(tbNucleo[[#This Row],[NÚCLEO]],tbNucleos[NÚCLEO],tbNucleos[COD NÚCLEO],"")</f>
        <v>4</v>
      </c>
    </row>
    <row r="22" spans="1:8" x14ac:dyDescent="0.25">
      <c r="A22">
        <v>21</v>
      </c>
      <c r="B22" t="s">
        <v>206</v>
      </c>
      <c r="C22" t="s">
        <v>114</v>
      </c>
      <c r="D22">
        <f>_xlfn.XLOOKUP(tbNucleo[[#This Row],[NÚCLEO]],tbNucleos[NÚCLEO],tbNucleos[COD NÚCLEO],"")</f>
        <v>7</v>
      </c>
    </row>
    <row r="23" spans="1:8" x14ac:dyDescent="0.25">
      <c r="A23">
        <v>22</v>
      </c>
      <c r="B23" t="s">
        <v>205</v>
      </c>
      <c r="C23" t="s">
        <v>119</v>
      </c>
      <c r="D23">
        <f>_xlfn.XLOOKUP(tbNucleo[[#This Row],[NÚCLEO]],tbNucleos[NÚCLEO],tbNucleos[COD NÚCLEO],"")</f>
        <v>10</v>
      </c>
    </row>
    <row r="24" spans="1:8" x14ac:dyDescent="0.25">
      <c r="A24">
        <v>23</v>
      </c>
      <c r="B24" t="s">
        <v>331</v>
      </c>
      <c r="C24" t="s">
        <v>117</v>
      </c>
      <c r="D24">
        <f>_xlfn.XLOOKUP(tbNucleo[[#This Row],[NÚCLEO]],tbNucleos[NÚCLEO],tbNucleos[COD NÚCLEO],"")</f>
        <v>14</v>
      </c>
    </row>
    <row r="25" spans="1:8" x14ac:dyDescent="0.25">
      <c r="A25">
        <v>24</v>
      </c>
      <c r="B25" t="s">
        <v>210</v>
      </c>
      <c r="C25" t="s">
        <v>116</v>
      </c>
      <c r="D25">
        <f>_xlfn.XLOOKUP(tbNucleo[[#This Row],[NÚCLEO]],tbNucleos[NÚCLEO],tbNucleos[COD NÚCLEO],"")</f>
        <v>1</v>
      </c>
    </row>
    <row r="26" spans="1:8" x14ac:dyDescent="0.25">
      <c r="A26">
        <v>25</v>
      </c>
      <c r="B26" t="s">
        <v>128</v>
      </c>
      <c r="C26" t="s">
        <v>31</v>
      </c>
      <c r="D26">
        <f>_xlfn.XLOOKUP(tbNucleo[[#This Row],[NÚCLEO]],tbNucleos[NÚCLEO],tbNucleos[COD NÚCLEO],"")</f>
        <v>13</v>
      </c>
    </row>
    <row r="27" spans="1:8" x14ac:dyDescent="0.25">
      <c r="A27">
        <v>26</v>
      </c>
      <c r="B27" t="s">
        <v>99</v>
      </c>
      <c r="C27" t="s">
        <v>109</v>
      </c>
      <c r="D27">
        <f>_xlfn.XLOOKUP(tbNucleo[[#This Row],[NÚCLEO]],tbNucleos[NÚCLEO],tbNucleos[COD NÚCLEO],"")</f>
        <v>9</v>
      </c>
    </row>
    <row r="28" spans="1:8" x14ac:dyDescent="0.25">
      <c r="A28">
        <v>27</v>
      </c>
      <c r="B28" t="s">
        <v>89</v>
      </c>
      <c r="C28" t="s">
        <v>117</v>
      </c>
      <c r="D28">
        <f>_xlfn.XLOOKUP(tbNucleo[[#This Row],[NÚCLEO]],tbNucleos[NÚCLEO],tbNucleos[COD NÚCLEO],"")</f>
        <v>14</v>
      </c>
    </row>
    <row r="29" spans="1:8" x14ac:dyDescent="0.25">
      <c r="A29">
        <v>28</v>
      </c>
      <c r="B29" t="s">
        <v>127</v>
      </c>
      <c r="C29" t="s">
        <v>31</v>
      </c>
      <c r="D29">
        <f>_xlfn.XLOOKUP(tbNucleo[[#This Row],[NÚCLEO]],tbNucleos[NÚCLEO],tbNucleos[COD NÚCLEO],"")</f>
        <v>13</v>
      </c>
    </row>
    <row r="30" spans="1:8" x14ac:dyDescent="0.25">
      <c r="A30">
        <v>29</v>
      </c>
      <c r="B30" t="s">
        <v>96</v>
      </c>
      <c r="C30" t="s">
        <v>115</v>
      </c>
      <c r="D30">
        <f>_xlfn.XLOOKUP(tbNucleo[[#This Row],[NÚCLEO]],tbNucleos[NÚCLEO],tbNucleos[COD NÚCLEO],"")</f>
        <v>2</v>
      </c>
    </row>
    <row r="31" spans="1:8" x14ac:dyDescent="0.25">
      <c r="A31">
        <v>30</v>
      </c>
      <c r="B31" t="s">
        <v>107</v>
      </c>
      <c r="C31" t="s">
        <v>31</v>
      </c>
      <c r="D31">
        <f>_xlfn.XLOOKUP(tbNucleo[[#This Row],[NÚCLEO]],tbNucleos[NÚCLEO],tbNucleos[COD NÚCLEO],"")</f>
        <v>13</v>
      </c>
    </row>
    <row r="32" spans="1:8" x14ac:dyDescent="0.25">
      <c r="A32">
        <v>31</v>
      </c>
      <c r="B32" t="s">
        <v>80</v>
      </c>
      <c r="C32" t="s">
        <v>31</v>
      </c>
      <c r="D32">
        <f>_xlfn.XLOOKUP(tbNucleo[[#This Row],[NÚCLEO]],tbNucleos[NÚCLEO],tbNucleos[COD NÚCLEO],"")</f>
        <v>13</v>
      </c>
    </row>
    <row r="33" spans="1:4" x14ac:dyDescent="0.25">
      <c r="A33">
        <v>32</v>
      </c>
      <c r="B33" t="s">
        <v>104</v>
      </c>
      <c r="C33" t="s">
        <v>31</v>
      </c>
      <c r="D33">
        <f>_xlfn.XLOOKUP(tbNucleo[[#This Row],[NÚCLEO]],tbNucleos[NÚCLEO],tbNucleos[COD NÚCLEO],"")</f>
        <v>13</v>
      </c>
    </row>
    <row r="34" spans="1:4" x14ac:dyDescent="0.25">
      <c r="A34">
        <v>33</v>
      </c>
      <c r="B34" t="s">
        <v>86</v>
      </c>
      <c r="C34" t="s">
        <v>31</v>
      </c>
      <c r="D34">
        <f>_xlfn.XLOOKUP(tbNucleo[[#This Row],[NÚCLEO]],tbNucleos[NÚCLEO],tbNucleos[COD NÚCLEO],"")</f>
        <v>13</v>
      </c>
    </row>
    <row r="35" spans="1:4" x14ac:dyDescent="0.25">
      <c r="A35">
        <v>34</v>
      </c>
      <c r="B35" t="s">
        <v>88</v>
      </c>
      <c r="C35" t="s">
        <v>31</v>
      </c>
      <c r="D35">
        <f>_xlfn.XLOOKUP(tbNucleo[[#This Row],[NÚCLEO]],tbNucleos[NÚCLEO],tbNucleos[COD NÚCLEO],"")</f>
        <v>13</v>
      </c>
    </row>
    <row r="36" spans="1:4" x14ac:dyDescent="0.25">
      <c r="A36">
        <v>35</v>
      </c>
      <c r="B36" t="s">
        <v>105</v>
      </c>
      <c r="C36" t="s">
        <v>113</v>
      </c>
      <c r="D36">
        <f>_xlfn.XLOOKUP(tbNucleo[[#This Row],[NÚCLEO]],tbNucleos[NÚCLEO],tbNucleos[COD NÚCLEO],"")</f>
        <v>6</v>
      </c>
    </row>
    <row r="37" spans="1:4" x14ac:dyDescent="0.25">
      <c r="A37">
        <v>36</v>
      </c>
      <c r="B37" t="s">
        <v>102</v>
      </c>
      <c r="C37" t="s">
        <v>109</v>
      </c>
      <c r="D37">
        <f>_xlfn.XLOOKUP(tbNucleo[[#This Row],[NÚCLEO]],tbNucleos[NÚCLEO],tbNucleos[COD NÚCLEO],"")</f>
        <v>9</v>
      </c>
    </row>
    <row r="38" spans="1:4" x14ac:dyDescent="0.25">
      <c r="A38">
        <v>37</v>
      </c>
      <c r="B38" t="s">
        <v>100</v>
      </c>
      <c r="C38" t="s">
        <v>114</v>
      </c>
      <c r="D38">
        <f>_xlfn.XLOOKUP(tbNucleo[[#This Row],[NÚCLEO]],tbNucleos[NÚCLEO],tbNucleos[COD NÚCLEO],"")</f>
        <v>7</v>
      </c>
    </row>
    <row r="39" spans="1:4" x14ac:dyDescent="0.25">
      <c r="A39">
        <v>38</v>
      </c>
      <c r="B39" t="s">
        <v>103</v>
      </c>
      <c r="C39" t="s">
        <v>31</v>
      </c>
      <c r="D39">
        <f>_xlfn.XLOOKUP(tbNucleo[[#This Row],[NÚCLEO]],tbNucleos[NÚCLEO],tbNucleos[COD NÚCLEO],"")</f>
        <v>13</v>
      </c>
    </row>
    <row r="40" spans="1:4" x14ac:dyDescent="0.25">
      <c r="A40">
        <v>39</v>
      </c>
      <c r="B40" t="s">
        <v>90</v>
      </c>
      <c r="C40" t="s">
        <v>31</v>
      </c>
      <c r="D40">
        <f>_xlfn.XLOOKUP(tbNucleo[[#This Row],[NÚCLEO]],tbNucleos[NÚCLEO],tbNucleos[COD NÚCLEO],"")</f>
        <v>13</v>
      </c>
    </row>
    <row r="41" spans="1:4" x14ac:dyDescent="0.25">
      <c r="A41">
        <v>40</v>
      </c>
      <c r="B41" t="s">
        <v>301</v>
      </c>
      <c r="C41" t="s">
        <v>31</v>
      </c>
      <c r="D41">
        <f>_xlfn.XLOOKUP(tbNucleo[[#This Row],[NÚCLEO]],tbNucleos[NÚCLEO],tbNucleos[COD NÚCLEO],"")</f>
        <v>13</v>
      </c>
    </row>
    <row r="42" spans="1:4" x14ac:dyDescent="0.25">
      <c r="A42">
        <v>41</v>
      </c>
      <c r="B42" t="s">
        <v>83</v>
      </c>
      <c r="C42" t="s">
        <v>118</v>
      </c>
      <c r="D42">
        <f>_xlfn.XLOOKUP(tbNucleo[[#This Row],[NÚCLEO]],tbNucleos[NÚCLEO],tbNucleos[COD NÚCLEO],"")</f>
        <v>8</v>
      </c>
    </row>
    <row r="43" spans="1:4" x14ac:dyDescent="0.25">
      <c r="A43">
        <v>42</v>
      </c>
      <c r="B43" t="s">
        <v>84</v>
      </c>
      <c r="C43" t="s">
        <v>111</v>
      </c>
      <c r="D43">
        <f>_xlfn.XLOOKUP(tbNucleo[[#This Row],[NÚCLEO]],tbNucleos[NÚCLEO],tbNucleos[COD NÚCLEO],"")</f>
        <v>5</v>
      </c>
    </row>
    <row r="44" spans="1:4" x14ac:dyDescent="0.25">
      <c r="A44">
        <v>43</v>
      </c>
      <c r="B44" t="s">
        <v>130</v>
      </c>
      <c r="C44" t="s">
        <v>116</v>
      </c>
      <c r="D44">
        <f>_xlfn.XLOOKUP(tbNucleo[[#This Row],[NÚCLEO]],tbNucleos[NÚCLEO],tbNucleos[COD NÚCLEO],"")</f>
        <v>1</v>
      </c>
    </row>
    <row r="45" spans="1:4" x14ac:dyDescent="0.25">
      <c r="A45">
        <v>44</v>
      </c>
      <c r="B45" t="s">
        <v>97</v>
      </c>
      <c r="C45" t="s">
        <v>31</v>
      </c>
      <c r="D45">
        <f>_xlfn.XLOOKUP(tbNucleo[[#This Row],[NÚCLEO]],tbNucleos[NÚCLEO],tbNucleos[COD NÚCLEO],"")</f>
        <v>13</v>
      </c>
    </row>
    <row r="46" spans="1:4" x14ac:dyDescent="0.25">
      <c r="A46">
        <v>45</v>
      </c>
      <c r="B46" t="s">
        <v>85</v>
      </c>
      <c r="C46" t="s">
        <v>110</v>
      </c>
      <c r="D46">
        <f>_xlfn.XLOOKUP(tbNucleo[[#This Row],[NÚCLEO]],tbNucleos[NÚCLEO],tbNucleos[COD NÚCLEO],"")</f>
        <v>12</v>
      </c>
    </row>
    <row r="47" spans="1:4" x14ac:dyDescent="0.25">
      <c r="A47">
        <v>46</v>
      </c>
      <c r="B47" t="s">
        <v>87</v>
      </c>
      <c r="C47" t="s">
        <v>31</v>
      </c>
      <c r="D47">
        <f>_xlfn.XLOOKUP(tbNucleo[[#This Row],[NÚCLEO]],tbNucleos[NÚCLEO],tbNucleos[COD NÚCLEO],"")</f>
        <v>13</v>
      </c>
    </row>
    <row r="48" spans="1:4" x14ac:dyDescent="0.25">
      <c r="A48">
        <v>47</v>
      </c>
      <c r="B48" t="s">
        <v>95</v>
      </c>
      <c r="C48" t="s">
        <v>134</v>
      </c>
      <c r="D48">
        <f>_xlfn.XLOOKUP(tbNucleo[[#This Row],[NÚCLEO]],tbNucleos[NÚCLEO],tbNucleos[COD NÚCLEO],"")</f>
        <v>3</v>
      </c>
    </row>
    <row r="49" spans="1:4" x14ac:dyDescent="0.25">
      <c r="A49">
        <v>48</v>
      </c>
      <c r="B49" t="s">
        <v>93</v>
      </c>
      <c r="C49" t="s">
        <v>31</v>
      </c>
      <c r="D49">
        <f>_xlfn.XLOOKUP(tbNucleo[[#This Row],[NÚCLEO]],tbNucleos[NÚCLEO],tbNucleos[COD NÚCLEO],"")</f>
        <v>13</v>
      </c>
    </row>
    <row r="50" spans="1:4" x14ac:dyDescent="0.25">
      <c r="A50">
        <v>49</v>
      </c>
      <c r="B50" t="s">
        <v>91</v>
      </c>
      <c r="C50" t="s">
        <v>31</v>
      </c>
      <c r="D50">
        <f>_xlfn.XLOOKUP(tbNucleo[[#This Row],[NÚCLEO]],tbNucleos[NÚCLEO],tbNucleos[COD NÚCLEO],"")</f>
        <v>13</v>
      </c>
    </row>
    <row r="51" spans="1:4" x14ac:dyDescent="0.25">
      <c r="A51">
        <v>50</v>
      </c>
      <c r="B51" t="s">
        <v>101</v>
      </c>
      <c r="C51" t="s">
        <v>31</v>
      </c>
      <c r="D51">
        <f>_xlfn.XLOOKUP(tbNucleo[[#This Row],[NÚCLEO]],tbNucleos[NÚCLEO],tbNucleos[COD NÚCLEO],"")</f>
        <v>13</v>
      </c>
    </row>
    <row r="52" spans="1:4" x14ac:dyDescent="0.25">
      <c r="A52">
        <v>51</v>
      </c>
      <c r="B52" t="s">
        <v>106</v>
      </c>
      <c r="C52" t="s">
        <v>31</v>
      </c>
      <c r="D52">
        <f>_xlfn.XLOOKUP(tbNucleo[[#This Row],[NÚCLEO]],tbNucleos[NÚCLEO],tbNucleos[COD NÚCLEO],"")</f>
        <v>13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B38C-D1D9-4B59-AFC3-ABC801D0E205}">
  <dimension ref="A1:N5001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9.5703125" customWidth="1"/>
    <col min="3" max="3" width="12.42578125" customWidth="1"/>
    <col min="4" max="4" width="15" customWidth="1"/>
    <col min="5" max="5" width="20.85546875" customWidth="1"/>
    <col min="6" max="6" width="14.140625" customWidth="1"/>
    <col min="9" max="9" width="19.140625" bestFit="1" customWidth="1"/>
    <col min="10" max="10" width="9" customWidth="1"/>
    <col min="11" max="11" width="8.42578125" customWidth="1"/>
    <col min="12" max="12" width="19.28515625" bestFit="1" customWidth="1"/>
    <col min="13" max="13" width="19.28515625" hidden="1" customWidth="1"/>
    <col min="14" max="14" width="19.28515625" bestFit="1" customWidth="1"/>
  </cols>
  <sheetData>
    <row r="1" spans="1:14" x14ac:dyDescent="0.25">
      <c r="A1" t="s">
        <v>407</v>
      </c>
      <c r="B1" t="s">
        <v>1</v>
      </c>
      <c r="C1" t="s">
        <v>0</v>
      </c>
      <c r="D1" t="s">
        <v>28</v>
      </c>
      <c r="E1" t="s">
        <v>2</v>
      </c>
      <c r="F1" t="s">
        <v>25</v>
      </c>
      <c r="G1" t="s">
        <v>27</v>
      </c>
    </row>
    <row r="2" spans="1:14" x14ac:dyDescent="0.25">
      <c r="A2" s="24">
        <f>_xlfn.XLOOKUP(tbEscolas[[#This Row],[ESCOLA]],tbNucleo[ESCOLA],tbNucleo[COD ESCOLA],"")</f>
        <v>1</v>
      </c>
      <c r="B2" t="str" cm="1">
        <f t="array" ref="B2">IFERROR(INDEX(tbNucleo[ESCOLA],ROUNDUP(ROW(B1)/TotalEtapas,0)),"")</f>
        <v xml:space="preserve"> EM CENTRO EDUCACIONAL DOM MAXIMO BIENNES </v>
      </c>
      <c r="C2" t="str">
        <f>IFERROR(VLOOKUP(B2,tbNucleo[],2,FALSE),"")</f>
        <v/>
      </c>
      <c r="D2">
        <v>1</v>
      </c>
      <c r="E2" t="str">
        <f>IFERROR(VLOOKUP(tbEscolas[[#This Row],[COD ETPA]],tbEtapas[],2,FALSE),"")</f>
        <v>CRECHE I</v>
      </c>
      <c r="F2" t="str">
        <f>IFERROR(VLOOKUP(tbEscolas[[#This Row],[COD ETPA]],tbEtapas[],3,FALSE),"")</f>
        <v>EDUCAÇÃO INFANTIL</v>
      </c>
      <c r="G2" t="s">
        <v>125</v>
      </c>
      <c r="N2">
        <f>TotalEtapas</f>
        <v>18</v>
      </c>
    </row>
    <row r="3" spans="1:14" x14ac:dyDescent="0.25">
      <c r="A3" s="24">
        <f>_xlfn.XLOOKUP(tbEscolas[[#This Row],[ESCOLA]],tbNucleo[ESCOLA],tbNucleo[COD ESCOLA],"")</f>
        <v>1</v>
      </c>
      <c r="B3" t="str" cm="1">
        <f t="array" ref="B3">IFERROR(INDEX(tbNucleo[ESCOLA],ROUNDUP(ROW(B2)/TotalEtapas,0)),"")</f>
        <v xml:space="preserve"> EM CENTRO EDUCACIONAL DOM MAXIMO BIENNES </v>
      </c>
      <c r="C3" t="str">
        <f>IFERROR(VLOOKUP(B3,tbNucleo[],2,FALSE),"")</f>
        <v/>
      </c>
      <c r="D3">
        <v>2</v>
      </c>
      <c r="E3" t="str">
        <f>IFERROR(VLOOKUP(tbEscolas[[#This Row],[COD ETPA]],tbEtapas[],2,FALSE),"")</f>
        <v>CRECHE II</v>
      </c>
      <c r="F3" t="str">
        <f>IFERROR(VLOOKUP(tbEscolas[[#This Row],[COD ETPA]],tbEtapas[],3,FALSE),"")</f>
        <v>EDUCAÇÃO INFANTIL</v>
      </c>
      <c r="G3" t="s">
        <v>125</v>
      </c>
    </row>
    <row r="4" spans="1:14" x14ac:dyDescent="0.25">
      <c r="A4" s="24">
        <f>_xlfn.XLOOKUP(tbEscolas[[#This Row],[ESCOLA]],tbNucleo[ESCOLA],tbNucleo[COD ESCOLA],"")</f>
        <v>1</v>
      </c>
      <c r="B4" t="str" cm="1">
        <f t="array" ref="B4">IFERROR(INDEX(tbNucleo[ESCOLA],ROUNDUP(ROW(B3)/TotalEtapas,0)),"")</f>
        <v xml:space="preserve"> EM CENTRO EDUCACIONAL DOM MAXIMO BIENNES </v>
      </c>
      <c r="C4" t="str">
        <f>IFERROR(VLOOKUP(B4,tbNucleo[],2,FALSE),"")</f>
        <v/>
      </c>
      <c r="D4">
        <v>3</v>
      </c>
      <c r="E4" t="str">
        <f>IFERROR(VLOOKUP(tbEscolas[[#This Row],[COD ETPA]],tbEtapas[],2,FALSE),"")</f>
        <v>PRE I</v>
      </c>
      <c r="F4" t="str">
        <f>IFERROR(VLOOKUP(tbEscolas[[#This Row],[COD ETPA]],tbEtapas[],3,FALSE),"")</f>
        <v>EDUCAÇÃO INFANTIL</v>
      </c>
      <c r="G4" t="s">
        <v>125</v>
      </c>
    </row>
    <row r="5" spans="1:14" x14ac:dyDescent="0.25">
      <c r="A5" s="24">
        <f>_xlfn.XLOOKUP(tbEscolas[[#This Row],[ESCOLA]],tbNucleo[ESCOLA],tbNucleo[COD ESCOLA],"")</f>
        <v>1</v>
      </c>
      <c r="B5" t="str" cm="1">
        <f t="array" ref="B5">IFERROR(INDEX(tbNucleo[ESCOLA],ROUNDUP(ROW(B4)/TotalEtapas,0)),"")</f>
        <v xml:space="preserve"> EM CENTRO EDUCACIONAL DOM MAXIMO BIENNES </v>
      </c>
      <c r="C5" t="str">
        <f>IFERROR(VLOOKUP(B5,tbNucleo[],2,FALSE),"")</f>
        <v/>
      </c>
      <c r="D5">
        <v>4</v>
      </c>
      <c r="E5" t="str">
        <f>IFERROR(VLOOKUP(tbEscolas[[#This Row],[COD ETPA]],tbEtapas[],2,FALSE),"")</f>
        <v>PRE II</v>
      </c>
      <c r="F5" t="str">
        <f>IFERROR(VLOOKUP(tbEscolas[[#This Row],[COD ETPA]],tbEtapas[],3,FALSE),"")</f>
        <v>EDUCAÇÃO INFANTIL</v>
      </c>
      <c r="G5" t="s">
        <v>125</v>
      </c>
    </row>
    <row r="6" spans="1:14" x14ac:dyDescent="0.25">
      <c r="A6" s="24">
        <f>_xlfn.XLOOKUP(tbEscolas[[#This Row],[ESCOLA]],tbNucleo[ESCOLA],tbNucleo[COD ESCOLA],"")</f>
        <v>1</v>
      </c>
      <c r="B6" t="str" cm="1">
        <f t="array" ref="B6">IFERROR(INDEX(tbNucleo[ESCOLA],ROUNDUP(ROW(B5)/TotalEtapas,0)),"")</f>
        <v xml:space="preserve"> EM CENTRO EDUCACIONAL DOM MAXIMO BIENNES </v>
      </c>
      <c r="C6" t="str">
        <f>IFERROR(VLOOKUP(B6,tbNucleo[],2,FALSE),"")</f>
        <v/>
      </c>
      <c r="D6">
        <v>5</v>
      </c>
      <c r="E6" t="str">
        <f>IFERROR(VLOOKUP(tbEscolas[[#This Row],[COD ETPA]],tbEtapas[],2,FALSE),"")</f>
        <v>1º ANO</v>
      </c>
      <c r="F6" t="str">
        <f>IFERROR(VLOOKUP(tbEscolas[[#This Row],[COD ETPA]],tbEtapas[],3,FALSE),"")</f>
        <v>FUNDAMENTAL</v>
      </c>
      <c r="G6" t="s">
        <v>126</v>
      </c>
    </row>
    <row r="7" spans="1:14" x14ac:dyDescent="0.25">
      <c r="A7" s="24">
        <f>_xlfn.XLOOKUP(tbEscolas[[#This Row],[ESCOLA]],tbNucleo[ESCOLA],tbNucleo[COD ESCOLA],"")</f>
        <v>1</v>
      </c>
      <c r="B7" t="str" cm="1">
        <f t="array" ref="B7">IFERROR(INDEX(tbNucleo[ESCOLA],ROUNDUP(ROW(B6)/TotalEtapas,0)),"")</f>
        <v xml:space="preserve"> EM CENTRO EDUCACIONAL DOM MAXIMO BIENNES </v>
      </c>
      <c r="C7" t="str">
        <f>IFERROR(VLOOKUP(B7,tbNucleo[],2,FALSE),"")</f>
        <v/>
      </c>
      <c r="D7">
        <v>6</v>
      </c>
      <c r="E7" t="str">
        <f>IFERROR(VLOOKUP(tbEscolas[[#This Row],[COD ETPA]],tbEtapas[],2,FALSE),"")</f>
        <v>2º ANO</v>
      </c>
      <c r="F7" t="str">
        <f>IFERROR(VLOOKUP(tbEscolas[[#This Row],[COD ETPA]],tbEtapas[],3,FALSE),"")</f>
        <v>FUNDAMENTAL</v>
      </c>
      <c r="G7" t="s">
        <v>126</v>
      </c>
    </row>
    <row r="8" spans="1:14" x14ac:dyDescent="0.25">
      <c r="A8" s="24">
        <f>_xlfn.XLOOKUP(tbEscolas[[#This Row],[ESCOLA]],tbNucleo[ESCOLA],tbNucleo[COD ESCOLA],"")</f>
        <v>1</v>
      </c>
      <c r="B8" t="str" cm="1">
        <f t="array" ref="B8">IFERROR(INDEX(tbNucleo[ESCOLA],ROUNDUP(ROW(B7)/TotalEtapas,0)),"")</f>
        <v xml:space="preserve"> EM CENTRO EDUCACIONAL DOM MAXIMO BIENNES </v>
      </c>
      <c r="C8" t="str">
        <f>IFERROR(VLOOKUP(B8,tbNucleo[],2,FALSE),"")</f>
        <v/>
      </c>
      <c r="D8">
        <v>7</v>
      </c>
      <c r="E8" t="str">
        <f>IFERROR(VLOOKUP(tbEscolas[[#This Row],[COD ETPA]],tbEtapas[],2,FALSE),"")</f>
        <v>3º ANO</v>
      </c>
      <c r="F8" t="str">
        <f>IFERROR(VLOOKUP(tbEscolas[[#This Row],[COD ETPA]],tbEtapas[],3,FALSE),"")</f>
        <v>FUNDAMENTAL</v>
      </c>
      <c r="G8" t="s">
        <v>126</v>
      </c>
    </row>
    <row r="9" spans="1:14" x14ac:dyDescent="0.25">
      <c r="A9" s="24">
        <f>_xlfn.XLOOKUP(tbEscolas[[#This Row],[ESCOLA]],tbNucleo[ESCOLA],tbNucleo[COD ESCOLA],"")</f>
        <v>1</v>
      </c>
      <c r="B9" t="str" cm="1">
        <f t="array" ref="B9">IFERROR(INDEX(tbNucleo[ESCOLA],ROUNDUP(ROW(B8)/TotalEtapas,0)),"")</f>
        <v xml:space="preserve"> EM CENTRO EDUCACIONAL DOM MAXIMO BIENNES </v>
      </c>
      <c r="C9" t="str">
        <f>IFERROR(VLOOKUP(B9,tbNucleo[],2,FALSE),"")</f>
        <v/>
      </c>
      <c r="D9">
        <v>8</v>
      </c>
      <c r="E9" t="str">
        <f>IFERROR(VLOOKUP(tbEscolas[[#This Row],[COD ETPA]],tbEtapas[],2,FALSE),"")</f>
        <v>4º ANO</v>
      </c>
      <c r="F9" t="str">
        <f>IFERROR(VLOOKUP(tbEscolas[[#This Row],[COD ETPA]],tbEtapas[],3,FALSE),"")</f>
        <v>FUNDAMENTAL</v>
      </c>
      <c r="G9" t="s">
        <v>126</v>
      </c>
    </row>
    <row r="10" spans="1:14" x14ac:dyDescent="0.25">
      <c r="A10" s="24">
        <f>_xlfn.XLOOKUP(tbEscolas[[#This Row],[ESCOLA]],tbNucleo[ESCOLA],tbNucleo[COD ESCOLA],"")</f>
        <v>1</v>
      </c>
      <c r="B10" t="str" cm="1">
        <f t="array" ref="B10">IFERROR(INDEX(tbNucleo[ESCOLA],ROUNDUP(ROW(B9)/TotalEtapas,0)),"")</f>
        <v xml:space="preserve"> EM CENTRO EDUCACIONAL DOM MAXIMO BIENNES </v>
      </c>
      <c r="C10" t="str">
        <f>IFERROR(VLOOKUP(B10,tbNucleo[],2,FALSE),"")</f>
        <v/>
      </c>
      <c r="D10">
        <v>9</v>
      </c>
      <c r="E10" t="str">
        <f>IFERROR(VLOOKUP(tbEscolas[[#This Row],[COD ETPA]],tbEtapas[],2,FALSE),"")</f>
        <v>5º ANO</v>
      </c>
      <c r="F10" t="str">
        <f>IFERROR(VLOOKUP(tbEscolas[[#This Row],[COD ETPA]],tbEtapas[],3,FALSE),"")</f>
        <v>FUNDAMENTAL</v>
      </c>
      <c r="G10" t="s">
        <v>126</v>
      </c>
    </row>
    <row r="11" spans="1:14" x14ac:dyDescent="0.25">
      <c r="A11" s="24">
        <f>_xlfn.XLOOKUP(tbEscolas[[#This Row],[ESCOLA]],tbNucleo[ESCOLA],tbNucleo[COD ESCOLA],"")</f>
        <v>1</v>
      </c>
      <c r="B11" t="str" cm="1">
        <f t="array" ref="B11">IFERROR(INDEX(tbNucleo[ESCOLA],ROUNDUP(ROW(B10)/TotalEtapas,0)),"")</f>
        <v xml:space="preserve"> EM CENTRO EDUCACIONAL DOM MAXIMO BIENNES </v>
      </c>
      <c r="C11" t="str">
        <f>IFERROR(VLOOKUP(B11,tbNucleo[],2,FALSE),"")</f>
        <v/>
      </c>
      <c r="D11">
        <v>10</v>
      </c>
      <c r="E11" t="str">
        <f>IFERROR(VLOOKUP(tbEscolas[[#This Row],[COD ETPA]],tbEtapas[],2,FALSE),"")</f>
        <v>6º ANO</v>
      </c>
      <c r="F11" t="str">
        <f>IFERROR(VLOOKUP(tbEscolas[[#This Row],[COD ETPA]],tbEtapas[],3,FALSE),"")</f>
        <v>FUNDAMENTAL</v>
      </c>
      <c r="G11" t="s">
        <v>125</v>
      </c>
    </row>
    <row r="12" spans="1:14" x14ac:dyDescent="0.25">
      <c r="A12" s="24">
        <f>_xlfn.XLOOKUP(tbEscolas[[#This Row],[ESCOLA]],tbNucleo[ESCOLA],tbNucleo[COD ESCOLA],"")</f>
        <v>1</v>
      </c>
      <c r="B12" t="str" cm="1">
        <f t="array" ref="B12">IFERROR(INDEX(tbNucleo[ESCOLA],ROUNDUP(ROW(B11)/TotalEtapas,0)),"")</f>
        <v xml:space="preserve"> EM CENTRO EDUCACIONAL DOM MAXIMO BIENNES </v>
      </c>
      <c r="C12" t="str">
        <f>IFERROR(VLOOKUP(B12,tbNucleo[],2,FALSE),"")</f>
        <v/>
      </c>
      <c r="D12">
        <v>11</v>
      </c>
      <c r="E12" t="str">
        <f>IFERROR(VLOOKUP(tbEscolas[[#This Row],[COD ETPA]],tbEtapas[],2,FALSE),"")</f>
        <v>7º ANO</v>
      </c>
      <c r="F12" t="str">
        <f>IFERROR(VLOOKUP(tbEscolas[[#This Row],[COD ETPA]],tbEtapas[],3,FALSE),"")</f>
        <v>FUNDAMENTAL</v>
      </c>
      <c r="G12" t="s">
        <v>125</v>
      </c>
    </row>
    <row r="13" spans="1:14" x14ac:dyDescent="0.25">
      <c r="A13" s="24">
        <f>_xlfn.XLOOKUP(tbEscolas[[#This Row],[ESCOLA]],tbNucleo[ESCOLA],tbNucleo[COD ESCOLA],"")</f>
        <v>1</v>
      </c>
      <c r="B13" t="str" cm="1">
        <f t="array" ref="B13">IFERROR(INDEX(tbNucleo[ESCOLA],ROUNDUP(ROW(B12)/TotalEtapas,0)),"")</f>
        <v xml:space="preserve"> EM CENTRO EDUCACIONAL DOM MAXIMO BIENNES </v>
      </c>
      <c r="C13" t="str">
        <f>IFERROR(VLOOKUP(B13,tbNucleo[],2,FALSE),"")</f>
        <v/>
      </c>
      <c r="D13">
        <v>12</v>
      </c>
      <c r="E13" t="str">
        <f>IFERROR(VLOOKUP(tbEscolas[[#This Row],[COD ETPA]],tbEtapas[],2,FALSE),"")</f>
        <v>8º ANO</v>
      </c>
      <c r="F13" t="str">
        <f>IFERROR(VLOOKUP(tbEscolas[[#This Row],[COD ETPA]],tbEtapas[],3,FALSE),"")</f>
        <v>FUNDAMENTAL</v>
      </c>
      <c r="G13" t="s">
        <v>125</v>
      </c>
    </row>
    <row r="14" spans="1:14" x14ac:dyDescent="0.25">
      <c r="A14" s="24">
        <f>_xlfn.XLOOKUP(tbEscolas[[#This Row],[ESCOLA]],tbNucleo[ESCOLA],tbNucleo[COD ESCOLA],"")</f>
        <v>1</v>
      </c>
      <c r="B14" t="str" cm="1">
        <f t="array" ref="B14">IFERROR(INDEX(tbNucleo[ESCOLA],ROUNDUP(ROW(B13)/TotalEtapas,0)),"")</f>
        <v xml:space="preserve"> EM CENTRO EDUCACIONAL DOM MAXIMO BIENNES </v>
      </c>
      <c r="C14" t="str">
        <f>IFERROR(VLOOKUP(B14,tbNucleo[],2,FALSE),"")</f>
        <v/>
      </c>
      <c r="D14">
        <v>13</v>
      </c>
      <c r="E14" t="str">
        <f>IFERROR(VLOOKUP(tbEscolas[[#This Row],[COD ETPA]],tbEtapas[],2,FALSE),"")</f>
        <v>9º ANO</v>
      </c>
      <c r="F14" t="str">
        <f>IFERROR(VLOOKUP(tbEscolas[[#This Row],[COD ETPA]],tbEtapas[],3,FALSE),"")</f>
        <v>FUNDAMENTAL</v>
      </c>
      <c r="G14" t="s">
        <v>125</v>
      </c>
    </row>
    <row r="15" spans="1:14" x14ac:dyDescent="0.25">
      <c r="A15" s="24">
        <f>_xlfn.XLOOKUP(tbEscolas[[#This Row],[ESCOLA]],tbNucleo[ESCOLA],tbNucleo[COD ESCOLA],"")</f>
        <v>1</v>
      </c>
      <c r="B15" t="str" cm="1">
        <f t="array" ref="B15">IFERROR(INDEX(tbNucleo[ESCOLA],ROUNDUP(ROW(B14)/TotalEtapas,0)),"")</f>
        <v xml:space="preserve"> EM CENTRO EDUCACIONAL DOM MAXIMO BIENNES </v>
      </c>
      <c r="C15" t="str">
        <f>IFERROR(VLOOKUP(B15,tbNucleo[],2,FALSE),"")</f>
        <v/>
      </c>
      <c r="D15">
        <v>14</v>
      </c>
      <c r="E15" t="str">
        <f>IFERROR(VLOOKUP(tbEscolas[[#This Row],[COD ETPA]],tbEtapas[],2,FALSE),"")</f>
        <v>1º ANO</v>
      </c>
      <c r="F15" t="str">
        <f>IFERROR(VLOOKUP(tbEscolas[[#This Row],[COD ETPA]],tbEtapas[],3,FALSE),"")</f>
        <v>ENSINO MÉDIO</v>
      </c>
      <c r="G15" t="s">
        <v>125</v>
      </c>
    </row>
    <row r="16" spans="1:14" x14ac:dyDescent="0.25">
      <c r="A16" s="24">
        <f>_xlfn.XLOOKUP(tbEscolas[[#This Row],[ESCOLA]],tbNucleo[ESCOLA],tbNucleo[COD ESCOLA],"")</f>
        <v>1</v>
      </c>
      <c r="B16" t="str" cm="1">
        <f t="array" ref="B16">IFERROR(INDEX(tbNucleo[ESCOLA],ROUNDUP(ROW(B15)/TotalEtapas,0)),"")</f>
        <v xml:space="preserve"> EM CENTRO EDUCACIONAL DOM MAXIMO BIENNES </v>
      </c>
      <c r="C16" t="str">
        <f>IFERROR(VLOOKUP(B16,tbNucleo[],2,FALSE),"")</f>
        <v/>
      </c>
      <c r="D16">
        <v>15</v>
      </c>
      <c r="E16" t="str">
        <f>IFERROR(VLOOKUP(tbEscolas[[#This Row],[COD ETPA]],tbEtapas[],2,FALSE),"")</f>
        <v>2º ANO</v>
      </c>
      <c r="F16" t="str">
        <f>IFERROR(VLOOKUP(tbEscolas[[#This Row],[COD ETPA]],tbEtapas[],3,FALSE),"")</f>
        <v>ENSINO MÉDIO</v>
      </c>
      <c r="G16" t="s">
        <v>125</v>
      </c>
    </row>
    <row r="17" spans="1:10" x14ac:dyDescent="0.25">
      <c r="A17" s="24">
        <f>_xlfn.XLOOKUP(tbEscolas[[#This Row],[ESCOLA]],tbNucleo[ESCOLA],tbNucleo[COD ESCOLA],"")</f>
        <v>1</v>
      </c>
      <c r="B17" t="str" cm="1">
        <f t="array" ref="B17">IFERROR(INDEX(tbNucleo[ESCOLA],ROUNDUP(ROW(B16)/TotalEtapas,0)),"")</f>
        <v xml:space="preserve"> EM CENTRO EDUCACIONAL DOM MAXIMO BIENNES </v>
      </c>
      <c r="C17" t="str">
        <f>IFERROR(VLOOKUP(B17,tbNucleo[],2,FALSE),"")</f>
        <v/>
      </c>
      <c r="D17">
        <v>16</v>
      </c>
      <c r="E17" t="str">
        <f>IFERROR(VLOOKUP(tbEscolas[[#This Row],[COD ETPA]],tbEtapas[],2,FALSE),"")</f>
        <v>3º ANO</v>
      </c>
      <c r="F17" t="str">
        <f>IFERROR(VLOOKUP(tbEscolas[[#This Row],[COD ETPA]],tbEtapas[],3,FALSE),"")</f>
        <v>ENSINO MÉDIO</v>
      </c>
      <c r="G17" t="s">
        <v>125</v>
      </c>
    </row>
    <row r="18" spans="1:10" x14ac:dyDescent="0.25">
      <c r="A18" s="24">
        <f>_xlfn.XLOOKUP(tbEscolas[[#This Row],[ESCOLA]],tbNucleo[ESCOLA],tbNucleo[COD ESCOLA],"")</f>
        <v>1</v>
      </c>
      <c r="B18" t="str" cm="1">
        <f t="array" ref="B18">IFERROR(INDEX(tbNucleo[ESCOLA],ROUNDUP(ROW(B17)/TotalEtapas,0)),"")</f>
        <v xml:space="preserve"> EM CENTRO EDUCACIONAL DOM MAXIMO BIENNES </v>
      </c>
      <c r="C18" t="str">
        <f>IFERROR(VLOOKUP(B18,tbNucleo[],2,FALSE),"")</f>
        <v/>
      </c>
      <c r="D18">
        <v>17</v>
      </c>
      <c r="E18" t="str">
        <f>IFERROR(VLOOKUP(tbEscolas[[#This Row],[COD ETPA]],tbEtapas[],2,FALSE),"")</f>
        <v>EJA I</v>
      </c>
      <c r="F18" t="str">
        <f>IFERROR(VLOOKUP(tbEscolas[[#This Row],[COD ETPA]],tbEtapas[],3,FALSE),"")</f>
        <v>FUNDAMENTAL</v>
      </c>
      <c r="G18" t="s">
        <v>125</v>
      </c>
    </row>
    <row r="19" spans="1:10" x14ac:dyDescent="0.25">
      <c r="A19" s="24">
        <f>_xlfn.XLOOKUP(tbEscolas[[#This Row],[ESCOLA]],tbNucleo[ESCOLA],tbNucleo[COD ESCOLA],"")</f>
        <v>1</v>
      </c>
      <c r="B19" t="str" cm="1">
        <f t="array" ref="B19">IFERROR(INDEX(tbNucleo[ESCOLA],ROUNDUP(ROW(B18)/TotalEtapas,0)),"")</f>
        <v xml:space="preserve"> EM CENTRO EDUCACIONAL DOM MAXIMO BIENNES </v>
      </c>
      <c r="C19" t="str">
        <f>IFERROR(VLOOKUP(B19,tbNucleo[],2,FALSE),"")</f>
        <v/>
      </c>
      <c r="D19" cm="1">
        <f t="array" ref="D19">IF(B19="","",INDEX(tbEtapas[Nº],MOD(ROW(B18)-1,TotalEtapas)+1))</f>
        <v>18</v>
      </c>
      <c r="E19" t="str">
        <f>IFERROR(VLOOKUP(tbEscolas[[#This Row],[COD ETPA]],tbEtapas[],2,FALSE),"")</f>
        <v>EJA II</v>
      </c>
      <c r="F19" t="str">
        <f>IFERROR(VLOOKUP(tbEscolas[[#This Row],[COD ETPA]],tbEtapas[],3,FALSE),"")</f>
        <v>ENSINO MÉDIO</v>
      </c>
      <c r="G19" t="s">
        <v>125</v>
      </c>
    </row>
    <row r="20" spans="1:10" x14ac:dyDescent="0.25">
      <c r="A20" s="24">
        <f>_xlfn.XLOOKUP(tbEscolas[[#This Row],[ESCOLA]],tbNucleo[ESCOLA],tbNucleo[COD ESCOLA],"")</f>
        <v>2</v>
      </c>
      <c r="B20" t="str" cm="1">
        <f t="array" ref="B20">IFERROR(INDEX(tbNucleo[ESCOLA],ROUNDUP(ROW(B19)/TotalEtapas,0)),"")</f>
        <v xml:space="preserve"> EM LARANJEIRA I </v>
      </c>
      <c r="C20" t="str">
        <f>IFERROR(VLOOKUP(B20,tbNucleo[],2,FALSE),"")</f>
        <v/>
      </c>
      <c r="D20" cm="1">
        <f t="array" ref="D20">IF(B20="","",INDEX(tbEtapas[Nº],MOD(ROW(B19)-1,TotalEtapas)+1))</f>
        <v>1</v>
      </c>
      <c r="E20" t="str">
        <f>IFERROR(VLOOKUP(tbEscolas[[#This Row],[COD ETPA]],tbEtapas[],2,FALSE),"")</f>
        <v>CRECHE I</v>
      </c>
      <c r="F20" t="str">
        <f>IFERROR(VLOOKUP(tbEscolas[[#This Row],[COD ETPA]],tbEtapas[],3,FALSE),"")</f>
        <v>EDUCAÇÃO INFANTIL</v>
      </c>
      <c r="G20" t="s">
        <v>125</v>
      </c>
    </row>
    <row r="21" spans="1:10" x14ac:dyDescent="0.25">
      <c r="A21" s="24">
        <f>_xlfn.XLOOKUP(tbEscolas[[#This Row],[ESCOLA]],tbNucleo[ESCOLA],tbNucleo[COD ESCOLA],"")</f>
        <v>2</v>
      </c>
      <c r="B21" t="str" cm="1">
        <f t="array" ref="B21">IFERROR(INDEX(tbNucleo[ESCOLA],ROUNDUP(ROW(B20)/TotalEtapas,0)),"")</f>
        <v xml:space="preserve"> EM LARANJEIRA I </v>
      </c>
      <c r="C21" t="str">
        <f>IFERROR(VLOOKUP(B21,tbNucleo[],2,FALSE),"")</f>
        <v/>
      </c>
      <c r="D21" cm="1">
        <f t="array" ref="D21">IF(B21="","",INDEX(tbEtapas[Nº],MOD(ROW(B20)-1,TotalEtapas)+1))</f>
        <v>2</v>
      </c>
      <c r="E21" t="str">
        <f>IFERROR(VLOOKUP(tbEscolas[[#This Row],[COD ETPA]],tbEtapas[],2,FALSE),"")</f>
        <v>CRECHE II</v>
      </c>
      <c r="F21" t="str">
        <f>IFERROR(VLOOKUP(tbEscolas[[#This Row],[COD ETPA]],tbEtapas[],3,FALSE),"")</f>
        <v>EDUCAÇÃO INFANTIL</v>
      </c>
      <c r="G21" t="s">
        <v>125</v>
      </c>
      <c r="I21" s="1"/>
      <c r="J21" t="s">
        <v>118</v>
      </c>
    </row>
    <row r="22" spans="1:10" x14ac:dyDescent="0.25">
      <c r="A22" s="24">
        <f>_xlfn.XLOOKUP(tbEscolas[[#This Row],[ESCOLA]],tbNucleo[ESCOLA],tbNucleo[COD ESCOLA],"")</f>
        <v>2</v>
      </c>
      <c r="B22" t="str" cm="1">
        <f t="array" ref="B22">IFERROR(INDEX(tbNucleo[ESCOLA],ROUNDUP(ROW(B21)/TotalEtapas,0)),"")</f>
        <v xml:space="preserve"> EM LARANJEIRA I </v>
      </c>
      <c r="C22" t="str">
        <f>IFERROR(VLOOKUP(B22,tbNucleo[],2,FALSE),"")</f>
        <v/>
      </c>
      <c r="D22" cm="1">
        <f t="array" ref="D22">IF(B22="","",INDEX(tbEtapas[Nº],MOD(ROW(B21)-1,TotalEtapas)+1))</f>
        <v>3</v>
      </c>
      <c r="E22" t="str">
        <f>IFERROR(VLOOKUP(tbEscolas[[#This Row],[COD ETPA]],tbEtapas[],2,FALSE),"")</f>
        <v>PRE I</v>
      </c>
      <c r="F22" t="str">
        <f>IFERROR(VLOOKUP(tbEscolas[[#This Row],[COD ETPA]],tbEtapas[],3,FALSE),"")</f>
        <v>EDUCAÇÃO INFANTIL</v>
      </c>
      <c r="G22" t="s">
        <v>126</v>
      </c>
      <c r="I22" s="2"/>
      <c r="J22" t="s">
        <v>111</v>
      </c>
    </row>
    <row r="23" spans="1:10" x14ac:dyDescent="0.25">
      <c r="A23" s="24">
        <f>_xlfn.XLOOKUP(tbEscolas[[#This Row],[ESCOLA]],tbNucleo[ESCOLA],tbNucleo[COD ESCOLA],"")</f>
        <v>2</v>
      </c>
      <c r="B23" t="str" cm="1">
        <f t="array" ref="B23">IFERROR(INDEX(tbNucleo[ESCOLA],ROUNDUP(ROW(B22)/TotalEtapas,0)),"")</f>
        <v xml:space="preserve"> EM LARANJEIRA I </v>
      </c>
      <c r="C23" t="str">
        <f>IFERROR(VLOOKUP(B23,tbNucleo[],2,FALSE),"")</f>
        <v/>
      </c>
      <c r="D23" cm="1">
        <f t="array" ref="D23">IF(B23="","",INDEX(tbEtapas[Nº],MOD(ROW(B22)-1,TotalEtapas)+1))</f>
        <v>4</v>
      </c>
      <c r="E23" t="str">
        <f>IFERROR(VLOOKUP(tbEscolas[[#This Row],[COD ETPA]],tbEtapas[],2,FALSE),"")</f>
        <v>PRE II</v>
      </c>
      <c r="F23" t="str">
        <f>IFERROR(VLOOKUP(tbEscolas[[#This Row],[COD ETPA]],tbEtapas[],3,FALSE),"")</f>
        <v>EDUCAÇÃO INFANTIL</v>
      </c>
      <c r="G23" t="s">
        <v>126</v>
      </c>
      <c r="I23" s="3"/>
      <c r="J23" t="s">
        <v>110</v>
      </c>
    </row>
    <row r="24" spans="1:10" x14ac:dyDescent="0.25">
      <c r="A24" s="24">
        <f>_xlfn.XLOOKUP(tbEscolas[[#This Row],[ESCOLA]],tbNucleo[ESCOLA],tbNucleo[COD ESCOLA],"")</f>
        <v>2</v>
      </c>
      <c r="B24" t="str" cm="1">
        <f t="array" ref="B24">IFERROR(INDEX(tbNucleo[ESCOLA],ROUNDUP(ROW(B23)/TotalEtapas,0)),"")</f>
        <v xml:space="preserve"> EM LARANJEIRA I </v>
      </c>
      <c r="C24" t="str">
        <f>IFERROR(VLOOKUP(B24,tbNucleo[],2,FALSE),"")</f>
        <v/>
      </c>
      <c r="D24" cm="1">
        <f t="array" ref="D24">IF(B24="","",INDEX(tbEtapas[Nº],MOD(ROW(B23)-1,TotalEtapas)+1))</f>
        <v>5</v>
      </c>
      <c r="E24" t="str">
        <f>IFERROR(VLOOKUP(tbEscolas[[#This Row],[COD ETPA]],tbEtapas[],2,FALSE),"")</f>
        <v>1º ANO</v>
      </c>
      <c r="F24" t="str">
        <f>IFERROR(VLOOKUP(tbEscolas[[#This Row],[COD ETPA]],tbEtapas[],3,FALSE),"")</f>
        <v>FUNDAMENTAL</v>
      </c>
      <c r="G24" t="s">
        <v>126</v>
      </c>
      <c r="I24" s="4"/>
      <c r="J24" t="s">
        <v>121</v>
      </c>
    </row>
    <row r="25" spans="1:10" x14ac:dyDescent="0.25">
      <c r="A25" s="24">
        <f>_xlfn.XLOOKUP(tbEscolas[[#This Row],[ESCOLA]],tbNucleo[ESCOLA],tbNucleo[COD ESCOLA],"")</f>
        <v>2</v>
      </c>
      <c r="B25" t="str" cm="1">
        <f t="array" ref="B25">IFERROR(INDEX(tbNucleo[ESCOLA],ROUNDUP(ROW(B24)/TotalEtapas,0)),"")</f>
        <v xml:space="preserve"> EM LARANJEIRA I </v>
      </c>
      <c r="C25" t="str">
        <f>IFERROR(VLOOKUP(B25,tbNucleo[],2,FALSE),"")</f>
        <v/>
      </c>
      <c r="D25" cm="1">
        <f t="array" ref="D25">IF(B25="","",INDEX(tbEtapas[Nº],MOD(ROW(B24)-1,TotalEtapas)+1))</f>
        <v>6</v>
      </c>
      <c r="E25" t="str">
        <f>IFERROR(VLOOKUP(tbEscolas[[#This Row],[COD ETPA]],tbEtapas[],2,FALSE),"")</f>
        <v>2º ANO</v>
      </c>
      <c r="F25" t="str">
        <f>IFERROR(VLOOKUP(tbEscolas[[#This Row],[COD ETPA]],tbEtapas[],3,FALSE),"")</f>
        <v>FUNDAMENTAL</v>
      </c>
      <c r="G25" t="s">
        <v>126</v>
      </c>
      <c r="I25" s="5"/>
      <c r="J25" t="s">
        <v>116</v>
      </c>
    </row>
    <row r="26" spans="1:10" x14ac:dyDescent="0.25">
      <c r="A26" s="24">
        <f>_xlfn.XLOOKUP(tbEscolas[[#This Row],[ESCOLA]],tbNucleo[ESCOLA],tbNucleo[COD ESCOLA],"")</f>
        <v>2</v>
      </c>
      <c r="B26" t="str" cm="1">
        <f t="array" ref="B26">IFERROR(INDEX(tbNucleo[ESCOLA],ROUNDUP(ROW(B25)/TotalEtapas,0)),"")</f>
        <v xml:space="preserve"> EM LARANJEIRA I </v>
      </c>
      <c r="C26" t="str">
        <f>IFERROR(VLOOKUP(B26,tbNucleo[],2,FALSE),"")</f>
        <v/>
      </c>
      <c r="D26" cm="1">
        <f t="array" ref="D26">IF(B26="","",INDEX(tbEtapas[Nº],MOD(ROW(B25)-1,TotalEtapas)+1))</f>
        <v>7</v>
      </c>
      <c r="E26" t="str">
        <f>IFERROR(VLOOKUP(tbEscolas[[#This Row],[COD ETPA]],tbEtapas[],2,FALSE),"")</f>
        <v>3º ANO</v>
      </c>
      <c r="F26" t="str">
        <f>IFERROR(VLOOKUP(tbEscolas[[#This Row],[COD ETPA]],tbEtapas[],3,FALSE),"")</f>
        <v>FUNDAMENTAL</v>
      </c>
      <c r="G26" t="s">
        <v>126</v>
      </c>
      <c r="I26" s="6"/>
      <c r="J26" t="s">
        <v>134</v>
      </c>
    </row>
    <row r="27" spans="1:10" x14ac:dyDescent="0.25">
      <c r="A27" s="24">
        <f>_xlfn.XLOOKUP(tbEscolas[[#This Row],[ESCOLA]],tbNucleo[ESCOLA],tbNucleo[COD ESCOLA],"")</f>
        <v>2</v>
      </c>
      <c r="B27" t="str" cm="1">
        <f t="array" ref="B27">IFERROR(INDEX(tbNucleo[ESCOLA],ROUNDUP(ROW(B26)/TotalEtapas,0)),"")</f>
        <v xml:space="preserve"> EM LARANJEIRA I </v>
      </c>
      <c r="C27" t="str">
        <f>IFERROR(VLOOKUP(B27,tbNucleo[],2,FALSE),"")</f>
        <v/>
      </c>
      <c r="D27" cm="1">
        <f t="array" ref="D27">IF(B27="","",INDEX(tbEtapas[Nº],MOD(ROW(B26)-1,TotalEtapas)+1))</f>
        <v>8</v>
      </c>
      <c r="E27" t="str">
        <f>IFERROR(VLOOKUP(tbEscolas[[#This Row],[COD ETPA]],tbEtapas[],2,FALSE),"")</f>
        <v>4º ANO</v>
      </c>
      <c r="F27" t="str">
        <f>IFERROR(VLOOKUP(tbEscolas[[#This Row],[COD ETPA]],tbEtapas[],3,FALSE),"")</f>
        <v>FUNDAMENTAL</v>
      </c>
      <c r="G27" t="s">
        <v>126</v>
      </c>
      <c r="I27" s="7"/>
      <c r="J27" t="s">
        <v>122</v>
      </c>
    </row>
    <row r="28" spans="1:10" x14ac:dyDescent="0.25">
      <c r="A28" s="24">
        <f>_xlfn.XLOOKUP(tbEscolas[[#This Row],[ESCOLA]],tbNucleo[ESCOLA],tbNucleo[COD ESCOLA],"")</f>
        <v>2</v>
      </c>
      <c r="B28" t="str" cm="1">
        <f t="array" ref="B28">IFERROR(INDEX(tbNucleo[ESCOLA],ROUNDUP(ROW(B27)/TotalEtapas,0)),"")</f>
        <v xml:space="preserve"> EM LARANJEIRA I </v>
      </c>
      <c r="C28" t="str">
        <f>IFERROR(VLOOKUP(B28,tbNucleo[],2,FALSE),"")</f>
        <v/>
      </c>
      <c r="D28" cm="1">
        <f t="array" ref="D28">IF(B28="","",INDEX(tbEtapas[Nº],MOD(ROW(B27)-1,TotalEtapas)+1))</f>
        <v>9</v>
      </c>
      <c r="E28" t="str">
        <f>IFERROR(VLOOKUP(tbEscolas[[#This Row],[COD ETPA]],tbEtapas[],2,FALSE),"")</f>
        <v>5º ANO</v>
      </c>
      <c r="F28" t="str">
        <f>IFERROR(VLOOKUP(tbEscolas[[#This Row],[COD ETPA]],tbEtapas[],3,FALSE),"")</f>
        <v>FUNDAMENTAL</v>
      </c>
      <c r="G28" t="s">
        <v>126</v>
      </c>
      <c r="I28" s="8"/>
      <c r="J28" t="s">
        <v>123</v>
      </c>
    </row>
    <row r="29" spans="1:10" x14ac:dyDescent="0.25">
      <c r="A29" s="24">
        <f>_xlfn.XLOOKUP(tbEscolas[[#This Row],[ESCOLA]],tbNucleo[ESCOLA],tbNucleo[COD ESCOLA],"")</f>
        <v>2</v>
      </c>
      <c r="B29" t="str" cm="1">
        <f t="array" ref="B29">IFERROR(INDEX(tbNucleo[ESCOLA],ROUNDUP(ROW(B28)/TotalEtapas,0)),"")</f>
        <v xml:space="preserve"> EM LARANJEIRA I </v>
      </c>
      <c r="C29" t="str">
        <f>IFERROR(VLOOKUP(B29,tbNucleo[],2,FALSE),"")</f>
        <v/>
      </c>
      <c r="D29" cm="1">
        <f t="array" ref="D29">IF(B29="","",INDEX(tbEtapas[Nº],MOD(ROW(B28)-1,TotalEtapas)+1))</f>
        <v>10</v>
      </c>
      <c r="E29" t="str">
        <f>IFERROR(VLOOKUP(tbEscolas[[#This Row],[COD ETPA]],tbEtapas[],2,FALSE),"")</f>
        <v>6º ANO</v>
      </c>
      <c r="F29" t="str">
        <f>IFERROR(VLOOKUP(tbEscolas[[#This Row],[COD ETPA]],tbEtapas[],3,FALSE),"")</f>
        <v>FUNDAMENTAL</v>
      </c>
      <c r="G29" t="s">
        <v>125</v>
      </c>
      <c r="I29" s="9"/>
      <c r="J29" t="s">
        <v>124</v>
      </c>
    </row>
    <row r="30" spans="1:10" x14ac:dyDescent="0.25">
      <c r="A30" s="24">
        <f>_xlfn.XLOOKUP(tbEscolas[[#This Row],[ESCOLA]],tbNucleo[ESCOLA],tbNucleo[COD ESCOLA],"")</f>
        <v>2</v>
      </c>
      <c r="B30" t="str" cm="1">
        <f t="array" ref="B30">IFERROR(INDEX(tbNucleo[ESCOLA],ROUNDUP(ROW(B29)/TotalEtapas,0)),"")</f>
        <v xml:space="preserve"> EM LARANJEIRA I </v>
      </c>
      <c r="C30" t="str">
        <f>IFERROR(VLOOKUP(B30,tbNucleo[],2,FALSE),"")</f>
        <v/>
      </c>
      <c r="D30" cm="1">
        <f t="array" ref="D30">IF(B30="","",INDEX(tbEtapas[Nº],MOD(ROW(B29)-1,TotalEtapas)+1))</f>
        <v>11</v>
      </c>
      <c r="E30" t="str">
        <f>IFERROR(VLOOKUP(tbEscolas[[#This Row],[COD ETPA]],tbEtapas[],2,FALSE),"")</f>
        <v>7º ANO</v>
      </c>
      <c r="F30" t="str">
        <f>IFERROR(VLOOKUP(tbEscolas[[#This Row],[COD ETPA]],tbEtapas[],3,FALSE),"")</f>
        <v>FUNDAMENTAL</v>
      </c>
      <c r="G30" t="s">
        <v>125</v>
      </c>
      <c r="I30" s="10"/>
      <c r="J30" t="s">
        <v>114</v>
      </c>
    </row>
    <row r="31" spans="1:10" x14ac:dyDescent="0.25">
      <c r="A31" s="24">
        <f>_xlfn.XLOOKUP(tbEscolas[[#This Row],[ESCOLA]],tbNucleo[ESCOLA],tbNucleo[COD ESCOLA],"")</f>
        <v>2</v>
      </c>
      <c r="B31" t="str" cm="1">
        <f t="array" ref="B31">IFERROR(INDEX(tbNucleo[ESCOLA],ROUNDUP(ROW(B30)/TotalEtapas,0)),"")</f>
        <v xml:space="preserve"> EM LARANJEIRA I </v>
      </c>
      <c r="C31" t="str">
        <f>IFERROR(VLOOKUP(B31,tbNucleo[],2,FALSE),"")</f>
        <v/>
      </c>
      <c r="D31" cm="1">
        <f t="array" ref="D31">IF(B31="","",INDEX(tbEtapas[Nº],MOD(ROW(B30)-1,TotalEtapas)+1))</f>
        <v>12</v>
      </c>
      <c r="E31" t="str">
        <f>IFERROR(VLOOKUP(tbEscolas[[#This Row],[COD ETPA]],tbEtapas[],2,FALSE),"")</f>
        <v>8º ANO</v>
      </c>
      <c r="F31" t="str">
        <f>IFERROR(VLOOKUP(tbEscolas[[#This Row],[COD ETPA]],tbEtapas[],3,FALSE),"")</f>
        <v>FUNDAMENTAL</v>
      </c>
      <c r="G31" t="s">
        <v>125</v>
      </c>
      <c r="I31" s="11"/>
      <c r="J31" t="s">
        <v>120</v>
      </c>
    </row>
    <row r="32" spans="1:10" x14ac:dyDescent="0.25">
      <c r="A32" s="24">
        <f>_xlfn.XLOOKUP(tbEscolas[[#This Row],[ESCOLA]],tbNucleo[ESCOLA],tbNucleo[COD ESCOLA],"")</f>
        <v>2</v>
      </c>
      <c r="B32" t="str" cm="1">
        <f t="array" ref="B32">IFERROR(INDEX(tbNucleo[ESCOLA],ROUNDUP(ROW(B31)/TotalEtapas,0)),"")</f>
        <v xml:space="preserve"> EM LARANJEIRA I </v>
      </c>
      <c r="C32" t="str">
        <f>IFERROR(VLOOKUP(B32,tbNucleo[],2,FALSE),"")</f>
        <v/>
      </c>
      <c r="D32" cm="1">
        <f t="array" ref="D32">IF(B32="","",INDEX(tbEtapas[Nº],MOD(ROW(B31)-1,TotalEtapas)+1))</f>
        <v>13</v>
      </c>
      <c r="E32" t="str">
        <f>IFERROR(VLOOKUP(tbEscolas[[#This Row],[COD ETPA]],tbEtapas[],2,FALSE),"")</f>
        <v>9º ANO</v>
      </c>
      <c r="F32" t="str">
        <f>IFERROR(VLOOKUP(tbEscolas[[#This Row],[COD ETPA]],tbEtapas[],3,FALSE),"")</f>
        <v>FUNDAMENTAL</v>
      </c>
      <c r="G32" t="s">
        <v>125</v>
      </c>
      <c r="I32" s="12"/>
      <c r="J32" t="s">
        <v>113</v>
      </c>
    </row>
    <row r="33" spans="1:7" x14ac:dyDescent="0.25">
      <c r="A33" s="24">
        <f>_xlfn.XLOOKUP(tbEscolas[[#This Row],[ESCOLA]],tbNucleo[ESCOLA],tbNucleo[COD ESCOLA],"")</f>
        <v>2</v>
      </c>
      <c r="B33" t="str" cm="1">
        <f t="array" ref="B33">IFERROR(INDEX(tbNucleo[ESCOLA],ROUNDUP(ROW(B32)/TotalEtapas,0)),"")</f>
        <v xml:space="preserve"> EM LARANJEIRA I </v>
      </c>
      <c r="C33" t="str">
        <f>IFERROR(VLOOKUP(B33,tbNucleo[],2,FALSE),"")</f>
        <v/>
      </c>
      <c r="D33" cm="1">
        <f t="array" ref="D33">IF(B33="","",INDEX(tbEtapas[Nº],MOD(ROW(B32)-1,TotalEtapas)+1))</f>
        <v>14</v>
      </c>
      <c r="E33" t="str">
        <f>IFERROR(VLOOKUP(tbEscolas[[#This Row],[COD ETPA]],tbEtapas[],2,FALSE),"")</f>
        <v>1º ANO</v>
      </c>
      <c r="F33" t="str">
        <f>IFERROR(VLOOKUP(tbEscolas[[#This Row],[COD ETPA]],tbEtapas[],3,FALSE),"")</f>
        <v>ENSINO MÉDIO</v>
      </c>
      <c r="G33" t="s">
        <v>125</v>
      </c>
    </row>
    <row r="34" spans="1:7" x14ac:dyDescent="0.25">
      <c r="A34" s="24">
        <f>_xlfn.XLOOKUP(tbEscolas[[#This Row],[ESCOLA]],tbNucleo[ESCOLA],tbNucleo[COD ESCOLA],"")</f>
        <v>2</v>
      </c>
      <c r="B34" t="str" cm="1">
        <f t="array" ref="B34">IFERROR(INDEX(tbNucleo[ESCOLA],ROUNDUP(ROW(B33)/TotalEtapas,0)),"")</f>
        <v xml:space="preserve"> EM LARANJEIRA I </v>
      </c>
      <c r="C34" t="str">
        <f>IFERROR(VLOOKUP(B34,tbNucleo[],2,FALSE),"")</f>
        <v/>
      </c>
      <c r="D34" cm="1">
        <f t="array" ref="D34">IF(B34="","",INDEX(tbEtapas[Nº],MOD(ROW(B33)-1,TotalEtapas)+1))</f>
        <v>15</v>
      </c>
      <c r="E34" t="str">
        <f>IFERROR(VLOOKUP(tbEscolas[[#This Row],[COD ETPA]],tbEtapas[],2,FALSE),"")</f>
        <v>2º ANO</v>
      </c>
      <c r="F34" t="str">
        <f>IFERROR(VLOOKUP(tbEscolas[[#This Row],[COD ETPA]],tbEtapas[],3,FALSE),"")</f>
        <v>ENSINO MÉDIO</v>
      </c>
      <c r="G34" t="s">
        <v>125</v>
      </c>
    </row>
    <row r="35" spans="1:7" x14ac:dyDescent="0.25">
      <c r="A35" s="24">
        <f>_xlfn.XLOOKUP(tbEscolas[[#This Row],[ESCOLA]],tbNucleo[ESCOLA],tbNucleo[COD ESCOLA],"")</f>
        <v>2</v>
      </c>
      <c r="B35" t="str" cm="1">
        <f t="array" ref="B35">IFERROR(INDEX(tbNucleo[ESCOLA],ROUNDUP(ROW(B34)/TotalEtapas,0)),"")</f>
        <v xml:space="preserve"> EM LARANJEIRA I </v>
      </c>
      <c r="C35" t="str">
        <f>IFERROR(VLOOKUP(B35,tbNucleo[],2,FALSE),"")</f>
        <v/>
      </c>
      <c r="D35" cm="1">
        <f t="array" ref="D35">IF(B35="","",INDEX(tbEtapas[Nº],MOD(ROW(B34)-1,TotalEtapas)+1))</f>
        <v>16</v>
      </c>
      <c r="E35" t="str">
        <f>IFERROR(VLOOKUP(tbEscolas[[#This Row],[COD ETPA]],tbEtapas[],2,FALSE),"")</f>
        <v>3º ANO</v>
      </c>
      <c r="F35" t="str">
        <f>IFERROR(VLOOKUP(tbEscolas[[#This Row],[COD ETPA]],tbEtapas[],3,FALSE),"")</f>
        <v>ENSINO MÉDIO</v>
      </c>
      <c r="G35" t="s">
        <v>125</v>
      </c>
    </row>
    <row r="36" spans="1:7" x14ac:dyDescent="0.25">
      <c r="A36" s="24">
        <f>_xlfn.XLOOKUP(tbEscolas[[#This Row],[ESCOLA]],tbNucleo[ESCOLA],tbNucleo[COD ESCOLA],"")</f>
        <v>2</v>
      </c>
      <c r="B36" t="str" cm="1">
        <f t="array" ref="B36">IFERROR(INDEX(tbNucleo[ESCOLA],ROUNDUP(ROW(B35)/TotalEtapas,0)),"")</f>
        <v xml:space="preserve"> EM LARANJEIRA I </v>
      </c>
      <c r="C36" t="str">
        <f>IFERROR(VLOOKUP(B36,tbNucleo[],2,FALSE),"")</f>
        <v/>
      </c>
      <c r="D36" cm="1">
        <f t="array" ref="D36">IF(B36="","",INDEX(tbEtapas[Nº],MOD(ROW(B35)-1,TotalEtapas)+1))</f>
        <v>17</v>
      </c>
      <c r="E36" t="str">
        <f>IFERROR(VLOOKUP(tbEscolas[[#This Row],[COD ETPA]],tbEtapas[],2,FALSE),"")</f>
        <v>EJA I</v>
      </c>
      <c r="F36" t="str">
        <f>IFERROR(VLOOKUP(tbEscolas[[#This Row],[COD ETPA]],tbEtapas[],3,FALSE),"")</f>
        <v>FUNDAMENTAL</v>
      </c>
      <c r="G36" t="s">
        <v>125</v>
      </c>
    </row>
    <row r="37" spans="1:7" x14ac:dyDescent="0.25">
      <c r="A37" s="24">
        <f>_xlfn.XLOOKUP(tbEscolas[[#This Row],[ESCOLA]],tbNucleo[ESCOLA],tbNucleo[COD ESCOLA],"")</f>
        <v>2</v>
      </c>
      <c r="B37" t="str" cm="1">
        <f t="array" ref="B37">IFERROR(INDEX(tbNucleo[ESCOLA],ROUNDUP(ROW(B36)/TotalEtapas,0)),"")</f>
        <v xml:space="preserve"> EM LARANJEIRA I </v>
      </c>
      <c r="C37" t="str">
        <f>IFERROR(VLOOKUP(B37,tbNucleo[],2,FALSE),"")</f>
        <v/>
      </c>
      <c r="D37" cm="1">
        <f t="array" ref="D37">IF(B37="","",INDEX(tbEtapas[Nº],MOD(ROW(B36)-1,TotalEtapas)+1))</f>
        <v>18</v>
      </c>
      <c r="E37" t="str">
        <f>IFERROR(VLOOKUP(tbEscolas[[#This Row],[COD ETPA]],tbEtapas[],2,FALSE),"")</f>
        <v>EJA II</v>
      </c>
      <c r="F37" t="str">
        <f>IFERROR(VLOOKUP(tbEscolas[[#This Row],[COD ETPA]],tbEtapas[],3,FALSE),"")</f>
        <v>ENSINO MÉDIO</v>
      </c>
      <c r="G37" t="s">
        <v>125</v>
      </c>
    </row>
    <row r="38" spans="1:7" x14ac:dyDescent="0.25">
      <c r="A38" s="24">
        <f>_xlfn.XLOOKUP(tbEscolas[[#This Row],[ESCOLA]],tbNucleo[ESCOLA],tbNucleo[COD ESCOLA],"")</f>
        <v>3</v>
      </c>
      <c r="B38" t="str" cm="1">
        <f t="array" ref="B38">IFERROR(INDEX(tbNucleo[ESCOLA],ROUNDUP(ROW(B37)/TotalEtapas,0)),"")</f>
        <v xml:space="preserve"> EM NOVO ORIENTE</v>
      </c>
      <c r="C38" t="str">
        <f>IFERROR(VLOOKUP(B38,tbNucleo[],2,FALSE),"")</f>
        <v/>
      </c>
      <c r="D38" cm="1">
        <f t="array" ref="D38">IF(B38="","",INDEX(tbEtapas[Nº],MOD(ROW(B37)-1,TotalEtapas)+1))</f>
        <v>1</v>
      </c>
      <c r="E38" t="str">
        <f>IFERROR(VLOOKUP(tbEscolas[[#This Row],[COD ETPA]],tbEtapas[],2,FALSE),"")</f>
        <v>CRECHE I</v>
      </c>
      <c r="F38" t="str">
        <f>IFERROR(VLOOKUP(tbEscolas[[#This Row],[COD ETPA]],tbEtapas[],3,FALSE),"")</f>
        <v>EDUCAÇÃO INFANTIL</v>
      </c>
      <c r="G38" t="s">
        <v>125</v>
      </c>
    </row>
    <row r="39" spans="1:7" x14ac:dyDescent="0.25">
      <c r="A39" s="24">
        <f>_xlfn.XLOOKUP(tbEscolas[[#This Row],[ESCOLA]],tbNucleo[ESCOLA],tbNucleo[COD ESCOLA],"")</f>
        <v>3</v>
      </c>
      <c r="B39" t="str" cm="1">
        <f t="array" ref="B39">IFERROR(INDEX(tbNucleo[ESCOLA],ROUNDUP(ROW(B38)/TotalEtapas,0)),"")</f>
        <v xml:space="preserve"> EM NOVO ORIENTE</v>
      </c>
      <c r="C39" t="str">
        <f>IFERROR(VLOOKUP(B39,tbNucleo[],2,FALSE),"")</f>
        <v/>
      </c>
      <c r="D39" cm="1">
        <f t="array" ref="D39">IF(B39="","",INDEX(tbEtapas[Nº],MOD(ROW(B38)-1,TotalEtapas)+1))</f>
        <v>2</v>
      </c>
      <c r="E39" t="str">
        <f>IFERROR(VLOOKUP(tbEscolas[[#This Row],[COD ETPA]],tbEtapas[],2,FALSE),"")</f>
        <v>CRECHE II</v>
      </c>
      <c r="F39" t="str">
        <f>IFERROR(VLOOKUP(tbEscolas[[#This Row],[COD ETPA]],tbEtapas[],3,FALSE),"")</f>
        <v>EDUCAÇÃO INFANTIL</v>
      </c>
      <c r="G39" t="s">
        <v>125</v>
      </c>
    </row>
    <row r="40" spans="1:7" x14ac:dyDescent="0.25">
      <c r="A40" s="24">
        <f>_xlfn.XLOOKUP(tbEscolas[[#This Row],[ESCOLA]],tbNucleo[ESCOLA],tbNucleo[COD ESCOLA],"")</f>
        <v>3</v>
      </c>
      <c r="B40" t="str" cm="1">
        <f t="array" ref="B40">IFERROR(INDEX(tbNucleo[ESCOLA],ROUNDUP(ROW(B39)/TotalEtapas,0)),"")</f>
        <v xml:space="preserve"> EM NOVO ORIENTE</v>
      </c>
      <c r="C40" t="str">
        <f>IFERROR(VLOOKUP(B40,tbNucleo[],2,FALSE),"")</f>
        <v/>
      </c>
      <c r="D40" cm="1">
        <f t="array" ref="D40">IF(B40="","",INDEX(tbEtapas[Nº],MOD(ROW(B39)-1,TotalEtapas)+1))</f>
        <v>3</v>
      </c>
      <c r="E40" t="str">
        <f>IFERROR(VLOOKUP(tbEscolas[[#This Row],[COD ETPA]],tbEtapas[],2,FALSE),"")</f>
        <v>PRE I</v>
      </c>
      <c r="F40" t="str">
        <f>IFERROR(VLOOKUP(tbEscolas[[#This Row],[COD ETPA]],tbEtapas[],3,FALSE),"")</f>
        <v>EDUCAÇÃO INFANTIL</v>
      </c>
      <c r="G40" t="s">
        <v>126</v>
      </c>
    </row>
    <row r="41" spans="1:7" x14ac:dyDescent="0.25">
      <c r="A41" s="24">
        <f>_xlfn.XLOOKUP(tbEscolas[[#This Row],[ESCOLA]],tbNucleo[ESCOLA],tbNucleo[COD ESCOLA],"")</f>
        <v>3</v>
      </c>
      <c r="B41" t="str" cm="1">
        <f t="array" ref="B41">IFERROR(INDEX(tbNucleo[ESCOLA],ROUNDUP(ROW(B40)/TotalEtapas,0)),"")</f>
        <v xml:space="preserve"> EM NOVO ORIENTE</v>
      </c>
      <c r="C41" t="str">
        <f>IFERROR(VLOOKUP(B41,tbNucleo[],2,FALSE),"")</f>
        <v/>
      </c>
      <c r="D41" cm="1">
        <f t="array" ref="D41">IF(B41="","",INDEX(tbEtapas[Nº],MOD(ROW(B40)-1,TotalEtapas)+1))</f>
        <v>4</v>
      </c>
      <c r="E41" t="str">
        <f>IFERROR(VLOOKUP(tbEscolas[[#This Row],[COD ETPA]],tbEtapas[],2,FALSE),"")</f>
        <v>PRE II</v>
      </c>
      <c r="F41" t="str">
        <f>IFERROR(VLOOKUP(tbEscolas[[#This Row],[COD ETPA]],tbEtapas[],3,FALSE),"")</f>
        <v>EDUCAÇÃO INFANTIL</v>
      </c>
      <c r="G41" t="s">
        <v>126</v>
      </c>
    </row>
    <row r="42" spans="1:7" x14ac:dyDescent="0.25">
      <c r="A42" s="24">
        <f>_xlfn.XLOOKUP(tbEscolas[[#This Row],[ESCOLA]],tbNucleo[ESCOLA],tbNucleo[COD ESCOLA],"")</f>
        <v>3</v>
      </c>
      <c r="B42" t="str" cm="1">
        <f t="array" ref="B42">IFERROR(INDEX(tbNucleo[ESCOLA],ROUNDUP(ROW(B41)/TotalEtapas,0)),"")</f>
        <v xml:space="preserve"> EM NOVO ORIENTE</v>
      </c>
      <c r="C42" t="str">
        <f>IFERROR(VLOOKUP(B42,tbNucleo[],2,FALSE),"")</f>
        <v/>
      </c>
      <c r="D42" cm="1">
        <f t="array" ref="D42">IF(B42="","",INDEX(tbEtapas[Nº],MOD(ROW(B41)-1,TotalEtapas)+1))</f>
        <v>5</v>
      </c>
      <c r="E42" t="str">
        <f>IFERROR(VLOOKUP(tbEscolas[[#This Row],[COD ETPA]],tbEtapas[],2,FALSE),"")</f>
        <v>1º ANO</v>
      </c>
      <c r="F42" t="str">
        <f>IFERROR(VLOOKUP(tbEscolas[[#This Row],[COD ETPA]],tbEtapas[],3,FALSE),"")</f>
        <v>FUNDAMENTAL</v>
      </c>
      <c r="G42" t="s">
        <v>126</v>
      </c>
    </row>
    <row r="43" spans="1:7" x14ac:dyDescent="0.25">
      <c r="A43" s="24">
        <f>_xlfn.XLOOKUP(tbEscolas[[#This Row],[ESCOLA]],tbNucleo[ESCOLA],tbNucleo[COD ESCOLA],"")</f>
        <v>3</v>
      </c>
      <c r="B43" t="str" cm="1">
        <f t="array" ref="B43">IFERROR(INDEX(tbNucleo[ESCOLA],ROUNDUP(ROW(B42)/TotalEtapas,0)),"")</f>
        <v xml:space="preserve"> EM NOVO ORIENTE</v>
      </c>
      <c r="C43" t="str">
        <f>IFERROR(VLOOKUP(B43,tbNucleo[],2,FALSE),"")</f>
        <v/>
      </c>
      <c r="D43" cm="1">
        <f t="array" ref="D43">IF(B43="","",INDEX(tbEtapas[Nº],MOD(ROW(B42)-1,TotalEtapas)+1))</f>
        <v>6</v>
      </c>
      <c r="E43" t="str">
        <f>IFERROR(VLOOKUP(tbEscolas[[#This Row],[COD ETPA]],tbEtapas[],2,FALSE),"")</f>
        <v>2º ANO</v>
      </c>
      <c r="F43" t="str">
        <f>IFERROR(VLOOKUP(tbEscolas[[#This Row],[COD ETPA]],tbEtapas[],3,FALSE),"")</f>
        <v>FUNDAMENTAL</v>
      </c>
      <c r="G43" t="s">
        <v>126</v>
      </c>
    </row>
    <row r="44" spans="1:7" x14ac:dyDescent="0.25">
      <c r="A44" s="24">
        <f>_xlfn.XLOOKUP(tbEscolas[[#This Row],[ESCOLA]],tbNucleo[ESCOLA],tbNucleo[COD ESCOLA],"")</f>
        <v>3</v>
      </c>
      <c r="B44" t="str" cm="1">
        <f t="array" ref="B44">IFERROR(INDEX(tbNucleo[ESCOLA],ROUNDUP(ROW(B43)/TotalEtapas,0)),"")</f>
        <v xml:space="preserve"> EM NOVO ORIENTE</v>
      </c>
      <c r="C44" t="str">
        <f>IFERROR(VLOOKUP(B44,tbNucleo[],2,FALSE),"")</f>
        <v/>
      </c>
      <c r="D44" cm="1">
        <f t="array" ref="D44">IF(B44="","",INDEX(tbEtapas[Nº],MOD(ROW(B43)-1,TotalEtapas)+1))</f>
        <v>7</v>
      </c>
      <c r="E44" t="str">
        <f>IFERROR(VLOOKUP(tbEscolas[[#This Row],[COD ETPA]],tbEtapas[],2,FALSE),"")</f>
        <v>3º ANO</v>
      </c>
      <c r="F44" t="str">
        <f>IFERROR(VLOOKUP(tbEscolas[[#This Row],[COD ETPA]],tbEtapas[],3,FALSE),"")</f>
        <v>FUNDAMENTAL</v>
      </c>
      <c r="G44" t="s">
        <v>126</v>
      </c>
    </row>
    <row r="45" spans="1:7" x14ac:dyDescent="0.25">
      <c r="A45" s="24">
        <f>_xlfn.XLOOKUP(tbEscolas[[#This Row],[ESCOLA]],tbNucleo[ESCOLA],tbNucleo[COD ESCOLA],"")</f>
        <v>3</v>
      </c>
      <c r="B45" t="str" cm="1">
        <f t="array" ref="B45">IFERROR(INDEX(tbNucleo[ESCOLA],ROUNDUP(ROW(B44)/TotalEtapas,0)),"")</f>
        <v xml:space="preserve"> EM NOVO ORIENTE</v>
      </c>
      <c r="C45" t="str">
        <f>IFERROR(VLOOKUP(B45,tbNucleo[],2,FALSE),"")</f>
        <v/>
      </c>
      <c r="D45" cm="1">
        <f t="array" ref="D45">IF(B45="","",INDEX(tbEtapas[Nº],MOD(ROW(B44)-1,TotalEtapas)+1))</f>
        <v>8</v>
      </c>
      <c r="E45" t="str">
        <f>IFERROR(VLOOKUP(tbEscolas[[#This Row],[COD ETPA]],tbEtapas[],2,FALSE),"")</f>
        <v>4º ANO</v>
      </c>
      <c r="F45" t="str">
        <f>IFERROR(VLOOKUP(tbEscolas[[#This Row],[COD ETPA]],tbEtapas[],3,FALSE),"")</f>
        <v>FUNDAMENTAL</v>
      </c>
      <c r="G45" t="s">
        <v>126</v>
      </c>
    </row>
    <row r="46" spans="1:7" x14ac:dyDescent="0.25">
      <c r="A46" s="24">
        <f>_xlfn.XLOOKUP(tbEscolas[[#This Row],[ESCOLA]],tbNucleo[ESCOLA],tbNucleo[COD ESCOLA],"")</f>
        <v>3</v>
      </c>
      <c r="B46" t="str" cm="1">
        <f t="array" ref="B46">IFERROR(INDEX(tbNucleo[ESCOLA],ROUNDUP(ROW(B45)/TotalEtapas,0)),"")</f>
        <v xml:space="preserve"> EM NOVO ORIENTE</v>
      </c>
      <c r="C46" t="str">
        <f>IFERROR(VLOOKUP(B46,tbNucleo[],2,FALSE),"")</f>
        <v/>
      </c>
      <c r="D46" cm="1">
        <f t="array" ref="D46">IF(B46="","",INDEX(tbEtapas[Nº],MOD(ROW(B45)-1,TotalEtapas)+1))</f>
        <v>9</v>
      </c>
      <c r="E46" t="str">
        <f>IFERROR(VLOOKUP(tbEscolas[[#This Row],[COD ETPA]],tbEtapas[],2,FALSE),"")</f>
        <v>5º ANO</v>
      </c>
      <c r="F46" t="str">
        <f>IFERROR(VLOOKUP(tbEscolas[[#This Row],[COD ETPA]],tbEtapas[],3,FALSE),"")</f>
        <v>FUNDAMENTAL</v>
      </c>
      <c r="G46" t="s">
        <v>126</v>
      </c>
    </row>
    <row r="47" spans="1:7" x14ac:dyDescent="0.25">
      <c r="A47" s="24">
        <f>_xlfn.XLOOKUP(tbEscolas[[#This Row],[ESCOLA]],tbNucleo[ESCOLA],tbNucleo[COD ESCOLA],"")</f>
        <v>3</v>
      </c>
      <c r="B47" t="str" cm="1">
        <f t="array" ref="B47">IFERROR(INDEX(tbNucleo[ESCOLA],ROUNDUP(ROW(B46)/TotalEtapas,0)),"")</f>
        <v xml:space="preserve"> EM NOVO ORIENTE</v>
      </c>
      <c r="C47" t="str">
        <f>IFERROR(VLOOKUP(B47,tbNucleo[],2,FALSE),"")</f>
        <v/>
      </c>
      <c r="D47" cm="1">
        <f t="array" ref="D47">IF(B47="","",INDEX(tbEtapas[Nº],MOD(ROW(B46)-1,TotalEtapas)+1))</f>
        <v>10</v>
      </c>
      <c r="E47" t="str">
        <f>IFERROR(VLOOKUP(tbEscolas[[#This Row],[COD ETPA]],tbEtapas[],2,FALSE),"")</f>
        <v>6º ANO</v>
      </c>
      <c r="F47" t="str">
        <f>IFERROR(VLOOKUP(tbEscolas[[#This Row],[COD ETPA]],tbEtapas[],3,FALSE),"")</f>
        <v>FUNDAMENTAL</v>
      </c>
      <c r="G47" t="s">
        <v>125</v>
      </c>
    </row>
    <row r="48" spans="1:7" x14ac:dyDescent="0.25">
      <c r="A48" s="24">
        <f>_xlfn.XLOOKUP(tbEscolas[[#This Row],[ESCOLA]],tbNucleo[ESCOLA],tbNucleo[COD ESCOLA],"")</f>
        <v>3</v>
      </c>
      <c r="B48" t="str" cm="1">
        <f t="array" ref="B48">IFERROR(INDEX(tbNucleo[ESCOLA],ROUNDUP(ROW(B47)/TotalEtapas,0)),"")</f>
        <v xml:space="preserve"> EM NOVO ORIENTE</v>
      </c>
      <c r="C48" t="str">
        <f>IFERROR(VLOOKUP(B48,tbNucleo[],2,FALSE),"")</f>
        <v/>
      </c>
      <c r="D48" cm="1">
        <f t="array" ref="D48">IF(B48="","",INDEX(tbEtapas[Nº],MOD(ROW(B47)-1,TotalEtapas)+1))</f>
        <v>11</v>
      </c>
      <c r="E48" t="str">
        <f>IFERROR(VLOOKUP(tbEscolas[[#This Row],[COD ETPA]],tbEtapas[],2,FALSE),"")</f>
        <v>7º ANO</v>
      </c>
      <c r="F48" t="str">
        <f>IFERROR(VLOOKUP(tbEscolas[[#This Row],[COD ETPA]],tbEtapas[],3,FALSE),"")</f>
        <v>FUNDAMENTAL</v>
      </c>
      <c r="G48" t="s">
        <v>125</v>
      </c>
    </row>
    <row r="49" spans="1:7" x14ac:dyDescent="0.25">
      <c r="A49" s="24">
        <f>_xlfn.XLOOKUP(tbEscolas[[#This Row],[ESCOLA]],tbNucleo[ESCOLA],tbNucleo[COD ESCOLA],"")</f>
        <v>3</v>
      </c>
      <c r="B49" t="str" cm="1">
        <f t="array" ref="B49">IFERROR(INDEX(tbNucleo[ESCOLA],ROUNDUP(ROW(B48)/TotalEtapas,0)),"")</f>
        <v xml:space="preserve"> EM NOVO ORIENTE</v>
      </c>
      <c r="C49" t="str">
        <f>IFERROR(VLOOKUP(B49,tbNucleo[],2,FALSE),"")</f>
        <v/>
      </c>
      <c r="D49" cm="1">
        <f t="array" ref="D49">IF(B49="","",INDEX(tbEtapas[Nº],MOD(ROW(B48)-1,TotalEtapas)+1))</f>
        <v>12</v>
      </c>
      <c r="E49" t="str">
        <f>IFERROR(VLOOKUP(tbEscolas[[#This Row],[COD ETPA]],tbEtapas[],2,FALSE),"")</f>
        <v>8º ANO</v>
      </c>
      <c r="F49" t="str">
        <f>IFERROR(VLOOKUP(tbEscolas[[#This Row],[COD ETPA]],tbEtapas[],3,FALSE),"")</f>
        <v>FUNDAMENTAL</v>
      </c>
      <c r="G49" t="s">
        <v>125</v>
      </c>
    </row>
    <row r="50" spans="1:7" x14ac:dyDescent="0.25">
      <c r="A50" s="24">
        <f>_xlfn.XLOOKUP(tbEscolas[[#This Row],[ESCOLA]],tbNucleo[ESCOLA],tbNucleo[COD ESCOLA],"")</f>
        <v>3</v>
      </c>
      <c r="B50" t="str" cm="1">
        <f t="array" ref="B50">IFERROR(INDEX(tbNucleo[ESCOLA],ROUNDUP(ROW(B49)/TotalEtapas,0)),"")</f>
        <v xml:space="preserve"> EM NOVO ORIENTE</v>
      </c>
      <c r="C50" t="str">
        <f>IFERROR(VLOOKUP(B50,tbNucleo[],2,FALSE),"")</f>
        <v/>
      </c>
      <c r="D50" cm="1">
        <f t="array" ref="D50">IF(B50="","",INDEX(tbEtapas[Nº],MOD(ROW(B49)-1,TotalEtapas)+1))</f>
        <v>13</v>
      </c>
      <c r="E50" t="str">
        <f>IFERROR(VLOOKUP(tbEscolas[[#This Row],[COD ETPA]],tbEtapas[],2,FALSE),"")</f>
        <v>9º ANO</v>
      </c>
      <c r="F50" t="str">
        <f>IFERROR(VLOOKUP(tbEscolas[[#This Row],[COD ETPA]],tbEtapas[],3,FALSE),"")</f>
        <v>FUNDAMENTAL</v>
      </c>
      <c r="G50" t="s">
        <v>125</v>
      </c>
    </row>
    <row r="51" spans="1:7" x14ac:dyDescent="0.25">
      <c r="A51" s="24">
        <f>_xlfn.XLOOKUP(tbEscolas[[#This Row],[ESCOLA]],tbNucleo[ESCOLA],tbNucleo[COD ESCOLA],"")</f>
        <v>3</v>
      </c>
      <c r="B51" t="str" cm="1">
        <f t="array" ref="B51">IFERROR(INDEX(tbNucleo[ESCOLA],ROUNDUP(ROW(B50)/TotalEtapas,0)),"")</f>
        <v xml:space="preserve"> EM NOVO ORIENTE</v>
      </c>
      <c r="C51" t="str">
        <f>IFERROR(VLOOKUP(B51,tbNucleo[],2,FALSE),"")</f>
        <v/>
      </c>
      <c r="D51" cm="1">
        <f t="array" ref="D51">IF(B51="","",INDEX(tbEtapas[Nº],MOD(ROW(B50)-1,TotalEtapas)+1))</f>
        <v>14</v>
      </c>
      <c r="E51" t="str">
        <f>IFERROR(VLOOKUP(tbEscolas[[#This Row],[COD ETPA]],tbEtapas[],2,FALSE),"")</f>
        <v>1º ANO</v>
      </c>
      <c r="F51" t="str">
        <f>IFERROR(VLOOKUP(tbEscolas[[#This Row],[COD ETPA]],tbEtapas[],3,FALSE),"")</f>
        <v>ENSINO MÉDIO</v>
      </c>
      <c r="G51" t="s">
        <v>125</v>
      </c>
    </row>
    <row r="52" spans="1:7" x14ac:dyDescent="0.25">
      <c r="A52" s="24">
        <f>_xlfn.XLOOKUP(tbEscolas[[#This Row],[ESCOLA]],tbNucleo[ESCOLA],tbNucleo[COD ESCOLA],"")</f>
        <v>3</v>
      </c>
      <c r="B52" t="str" cm="1">
        <f t="array" ref="B52">IFERROR(INDEX(tbNucleo[ESCOLA],ROUNDUP(ROW(B51)/TotalEtapas,0)),"")</f>
        <v xml:space="preserve"> EM NOVO ORIENTE</v>
      </c>
      <c r="C52" t="str">
        <f>IFERROR(VLOOKUP(B52,tbNucleo[],2,FALSE),"")</f>
        <v/>
      </c>
      <c r="D52" cm="1">
        <f t="array" ref="D52">IF(B52="","",INDEX(tbEtapas[Nº],MOD(ROW(B51)-1,TotalEtapas)+1))</f>
        <v>15</v>
      </c>
      <c r="E52" t="str">
        <f>IFERROR(VLOOKUP(tbEscolas[[#This Row],[COD ETPA]],tbEtapas[],2,FALSE),"")</f>
        <v>2º ANO</v>
      </c>
      <c r="F52" t="str">
        <f>IFERROR(VLOOKUP(tbEscolas[[#This Row],[COD ETPA]],tbEtapas[],3,FALSE),"")</f>
        <v>ENSINO MÉDIO</v>
      </c>
      <c r="G52" t="s">
        <v>125</v>
      </c>
    </row>
    <row r="53" spans="1:7" x14ac:dyDescent="0.25">
      <c r="A53" s="24">
        <f>_xlfn.XLOOKUP(tbEscolas[[#This Row],[ESCOLA]],tbNucleo[ESCOLA],tbNucleo[COD ESCOLA],"")</f>
        <v>3</v>
      </c>
      <c r="B53" t="str" cm="1">
        <f t="array" ref="B53">IFERROR(INDEX(tbNucleo[ESCOLA],ROUNDUP(ROW(B52)/TotalEtapas,0)),"")</f>
        <v xml:space="preserve"> EM NOVO ORIENTE</v>
      </c>
      <c r="C53" t="str">
        <f>IFERROR(VLOOKUP(B53,tbNucleo[],2,FALSE),"")</f>
        <v/>
      </c>
      <c r="D53" cm="1">
        <f t="array" ref="D53">IF(B53="","",INDEX(tbEtapas[Nº],MOD(ROW(B52)-1,TotalEtapas)+1))</f>
        <v>16</v>
      </c>
      <c r="E53" t="str">
        <f>IFERROR(VLOOKUP(tbEscolas[[#This Row],[COD ETPA]],tbEtapas[],2,FALSE),"")</f>
        <v>3º ANO</v>
      </c>
      <c r="F53" t="str">
        <f>IFERROR(VLOOKUP(tbEscolas[[#This Row],[COD ETPA]],tbEtapas[],3,FALSE),"")</f>
        <v>ENSINO MÉDIO</v>
      </c>
      <c r="G53" t="s">
        <v>125</v>
      </c>
    </row>
    <row r="54" spans="1:7" x14ac:dyDescent="0.25">
      <c r="A54" s="24">
        <f>_xlfn.XLOOKUP(tbEscolas[[#This Row],[ESCOLA]],tbNucleo[ESCOLA],tbNucleo[COD ESCOLA],"")</f>
        <v>3</v>
      </c>
      <c r="B54" t="str" cm="1">
        <f t="array" ref="B54">IFERROR(INDEX(tbNucleo[ESCOLA],ROUNDUP(ROW(B53)/TotalEtapas,0)),"")</f>
        <v xml:space="preserve"> EM NOVO ORIENTE</v>
      </c>
      <c r="C54" t="str">
        <f>IFERROR(VLOOKUP(B54,tbNucleo[],2,FALSE),"")</f>
        <v/>
      </c>
      <c r="D54" cm="1">
        <f t="array" ref="D54">IF(B54="","",INDEX(tbEtapas[Nº],MOD(ROW(B53)-1,TotalEtapas)+1))</f>
        <v>17</v>
      </c>
      <c r="E54" t="str">
        <f>IFERROR(VLOOKUP(tbEscolas[[#This Row],[COD ETPA]],tbEtapas[],2,FALSE),"")</f>
        <v>EJA I</v>
      </c>
      <c r="F54" t="str">
        <f>IFERROR(VLOOKUP(tbEscolas[[#This Row],[COD ETPA]],tbEtapas[],3,FALSE),"")</f>
        <v>FUNDAMENTAL</v>
      </c>
      <c r="G54" t="s">
        <v>125</v>
      </c>
    </row>
    <row r="55" spans="1:7" x14ac:dyDescent="0.25">
      <c r="A55" s="24">
        <f>_xlfn.XLOOKUP(tbEscolas[[#This Row],[ESCOLA]],tbNucleo[ESCOLA],tbNucleo[COD ESCOLA],"")</f>
        <v>3</v>
      </c>
      <c r="B55" t="str" cm="1">
        <f t="array" ref="B55">IFERROR(INDEX(tbNucleo[ESCOLA],ROUNDUP(ROW(B54)/TotalEtapas,0)),"")</f>
        <v xml:space="preserve"> EM NOVO ORIENTE</v>
      </c>
      <c r="C55" t="str">
        <f>IFERROR(VLOOKUP(B55,tbNucleo[],2,FALSE),"")</f>
        <v/>
      </c>
      <c r="D55" cm="1">
        <f t="array" ref="D55">IF(B55="","",INDEX(tbEtapas[Nº],MOD(ROW(B54)-1,TotalEtapas)+1))</f>
        <v>18</v>
      </c>
      <c r="E55" t="str">
        <f>IFERROR(VLOOKUP(tbEscolas[[#This Row],[COD ETPA]],tbEtapas[],2,FALSE),"")</f>
        <v>EJA II</v>
      </c>
      <c r="F55" t="str">
        <f>IFERROR(VLOOKUP(tbEscolas[[#This Row],[COD ETPA]],tbEtapas[],3,FALSE),"")</f>
        <v>ENSINO MÉDIO</v>
      </c>
      <c r="G55" t="s">
        <v>125</v>
      </c>
    </row>
    <row r="56" spans="1:7" x14ac:dyDescent="0.25">
      <c r="A56" s="24">
        <f>_xlfn.XLOOKUP(tbEscolas[[#This Row],[ESCOLA]],tbNucleo[ESCOLA],tbNucleo[COD ESCOLA],"")</f>
        <v>4</v>
      </c>
      <c r="B56" t="str" cm="1">
        <f t="array" ref="B56">IFERROR(INDEX(tbNucleo[ESCOLA],ROUNDUP(ROW(B55)/TotalEtapas,0)),"")</f>
        <v xml:space="preserve"> EM PROFª ERENICE SIMAO ALVARENGA </v>
      </c>
      <c r="C56" t="str">
        <f>IFERROR(VLOOKUP(B56,tbNucleo[],2,FALSE),"")</f>
        <v/>
      </c>
      <c r="D56" cm="1">
        <f t="array" ref="D56">IF(B56="","",INDEX(tbEtapas[Nº],MOD(ROW(B55)-1,TotalEtapas)+1))</f>
        <v>1</v>
      </c>
      <c r="E56" t="str">
        <f>IFERROR(VLOOKUP(tbEscolas[[#This Row],[COD ETPA]],tbEtapas[],2,FALSE),"")</f>
        <v>CRECHE I</v>
      </c>
      <c r="F56" t="str">
        <f>IFERROR(VLOOKUP(tbEscolas[[#This Row],[COD ETPA]],tbEtapas[],3,FALSE),"")</f>
        <v>EDUCAÇÃO INFANTIL</v>
      </c>
      <c r="G56" t="s">
        <v>125</v>
      </c>
    </row>
    <row r="57" spans="1:7" x14ac:dyDescent="0.25">
      <c r="A57" s="24">
        <f>_xlfn.XLOOKUP(tbEscolas[[#This Row],[ESCOLA]],tbNucleo[ESCOLA],tbNucleo[COD ESCOLA],"")</f>
        <v>4</v>
      </c>
      <c r="B57" t="str" cm="1">
        <f t="array" ref="B57">IFERROR(INDEX(tbNucleo[ESCOLA],ROUNDUP(ROW(B56)/TotalEtapas,0)),"")</f>
        <v xml:space="preserve"> EM PROFª ERENICE SIMAO ALVARENGA </v>
      </c>
      <c r="C57" t="str">
        <f>IFERROR(VLOOKUP(B57,tbNucleo[],2,FALSE),"")</f>
        <v/>
      </c>
      <c r="D57" cm="1">
        <f t="array" ref="D57">IF(B57="","",INDEX(tbEtapas[Nº],MOD(ROW(B56)-1,TotalEtapas)+1))</f>
        <v>2</v>
      </c>
      <c r="E57" t="str">
        <f>IFERROR(VLOOKUP(tbEscolas[[#This Row],[COD ETPA]],tbEtapas[],2,FALSE),"")</f>
        <v>CRECHE II</v>
      </c>
      <c r="F57" t="str">
        <f>IFERROR(VLOOKUP(tbEscolas[[#This Row],[COD ETPA]],tbEtapas[],3,FALSE),"")</f>
        <v>EDUCAÇÃO INFANTIL</v>
      </c>
      <c r="G57" t="s">
        <v>125</v>
      </c>
    </row>
    <row r="58" spans="1:7" x14ac:dyDescent="0.25">
      <c r="A58" s="24">
        <f>_xlfn.XLOOKUP(tbEscolas[[#This Row],[ESCOLA]],tbNucleo[ESCOLA],tbNucleo[COD ESCOLA],"")</f>
        <v>4</v>
      </c>
      <c r="B58" t="str" cm="1">
        <f t="array" ref="B58">IFERROR(INDEX(tbNucleo[ESCOLA],ROUNDUP(ROW(B57)/TotalEtapas,0)),"")</f>
        <v xml:space="preserve"> EM PROFª ERENICE SIMAO ALVARENGA </v>
      </c>
      <c r="C58" t="str">
        <f>IFERROR(VLOOKUP(B58,tbNucleo[],2,FALSE),"")</f>
        <v/>
      </c>
      <c r="D58" cm="1">
        <f t="array" ref="D58">IF(B58="","",INDEX(tbEtapas[Nº],MOD(ROW(B57)-1,TotalEtapas)+1))</f>
        <v>3</v>
      </c>
      <c r="E58" t="str">
        <f>IFERROR(VLOOKUP(tbEscolas[[#This Row],[COD ETPA]],tbEtapas[],2,FALSE),"")</f>
        <v>PRE I</v>
      </c>
      <c r="F58" t="str">
        <f>IFERROR(VLOOKUP(tbEscolas[[#This Row],[COD ETPA]],tbEtapas[],3,FALSE),"")</f>
        <v>EDUCAÇÃO INFANTIL</v>
      </c>
      <c r="G58" t="s">
        <v>125</v>
      </c>
    </row>
    <row r="59" spans="1:7" x14ac:dyDescent="0.25">
      <c r="A59" s="24">
        <f>_xlfn.XLOOKUP(tbEscolas[[#This Row],[ESCOLA]],tbNucleo[ESCOLA],tbNucleo[COD ESCOLA],"")</f>
        <v>4</v>
      </c>
      <c r="B59" t="str" cm="1">
        <f t="array" ref="B59">IFERROR(INDEX(tbNucleo[ESCOLA],ROUNDUP(ROW(B58)/TotalEtapas,0)),"")</f>
        <v xml:space="preserve"> EM PROFª ERENICE SIMAO ALVARENGA </v>
      </c>
      <c r="C59" t="str">
        <f>IFERROR(VLOOKUP(B59,tbNucleo[],2,FALSE),"")</f>
        <v/>
      </c>
      <c r="D59" cm="1">
        <f t="array" ref="D59">IF(B59="","",INDEX(tbEtapas[Nº],MOD(ROW(B58)-1,TotalEtapas)+1))</f>
        <v>4</v>
      </c>
      <c r="E59" t="str">
        <f>IFERROR(VLOOKUP(tbEscolas[[#This Row],[COD ETPA]],tbEtapas[],2,FALSE),"")</f>
        <v>PRE II</v>
      </c>
      <c r="F59" t="str">
        <f>IFERROR(VLOOKUP(tbEscolas[[#This Row],[COD ETPA]],tbEtapas[],3,FALSE),"")</f>
        <v>EDUCAÇÃO INFANTIL</v>
      </c>
      <c r="G59" t="s">
        <v>125</v>
      </c>
    </row>
    <row r="60" spans="1:7" x14ac:dyDescent="0.25">
      <c r="A60" s="24">
        <f>_xlfn.XLOOKUP(tbEscolas[[#This Row],[ESCOLA]],tbNucleo[ESCOLA],tbNucleo[COD ESCOLA],"")</f>
        <v>4</v>
      </c>
      <c r="B60" t="str" cm="1">
        <f t="array" ref="B60">IFERROR(INDEX(tbNucleo[ESCOLA],ROUNDUP(ROW(B59)/TotalEtapas,0)),"")</f>
        <v xml:space="preserve"> EM PROFª ERENICE SIMAO ALVARENGA </v>
      </c>
      <c r="C60" t="str">
        <f>IFERROR(VLOOKUP(B60,tbNucleo[],2,FALSE),"")</f>
        <v/>
      </c>
      <c r="D60" cm="1">
        <f t="array" ref="D60">IF(B60="","",INDEX(tbEtapas[Nº],MOD(ROW(B59)-1,TotalEtapas)+1))</f>
        <v>5</v>
      </c>
      <c r="E60" t="str">
        <f>IFERROR(VLOOKUP(tbEscolas[[#This Row],[COD ETPA]],tbEtapas[],2,FALSE),"")</f>
        <v>1º ANO</v>
      </c>
      <c r="F60" t="str">
        <f>IFERROR(VLOOKUP(tbEscolas[[#This Row],[COD ETPA]],tbEtapas[],3,FALSE),"")</f>
        <v>FUNDAMENTAL</v>
      </c>
      <c r="G60" t="s">
        <v>125</v>
      </c>
    </row>
    <row r="61" spans="1:7" x14ac:dyDescent="0.25">
      <c r="A61" s="24">
        <f>_xlfn.XLOOKUP(tbEscolas[[#This Row],[ESCOLA]],tbNucleo[ESCOLA],tbNucleo[COD ESCOLA],"")</f>
        <v>4</v>
      </c>
      <c r="B61" t="str" cm="1">
        <f t="array" ref="B61">IFERROR(INDEX(tbNucleo[ESCOLA],ROUNDUP(ROW(B60)/TotalEtapas,0)),"")</f>
        <v xml:space="preserve"> EM PROFª ERENICE SIMAO ALVARENGA </v>
      </c>
      <c r="C61" t="str">
        <f>IFERROR(VLOOKUP(B61,tbNucleo[],2,FALSE),"")</f>
        <v/>
      </c>
      <c r="D61" cm="1">
        <f t="array" ref="D61">IF(B61="","",INDEX(tbEtapas[Nº],MOD(ROW(B60)-1,TotalEtapas)+1))</f>
        <v>6</v>
      </c>
      <c r="E61" t="str">
        <f>IFERROR(VLOOKUP(tbEscolas[[#This Row],[COD ETPA]],tbEtapas[],2,FALSE),"")</f>
        <v>2º ANO</v>
      </c>
      <c r="F61" t="str">
        <f>IFERROR(VLOOKUP(tbEscolas[[#This Row],[COD ETPA]],tbEtapas[],3,FALSE),"")</f>
        <v>FUNDAMENTAL</v>
      </c>
      <c r="G61" t="s">
        <v>125</v>
      </c>
    </row>
    <row r="62" spans="1:7" x14ac:dyDescent="0.25">
      <c r="A62" s="24">
        <f>_xlfn.XLOOKUP(tbEscolas[[#This Row],[ESCOLA]],tbNucleo[ESCOLA],tbNucleo[COD ESCOLA],"")</f>
        <v>4</v>
      </c>
      <c r="B62" t="str" cm="1">
        <f t="array" ref="B62">IFERROR(INDEX(tbNucleo[ESCOLA],ROUNDUP(ROW(B61)/TotalEtapas,0)),"")</f>
        <v xml:space="preserve"> EM PROFª ERENICE SIMAO ALVARENGA </v>
      </c>
      <c r="C62" t="str">
        <f>IFERROR(VLOOKUP(B62,tbNucleo[],2,FALSE),"")</f>
        <v/>
      </c>
      <c r="D62" cm="1">
        <f t="array" ref="D62">IF(B62="","",INDEX(tbEtapas[Nº],MOD(ROW(B61)-1,TotalEtapas)+1))</f>
        <v>7</v>
      </c>
      <c r="E62" t="str">
        <f>IFERROR(VLOOKUP(tbEscolas[[#This Row],[COD ETPA]],tbEtapas[],2,FALSE),"")</f>
        <v>3º ANO</v>
      </c>
      <c r="F62" t="str">
        <f>IFERROR(VLOOKUP(tbEscolas[[#This Row],[COD ETPA]],tbEtapas[],3,FALSE),"")</f>
        <v>FUNDAMENTAL</v>
      </c>
      <c r="G62" t="s">
        <v>125</v>
      </c>
    </row>
    <row r="63" spans="1:7" x14ac:dyDescent="0.25">
      <c r="A63" s="24">
        <f>_xlfn.XLOOKUP(tbEscolas[[#This Row],[ESCOLA]],tbNucleo[ESCOLA],tbNucleo[COD ESCOLA],"")</f>
        <v>4</v>
      </c>
      <c r="B63" t="str" cm="1">
        <f t="array" ref="B63">IFERROR(INDEX(tbNucleo[ESCOLA],ROUNDUP(ROW(B62)/TotalEtapas,0)),"")</f>
        <v xml:space="preserve"> EM PROFª ERENICE SIMAO ALVARENGA </v>
      </c>
      <c r="C63" t="str">
        <f>IFERROR(VLOOKUP(B63,tbNucleo[],2,FALSE),"")</f>
        <v/>
      </c>
      <c r="D63" cm="1">
        <f t="array" ref="D63">IF(B63="","",INDEX(tbEtapas[Nº],MOD(ROW(B62)-1,TotalEtapas)+1))</f>
        <v>8</v>
      </c>
      <c r="E63" t="str">
        <f>IFERROR(VLOOKUP(tbEscolas[[#This Row],[COD ETPA]],tbEtapas[],2,FALSE),"")</f>
        <v>4º ANO</v>
      </c>
      <c r="F63" t="str">
        <f>IFERROR(VLOOKUP(tbEscolas[[#This Row],[COD ETPA]],tbEtapas[],3,FALSE),"")</f>
        <v>FUNDAMENTAL</v>
      </c>
      <c r="G63" t="s">
        <v>125</v>
      </c>
    </row>
    <row r="64" spans="1:7" x14ac:dyDescent="0.25">
      <c r="A64" s="24">
        <f>_xlfn.XLOOKUP(tbEscolas[[#This Row],[ESCOLA]],tbNucleo[ESCOLA],tbNucleo[COD ESCOLA],"")</f>
        <v>4</v>
      </c>
      <c r="B64" t="str" cm="1">
        <f t="array" ref="B64">IFERROR(INDEX(tbNucleo[ESCOLA],ROUNDUP(ROW(B63)/TotalEtapas,0)),"")</f>
        <v xml:space="preserve"> EM PROFª ERENICE SIMAO ALVARENGA </v>
      </c>
      <c r="C64" t="str">
        <f>IFERROR(VLOOKUP(B64,tbNucleo[],2,FALSE),"")</f>
        <v/>
      </c>
      <c r="D64" cm="1">
        <f t="array" ref="D64">IF(B64="","",INDEX(tbEtapas[Nº],MOD(ROW(B63)-1,TotalEtapas)+1))</f>
        <v>9</v>
      </c>
      <c r="E64" t="str">
        <f>IFERROR(VLOOKUP(tbEscolas[[#This Row],[COD ETPA]],tbEtapas[],2,FALSE),"")</f>
        <v>5º ANO</v>
      </c>
      <c r="F64" t="str">
        <f>IFERROR(VLOOKUP(tbEscolas[[#This Row],[COD ETPA]],tbEtapas[],3,FALSE),"")</f>
        <v>FUNDAMENTAL</v>
      </c>
      <c r="G64" t="s">
        <v>125</v>
      </c>
    </row>
    <row r="65" spans="1:7" x14ac:dyDescent="0.25">
      <c r="A65" s="24">
        <f>_xlfn.XLOOKUP(tbEscolas[[#This Row],[ESCOLA]],tbNucleo[ESCOLA],tbNucleo[COD ESCOLA],"")</f>
        <v>4</v>
      </c>
      <c r="B65" t="str" cm="1">
        <f t="array" ref="B65">IFERROR(INDEX(tbNucleo[ESCOLA],ROUNDUP(ROW(B64)/TotalEtapas,0)),"")</f>
        <v xml:space="preserve"> EM PROFª ERENICE SIMAO ALVARENGA </v>
      </c>
      <c r="C65" t="str">
        <f>IFERROR(VLOOKUP(B65,tbNucleo[],2,FALSE),"")</f>
        <v/>
      </c>
      <c r="D65" cm="1">
        <f t="array" ref="D65">IF(B65="","",INDEX(tbEtapas[Nº],MOD(ROW(B64)-1,TotalEtapas)+1))</f>
        <v>10</v>
      </c>
      <c r="E65" t="str">
        <f>IFERROR(VLOOKUP(tbEscolas[[#This Row],[COD ETPA]],tbEtapas[],2,FALSE),"")</f>
        <v>6º ANO</v>
      </c>
      <c r="F65" t="str">
        <f>IFERROR(VLOOKUP(tbEscolas[[#This Row],[COD ETPA]],tbEtapas[],3,FALSE),"")</f>
        <v>FUNDAMENTAL</v>
      </c>
      <c r="G65" t="s">
        <v>126</v>
      </c>
    </row>
    <row r="66" spans="1:7" x14ac:dyDescent="0.25">
      <c r="A66" s="24">
        <f>_xlfn.XLOOKUP(tbEscolas[[#This Row],[ESCOLA]],tbNucleo[ESCOLA],tbNucleo[COD ESCOLA],"")</f>
        <v>4</v>
      </c>
      <c r="B66" t="str" cm="1">
        <f t="array" ref="B66">IFERROR(INDEX(tbNucleo[ESCOLA],ROUNDUP(ROW(B65)/TotalEtapas,0)),"")</f>
        <v xml:space="preserve"> EM PROFª ERENICE SIMAO ALVARENGA </v>
      </c>
      <c r="C66" t="str">
        <f>IFERROR(VLOOKUP(B66,tbNucleo[],2,FALSE),"")</f>
        <v/>
      </c>
      <c r="D66" cm="1">
        <f t="array" ref="D66">IF(B66="","",INDEX(tbEtapas[Nº],MOD(ROW(B65)-1,TotalEtapas)+1))</f>
        <v>11</v>
      </c>
      <c r="E66" t="str">
        <f>IFERROR(VLOOKUP(tbEscolas[[#This Row],[COD ETPA]],tbEtapas[],2,FALSE),"")</f>
        <v>7º ANO</v>
      </c>
      <c r="F66" t="str">
        <f>IFERROR(VLOOKUP(tbEscolas[[#This Row],[COD ETPA]],tbEtapas[],3,FALSE),"")</f>
        <v>FUNDAMENTAL</v>
      </c>
      <c r="G66" t="s">
        <v>126</v>
      </c>
    </row>
    <row r="67" spans="1:7" x14ac:dyDescent="0.25">
      <c r="A67" s="24">
        <f>_xlfn.XLOOKUP(tbEscolas[[#This Row],[ESCOLA]],tbNucleo[ESCOLA],tbNucleo[COD ESCOLA],"")</f>
        <v>4</v>
      </c>
      <c r="B67" t="str" cm="1">
        <f t="array" ref="B67">IFERROR(INDEX(tbNucleo[ESCOLA],ROUNDUP(ROW(B66)/TotalEtapas,0)),"")</f>
        <v xml:space="preserve"> EM PROFª ERENICE SIMAO ALVARENGA </v>
      </c>
      <c r="C67" t="str">
        <f>IFERROR(VLOOKUP(B67,tbNucleo[],2,FALSE),"")</f>
        <v/>
      </c>
      <c r="D67" cm="1">
        <f t="array" ref="D67">IF(B67="","",INDEX(tbEtapas[Nº],MOD(ROW(B66)-1,TotalEtapas)+1))</f>
        <v>12</v>
      </c>
      <c r="E67" t="str">
        <f>IFERROR(VLOOKUP(tbEscolas[[#This Row],[COD ETPA]],tbEtapas[],2,FALSE),"")</f>
        <v>8º ANO</v>
      </c>
      <c r="F67" t="str">
        <f>IFERROR(VLOOKUP(tbEscolas[[#This Row],[COD ETPA]],tbEtapas[],3,FALSE),"")</f>
        <v>FUNDAMENTAL</v>
      </c>
      <c r="G67" t="s">
        <v>126</v>
      </c>
    </row>
    <row r="68" spans="1:7" x14ac:dyDescent="0.25">
      <c r="A68" s="24">
        <f>_xlfn.XLOOKUP(tbEscolas[[#This Row],[ESCOLA]],tbNucleo[ESCOLA],tbNucleo[COD ESCOLA],"")</f>
        <v>4</v>
      </c>
      <c r="B68" t="str" cm="1">
        <f t="array" ref="B68">IFERROR(INDEX(tbNucleo[ESCOLA],ROUNDUP(ROW(B67)/TotalEtapas,0)),"")</f>
        <v xml:space="preserve"> EM PROFª ERENICE SIMAO ALVARENGA </v>
      </c>
      <c r="C68" t="str">
        <f>IFERROR(VLOOKUP(B68,tbNucleo[],2,FALSE),"")</f>
        <v/>
      </c>
      <c r="D68" cm="1">
        <f t="array" ref="D68">IF(B68="","",INDEX(tbEtapas[Nº],MOD(ROW(B67)-1,TotalEtapas)+1))</f>
        <v>13</v>
      </c>
      <c r="E68" t="str">
        <f>IFERROR(VLOOKUP(tbEscolas[[#This Row],[COD ETPA]],tbEtapas[],2,FALSE),"")</f>
        <v>9º ANO</v>
      </c>
      <c r="F68" t="str">
        <f>IFERROR(VLOOKUP(tbEscolas[[#This Row],[COD ETPA]],tbEtapas[],3,FALSE),"")</f>
        <v>FUNDAMENTAL</v>
      </c>
      <c r="G68" t="s">
        <v>126</v>
      </c>
    </row>
    <row r="69" spans="1:7" x14ac:dyDescent="0.25">
      <c r="A69" s="24">
        <f>_xlfn.XLOOKUP(tbEscolas[[#This Row],[ESCOLA]],tbNucleo[ESCOLA],tbNucleo[COD ESCOLA],"")</f>
        <v>4</v>
      </c>
      <c r="B69" t="str" cm="1">
        <f t="array" ref="B69">IFERROR(INDEX(tbNucleo[ESCOLA],ROUNDUP(ROW(B68)/TotalEtapas,0)),"")</f>
        <v xml:space="preserve"> EM PROFª ERENICE SIMAO ALVARENGA </v>
      </c>
      <c r="C69" t="str">
        <f>IFERROR(VLOOKUP(B69,tbNucleo[],2,FALSE),"")</f>
        <v/>
      </c>
      <c r="D69" cm="1">
        <f t="array" ref="D69">IF(B69="","",INDEX(tbEtapas[Nº],MOD(ROW(B68)-1,TotalEtapas)+1))</f>
        <v>14</v>
      </c>
      <c r="E69" t="str">
        <f>IFERROR(VLOOKUP(tbEscolas[[#This Row],[COD ETPA]],tbEtapas[],2,FALSE),"")</f>
        <v>1º ANO</v>
      </c>
      <c r="F69" t="str">
        <f>IFERROR(VLOOKUP(tbEscolas[[#This Row],[COD ETPA]],tbEtapas[],3,FALSE),"")</f>
        <v>ENSINO MÉDIO</v>
      </c>
      <c r="G69" t="s">
        <v>126</v>
      </c>
    </row>
    <row r="70" spans="1:7" x14ac:dyDescent="0.25">
      <c r="A70" s="24">
        <f>_xlfn.XLOOKUP(tbEscolas[[#This Row],[ESCOLA]],tbNucleo[ESCOLA],tbNucleo[COD ESCOLA],"")</f>
        <v>4</v>
      </c>
      <c r="B70" t="str" cm="1">
        <f t="array" ref="B70">IFERROR(INDEX(tbNucleo[ESCOLA],ROUNDUP(ROW(B69)/TotalEtapas,0)),"")</f>
        <v xml:space="preserve"> EM PROFª ERENICE SIMAO ALVARENGA </v>
      </c>
      <c r="C70" t="str">
        <f>IFERROR(VLOOKUP(B70,tbNucleo[],2,FALSE),"")</f>
        <v/>
      </c>
      <c r="D70" cm="1">
        <f t="array" ref="D70">IF(B70="","",INDEX(tbEtapas[Nº],MOD(ROW(B69)-1,TotalEtapas)+1))</f>
        <v>15</v>
      </c>
      <c r="E70" t="str">
        <f>IFERROR(VLOOKUP(tbEscolas[[#This Row],[COD ETPA]],tbEtapas[],2,FALSE),"")</f>
        <v>2º ANO</v>
      </c>
      <c r="F70" t="str">
        <f>IFERROR(VLOOKUP(tbEscolas[[#This Row],[COD ETPA]],tbEtapas[],3,FALSE),"")</f>
        <v>ENSINO MÉDIO</v>
      </c>
      <c r="G70" t="s">
        <v>126</v>
      </c>
    </row>
    <row r="71" spans="1:7" x14ac:dyDescent="0.25">
      <c r="A71" s="24">
        <f>_xlfn.XLOOKUP(tbEscolas[[#This Row],[ESCOLA]],tbNucleo[ESCOLA],tbNucleo[COD ESCOLA],"")</f>
        <v>4</v>
      </c>
      <c r="B71" t="str" cm="1">
        <f t="array" ref="B71">IFERROR(INDEX(tbNucleo[ESCOLA],ROUNDUP(ROW(B70)/TotalEtapas,0)),"")</f>
        <v xml:space="preserve"> EM PROFª ERENICE SIMAO ALVARENGA </v>
      </c>
      <c r="C71" t="str">
        <f>IFERROR(VLOOKUP(B71,tbNucleo[],2,FALSE),"")</f>
        <v/>
      </c>
      <c r="D71" cm="1">
        <f t="array" ref="D71">IF(B71="","",INDEX(tbEtapas[Nº],MOD(ROW(B70)-1,TotalEtapas)+1))</f>
        <v>16</v>
      </c>
      <c r="E71" t="str">
        <f>IFERROR(VLOOKUP(tbEscolas[[#This Row],[COD ETPA]],tbEtapas[],2,FALSE),"")</f>
        <v>3º ANO</v>
      </c>
      <c r="F71" t="str">
        <f>IFERROR(VLOOKUP(tbEscolas[[#This Row],[COD ETPA]],tbEtapas[],3,FALSE),"")</f>
        <v>ENSINO MÉDIO</v>
      </c>
      <c r="G71" t="s">
        <v>126</v>
      </c>
    </row>
    <row r="72" spans="1:7" x14ac:dyDescent="0.25">
      <c r="A72" s="24">
        <f>_xlfn.XLOOKUP(tbEscolas[[#This Row],[ESCOLA]],tbNucleo[ESCOLA],tbNucleo[COD ESCOLA],"")</f>
        <v>4</v>
      </c>
      <c r="B72" t="str" cm="1">
        <f t="array" ref="B72">IFERROR(INDEX(tbNucleo[ESCOLA],ROUNDUP(ROW(B71)/TotalEtapas,0)),"")</f>
        <v xml:space="preserve"> EM PROFª ERENICE SIMAO ALVARENGA </v>
      </c>
      <c r="C72" t="str">
        <f>IFERROR(VLOOKUP(B72,tbNucleo[],2,FALSE),"")</f>
        <v/>
      </c>
      <c r="D72" cm="1">
        <f t="array" ref="D72">IF(B72="","",INDEX(tbEtapas[Nº],MOD(ROW(B71)-1,TotalEtapas)+1))</f>
        <v>17</v>
      </c>
      <c r="E72" t="str">
        <f>IFERROR(VLOOKUP(tbEscolas[[#This Row],[COD ETPA]],tbEtapas[],2,FALSE),"")</f>
        <v>EJA I</v>
      </c>
      <c r="F72" t="str">
        <f>IFERROR(VLOOKUP(tbEscolas[[#This Row],[COD ETPA]],tbEtapas[],3,FALSE),"")</f>
        <v>FUNDAMENTAL</v>
      </c>
      <c r="G72" t="s">
        <v>125</v>
      </c>
    </row>
    <row r="73" spans="1:7" x14ac:dyDescent="0.25">
      <c r="A73" s="24">
        <f>_xlfn.XLOOKUP(tbEscolas[[#This Row],[ESCOLA]],tbNucleo[ESCOLA],tbNucleo[COD ESCOLA],"")</f>
        <v>4</v>
      </c>
      <c r="B73" t="str" cm="1">
        <f t="array" ref="B73">IFERROR(INDEX(tbNucleo[ESCOLA],ROUNDUP(ROW(B72)/TotalEtapas,0)),"")</f>
        <v xml:space="preserve"> EM PROFª ERENICE SIMAO ALVARENGA </v>
      </c>
      <c r="C73" t="str">
        <f>IFERROR(VLOOKUP(B73,tbNucleo[],2,FALSE),"")</f>
        <v/>
      </c>
      <c r="D73" cm="1">
        <f t="array" ref="D73">IF(B73="","",INDEX(tbEtapas[Nº],MOD(ROW(B72)-1,TotalEtapas)+1))</f>
        <v>18</v>
      </c>
      <c r="E73" t="str">
        <f>IFERROR(VLOOKUP(tbEscolas[[#This Row],[COD ETPA]],tbEtapas[],2,FALSE),"")</f>
        <v>EJA II</v>
      </c>
      <c r="F73" t="str">
        <f>IFERROR(VLOOKUP(tbEscolas[[#This Row],[COD ETPA]],tbEtapas[],3,FALSE),"")</f>
        <v>ENSINO MÉDIO</v>
      </c>
      <c r="G73" t="s">
        <v>125</v>
      </c>
    </row>
    <row r="74" spans="1:7" x14ac:dyDescent="0.25">
      <c r="A74" s="24">
        <f>_xlfn.XLOOKUP(tbEscolas[[#This Row],[ESCOLA]],tbNucleo[ESCOLA],tbNucleo[COD ESCOLA],"")</f>
        <v>5</v>
      </c>
      <c r="B74" t="str" cm="1">
        <f t="array" ref="B74">IFERROR(INDEX(tbNucleo[ESCOLA],ROUNDUP(ROW(B73)/TotalEtapas,0)),"")</f>
        <v xml:space="preserve"> EM VITORIA REGIA</v>
      </c>
      <c r="C74" t="str">
        <f>IFERROR(VLOOKUP(B74,tbNucleo[],2,FALSE),"")</f>
        <v/>
      </c>
      <c r="D74" cm="1">
        <f t="array" ref="D74">IF(B74="","",INDEX(tbEtapas[Nº],MOD(ROW(B73)-1,TotalEtapas)+1))</f>
        <v>1</v>
      </c>
      <c r="E74" t="str">
        <f>IFERROR(VLOOKUP(tbEscolas[[#This Row],[COD ETPA]],tbEtapas[],2,FALSE),"")</f>
        <v>CRECHE I</v>
      </c>
      <c r="F74" t="str">
        <f>IFERROR(VLOOKUP(tbEscolas[[#This Row],[COD ETPA]],tbEtapas[],3,FALSE),"")</f>
        <v>EDUCAÇÃO INFANTIL</v>
      </c>
      <c r="G74" t="s">
        <v>125</v>
      </c>
    </row>
    <row r="75" spans="1:7" x14ac:dyDescent="0.25">
      <c r="A75" s="24">
        <f>_xlfn.XLOOKUP(tbEscolas[[#This Row],[ESCOLA]],tbNucleo[ESCOLA],tbNucleo[COD ESCOLA],"")</f>
        <v>5</v>
      </c>
      <c r="B75" t="str" cm="1">
        <f t="array" ref="B75">IFERROR(INDEX(tbNucleo[ESCOLA],ROUNDUP(ROW(B74)/TotalEtapas,0)),"")</f>
        <v xml:space="preserve"> EM VITORIA REGIA</v>
      </c>
      <c r="C75" t="str">
        <f>IFERROR(VLOOKUP(B75,tbNucleo[],2,FALSE),"")</f>
        <v/>
      </c>
      <c r="D75" cm="1">
        <f t="array" ref="D75">IF(B75="","",INDEX(tbEtapas[Nº],MOD(ROW(B74)-1,TotalEtapas)+1))</f>
        <v>2</v>
      </c>
      <c r="E75" t="str">
        <f>IFERROR(VLOOKUP(tbEscolas[[#This Row],[COD ETPA]],tbEtapas[],2,FALSE),"")</f>
        <v>CRECHE II</v>
      </c>
      <c r="F75" t="str">
        <f>IFERROR(VLOOKUP(tbEscolas[[#This Row],[COD ETPA]],tbEtapas[],3,FALSE),"")</f>
        <v>EDUCAÇÃO INFANTIL</v>
      </c>
      <c r="G75" t="s">
        <v>125</v>
      </c>
    </row>
    <row r="76" spans="1:7" x14ac:dyDescent="0.25">
      <c r="A76" s="24">
        <f>_xlfn.XLOOKUP(tbEscolas[[#This Row],[ESCOLA]],tbNucleo[ESCOLA],tbNucleo[COD ESCOLA],"")</f>
        <v>5</v>
      </c>
      <c r="B76" t="str" cm="1">
        <f t="array" ref="B76">IFERROR(INDEX(tbNucleo[ESCOLA],ROUNDUP(ROW(B75)/TotalEtapas,0)),"")</f>
        <v xml:space="preserve"> EM VITORIA REGIA</v>
      </c>
      <c r="C76" t="str">
        <f>IFERROR(VLOOKUP(B76,tbNucleo[],2,FALSE),"")</f>
        <v/>
      </c>
      <c r="D76" cm="1">
        <f t="array" ref="D76">IF(B76="","",INDEX(tbEtapas[Nº],MOD(ROW(B75)-1,TotalEtapas)+1))</f>
        <v>3</v>
      </c>
      <c r="E76" t="str">
        <f>IFERROR(VLOOKUP(tbEscolas[[#This Row],[COD ETPA]],tbEtapas[],2,FALSE),"")</f>
        <v>PRE I</v>
      </c>
      <c r="F76" t="str">
        <f>IFERROR(VLOOKUP(tbEscolas[[#This Row],[COD ETPA]],tbEtapas[],3,FALSE),"")</f>
        <v>EDUCAÇÃO INFANTIL</v>
      </c>
      <c r="G76" t="s">
        <v>125</v>
      </c>
    </row>
    <row r="77" spans="1:7" x14ac:dyDescent="0.25">
      <c r="A77" s="24">
        <f>_xlfn.XLOOKUP(tbEscolas[[#This Row],[ESCOLA]],tbNucleo[ESCOLA],tbNucleo[COD ESCOLA],"")</f>
        <v>5</v>
      </c>
      <c r="B77" t="str" cm="1">
        <f t="array" ref="B77">IFERROR(INDEX(tbNucleo[ESCOLA],ROUNDUP(ROW(B76)/TotalEtapas,0)),"")</f>
        <v xml:space="preserve"> EM VITORIA REGIA</v>
      </c>
      <c r="C77" t="str">
        <f>IFERROR(VLOOKUP(B77,tbNucleo[],2,FALSE),"")</f>
        <v/>
      </c>
      <c r="D77" cm="1">
        <f t="array" ref="D77">IF(B77="","",INDEX(tbEtapas[Nº],MOD(ROW(B76)-1,TotalEtapas)+1))</f>
        <v>4</v>
      </c>
      <c r="E77" t="str">
        <f>IFERROR(VLOOKUP(tbEscolas[[#This Row],[COD ETPA]],tbEtapas[],2,FALSE),"")</f>
        <v>PRE II</v>
      </c>
      <c r="F77" t="str">
        <f>IFERROR(VLOOKUP(tbEscolas[[#This Row],[COD ETPA]],tbEtapas[],3,FALSE),"")</f>
        <v>EDUCAÇÃO INFANTIL</v>
      </c>
      <c r="G77" t="s">
        <v>125</v>
      </c>
    </row>
    <row r="78" spans="1:7" x14ac:dyDescent="0.25">
      <c r="A78" s="24">
        <f>_xlfn.XLOOKUP(tbEscolas[[#This Row],[ESCOLA]],tbNucleo[ESCOLA],tbNucleo[COD ESCOLA],"")</f>
        <v>5</v>
      </c>
      <c r="B78" t="str" cm="1">
        <f t="array" ref="B78">IFERROR(INDEX(tbNucleo[ESCOLA],ROUNDUP(ROW(B77)/TotalEtapas,0)),"")</f>
        <v xml:space="preserve"> EM VITORIA REGIA</v>
      </c>
      <c r="C78" t="str">
        <f>IFERROR(VLOOKUP(B78,tbNucleo[],2,FALSE),"")</f>
        <v/>
      </c>
      <c r="D78" cm="1">
        <f t="array" ref="D78">IF(B78="","",INDEX(tbEtapas[Nº],MOD(ROW(B77)-1,TotalEtapas)+1))</f>
        <v>5</v>
      </c>
      <c r="E78" t="str">
        <f>IFERROR(VLOOKUP(tbEscolas[[#This Row],[COD ETPA]],tbEtapas[],2,FALSE),"")</f>
        <v>1º ANO</v>
      </c>
      <c r="F78" t="str">
        <f>IFERROR(VLOOKUP(tbEscolas[[#This Row],[COD ETPA]],tbEtapas[],3,FALSE),"")</f>
        <v>FUNDAMENTAL</v>
      </c>
      <c r="G78" t="s">
        <v>125</v>
      </c>
    </row>
    <row r="79" spans="1:7" x14ac:dyDescent="0.25">
      <c r="A79" s="24">
        <f>_xlfn.XLOOKUP(tbEscolas[[#This Row],[ESCOLA]],tbNucleo[ESCOLA],tbNucleo[COD ESCOLA],"")</f>
        <v>5</v>
      </c>
      <c r="B79" t="str" cm="1">
        <f t="array" ref="B79">IFERROR(INDEX(tbNucleo[ESCOLA],ROUNDUP(ROW(B78)/TotalEtapas,0)),"")</f>
        <v xml:space="preserve"> EM VITORIA REGIA</v>
      </c>
      <c r="C79" t="str">
        <f>IFERROR(VLOOKUP(B79,tbNucleo[],2,FALSE),"")</f>
        <v/>
      </c>
      <c r="D79" cm="1">
        <f t="array" ref="D79">IF(B79="","",INDEX(tbEtapas[Nº],MOD(ROW(B78)-1,TotalEtapas)+1))</f>
        <v>6</v>
      </c>
      <c r="E79" t="str">
        <f>IFERROR(VLOOKUP(tbEscolas[[#This Row],[COD ETPA]],tbEtapas[],2,FALSE),"")</f>
        <v>2º ANO</v>
      </c>
      <c r="F79" t="str">
        <f>IFERROR(VLOOKUP(tbEscolas[[#This Row],[COD ETPA]],tbEtapas[],3,FALSE),"")</f>
        <v>FUNDAMENTAL</v>
      </c>
      <c r="G79" t="s">
        <v>125</v>
      </c>
    </row>
    <row r="80" spans="1:7" x14ac:dyDescent="0.25">
      <c r="A80" s="24">
        <f>_xlfn.XLOOKUP(tbEscolas[[#This Row],[ESCOLA]],tbNucleo[ESCOLA],tbNucleo[COD ESCOLA],"")</f>
        <v>5</v>
      </c>
      <c r="B80" t="str" cm="1">
        <f t="array" ref="B80">IFERROR(INDEX(tbNucleo[ESCOLA],ROUNDUP(ROW(B79)/TotalEtapas,0)),"")</f>
        <v xml:space="preserve"> EM VITORIA REGIA</v>
      </c>
      <c r="C80" t="str">
        <f>IFERROR(VLOOKUP(B80,tbNucleo[],2,FALSE),"")</f>
        <v/>
      </c>
      <c r="D80" cm="1">
        <f t="array" ref="D80">IF(B80="","",INDEX(tbEtapas[Nº],MOD(ROW(B79)-1,TotalEtapas)+1))</f>
        <v>7</v>
      </c>
      <c r="E80" t="str">
        <f>IFERROR(VLOOKUP(tbEscolas[[#This Row],[COD ETPA]],tbEtapas[],2,FALSE),"")</f>
        <v>3º ANO</v>
      </c>
      <c r="F80" t="str">
        <f>IFERROR(VLOOKUP(tbEscolas[[#This Row],[COD ETPA]],tbEtapas[],3,FALSE),"")</f>
        <v>FUNDAMENTAL</v>
      </c>
      <c r="G80" t="s">
        <v>125</v>
      </c>
    </row>
    <row r="81" spans="1:7" x14ac:dyDescent="0.25">
      <c r="A81" s="24">
        <f>_xlfn.XLOOKUP(tbEscolas[[#This Row],[ESCOLA]],tbNucleo[ESCOLA],tbNucleo[COD ESCOLA],"")</f>
        <v>5</v>
      </c>
      <c r="B81" t="str" cm="1">
        <f t="array" ref="B81">IFERROR(INDEX(tbNucleo[ESCOLA],ROUNDUP(ROW(B80)/TotalEtapas,0)),"")</f>
        <v xml:space="preserve"> EM VITORIA REGIA</v>
      </c>
      <c r="C81" t="str">
        <f>IFERROR(VLOOKUP(B81,tbNucleo[],2,FALSE),"")</f>
        <v/>
      </c>
      <c r="D81" cm="1">
        <f t="array" ref="D81">IF(B81="","",INDEX(tbEtapas[Nº],MOD(ROW(B80)-1,TotalEtapas)+1))</f>
        <v>8</v>
      </c>
      <c r="E81" t="str">
        <f>IFERROR(VLOOKUP(tbEscolas[[#This Row],[COD ETPA]],tbEtapas[],2,FALSE),"")</f>
        <v>4º ANO</v>
      </c>
      <c r="F81" t="str">
        <f>IFERROR(VLOOKUP(tbEscolas[[#This Row],[COD ETPA]],tbEtapas[],3,FALSE),"")</f>
        <v>FUNDAMENTAL</v>
      </c>
      <c r="G81" t="s">
        <v>125</v>
      </c>
    </row>
    <row r="82" spans="1:7" x14ac:dyDescent="0.25">
      <c r="A82" s="24">
        <f>_xlfn.XLOOKUP(tbEscolas[[#This Row],[ESCOLA]],tbNucleo[ESCOLA],tbNucleo[COD ESCOLA],"")</f>
        <v>5</v>
      </c>
      <c r="B82" t="str" cm="1">
        <f t="array" ref="B82">IFERROR(INDEX(tbNucleo[ESCOLA],ROUNDUP(ROW(B81)/TotalEtapas,0)),"")</f>
        <v xml:space="preserve"> EM VITORIA REGIA</v>
      </c>
      <c r="C82" t="str">
        <f>IFERROR(VLOOKUP(B82,tbNucleo[],2,FALSE),"")</f>
        <v/>
      </c>
      <c r="D82" cm="1">
        <f t="array" ref="D82">IF(B82="","",INDEX(tbEtapas[Nº],MOD(ROW(B81)-1,TotalEtapas)+1))</f>
        <v>9</v>
      </c>
      <c r="E82" t="str">
        <f>IFERROR(VLOOKUP(tbEscolas[[#This Row],[COD ETPA]],tbEtapas[],2,FALSE),"")</f>
        <v>5º ANO</v>
      </c>
      <c r="F82" t="str">
        <f>IFERROR(VLOOKUP(tbEscolas[[#This Row],[COD ETPA]],tbEtapas[],3,FALSE),"")</f>
        <v>FUNDAMENTAL</v>
      </c>
      <c r="G82" t="s">
        <v>125</v>
      </c>
    </row>
    <row r="83" spans="1:7" x14ac:dyDescent="0.25">
      <c r="A83" s="24">
        <f>_xlfn.XLOOKUP(tbEscolas[[#This Row],[ESCOLA]],tbNucleo[ESCOLA],tbNucleo[COD ESCOLA],"")</f>
        <v>5</v>
      </c>
      <c r="B83" t="str" cm="1">
        <f t="array" ref="B83">IFERROR(INDEX(tbNucleo[ESCOLA],ROUNDUP(ROW(B82)/TotalEtapas,0)),"")</f>
        <v xml:space="preserve"> EM VITORIA REGIA</v>
      </c>
      <c r="C83" t="str">
        <f>IFERROR(VLOOKUP(B83,tbNucleo[],2,FALSE),"")</f>
        <v/>
      </c>
      <c r="D83" cm="1">
        <f t="array" ref="D83">IF(B83="","",INDEX(tbEtapas[Nº],MOD(ROW(B82)-1,TotalEtapas)+1))</f>
        <v>10</v>
      </c>
      <c r="E83" t="str">
        <f>IFERROR(VLOOKUP(tbEscolas[[#This Row],[COD ETPA]],tbEtapas[],2,FALSE),"")</f>
        <v>6º ANO</v>
      </c>
      <c r="F83" t="str">
        <f>IFERROR(VLOOKUP(tbEscolas[[#This Row],[COD ETPA]],tbEtapas[],3,FALSE),"")</f>
        <v>FUNDAMENTAL</v>
      </c>
      <c r="G83" t="s">
        <v>126</v>
      </c>
    </row>
    <row r="84" spans="1:7" x14ac:dyDescent="0.25">
      <c r="A84" s="24">
        <f>_xlfn.XLOOKUP(tbEscolas[[#This Row],[ESCOLA]],tbNucleo[ESCOLA],tbNucleo[COD ESCOLA],"")</f>
        <v>5</v>
      </c>
      <c r="B84" t="str" cm="1">
        <f t="array" ref="B84">IFERROR(INDEX(tbNucleo[ESCOLA],ROUNDUP(ROW(B83)/TotalEtapas,0)),"")</f>
        <v xml:space="preserve"> EM VITORIA REGIA</v>
      </c>
      <c r="C84" t="str">
        <f>IFERROR(VLOOKUP(B84,tbNucleo[],2,FALSE),"")</f>
        <v/>
      </c>
      <c r="D84" cm="1">
        <f t="array" ref="D84">IF(B84="","",INDEX(tbEtapas[Nº],MOD(ROW(B83)-1,TotalEtapas)+1))</f>
        <v>11</v>
      </c>
      <c r="E84" t="str">
        <f>IFERROR(VLOOKUP(tbEscolas[[#This Row],[COD ETPA]],tbEtapas[],2,FALSE),"")</f>
        <v>7º ANO</v>
      </c>
      <c r="F84" t="str">
        <f>IFERROR(VLOOKUP(tbEscolas[[#This Row],[COD ETPA]],tbEtapas[],3,FALSE),"")</f>
        <v>FUNDAMENTAL</v>
      </c>
      <c r="G84" t="s">
        <v>126</v>
      </c>
    </row>
    <row r="85" spans="1:7" x14ac:dyDescent="0.25">
      <c r="A85" s="24">
        <f>_xlfn.XLOOKUP(tbEscolas[[#This Row],[ESCOLA]],tbNucleo[ESCOLA],tbNucleo[COD ESCOLA],"")</f>
        <v>5</v>
      </c>
      <c r="B85" t="str" cm="1">
        <f t="array" ref="B85">IFERROR(INDEX(tbNucleo[ESCOLA],ROUNDUP(ROW(B84)/TotalEtapas,0)),"")</f>
        <v xml:space="preserve"> EM VITORIA REGIA</v>
      </c>
      <c r="C85" t="str">
        <f>IFERROR(VLOOKUP(B85,tbNucleo[],2,FALSE),"")</f>
        <v/>
      </c>
      <c r="D85" cm="1">
        <f t="array" ref="D85">IF(B85="","",INDEX(tbEtapas[Nº],MOD(ROW(B84)-1,TotalEtapas)+1))</f>
        <v>12</v>
      </c>
      <c r="E85" t="str">
        <f>IFERROR(VLOOKUP(tbEscolas[[#This Row],[COD ETPA]],tbEtapas[],2,FALSE),"")</f>
        <v>8º ANO</v>
      </c>
      <c r="F85" t="str">
        <f>IFERROR(VLOOKUP(tbEscolas[[#This Row],[COD ETPA]],tbEtapas[],3,FALSE),"")</f>
        <v>FUNDAMENTAL</v>
      </c>
      <c r="G85" t="s">
        <v>126</v>
      </c>
    </row>
    <row r="86" spans="1:7" x14ac:dyDescent="0.25">
      <c r="A86" s="24">
        <f>_xlfn.XLOOKUP(tbEscolas[[#This Row],[ESCOLA]],tbNucleo[ESCOLA],tbNucleo[COD ESCOLA],"")</f>
        <v>5</v>
      </c>
      <c r="B86" t="str" cm="1">
        <f t="array" ref="B86">IFERROR(INDEX(tbNucleo[ESCOLA],ROUNDUP(ROW(B85)/TotalEtapas,0)),"")</f>
        <v xml:space="preserve"> EM VITORIA REGIA</v>
      </c>
      <c r="C86" t="str">
        <f>IFERROR(VLOOKUP(B86,tbNucleo[],2,FALSE),"")</f>
        <v/>
      </c>
      <c r="D86" cm="1">
        <f t="array" ref="D86">IF(B86="","",INDEX(tbEtapas[Nº],MOD(ROW(B85)-1,TotalEtapas)+1))</f>
        <v>13</v>
      </c>
      <c r="E86" t="str">
        <f>IFERROR(VLOOKUP(tbEscolas[[#This Row],[COD ETPA]],tbEtapas[],2,FALSE),"")</f>
        <v>9º ANO</v>
      </c>
      <c r="F86" t="str">
        <f>IFERROR(VLOOKUP(tbEscolas[[#This Row],[COD ETPA]],tbEtapas[],3,FALSE),"")</f>
        <v>FUNDAMENTAL</v>
      </c>
      <c r="G86" t="s">
        <v>126</v>
      </c>
    </row>
    <row r="87" spans="1:7" x14ac:dyDescent="0.25">
      <c r="A87" s="24">
        <f>_xlfn.XLOOKUP(tbEscolas[[#This Row],[ESCOLA]],tbNucleo[ESCOLA],tbNucleo[COD ESCOLA],"")</f>
        <v>5</v>
      </c>
      <c r="B87" t="str" cm="1">
        <f t="array" ref="B87">IFERROR(INDEX(tbNucleo[ESCOLA],ROUNDUP(ROW(B86)/TotalEtapas,0)),"")</f>
        <v xml:space="preserve"> EM VITORIA REGIA</v>
      </c>
      <c r="C87" t="str">
        <f>IFERROR(VLOOKUP(B87,tbNucleo[],2,FALSE),"")</f>
        <v/>
      </c>
      <c r="D87" cm="1">
        <f t="array" ref="D87">IF(B87="","",INDEX(tbEtapas[Nº],MOD(ROW(B86)-1,TotalEtapas)+1))</f>
        <v>14</v>
      </c>
      <c r="E87" t="str">
        <f>IFERROR(VLOOKUP(tbEscolas[[#This Row],[COD ETPA]],tbEtapas[],2,FALSE),"")</f>
        <v>1º ANO</v>
      </c>
      <c r="F87" t="str">
        <f>IFERROR(VLOOKUP(tbEscolas[[#This Row],[COD ETPA]],tbEtapas[],3,FALSE),"")</f>
        <v>ENSINO MÉDIO</v>
      </c>
      <c r="G87" t="s">
        <v>126</v>
      </c>
    </row>
    <row r="88" spans="1:7" x14ac:dyDescent="0.25">
      <c r="A88" s="24">
        <f>_xlfn.XLOOKUP(tbEscolas[[#This Row],[ESCOLA]],tbNucleo[ESCOLA],tbNucleo[COD ESCOLA],"")</f>
        <v>5</v>
      </c>
      <c r="B88" t="str" cm="1">
        <f t="array" ref="B88">IFERROR(INDEX(tbNucleo[ESCOLA],ROUNDUP(ROW(B87)/TotalEtapas,0)),"")</f>
        <v xml:space="preserve"> EM VITORIA REGIA</v>
      </c>
      <c r="C88" t="str">
        <f>IFERROR(VLOOKUP(B88,tbNucleo[],2,FALSE),"")</f>
        <v/>
      </c>
      <c r="D88" cm="1">
        <f t="array" ref="D88">IF(B88="","",INDEX(tbEtapas[Nº],MOD(ROW(B87)-1,TotalEtapas)+1))</f>
        <v>15</v>
      </c>
      <c r="E88" t="str">
        <f>IFERROR(VLOOKUP(tbEscolas[[#This Row],[COD ETPA]],tbEtapas[],2,FALSE),"")</f>
        <v>2º ANO</v>
      </c>
      <c r="F88" t="str">
        <f>IFERROR(VLOOKUP(tbEscolas[[#This Row],[COD ETPA]],tbEtapas[],3,FALSE),"")</f>
        <v>ENSINO MÉDIO</v>
      </c>
      <c r="G88" t="s">
        <v>126</v>
      </c>
    </row>
    <row r="89" spans="1:7" x14ac:dyDescent="0.25">
      <c r="A89" s="24">
        <f>_xlfn.XLOOKUP(tbEscolas[[#This Row],[ESCOLA]],tbNucleo[ESCOLA],tbNucleo[COD ESCOLA],"")</f>
        <v>5</v>
      </c>
      <c r="B89" t="str" cm="1">
        <f t="array" ref="B89">IFERROR(INDEX(tbNucleo[ESCOLA],ROUNDUP(ROW(B88)/TotalEtapas,0)),"")</f>
        <v xml:space="preserve"> EM VITORIA REGIA</v>
      </c>
      <c r="C89" t="str">
        <f>IFERROR(VLOOKUP(B89,tbNucleo[],2,FALSE),"")</f>
        <v/>
      </c>
      <c r="D89" cm="1">
        <f t="array" ref="D89">IF(B89="","",INDEX(tbEtapas[Nº],MOD(ROW(B88)-1,TotalEtapas)+1))</f>
        <v>16</v>
      </c>
      <c r="E89" t="str">
        <f>IFERROR(VLOOKUP(tbEscolas[[#This Row],[COD ETPA]],tbEtapas[],2,FALSE),"")</f>
        <v>3º ANO</v>
      </c>
      <c r="F89" t="str">
        <f>IFERROR(VLOOKUP(tbEscolas[[#This Row],[COD ETPA]],tbEtapas[],3,FALSE),"")</f>
        <v>ENSINO MÉDIO</v>
      </c>
      <c r="G89" t="s">
        <v>126</v>
      </c>
    </row>
    <row r="90" spans="1:7" x14ac:dyDescent="0.25">
      <c r="A90" s="24">
        <f>_xlfn.XLOOKUP(tbEscolas[[#This Row],[ESCOLA]],tbNucleo[ESCOLA],tbNucleo[COD ESCOLA],"")</f>
        <v>5</v>
      </c>
      <c r="B90" t="str" cm="1">
        <f t="array" ref="B90">IFERROR(INDEX(tbNucleo[ESCOLA],ROUNDUP(ROW(B89)/TotalEtapas,0)),"")</f>
        <v xml:space="preserve"> EM VITORIA REGIA</v>
      </c>
      <c r="C90" t="str">
        <f>IFERROR(VLOOKUP(B90,tbNucleo[],2,FALSE),"")</f>
        <v/>
      </c>
      <c r="D90" cm="1">
        <f t="array" ref="D90">IF(B90="","",INDEX(tbEtapas[Nº],MOD(ROW(B89)-1,TotalEtapas)+1))</f>
        <v>17</v>
      </c>
      <c r="E90" t="str">
        <f>IFERROR(VLOOKUP(tbEscolas[[#This Row],[COD ETPA]],tbEtapas[],2,FALSE),"")</f>
        <v>EJA I</v>
      </c>
      <c r="F90" t="str">
        <f>IFERROR(VLOOKUP(tbEscolas[[#This Row],[COD ETPA]],tbEtapas[],3,FALSE),"")</f>
        <v>FUNDAMENTAL</v>
      </c>
      <c r="G90" t="s">
        <v>125</v>
      </c>
    </row>
    <row r="91" spans="1:7" x14ac:dyDescent="0.25">
      <c r="A91" s="24">
        <f>_xlfn.XLOOKUP(tbEscolas[[#This Row],[ESCOLA]],tbNucleo[ESCOLA],tbNucleo[COD ESCOLA],"")</f>
        <v>5</v>
      </c>
      <c r="B91" t="str" cm="1">
        <f t="array" ref="B91">IFERROR(INDEX(tbNucleo[ESCOLA],ROUNDUP(ROW(B90)/TotalEtapas,0)),"")</f>
        <v xml:space="preserve"> EM VITORIA REGIA</v>
      </c>
      <c r="C91" t="str">
        <f>IFERROR(VLOOKUP(B91,tbNucleo[],2,FALSE),"")</f>
        <v/>
      </c>
      <c r="D91" cm="1">
        <f t="array" ref="D91">IF(B91="","",INDEX(tbEtapas[Nº],MOD(ROW(B90)-1,TotalEtapas)+1))</f>
        <v>18</v>
      </c>
      <c r="E91" t="str">
        <f>IFERROR(VLOOKUP(tbEscolas[[#This Row],[COD ETPA]],tbEtapas[],2,FALSE),"")</f>
        <v>EJA II</v>
      </c>
      <c r="F91" t="str">
        <f>IFERROR(VLOOKUP(tbEscolas[[#This Row],[COD ETPA]],tbEtapas[],3,FALSE),"")</f>
        <v>ENSINO MÉDIO</v>
      </c>
      <c r="G91" t="s">
        <v>125</v>
      </c>
    </row>
    <row r="92" spans="1:7" x14ac:dyDescent="0.25">
      <c r="A92" s="24">
        <f>_xlfn.XLOOKUP(tbEscolas[[#This Row],[ESCOLA]],tbNucleo[ESCOLA],tbNucleo[COD ESCOLA],"")</f>
        <v>6</v>
      </c>
      <c r="B92" t="str" cm="1">
        <f t="array" ref="B92">IFERROR(INDEX(tbNucleo[ESCOLA],ROUNDUP(ROW(B91)/TotalEtapas,0)),"")</f>
        <v xml:space="preserve"> EMEI BUSCANDO O SABER </v>
      </c>
      <c r="C92" t="str">
        <f>IFERROR(VLOOKUP(B92,tbNucleo[],2,FALSE),"")</f>
        <v/>
      </c>
      <c r="D92" cm="1">
        <f t="array" ref="D92">IF(B92="","",INDEX(tbEtapas[Nº],MOD(ROW(B91)-1,TotalEtapas)+1))</f>
        <v>1</v>
      </c>
      <c r="E92" t="str">
        <f>IFERROR(VLOOKUP(tbEscolas[[#This Row],[COD ETPA]],tbEtapas[],2,FALSE),"")</f>
        <v>CRECHE I</v>
      </c>
      <c r="F92" t="str">
        <f>IFERROR(VLOOKUP(tbEscolas[[#This Row],[COD ETPA]],tbEtapas[],3,FALSE),"")</f>
        <v>EDUCAÇÃO INFANTIL</v>
      </c>
      <c r="G92" t="s">
        <v>126</v>
      </c>
    </row>
    <row r="93" spans="1:7" x14ac:dyDescent="0.25">
      <c r="A93" s="24">
        <f>_xlfn.XLOOKUP(tbEscolas[[#This Row],[ESCOLA]],tbNucleo[ESCOLA],tbNucleo[COD ESCOLA],"")</f>
        <v>6</v>
      </c>
      <c r="B93" t="str" cm="1">
        <f t="array" ref="B93">IFERROR(INDEX(tbNucleo[ESCOLA],ROUNDUP(ROW(B92)/TotalEtapas,0)),"")</f>
        <v xml:space="preserve"> EMEI BUSCANDO O SABER </v>
      </c>
      <c r="C93" t="str">
        <f>IFERROR(VLOOKUP(B93,tbNucleo[],2,FALSE),"")</f>
        <v/>
      </c>
      <c r="D93" cm="1">
        <f t="array" ref="D93">IF(B93="","",INDEX(tbEtapas[Nº],MOD(ROW(B92)-1,TotalEtapas)+1))</f>
        <v>2</v>
      </c>
      <c r="E93" t="str">
        <f>IFERROR(VLOOKUP(tbEscolas[[#This Row],[COD ETPA]],tbEtapas[],2,FALSE),"")</f>
        <v>CRECHE II</v>
      </c>
      <c r="F93" t="str">
        <f>IFERROR(VLOOKUP(tbEscolas[[#This Row],[COD ETPA]],tbEtapas[],3,FALSE),"")</f>
        <v>EDUCAÇÃO INFANTIL</v>
      </c>
      <c r="G93" t="s">
        <v>126</v>
      </c>
    </row>
    <row r="94" spans="1:7" x14ac:dyDescent="0.25">
      <c r="A94" s="24">
        <f>_xlfn.XLOOKUP(tbEscolas[[#This Row],[ESCOLA]],tbNucleo[ESCOLA],tbNucleo[COD ESCOLA],"")</f>
        <v>6</v>
      </c>
      <c r="B94" t="str" cm="1">
        <f t="array" ref="B94">IFERROR(INDEX(tbNucleo[ESCOLA],ROUNDUP(ROW(B93)/TotalEtapas,0)),"")</f>
        <v xml:space="preserve"> EMEI BUSCANDO O SABER </v>
      </c>
      <c r="C94" t="str">
        <f>IFERROR(VLOOKUP(B94,tbNucleo[],2,FALSE),"")</f>
        <v/>
      </c>
      <c r="D94" cm="1">
        <f t="array" ref="D94">IF(B94="","",INDEX(tbEtapas[Nº],MOD(ROW(B93)-1,TotalEtapas)+1))</f>
        <v>3</v>
      </c>
      <c r="E94" t="str">
        <f>IFERROR(VLOOKUP(tbEscolas[[#This Row],[COD ETPA]],tbEtapas[],2,FALSE),"")</f>
        <v>PRE I</v>
      </c>
      <c r="F94" t="str">
        <f>IFERROR(VLOOKUP(tbEscolas[[#This Row],[COD ETPA]],tbEtapas[],3,FALSE),"")</f>
        <v>EDUCAÇÃO INFANTIL</v>
      </c>
      <c r="G94" t="s">
        <v>126</v>
      </c>
    </row>
    <row r="95" spans="1:7" x14ac:dyDescent="0.25">
      <c r="A95" s="24">
        <f>_xlfn.XLOOKUP(tbEscolas[[#This Row],[ESCOLA]],tbNucleo[ESCOLA],tbNucleo[COD ESCOLA],"")</f>
        <v>6</v>
      </c>
      <c r="B95" t="str" cm="1">
        <f t="array" ref="B95">IFERROR(INDEX(tbNucleo[ESCOLA],ROUNDUP(ROW(B94)/TotalEtapas,0)),"")</f>
        <v xml:space="preserve"> EMEI BUSCANDO O SABER </v>
      </c>
      <c r="C95" t="str">
        <f>IFERROR(VLOOKUP(B95,tbNucleo[],2,FALSE),"")</f>
        <v/>
      </c>
      <c r="D95" cm="1">
        <f t="array" ref="D95">IF(B95="","",INDEX(tbEtapas[Nº],MOD(ROW(B94)-1,TotalEtapas)+1))</f>
        <v>4</v>
      </c>
      <c r="E95" t="str">
        <f>IFERROR(VLOOKUP(tbEscolas[[#This Row],[COD ETPA]],tbEtapas[],2,FALSE),"")</f>
        <v>PRE II</v>
      </c>
      <c r="F95" t="str">
        <f>IFERROR(VLOOKUP(tbEscolas[[#This Row],[COD ETPA]],tbEtapas[],3,FALSE),"")</f>
        <v>EDUCAÇÃO INFANTIL</v>
      </c>
      <c r="G95" t="s">
        <v>126</v>
      </c>
    </row>
    <row r="96" spans="1:7" x14ac:dyDescent="0.25">
      <c r="A96" s="24">
        <f>_xlfn.XLOOKUP(tbEscolas[[#This Row],[ESCOLA]],tbNucleo[ESCOLA],tbNucleo[COD ESCOLA],"")</f>
        <v>6</v>
      </c>
      <c r="B96" t="str" cm="1">
        <f t="array" ref="B96">IFERROR(INDEX(tbNucleo[ESCOLA],ROUNDUP(ROW(B95)/TotalEtapas,0)),"")</f>
        <v xml:space="preserve"> EMEI BUSCANDO O SABER </v>
      </c>
      <c r="C96" t="str">
        <f>IFERROR(VLOOKUP(B96,tbNucleo[],2,FALSE),"")</f>
        <v/>
      </c>
      <c r="D96" cm="1">
        <f t="array" ref="D96">IF(B96="","",INDEX(tbEtapas[Nº],MOD(ROW(B95)-1,TotalEtapas)+1))</f>
        <v>5</v>
      </c>
      <c r="E96" t="str">
        <f>IFERROR(VLOOKUP(tbEscolas[[#This Row],[COD ETPA]],tbEtapas[],2,FALSE),"")</f>
        <v>1º ANO</v>
      </c>
      <c r="F96" t="str">
        <f>IFERROR(VLOOKUP(tbEscolas[[#This Row],[COD ETPA]],tbEtapas[],3,FALSE),"")</f>
        <v>FUNDAMENTAL</v>
      </c>
      <c r="G96" t="s">
        <v>125</v>
      </c>
    </row>
    <row r="97" spans="1:7" x14ac:dyDescent="0.25">
      <c r="A97" s="24">
        <f>_xlfn.XLOOKUP(tbEscolas[[#This Row],[ESCOLA]],tbNucleo[ESCOLA],tbNucleo[COD ESCOLA],"")</f>
        <v>6</v>
      </c>
      <c r="B97" t="str" cm="1">
        <f t="array" ref="B97">IFERROR(INDEX(tbNucleo[ESCOLA],ROUNDUP(ROW(B96)/TotalEtapas,0)),"")</f>
        <v xml:space="preserve"> EMEI BUSCANDO O SABER </v>
      </c>
      <c r="C97" t="str">
        <f>IFERROR(VLOOKUP(B97,tbNucleo[],2,FALSE),"")</f>
        <v/>
      </c>
      <c r="D97" cm="1">
        <f t="array" ref="D97">IF(B97="","",INDEX(tbEtapas[Nº],MOD(ROW(B96)-1,TotalEtapas)+1))</f>
        <v>6</v>
      </c>
      <c r="E97" t="str">
        <f>IFERROR(VLOOKUP(tbEscolas[[#This Row],[COD ETPA]],tbEtapas[],2,FALSE),"")</f>
        <v>2º ANO</v>
      </c>
      <c r="F97" t="str">
        <f>IFERROR(VLOOKUP(tbEscolas[[#This Row],[COD ETPA]],tbEtapas[],3,FALSE),"")</f>
        <v>FUNDAMENTAL</v>
      </c>
      <c r="G97" t="s">
        <v>125</v>
      </c>
    </row>
    <row r="98" spans="1:7" x14ac:dyDescent="0.25">
      <c r="A98" s="24">
        <f>_xlfn.XLOOKUP(tbEscolas[[#This Row],[ESCOLA]],tbNucleo[ESCOLA],tbNucleo[COD ESCOLA],"")</f>
        <v>6</v>
      </c>
      <c r="B98" t="str" cm="1">
        <f t="array" ref="B98">IFERROR(INDEX(tbNucleo[ESCOLA],ROUNDUP(ROW(B97)/TotalEtapas,0)),"")</f>
        <v xml:space="preserve"> EMEI BUSCANDO O SABER </v>
      </c>
      <c r="C98" t="str">
        <f>IFERROR(VLOOKUP(B98,tbNucleo[],2,FALSE),"")</f>
        <v/>
      </c>
      <c r="D98" cm="1">
        <f t="array" ref="D98">IF(B98="","",INDEX(tbEtapas[Nº],MOD(ROW(B97)-1,TotalEtapas)+1))</f>
        <v>7</v>
      </c>
      <c r="E98" t="str">
        <f>IFERROR(VLOOKUP(tbEscolas[[#This Row],[COD ETPA]],tbEtapas[],2,FALSE),"")</f>
        <v>3º ANO</v>
      </c>
      <c r="F98" t="str">
        <f>IFERROR(VLOOKUP(tbEscolas[[#This Row],[COD ETPA]],tbEtapas[],3,FALSE),"")</f>
        <v>FUNDAMENTAL</v>
      </c>
      <c r="G98" t="s">
        <v>125</v>
      </c>
    </row>
    <row r="99" spans="1:7" x14ac:dyDescent="0.25">
      <c r="A99" s="24">
        <f>_xlfn.XLOOKUP(tbEscolas[[#This Row],[ESCOLA]],tbNucleo[ESCOLA],tbNucleo[COD ESCOLA],"")</f>
        <v>6</v>
      </c>
      <c r="B99" t="str" cm="1">
        <f t="array" ref="B99">IFERROR(INDEX(tbNucleo[ESCOLA],ROUNDUP(ROW(B98)/TotalEtapas,0)),"")</f>
        <v xml:space="preserve"> EMEI BUSCANDO O SABER </v>
      </c>
      <c r="C99" t="str">
        <f>IFERROR(VLOOKUP(B99,tbNucleo[],2,FALSE),"")</f>
        <v/>
      </c>
      <c r="D99" cm="1">
        <f t="array" ref="D99">IF(B99="","",INDEX(tbEtapas[Nº],MOD(ROW(B98)-1,TotalEtapas)+1))</f>
        <v>8</v>
      </c>
      <c r="E99" t="str">
        <f>IFERROR(VLOOKUP(tbEscolas[[#This Row],[COD ETPA]],tbEtapas[],2,FALSE),"")</f>
        <v>4º ANO</v>
      </c>
      <c r="F99" t="str">
        <f>IFERROR(VLOOKUP(tbEscolas[[#This Row],[COD ETPA]],tbEtapas[],3,FALSE),"")</f>
        <v>FUNDAMENTAL</v>
      </c>
      <c r="G99" t="s">
        <v>125</v>
      </c>
    </row>
    <row r="100" spans="1:7" x14ac:dyDescent="0.25">
      <c r="A100" s="24">
        <f>_xlfn.XLOOKUP(tbEscolas[[#This Row],[ESCOLA]],tbNucleo[ESCOLA],tbNucleo[COD ESCOLA],"")</f>
        <v>6</v>
      </c>
      <c r="B100" t="str" cm="1">
        <f t="array" ref="B100">IFERROR(INDEX(tbNucleo[ESCOLA],ROUNDUP(ROW(B99)/TotalEtapas,0)),"")</f>
        <v xml:space="preserve"> EMEI BUSCANDO O SABER </v>
      </c>
      <c r="C100" t="str">
        <f>IFERROR(VLOOKUP(B100,tbNucleo[],2,FALSE),"")</f>
        <v/>
      </c>
      <c r="D100" cm="1">
        <f t="array" ref="D100">IF(B100="","",INDEX(tbEtapas[Nº],MOD(ROW(B99)-1,TotalEtapas)+1))</f>
        <v>9</v>
      </c>
      <c r="E100" t="str">
        <f>IFERROR(VLOOKUP(tbEscolas[[#This Row],[COD ETPA]],tbEtapas[],2,FALSE),"")</f>
        <v>5º ANO</v>
      </c>
      <c r="F100" t="str">
        <f>IFERROR(VLOOKUP(tbEscolas[[#This Row],[COD ETPA]],tbEtapas[],3,FALSE),"")</f>
        <v>FUNDAMENTAL</v>
      </c>
      <c r="G100" t="s">
        <v>125</v>
      </c>
    </row>
    <row r="101" spans="1:7" x14ac:dyDescent="0.25">
      <c r="A101" s="24">
        <f>_xlfn.XLOOKUP(tbEscolas[[#This Row],[ESCOLA]],tbNucleo[ESCOLA],tbNucleo[COD ESCOLA],"")</f>
        <v>6</v>
      </c>
      <c r="B101" t="str" cm="1">
        <f t="array" ref="B101">IFERROR(INDEX(tbNucleo[ESCOLA],ROUNDUP(ROW(B100)/TotalEtapas,0)),"")</f>
        <v xml:space="preserve"> EMEI BUSCANDO O SABER </v>
      </c>
      <c r="C101" t="str">
        <f>IFERROR(VLOOKUP(B101,tbNucleo[],2,FALSE),"")</f>
        <v/>
      </c>
      <c r="D101" cm="1">
        <f t="array" ref="D101">IF(B101="","",INDEX(tbEtapas[Nº],MOD(ROW(B100)-1,TotalEtapas)+1))</f>
        <v>10</v>
      </c>
      <c r="E101" t="str">
        <f>IFERROR(VLOOKUP(tbEscolas[[#This Row],[COD ETPA]],tbEtapas[],2,FALSE),"")</f>
        <v>6º ANO</v>
      </c>
      <c r="F101" t="str">
        <f>IFERROR(VLOOKUP(tbEscolas[[#This Row],[COD ETPA]],tbEtapas[],3,FALSE),"")</f>
        <v>FUNDAMENTAL</v>
      </c>
      <c r="G101" t="s">
        <v>125</v>
      </c>
    </row>
    <row r="102" spans="1:7" x14ac:dyDescent="0.25">
      <c r="A102" s="24">
        <f>_xlfn.XLOOKUP(tbEscolas[[#This Row],[ESCOLA]],tbNucleo[ESCOLA],tbNucleo[COD ESCOLA],"")</f>
        <v>6</v>
      </c>
      <c r="B102" t="str" cm="1">
        <f t="array" ref="B102">IFERROR(INDEX(tbNucleo[ESCOLA],ROUNDUP(ROW(B101)/TotalEtapas,0)),"")</f>
        <v xml:space="preserve"> EMEI BUSCANDO O SABER </v>
      </c>
      <c r="C102" t="str">
        <f>IFERROR(VLOOKUP(B102,tbNucleo[],2,FALSE),"")</f>
        <v/>
      </c>
      <c r="D102" cm="1">
        <f t="array" ref="D102">IF(B102="","",INDEX(tbEtapas[Nº],MOD(ROW(B101)-1,TotalEtapas)+1))</f>
        <v>11</v>
      </c>
      <c r="E102" t="str">
        <f>IFERROR(VLOOKUP(tbEscolas[[#This Row],[COD ETPA]],tbEtapas[],2,FALSE),"")</f>
        <v>7º ANO</v>
      </c>
      <c r="F102" t="str">
        <f>IFERROR(VLOOKUP(tbEscolas[[#This Row],[COD ETPA]],tbEtapas[],3,FALSE),"")</f>
        <v>FUNDAMENTAL</v>
      </c>
      <c r="G102" t="s">
        <v>125</v>
      </c>
    </row>
    <row r="103" spans="1:7" x14ac:dyDescent="0.25">
      <c r="A103" s="24">
        <f>_xlfn.XLOOKUP(tbEscolas[[#This Row],[ESCOLA]],tbNucleo[ESCOLA],tbNucleo[COD ESCOLA],"")</f>
        <v>6</v>
      </c>
      <c r="B103" t="str" cm="1">
        <f t="array" ref="B103">IFERROR(INDEX(tbNucleo[ESCOLA],ROUNDUP(ROW(B102)/TotalEtapas,0)),"")</f>
        <v xml:space="preserve"> EMEI BUSCANDO O SABER </v>
      </c>
      <c r="C103" t="str">
        <f>IFERROR(VLOOKUP(B103,tbNucleo[],2,FALSE),"")</f>
        <v/>
      </c>
      <c r="D103" cm="1">
        <f t="array" ref="D103">IF(B103="","",INDEX(tbEtapas[Nº],MOD(ROW(B102)-1,TotalEtapas)+1))</f>
        <v>12</v>
      </c>
      <c r="E103" t="str">
        <f>IFERROR(VLOOKUP(tbEscolas[[#This Row],[COD ETPA]],tbEtapas[],2,FALSE),"")</f>
        <v>8º ANO</v>
      </c>
      <c r="F103" t="str">
        <f>IFERROR(VLOOKUP(tbEscolas[[#This Row],[COD ETPA]],tbEtapas[],3,FALSE),"")</f>
        <v>FUNDAMENTAL</v>
      </c>
      <c r="G103" t="s">
        <v>125</v>
      </c>
    </row>
    <row r="104" spans="1:7" x14ac:dyDescent="0.25">
      <c r="A104" s="24">
        <f>_xlfn.XLOOKUP(tbEscolas[[#This Row],[ESCOLA]],tbNucleo[ESCOLA],tbNucleo[COD ESCOLA],"")</f>
        <v>6</v>
      </c>
      <c r="B104" t="str" cm="1">
        <f t="array" ref="B104">IFERROR(INDEX(tbNucleo[ESCOLA],ROUNDUP(ROW(B103)/TotalEtapas,0)),"")</f>
        <v xml:space="preserve"> EMEI BUSCANDO O SABER </v>
      </c>
      <c r="C104" t="str">
        <f>IFERROR(VLOOKUP(B104,tbNucleo[],2,FALSE),"")</f>
        <v/>
      </c>
      <c r="D104" cm="1">
        <f t="array" ref="D104">IF(B104="","",INDEX(tbEtapas[Nº],MOD(ROW(B103)-1,TotalEtapas)+1))</f>
        <v>13</v>
      </c>
      <c r="E104" t="str">
        <f>IFERROR(VLOOKUP(tbEscolas[[#This Row],[COD ETPA]],tbEtapas[],2,FALSE),"")</f>
        <v>9º ANO</v>
      </c>
      <c r="F104" t="str">
        <f>IFERROR(VLOOKUP(tbEscolas[[#This Row],[COD ETPA]],tbEtapas[],3,FALSE),"")</f>
        <v>FUNDAMENTAL</v>
      </c>
      <c r="G104" t="s">
        <v>125</v>
      </c>
    </row>
    <row r="105" spans="1:7" x14ac:dyDescent="0.25">
      <c r="A105" s="24">
        <f>_xlfn.XLOOKUP(tbEscolas[[#This Row],[ESCOLA]],tbNucleo[ESCOLA],tbNucleo[COD ESCOLA],"")</f>
        <v>6</v>
      </c>
      <c r="B105" t="str" cm="1">
        <f t="array" ref="B105">IFERROR(INDEX(tbNucleo[ESCOLA],ROUNDUP(ROW(B104)/TotalEtapas,0)),"")</f>
        <v xml:space="preserve"> EMEI BUSCANDO O SABER </v>
      </c>
      <c r="C105" t="str">
        <f>IFERROR(VLOOKUP(B105,tbNucleo[],2,FALSE),"")</f>
        <v/>
      </c>
      <c r="D105" cm="1">
        <f t="array" ref="D105">IF(B105="","",INDEX(tbEtapas[Nº],MOD(ROW(B104)-1,TotalEtapas)+1))</f>
        <v>14</v>
      </c>
      <c r="E105" t="str">
        <f>IFERROR(VLOOKUP(tbEscolas[[#This Row],[COD ETPA]],tbEtapas[],2,FALSE),"")</f>
        <v>1º ANO</v>
      </c>
      <c r="F105" t="str">
        <f>IFERROR(VLOOKUP(tbEscolas[[#This Row],[COD ETPA]],tbEtapas[],3,FALSE),"")</f>
        <v>ENSINO MÉDIO</v>
      </c>
      <c r="G105" t="s">
        <v>125</v>
      </c>
    </row>
    <row r="106" spans="1:7" x14ac:dyDescent="0.25">
      <c r="A106" s="24">
        <f>_xlfn.XLOOKUP(tbEscolas[[#This Row],[ESCOLA]],tbNucleo[ESCOLA],tbNucleo[COD ESCOLA],"")</f>
        <v>6</v>
      </c>
      <c r="B106" t="str" cm="1">
        <f t="array" ref="B106">IFERROR(INDEX(tbNucleo[ESCOLA],ROUNDUP(ROW(B105)/TotalEtapas,0)),"")</f>
        <v xml:space="preserve"> EMEI BUSCANDO O SABER </v>
      </c>
      <c r="C106" t="str">
        <f>IFERROR(VLOOKUP(B106,tbNucleo[],2,FALSE),"")</f>
        <v/>
      </c>
      <c r="D106" cm="1">
        <f t="array" ref="D106">IF(B106="","",INDEX(tbEtapas[Nº],MOD(ROW(B105)-1,TotalEtapas)+1))</f>
        <v>15</v>
      </c>
      <c r="E106" t="str">
        <f>IFERROR(VLOOKUP(tbEscolas[[#This Row],[COD ETPA]],tbEtapas[],2,FALSE),"")</f>
        <v>2º ANO</v>
      </c>
      <c r="F106" t="str">
        <f>IFERROR(VLOOKUP(tbEscolas[[#This Row],[COD ETPA]],tbEtapas[],3,FALSE),"")</f>
        <v>ENSINO MÉDIO</v>
      </c>
      <c r="G106" t="s">
        <v>125</v>
      </c>
    </row>
    <row r="107" spans="1:7" x14ac:dyDescent="0.25">
      <c r="A107" s="24">
        <f>_xlfn.XLOOKUP(tbEscolas[[#This Row],[ESCOLA]],tbNucleo[ESCOLA],tbNucleo[COD ESCOLA],"")</f>
        <v>6</v>
      </c>
      <c r="B107" t="str" cm="1">
        <f t="array" ref="B107">IFERROR(INDEX(tbNucleo[ESCOLA],ROUNDUP(ROW(B106)/TotalEtapas,0)),"")</f>
        <v xml:space="preserve"> EMEI BUSCANDO O SABER </v>
      </c>
      <c r="C107" t="str">
        <f>IFERROR(VLOOKUP(B107,tbNucleo[],2,FALSE),"")</f>
        <v/>
      </c>
      <c r="D107" cm="1">
        <f t="array" ref="D107">IF(B107="","",INDEX(tbEtapas[Nº],MOD(ROW(B106)-1,TotalEtapas)+1))</f>
        <v>16</v>
      </c>
      <c r="E107" t="str">
        <f>IFERROR(VLOOKUP(tbEscolas[[#This Row],[COD ETPA]],tbEtapas[],2,FALSE),"")</f>
        <v>3º ANO</v>
      </c>
      <c r="F107" t="str">
        <f>IFERROR(VLOOKUP(tbEscolas[[#This Row],[COD ETPA]],tbEtapas[],3,FALSE),"")</f>
        <v>ENSINO MÉDIO</v>
      </c>
      <c r="G107" t="s">
        <v>125</v>
      </c>
    </row>
    <row r="108" spans="1:7" x14ac:dyDescent="0.25">
      <c r="A108" s="24">
        <f>_xlfn.XLOOKUP(tbEscolas[[#This Row],[ESCOLA]],tbNucleo[ESCOLA],tbNucleo[COD ESCOLA],"")</f>
        <v>6</v>
      </c>
      <c r="B108" t="str" cm="1">
        <f t="array" ref="B108">IFERROR(INDEX(tbNucleo[ESCOLA],ROUNDUP(ROW(B107)/TotalEtapas,0)),"")</f>
        <v xml:space="preserve"> EMEI BUSCANDO O SABER </v>
      </c>
      <c r="C108" t="str">
        <f>IFERROR(VLOOKUP(B108,tbNucleo[],2,FALSE),"")</f>
        <v/>
      </c>
      <c r="D108" cm="1">
        <f t="array" ref="D108">IF(B108="","",INDEX(tbEtapas[Nº],MOD(ROW(B107)-1,TotalEtapas)+1))</f>
        <v>17</v>
      </c>
      <c r="E108" t="str">
        <f>IFERROR(VLOOKUP(tbEscolas[[#This Row],[COD ETPA]],tbEtapas[],2,FALSE),"")</f>
        <v>EJA I</v>
      </c>
      <c r="F108" t="str">
        <f>IFERROR(VLOOKUP(tbEscolas[[#This Row],[COD ETPA]],tbEtapas[],3,FALSE),"")</f>
        <v>FUNDAMENTAL</v>
      </c>
      <c r="G108" t="s">
        <v>125</v>
      </c>
    </row>
    <row r="109" spans="1:7" x14ac:dyDescent="0.25">
      <c r="A109" s="24">
        <f>_xlfn.XLOOKUP(tbEscolas[[#This Row],[ESCOLA]],tbNucleo[ESCOLA],tbNucleo[COD ESCOLA],"")</f>
        <v>6</v>
      </c>
      <c r="B109" t="str" cm="1">
        <f t="array" ref="B109">IFERROR(INDEX(tbNucleo[ESCOLA],ROUNDUP(ROW(B108)/TotalEtapas,0)),"")</f>
        <v xml:space="preserve"> EMEI BUSCANDO O SABER </v>
      </c>
      <c r="C109" t="str">
        <f>IFERROR(VLOOKUP(B109,tbNucleo[],2,FALSE),"")</f>
        <v/>
      </c>
      <c r="D109" cm="1">
        <f t="array" ref="D109">IF(B109="","",INDEX(tbEtapas[Nº],MOD(ROW(B108)-1,TotalEtapas)+1))</f>
        <v>18</v>
      </c>
      <c r="E109" t="str">
        <f>IFERROR(VLOOKUP(tbEscolas[[#This Row],[COD ETPA]],tbEtapas[],2,FALSE),"")</f>
        <v>EJA II</v>
      </c>
      <c r="F109" t="str">
        <f>IFERROR(VLOOKUP(tbEscolas[[#This Row],[COD ETPA]],tbEtapas[],3,FALSE),"")</f>
        <v>ENSINO MÉDIO</v>
      </c>
      <c r="G109" t="s">
        <v>125</v>
      </c>
    </row>
    <row r="110" spans="1:7" x14ac:dyDescent="0.25">
      <c r="A110" s="24">
        <f>_xlfn.XLOOKUP(tbEscolas[[#This Row],[ESCOLA]],tbNucleo[ESCOLA],tbNucleo[COD ESCOLA],"")</f>
        <v>7</v>
      </c>
      <c r="B110" t="str" cm="1">
        <f t="array" ref="B110">IFERROR(INDEX(tbNucleo[ESCOLA],ROUNDUP(ROW(B109)/TotalEtapas,0)),"")</f>
        <v>E. E. C. M. Frei Ambrósio</v>
      </c>
      <c r="C110" t="str">
        <f>IFERROR(VLOOKUP(B110,tbNucleo[],2,FALSE),"")</f>
        <v/>
      </c>
      <c r="D110" cm="1">
        <f t="array" ref="D110">IF(B110="","",INDEX(tbEtapas[Nº],MOD(ROW(B109)-1,TotalEtapas)+1))</f>
        <v>1</v>
      </c>
      <c r="E110" t="str">
        <f>IFERROR(VLOOKUP(tbEscolas[[#This Row],[COD ETPA]],tbEtapas[],2,FALSE),"")</f>
        <v>CRECHE I</v>
      </c>
      <c r="F110" t="str">
        <f>IFERROR(VLOOKUP(tbEscolas[[#This Row],[COD ETPA]],tbEtapas[],3,FALSE),"")</f>
        <v>EDUCAÇÃO INFANTIL</v>
      </c>
      <c r="G110" t="s">
        <v>125</v>
      </c>
    </row>
    <row r="111" spans="1:7" x14ac:dyDescent="0.25">
      <c r="A111" s="24">
        <f>_xlfn.XLOOKUP(tbEscolas[[#This Row],[ESCOLA]],tbNucleo[ESCOLA],tbNucleo[COD ESCOLA],"")</f>
        <v>7</v>
      </c>
      <c r="B111" t="str" cm="1">
        <f t="array" ref="B111">IFERROR(INDEX(tbNucleo[ESCOLA],ROUNDUP(ROW(B110)/TotalEtapas,0)),"")</f>
        <v>E. E. C. M. Frei Ambrósio</v>
      </c>
      <c r="C111" t="str">
        <f>IFERROR(VLOOKUP(B111,tbNucleo[],2,FALSE),"")</f>
        <v/>
      </c>
      <c r="D111" cm="1">
        <f t="array" ref="D111">IF(B111="","",INDEX(tbEtapas[Nº],MOD(ROW(B110)-1,TotalEtapas)+1))</f>
        <v>2</v>
      </c>
      <c r="E111" t="str">
        <f>IFERROR(VLOOKUP(tbEscolas[[#This Row],[COD ETPA]],tbEtapas[],2,FALSE),"")</f>
        <v>CRECHE II</v>
      </c>
      <c r="F111" t="str">
        <f>IFERROR(VLOOKUP(tbEscolas[[#This Row],[COD ETPA]],tbEtapas[],3,FALSE),"")</f>
        <v>EDUCAÇÃO INFANTIL</v>
      </c>
      <c r="G111" t="s">
        <v>125</v>
      </c>
    </row>
    <row r="112" spans="1:7" x14ac:dyDescent="0.25">
      <c r="A112" s="24">
        <f>_xlfn.XLOOKUP(tbEscolas[[#This Row],[ESCOLA]],tbNucleo[ESCOLA],tbNucleo[COD ESCOLA],"")</f>
        <v>7</v>
      </c>
      <c r="B112" t="str" cm="1">
        <f t="array" ref="B112">IFERROR(INDEX(tbNucleo[ESCOLA],ROUNDUP(ROW(B111)/TotalEtapas,0)),"")</f>
        <v>E. E. C. M. Frei Ambrósio</v>
      </c>
      <c r="C112" t="str">
        <f>IFERROR(VLOOKUP(B112,tbNucleo[],2,FALSE),"")</f>
        <v/>
      </c>
      <c r="D112" cm="1">
        <f t="array" ref="D112">IF(B112="","",INDEX(tbEtapas[Nº],MOD(ROW(B111)-1,TotalEtapas)+1))</f>
        <v>3</v>
      </c>
      <c r="E112" t="str">
        <f>IFERROR(VLOOKUP(tbEscolas[[#This Row],[COD ETPA]],tbEtapas[],2,FALSE),"")</f>
        <v>PRE I</v>
      </c>
      <c r="F112" t="str">
        <f>IFERROR(VLOOKUP(tbEscolas[[#This Row],[COD ETPA]],tbEtapas[],3,FALSE),"")</f>
        <v>EDUCAÇÃO INFANTIL</v>
      </c>
      <c r="G112" t="s">
        <v>126</v>
      </c>
    </row>
    <row r="113" spans="1:7" x14ac:dyDescent="0.25">
      <c r="A113" s="24">
        <f>_xlfn.XLOOKUP(tbEscolas[[#This Row],[ESCOLA]],tbNucleo[ESCOLA],tbNucleo[COD ESCOLA],"")</f>
        <v>7</v>
      </c>
      <c r="B113" t="str" cm="1">
        <f t="array" ref="B113">IFERROR(INDEX(tbNucleo[ESCOLA],ROUNDUP(ROW(B112)/TotalEtapas,0)),"")</f>
        <v>E. E. C. M. Frei Ambrósio</v>
      </c>
      <c r="C113" t="str">
        <f>IFERROR(VLOOKUP(B113,tbNucleo[],2,FALSE),"")</f>
        <v/>
      </c>
      <c r="D113" cm="1">
        <f t="array" ref="D113">IF(B113="","",INDEX(tbEtapas[Nº],MOD(ROW(B112)-1,TotalEtapas)+1))</f>
        <v>4</v>
      </c>
      <c r="E113" t="str">
        <f>IFERROR(VLOOKUP(tbEscolas[[#This Row],[COD ETPA]],tbEtapas[],2,FALSE),"")</f>
        <v>PRE II</v>
      </c>
      <c r="F113" t="str">
        <f>IFERROR(VLOOKUP(tbEscolas[[#This Row],[COD ETPA]],tbEtapas[],3,FALSE),"")</f>
        <v>EDUCAÇÃO INFANTIL</v>
      </c>
      <c r="G113" t="s">
        <v>126</v>
      </c>
    </row>
    <row r="114" spans="1:7" x14ac:dyDescent="0.25">
      <c r="A114" s="24">
        <f>_xlfn.XLOOKUP(tbEscolas[[#This Row],[ESCOLA]],tbNucleo[ESCOLA],tbNucleo[COD ESCOLA],"")</f>
        <v>7</v>
      </c>
      <c r="B114" t="str" cm="1">
        <f t="array" ref="B114">IFERROR(INDEX(tbNucleo[ESCOLA],ROUNDUP(ROW(B113)/TotalEtapas,0)),"")</f>
        <v>E. E. C. M. Frei Ambrósio</v>
      </c>
      <c r="C114" t="str">
        <f>IFERROR(VLOOKUP(B114,tbNucleo[],2,FALSE),"")</f>
        <v/>
      </c>
      <c r="D114" cm="1">
        <f t="array" ref="D114">IF(B114="","",INDEX(tbEtapas[Nº],MOD(ROW(B113)-1,TotalEtapas)+1))</f>
        <v>5</v>
      </c>
      <c r="E114" t="str">
        <f>IFERROR(VLOOKUP(tbEscolas[[#This Row],[COD ETPA]],tbEtapas[],2,FALSE),"")</f>
        <v>1º ANO</v>
      </c>
      <c r="F114" t="str">
        <f>IFERROR(VLOOKUP(tbEscolas[[#This Row],[COD ETPA]],tbEtapas[],3,FALSE),"")</f>
        <v>FUNDAMENTAL</v>
      </c>
      <c r="G114" t="s">
        <v>126</v>
      </c>
    </row>
    <row r="115" spans="1:7" x14ac:dyDescent="0.25">
      <c r="A115" s="24">
        <f>_xlfn.XLOOKUP(tbEscolas[[#This Row],[ESCOLA]],tbNucleo[ESCOLA],tbNucleo[COD ESCOLA],"")</f>
        <v>7</v>
      </c>
      <c r="B115" t="str" cm="1">
        <f t="array" ref="B115">IFERROR(INDEX(tbNucleo[ESCOLA],ROUNDUP(ROW(B114)/TotalEtapas,0)),"")</f>
        <v>E. E. C. M. Frei Ambrósio</v>
      </c>
      <c r="C115" t="str">
        <f>IFERROR(VLOOKUP(B115,tbNucleo[],2,FALSE),"")</f>
        <v/>
      </c>
      <c r="D115" cm="1">
        <f t="array" ref="D115">IF(B115="","",INDEX(tbEtapas[Nº],MOD(ROW(B114)-1,TotalEtapas)+1))</f>
        <v>6</v>
      </c>
      <c r="E115" t="str">
        <f>IFERROR(VLOOKUP(tbEscolas[[#This Row],[COD ETPA]],tbEtapas[],2,FALSE),"")</f>
        <v>2º ANO</v>
      </c>
      <c r="F115" t="str">
        <f>IFERROR(VLOOKUP(tbEscolas[[#This Row],[COD ETPA]],tbEtapas[],3,FALSE),"")</f>
        <v>FUNDAMENTAL</v>
      </c>
      <c r="G115" t="s">
        <v>126</v>
      </c>
    </row>
    <row r="116" spans="1:7" x14ac:dyDescent="0.25">
      <c r="A116" s="24">
        <f>_xlfn.XLOOKUP(tbEscolas[[#This Row],[ESCOLA]],tbNucleo[ESCOLA],tbNucleo[COD ESCOLA],"")</f>
        <v>7</v>
      </c>
      <c r="B116" t="str" cm="1">
        <f t="array" ref="B116">IFERROR(INDEX(tbNucleo[ESCOLA],ROUNDUP(ROW(B115)/TotalEtapas,0)),"")</f>
        <v>E. E. C. M. Frei Ambrósio</v>
      </c>
      <c r="C116" t="str">
        <f>IFERROR(VLOOKUP(B116,tbNucleo[],2,FALSE),"")</f>
        <v/>
      </c>
      <c r="D116" cm="1">
        <f t="array" ref="D116">IF(B116="","",INDEX(tbEtapas[Nº],MOD(ROW(B115)-1,TotalEtapas)+1))</f>
        <v>7</v>
      </c>
      <c r="E116" t="str">
        <f>IFERROR(VLOOKUP(tbEscolas[[#This Row],[COD ETPA]],tbEtapas[],2,FALSE),"")</f>
        <v>3º ANO</v>
      </c>
      <c r="F116" t="str">
        <f>IFERROR(VLOOKUP(tbEscolas[[#This Row],[COD ETPA]],tbEtapas[],3,FALSE),"")</f>
        <v>FUNDAMENTAL</v>
      </c>
      <c r="G116" t="s">
        <v>126</v>
      </c>
    </row>
    <row r="117" spans="1:7" x14ac:dyDescent="0.25">
      <c r="A117" s="24">
        <f>_xlfn.XLOOKUP(tbEscolas[[#This Row],[ESCOLA]],tbNucleo[ESCOLA],tbNucleo[COD ESCOLA],"")</f>
        <v>7</v>
      </c>
      <c r="B117" t="str" cm="1">
        <f t="array" ref="B117">IFERROR(INDEX(tbNucleo[ESCOLA],ROUNDUP(ROW(B116)/TotalEtapas,0)),"")</f>
        <v>E. E. C. M. Frei Ambrósio</v>
      </c>
      <c r="C117" t="str">
        <f>IFERROR(VLOOKUP(B117,tbNucleo[],2,FALSE),"")</f>
        <v/>
      </c>
      <c r="D117" cm="1">
        <f t="array" ref="D117">IF(B117="","",INDEX(tbEtapas[Nº],MOD(ROW(B116)-1,TotalEtapas)+1))</f>
        <v>8</v>
      </c>
      <c r="E117" t="str">
        <f>IFERROR(VLOOKUP(tbEscolas[[#This Row],[COD ETPA]],tbEtapas[],2,FALSE),"")</f>
        <v>4º ANO</v>
      </c>
      <c r="F117" t="str">
        <f>IFERROR(VLOOKUP(tbEscolas[[#This Row],[COD ETPA]],tbEtapas[],3,FALSE),"")</f>
        <v>FUNDAMENTAL</v>
      </c>
      <c r="G117" t="s">
        <v>126</v>
      </c>
    </row>
    <row r="118" spans="1:7" x14ac:dyDescent="0.25">
      <c r="A118" s="24">
        <f>_xlfn.XLOOKUP(tbEscolas[[#This Row],[ESCOLA]],tbNucleo[ESCOLA],tbNucleo[COD ESCOLA],"")</f>
        <v>7</v>
      </c>
      <c r="B118" t="str" cm="1">
        <f t="array" ref="B118">IFERROR(INDEX(tbNucleo[ESCOLA],ROUNDUP(ROW(B117)/TotalEtapas,0)),"")</f>
        <v>E. E. C. M. Frei Ambrósio</v>
      </c>
      <c r="C118" t="str">
        <f>IFERROR(VLOOKUP(B118,tbNucleo[],2,FALSE),"")</f>
        <v/>
      </c>
      <c r="D118" cm="1">
        <f t="array" ref="D118">IF(B118="","",INDEX(tbEtapas[Nº],MOD(ROW(B117)-1,TotalEtapas)+1))</f>
        <v>9</v>
      </c>
      <c r="E118" t="str">
        <f>IFERROR(VLOOKUP(tbEscolas[[#This Row],[COD ETPA]],tbEtapas[],2,FALSE),"")</f>
        <v>5º ANO</v>
      </c>
      <c r="F118" t="str">
        <f>IFERROR(VLOOKUP(tbEscolas[[#This Row],[COD ETPA]],tbEtapas[],3,FALSE),"")</f>
        <v>FUNDAMENTAL</v>
      </c>
      <c r="G118" t="s">
        <v>126</v>
      </c>
    </row>
    <row r="119" spans="1:7" x14ac:dyDescent="0.25">
      <c r="A119" s="24">
        <f>_xlfn.XLOOKUP(tbEscolas[[#This Row],[ESCOLA]],tbNucleo[ESCOLA],tbNucleo[COD ESCOLA],"")</f>
        <v>7</v>
      </c>
      <c r="B119" t="str" cm="1">
        <f t="array" ref="B119">IFERROR(INDEX(tbNucleo[ESCOLA],ROUNDUP(ROW(B118)/TotalEtapas,0)),"")</f>
        <v>E. E. C. M. Frei Ambrósio</v>
      </c>
      <c r="C119" t="str">
        <f>IFERROR(VLOOKUP(B119,tbNucleo[],2,FALSE),"")</f>
        <v/>
      </c>
      <c r="D119" cm="1">
        <f t="array" ref="D119">IF(B119="","",INDEX(tbEtapas[Nº],MOD(ROW(B118)-1,TotalEtapas)+1))</f>
        <v>10</v>
      </c>
      <c r="E119" t="str">
        <f>IFERROR(VLOOKUP(tbEscolas[[#This Row],[COD ETPA]],tbEtapas[],2,FALSE),"")</f>
        <v>6º ANO</v>
      </c>
      <c r="F119" t="str">
        <f>IFERROR(VLOOKUP(tbEscolas[[#This Row],[COD ETPA]],tbEtapas[],3,FALSE),"")</f>
        <v>FUNDAMENTAL</v>
      </c>
      <c r="G119" t="s">
        <v>125</v>
      </c>
    </row>
    <row r="120" spans="1:7" x14ac:dyDescent="0.25">
      <c r="A120" s="24">
        <f>_xlfn.XLOOKUP(tbEscolas[[#This Row],[ESCOLA]],tbNucleo[ESCOLA],tbNucleo[COD ESCOLA],"")</f>
        <v>7</v>
      </c>
      <c r="B120" t="str" cm="1">
        <f t="array" ref="B120">IFERROR(INDEX(tbNucleo[ESCOLA],ROUNDUP(ROW(B119)/TotalEtapas,0)),"")</f>
        <v>E. E. C. M. Frei Ambrósio</v>
      </c>
      <c r="C120" t="str">
        <f>IFERROR(VLOOKUP(B120,tbNucleo[],2,FALSE),"")</f>
        <v/>
      </c>
      <c r="D120" cm="1">
        <f t="array" ref="D120">IF(B120="","",INDEX(tbEtapas[Nº],MOD(ROW(B119)-1,TotalEtapas)+1))</f>
        <v>11</v>
      </c>
      <c r="E120" t="str">
        <f>IFERROR(VLOOKUP(tbEscolas[[#This Row],[COD ETPA]],tbEtapas[],2,FALSE),"")</f>
        <v>7º ANO</v>
      </c>
      <c r="F120" t="str">
        <f>IFERROR(VLOOKUP(tbEscolas[[#This Row],[COD ETPA]],tbEtapas[],3,FALSE),"")</f>
        <v>FUNDAMENTAL</v>
      </c>
      <c r="G120" t="s">
        <v>125</v>
      </c>
    </row>
    <row r="121" spans="1:7" x14ac:dyDescent="0.25">
      <c r="A121" s="24">
        <f>_xlfn.XLOOKUP(tbEscolas[[#This Row],[ESCOLA]],tbNucleo[ESCOLA],tbNucleo[COD ESCOLA],"")</f>
        <v>7</v>
      </c>
      <c r="B121" t="str" cm="1">
        <f t="array" ref="B121">IFERROR(INDEX(tbNucleo[ESCOLA],ROUNDUP(ROW(B120)/TotalEtapas,0)),"")</f>
        <v>E. E. C. M. Frei Ambrósio</v>
      </c>
      <c r="C121" t="str">
        <f>IFERROR(VLOOKUP(B121,tbNucleo[],2,FALSE),"")</f>
        <v/>
      </c>
      <c r="D121" cm="1">
        <f t="array" ref="D121">IF(B121="","",INDEX(tbEtapas[Nº],MOD(ROW(B120)-1,TotalEtapas)+1))</f>
        <v>12</v>
      </c>
      <c r="E121" t="str">
        <f>IFERROR(VLOOKUP(tbEscolas[[#This Row],[COD ETPA]],tbEtapas[],2,FALSE),"")</f>
        <v>8º ANO</v>
      </c>
      <c r="F121" t="str">
        <f>IFERROR(VLOOKUP(tbEscolas[[#This Row],[COD ETPA]],tbEtapas[],3,FALSE),"")</f>
        <v>FUNDAMENTAL</v>
      </c>
      <c r="G121" t="s">
        <v>125</v>
      </c>
    </row>
    <row r="122" spans="1:7" x14ac:dyDescent="0.25">
      <c r="A122" s="24">
        <f>_xlfn.XLOOKUP(tbEscolas[[#This Row],[ESCOLA]],tbNucleo[ESCOLA],tbNucleo[COD ESCOLA],"")</f>
        <v>7</v>
      </c>
      <c r="B122" t="str" cm="1">
        <f t="array" ref="B122">IFERROR(INDEX(tbNucleo[ESCOLA],ROUNDUP(ROW(B121)/TotalEtapas,0)),"")</f>
        <v>E. E. C. M. Frei Ambrósio</v>
      </c>
      <c r="C122" t="str">
        <f>IFERROR(VLOOKUP(B122,tbNucleo[],2,FALSE),"")</f>
        <v/>
      </c>
      <c r="D122" cm="1">
        <f t="array" ref="D122">IF(B122="","",INDEX(tbEtapas[Nº],MOD(ROW(B121)-1,TotalEtapas)+1))</f>
        <v>13</v>
      </c>
      <c r="E122" t="str">
        <f>IFERROR(VLOOKUP(tbEscolas[[#This Row],[COD ETPA]],tbEtapas[],2,FALSE),"")</f>
        <v>9º ANO</v>
      </c>
      <c r="F122" t="str">
        <f>IFERROR(VLOOKUP(tbEscolas[[#This Row],[COD ETPA]],tbEtapas[],3,FALSE),"")</f>
        <v>FUNDAMENTAL</v>
      </c>
      <c r="G122" t="s">
        <v>125</v>
      </c>
    </row>
    <row r="123" spans="1:7" x14ac:dyDescent="0.25">
      <c r="A123" s="24">
        <f>_xlfn.XLOOKUP(tbEscolas[[#This Row],[ESCOLA]],tbNucleo[ESCOLA],tbNucleo[COD ESCOLA],"")</f>
        <v>7</v>
      </c>
      <c r="B123" t="str" cm="1">
        <f t="array" ref="B123">IFERROR(INDEX(tbNucleo[ESCOLA],ROUNDUP(ROW(B122)/TotalEtapas,0)),"")</f>
        <v>E. E. C. M. Frei Ambrósio</v>
      </c>
      <c r="C123" t="str">
        <f>IFERROR(VLOOKUP(B123,tbNucleo[],2,FALSE),"")</f>
        <v/>
      </c>
      <c r="D123" cm="1">
        <f t="array" ref="D123">IF(B123="","",INDEX(tbEtapas[Nº],MOD(ROW(B122)-1,TotalEtapas)+1))</f>
        <v>14</v>
      </c>
      <c r="E123" t="str">
        <f>IFERROR(VLOOKUP(tbEscolas[[#This Row],[COD ETPA]],tbEtapas[],2,FALSE),"")</f>
        <v>1º ANO</v>
      </c>
      <c r="F123" t="str">
        <f>IFERROR(VLOOKUP(tbEscolas[[#This Row],[COD ETPA]],tbEtapas[],3,FALSE),"")</f>
        <v>ENSINO MÉDIO</v>
      </c>
      <c r="G123" t="s">
        <v>125</v>
      </c>
    </row>
    <row r="124" spans="1:7" x14ac:dyDescent="0.25">
      <c r="A124" s="24">
        <f>_xlfn.XLOOKUP(tbEscolas[[#This Row],[ESCOLA]],tbNucleo[ESCOLA],tbNucleo[COD ESCOLA],"")</f>
        <v>7</v>
      </c>
      <c r="B124" t="str" cm="1">
        <f t="array" ref="B124">IFERROR(INDEX(tbNucleo[ESCOLA],ROUNDUP(ROW(B123)/TotalEtapas,0)),"")</f>
        <v>E. E. C. M. Frei Ambrósio</v>
      </c>
      <c r="C124" t="str">
        <f>IFERROR(VLOOKUP(B124,tbNucleo[],2,FALSE),"")</f>
        <v/>
      </c>
      <c r="D124" cm="1">
        <f t="array" ref="D124">IF(B124="","",INDEX(tbEtapas[Nº],MOD(ROW(B123)-1,TotalEtapas)+1))</f>
        <v>15</v>
      </c>
      <c r="E124" t="str">
        <f>IFERROR(VLOOKUP(tbEscolas[[#This Row],[COD ETPA]],tbEtapas[],2,FALSE),"")</f>
        <v>2º ANO</v>
      </c>
      <c r="F124" t="str">
        <f>IFERROR(VLOOKUP(tbEscolas[[#This Row],[COD ETPA]],tbEtapas[],3,FALSE),"")</f>
        <v>ENSINO MÉDIO</v>
      </c>
      <c r="G124" t="s">
        <v>125</v>
      </c>
    </row>
    <row r="125" spans="1:7" x14ac:dyDescent="0.25">
      <c r="A125" s="24">
        <f>_xlfn.XLOOKUP(tbEscolas[[#This Row],[ESCOLA]],tbNucleo[ESCOLA],tbNucleo[COD ESCOLA],"")</f>
        <v>7</v>
      </c>
      <c r="B125" t="str" cm="1">
        <f t="array" ref="B125">IFERROR(INDEX(tbNucleo[ESCOLA],ROUNDUP(ROW(B124)/TotalEtapas,0)),"")</f>
        <v>E. E. C. M. Frei Ambrósio</v>
      </c>
      <c r="C125" t="str">
        <f>IFERROR(VLOOKUP(B125,tbNucleo[],2,FALSE),"")</f>
        <v/>
      </c>
      <c r="D125" cm="1">
        <f t="array" ref="D125">IF(B125="","",INDEX(tbEtapas[Nº],MOD(ROW(B124)-1,TotalEtapas)+1))</f>
        <v>16</v>
      </c>
      <c r="E125" t="str">
        <f>IFERROR(VLOOKUP(tbEscolas[[#This Row],[COD ETPA]],tbEtapas[],2,FALSE),"")</f>
        <v>3º ANO</v>
      </c>
      <c r="F125" t="str">
        <f>IFERROR(VLOOKUP(tbEscolas[[#This Row],[COD ETPA]],tbEtapas[],3,FALSE),"")</f>
        <v>ENSINO MÉDIO</v>
      </c>
      <c r="G125" t="s">
        <v>125</v>
      </c>
    </row>
    <row r="126" spans="1:7" x14ac:dyDescent="0.25">
      <c r="A126" s="24">
        <f>_xlfn.XLOOKUP(tbEscolas[[#This Row],[ESCOLA]],tbNucleo[ESCOLA],tbNucleo[COD ESCOLA],"")</f>
        <v>7</v>
      </c>
      <c r="B126" t="str" cm="1">
        <f t="array" ref="B126">IFERROR(INDEX(tbNucleo[ESCOLA],ROUNDUP(ROW(B125)/TotalEtapas,0)),"")</f>
        <v>E. E. C. M. Frei Ambrósio</v>
      </c>
      <c r="C126" t="str">
        <f>IFERROR(VLOOKUP(B126,tbNucleo[],2,FALSE),"")</f>
        <v/>
      </c>
      <c r="D126" cm="1">
        <f t="array" ref="D126">IF(B126="","",INDEX(tbEtapas[Nº],MOD(ROW(B125)-1,TotalEtapas)+1))</f>
        <v>17</v>
      </c>
      <c r="E126" t="str">
        <f>IFERROR(VLOOKUP(tbEscolas[[#This Row],[COD ETPA]],tbEtapas[],2,FALSE),"")</f>
        <v>EJA I</v>
      </c>
      <c r="F126" t="str">
        <f>IFERROR(VLOOKUP(tbEscolas[[#This Row],[COD ETPA]],tbEtapas[],3,FALSE),"")</f>
        <v>FUNDAMENTAL</v>
      </c>
      <c r="G126" t="s">
        <v>125</v>
      </c>
    </row>
    <row r="127" spans="1:7" x14ac:dyDescent="0.25">
      <c r="A127" s="24">
        <f>_xlfn.XLOOKUP(tbEscolas[[#This Row],[ESCOLA]],tbNucleo[ESCOLA],tbNucleo[COD ESCOLA],"")</f>
        <v>7</v>
      </c>
      <c r="B127" t="str" cm="1">
        <f t="array" ref="B127">IFERROR(INDEX(tbNucleo[ESCOLA],ROUNDUP(ROW(B126)/TotalEtapas,0)),"")</f>
        <v>E. E. C. M. Frei Ambrósio</v>
      </c>
      <c r="C127" t="str">
        <f>IFERROR(VLOOKUP(B127,tbNucleo[],2,FALSE),"")</f>
        <v/>
      </c>
      <c r="D127" cm="1">
        <f t="array" ref="D127">IF(B127="","",INDEX(tbEtapas[Nº],MOD(ROW(B126)-1,TotalEtapas)+1))</f>
        <v>18</v>
      </c>
      <c r="E127" t="str">
        <f>IFERROR(VLOOKUP(tbEscolas[[#This Row],[COD ETPA]],tbEtapas[],2,FALSE),"")</f>
        <v>EJA II</v>
      </c>
      <c r="F127" t="str">
        <f>IFERROR(VLOOKUP(tbEscolas[[#This Row],[COD ETPA]],tbEtapas[],3,FALSE),"")</f>
        <v>ENSINO MÉDIO</v>
      </c>
      <c r="G127" t="s">
        <v>125</v>
      </c>
    </row>
    <row r="128" spans="1:7" x14ac:dyDescent="0.25">
      <c r="A128" s="24">
        <f>_xlfn.XLOOKUP(tbEscolas[[#This Row],[ESCOLA]],tbNucleo[ESCOLA],tbNucleo[COD ESCOLA],"")</f>
        <v>8</v>
      </c>
      <c r="B128" t="str" cm="1">
        <f t="array" ref="B128">IFERROR(INDEX(tbNucleo[ESCOLA],ROUNDUP(ROW(B127)/TotalEtapas,0)),"")</f>
        <v>E. E. C. M. Profª Ana Maria G. Noronha</v>
      </c>
      <c r="C128" t="str">
        <f>IFERROR(VLOOKUP(B128,tbNucleo[],2,FALSE),"")</f>
        <v/>
      </c>
      <c r="D128" cm="1">
        <f t="array" ref="D128">IF(B128="","",INDEX(tbEtapas[Nº],MOD(ROW(B127)-1,TotalEtapas)+1))</f>
        <v>1</v>
      </c>
      <c r="E128" t="str">
        <f>IFERROR(VLOOKUP(tbEscolas[[#This Row],[COD ETPA]],tbEtapas[],2,FALSE),"")</f>
        <v>CRECHE I</v>
      </c>
      <c r="F128" t="str">
        <f>IFERROR(VLOOKUP(tbEscolas[[#This Row],[COD ETPA]],tbEtapas[],3,FALSE),"")</f>
        <v>EDUCAÇÃO INFANTIL</v>
      </c>
      <c r="G128" t="s">
        <v>125</v>
      </c>
    </row>
    <row r="129" spans="1:7" x14ac:dyDescent="0.25">
      <c r="A129" s="24">
        <f>_xlfn.XLOOKUP(tbEscolas[[#This Row],[ESCOLA]],tbNucleo[ESCOLA],tbNucleo[COD ESCOLA],"")</f>
        <v>8</v>
      </c>
      <c r="B129" t="str" cm="1">
        <f t="array" ref="B129">IFERROR(INDEX(tbNucleo[ESCOLA],ROUNDUP(ROW(B128)/TotalEtapas,0)),"")</f>
        <v>E. E. C. M. Profª Ana Maria G. Noronha</v>
      </c>
      <c r="C129" t="str">
        <f>IFERROR(VLOOKUP(B129,tbNucleo[],2,FALSE),"")</f>
        <v/>
      </c>
      <c r="D129" cm="1">
        <f t="array" ref="D129">IF(B129="","",INDEX(tbEtapas[Nº],MOD(ROW(B128)-1,TotalEtapas)+1))</f>
        <v>2</v>
      </c>
      <c r="E129" t="str">
        <f>IFERROR(VLOOKUP(tbEscolas[[#This Row],[COD ETPA]],tbEtapas[],2,FALSE),"")</f>
        <v>CRECHE II</v>
      </c>
      <c r="F129" t="str">
        <f>IFERROR(VLOOKUP(tbEscolas[[#This Row],[COD ETPA]],tbEtapas[],3,FALSE),"")</f>
        <v>EDUCAÇÃO INFANTIL</v>
      </c>
      <c r="G129" t="s">
        <v>125</v>
      </c>
    </row>
    <row r="130" spans="1:7" x14ac:dyDescent="0.25">
      <c r="A130" s="24">
        <f>_xlfn.XLOOKUP(tbEscolas[[#This Row],[ESCOLA]],tbNucleo[ESCOLA],tbNucleo[COD ESCOLA],"")</f>
        <v>8</v>
      </c>
      <c r="B130" t="str" cm="1">
        <f t="array" ref="B130">IFERROR(INDEX(tbNucleo[ESCOLA],ROUNDUP(ROW(B129)/TotalEtapas,0)),"")</f>
        <v>E. E. C. M. Profª Ana Maria G. Noronha</v>
      </c>
      <c r="C130" t="str">
        <f>IFERROR(VLOOKUP(B130,tbNucleo[],2,FALSE),"")</f>
        <v/>
      </c>
      <c r="D130" cm="1">
        <f t="array" ref="D130">IF(B130="","",INDEX(tbEtapas[Nº],MOD(ROW(B129)-1,TotalEtapas)+1))</f>
        <v>3</v>
      </c>
      <c r="E130" t="str">
        <f>IFERROR(VLOOKUP(tbEscolas[[#This Row],[COD ETPA]],tbEtapas[],2,FALSE),"")</f>
        <v>PRE I</v>
      </c>
      <c r="F130" t="str">
        <f>IFERROR(VLOOKUP(tbEscolas[[#This Row],[COD ETPA]],tbEtapas[],3,FALSE),"")</f>
        <v>EDUCAÇÃO INFANTIL</v>
      </c>
      <c r="G130" t="s">
        <v>126</v>
      </c>
    </row>
    <row r="131" spans="1:7" x14ac:dyDescent="0.25">
      <c r="A131" s="24">
        <f>_xlfn.XLOOKUP(tbEscolas[[#This Row],[ESCOLA]],tbNucleo[ESCOLA],tbNucleo[COD ESCOLA],"")</f>
        <v>8</v>
      </c>
      <c r="B131" t="str" cm="1">
        <f t="array" ref="B131">IFERROR(INDEX(tbNucleo[ESCOLA],ROUNDUP(ROW(B130)/TotalEtapas,0)),"")</f>
        <v>E. E. C. M. Profª Ana Maria G. Noronha</v>
      </c>
      <c r="C131" t="str">
        <f>IFERROR(VLOOKUP(B131,tbNucleo[],2,FALSE),"")</f>
        <v/>
      </c>
      <c r="D131" cm="1">
        <f t="array" ref="D131">IF(B131="","",INDEX(tbEtapas[Nº],MOD(ROW(B130)-1,TotalEtapas)+1))</f>
        <v>4</v>
      </c>
      <c r="E131" t="str">
        <f>IFERROR(VLOOKUP(tbEscolas[[#This Row],[COD ETPA]],tbEtapas[],2,FALSE),"")</f>
        <v>PRE II</v>
      </c>
      <c r="F131" t="str">
        <f>IFERROR(VLOOKUP(tbEscolas[[#This Row],[COD ETPA]],tbEtapas[],3,FALSE),"")</f>
        <v>EDUCAÇÃO INFANTIL</v>
      </c>
      <c r="G131" t="s">
        <v>126</v>
      </c>
    </row>
    <row r="132" spans="1:7" x14ac:dyDescent="0.25">
      <c r="A132" s="24">
        <f>_xlfn.XLOOKUP(tbEscolas[[#This Row],[ESCOLA]],tbNucleo[ESCOLA],tbNucleo[COD ESCOLA],"")</f>
        <v>8</v>
      </c>
      <c r="B132" t="str" cm="1">
        <f t="array" ref="B132">IFERROR(INDEX(tbNucleo[ESCOLA],ROUNDUP(ROW(B131)/TotalEtapas,0)),"")</f>
        <v>E. E. C. M. Profª Ana Maria G. Noronha</v>
      </c>
      <c r="C132" t="str">
        <f>IFERROR(VLOOKUP(B132,tbNucleo[],2,FALSE),"")</f>
        <v/>
      </c>
      <c r="D132" cm="1">
        <f t="array" ref="D132">IF(B132="","",INDEX(tbEtapas[Nº],MOD(ROW(B131)-1,TotalEtapas)+1))</f>
        <v>5</v>
      </c>
      <c r="E132" t="str">
        <f>IFERROR(VLOOKUP(tbEscolas[[#This Row],[COD ETPA]],tbEtapas[],2,FALSE),"")</f>
        <v>1º ANO</v>
      </c>
      <c r="F132" t="str">
        <f>IFERROR(VLOOKUP(tbEscolas[[#This Row],[COD ETPA]],tbEtapas[],3,FALSE),"")</f>
        <v>FUNDAMENTAL</v>
      </c>
      <c r="G132" t="s">
        <v>126</v>
      </c>
    </row>
    <row r="133" spans="1:7" x14ac:dyDescent="0.25">
      <c r="A133" s="24">
        <f>_xlfn.XLOOKUP(tbEscolas[[#This Row],[ESCOLA]],tbNucleo[ESCOLA],tbNucleo[COD ESCOLA],"")</f>
        <v>8</v>
      </c>
      <c r="B133" t="str" cm="1">
        <f t="array" ref="B133">IFERROR(INDEX(tbNucleo[ESCOLA],ROUNDUP(ROW(B132)/TotalEtapas,0)),"")</f>
        <v>E. E. C. M. Profª Ana Maria G. Noronha</v>
      </c>
      <c r="C133" t="str">
        <f>IFERROR(VLOOKUP(B133,tbNucleo[],2,FALSE),"")</f>
        <v/>
      </c>
      <c r="D133" cm="1">
        <f t="array" ref="D133">IF(B133="","",INDEX(tbEtapas[Nº],MOD(ROW(B132)-1,TotalEtapas)+1))</f>
        <v>6</v>
      </c>
      <c r="E133" t="str">
        <f>IFERROR(VLOOKUP(tbEscolas[[#This Row],[COD ETPA]],tbEtapas[],2,FALSE),"")</f>
        <v>2º ANO</v>
      </c>
      <c r="F133" t="str">
        <f>IFERROR(VLOOKUP(tbEscolas[[#This Row],[COD ETPA]],tbEtapas[],3,FALSE),"")</f>
        <v>FUNDAMENTAL</v>
      </c>
      <c r="G133" t="s">
        <v>126</v>
      </c>
    </row>
    <row r="134" spans="1:7" x14ac:dyDescent="0.25">
      <c r="A134" s="24">
        <f>_xlfn.XLOOKUP(tbEscolas[[#This Row],[ESCOLA]],tbNucleo[ESCOLA],tbNucleo[COD ESCOLA],"")</f>
        <v>8</v>
      </c>
      <c r="B134" t="str" cm="1">
        <f t="array" ref="B134">IFERROR(INDEX(tbNucleo[ESCOLA],ROUNDUP(ROW(B133)/TotalEtapas,0)),"")</f>
        <v>E. E. C. M. Profª Ana Maria G. Noronha</v>
      </c>
      <c r="C134" t="str">
        <f>IFERROR(VLOOKUP(B134,tbNucleo[],2,FALSE),"")</f>
        <v/>
      </c>
      <c r="D134" cm="1">
        <f t="array" ref="D134">IF(B134="","",INDEX(tbEtapas[Nº],MOD(ROW(B133)-1,TotalEtapas)+1))</f>
        <v>7</v>
      </c>
      <c r="E134" t="str">
        <f>IFERROR(VLOOKUP(tbEscolas[[#This Row],[COD ETPA]],tbEtapas[],2,FALSE),"")</f>
        <v>3º ANO</v>
      </c>
      <c r="F134" t="str">
        <f>IFERROR(VLOOKUP(tbEscolas[[#This Row],[COD ETPA]],tbEtapas[],3,FALSE),"")</f>
        <v>FUNDAMENTAL</v>
      </c>
      <c r="G134" t="s">
        <v>126</v>
      </c>
    </row>
    <row r="135" spans="1:7" x14ac:dyDescent="0.25">
      <c r="A135" s="24">
        <f>_xlfn.XLOOKUP(tbEscolas[[#This Row],[ESCOLA]],tbNucleo[ESCOLA],tbNucleo[COD ESCOLA],"")</f>
        <v>8</v>
      </c>
      <c r="B135" t="str" cm="1">
        <f t="array" ref="B135">IFERROR(INDEX(tbNucleo[ESCOLA],ROUNDUP(ROW(B134)/TotalEtapas,0)),"")</f>
        <v>E. E. C. M. Profª Ana Maria G. Noronha</v>
      </c>
      <c r="C135" t="str">
        <f>IFERROR(VLOOKUP(B135,tbNucleo[],2,FALSE),"")</f>
        <v/>
      </c>
      <c r="D135" cm="1">
        <f t="array" ref="D135">IF(B135="","",INDEX(tbEtapas[Nº],MOD(ROW(B134)-1,TotalEtapas)+1))</f>
        <v>8</v>
      </c>
      <c r="E135" t="str">
        <f>IFERROR(VLOOKUP(tbEscolas[[#This Row],[COD ETPA]],tbEtapas[],2,FALSE),"")</f>
        <v>4º ANO</v>
      </c>
      <c r="F135" t="str">
        <f>IFERROR(VLOOKUP(tbEscolas[[#This Row],[COD ETPA]],tbEtapas[],3,FALSE),"")</f>
        <v>FUNDAMENTAL</v>
      </c>
      <c r="G135" t="s">
        <v>126</v>
      </c>
    </row>
    <row r="136" spans="1:7" x14ac:dyDescent="0.25">
      <c r="A136" s="24">
        <f>_xlfn.XLOOKUP(tbEscolas[[#This Row],[ESCOLA]],tbNucleo[ESCOLA],tbNucleo[COD ESCOLA],"")</f>
        <v>8</v>
      </c>
      <c r="B136" t="str" cm="1">
        <f t="array" ref="B136">IFERROR(INDEX(tbNucleo[ESCOLA],ROUNDUP(ROW(B135)/TotalEtapas,0)),"")</f>
        <v>E. E. C. M. Profª Ana Maria G. Noronha</v>
      </c>
      <c r="C136" t="str">
        <f>IFERROR(VLOOKUP(B136,tbNucleo[],2,FALSE),"")</f>
        <v/>
      </c>
      <c r="D136" cm="1">
        <f t="array" ref="D136">IF(B136="","",INDEX(tbEtapas[Nº],MOD(ROW(B135)-1,TotalEtapas)+1))</f>
        <v>9</v>
      </c>
      <c r="E136" t="str">
        <f>IFERROR(VLOOKUP(tbEscolas[[#This Row],[COD ETPA]],tbEtapas[],2,FALSE),"")</f>
        <v>5º ANO</v>
      </c>
      <c r="F136" t="str">
        <f>IFERROR(VLOOKUP(tbEscolas[[#This Row],[COD ETPA]],tbEtapas[],3,FALSE),"")</f>
        <v>FUNDAMENTAL</v>
      </c>
      <c r="G136" t="s">
        <v>126</v>
      </c>
    </row>
    <row r="137" spans="1:7" x14ac:dyDescent="0.25">
      <c r="A137" s="24">
        <f>_xlfn.XLOOKUP(tbEscolas[[#This Row],[ESCOLA]],tbNucleo[ESCOLA],tbNucleo[COD ESCOLA],"")</f>
        <v>8</v>
      </c>
      <c r="B137" t="str" cm="1">
        <f t="array" ref="B137">IFERROR(INDEX(tbNucleo[ESCOLA],ROUNDUP(ROW(B136)/TotalEtapas,0)),"")</f>
        <v>E. E. C. M. Profª Ana Maria G. Noronha</v>
      </c>
      <c r="C137" t="str">
        <f>IFERROR(VLOOKUP(B137,tbNucleo[],2,FALSE),"")</f>
        <v/>
      </c>
      <c r="D137" cm="1">
        <f t="array" ref="D137">IF(B137="","",INDEX(tbEtapas[Nº],MOD(ROW(B136)-1,TotalEtapas)+1))</f>
        <v>10</v>
      </c>
      <c r="E137" t="str">
        <f>IFERROR(VLOOKUP(tbEscolas[[#This Row],[COD ETPA]],tbEtapas[],2,FALSE),"")</f>
        <v>6º ANO</v>
      </c>
      <c r="F137" t="str">
        <f>IFERROR(VLOOKUP(tbEscolas[[#This Row],[COD ETPA]],tbEtapas[],3,FALSE),"")</f>
        <v>FUNDAMENTAL</v>
      </c>
      <c r="G137" t="s">
        <v>125</v>
      </c>
    </row>
    <row r="138" spans="1:7" x14ac:dyDescent="0.25">
      <c r="A138" s="24">
        <f>_xlfn.XLOOKUP(tbEscolas[[#This Row],[ESCOLA]],tbNucleo[ESCOLA],tbNucleo[COD ESCOLA],"")</f>
        <v>8</v>
      </c>
      <c r="B138" t="str" cm="1">
        <f t="array" ref="B138">IFERROR(INDEX(tbNucleo[ESCOLA],ROUNDUP(ROW(B137)/TotalEtapas,0)),"")</f>
        <v>E. E. C. M. Profª Ana Maria G. Noronha</v>
      </c>
      <c r="C138" t="str">
        <f>IFERROR(VLOOKUP(B138,tbNucleo[],2,FALSE),"")</f>
        <v/>
      </c>
      <c r="D138" cm="1">
        <f t="array" ref="D138">IF(B138="","",INDEX(tbEtapas[Nº],MOD(ROW(B137)-1,TotalEtapas)+1))</f>
        <v>11</v>
      </c>
      <c r="E138" t="str">
        <f>IFERROR(VLOOKUP(tbEscolas[[#This Row],[COD ETPA]],tbEtapas[],2,FALSE),"")</f>
        <v>7º ANO</v>
      </c>
      <c r="F138" t="str">
        <f>IFERROR(VLOOKUP(tbEscolas[[#This Row],[COD ETPA]],tbEtapas[],3,FALSE),"")</f>
        <v>FUNDAMENTAL</v>
      </c>
      <c r="G138" t="s">
        <v>125</v>
      </c>
    </row>
    <row r="139" spans="1:7" x14ac:dyDescent="0.25">
      <c r="A139" s="24">
        <f>_xlfn.XLOOKUP(tbEscolas[[#This Row],[ESCOLA]],tbNucleo[ESCOLA],tbNucleo[COD ESCOLA],"")</f>
        <v>8</v>
      </c>
      <c r="B139" t="str" cm="1">
        <f t="array" ref="B139">IFERROR(INDEX(tbNucleo[ESCOLA],ROUNDUP(ROW(B138)/TotalEtapas,0)),"")</f>
        <v>E. E. C. M. Profª Ana Maria G. Noronha</v>
      </c>
      <c r="C139" t="str">
        <f>IFERROR(VLOOKUP(B139,tbNucleo[],2,FALSE),"")</f>
        <v/>
      </c>
      <c r="D139" cm="1">
        <f t="array" ref="D139">IF(B139="","",INDEX(tbEtapas[Nº],MOD(ROW(B138)-1,TotalEtapas)+1))</f>
        <v>12</v>
      </c>
      <c r="E139" t="str">
        <f>IFERROR(VLOOKUP(tbEscolas[[#This Row],[COD ETPA]],tbEtapas[],2,FALSE),"")</f>
        <v>8º ANO</v>
      </c>
      <c r="F139" t="str">
        <f>IFERROR(VLOOKUP(tbEscolas[[#This Row],[COD ETPA]],tbEtapas[],3,FALSE),"")</f>
        <v>FUNDAMENTAL</v>
      </c>
      <c r="G139" t="s">
        <v>125</v>
      </c>
    </row>
    <row r="140" spans="1:7" x14ac:dyDescent="0.25">
      <c r="A140" s="24">
        <f>_xlfn.XLOOKUP(tbEscolas[[#This Row],[ESCOLA]],tbNucleo[ESCOLA],tbNucleo[COD ESCOLA],"")</f>
        <v>8</v>
      </c>
      <c r="B140" t="str" cm="1">
        <f t="array" ref="B140">IFERROR(INDEX(tbNucleo[ESCOLA],ROUNDUP(ROW(B139)/TotalEtapas,0)),"")</f>
        <v>E. E. C. M. Profª Ana Maria G. Noronha</v>
      </c>
      <c r="C140" t="str">
        <f>IFERROR(VLOOKUP(B140,tbNucleo[],2,FALSE),"")</f>
        <v/>
      </c>
      <c r="D140" cm="1">
        <f t="array" ref="D140">IF(B140="","",INDEX(tbEtapas[Nº],MOD(ROW(B139)-1,TotalEtapas)+1))</f>
        <v>13</v>
      </c>
      <c r="E140" t="str">
        <f>IFERROR(VLOOKUP(tbEscolas[[#This Row],[COD ETPA]],tbEtapas[],2,FALSE),"")</f>
        <v>9º ANO</v>
      </c>
      <c r="F140" t="str">
        <f>IFERROR(VLOOKUP(tbEscolas[[#This Row],[COD ETPA]],tbEtapas[],3,FALSE),"")</f>
        <v>FUNDAMENTAL</v>
      </c>
      <c r="G140" t="s">
        <v>125</v>
      </c>
    </row>
    <row r="141" spans="1:7" x14ac:dyDescent="0.25">
      <c r="A141" s="24">
        <f>_xlfn.XLOOKUP(tbEscolas[[#This Row],[ESCOLA]],tbNucleo[ESCOLA],tbNucleo[COD ESCOLA],"")</f>
        <v>8</v>
      </c>
      <c r="B141" t="str" cm="1">
        <f t="array" ref="B141">IFERROR(INDEX(tbNucleo[ESCOLA],ROUNDUP(ROW(B140)/TotalEtapas,0)),"")</f>
        <v>E. E. C. M. Profª Ana Maria G. Noronha</v>
      </c>
      <c r="C141" t="str">
        <f>IFERROR(VLOOKUP(B141,tbNucleo[],2,FALSE),"")</f>
        <v/>
      </c>
      <c r="D141" cm="1">
        <f t="array" ref="D141">IF(B141="","",INDEX(tbEtapas[Nº],MOD(ROW(B140)-1,TotalEtapas)+1))</f>
        <v>14</v>
      </c>
      <c r="E141" t="str">
        <f>IFERROR(VLOOKUP(tbEscolas[[#This Row],[COD ETPA]],tbEtapas[],2,FALSE),"")</f>
        <v>1º ANO</v>
      </c>
      <c r="F141" t="str">
        <f>IFERROR(VLOOKUP(tbEscolas[[#This Row],[COD ETPA]],tbEtapas[],3,FALSE),"")</f>
        <v>ENSINO MÉDIO</v>
      </c>
      <c r="G141" t="s">
        <v>125</v>
      </c>
    </row>
    <row r="142" spans="1:7" x14ac:dyDescent="0.25">
      <c r="A142" s="24">
        <f>_xlfn.XLOOKUP(tbEscolas[[#This Row],[ESCOLA]],tbNucleo[ESCOLA],tbNucleo[COD ESCOLA],"")</f>
        <v>8</v>
      </c>
      <c r="B142" t="str" cm="1">
        <f t="array" ref="B142">IFERROR(INDEX(tbNucleo[ESCOLA],ROUNDUP(ROW(B141)/TotalEtapas,0)),"")</f>
        <v>E. E. C. M. Profª Ana Maria G. Noronha</v>
      </c>
      <c r="C142" t="str">
        <f>IFERROR(VLOOKUP(B142,tbNucleo[],2,FALSE),"")</f>
        <v/>
      </c>
      <c r="D142" cm="1">
        <f t="array" ref="D142">IF(B142="","",INDEX(tbEtapas[Nº],MOD(ROW(B141)-1,TotalEtapas)+1))</f>
        <v>15</v>
      </c>
      <c r="E142" t="str">
        <f>IFERROR(VLOOKUP(tbEscolas[[#This Row],[COD ETPA]],tbEtapas[],2,FALSE),"")</f>
        <v>2º ANO</v>
      </c>
      <c r="F142" t="str">
        <f>IFERROR(VLOOKUP(tbEscolas[[#This Row],[COD ETPA]],tbEtapas[],3,FALSE),"")</f>
        <v>ENSINO MÉDIO</v>
      </c>
      <c r="G142" t="s">
        <v>125</v>
      </c>
    </row>
    <row r="143" spans="1:7" x14ac:dyDescent="0.25">
      <c r="A143" s="24">
        <f>_xlfn.XLOOKUP(tbEscolas[[#This Row],[ESCOLA]],tbNucleo[ESCOLA],tbNucleo[COD ESCOLA],"")</f>
        <v>8</v>
      </c>
      <c r="B143" t="str" cm="1">
        <f t="array" ref="B143">IFERROR(INDEX(tbNucleo[ESCOLA],ROUNDUP(ROW(B142)/TotalEtapas,0)),"")</f>
        <v>E. E. C. M. Profª Ana Maria G. Noronha</v>
      </c>
      <c r="C143" t="str">
        <f>IFERROR(VLOOKUP(B143,tbNucleo[],2,FALSE),"")</f>
        <v/>
      </c>
      <c r="D143" cm="1">
        <f t="array" ref="D143">IF(B143="","",INDEX(tbEtapas[Nº],MOD(ROW(B142)-1,TotalEtapas)+1))</f>
        <v>16</v>
      </c>
      <c r="E143" t="str">
        <f>IFERROR(VLOOKUP(tbEscolas[[#This Row],[COD ETPA]],tbEtapas[],2,FALSE),"")</f>
        <v>3º ANO</v>
      </c>
      <c r="F143" t="str">
        <f>IFERROR(VLOOKUP(tbEscolas[[#This Row],[COD ETPA]],tbEtapas[],3,FALSE),"")</f>
        <v>ENSINO MÉDIO</v>
      </c>
      <c r="G143" t="s">
        <v>125</v>
      </c>
    </row>
    <row r="144" spans="1:7" x14ac:dyDescent="0.25">
      <c r="A144" s="24">
        <f>_xlfn.XLOOKUP(tbEscolas[[#This Row],[ESCOLA]],tbNucleo[ESCOLA],tbNucleo[COD ESCOLA],"")</f>
        <v>8</v>
      </c>
      <c r="B144" t="str" cm="1">
        <f t="array" ref="B144">IFERROR(INDEX(tbNucleo[ESCOLA],ROUNDUP(ROW(B143)/TotalEtapas,0)),"")</f>
        <v>E. E. C. M. Profª Ana Maria G. Noronha</v>
      </c>
      <c r="C144" t="str">
        <f>IFERROR(VLOOKUP(B144,tbNucleo[],2,FALSE),"")</f>
        <v/>
      </c>
      <c r="D144" cm="1">
        <f t="array" ref="D144">IF(B144="","",INDEX(tbEtapas[Nº],MOD(ROW(B143)-1,TotalEtapas)+1))</f>
        <v>17</v>
      </c>
      <c r="E144" t="str">
        <f>IFERROR(VLOOKUP(tbEscolas[[#This Row],[COD ETPA]],tbEtapas[],2,FALSE),"")</f>
        <v>EJA I</v>
      </c>
      <c r="F144" t="str">
        <f>IFERROR(VLOOKUP(tbEscolas[[#This Row],[COD ETPA]],tbEtapas[],3,FALSE),"")</f>
        <v>FUNDAMENTAL</v>
      </c>
      <c r="G144" t="s">
        <v>125</v>
      </c>
    </row>
    <row r="145" spans="1:7" x14ac:dyDescent="0.25">
      <c r="A145" s="24">
        <f>_xlfn.XLOOKUP(tbEscolas[[#This Row],[ESCOLA]],tbNucleo[ESCOLA],tbNucleo[COD ESCOLA],"")</f>
        <v>8</v>
      </c>
      <c r="B145" t="str" cm="1">
        <f t="array" ref="B145">IFERROR(INDEX(tbNucleo[ESCOLA],ROUNDUP(ROW(B144)/TotalEtapas,0)),"")</f>
        <v>E. E. C. M. Profª Ana Maria G. Noronha</v>
      </c>
      <c r="C145" t="str">
        <f>IFERROR(VLOOKUP(B145,tbNucleo[],2,FALSE),"")</f>
        <v/>
      </c>
      <c r="D145" cm="1">
        <f t="array" ref="D145">IF(B145="","",INDEX(tbEtapas[Nº],MOD(ROW(B144)-1,TotalEtapas)+1))</f>
        <v>18</v>
      </c>
      <c r="E145" t="str">
        <f>IFERROR(VLOOKUP(tbEscolas[[#This Row],[COD ETPA]],tbEtapas[],2,FALSE),"")</f>
        <v>EJA II</v>
      </c>
      <c r="F145" t="str">
        <f>IFERROR(VLOOKUP(tbEscolas[[#This Row],[COD ETPA]],tbEtapas[],3,FALSE),"")</f>
        <v>ENSINO MÉDIO</v>
      </c>
      <c r="G145" t="s">
        <v>125</v>
      </c>
    </row>
    <row r="146" spans="1:7" x14ac:dyDescent="0.25">
      <c r="A146" s="24">
        <f>_xlfn.XLOOKUP(tbEscolas[[#This Row],[ESCOLA]],tbNucleo[ESCOLA],tbNucleo[COD ESCOLA],"")</f>
        <v>9</v>
      </c>
      <c r="B146" t="str" cm="1">
        <f t="array" ref="B146">IFERROR(INDEX(tbNucleo[ESCOLA],ROUNDUP(ROW(B145)/TotalEtapas,0)),"")</f>
        <v>E. E. C. M. Senador Mário Motta</v>
      </c>
      <c r="C146" t="str">
        <f>IFERROR(VLOOKUP(B146,tbNucleo[],2,FALSE),"")</f>
        <v/>
      </c>
      <c r="D146" cm="1">
        <f t="array" ref="D146">IF(B146="","",INDEX(tbEtapas[Nº],MOD(ROW(B145)-1,TotalEtapas)+1))</f>
        <v>1</v>
      </c>
      <c r="E146" t="str">
        <f>IFERROR(VLOOKUP(tbEscolas[[#This Row],[COD ETPA]],tbEtapas[],2,FALSE),"")</f>
        <v>CRECHE I</v>
      </c>
      <c r="F146" t="str">
        <f>IFERROR(VLOOKUP(tbEscolas[[#This Row],[COD ETPA]],tbEtapas[],3,FALSE),"")</f>
        <v>EDUCAÇÃO INFANTIL</v>
      </c>
      <c r="G146" t="s">
        <v>125</v>
      </c>
    </row>
    <row r="147" spans="1:7" x14ac:dyDescent="0.25">
      <c r="A147" s="24">
        <f>_xlfn.XLOOKUP(tbEscolas[[#This Row],[ESCOLA]],tbNucleo[ESCOLA],tbNucleo[COD ESCOLA],"")</f>
        <v>9</v>
      </c>
      <c r="B147" t="str" cm="1">
        <f t="array" ref="B147">IFERROR(INDEX(tbNucleo[ESCOLA],ROUNDUP(ROW(B146)/TotalEtapas,0)),"")</f>
        <v>E. E. C. M. Senador Mário Motta</v>
      </c>
      <c r="C147" t="str">
        <f>IFERROR(VLOOKUP(B147,tbNucleo[],2,FALSE),"")</f>
        <v/>
      </c>
      <c r="D147" cm="1">
        <f t="array" ref="D147">IF(B147="","",INDEX(tbEtapas[Nº],MOD(ROW(B146)-1,TotalEtapas)+1))</f>
        <v>2</v>
      </c>
      <c r="E147" t="str">
        <f>IFERROR(VLOOKUP(tbEscolas[[#This Row],[COD ETPA]],tbEtapas[],2,FALSE),"")</f>
        <v>CRECHE II</v>
      </c>
      <c r="F147" t="str">
        <f>IFERROR(VLOOKUP(tbEscolas[[#This Row],[COD ETPA]],tbEtapas[],3,FALSE),"")</f>
        <v>EDUCAÇÃO INFANTIL</v>
      </c>
      <c r="G147" t="s">
        <v>125</v>
      </c>
    </row>
    <row r="148" spans="1:7" x14ac:dyDescent="0.25">
      <c r="A148" s="24">
        <f>_xlfn.XLOOKUP(tbEscolas[[#This Row],[ESCOLA]],tbNucleo[ESCOLA],tbNucleo[COD ESCOLA],"")</f>
        <v>9</v>
      </c>
      <c r="B148" t="str" cm="1">
        <f t="array" ref="B148">IFERROR(INDEX(tbNucleo[ESCOLA],ROUNDUP(ROW(B147)/TotalEtapas,0)),"")</f>
        <v>E. E. C. M. Senador Mário Motta</v>
      </c>
      <c r="C148" t="str">
        <f>IFERROR(VLOOKUP(B148,tbNucleo[],2,FALSE),"")</f>
        <v/>
      </c>
      <c r="D148" cm="1">
        <f t="array" ref="D148">IF(B148="","",INDEX(tbEtapas[Nº],MOD(ROW(B147)-1,TotalEtapas)+1))</f>
        <v>3</v>
      </c>
      <c r="E148" t="str">
        <f>IFERROR(VLOOKUP(tbEscolas[[#This Row],[COD ETPA]],tbEtapas[],2,FALSE),"")</f>
        <v>PRE I</v>
      </c>
      <c r="F148" t="str">
        <f>IFERROR(VLOOKUP(tbEscolas[[#This Row],[COD ETPA]],tbEtapas[],3,FALSE),"")</f>
        <v>EDUCAÇÃO INFANTIL</v>
      </c>
      <c r="G148" t="s">
        <v>125</v>
      </c>
    </row>
    <row r="149" spans="1:7" x14ac:dyDescent="0.25">
      <c r="A149" s="24">
        <f>_xlfn.XLOOKUP(tbEscolas[[#This Row],[ESCOLA]],tbNucleo[ESCOLA],tbNucleo[COD ESCOLA],"")</f>
        <v>9</v>
      </c>
      <c r="B149" t="str" cm="1">
        <f t="array" ref="B149">IFERROR(INDEX(tbNucleo[ESCOLA],ROUNDUP(ROW(B148)/TotalEtapas,0)),"")</f>
        <v>E. E. C. M. Senador Mário Motta</v>
      </c>
      <c r="C149" t="str">
        <f>IFERROR(VLOOKUP(B149,tbNucleo[],2,FALSE),"")</f>
        <v/>
      </c>
      <c r="D149" cm="1">
        <f t="array" ref="D149">IF(B149="","",INDEX(tbEtapas[Nº],MOD(ROW(B148)-1,TotalEtapas)+1))</f>
        <v>4</v>
      </c>
      <c r="E149" t="str">
        <f>IFERROR(VLOOKUP(tbEscolas[[#This Row],[COD ETPA]],tbEtapas[],2,FALSE),"")</f>
        <v>PRE II</v>
      </c>
      <c r="F149" t="str">
        <f>IFERROR(VLOOKUP(tbEscolas[[#This Row],[COD ETPA]],tbEtapas[],3,FALSE),"")</f>
        <v>EDUCAÇÃO INFANTIL</v>
      </c>
      <c r="G149" t="s">
        <v>125</v>
      </c>
    </row>
    <row r="150" spans="1:7" x14ac:dyDescent="0.25">
      <c r="A150" s="24">
        <f>_xlfn.XLOOKUP(tbEscolas[[#This Row],[ESCOLA]],tbNucleo[ESCOLA],tbNucleo[COD ESCOLA],"")</f>
        <v>9</v>
      </c>
      <c r="B150" t="str" cm="1">
        <f t="array" ref="B150">IFERROR(INDEX(tbNucleo[ESCOLA],ROUNDUP(ROW(B149)/TotalEtapas,0)),"")</f>
        <v>E. E. C. M. Senador Mário Motta</v>
      </c>
      <c r="C150" t="str">
        <f>IFERROR(VLOOKUP(B150,tbNucleo[],2,FALSE),"")</f>
        <v/>
      </c>
      <c r="D150" cm="1">
        <f t="array" ref="D150">IF(B150="","",INDEX(tbEtapas[Nº],MOD(ROW(B149)-1,TotalEtapas)+1))</f>
        <v>5</v>
      </c>
      <c r="E150" t="str">
        <f>IFERROR(VLOOKUP(tbEscolas[[#This Row],[COD ETPA]],tbEtapas[],2,FALSE),"")</f>
        <v>1º ANO</v>
      </c>
      <c r="F150" t="str">
        <f>IFERROR(VLOOKUP(tbEscolas[[#This Row],[COD ETPA]],tbEtapas[],3,FALSE),"")</f>
        <v>FUNDAMENTAL</v>
      </c>
      <c r="G150" t="s">
        <v>125</v>
      </c>
    </row>
    <row r="151" spans="1:7" x14ac:dyDescent="0.25">
      <c r="A151" s="24">
        <f>_xlfn.XLOOKUP(tbEscolas[[#This Row],[ESCOLA]],tbNucleo[ESCOLA],tbNucleo[COD ESCOLA],"")</f>
        <v>9</v>
      </c>
      <c r="B151" t="str" cm="1">
        <f t="array" ref="B151">IFERROR(INDEX(tbNucleo[ESCOLA],ROUNDUP(ROW(B150)/TotalEtapas,0)),"")</f>
        <v>E. E. C. M. Senador Mário Motta</v>
      </c>
      <c r="C151" t="str">
        <f>IFERROR(VLOOKUP(B151,tbNucleo[],2,FALSE),"")</f>
        <v/>
      </c>
      <c r="D151" cm="1">
        <f t="array" ref="D151">IF(B151="","",INDEX(tbEtapas[Nº],MOD(ROW(B150)-1,TotalEtapas)+1))</f>
        <v>6</v>
      </c>
      <c r="E151" t="str">
        <f>IFERROR(VLOOKUP(tbEscolas[[#This Row],[COD ETPA]],tbEtapas[],2,FALSE),"")</f>
        <v>2º ANO</v>
      </c>
      <c r="F151" t="str">
        <f>IFERROR(VLOOKUP(tbEscolas[[#This Row],[COD ETPA]],tbEtapas[],3,FALSE),"")</f>
        <v>FUNDAMENTAL</v>
      </c>
      <c r="G151" t="s">
        <v>125</v>
      </c>
    </row>
    <row r="152" spans="1:7" x14ac:dyDescent="0.25">
      <c r="A152" s="24">
        <f>_xlfn.XLOOKUP(tbEscolas[[#This Row],[ESCOLA]],tbNucleo[ESCOLA],tbNucleo[COD ESCOLA],"")</f>
        <v>9</v>
      </c>
      <c r="B152" t="str" cm="1">
        <f t="array" ref="B152">IFERROR(INDEX(tbNucleo[ESCOLA],ROUNDUP(ROW(B151)/TotalEtapas,0)),"")</f>
        <v>E. E. C. M. Senador Mário Motta</v>
      </c>
      <c r="C152" t="str">
        <f>IFERROR(VLOOKUP(B152,tbNucleo[],2,FALSE),"")</f>
        <v/>
      </c>
      <c r="D152" cm="1">
        <f t="array" ref="D152">IF(B152="","",INDEX(tbEtapas[Nº],MOD(ROW(B151)-1,TotalEtapas)+1))</f>
        <v>7</v>
      </c>
      <c r="E152" t="str">
        <f>IFERROR(VLOOKUP(tbEscolas[[#This Row],[COD ETPA]],tbEtapas[],2,FALSE),"")</f>
        <v>3º ANO</v>
      </c>
      <c r="F152" t="str">
        <f>IFERROR(VLOOKUP(tbEscolas[[#This Row],[COD ETPA]],tbEtapas[],3,FALSE),"")</f>
        <v>FUNDAMENTAL</v>
      </c>
      <c r="G152" t="s">
        <v>125</v>
      </c>
    </row>
    <row r="153" spans="1:7" x14ac:dyDescent="0.25">
      <c r="A153" s="24">
        <f>_xlfn.XLOOKUP(tbEscolas[[#This Row],[ESCOLA]],tbNucleo[ESCOLA],tbNucleo[COD ESCOLA],"")</f>
        <v>9</v>
      </c>
      <c r="B153" t="str" cm="1">
        <f t="array" ref="B153">IFERROR(INDEX(tbNucleo[ESCOLA],ROUNDUP(ROW(B152)/TotalEtapas,0)),"")</f>
        <v>E. E. C. M. Senador Mário Motta</v>
      </c>
      <c r="C153" t="str">
        <f>IFERROR(VLOOKUP(B153,tbNucleo[],2,FALSE),"")</f>
        <v/>
      </c>
      <c r="D153" cm="1">
        <f t="array" ref="D153">IF(B153="","",INDEX(tbEtapas[Nº],MOD(ROW(B152)-1,TotalEtapas)+1))</f>
        <v>8</v>
      </c>
      <c r="E153" t="str">
        <f>IFERROR(VLOOKUP(tbEscolas[[#This Row],[COD ETPA]],tbEtapas[],2,FALSE),"")</f>
        <v>4º ANO</v>
      </c>
      <c r="F153" t="str">
        <f>IFERROR(VLOOKUP(tbEscolas[[#This Row],[COD ETPA]],tbEtapas[],3,FALSE),"")</f>
        <v>FUNDAMENTAL</v>
      </c>
      <c r="G153" t="s">
        <v>125</v>
      </c>
    </row>
    <row r="154" spans="1:7" x14ac:dyDescent="0.25">
      <c r="A154" s="24">
        <f>_xlfn.XLOOKUP(tbEscolas[[#This Row],[ESCOLA]],tbNucleo[ESCOLA],tbNucleo[COD ESCOLA],"")</f>
        <v>9</v>
      </c>
      <c r="B154" t="str" cm="1">
        <f t="array" ref="B154">IFERROR(INDEX(tbNucleo[ESCOLA],ROUNDUP(ROW(B153)/TotalEtapas,0)),"")</f>
        <v>E. E. C. M. Senador Mário Motta</v>
      </c>
      <c r="C154" t="str">
        <f>IFERROR(VLOOKUP(B154,tbNucleo[],2,FALSE),"")</f>
        <v/>
      </c>
      <c r="D154" cm="1">
        <f t="array" ref="D154">IF(B154="","",INDEX(tbEtapas[Nº],MOD(ROW(B153)-1,TotalEtapas)+1))</f>
        <v>9</v>
      </c>
      <c r="E154" t="str">
        <f>IFERROR(VLOOKUP(tbEscolas[[#This Row],[COD ETPA]],tbEtapas[],2,FALSE),"")</f>
        <v>5º ANO</v>
      </c>
      <c r="F154" t="str">
        <f>IFERROR(VLOOKUP(tbEscolas[[#This Row],[COD ETPA]],tbEtapas[],3,FALSE),"")</f>
        <v>FUNDAMENTAL</v>
      </c>
      <c r="G154" t="s">
        <v>125</v>
      </c>
    </row>
    <row r="155" spans="1:7" x14ac:dyDescent="0.25">
      <c r="A155" s="24">
        <f>_xlfn.XLOOKUP(tbEscolas[[#This Row],[ESCOLA]],tbNucleo[ESCOLA],tbNucleo[COD ESCOLA],"")</f>
        <v>9</v>
      </c>
      <c r="B155" t="str" cm="1">
        <f t="array" ref="B155">IFERROR(INDEX(tbNucleo[ESCOLA],ROUNDUP(ROW(B154)/TotalEtapas,0)),"")</f>
        <v>E. E. C. M. Senador Mário Motta</v>
      </c>
      <c r="C155" t="str">
        <f>IFERROR(VLOOKUP(B155,tbNucleo[],2,FALSE),"")</f>
        <v/>
      </c>
      <c r="D155" cm="1">
        <f t="array" ref="D155">IF(B155="","",INDEX(tbEtapas[Nº],MOD(ROW(B154)-1,TotalEtapas)+1))</f>
        <v>10</v>
      </c>
      <c r="E155" t="str">
        <f>IFERROR(VLOOKUP(tbEscolas[[#This Row],[COD ETPA]],tbEtapas[],2,FALSE),"")</f>
        <v>6º ANO</v>
      </c>
      <c r="F155" t="str">
        <f>IFERROR(VLOOKUP(tbEscolas[[#This Row],[COD ETPA]],tbEtapas[],3,FALSE),"")</f>
        <v>FUNDAMENTAL</v>
      </c>
      <c r="G155" t="s">
        <v>126</v>
      </c>
    </row>
    <row r="156" spans="1:7" x14ac:dyDescent="0.25">
      <c r="A156" s="24">
        <f>_xlfn.XLOOKUP(tbEscolas[[#This Row],[ESCOLA]],tbNucleo[ESCOLA],tbNucleo[COD ESCOLA],"")</f>
        <v>9</v>
      </c>
      <c r="B156" t="str" cm="1">
        <f t="array" ref="B156">IFERROR(INDEX(tbNucleo[ESCOLA],ROUNDUP(ROW(B155)/TotalEtapas,0)),"")</f>
        <v>E. E. C. M. Senador Mário Motta</v>
      </c>
      <c r="C156" t="str">
        <f>IFERROR(VLOOKUP(B156,tbNucleo[],2,FALSE),"")</f>
        <v/>
      </c>
      <c r="D156" cm="1">
        <f t="array" ref="D156">IF(B156="","",INDEX(tbEtapas[Nº],MOD(ROW(B155)-1,TotalEtapas)+1))</f>
        <v>11</v>
      </c>
      <c r="E156" t="str">
        <f>IFERROR(VLOOKUP(tbEscolas[[#This Row],[COD ETPA]],tbEtapas[],2,FALSE),"")</f>
        <v>7º ANO</v>
      </c>
      <c r="F156" t="str">
        <f>IFERROR(VLOOKUP(tbEscolas[[#This Row],[COD ETPA]],tbEtapas[],3,FALSE),"")</f>
        <v>FUNDAMENTAL</v>
      </c>
      <c r="G156" t="s">
        <v>126</v>
      </c>
    </row>
    <row r="157" spans="1:7" x14ac:dyDescent="0.25">
      <c r="A157" s="24">
        <f>_xlfn.XLOOKUP(tbEscolas[[#This Row],[ESCOLA]],tbNucleo[ESCOLA],tbNucleo[COD ESCOLA],"")</f>
        <v>9</v>
      </c>
      <c r="B157" t="str" cm="1">
        <f t="array" ref="B157">IFERROR(INDEX(tbNucleo[ESCOLA],ROUNDUP(ROW(B156)/TotalEtapas,0)),"")</f>
        <v>E. E. C. M. Senador Mário Motta</v>
      </c>
      <c r="C157" t="str">
        <f>IFERROR(VLOOKUP(B157,tbNucleo[],2,FALSE),"")</f>
        <v/>
      </c>
      <c r="D157" cm="1">
        <f t="array" ref="D157">IF(B157="","",INDEX(tbEtapas[Nº],MOD(ROW(B156)-1,TotalEtapas)+1))</f>
        <v>12</v>
      </c>
      <c r="E157" t="str">
        <f>IFERROR(VLOOKUP(tbEscolas[[#This Row],[COD ETPA]],tbEtapas[],2,FALSE),"")</f>
        <v>8º ANO</v>
      </c>
      <c r="F157" t="str">
        <f>IFERROR(VLOOKUP(tbEscolas[[#This Row],[COD ETPA]],tbEtapas[],3,FALSE),"")</f>
        <v>FUNDAMENTAL</v>
      </c>
      <c r="G157" t="s">
        <v>126</v>
      </c>
    </row>
    <row r="158" spans="1:7" x14ac:dyDescent="0.25">
      <c r="A158" s="24">
        <f>_xlfn.XLOOKUP(tbEscolas[[#This Row],[ESCOLA]],tbNucleo[ESCOLA],tbNucleo[COD ESCOLA],"")</f>
        <v>9</v>
      </c>
      <c r="B158" t="str" cm="1">
        <f t="array" ref="B158">IFERROR(INDEX(tbNucleo[ESCOLA],ROUNDUP(ROW(B157)/TotalEtapas,0)),"")</f>
        <v>E. E. C. M. Senador Mário Motta</v>
      </c>
      <c r="C158" t="str">
        <f>IFERROR(VLOOKUP(B158,tbNucleo[],2,FALSE),"")</f>
        <v/>
      </c>
      <c r="D158" cm="1">
        <f t="array" ref="D158">IF(B158="","",INDEX(tbEtapas[Nº],MOD(ROW(B157)-1,TotalEtapas)+1))</f>
        <v>13</v>
      </c>
      <c r="E158" t="str">
        <f>IFERROR(VLOOKUP(tbEscolas[[#This Row],[COD ETPA]],tbEtapas[],2,FALSE),"")</f>
        <v>9º ANO</v>
      </c>
      <c r="F158" t="str">
        <f>IFERROR(VLOOKUP(tbEscolas[[#This Row],[COD ETPA]],tbEtapas[],3,FALSE),"")</f>
        <v>FUNDAMENTAL</v>
      </c>
      <c r="G158" t="s">
        <v>126</v>
      </c>
    </row>
    <row r="159" spans="1:7" x14ac:dyDescent="0.25">
      <c r="A159" s="24">
        <f>_xlfn.XLOOKUP(tbEscolas[[#This Row],[ESCOLA]],tbNucleo[ESCOLA],tbNucleo[COD ESCOLA],"")</f>
        <v>9</v>
      </c>
      <c r="B159" t="str" cm="1">
        <f t="array" ref="B159">IFERROR(INDEX(tbNucleo[ESCOLA],ROUNDUP(ROW(B158)/TotalEtapas,0)),"")</f>
        <v>E. E. C. M. Senador Mário Motta</v>
      </c>
      <c r="C159" t="str">
        <f>IFERROR(VLOOKUP(B159,tbNucleo[],2,FALSE),"")</f>
        <v/>
      </c>
      <c r="D159" cm="1">
        <f t="array" ref="D159">IF(B159="","",INDEX(tbEtapas[Nº],MOD(ROW(B158)-1,TotalEtapas)+1))</f>
        <v>14</v>
      </c>
      <c r="E159" t="str">
        <f>IFERROR(VLOOKUP(tbEscolas[[#This Row],[COD ETPA]],tbEtapas[],2,FALSE),"")</f>
        <v>1º ANO</v>
      </c>
      <c r="F159" t="str">
        <f>IFERROR(VLOOKUP(tbEscolas[[#This Row],[COD ETPA]],tbEtapas[],3,FALSE),"")</f>
        <v>ENSINO MÉDIO</v>
      </c>
      <c r="G159" t="s">
        <v>126</v>
      </c>
    </row>
    <row r="160" spans="1:7" x14ac:dyDescent="0.25">
      <c r="A160" s="24">
        <f>_xlfn.XLOOKUP(tbEscolas[[#This Row],[ESCOLA]],tbNucleo[ESCOLA],tbNucleo[COD ESCOLA],"")</f>
        <v>9</v>
      </c>
      <c r="B160" t="str" cm="1">
        <f t="array" ref="B160">IFERROR(INDEX(tbNucleo[ESCOLA],ROUNDUP(ROW(B159)/TotalEtapas,0)),"")</f>
        <v>E. E. C. M. Senador Mário Motta</v>
      </c>
      <c r="C160" t="str">
        <f>IFERROR(VLOOKUP(B160,tbNucleo[],2,FALSE),"")</f>
        <v/>
      </c>
      <c r="D160" cm="1">
        <f t="array" ref="D160">IF(B160="","",INDEX(tbEtapas[Nº],MOD(ROW(B159)-1,TotalEtapas)+1))</f>
        <v>15</v>
      </c>
      <c r="E160" t="str">
        <f>IFERROR(VLOOKUP(tbEscolas[[#This Row],[COD ETPA]],tbEtapas[],2,FALSE),"")</f>
        <v>2º ANO</v>
      </c>
      <c r="F160" t="str">
        <f>IFERROR(VLOOKUP(tbEscolas[[#This Row],[COD ETPA]],tbEtapas[],3,FALSE),"")</f>
        <v>ENSINO MÉDIO</v>
      </c>
      <c r="G160" t="s">
        <v>126</v>
      </c>
    </row>
    <row r="161" spans="1:7" x14ac:dyDescent="0.25">
      <c r="A161" s="24">
        <f>_xlfn.XLOOKUP(tbEscolas[[#This Row],[ESCOLA]],tbNucleo[ESCOLA],tbNucleo[COD ESCOLA],"")</f>
        <v>9</v>
      </c>
      <c r="B161" t="str" cm="1">
        <f t="array" ref="B161">IFERROR(INDEX(tbNucleo[ESCOLA],ROUNDUP(ROW(B160)/TotalEtapas,0)),"")</f>
        <v>E. E. C. M. Senador Mário Motta</v>
      </c>
      <c r="C161" t="str">
        <f>IFERROR(VLOOKUP(B161,tbNucleo[],2,FALSE),"")</f>
        <v/>
      </c>
      <c r="D161" cm="1">
        <f t="array" ref="D161">IF(B161="","",INDEX(tbEtapas[Nº],MOD(ROW(B160)-1,TotalEtapas)+1))</f>
        <v>16</v>
      </c>
      <c r="E161" t="str">
        <f>IFERROR(VLOOKUP(tbEscolas[[#This Row],[COD ETPA]],tbEtapas[],2,FALSE),"")</f>
        <v>3º ANO</v>
      </c>
      <c r="F161" t="str">
        <f>IFERROR(VLOOKUP(tbEscolas[[#This Row],[COD ETPA]],tbEtapas[],3,FALSE),"")</f>
        <v>ENSINO MÉDIO</v>
      </c>
      <c r="G161" t="s">
        <v>126</v>
      </c>
    </row>
    <row r="162" spans="1:7" x14ac:dyDescent="0.25">
      <c r="A162" s="24">
        <f>_xlfn.XLOOKUP(tbEscolas[[#This Row],[ESCOLA]],tbNucleo[ESCOLA],tbNucleo[COD ESCOLA],"")</f>
        <v>9</v>
      </c>
      <c r="B162" t="str" cm="1">
        <f t="array" ref="B162">IFERROR(INDEX(tbNucleo[ESCOLA],ROUNDUP(ROW(B161)/TotalEtapas,0)),"")</f>
        <v>E. E. C. M. Senador Mário Motta</v>
      </c>
      <c r="C162" t="str">
        <f>IFERROR(VLOOKUP(B162,tbNucleo[],2,FALSE),"")</f>
        <v/>
      </c>
      <c r="D162" cm="1">
        <f t="array" ref="D162">IF(B162="","",INDEX(tbEtapas[Nº],MOD(ROW(B161)-1,TotalEtapas)+1))</f>
        <v>17</v>
      </c>
      <c r="E162" t="str">
        <f>IFERROR(VLOOKUP(tbEscolas[[#This Row],[COD ETPA]],tbEtapas[],2,FALSE),"")</f>
        <v>EJA I</v>
      </c>
      <c r="F162" t="str">
        <f>IFERROR(VLOOKUP(tbEscolas[[#This Row],[COD ETPA]],tbEtapas[],3,FALSE),"")</f>
        <v>FUNDAMENTAL</v>
      </c>
      <c r="G162" t="s">
        <v>125</v>
      </c>
    </row>
    <row r="163" spans="1:7" x14ac:dyDescent="0.25">
      <c r="A163" s="24">
        <f>_xlfn.XLOOKUP(tbEscolas[[#This Row],[ESCOLA]],tbNucleo[ESCOLA],tbNucleo[COD ESCOLA],"")</f>
        <v>9</v>
      </c>
      <c r="B163" t="str" cm="1">
        <f t="array" ref="B163">IFERROR(INDEX(tbNucleo[ESCOLA],ROUNDUP(ROW(B162)/TotalEtapas,0)),"")</f>
        <v>E. E. C. M. Senador Mário Motta</v>
      </c>
      <c r="C163" t="str">
        <f>IFERROR(VLOOKUP(B163,tbNucleo[],2,FALSE),"")</f>
        <v/>
      </c>
      <c r="D163" cm="1">
        <f t="array" ref="D163">IF(B163="","",INDEX(tbEtapas[Nº],MOD(ROW(B162)-1,TotalEtapas)+1))</f>
        <v>18</v>
      </c>
      <c r="E163" t="str">
        <f>IFERROR(VLOOKUP(tbEscolas[[#This Row],[COD ETPA]],tbEtapas[],2,FALSE),"")</f>
        <v>EJA II</v>
      </c>
      <c r="F163" t="str">
        <f>IFERROR(VLOOKUP(tbEscolas[[#This Row],[COD ETPA]],tbEtapas[],3,FALSE),"")</f>
        <v>ENSINO MÉDIO</v>
      </c>
      <c r="G163" t="s">
        <v>125</v>
      </c>
    </row>
    <row r="164" spans="1:7" x14ac:dyDescent="0.25">
      <c r="A164" s="24">
        <f>_xlfn.XLOOKUP(tbEscolas[[#This Row],[ESCOLA]],tbNucleo[ESCOLA],tbNucleo[COD ESCOLA],"")</f>
        <v>10</v>
      </c>
      <c r="B164" t="str" cm="1">
        <f t="array" ref="B164">IFERROR(INDEX(tbNucleo[ESCOLA],ROUNDUP(ROW(B163)/TotalEtapas,0)),"")</f>
        <v>E. E. EDIEB – Prof. Miltom Marques Curvo</v>
      </c>
      <c r="C164" t="str">
        <f>IFERROR(VLOOKUP(B164,tbNucleo[],2,FALSE),"")</f>
        <v/>
      </c>
      <c r="D164" cm="1">
        <f t="array" ref="D164">IF(B164="","",INDEX(tbEtapas[Nº],MOD(ROW(B163)-1,TotalEtapas)+1))</f>
        <v>1</v>
      </c>
      <c r="E164" t="str">
        <f>IFERROR(VLOOKUP(tbEscolas[[#This Row],[COD ETPA]],tbEtapas[],2,FALSE),"")</f>
        <v>CRECHE I</v>
      </c>
      <c r="F164" t="str">
        <f>IFERROR(VLOOKUP(tbEscolas[[#This Row],[COD ETPA]],tbEtapas[],3,FALSE),"")</f>
        <v>EDUCAÇÃO INFANTIL</v>
      </c>
      <c r="G164" t="s">
        <v>125</v>
      </c>
    </row>
    <row r="165" spans="1:7" x14ac:dyDescent="0.25">
      <c r="A165" s="24">
        <f>_xlfn.XLOOKUP(tbEscolas[[#This Row],[ESCOLA]],tbNucleo[ESCOLA],tbNucleo[COD ESCOLA],"")</f>
        <v>10</v>
      </c>
      <c r="B165" t="str" cm="1">
        <f t="array" ref="B165">IFERROR(INDEX(tbNucleo[ESCOLA],ROUNDUP(ROW(B164)/TotalEtapas,0)),"")</f>
        <v>E. E. EDIEB – Prof. Miltom Marques Curvo</v>
      </c>
      <c r="C165" t="str">
        <f>IFERROR(VLOOKUP(B165,tbNucleo[],2,FALSE),"")</f>
        <v/>
      </c>
      <c r="D165" cm="1">
        <f t="array" ref="D165">IF(B165="","",INDEX(tbEtapas[Nº],MOD(ROW(B164)-1,TotalEtapas)+1))</f>
        <v>2</v>
      </c>
      <c r="E165" t="str">
        <f>IFERROR(VLOOKUP(tbEscolas[[#This Row],[COD ETPA]],tbEtapas[],2,FALSE),"")</f>
        <v>CRECHE II</v>
      </c>
      <c r="F165" t="str">
        <f>IFERROR(VLOOKUP(tbEscolas[[#This Row],[COD ETPA]],tbEtapas[],3,FALSE),"")</f>
        <v>EDUCAÇÃO INFANTIL</v>
      </c>
      <c r="G165" t="s">
        <v>125</v>
      </c>
    </row>
    <row r="166" spans="1:7" x14ac:dyDescent="0.25">
      <c r="A166" s="24">
        <f>_xlfn.XLOOKUP(tbEscolas[[#This Row],[ESCOLA]],tbNucleo[ESCOLA],tbNucleo[COD ESCOLA],"")</f>
        <v>10</v>
      </c>
      <c r="B166" t="str" cm="1">
        <f t="array" ref="B166">IFERROR(INDEX(tbNucleo[ESCOLA],ROUNDUP(ROW(B165)/TotalEtapas,0)),"")</f>
        <v>E. E. EDIEB – Prof. Miltom Marques Curvo</v>
      </c>
      <c r="C166" t="str">
        <f>IFERROR(VLOOKUP(B166,tbNucleo[],2,FALSE),"")</f>
        <v/>
      </c>
      <c r="D166" cm="1">
        <f t="array" ref="D166">IF(B166="","",INDEX(tbEtapas[Nº],MOD(ROW(B165)-1,TotalEtapas)+1))</f>
        <v>3</v>
      </c>
      <c r="E166" t="str">
        <f>IFERROR(VLOOKUP(tbEscolas[[#This Row],[COD ETPA]],tbEtapas[],2,FALSE),"")</f>
        <v>PRE I</v>
      </c>
      <c r="F166" t="str">
        <f>IFERROR(VLOOKUP(tbEscolas[[#This Row],[COD ETPA]],tbEtapas[],3,FALSE),"")</f>
        <v>EDUCAÇÃO INFANTIL</v>
      </c>
      <c r="G166" t="s">
        <v>125</v>
      </c>
    </row>
    <row r="167" spans="1:7" x14ac:dyDescent="0.25">
      <c r="A167" s="24">
        <f>_xlfn.XLOOKUP(tbEscolas[[#This Row],[ESCOLA]],tbNucleo[ESCOLA],tbNucleo[COD ESCOLA],"")</f>
        <v>10</v>
      </c>
      <c r="B167" t="str" cm="1">
        <f t="array" ref="B167">IFERROR(INDEX(tbNucleo[ESCOLA],ROUNDUP(ROW(B166)/TotalEtapas,0)),"")</f>
        <v>E. E. EDIEB – Prof. Miltom Marques Curvo</v>
      </c>
      <c r="C167" t="str">
        <f>IFERROR(VLOOKUP(B167,tbNucleo[],2,FALSE),"")</f>
        <v/>
      </c>
      <c r="D167" cm="1">
        <f t="array" ref="D167">IF(B167="","",INDEX(tbEtapas[Nº],MOD(ROW(B166)-1,TotalEtapas)+1))</f>
        <v>4</v>
      </c>
      <c r="E167" t="str">
        <f>IFERROR(VLOOKUP(tbEscolas[[#This Row],[COD ETPA]],tbEtapas[],2,FALSE),"")</f>
        <v>PRE II</v>
      </c>
      <c r="F167" t="str">
        <f>IFERROR(VLOOKUP(tbEscolas[[#This Row],[COD ETPA]],tbEtapas[],3,FALSE),"")</f>
        <v>EDUCAÇÃO INFANTIL</v>
      </c>
      <c r="G167" t="s">
        <v>125</v>
      </c>
    </row>
    <row r="168" spans="1:7" x14ac:dyDescent="0.25">
      <c r="A168" s="24">
        <f>_xlfn.XLOOKUP(tbEscolas[[#This Row],[ESCOLA]],tbNucleo[ESCOLA],tbNucleo[COD ESCOLA],"")</f>
        <v>10</v>
      </c>
      <c r="B168" t="str" cm="1">
        <f t="array" ref="B168">IFERROR(INDEX(tbNucleo[ESCOLA],ROUNDUP(ROW(B167)/TotalEtapas,0)),"")</f>
        <v>E. E. EDIEB – Prof. Miltom Marques Curvo</v>
      </c>
      <c r="C168" t="str">
        <f>IFERROR(VLOOKUP(B168,tbNucleo[],2,FALSE),"")</f>
        <v/>
      </c>
      <c r="D168" cm="1">
        <f t="array" ref="D168">IF(B168="","",INDEX(tbEtapas[Nº],MOD(ROW(B167)-1,TotalEtapas)+1))</f>
        <v>5</v>
      </c>
      <c r="E168" t="str">
        <f>IFERROR(VLOOKUP(tbEscolas[[#This Row],[COD ETPA]],tbEtapas[],2,FALSE),"")</f>
        <v>1º ANO</v>
      </c>
      <c r="F168" t="str">
        <f>IFERROR(VLOOKUP(tbEscolas[[#This Row],[COD ETPA]],tbEtapas[],3,FALSE),"")</f>
        <v>FUNDAMENTAL</v>
      </c>
      <c r="G168" t="s">
        <v>125</v>
      </c>
    </row>
    <row r="169" spans="1:7" x14ac:dyDescent="0.25">
      <c r="A169" s="24">
        <f>_xlfn.XLOOKUP(tbEscolas[[#This Row],[ESCOLA]],tbNucleo[ESCOLA],tbNucleo[COD ESCOLA],"")</f>
        <v>10</v>
      </c>
      <c r="B169" t="str" cm="1">
        <f t="array" ref="B169">IFERROR(INDEX(tbNucleo[ESCOLA],ROUNDUP(ROW(B168)/TotalEtapas,0)),"")</f>
        <v>E. E. EDIEB – Prof. Miltom Marques Curvo</v>
      </c>
      <c r="C169" t="str">
        <f>IFERROR(VLOOKUP(B169,tbNucleo[],2,FALSE),"")</f>
        <v/>
      </c>
      <c r="D169" cm="1">
        <f t="array" ref="D169">IF(B169="","",INDEX(tbEtapas[Nº],MOD(ROW(B168)-1,TotalEtapas)+1))</f>
        <v>6</v>
      </c>
      <c r="E169" t="str">
        <f>IFERROR(VLOOKUP(tbEscolas[[#This Row],[COD ETPA]],tbEtapas[],2,FALSE),"")</f>
        <v>2º ANO</v>
      </c>
      <c r="F169" t="str">
        <f>IFERROR(VLOOKUP(tbEscolas[[#This Row],[COD ETPA]],tbEtapas[],3,FALSE),"")</f>
        <v>FUNDAMENTAL</v>
      </c>
      <c r="G169" t="s">
        <v>125</v>
      </c>
    </row>
    <row r="170" spans="1:7" x14ac:dyDescent="0.25">
      <c r="A170" s="24">
        <f>_xlfn.XLOOKUP(tbEscolas[[#This Row],[ESCOLA]],tbNucleo[ESCOLA],tbNucleo[COD ESCOLA],"")</f>
        <v>10</v>
      </c>
      <c r="B170" t="str" cm="1">
        <f t="array" ref="B170">IFERROR(INDEX(tbNucleo[ESCOLA],ROUNDUP(ROW(B169)/TotalEtapas,0)),"")</f>
        <v>E. E. EDIEB – Prof. Miltom Marques Curvo</v>
      </c>
      <c r="C170" t="str">
        <f>IFERROR(VLOOKUP(B170,tbNucleo[],2,FALSE),"")</f>
        <v/>
      </c>
      <c r="D170" cm="1">
        <f t="array" ref="D170">IF(B170="","",INDEX(tbEtapas[Nº],MOD(ROW(B169)-1,TotalEtapas)+1))</f>
        <v>7</v>
      </c>
      <c r="E170" t="str">
        <f>IFERROR(VLOOKUP(tbEscolas[[#This Row],[COD ETPA]],tbEtapas[],2,FALSE),"")</f>
        <v>3º ANO</v>
      </c>
      <c r="F170" t="str">
        <f>IFERROR(VLOOKUP(tbEscolas[[#This Row],[COD ETPA]],tbEtapas[],3,FALSE),"")</f>
        <v>FUNDAMENTAL</v>
      </c>
      <c r="G170" t="s">
        <v>125</v>
      </c>
    </row>
    <row r="171" spans="1:7" x14ac:dyDescent="0.25">
      <c r="A171" s="24">
        <f>_xlfn.XLOOKUP(tbEscolas[[#This Row],[ESCOLA]],tbNucleo[ESCOLA],tbNucleo[COD ESCOLA],"")</f>
        <v>10</v>
      </c>
      <c r="B171" t="str" cm="1">
        <f t="array" ref="B171">IFERROR(INDEX(tbNucleo[ESCOLA],ROUNDUP(ROW(B170)/TotalEtapas,0)),"")</f>
        <v>E. E. EDIEB – Prof. Miltom Marques Curvo</v>
      </c>
      <c r="C171" t="str">
        <f>IFERROR(VLOOKUP(B171,tbNucleo[],2,FALSE),"")</f>
        <v/>
      </c>
      <c r="D171" cm="1">
        <f t="array" ref="D171">IF(B171="","",INDEX(tbEtapas[Nº],MOD(ROW(B170)-1,TotalEtapas)+1))</f>
        <v>8</v>
      </c>
      <c r="E171" t="str">
        <f>IFERROR(VLOOKUP(tbEscolas[[#This Row],[COD ETPA]],tbEtapas[],2,FALSE),"")</f>
        <v>4º ANO</v>
      </c>
      <c r="F171" t="str">
        <f>IFERROR(VLOOKUP(tbEscolas[[#This Row],[COD ETPA]],tbEtapas[],3,FALSE),"")</f>
        <v>FUNDAMENTAL</v>
      </c>
      <c r="G171" t="s">
        <v>125</v>
      </c>
    </row>
    <row r="172" spans="1:7" x14ac:dyDescent="0.25">
      <c r="A172" s="24">
        <f>_xlfn.XLOOKUP(tbEscolas[[#This Row],[ESCOLA]],tbNucleo[ESCOLA],tbNucleo[COD ESCOLA],"")</f>
        <v>10</v>
      </c>
      <c r="B172" t="str" cm="1">
        <f t="array" ref="B172">IFERROR(INDEX(tbNucleo[ESCOLA],ROUNDUP(ROW(B171)/TotalEtapas,0)),"")</f>
        <v>E. E. EDIEB – Prof. Miltom Marques Curvo</v>
      </c>
      <c r="C172" t="str">
        <f>IFERROR(VLOOKUP(B172,tbNucleo[],2,FALSE),"")</f>
        <v/>
      </c>
      <c r="D172" cm="1">
        <f t="array" ref="D172">IF(B172="","",INDEX(tbEtapas[Nº],MOD(ROW(B171)-1,TotalEtapas)+1))</f>
        <v>9</v>
      </c>
      <c r="E172" t="str">
        <f>IFERROR(VLOOKUP(tbEscolas[[#This Row],[COD ETPA]],tbEtapas[],2,FALSE),"")</f>
        <v>5º ANO</v>
      </c>
      <c r="F172" t="str">
        <f>IFERROR(VLOOKUP(tbEscolas[[#This Row],[COD ETPA]],tbEtapas[],3,FALSE),"")</f>
        <v>FUNDAMENTAL</v>
      </c>
      <c r="G172" t="s">
        <v>125</v>
      </c>
    </row>
    <row r="173" spans="1:7" x14ac:dyDescent="0.25">
      <c r="A173" s="24">
        <f>_xlfn.XLOOKUP(tbEscolas[[#This Row],[ESCOLA]],tbNucleo[ESCOLA],tbNucleo[COD ESCOLA],"")</f>
        <v>10</v>
      </c>
      <c r="B173" t="str" cm="1">
        <f t="array" ref="B173">IFERROR(INDEX(tbNucleo[ESCOLA],ROUNDUP(ROW(B172)/TotalEtapas,0)),"")</f>
        <v>E. E. EDIEB – Prof. Miltom Marques Curvo</v>
      </c>
      <c r="C173" t="str">
        <f>IFERROR(VLOOKUP(B173,tbNucleo[],2,FALSE),"")</f>
        <v/>
      </c>
      <c r="D173" cm="1">
        <f t="array" ref="D173">IF(B173="","",INDEX(tbEtapas[Nº],MOD(ROW(B172)-1,TotalEtapas)+1))</f>
        <v>10</v>
      </c>
      <c r="E173" t="str">
        <f>IFERROR(VLOOKUP(tbEscolas[[#This Row],[COD ETPA]],tbEtapas[],2,FALSE),"")</f>
        <v>6º ANO</v>
      </c>
      <c r="F173" t="str">
        <f>IFERROR(VLOOKUP(tbEscolas[[#This Row],[COD ETPA]],tbEtapas[],3,FALSE),"")</f>
        <v>FUNDAMENTAL</v>
      </c>
      <c r="G173" t="s">
        <v>126</v>
      </c>
    </row>
    <row r="174" spans="1:7" x14ac:dyDescent="0.25">
      <c r="A174" s="24">
        <f>_xlfn.XLOOKUP(tbEscolas[[#This Row],[ESCOLA]],tbNucleo[ESCOLA],tbNucleo[COD ESCOLA],"")</f>
        <v>10</v>
      </c>
      <c r="B174" t="str" cm="1">
        <f t="array" ref="B174">IFERROR(INDEX(tbNucleo[ESCOLA],ROUNDUP(ROW(B173)/TotalEtapas,0)),"")</f>
        <v>E. E. EDIEB – Prof. Miltom Marques Curvo</v>
      </c>
      <c r="C174" t="str">
        <f>IFERROR(VLOOKUP(B174,tbNucleo[],2,FALSE),"")</f>
        <v/>
      </c>
      <c r="D174" cm="1">
        <f t="array" ref="D174">IF(B174="","",INDEX(tbEtapas[Nº],MOD(ROW(B173)-1,TotalEtapas)+1))</f>
        <v>11</v>
      </c>
      <c r="E174" t="str">
        <f>IFERROR(VLOOKUP(tbEscolas[[#This Row],[COD ETPA]],tbEtapas[],2,FALSE),"")</f>
        <v>7º ANO</v>
      </c>
      <c r="F174" t="str">
        <f>IFERROR(VLOOKUP(tbEscolas[[#This Row],[COD ETPA]],tbEtapas[],3,FALSE),"")</f>
        <v>FUNDAMENTAL</v>
      </c>
      <c r="G174" t="s">
        <v>126</v>
      </c>
    </row>
    <row r="175" spans="1:7" x14ac:dyDescent="0.25">
      <c r="A175" s="24">
        <f>_xlfn.XLOOKUP(tbEscolas[[#This Row],[ESCOLA]],tbNucleo[ESCOLA],tbNucleo[COD ESCOLA],"")</f>
        <v>10</v>
      </c>
      <c r="B175" t="str" cm="1">
        <f t="array" ref="B175">IFERROR(INDEX(tbNucleo[ESCOLA],ROUNDUP(ROW(B174)/TotalEtapas,0)),"")</f>
        <v>E. E. EDIEB – Prof. Miltom Marques Curvo</v>
      </c>
      <c r="C175" t="str">
        <f>IFERROR(VLOOKUP(B175,tbNucleo[],2,FALSE),"")</f>
        <v/>
      </c>
      <c r="D175" cm="1">
        <f t="array" ref="D175">IF(B175="","",INDEX(tbEtapas[Nº],MOD(ROW(B174)-1,TotalEtapas)+1))</f>
        <v>12</v>
      </c>
      <c r="E175" t="str">
        <f>IFERROR(VLOOKUP(tbEscolas[[#This Row],[COD ETPA]],tbEtapas[],2,FALSE),"")</f>
        <v>8º ANO</v>
      </c>
      <c r="F175" t="str">
        <f>IFERROR(VLOOKUP(tbEscolas[[#This Row],[COD ETPA]],tbEtapas[],3,FALSE),"")</f>
        <v>FUNDAMENTAL</v>
      </c>
      <c r="G175" t="s">
        <v>126</v>
      </c>
    </row>
    <row r="176" spans="1:7" x14ac:dyDescent="0.25">
      <c r="A176" s="24">
        <f>_xlfn.XLOOKUP(tbEscolas[[#This Row],[ESCOLA]],tbNucleo[ESCOLA],tbNucleo[COD ESCOLA],"")</f>
        <v>10</v>
      </c>
      <c r="B176" t="str" cm="1">
        <f t="array" ref="B176">IFERROR(INDEX(tbNucleo[ESCOLA],ROUNDUP(ROW(B175)/TotalEtapas,0)),"")</f>
        <v>E. E. EDIEB – Prof. Miltom Marques Curvo</v>
      </c>
      <c r="C176" t="str">
        <f>IFERROR(VLOOKUP(B176,tbNucleo[],2,FALSE),"")</f>
        <v/>
      </c>
      <c r="D176" cm="1">
        <f t="array" ref="D176">IF(B176="","",INDEX(tbEtapas[Nº],MOD(ROW(B175)-1,TotalEtapas)+1))</f>
        <v>13</v>
      </c>
      <c r="E176" t="str">
        <f>IFERROR(VLOOKUP(tbEscolas[[#This Row],[COD ETPA]],tbEtapas[],2,FALSE),"")</f>
        <v>9º ANO</v>
      </c>
      <c r="F176" t="str">
        <f>IFERROR(VLOOKUP(tbEscolas[[#This Row],[COD ETPA]],tbEtapas[],3,FALSE),"")</f>
        <v>FUNDAMENTAL</v>
      </c>
      <c r="G176" t="s">
        <v>126</v>
      </c>
    </row>
    <row r="177" spans="1:7" x14ac:dyDescent="0.25">
      <c r="A177" s="24">
        <f>_xlfn.XLOOKUP(tbEscolas[[#This Row],[ESCOLA]],tbNucleo[ESCOLA],tbNucleo[COD ESCOLA],"")</f>
        <v>10</v>
      </c>
      <c r="B177" t="str" cm="1">
        <f t="array" ref="B177">IFERROR(INDEX(tbNucleo[ESCOLA],ROUNDUP(ROW(B176)/TotalEtapas,0)),"")</f>
        <v>E. E. EDIEB – Prof. Miltom Marques Curvo</v>
      </c>
      <c r="C177" t="str">
        <f>IFERROR(VLOOKUP(B177,tbNucleo[],2,FALSE),"")</f>
        <v/>
      </c>
      <c r="D177" cm="1">
        <f t="array" ref="D177">IF(B177="","",INDEX(tbEtapas[Nº],MOD(ROW(B176)-1,TotalEtapas)+1))</f>
        <v>14</v>
      </c>
      <c r="E177" t="str">
        <f>IFERROR(VLOOKUP(tbEscolas[[#This Row],[COD ETPA]],tbEtapas[],2,FALSE),"")</f>
        <v>1º ANO</v>
      </c>
      <c r="F177" t="str">
        <f>IFERROR(VLOOKUP(tbEscolas[[#This Row],[COD ETPA]],tbEtapas[],3,FALSE),"")</f>
        <v>ENSINO MÉDIO</v>
      </c>
      <c r="G177" t="s">
        <v>126</v>
      </c>
    </row>
    <row r="178" spans="1:7" x14ac:dyDescent="0.25">
      <c r="A178" s="24">
        <f>_xlfn.XLOOKUP(tbEscolas[[#This Row],[ESCOLA]],tbNucleo[ESCOLA],tbNucleo[COD ESCOLA],"")</f>
        <v>10</v>
      </c>
      <c r="B178" t="str" cm="1">
        <f t="array" ref="B178">IFERROR(INDEX(tbNucleo[ESCOLA],ROUNDUP(ROW(B177)/TotalEtapas,0)),"")</f>
        <v>E. E. EDIEB – Prof. Miltom Marques Curvo</v>
      </c>
      <c r="C178" t="str">
        <f>IFERROR(VLOOKUP(B178,tbNucleo[],2,FALSE),"")</f>
        <v/>
      </c>
      <c r="D178" cm="1">
        <f t="array" ref="D178">IF(B178="","",INDEX(tbEtapas[Nº],MOD(ROW(B177)-1,TotalEtapas)+1))</f>
        <v>15</v>
      </c>
      <c r="E178" t="str">
        <f>IFERROR(VLOOKUP(tbEscolas[[#This Row],[COD ETPA]],tbEtapas[],2,FALSE),"")</f>
        <v>2º ANO</v>
      </c>
      <c r="F178" t="str">
        <f>IFERROR(VLOOKUP(tbEscolas[[#This Row],[COD ETPA]],tbEtapas[],3,FALSE),"")</f>
        <v>ENSINO MÉDIO</v>
      </c>
      <c r="G178" t="s">
        <v>126</v>
      </c>
    </row>
    <row r="179" spans="1:7" x14ac:dyDescent="0.25">
      <c r="A179" s="24">
        <f>_xlfn.XLOOKUP(tbEscolas[[#This Row],[ESCOLA]],tbNucleo[ESCOLA],tbNucleo[COD ESCOLA],"")</f>
        <v>10</v>
      </c>
      <c r="B179" t="str" cm="1">
        <f t="array" ref="B179">IFERROR(INDEX(tbNucleo[ESCOLA],ROUNDUP(ROW(B178)/TotalEtapas,0)),"")</f>
        <v>E. E. EDIEB – Prof. Miltom Marques Curvo</v>
      </c>
      <c r="C179" t="str">
        <f>IFERROR(VLOOKUP(B179,tbNucleo[],2,FALSE),"")</f>
        <v/>
      </c>
      <c r="D179" cm="1">
        <f t="array" ref="D179">IF(B179="","",INDEX(tbEtapas[Nº],MOD(ROW(B178)-1,TotalEtapas)+1))</f>
        <v>16</v>
      </c>
      <c r="E179" t="str">
        <f>IFERROR(VLOOKUP(tbEscolas[[#This Row],[COD ETPA]],tbEtapas[],2,FALSE),"")</f>
        <v>3º ANO</v>
      </c>
      <c r="F179" t="str">
        <f>IFERROR(VLOOKUP(tbEscolas[[#This Row],[COD ETPA]],tbEtapas[],3,FALSE),"")</f>
        <v>ENSINO MÉDIO</v>
      </c>
      <c r="G179" t="s">
        <v>126</v>
      </c>
    </row>
    <row r="180" spans="1:7" x14ac:dyDescent="0.25">
      <c r="A180" s="24">
        <f>_xlfn.XLOOKUP(tbEscolas[[#This Row],[ESCOLA]],tbNucleo[ESCOLA],tbNucleo[COD ESCOLA],"")</f>
        <v>10</v>
      </c>
      <c r="B180" t="str" cm="1">
        <f t="array" ref="B180">IFERROR(INDEX(tbNucleo[ESCOLA],ROUNDUP(ROW(B179)/TotalEtapas,0)),"")</f>
        <v>E. E. EDIEB – Prof. Miltom Marques Curvo</v>
      </c>
      <c r="C180" t="str">
        <f>IFERROR(VLOOKUP(B180,tbNucleo[],2,FALSE),"")</f>
        <v/>
      </c>
      <c r="D180" cm="1">
        <f t="array" ref="D180">IF(B180="","",INDEX(tbEtapas[Nº],MOD(ROW(B179)-1,TotalEtapas)+1))</f>
        <v>17</v>
      </c>
      <c r="E180" t="str">
        <f>IFERROR(VLOOKUP(tbEscolas[[#This Row],[COD ETPA]],tbEtapas[],2,FALSE),"")</f>
        <v>EJA I</v>
      </c>
      <c r="F180" t="str">
        <f>IFERROR(VLOOKUP(tbEscolas[[#This Row],[COD ETPA]],tbEtapas[],3,FALSE),"")</f>
        <v>FUNDAMENTAL</v>
      </c>
      <c r="G180" t="s">
        <v>125</v>
      </c>
    </row>
    <row r="181" spans="1:7" x14ac:dyDescent="0.25">
      <c r="A181" s="24">
        <f>_xlfn.XLOOKUP(tbEscolas[[#This Row],[ESCOLA]],tbNucleo[ESCOLA],tbNucleo[COD ESCOLA],"")</f>
        <v>10</v>
      </c>
      <c r="B181" t="str" cm="1">
        <f t="array" ref="B181">IFERROR(INDEX(tbNucleo[ESCOLA],ROUNDUP(ROW(B180)/TotalEtapas,0)),"")</f>
        <v>E. E. EDIEB – Prof. Miltom Marques Curvo</v>
      </c>
      <c r="C181" t="str">
        <f>IFERROR(VLOOKUP(B181,tbNucleo[],2,FALSE),"")</f>
        <v/>
      </c>
      <c r="D181" cm="1">
        <f t="array" ref="D181">IF(B181="","",INDEX(tbEtapas[Nº],MOD(ROW(B180)-1,TotalEtapas)+1))</f>
        <v>18</v>
      </c>
      <c r="E181" t="str">
        <f>IFERROR(VLOOKUP(tbEscolas[[#This Row],[COD ETPA]],tbEtapas[],2,FALSE),"")</f>
        <v>EJA II</v>
      </c>
      <c r="F181" t="str">
        <f>IFERROR(VLOOKUP(tbEscolas[[#This Row],[COD ETPA]],tbEtapas[],3,FALSE),"")</f>
        <v>ENSINO MÉDIO</v>
      </c>
      <c r="G181" t="s">
        <v>125</v>
      </c>
    </row>
    <row r="182" spans="1:7" x14ac:dyDescent="0.25">
      <c r="A182" s="24">
        <f>_xlfn.XLOOKUP(tbEscolas[[#This Row],[ESCOLA]],tbNucleo[ESCOLA],tbNucleo[COD ESCOLA],"")</f>
        <v>11</v>
      </c>
      <c r="B182" t="str" cm="1">
        <f t="array" ref="B182">IFERROR(INDEX(tbNucleo[ESCOLA],ROUNDUP(ROW(B181)/TotalEtapas,0)),"")</f>
        <v>E. E. M. Tiradentes Prof. Natalino F. Mendes</v>
      </c>
      <c r="C182" t="str">
        <f>IFERROR(VLOOKUP(B182,tbNucleo[],2,FALSE),"")</f>
        <v/>
      </c>
      <c r="D182" cm="1">
        <f t="array" ref="D182">IF(B182="","",INDEX(tbEtapas[Nº],MOD(ROW(B181)-1,TotalEtapas)+1))</f>
        <v>1</v>
      </c>
      <c r="E182" t="str">
        <f>IFERROR(VLOOKUP(tbEscolas[[#This Row],[COD ETPA]],tbEtapas[],2,FALSE),"")</f>
        <v>CRECHE I</v>
      </c>
      <c r="F182" t="str">
        <f>IFERROR(VLOOKUP(tbEscolas[[#This Row],[COD ETPA]],tbEtapas[],3,FALSE),"")</f>
        <v>EDUCAÇÃO INFANTIL</v>
      </c>
      <c r="G182" t="s">
        <v>125</v>
      </c>
    </row>
    <row r="183" spans="1:7" x14ac:dyDescent="0.25">
      <c r="A183" s="24">
        <f>_xlfn.XLOOKUP(tbEscolas[[#This Row],[ESCOLA]],tbNucleo[ESCOLA],tbNucleo[COD ESCOLA],"")</f>
        <v>11</v>
      </c>
      <c r="B183" t="str" cm="1">
        <f t="array" ref="B183">IFERROR(INDEX(tbNucleo[ESCOLA],ROUNDUP(ROW(B182)/TotalEtapas,0)),"")</f>
        <v>E. E. M. Tiradentes Prof. Natalino F. Mendes</v>
      </c>
      <c r="C183" t="str">
        <f>IFERROR(VLOOKUP(B183,tbNucleo[],2,FALSE),"")</f>
        <v/>
      </c>
      <c r="D183" cm="1">
        <f t="array" ref="D183">IF(B183="","",INDEX(tbEtapas[Nº],MOD(ROW(B182)-1,TotalEtapas)+1))</f>
        <v>2</v>
      </c>
      <c r="E183" t="str">
        <f>IFERROR(VLOOKUP(tbEscolas[[#This Row],[COD ETPA]],tbEtapas[],2,FALSE),"")</f>
        <v>CRECHE II</v>
      </c>
      <c r="F183" t="str">
        <f>IFERROR(VLOOKUP(tbEscolas[[#This Row],[COD ETPA]],tbEtapas[],3,FALSE),"")</f>
        <v>EDUCAÇÃO INFANTIL</v>
      </c>
      <c r="G183" t="s">
        <v>125</v>
      </c>
    </row>
    <row r="184" spans="1:7" x14ac:dyDescent="0.25">
      <c r="A184" s="24">
        <f>_xlfn.XLOOKUP(tbEscolas[[#This Row],[ESCOLA]],tbNucleo[ESCOLA],tbNucleo[COD ESCOLA],"")</f>
        <v>11</v>
      </c>
      <c r="B184" t="str" cm="1">
        <f t="array" ref="B184">IFERROR(INDEX(tbNucleo[ESCOLA],ROUNDUP(ROW(B183)/TotalEtapas,0)),"")</f>
        <v>E. E. M. Tiradentes Prof. Natalino F. Mendes</v>
      </c>
      <c r="C184" t="str">
        <f>IFERROR(VLOOKUP(B184,tbNucleo[],2,FALSE),"")</f>
        <v/>
      </c>
      <c r="D184" cm="1">
        <f t="array" ref="D184">IF(B184="","",INDEX(tbEtapas[Nº],MOD(ROW(B183)-1,TotalEtapas)+1))</f>
        <v>3</v>
      </c>
      <c r="E184" t="str">
        <f>IFERROR(VLOOKUP(tbEscolas[[#This Row],[COD ETPA]],tbEtapas[],2,FALSE),"")</f>
        <v>PRE I</v>
      </c>
      <c r="F184" t="str">
        <f>IFERROR(VLOOKUP(tbEscolas[[#This Row],[COD ETPA]],tbEtapas[],3,FALSE),"")</f>
        <v>EDUCAÇÃO INFANTIL</v>
      </c>
      <c r="G184" t="s">
        <v>125</v>
      </c>
    </row>
    <row r="185" spans="1:7" x14ac:dyDescent="0.25">
      <c r="A185" s="24">
        <f>_xlfn.XLOOKUP(tbEscolas[[#This Row],[ESCOLA]],tbNucleo[ESCOLA],tbNucleo[COD ESCOLA],"")</f>
        <v>11</v>
      </c>
      <c r="B185" t="str" cm="1">
        <f t="array" ref="B185">IFERROR(INDEX(tbNucleo[ESCOLA],ROUNDUP(ROW(B184)/TotalEtapas,0)),"")</f>
        <v>E. E. M. Tiradentes Prof. Natalino F. Mendes</v>
      </c>
      <c r="C185" t="str">
        <f>IFERROR(VLOOKUP(B185,tbNucleo[],2,FALSE),"")</f>
        <v/>
      </c>
      <c r="D185" cm="1">
        <f t="array" ref="D185">IF(B185="","",INDEX(tbEtapas[Nº],MOD(ROW(B184)-1,TotalEtapas)+1))</f>
        <v>4</v>
      </c>
      <c r="E185" t="str">
        <f>IFERROR(VLOOKUP(tbEscolas[[#This Row],[COD ETPA]],tbEtapas[],2,FALSE),"")</f>
        <v>PRE II</v>
      </c>
      <c r="F185" t="str">
        <f>IFERROR(VLOOKUP(tbEscolas[[#This Row],[COD ETPA]],tbEtapas[],3,FALSE),"")</f>
        <v>EDUCAÇÃO INFANTIL</v>
      </c>
      <c r="G185" t="s">
        <v>125</v>
      </c>
    </row>
    <row r="186" spans="1:7" x14ac:dyDescent="0.25">
      <c r="A186" s="24">
        <f>_xlfn.XLOOKUP(tbEscolas[[#This Row],[ESCOLA]],tbNucleo[ESCOLA],tbNucleo[COD ESCOLA],"")</f>
        <v>11</v>
      </c>
      <c r="B186" t="str" cm="1">
        <f t="array" ref="B186">IFERROR(INDEX(tbNucleo[ESCOLA],ROUNDUP(ROW(B185)/TotalEtapas,0)),"")</f>
        <v>E. E. M. Tiradentes Prof. Natalino F. Mendes</v>
      </c>
      <c r="C186" t="str">
        <f>IFERROR(VLOOKUP(B186,tbNucleo[],2,FALSE),"")</f>
        <v/>
      </c>
      <c r="D186" cm="1">
        <f t="array" ref="D186">IF(B186="","",INDEX(tbEtapas[Nº],MOD(ROW(B185)-1,TotalEtapas)+1))</f>
        <v>5</v>
      </c>
      <c r="E186" t="str">
        <f>IFERROR(VLOOKUP(tbEscolas[[#This Row],[COD ETPA]],tbEtapas[],2,FALSE),"")</f>
        <v>1º ANO</v>
      </c>
      <c r="F186" t="str">
        <f>IFERROR(VLOOKUP(tbEscolas[[#This Row],[COD ETPA]],tbEtapas[],3,FALSE),"")</f>
        <v>FUNDAMENTAL</v>
      </c>
      <c r="G186" t="s">
        <v>125</v>
      </c>
    </row>
    <row r="187" spans="1:7" x14ac:dyDescent="0.25">
      <c r="A187" s="24">
        <f>_xlfn.XLOOKUP(tbEscolas[[#This Row],[ESCOLA]],tbNucleo[ESCOLA],tbNucleo[COD ESCOLA],"")</f>
        <v>11</v>
      </c>
      <c r="B187" t="str" cm="1">
        <f t="array" ref="B187">IFERROR(INDEX(tbNucleo[ESCOLA],ROUNDUP(ROW(B186)/TotalEtapas,0)),"")</f>
        <v>E. E. M. Tiradentes Prof. Natalino F. Mendes</v>
      </c>
      <c r="C187" t="str">
        <f>IFERROR(VLOOKUP(B187,tbNucleo[],2,FALSE),"")</f>
        <v/>
      </c>
      <c r="D187" cm="1">
        <f t="array" ref="D187">IF(B187="","",INDEX(tbEtapas[Nº],MOD(ROW(B186)-1,TotalEtapas)+1))</f>
        <v>6</v>
      </c>
      <c r="E187" t="str">
        <f>IFERROR(VLOOKUP(tbEscolas[[#This Row],[COD ETPA]],tbEtapas[],2,FALSE),"")</f>
        <v>2º ANO</v>
      </c>
      <c r="F187" t="str">
        <f>IFERROR(VLOOKUP(tbEscolas[[#This Row],[COD ETPA]],tbEtapas[],3,FALSE),"")</f>
        <v>FUNDAMENTAL</v>
      </c>
      <c r="G187" t="s">
        <v>125</v>
      </c>
    </row>
    <row r="188" spans="1:7" x14ac:dyDescent="0.25">
      <c r="A188" s="24">
        <f>_xlfn.XLOOKUP(tbEscolas[[#This Row],[ESCOLA]],tbNucleo[ESCOLA],tbNucleo[COD ESCOLA],"")</f>
        <v>11</v>
      </c>
      <c r="B188" t="str" cm="1">
        <f t="array" ref="B188">IFERROR(INDEX(tbNucleo[ESCOLA],ROUNDUP(ROW(B187)/TotalEtapas,0)),"")</f>
        <v>E. E. M. Tiradentes Prof. Natalino F. Mendes</v>
      </c>
      <c r="C188" t="str">
        <f>IFERROR(VLOOKUP(B188,tbNucleo[],2,FALSE),"")</f>
        <v/>
      </c>
      <c r="D188" cm="1">
        <f t="array" ref="D188">IF(B188="","",INDEX(tbEtapas[Nº],MOD(ROW(B187)-1,TotalEtapas)+1))</f>
        <v>7</v>
      </c>
      <c r="E188" t="str">
        <f>IFERROR(VLOOKUP(tbEscolas[[#This Row],[COD ETPA]],tbEtapas[],2,FALSE),"")</f>
        <v>3º ANO</v>
      </c>
      <c r="F188" t="str">
        <f>IFERROR(VLOOKUP(tbEscolas[[#This Row],[COD ETPA]],tbEtapas[],3,FALSE),"")</f>
        <v>FUNDAMENTAL</v>
      </c>
      <c r="G188" t="s">
        <v>125</v>
      </c>
    </row>
    <row r="189" spans="1:7" x14ac:dyDescent="0.25">
      <c r="A189" s="24">
        <f>_xlfn.XLOOKUP(tbEscolas[[#This Row],[ESCOLA]],tbNucleo[ESCOLA],tbNucleo[COD ESCOLA],"")</f>
        <v>11</v>
      </c>
      <c r="B189" t="str" cm="1">
        <f t="array" ref="B189">IFERROR(INDEX(tbNucleo[ESCOLA],ROUNDUP(ROW(B188)/TotalEtapas,0)),"")</f>
        <v>E. E. M. Tiradentes Prof. Natalino F. Mendes</v>
      </c>
      <c r="C189" t="str">
        <f>IFERROR(VLOOKUP(B189,tbNucleo[],2,FALSE),"")</f>
        <v/>
      </c>
      <c r="D189" cm="1">
        <f t="array" ref="D189">IF(B189="","",INDEX(tbEtapas[Nº],MOD(ROW(B188)-1,TotalEtapas)+1))</f>
        <v>8</v>
      </c>
      <c r="E189" t="str">
        <f>IFERROR(VLOOKUP(tbEscolas[[#This Row],[COD ETPA]],tbEtapas[],2,FALSE),"")</f>
        <v>4º ANO</v>
      </c>
      <c r="F189" t="str">
        <f>IFERROR(VLOOKUP(tbEscolas[[#This Row],[COD ETPA]],tbEtapas[],3,FALSE),"")</f>
        <v>FUNDAMENTAL</v>
      </c>
      <c r="G189" t="s">
        <v>125</v>
      </c>
    </row>
    <row r="190" spans="1:7" x14ac:dyDescent="0.25">
      <c r="A190" s="24">
        <f>_xlfn.XLOOKUP(tbEscolas[[#This Row],[ESCOLA]],tbNucleo[ESCOLA],tbNucleo[COD ESCOLA],"")</f>
        <v>11</v>
      </c>
      <c r="B190" t="str" cm="1">
        <f t="array" ref="B190">IFERROR(INDEX(tbNucleo[ESCOLA],ROUNDUP(ROW(B189)/TotalEtapas,0)),"")</f>
        <v>E. E. M. Tiradentes Prof. Natalino F. Mendes</v>
      </c>
      <c r="C190" t="str">
        <f>IFERROR(VLOOKUP(B190,tbNucleo[],2,FALSE),"")</f>
        <v/>
      </c>
      <c r="D190" cm="1">
        <f t="array" ref="D190">IF(B190="","",INDEX(tbEtapas[Nº],MOD(ROW(B189)-1,TotalEtapas)+1))</f>
        <v>9</v>
      </c>
      <c r="E190" t="str">
        <f>IFERROR(VLOOKUP(tbEscolas[[#This Row],[COD ETPA]],tbEtapas[],2,FALSE),"")</f>
        <v>5º ANO</v>
      </c>
      <c r="F190" t="str">
        <f>IFERROR(VLOOKUP(tbEscolas[[#This Row],[COD ETPA]],tbEtapas[],3,FALSE),"")</f>
        <v>FUNDAMENTAL</v>
      </c>
      <c r="G190" t="s">
        <v>125</v>
      </c>
    </row>
    <row r="191" spans="1:7" x14ac:dyDescent="0.25">
      <c r="A191" s="24">
        <f>_xlfn.XLOOKUP(tbEscolas[[#This Row],[ESCOLA]],tbNucleo[ESCOLA],tbNucleo[COD ESCOLA],"")</f>
        <v>11</v>
      </c>
      <c r="B191" t="str" cm="1">
        <f t="array" ref="B191">IFERROR(INDEX(tbNucleo[ESCOLA],ROUNDUP(ROW(B190)/TotalEtapas,0)),"")</f>
        <v>E. E. M. Tiradentes Prof. Natalino F. Mendes</v>
      </c>
      <c r="C191" t="str">
        <f>IFERROR(VLOOKUP(B191,tbNucleo[],2,FALSE),"")</f>
        <v/>
      </c>
      <c r="D191" cm="1">
        <f t="array" ref="D191">IF(B191="","",INDEX(tbEtapas[Nº],MOD(ROW(B190)-1,TotalEtapas)+1))</f>
        <v>10</v>
      </c>
      <c r="E191" t="str">
        <f>IFERROR(VLOOKUP(tbEscolas[[#This Row],[COD ETPA]],tbEtapas[],2,FALSE),"")</f>
        <v>6º ANO</v>
      </c>
      <c r="F191" t="str">
        <f>IFERROR(VLOOKUP(tbEscolas[[#This Row],[COD ETPA]],tbEtapas[],3,FALSE),"")</f>
        <v>FUNDAMENTAL</v>
      </c>
      <c r="G191" t="s">
        <v>126</v>
      </c>
    </row>
    <row r="192" spans="1:7" x14ac:dyDescent="0.25">
      <c r="A192" s="24">
        <f>_xlfn.XLOOKUP(tbEscolas[[#This Row],[ESCOLA]],tbNucleo[ESCOLA],tbNucleo[COD ESCOLA],"")</f>
        <v>11</v>
      </c>
      <c r="B192" t="str" cm="1">
        <f t="array" ref="B192">IFERROR(INDEX(tbNucleo[ESCOLA],ROUNDUP(ROW(B191)/TotalEtapas,0)),"")</f>
        <v>E. E. M. Tiradentes Prof. Natalino F. Mendes</v>
      </c>
      <c r="C192" t="str">
        <f>IFERROR(VLOOKUP(B192,tbNucleo[],2,FALSE),"")</f>
        <v/>
      </c>
      <c r="D192" cm="1">
        <f t="array" ref="D192">IF(B192="","",INDEX(tbEtapas[Nº],MOD(ROW(B191)-1,TotalEtapas)+1))</f>
        <v>11</v>
      </c>
      <c r="E192" t="str">
        <f>IFERROR(VLOOKUP(tbEscolas[[#This Row],[COD ETPA]],tbEtapas[],2,FALSE),"")</f>
        <v>7º ANO</v>
      </c>
      <c r="F192" t="str">
        <f>IFERROR(VLOOKUP(tbEscolas[[#This Row],[COD ETPA]],tbEtapas[],3,FALSE),"")</f>
        <v>FUNDAMENTAL</v>
      </c>
      <c r="G192" t="s">
        <v>126</v>
      </c>
    </row>
    <row r="193" spans="1:7" x14ac:dyDescent="0.25">
      <c r="A193" s="24">
        <f>_xlfn.XLOOKUP(tbEscolas[[#This Row],[ESCOLA]],tbNucleo[ESCOLA],tbNucleo[COD ESCOLA],"")</f>
        <v>11</v>
      </c>
      <c r="B193" t="str" cm="1">
        <f t="array" ref="B193">IFERROR(INDEX(tbNucleo[ESCOLA],ROUNDUP(ROW(B192)/TotalEtapas,0)),"")</f>
        <v>E. E. M. Tiradentes Prof. Natalino F. Mendes</v>
      </c>
      <c r="C193" t="str">
        <f>IFERROR(VLOOKUP(B193,tbNucleo[],2,FALSE),"")</f>
        <v/>
      </c>
      <c r="D193" cm="1">
        <f t="array" ref="D193">IF(B193="","",INDEX(tbEtapas[Nº],MOD(ROW(B192)-1,TotalEtapas)+1))</f>
        <v>12</v>
      </c>
      <c r="E193" t="str">
        <f>IFERROR(VLOOKUP(tbEscolas[[#This Row],[COD ETPA]],tbEtapas[],2,FALSE),"")</f>
        <v>8º ANO</v>
      </c>
      <c r="F193" t="str">
        <f>IFERROR(VLOOKUP(tbEscolas[[#This Row],[COD ETPA]],tbEtapas[],3,FALSE),"")</f>
        <v>FUNDAMENTAL</v>
      </c>
      <c r="G193" t="s">
        <v>125</v>
      </c>
    </row>
    <row r="194" spans="1:7" x14ac:dyDescent="0.25">
      <c r="A194" s="24">
        <f>_xlfn.XLOOKUP(tbEscolas[[#This Row],[ESCOLA]],tbNucleo[ESCOLA],tbNucleo[COD ESCOLA],"")</f>
        <v>11</v>
      </c>
      <c r="B194" t="str" cm="1">
        <f t="array" ref="B194">IFERROR(INDEX(tbNucleo[ESCOLA],ROUNDUP(ROW(B193)/TotalEtapas,0)),"")</f>
        <v>E. E. M. Tiradentes Prof. Natalino F. Mendes</v>
      </c>
      <c r="C194" t="str">
        <f>IFERROR(VLOOKUP(B194,tbNucleo[],2,FALSE),"")</f>
        <v/>
      </c>
      <c r="D194" cm="1">
        <f t="array" ref="D194">IF(B194="","",INDEX(tbEtapas[Nº],MOD(ROW(B193)-1,TotalEtapas)+1))</f>
        <v>13</v>
      </c>
      <c r="E194" t="str">
        <f>IFERROR(VLOOKUP(tbEscolas[[#This Row],[COD ETPA]],tbEtapas[],2,FALSE),"")</f>
        <v>9º ANO</v>
      </c>
      <c r="F194" t="str">
        <f>IFERROR(VLOOKUP(tbEscolas[[#This Row],[COD ETPA]],tbEtapas[],3,FALSE),"")</f>
        <v>FUNDAMENTAL</v>
      </c>
      <c r="G194" t="s">
        <v>125</v>
      </c>
    </row>
    <row r="195" spans="1:7" x14ac:dyDescent="0.25">
      <c r="A195" s="24">
        <f>_xlfn.XLOOKUP(tbEscolas[[#This Row],[ESCOLA]],tbNucleo[ESCOLA],tbNucleo[COD ESCOLA],"")</f>
        <v>11</v>
      </c>
      <c r="B195" t="str" cm="1">
        <f t="array" ref="B195">IFERROR(INDEX(tbNucleo[ESCOLA],ROUNDUP(ROW(B194)/TotalEtapas,0)),"")</f>
        <v>E. E. M. Tiradentes Prof. Natalino F. Mendes</v>
      </c>
      <c r="C195" t="str">
        <f>IFERROR(VLOOKUP(B195,tbNucleo[],2,FALSE),"")</f>
        <v/>
      </c>
      <c r="D195" cm="1">
        <f t="array" ref="D195">IF(B195="","",INDEX(tbEtapas[Nº],MOD(ROW(B194)-1,TotalEtapas)+1))</f>
        <v>14</v>
      </c>
      <c r="E195" t="str">
        <f>IFERROR(VLOOKUP(tbEscolas[[#This Row],[COD ETPA]],tbEtapas[],2,FALSE),"")</f>
        <v>1º ANO</v>
      </c>
      <c r="F195" t="str">
        <f>IFERROR(VLOOKUP(tbEscolas[[#This Row],[COD ETPA]],tbEtapas[],3,FALSE),"")</f>
        <v>ENSINO MÉDIO</v>
      </c>
      <c r="G195" t="s">
        <v>126</v>
      </c>
    </row>
    <row r="196" spans="1:7" x14ac:dyDescent="0.25">
      <c r="A196" s="24">
        <f>_xlfn.XLOOKUP(tbEscolas[[#This Row],[ESCOLA]],tbNucleo[ESCOLA],tbNucleo[COD ESCOLA],"")</f>
        <v>11</v>
      </c>
      <c r="B196" t="str" cm="1">
        <f t="array" ref="B196">IFERROR(INDEX(tbNucleo[ESCOLA],ROUNDUP(ROW(B195)/TotalEtapas,0)),"")</f>
        <v>E. E. M. Tiradentes Prof. Natalino F. Mendes</v>
      </c>
      <c r="C196" t="str">
        <f>IFERROR(VLOOKUP(B196,tbNucleo[],2,FALSE),"")</f>
        <v/>
      </c>
      <c r="D196" cm="1">
        <f t="array" ref="D196">IF(B196="","",INDEX(tbEtapas[Nº],MOD(ROW(B195)-1,TotalEtapas)+1))</f>
        <v>15</v>
      </c>
      <c r="E196" t="str">
        <f>IFERROR(VLOOKUP(tbEscolas[[#This Row],[COD ETPA]],tbEtapas[],2,FALSE),"")</f>
        <v>2º ANO</v>
      </c>
      <c r="F196" t="str">
        <f>IFERROR(VLOOKUP(tbEscolas[[#This Row],[COD ETPA]],tbEtapas[],3,FALSE),"")</f>
        <v>ENSINO MÉDIO</v>
      </c>
      <c r="G196" t="s">
        <v>126</v>
      </c>
    </row>
    <row r="197" spans="1:7" x14ac:dyDescent="0.25">
      <c r="A197" s="24">
        <f>_xlfn.XLOOKUP(tbEscolas[[#This Row],[ESCOLA]],tbNucleo[ESCOLA],tbNucleo[COD ESCOLA],"")</f>
        <v>11</v>
      </c>
      <c r="B197" t="str" cm="1">
        <f t="array" ref="B197">IFERROR(INDEX(tbNucleo[ESCOLA],ROUNDUP(ROW(B196)/TotalEtapas,0)),"")</f>
        <v>E. E. M. Tiradentes Prof. Natalino F. Mendes</v>
      </c>
      <c r="C197" t="str">
        <f>IFERROR(VLOOKUP(B197,tbNucleo[],2,FALSE),"")</f>
        <v/>
      </c>
      <c r="D197" cm="1">
        <f t="array" ref="D197">IF(B197="","",INDEX(tbEtapas[Nº],MOD(ROW(B196)-1,TotalEtapas)+1))</f>
        <v>16</v>
      </c>
      <c r="E197" t="str">
        <f>IFERROR(VLOOKUP(tbEscolas[[#This Row],[COD ETPA]],tbEtapas[],2,FALSE),"")</f>
        <v>3º ANO</v>
      </c>
      <c r="F197" t="str">
        <f>IFERROR(VLOOKUP(tbEscolas[[#This Row],[COD ETPA]],tbEtapas[],3,FALSE),"")</f>
        <v>ENSINO MÉDIO</v>
      </c>
      <c r="G197" t="s">
        <v>126</v>
      </c>
    </row>
    <row r="198" spans="1:7" x14ac:dyDescent="0.25">
      <c r="A198" s="24">
        <f>_xlfn.XLOOKUP(tbEscolas[[#This Row],[ESCOLA]],tbNucleo[ESCOLA],tbNucleo[COD ESCOLA],"")</f>
        <v>11</v>
      </c>
      <c r="B198" t="str" cm="1">
        <f t="array" ref="B198">IFERROR(INDEX(tbNucleo[ESCOLA],ROUNDUP(ROW(B197)/TotalEtapas,0)),"")</f>
        <v>E. E. M. Tiradentes Prof. Natalino F. Mendes</v>
      </c>
      <c r="C198" t="str">
        <f>IFERROR(VLOOKUP(B198,tbNucleo[],2,FALSE),"")</f>
        <v/>
      </c>
      <c r="D198" cm="1">
        <f t="array" ref="D198">IF(B198="","",INDEX(tbEtapas[Nº],MOD(ROW(B197)-1,TotalEtapas)+1))</f>
        <v>17</v>
      </c>
      <c r="E198" t="str">
        <f>IFERROR(VLOOKUP(tbEscolas[[#This Row],[COD ETPA]],tbEtapas[],2,FALSE),"")</f>
        <v>EJA I</v>
      </c>
      <c r="F198" t="str">
        <f>IFERROR(VLOOKUP(tbEscolas[[#This Row],[COD ETPA]],tbEtapas[],3,FALSE),"")</f>
        <v>FUNDAMENTAL</v>
      </c>
      <c r="G198" t="s">
        <v>126</v>
      </c>
    </row>
    <row r="199" spans="1:7" x14ac:dyDescent="0.25">
      <c r="A199" s="24">
        <f>_xlfn.XLOOKUP(tbEscolas[[#This Row],[ESCOLA]],tbNucleo[ESCOLA],tbNucleo[COD ESCOLA],"")</f>
        <v>11</v>
      </c>
      <c r="B199" t="str" cm="1">
        <f t="array" ref="B199">IFERROR(INDEX(tbNucleo[ESCOLA],ROUNDUP(ROW(B198)/TotalEtapas,0)),"")</f>
        <v>E. E. M. Tiradentes Prof. Natalino F. Mendes</v>
      </c>
      <c r="C199" t="str">
        <f>IFERROR(VLOOKUP(B199,tbNucleo[],2,FALSE),"")</f>
        <v/>
      </c>
      <c r="D199" cm="1">
        <f t="array" ref="D199">IF(B199="","",INDEX(tbEtapas[Nº],MOD(ROW(B198)-1,TotalEtapas)+1))</f>
        <v>18</v>
      </c>
      <c r="E199" t="str">
        <f>IFERROR(VLOOKUP(tbEscolas[[#This Row],[COD ETPA]],tbEtapas[],2,FALSE),"")</f>
        <v>EJA II</v>
      </c>
      <c r="F199" t="str">
        <f>IFERROR(VLOOKUP(tbEscolas[[#This Row],[COD ETPA]],tbEtapas[],3,FALSE),"")</f>
        <v>ENSINO MÉDIO</v>
      </c>
      <c r="G199" t="s">
        <v>126</v>
      </c>
    </row>
    <row r="200" spans="1:7" x14ac:dyDescent="0.25">
      <c r="A200" s="24">
        <f>_xlfn.XLOOKUP(tbEscolas[[#This Row],[ESCOLA]],tbNucleo[ESCOLA],tbNucleo[COD ESCOLA],"")</f>
        <v>12</v>
      </c>
      <c r="B200" t="str" cm="1">
        <f t="array" ref="B200">IFERROR(INDEX(tbNucleo[ESCOLA],ROUNDUP(ROW(B199)/TotalEtapas,0)),"")</f>
        <v>E. E. Prof. Demétrio Costa Pereira</v>
      </c>
      <c r="C200" t="str">
        <f>IFERROR(VLOOKUP(B200,tbNucleo[],2,FALSE),"")</f>
        <v/>
      </c>
      <c r="D200" cm="1">
        <f t="array" ref="D200">IF(B200="","",INDEX(tbEtapas[Nº],MOD(ROW(B199)-1,TotalEtapas)+1))</f>
        <v>1</v>
      </c>
      <c r="E200" t="str">
        <f>IFERROR(VLOOKUP(tbEscolas[[#This Row],[COD ETPA]],tbEtapas[],2,FALSE),"")</f>
        <v>CRECHE I</v>
      </c>
      <c r="F200" t="str">
        <f>IFERROR(VLOOKUP(tbEscolas[[#This Row],[COD ETPA]],tbEtapas[],3,FALSE),"")</f>
        <v>EDUCAÇÃO INFANTIL</v>
      </c>
      <c r="G200" t="s">
        <v>126</v>
      </c>
    </row>
    <row r="201" spans="1:7" x14ac:dyDescent="0.25">
      <c r="A201" s="24">
        <f>_xlfn.XLOOKUP(tbEscolas[[#This Row],[ESCOLA]],tbNucleo[ESCOLA],tbNucleo[COD ESCOLA],"")</f>
        <v>12</v>
      </c>
      <c r="B201" t="str" cm="1">
        <f t="array" ref="B201">IFERROR(INDEX(tbNucleo[ESCOLA],ROUNDUP(ROW(B200)/TotalEtapas,0)),"")</f>
        <v>E. E. Prof. Demétrio Costa Pereira</v>
      </c>
      <c r="C201" t="str">
        <f>IFERROR(VLOOKUP(B201,tbNucleo[],2,FALSE),"")</f>
        <v/>
      </c>
      <c r="D201" cm="1">
        <f t="array" ref="D201">IF(B201="","",INDEX(tbEtapas[Nº],MOD(ROW(B200)-1,TotalEtapas)+1))</f>
        <v>2</v>
      </c>
      <c r="E201" t="str">
        <f>IFERROR(VLOOKUP(tbEscolas[[#This Row],[COD ETPA]],tbEtapas[],2,FALSE),"")</f>
        <v>CRECHE II</v>
      </c>
      <c r="F201" t="str">
        <f>IFERROR(VLOOKUP(tbEscolas[[#This Row],[COD ETPA]],tbEtapas[],3,FALSE),"")</f>
        <v>EDUCAÇÃO INFANTIL</v>
      </c>
      <c r="G201" t="s">
        <v>126</v>
      </c>
    </row>
    <row r="202" spans="1:7" x14ac:dyDescent="0.25">
      <c r="A202" s="24">
        <f>_xlfn.XLOOKUP(tbEscolas[[#This Row],[ESCOLA]],tbNucleo[ESCOLA],tbNucleo[COD ESCOLA],"")</f>
        <v>12</v>
      </c>
      <c r="B202" t="str" cm="1">
        <f t="array" ref="B202">IFERROR(INDEX(tbNucleo[ESCOLA],ROUNDUP(ROW(B201)/TotalEtapas,0)),"")</f>
        <v>E. E. Prof. Demétrio Costa Pereira</v>
      </c>
      <c r="C202" t="str">
        <f>IFERROR(VLOOKUP(B202,tbNucleo[],2,FALSE),"")</f>
        <v/>
      </c>
      <c r="D202" cm="1">
        <f t="array" ref="D202">IF(B202="","",INDEX(tbEtapas[Nº],MOD(ROW(B201)-1,TotalEtapas)+1))</f>
        <v>3</v>
      </c>
      <c r="E202" t="str">
        <f>IFERROR(VLOOKUP(tbEscolas[[#This Row],[COD ETPA]],tbEtapas[],2,FALSE),"")</f>
        <v>PRE I</v>
      </c>
      <c r="F202" t="str">
        <f>IFERROR(VLOOKUP(tbEscolas[[#This Row],[COD ETPA]],tbEtapas[],3,FALSE),"")</f>
        <v>EDUCAÇÃO INFANTIL</v>
      </c>
      <c r="G202" t="s">
        <v>126</v>
      </c>
    </row>
    <row r="203" spans="1:7" x14ac:dyDescent="0.25">
      <c r="A203" s="24">
        <f>_xlfn.XLOOKUP(tbEscolas[[#This Row],[ESCOLA]],tbNucleo[ESCOLA],tbNucleo[COD ESCOLA],"")</f>
        <v>12</v>
      </c>
      <c r="B203" t="str" cm="1">
        <f t="array" ref="B203">IFERROR(INDEX(tbNucleo[ESCOLA],ROUNDUP(ROW(B202)/TotalEtapas,0)),"")</f>
        <v>E. E. Prof. Demétrio Costa Pereira</v>
      </c>
      <c r="C203" t="str">
        <f>IFERROR(VLOOKUP(B203,tbNucleo[],2,FALSE),"")</f>
        <v/>
      </c>
      <c r="D203" cm="1">
        <f t="array" ref="D203">IF(B203="","",INDEX(tbEtapas[Nº],MOD(ROW(B202)-1,TotalEtapas)+1))</f>
        <v>4</v>
      </c>
      <c r="E203" t="str">
        <f>IFERROR(VLOOKUP(tbEscolas[[#This Row],[COD ETPA]],tbEtapas[],2,FALSE),"")</f>
        <v>PRE II</v>
      </c>
      <c r="F203" t="str">
        <f>IFERROR(VLOOKUP(tbEscolas[[#This Row],[COD ETPA]],tbEtapas[],3,FALSE),"")</f>
        <v>EDUCAÇÃO INFANTIL</v>
      </c>
      <c r="G203" t="s">
        <v>126</v>
      </c>
    </row>
    <row r="204" spans="1:7" x14ac:dyDescent="0.25">
      <c r="A204" s="24">
        <f>_xlfn.XLOOKUP(tbEscolas[[#This Row],[ESCOLA]],tbNucleo[ESCOLA],tbNucleo[COD ESCOLA],"")</f>
        <v>12</v>
      </c>
      <c r="B204" t="str" cm="1">
        <f t="array" ref="B204">IFERROR(INDEX(tbNucleo[ESCOLA],ROUNDUP(ROW(B203)/TotalEtapas,0)),"")</f>
        <v>E. E. Prof. Demétrio Costa Pereira</v>
      </c>
      <c r="C204" t="str">
        <f>IFERROR(VLOOKUP(B204,tbNucleo[],2,FALSE),"")</f>
        <v/>
      </c>
      <c r="D204" cm="1">
        <f t="array" ref="D204">IF(B204="","",INDEX(tbEtapas[Nº],MOD(ROW(B203)-1,TotalEtapas)+1))</f>
        <v>5</v>
      </c>
      <c r="E204" t="str">
        <f>IFERROR(VLOOKUP(tbEscolas[[#This Row],[COD ETPA]],tbEtapas[],2,FALSE),"")</f>
        <v>1º ANO</v>
      </c>
      <c r="F204" t="str">
        <f>IFERROR(VLOOKUP(tbEscolas[[#This Row],[COD ETPA]],tbEtapas[],3,FALSE),"")</f>
        <v>FUNDAMENTAL</v>
      </c>
      <c r="G204" t="s">
        <v>125</v>
      </c>
    </row>
    <row r="205" spans="1:7" x14ac:dyDescent="0.25">
      <c r="A205" s="24">
        <f>_xlfn.XLOOKUP(tbEscolas[[#This Row],[ESCOLA]],tbNucleo[ESCOLA],tbNucleo[COD ESCOLA],"")</f>
        <v>12</v>
      </c>
      <c r="B205" t="str" cm="1">
        <f t="array" ref="B205">IFERROR(INDEX(tbNucleo[ESCOLA],ROUNDUP(ROW(B204)/TotalEtapas,0)),"")</f>
        <v>E. E. Prof. Demétrio Costa Pereira</v>
      </c>
      <c r="C205" t="str">
        <f>IFERROR(VLOOKUP(B205,tbNucleo[],2,FALSE),"")</f>
        <v/>
      </c>
      <c r="D205" cm="1">
        <f t="array" ref="D205">IF(B205="","",INDEX(tbEtapas[Nº],MOD(ROW(B204)-1,TotalEtapas)+1))</f>
        <v>6</v>
      </c>
      <c r="E205" t="str">
        <f>IFERROR(VLOOKUP(tbEscolas[[#This Row],[COD ETPA]],tbEtapas[],2,FALSE),"")</f>
        <v>2º ANO</v>
      </c>
      <c r="F205" t="str">
        <f>IFERROR(VLOOKUP(tbEscolas[[#This Row],[COD ETPA]],tbEtapas[],3,FALSE),"")</f>
        <v>FUNDAMENTAL</v>
      </c>
      <c r="G205" t="s">
        <v>125</v>
      </c>
    </row>
    <row r="206" spans="1:7" x14ac:dyDescent="0.25">
      <c r="A206" s="24">
        <f>_xlfn.XLOOKUP(tbEscolas[[#This Row],[ESCOLA]],tbNucleo[ESCOLA],tbNucleo[COD ESCOLA],"")</f>
        <v>12</v>
      </c>
      <c r="B206" t="str" cm="1">
        <f t="array" ref="B206">IFERROR(INDEX(tbNucleo[ESCOLA],ROUNDUP(ROW(B205)/TotalEtapas,0)),"")</f>
        <v>E. E. Prof. Demétrio Costa Pereira</v>
      </c>
      <c r="C206" t="str">
        <f>IFERROR(VLOOKUP(B206,tbNucleo[],2,FALSE),"")</f>
        <v/>
      </c>
      <c r="D206" cm="1">
        <f t="array" ref="D206">IF(B206="","",INDEX(tbEtapas[Nº],MOD(ROW(B205)-1,TotalEtapas)+1))</f>
        <v>7</v>
      </c>
      <c r="E206" t="str">
        <f>IFERROR(VLOOKUP(tbEscolas[[#This Row],[COD ETPA]],tbEtapas[],2,FALSE),"")</f>
        <v>3º ANO</v>
      </c>
      <c r="F206" t="str">
        <f>IFERROR(VLOOKUP(tbEscolas[[#This Row],[COD ETPA]],tbEtapas[],3,FALSE),"")</f>
        <v>FUNDAMENTAL</v>
      </c>
      <c r="G206" t="s">
        <v>125</v>
      </c>
    </row>
    <row r="207" spans="1:7" x14ac:dyDescent="0.25">
      <c r="A207" s="24">
        <f>_xlfn.XLOOKUP(tbEscolas[[#This Row],[ESCOLA]],tbNucleo[ESCOLA],tbNucleo[COD ESCOLA],"")</f>
        <v>12</v>
      </c>
      <c r="B207" t="str" cm="1">
        <f t="array" ref="B207">IFERROR(INDEX(tbNucleo[ESCOLA],ROUNDUP(ROW(B206)/TotalEtapas,0)),"")</f>
        <v>E. E. Prof. Demétrio Costa Pereira</v>
      </c>
      <c r="C207" t="str">
        <f>IFERROR(VLOOKUP(B207,tbNucleo[],2,FALSE),"")</f>
        <v/>
      </c>
      <c r="D207" cm="1">
        <f t="array" ref="D207">IF(B207="","",INDEX(tbEtapas[Nº],MOD(ROW(B206)-1,TotalEtapas)+1))</f>
        <v>8</v>
      </c>
      <c r="E207" t="str">
        <f>IFERROR(VLOOKUP(tbEscolas[[#This Row],[COD ETPA]],tbEtapas[],2,FALSE),"")</f>
        <v>4º ANO</v>
      </c>
      <c r="F207" t="str">
        <f>IFERROR(VLOOKUP(tbEscolas[[#This Row],[COD ETPA]],tbEtapas[],3,FALSE),"")</f>
        <v>FUNDAMENTAL</v>
      </c>
      <c r="G207" t="s">
        <v>125</v>
      </c>
    </row>
    <row r="208" spans="1:7" x14ac:dyDescent="0.25">
      <c r="A208" s="24">
        <f>_xlfn.XLOOKUP(tbEscolas[[#This Row],[ESCOLA]],tbNucleo[ESCOLA],tbNucleo[COD ESCOLA],"")</f>
        <v>12</v>
      </c>
      <c r="B208" t="str" cm="1">
        <f t="array" ref="B208">IFERROR(INDEX(tbNucleo[ESCOLA],ROUNDUP(ROW(B207)/TotalEtapas,0)),"")</f>
        <v>E. E. Prof. Demétrio Costa Pereira</v>
      </c>
      <c r="C208" t="str">
        <f>IFERROR(VLOOKUP(B208,tbNucleo[],2,FALSE),"")</f>
        <v/>
      </c>
      <c r="D208" cm="1">
        <f t="array" ref="D208">IF(B208="","",INDEX(tbEtapas[Nº],MOD(ROW(B207)-1,TotalEtapas)+1))</f>
        <v>9</v>
      </c>
      <c r="E208" t="str">
        <f>IFERROR(VLOOKUP(tbEscolas[[#This Row],[COD ETPA]],tbEtapas[],2,FALSE),"")</f>
        <v>5º ANO</v>
      </c>
      <c r="F208" t="str">
        <f>IFERROR(VLOOKUP(tbEscolas[[#This Row],[COD ETPA]],tbEtapas[],3,FALSE),"")</f>
        <v>FUNDAMENTAL</v>
      </c>
      <c r="G208" t="s">
        <v>125</v>
      </c>
    </row>
    <row r="209" spans="1:7" x14ac:dyDescent="0.25">
      <c r="A209" s="24">
        <f>_xlfn.XLOOKUP(tbEscolas[[#This Row],[ESCOLA]],tbNucleo[ESCOLA],tbNucleo[COD ESCOLA],"")</f>
        <v>12</v>
      </c>
      <c r="B209" t="str" cm="1">
        <f t="array" ref="B209">IFERROR(INDEX(tbNucleo[ESCOLA],ROUNDUP(ROW(B208)/TotalEtapas,0)),"")</f>
        <v>E. E. Prof. Demétrio Costa Pereira</v>
      </c>
      <c r="C209" t="str">
        <f>IFERROR(VLOOKUP(B209,tbNucleo[],2,FALSE),"")</f>
        <v/>
      </c>
      <c r="D209" cm="1">
        <f t="array" ref="D209">IF(B209="","",INDEX(tbEtapas[Nº],MOD(ROW(B208)-1,TotalEtapas)+1))</f>
        <v>10</v>
      </c>
      <c r="E209" t="str">
        <f>IFERROR(VLOOKUP(tbEscolas[[#This Row],[COD ETPA]],tbEtapas[],2,FALSE),"")</f>
        <v>6º ANO</v>
      </c>
      <c r="F209" t="str">
        <f>IFERROR(VLOOKUP(tbEscolas[[#This Row],[COD ETPA]],tbEtapas[],3,FALSE),"")</f>
        <v>FUNDAMENTAL</v>
      </c>
      <c r="G209" t="s">
        <v>125</v>
      </c>
    </row>
    <row r="210" spans="1:7" x14ac:dyDescent="0.25">
      <c r="A210" s="24">
        <f>_xlfn.XLOOKUP(tbEscolas[[#This Row],[ESCOLA]],tbNucleo[ESCOLA],tbNucleo[COD ESCOLA],"")</f>
        <v>12</v>
      </c>
      <c r="B210" t="str" cm="1">
        <f t="array" ref="B210">IFERROR(INDEX(tbNucleo[ESCOLA],ROUNDUP(ROW(B209)/TotalEtapas,0)),"")</f>
        <v>E. E. Prof. Demétrio Costa Pereira</v>
      </c>
      <c r="C210" t="str">
        <f>IFERROR(VLOOKUP(B210,tbNucleo[],2,FALSE),"")</f>
        <v/>
      </c>
      <c r="D210" cm="1">
        <f t="array" ref="D210">IF(B210="","",INDEX(tbEtapas[Nº],MOD(ROW(B209)-1,TotalEtapas)+1))</f>
        <v>11</v>
      </c>
      <c r="E210" t="str">
        <f>IFERROR(VLOOKUP(tbEscolas[[#This Row],[COD ETPA]],tbEtapas[],2,FALSE),"")</f>
        <v>7º ANO</v>
      </c>
      <c r="F210" t="str">
        <f>IFERROR(VLOOKUP(tbEscolas[[#This Row],[COD ETPA]],tbEtapas[],3,FALSE),"")</f>
        <v>FUNDAMENTAL</v>
      </c>
      <c r="G210" t="s">
        <v>125</v>
      </c>
    </row>
    <row r="211" spans="1:7" x14ac:dyDescent="0.25">
      <c r="A211" s="24">
        <f>_xlfn.XLOOKUP(tbEscolas[[#This Row],[ESCOLA]],tbNucleo[ESCOLA],tbNucleo[COD ESCOLA],"")</f>
        <v>12</v>
      </c>
      <c r="B211" t="str" cm="1">
        <f t="array" ref="B211">IFERROR(INDEX(tbNucleo[ESCOLA],ROUNDUP(ROW(B210)/TotalEtapas,0)),"")</f>
        <v>E. E. Prof. Demétrio Costa Pereira</v>
      </c>
      <c r="C211" t="str">
        <f>IFERROR(VLOOKUP(B211,tbNucleo[],2,FALSE),"")</f>
        <v/>
      </c>
      <c r="D211" cm="1">
        <f t="array" ref="D211">IF(B211="","",INDEX(tbEtapas[Nº],MOD(ROW(B210)-1,TotalEtapas)+1))</f>
        <v>12</v>
      </c>
      <c r="E211" t="str">
        <f>IFERROR(VLOOKUP(tbEscolas[[#This Row],[COD ETPA]],tbEtapas[],2,FALSE),"")</f>
        <v>8º ANO</v>
      </c>
      <c r="F211" t="str">
        <f>IFERROR(VLOOKUP(tbEscolas[[#This Row],[COD ETPA]],tbEtapas[],3,FALSE),"")</f>
        <v>FUNDAMENTAL</v>
      </c>
      <c r="G211" t="s">
        <v>125</v>
      </c>
    </row>
    <row r="212" spans="1:7" x14ac:dyDescent="0.25">
      <c r="A212" s="24">
        <f>_xlfn.XLOOKUP(tbEscolas[[#This Row],[ESCOLA]],tbNucleo[ESCOLA],tbNucleo[COD ESCOLA],"")</f>
        <v>12</v>
      </c>
      <c r="B212" t="str" cm="1">
        <f t="array" ref="B212">IFERROR(INDEX(tbNucleo[ESCOLA],ROUNDUP(ROW(B211)/TotalEtapas,0)),"")</f>
        <v>E. E. Prof. Demétrio Costa Pereira</v>
      </c>
      <c r="C212" t="str">
        <f>IFERROR(VLOOKUP(B212,tbNucleo[],2,FALSE),"")</f>
        <v/>
      </c>
      <c r="D212" cm="1">
        <f t="array" ref="D212">IF(B212="","",INDEX(tbEtapas[Nº],MOD(ROW(B211)-1,TotalEtapas)+1))</f>
        <v>13</v>
      </c>
      <c r="E212" t="str">
        <f>IFERROR(VLOOKUP(tbEscolas[[#This Row],[COD ETPA]],tbEtapas[],2,FALSE),"")</f>
        <v>9º ANO</v>
      </c>
      <c r="F212" t="str">
        <f>IFERROR(VLOOKUP(tbEscolas[[#This Row],[COD ETPA]],tbEtapas[],3,FALSE),"")</f>
        <v>FUNDAMENTAL</v>
      </c>
      <c r="G212" t="s">
        <v>125</v>
      </c>
    </row>
    <row r="213" spans="1:7" x14ac:dyDescent="0.25">
      <c r="A213" s="24">
        <f>_xlfn.XLOOKUP(tbEscolas[[#This Row],[ESCOLA]],tbNucleo[ESCOLA],tbNucleo[COD ESCOLA],"")</f>
        <v>12</v>
      </c>
      <c r="B213" t="str" cm="1">
        <f t="array" ref="B213">IFERROR(INDEX(tbNucleo[ESCOLA],ROUNDUP(ROW(B212)/TotalEtapas,0)),"")</f>
        <v>E. E. Prof. Demétrio Costa Pereira</v>
      </c>
      <c r="C213" t="str">
        <f>IFERROR(VLOOKUP(B213,tbNucleo[],2,FALSE),"")</f>
        <v/>
      </c>
      <c r="D213" cm="1">
        <f t="array" ref="D213">IF(B213="","",INDEX(tbEtapas[Nº],MOD(ROW(B212)-1,TotalEtapas)+1))</f>
        <v>14</v>
      </c>
      <c r="E213" t="str">
        <f>IFERROR(VLOOKUP(tbEscolas[[#This Row],[COD ETPA]],tbEtapas[],2,FALSE),"")</f>
        <v>1º ANO</v>
      </c>
      <c r="F213" t="str">
        <f>IFERROR(VLOOKUP(tbEscolas[[#This Row],[COD ETPA]],tbEtapas[],3,FALSE),"")</f>
        <v>ENSINO MÉDIO</v>
      </c>
      <c r="G213" t="s">
        <v>125</v>
      </c>
    </row>
    <row r="214" spans="1:7" x14ac:dyDescent="0.25">
      <c r="A214" s="24">
        <f>_xlfn.XLOOKUP(tbEscolas[[#This Row],[ESCOLA]],tbNucleo[ESCOLA],tbNucleo[COD ESCOLA],"")</f>
        <v>12</v>
      </c>
      <c r="B214" t="str" cm="1">
        <f t="array" ref="B214">IFERROR(INDEX(tbNucleo[ESCOLA],ROUNDUP(ROW(B213)/TotalEtapas,0)),"")</f>
        <v>E. E. Prof. Demétrio Costa Pereira</v>
      </c>
      <c r="C214" t="str">
        <f>IFERROR(VLOOKUP(B214,tbNucleo[],2,FALSE),"")</f>
        <v/>
      </c>
      <c r="D214" cm="1">
        <f t="array" ref="D214">IF(B214="","",INDEX(tbEtapas[Nº],MOD(ROW(B213)-1,TotalEtapas)+1))</f>
        <v>15</v>
      </c>
      <c r="E214" t="str">
        <f>IFERROR(VLOOKUP(tbEscolas[[#This Row],[COD ETPA]],tbEtapas[],2,FALSE),"")</f>
        <v>2º ANO</v>
      </c>
      <c r="F214" t="str">
        <f>IFERROR(VLOOKUP(tbEscolas[[#This Row],[COD ETPA]],tbEtapas[],3,FALSE),"")</f>
        <v>ENSINO MÉDIO</v>
      </c>
      <c r="G214" t="s">
        <v>125</v>
      </c>
    </row>
    <row r="215" spans="1:7" x14ac:dyDescent="0.25">
      <c r="A215" s="24">
        <f>_xlfn.XLOOKUP(tbEscolas[[#This Row],[ESCOLA]],tbNucleo[ESCOLA],tbNucleo[COD ESCOLA],"")</f>
        <v>12</v>
      </c>
      <c r="B215" t="str" cm="1">
        <f t="array" ref="B215">IFERROR(INDEX(tbNucleo[ESCOLA],ROUNDUP(ROW(B214)/TotalEtapas,0)),"")</f>
        <v>E. E. Prof. Demétrio Costa Pereira</v>
      </c>
      <c r="C215" t="str">
        <f>IFERROR(VLOOKUP(B215,tbNucleo[],2,FALSE),"")</f>
        <v/>
      </c>
      <c r="D215" cm="1">
        <f t="array" ref="D215">IF(B215="","",INDEX(tbEtapas[Nº],MOD(ROW(B214)-1,TotalEtapas)+1))</f>
        <v>16</v>
      </c>
      <c r="E215" t="str">
        <f>IFERROR(VLOOKUP(tbEscolas[[#This Row],[COD ETPA]],tbEtapas[],2,FALSE),"")</f>
        <v>3º ANO</v>
      </c>
      <c r="F215" t="str">
        <f>IFERROR(VLOOKUP(tbEscolas[[#This Row],[COD ETPA]],tbEtapas[],3,FALSE),"")</f>
        <v>ENSINO MÉDIO</v>
      </c>
      <c r="G215" t="s">
        <v>125</v>
      </c>
    </row>
    <row r="216" spans="1:7" x14ac:dyDescent="0.25">
      <c r="A216" s="24">
        <f>_xlfn.XLOOKUP(tbEscolas[[#This Row],[ESCOLA]],tbNucleo[ESCOLA],tbNucleo[COD ESCOLA],"")</f>
        <v>12</v>
      </c>
      <c r="B216" t="str" cm="1">
        <f t="array" ref="B216">IFERROR(INDEX(tbNucleo[ESCOLA],ROUNDUP(ROW(B215)/TotalEtapas,0)),"")</f>
        <v>E. E. Prof. Demétrio Costa Pereira</v>
      </c>
      <c r="C216" t="str">
        <f>IFERROR(VLOOKUP(B216,tbNucleo[],2,FALSE),"")</f>
        <v/>
      </c>
      <c r="D216" cm="1">
        <f t="array" ref="D216">IF(B216="","",INDEX(tbEtapas[Nº],MOD(ROW(B215)-1,TotalEtapas)+1))</f>
        <v>17</v>
      </c>
      <c r="E216" t="str">
        <f>IFERROR(VLOOKUP(tbEscolas[[#This Row],[COD ETPA]],tbEtapas[],2,FALSE),"")</f>
        <v>EJA I</v>
      </c>
      <c r="F216" t="str">
        <f>IFERROR(VLOOKUP(tbEscolas[[#This Row],[COD ETPA]],tbEtapas[],3,FALSE),"")</f>
        <v>FUNDAMENTAL</v>
      </c>
      <c r="G216" t="s">
        <v>125</v>
      </c>
    </row>
    <row r="217" spans="1:7" x14ac:dyDescent="0.25">
      <c r="A217" s="24">
        <f>_xlfn.XLOOKUP(tbEscolas[[#This Row],[ESCOLA]],tbNucleo[ESCOLA],tbNucleo[COD ESCOLA],"")</f>
        <v>12</v>
      </c>
      <c r="B217" t="str" cm="1">
        <f t="array" ref="B217">IFERROR(INDEX(tbNucleo[ESCOLA],ROUNDUP(ROW(B216)/TotalEtapas,0)),"")</f>
        <v>E. E. Prof. Demétrio Costa Pereira</v>
      </c>
      <c r="C217" t="str">
        <f>IFERROR(VLOOKUP(B217,tbNucleo[],2,FALSE),"")</f>
        <v/>
      </c>
      <c r="D217" cm="1">
        <f t="array" ref="D217">IF(B217="","",INDEX(tbEtapas[Nº],MOD(ROW(B216)-1,TotalEtapas)+1))</f>
        <v>18</v>
      </c>
      <c r="E217" t="str">
        <f>IFERROR(VLOOKUP(tbEscolas[[#This Row],[COD ETPA]],tbEtapas[],2,FALSE),"")</f>
        <v>EJA II</v>
      </c>
      <c r="F217" t="str">
        <f>IFERROR(VLOOKUP(tbEscolas[[#This Row],[COD ETPA]],tbEtapas[],3,FALSE),"")</f>
        <v>ENSINO MÉDIO</v>
      </c>
      <c r="G217" t="s">
        <v>125</v>
      </c>
    </row>
    <row r="218" spans="1:7" x14ac:dyDescent="0.25">
      <c r="A218" s="24">
        <f>_xlfn.XLOOKUP(tbEscolas[[#This Row],[ESCOLA]],tbNucleo[ESCOLA],tbNucleo[COD ESCOLA],"")</f>
        <v>13</v>
      </c>
      <c r="B218" t="str" cm="1">
        <f t="array" ref="B218">IFERROR(INDEX(tbNucleo[ESCOLA],ROUNDUP(ROW(B217)/TotalEtapas,0)),"")</f>
        <v>E.E 12 DE OUTUBRO ANEXA CLARINOPOLIS</v>
      </c>
      <c r="C218" t="str">
        <f>IFERROR(VLOOKUP(B218,tbNucleo[],2,FALSE),"")</f>
        <v/>
      </c>
      <c r="D218" cm="1">
        <f t="array" ref="D218">IF(B218="","",INDEX(tbEtapas[Nº],MOD(ROW(B217)-1,TotalEtapas)+1))</f>
        <v>1</v>
      </c>
      <c r="E218" t="str">
        <f>IFERROR(VLOOKUP(tbEscolas[[#This Row],[COD ETPA]],tbEtapas[],2,FALSE),"")</f>
        <v>CRECHE I</v>
      </c>
      <c r="F218" t="str">
        <f>IFERROR(VLOOKUP(tbEscolas[[#This Row],[COD ETPA]],tbEtapas[],3,FALSE),"")</f>
        <v>EDUCAÇÃO INFANTIL</v>
      </c>
      <c r="G218" t="s">
        <v>125</v>
      </c>
    </row>
    <row r="219" spans="1:7" x14ac:dyDescent="0.25">
      <c r="A219" s="24">
        <f>_xlfn.XLOOKUP(tbEscolas[[#This Row],[ESCOLA]],tbNucleo[ESCOLA],tbNucleo[COD ESCOLA],"")</f>
        <v>13</v>
      </c>
      <c r="B219" t="str" cm="1">
        <f t="array" ref="B219">IFERROR(INDEX(tbNucleo[ESCOLA],ROUNDUP(ROW(B218)/TotalEtapas,0)),"")</f>
        <v>E.E 12 DE OUTUBRO ANEXA CLARINOPOLIS</v>
      </c>
      <c r="C219" t="str">
        <f>IFERROR(VLOOKUP(B219,tbNucleo[],2,FALSE),"")</f>
        <v/>
      </c>
      <c r="D219" cm="1">
        <f t="array" ref="D219">IF(B219="","",INDEX(tbEtapas[Nº],MOD(ROW(B218)-1,TotalEtapas)+1))</f>
        <v>2</v>
      </c>
      <c r="E219" t="str">
        <f>IFERROR(VLOOKUP(tbEscolas[[#This Row],[COD ETPA]],tbEtapas[],2,FALSE),"")</f>
        <v>CRECHE II</v>
      </c>
      <c r="F219" t="str">
        <f>IFERROR(VLOOKUP(tbEscolas[[#This Row],[COD ETPA]],tbEtapas[],3,FALSE),"")</f>
        <v>EDUCAÇÃO INFANTIL</v>
      </c>
      <c r="G219" t="s">
        <v>125</v>
      </c>
    </row>
    <row r="220" spans="1:7" x14ac:dyDescent="0.25">
      <c r="A220" s="24">
        <f>_xlfn.XLOOKUP(tbEscolas[[#This Row],[ESCOLA]],tbNucleo[ESCOLA],tbNucleo[COD ESCOLA],"")</f>
        <v>13</v>
      </c>
      <c r="B220" t="str" cm="1">
        <f t="array" ref="B220">IFERROR(INDEX(tbNucleo[ESCOLA],ROUNDUP(ROW(B219)/TotalEtapas,0)),"")</f>
        <v>E.E 12 DE OUTUBRO ANEXA CLARINOPOLIS</v>
      </c>
      <c r="C220" t="str">
        <f>IFERROR(VLOOKUP(B220,tbNucleo[],2,FALSE),"")</f>
        <v/>
      </c>
      <c r="D220" cm="1">
        <f t="array" ref="D220">IF(B220="","",INDEX(tbEtapas[Nº],MOD(ROW(B219)-1,TotalEtapas)+1))</f>
        <v>3</v>
      </c>
      <c r="E220" t="str">
        <f>IFERROR(VLOOKUP(tbEscolas[[#This Row],[COD ETPA]],tbEtapas[],2,FALSE),"")</f>
        <v>PRE I</v>
      </c>
      <c r="F220" t="str">
        <f>IFERROR(VLOOKUP(tbEscolas[[#This Row],[COD ETPA]],tbEtapas[],3,FALSE),"")</f>
        <v>EDUCAÇÃO INFANTIL</v>
      </c>
      <c r="G220" t="s">
        <v>125</v>
      </c>
    </row>
    <row r="221" spans="1:7" x14ac:dyDescent="0.25">
      <c r="A221" s="24">
        <f>_xlfn.XLOOKUP(tbEscolas[[#This Row],[ESCOLA]],tbNucleo[ESCOLA],tbNucleo[COD ESCOLA],"")</f>
        <v>13</v>
      </c>
      <c r="B221" t="str" cm="1">
        <f t="array" ref="B221">IFERROR(INDEX(tbNucleo[ESCOLA],ROUNDUP(ROW(B220)/TotalEtapas,0)),"")</f>
        <v>E.E 12 DE OUTUBRO ANEXA CLARINOPOLIS</v>
      </c>
      <c r="C221" t="str">
        <f>IFERROR(VLOOKUP(B221,tbNucleo[],2,FALSE),"")</f>
        <v/>
      </c>
      <c r="D221" cm="1">
        <f t="array" ref="D221">IF(B221="","",INDEX(tbEtapas[Nº],MOD(ROW(B220)-1,TotalEtapas)+1))</f>
        <v>4</v>
      </c>
      <c r="E221" t="str">
        <f>IFERROR(VLOOKUP(tbEscolas[[#This Row],[COD ETPA]],tbEtapas[],2,FALSE),"")</f>
        <v>PRE II</v>
      </c>
      <c r="F221" t="str">
        <f>IFERROR(VLOOKUP(tbEscolas[[#This Row],[COD ETPA]],tbEtapas[],3,FALSE),"")</f>
        <v>EDUCAÇÃO INFANTIL</v>
      </c>
      <c r="G221" t="s">
        <v>125</v>
      </c>
    </row>
    <row r="222" spans="1:7" x14ac:dyDescent="0.25">
      <c r="A222" s="24">
        <f>_xlfn.XLOOKUP(tbEscolas[[#This Row],[ESCOLA]],tbNucleo[ESCOLA],tbNucleo[COD ESCOLA],"")</f>
        <v>13</v>
      </c>
      <c r="B222" t="str" cm="1">
        <f t="array" ref="B222">IFERROR(INDEX(tbNucleo[ESCOLA],ROUNDUP(ROW(B221)/TotalEtapas,0)),"")</f>
        <v>E.E 12 DE OUTUBRO ANEXA CLARINOPOLIS</v>
      </c>
      <c r="C222" t="str">
        <f>IFERROR(VLOOKUP(B222,tbNucleo[],2,FALSE),"")</f>
        <v/>
      </c>
      <c r="D222" cm="1">
        <f t="array" ref="D222">IF(B222="","",INDEX(tbEtapas[Nº],MOD(ROW(B221)-1,TotalEtapas)+1))</f>
        <v>5</v>
      </c>
      <c r="E222" t="str">
        <f>IFERROR(VLOOKUP(tbEscolas[[#This Row],[COD ETPA]],tbEtapas[],2,FALSE),"")</f>
        <v>1º ANO</v>
      </c>
      <c r="F222" t="str">
        <f>IFERROR(VLOOKUP(tbEscolas[[#This Row],[COD ETPA]],tbEtapas[],3,FALSE),"")</f>
        <v>FUNDAMENTAL</v>
      </c>
      <c r="G222" t="s">
        <v>125</v>
      </c>
    </row>
    <row r="223" spans="1:7" x14ac:dyDescent="0.25">
      <c r="A223" s="24">
        <f>_xlfn.XLOOKUP(tbEscolas[[#This Row],[ESCOLA]],tbNucleo[ESCOLA],tbNucleo[COD ESCOLA],"")</f>
        <v>13</v>
      </c>
      <c r="B223" t="str" cm="1">
        <f t="array" ref="B223">IFERROR(INDEX(tbNucleo[ESCOLA],ROUNDUP(ROW(B222)/TotalEtapas,0)),"")</f>
        <v>E.E 12 DE OUTUBRO ANEXA CLARINOPOLIS</v>
      </c>
      <c r="C223" t="str">
        <f>IFERROR(VLOOKUP(B223,tbNucleo[],2,FALSE),"")</f>
        <v/>
      </c>
      <c r="D223" cm="1">
        <f t="array" ref="D223">IF(B223="","",INDEX(tbEtapas[Nº],MOD(ROW(B222)-1,TotalEtapas)+1))</f>
        <v>6</v>
      </c>
      <c r="E223" t="str">
        <f>IFERROR(VLOOKUP(tbEscolas[[#This Row],[COD ETPA]],tbEtapas[],2,FALSE),"")</f>
        <v>2º ANO</v>
      </c>
      <c r="F223" t="str">
        <f>IFERROR(VLOOKUP(tbEscolas[[#This Row],[COD ETPA]],tbEtapas[],3,FALSE),"")</f>
        <v>FUNDAMENTAL</v>
      </c>
      <c r="G223" t="s">
        <v>125</v>
      </c>
    </row>
    <row r="224" spans="1:7" x14ac:dyDescent="0.25">
      <c r="A224" s="24">
        <f>_xlfn.XLOOKUP(tbEscolas[[#This Row],[ESCOLA]],tbNucleo[ESCOLA],tbNucleo[COD ESCOLA],"")</f>
        <v>13</v>
      </c>
      <c r="B224" t="str" cm="1">
        <f t="array" ref="B224">IFERROR(INDEX(tbNucleo[ESCOLA],ROUNDUP(ROW(B223)/TotalEtapas,0)),"")</f>
        <v>E.E 12 DE OUTUBRO ANEXA CLARINOPOLIS</v>
      </c>
      <c r="C224" t="str">
        <f>IFERROR(VLOOKUP(B224,tbNucleo[],2,FALSE),"")</f>
        <v/>
      </c>
      <c r="D224" cm="1">
        <f t="array" ref="D224">IF(B224="","",INDEX(tbEtapas[Nº],MOD(ROW(B223)-1,TotalEtapas)+1))</f>
        <v>7</v>
      </c>
      <c r="E224" t="str">
        <f>IFERROR(VLOOKUP(tbEscolas[[#This Row],[COD ETPA]],tbEtapas[],2,FALSE),"")</f>
        <v>3º ANO</v>
      </c>
      <c r="F224" t="str">
        <f>IFERROR(VLOOKUP(tbEscolas[[#This Row],[COD ETPA]],tbEtapas[],3,FALSE),"")</f>
        <v>FUNDAMENTAL</v>
      </c>
      <c r="G224" t="s">
        <v>125</v>
      </c>
    </row>
    <row r="225" spans="1:7" x14ac:dyDescent="0.25">
      <c r="A225" s="24">
        <f>_xlfn.XLOOKUP(tbEscolas[[#This Row],[ESCOLA]],tbNucleo[ESCOLA],tbNucleo[COD ESCOLA],"")</f>
        <v>13</v>
      </c>
      <c r="B225" t="str" cm="1">
        <f t="array" ref="B225">IFERROR(INDEX(tbNucleo[ESCOLA],ROUNDUP(ROW(B224)/TotalEtapas,0)),"")</f>
        <v>E.E 12 DE OUTUBRO ANEXA CLARINOPOLIS</v>
      </c>
      <c r="C225" t="str">
        <f>IFERROR(VLOOKUP(B225,tbNucleo[],2,FALSE),"")</f>
        <v/>
      </c>
      <c r="D225" cm="1">
        <f t="array" ref="D225">IF(B225="","",INDEX(tbEtapas[Nº],MOD(ROW(B224)-1,TotalEtapas)+1))</f>
        <v>8</v>
      </c>
      <c r="E225" t="str">
        <f>IFERROR(VLOOKUP(tbEscolas[[#This Row],[COD ETPA]],tbEtapas[],2,FALSE),"")</f>
        <v>4º ANO</v>
      </c>
      <c r="F225" t="str">
        <f>IFERROR(VLOOKUP(tbEscolas[[#This Row],[COD ETPA]],tbEtapas[],3,FALSE),"")</f>
        <v>FUNDAMENTAL</v>
      </c>
      <c r="G225" t="s">
        <v>125</v>
      </c>
    </row>
    <row r="226" spans="1:7" x14ac:dyDescent="0.25">
      <c r="A226" s="24">
        <f>_xlfn.XLOOKUP(tbEscolas[[#This Row],[ESCOLA]],tbNucleo[ESCOLA],tbNucleo[COD ESCOLA],"")</f>
        <v>13</v>
      </c>
      <c r="B226" t="str" cm="1">
        <f t="array" ref="B226">IFERROR(INDEX(tbNucleo[ESCOLA],ROUNDUP(ROW(B225)/TotalEtapas,0)),"")</f>
        <v>E.E 12 DE OUTUBRO ANEXA CLARINOPOLIS</v>
      </c>
      <c r="C226" t="str">
        <f>IFERROR(VLOOKUP(B226,tbNucleo[],2,FALSE),"")</f>
        <v/>
      </c>
      <c r="D226" cm="1">
        <f t="array" ref="D226">IF(B226="","",INDEX(tbEtapas[Nº],MOD(ROW(B225)-1,TotalEtapas)+1))</f>
        <v>9</v>
      </c>
      <c r="E226" t="str">
        <f>IFERROR(VLOOKUP(tbEscolas[[#This Row],[COD ETPA]],tbEtapas[],2,FALSE),"")</f>
        <v>5º ANO</v>
      </c>
      <c r="F226" t="str">
        <f>IFERROR(VLOOKUP(tbEscolas[[#This Row],[COD ETPA]],tbEtapas[],3,FALSE),"")</f>
        <v>FUNDAMENTAL</v>
      </c>
      <c r="G226" t="s">
        <v>125</v>
      </c>
    </row>
    <row r="227" spans="1:7" x14ac:dyDescent="0.25">
      <c r="A227" s="24">
        <f>_xlfn.XLOOKUP(tbEscolas[[#This Row],[ESCOLA]],tbNucleo[ESCOLA],tbNucleo[COD ESCOLA],"")</f>
        <v>13</v>
      </c>
      <c r="B227" t="str" cm="1">
        <f t="array" ref="B227">IFERROR(INDEX(tbNucleo[ESCOLA],ROUNDUP(ROW(B226)/TotalEtapas,0)),"")</f>
        <v>E.E 12 DE OUTUBRO ANEXA CLARINOPOLIS</v>
      </c>
      <c r="C227" t="str">
        <f>IFERROR(VLOOKUP(B227,tbNucleo[],2,FALSE),"")</f>
        <v/>
      </c>
      <c r="D227" cm="1">
        <f t="array" ref="D227">IF(B227="","",INDEX(tbEtapas[Nº],MOD(ROW(B226)-1,TotalEtapas)+1))</f>
        <v>10</v>
      </c>
      <c r="E227" t="str">
        <f>IFERROR(VLOOKUP(tbEscolas[[#This Row],[COD ETPA]],tbEtapas[],2,FALSE),"")</f>
        <v>6º ANO</v>
      </c>
      <c r="F227" t="str">
        <f>IFERROR(VLOOKUP(tbEscolas[[#This Row],[COD ETPA]],tbEtapas[],3,FALSE),"")</f>
        <v>FUNDAMENTAL</v>
      </c>
      <c r="G227" t="s">
        <v>126</v>
      </c>
    </row>
    <row r="228" spans="1:7" x14ac:dyDescent="0.25">
      <c r="A228" s="24">
        <f>_xlfn.XLOOKUP(tbEscolas[[#This Row],[ESCOLA]],tbNucleo[ESCOLA],tbNucleo[COD ESCOLA],"")</f>
        <v>13</v>
      </c>
      <c r="B228" t="str" cm="1">
        <f t="array" ref="B228">IFERROR(INDEX(tbNucleo[ESCOLA],ROUNDUP(ROW(B227)/TotalEtapas,0)),"")</f>
        <v>E.E 12 DE OUTUBRO ANEXA CLARINOPOLIS</v>
      </c>
      <c r="C228" t="str">
        <f>IFERROR(VLOOKUP(B228,tbNucleo[],2,FALSE),"")</f>
        <v/>
      </c>
      <c r="D228" cm="1">
        <f t="array" ref="D228">IF(B228="","",INDEX(tbEtapas[Nº],MOD(ROW(B227)-1,TotalEtapas)+1))</f>
        <v>11</v>
      </c>
      <c r="E228" t="str">
        <f>IFERROR(VLOOKUP(tbEscolas[[#This Row],[COD ETPA]],tbEtapas[],2,FALSE),"")</f>
        <v>7º ANO</v>
      </c>
      <c r="F228" t="str">
        <f>IFERROR(VLOOKUP(tbEscolas[[#This Row],[COD ETPA]],tbEtapas[],3,FALSE),"")</f>
        <v>FUNDAMENTAL</v>
      </c>
      <c r="G228" t="s">
        <v>126</v>
      </c>
    </row>
    <row r="229" spans="1:7" x14ac:dyDescent="0.25">
      <c r="A229" s="24">
        <f>_xlfn.XLOOKUP(tbEscolas[[#This Row],[ESCOLA]],tbNucleo[ESCOLA],tbNucleo[COD ESCOLA],"")</f>
        <v>13</v>
      </c>
      <c r="B229" t="str" cm="1">
        <f t="array" ref="B229">IFERROR(INDEX(tbNucleo[ESCOLA],ROUNDUP(ROW(B228)/TotalEtapas,0)),"")</f>
        <v>E.E 12 DE OUTUBRO ANEXA CLARINOPOLIS</v>
      </c>
      <c r="C229" t="str">
        <f>IFERROR(VLOOKUP(B229,tbNucleo[],2,FALSE),"")</f>
        <v/>
      </c>
      <c r="D229" cm="1">
        <f t="array" ref="D229">IF(B229="","",INDEX(tbEtapas[Nº],MOD(ROW(B228)-1,TotalEtapas)+1))</f>
        <v>12</v>
      </c>
      <c r="E229" t="str">
        <f>IFERROR(VLOOKUP(tbEscolas[[#This Row],[COD ETPA]],tbEtapas[],2,FALSE),"")</f>
        <v>8º ANO</v>
      </c>
      <c r="F229" t="str">
        <f>IFERROR(VLOOKUP(tbEscolas[[#This Row],[COD ETPA]],tbEtapas[],3,FALSE),"")</f>
        <v>FUNDAMENTAL</v>
      </c>
      <c r="G229" t="s">
        <v>126</v>
      </c>
    </row>
    <row r="230" spans="1:7" x14ac:dyDescent="0.25">
      <c r="A230" s="24">
        <f>_xlfn.XLOOKUP(tbEscolas[[#This Row],[ESCOLA]],tbNucleo[ESCOLA],tbNucleo[COD ESCOLA],"")</f>
        <v>13</v>
      </c>
      <c r="B230" t="str" cm="1">
        <f t="array" ref="B230">IFERROR(INDEX(tbNucleo[ESCOLA],ROUNDUP(ROW(B229)/TotalEtapas,0)),"")</f>
        <v>E.E 12 DE OUTUBRO ANEXA CLARINOPOLIS</v>
      </c>
      <c r="C230" t="str">
        <f>IFERROR(VLOOKUP(B230,tbNucleo[],2,FALSE),"")</f>
        <v/>
      </c>
      <c r="D230" cm="1">
        <f t="array" ref="D230">IF(B230="","",INDEX(tbEtapas[Nº],MOD(ROW(B229)-1,TotalEtapas)+1))</f>
        <v>13</v>
      </c>
      <c r="E230" t="str">
        <f>IFERROR(VLOOKUP(tbEscolas[[#This Row],[COD ETPA]],tbEtapas[],2,FALSE),"")</f>
        <v>9º ANO</v>
      </c>
      <c r="F230" t="str">
        <f>IFERROR(VLOOKUP(tbEscolas[[#This Row],[COD ETPA]],tbEtapas[],3,FALSE),"")</f>
        <v>FUNDAMENTAL</v>
      </c>
      <c r="G230" t="s">
        <v>126</v>
      </c>
    </row>
    <row r="231" spans="1:7" x14ac:dyDescent="0.25">
      <c r="A231" s="24">
        <f>_xlfn.XLOOKUP(tbEscolas[[#This Row],[ESCOLA]],tbNucleo[ESCOLA],tbNucleo[COD ESCOLA],"")</f>
        <v>13</v>
      </c>
      <c r="B231" t="str" cm="1">
        <f t="array" ref="B231">IFERROR(INDEX(tbNucleo[ESCOLA],ROUNDUP(ROW(B230)/TotalEtapas,0)),"")</f>
        <v>E.E 12 DE OUTUBRO ANEXA CLARINOPOLIS</v>
      </c>
      <c r="C231" t="str">
        <f>IFERROR(VLOOKUP(B231,tbNucleo[],2,FALSE),"")</f>
        <v/>
      </c>
      <c r="D231" cm="1">
        <f t="array" ref="D231">IF(B231="","",INDEX(tbEtapas[Nº],MOD(ROW(B230)-1,TotalEtapas)+1))</f>
        <v>14</v>
      </c>
      <c r="E231" t="str">
        <f>IFERROR(VLOOKUP(tbEscolas[[#This Row],[COD ETPA]],tbEtapas[],2,FALSE),"")</f>
        <v>1º ANO</v>
      </c>
      <c r="F231" t="str">
        <f>IFERROR(VLOOKUP(tbEscolas[[#This Row],[COD ETPA]],tbEtapas[],3,FALSE),"")</f>
        <v>ENSINO MÉDIO</v>
      </c>
      <c r="G231" t="s">
        <v>126</v>
      </c>
    </row>
    <row r="232" spans="1:7" x14ac:dyDescent="0.25">
      <c r="A232" s="24">
        <f>_xlfn.XLOOKUP(tbEscolas[[#This Row],[ESCOLA]],tbNucleo[ESCOLA],tbNucleo[COD ESCOLA],"")</f>
        <v>13</v>
      </c>
      <c r="B232" t="str" cm="1">
        <f t="array" ref="B232">IFERROR(INDEX(tbNucleo[ESCOLA],ROUNDUP(ROW(B231)/TotalEtapas,0)),"")</f>
        <v>E.E 12 DE OUTUBRO ANEXA CLARINOPOLIS</v>
      </c>
      <c r="C232" t="str">
        <f>IFERROR(VLOOKUP(B232,tbNucleo[],2,FALSE),"")</f>
        <v/>
      </c>
      <c r="D232" cm="1">
        <f t="array" ref="D232">IF(B232="","",INDEX(tbEtapas[Nº],MOD(ROW(B231)-1,TotalEtapas)+1))</f>
        <v>15</v>
      </c>
      <c r="E232" t="str">
        <f>IFERROR(VLOOKUP(tbEscolas[[#This Row],[COD ETPA]],tbEtapas[],2,FALSE),"")</f>
        <v>2º ANO</v>
      </c>
      <c r="F232" t="str">
        <f>IFERROR(VLOOKUP(tbEscolas[[#This Row],[COD ETPA]],tbEtapas[],3,FALSE),"")</f>
        <v>ENSINO MÉDIO</v>
      </c>
      <c r="G232" t="s">
        <v>126</v>
      </c>
    </row>
    <row r="233" spans="1:7" x14ac:dyDescent="0.25">
      <c r="A233" s="24">
        <f>_xlfn.XLOOKUP(tbEscolas[[#This Row],[ESCOLA]],tbNucleo[ESCOLA],tbNucleo[COD ESCOLA],"")</f>
        <v>13</v>
      </c>
      <c r="B233" t="str" cm="1">
        <f t="array" ref="B233">IFERROR(INDEX(tbNucleo[ESCOLA],ROUNDUP(ROW(B232)/TotalEtapas,0)),"")</f>
        <v>E.E 12 DE OUTUBRO ANEXA CLARINOPOLIS</v>
      </c>
      <c r="C233" t="str">
        <f>IFERROR(VLOOKUP(B233,tbNucleo[],2,FALSE),"")</f>
        <v/>
      </c>
      <c r="D233" cm="1">
        <f t="array" ref="D233">IF(B233="","",INDEX(tbEtapas[Nº],MOD(ROW(B232)-1,TotalEtapas)+1))</f>
        <v>16</v>
      </c>
      <c r="E233" t="str">
        <f>IFERROR(VLOOKUP(tbEscolas[[#This Row],[COD ETPA]],tbEtapas[],2,FALSE),"")</f>
        <v>3º ANO</v>
      </c>
      <c r="F233" t="str">
        <f>IFERROR(VLOOKUP(tbEscolas[[#This Row],[COD ETPA]],tbEtapas[],3,FALSE),"")</f>
        <v>ENSINO MÉDIO</v>
      </c>
      <c r="G233" t="s">
        <v>126</v>
      </c>
    </row>
    <row r="234" spans="1:7" x14ac:dyDescent="0.25">
      <c r="A234" s="24">
        <f>_xlfn.XLOOKUP(tbEscolas[[#This Row],[ESCOLA]],tbNucleo[ESCOLA],tbNucleo[COD ESCOLA],"")</f>
        <v>13</v>
      </c>
      <c r="B234" t="str" cm="1">
        <f t="array" ref="B234">IFERROR(INDEX(tbNucleo[ESCOLA],ROUNDUP(ROW(B233)/TotalEtapas,0)),"")</f>
        <v>E.E 12 DE OUTUBRO ANEXA CLARINOPOLIS</v>
      </c>
      <c r="C234" t="str">
        <f>IFERROR(VLOOKUP(B234,tbNucleo[],2,FALSE),"")</f>
        <v/>
      </c>
      <c r="D234" cm="1">
        <f t="array" ref="D234">IF(B234="","",INDEX(tbEtapas[Nº],MOD(ROW(B233)-1,TotalEtapas)+1))</f>
        <v>17</v>
      </c>
      <c r="E234" t="str">
        <f>IFERROR(VLOOKUP(tbEscolas[[#This Row],[COD ETPA]],tbEtapas[],2,FALSE),"")</f>
        <v>EJA I</v>
      </c>
      <c r="F234" t="str">
        <f>IFERROR(VLOOKUP(tbEscolas[[#This Row],[COD ETPA]],tbEtapas[],3,FALSE),"")</f>
        <v>FUNDAMENTAL</v>
      </c>
      <c r="G234" t="s">
        <v>125</v>
      </c>
    </row>
    <row r="235" spans="1:7" x14ac:dyDescent="0.25">
      <c r="A235" s="24">
        <f>_xlfn.XLOOKUP(tbEscolas[[#This Row],[ESCOLA]],tbNucleo[ESCOLA],tbNucleo[COD ESCOLA],"")</f>
        <v>13</v>
      </c>
      <c r="B235" t="str" cm="1">
        <f t="array" ref="B235">IFERROR(INDEX(tbNucleo[ESCOLA],ROUNDUP(ROW(B234)/TotalEtapas,0)),"")</f>
        <v>E.E 12 DE OUTUBRO ANEXA CLARINOPOLIS</v>
      </c>
      <c r="C235" t="str">
        <f>IFERROR(VLOOKUP(B235,tbNucleo[],2,FALSE),"")</f>
        <v/>
      </c>
      <c r="D235" cm="1">
        <f t="array" ref="D235">IF(B235="","",INDEX(tbEtapas[Nº],MOD(ROW(B234)-1,TotalEtapas)+1))</f>
        <v>18</v>
      </c>
      <c r="E235" t="str">
        <f>IFERROR(VLOOKUP(tbEscolas[[#This Row],[COD ETPA]],tbEtapas[],2,FALSE),"")</f>
        <v>EJA II</v>
      </c>
      <c r="F235" t="str">
        <f>IFERROR(VLOOKUP(tbEscolas[[#This Row],[COD ETPA]],tbEtapas[],3,FALSE),"")</f>
        <v>ENSINO MÉDIO</v>
      </c>
      <c r="G235" t="s">
        <v>125</v>
      </c>
    </row>
    <row r="236" spans="1:7" x14ac:dyDescent="0.25">
      <c r="A236" s="24">
        <f>_xlfn.XLOOKUP(tbEscolas[[#This Row],[ESCOLA]],tbNucleo[ESCOLA],tbNucleo[COD ESCOLA],"")</f>
        <v>14</v>
      </c>
      <c r="B236" t="str" cm="1">
        <f t="array" ref="B236">IFERROR(INDEX(tbNucleo[ESCOLA],ROUNDUP(ROW(B235)/TotalEtapas,0)),"")</f>
        <v>E.E 12 DE OUTUBRO ANEXA ROÇA VELHA</v>
      </c>
      <c r="C236" t="str">
        <f>IFERROR(VLOOKUP(B236,tbNucleo[],2,FALSE),"")</f>
        <v/>
      </c>
      <c r="D236" cm="1">
        <f t="array" ref="D236">IF(B236="","",INDEX(tbEtapas[Nº],MOD(ROW(B235)-1,TotalEtapas)+1))</f>
        <v>1</v>
      </c>
      <c r="E236" t="str">
        <f>IFERROR(VLOOKUP(tbEscolas[[#This Row],[COD ETPA]],tbEtapas[],2,FALSE),"")</f>
        <v>CRECHE I</v>
      </c>
      <c r="F236" t="str">
        <f>IFERROR(VLOOKUP(tbEscolas[[#This Row],[COD ETPA]],tbEtapas[],3,FALSE),"")</f>
        <v>EDUCAÇÃO INFANTIL</v>
      </c>
      <c r="G236" t="s">
        <v>125</v>
      </c>
    </row>
    <row r="237" spans="1:7" x14ac:dyDescent="0.25">
      <c r="A237" s="24">
        <f>_xlfn.XLOOKUP(tbEscolas[[#This Row],[ESCOLA]],tbNucleo[ESCOLA],tbNucleo[COD ESCOLA],"")</f>
        <v>14</v>
      </c>
      <c r="B237" t="str" cm="1">
        <f t="array" ref="B237">IFERROR(INDEX(tbNucleo[ESCOLA],ROUNDUP(ROW(B236)/TotalEtapas,0)),"")</f>
        <v>E.E 12 DE OUTUBRO ANEXA ROÇA VELHA</v>
      </c>
      <c r="C237" t="str">
        <f>IFERROR(VLOOKUP(B237,tbNucleo[],2,FALSE),"")</f>
        <v/>
      </c>
      <c r="D237" cm="1">
        <f t="array" ref="D237">IF(B237="","",INDEX(tbEtapas[Nº],MOD(ROW(B236)-1,TotalEtapas)+1))</f>
        <v>2</v>
      </c>
      <c r="E237" t="str">
        <f>IFERROR(VLOOKUP(tbEscolas[[#This Row],[COD ETPA]],tbEtapas[],2,FALSE),"")</f>
        <v>CRECHE II</v>
      </c>
      <c r="F237" t="str">
        <f>IFERROR(VLOOKUP(tbEscolas[[#This Row],[COD ETPA]],tbEtapas[],3,FALSE),"")</f>
        <v>EDUCAÇÃO INFANTIL</v>
      </c>
      <c r="G237" t="s">
        <v>125</v>
      </c>
    </row>
    <row r="238" spans="1:7" x14ac:dyDescent="0.25">
      <c r="A238" s="24">
        <f>_xlfn.XLOOKUP(tbEscolas[[#This Row],[ESCOLA]],tbNucleo[ESCOLA],tbNucleo[COD ESCOLA],"")</f>
        <v>14</v>
      </c>
      <c r="B238" t="str" cm="1">
        <f t="array" ref="B238">IFERROR(INDEX(tbNucleo[ESCOLA],ROUNDUP(ROW(B237)/TotalEtapas,0)),"")</f>
        <v>E.E 12 DE OUTUBRO ANEXA ROÇA VELHA</v>
      </c>
      <c r="C238" t="str">
        <f>IFERROR(VLOOKUP(B238,tbNucleo[],2,FALSE),"")</f>
        <v/>
      </c>
      <c r="D238" cm="1">
        <f t="array" ref="D238">IF(B238="","",INDEX(tbEtapas[Nº],MOD(ROW(B237)-1,TotalEtapas)+1))</f>
        <v>3</v>
      </c>
      <c r="E238" t="str">
        <f>IFERROR(VLOOKUP(tbEscolas[[#This Row],[COD ETPA]],tbEtapas[],2,FALSE),"")</f>
        <v>PRE I</v>
      </c>
      <c r="F238" t="str">
        <f>IFERROR(VLOOKUP(tbEscolas[[#This Row],[COD ETPA]],tbEtapas[],3,FALSE),"")</f>
        <v>EDUCAÇÃO INFANTIL</v>
      </c>
      <c r="G238" t="s">
        <v>126</v>
      </c>
    </row>
    <row r="239" spans="1:7" x14ac:dyDescent="0.25">
      <c r="A239" s="24">
        <f>_xlfn.XLOOKUP(tbEscolas[[#This Row],[ESCOLA]],tbNucleo[ESCOLA],tbNucleo[COD ESCOLA],"")</f>
        <v>14</v>
      </c>
      <c r="B239" t="str" cm="1">
        <f t="array" ref="B239">IFERROR(INDEX(tbNucleo[ESCOLA],ROUNDUP(ROW(B238)/TotalEtapas,0)),"")</f>
        <v>E.E 12 DE OUTUBRO ANEXA ROÇA VELHA</v>
      </c>
      <c r="C239" t="str">
        <f>IFERROR(VLOOKUP(B239,tbNucleo[],2,FALSE),"")</f>
        <v/>
      </c>
      <c r="D239" cm="1">
        <f t="array" ref="D239">IF(B239="","",INDEX(tbEtapas[Nº],MOD(ROW(B238)-1,TotalEtapas)+1))</f>
        <v>4</v>
      </c>
      <c r="E239" t="str">
        <f>IFERROR(VLOOKUP(tbEscolas[[#This Row],[COD ETPA]],tbEtapas[],2,FALSE),"")</f>
        <v>PRE II</v>
      </c>
      <c r="F239" t="str">
        <f>IFERROR(VLOOKUP(tbEscolas[[#This Row],[COD ETPA]],tbEtapas[],3,FALSE),"")</f>
        <v>EDUCAÇÃO INFANTIL</v>
      </c>
      <c r="G239" t="s">
        <v>126</v>
      </c>
    </row>
    <row r="240" spans="1:7" x14ac:dyDescent="0.25">
      <c r="A240" s="24">
        <f>_xlfn.XLOOKUP(tbEscolas[[#This Row],[ESCOLA]],tbNucleo[ESCOLA],tbNucleo[COD ESCOLA],"")</f>
        <v>14</v>
      </c>
      <c r="B240" t="str" cm="1">
        <f t="array" ref="B240">IFERROR(INDEX(tbNucleo[ESCOLA],ROUNDUP(ROW(B239)/TotalEtapas,0)),"")</f>
        <v>E.E 12 DE OUTUBRO ANEXA ROÇA VELHA</v>
      </c>
      <c r="C240" t="str">
        <f>IFERROR(VLOOKUP(B240,tbNucleo[],2,FALSE),"")</f>
        <v/>
      </c>
      <c r="D240" cm="1">
        <f t="array" ref="D240">IF(B240="","",INDEX(tbEtapas[Nº],MOD(ROW(B239)-1,TotalEtapas)+1))</f>
        <v>5</v>
      </c>
      <c r="E240" t="str">
        <f>IFERROR(VLOOKUP(tbEscolas[[#This Row],[COD ETPA]],tbEtapas[],2,FALSE),"")</f>
        <v>1º ANO</v>
      </c>
      <c r="F240" t="str">
        <f>IFERROR(VLOOKUP(tbEscolas[[#This Row],[COD ETPA]],tbEtapas[],3,FALSE),"")</f>
        <v>FUNDAMENTAL</v>
      </c>
      <c r="G240" t="s">
        <v>126</v>
      </c>
    </row>
    <row r="241" spans="1:7" x14ac:dyDescent="0.25">
      <c r="A241" s="24">
        <f>_xlfn.XLOOKUP(tbEscolas[[#This Row],[ESCOLA]],tbNucleo[ESCOLA],tbNucleo[COD ESCOLA],"")</f>
        <v>14</v>
      </c>
      <c r="B241" t="str" cm="1">
        <f t="array" ref="B241">IFERROR(INDEX(tbNucleo[ESCOLA],ROUNDUP(ROW(B240)/TotalEtapas,0)),"")</f>
        <v>E.E 12 DE OUTUBRO ANEXA ROÇA VELHA</v>
      </c>
      <c r="C241" t="str">
        <f>IFERROR(VLOOKUP(B241,tbNucleo[],2,FALSE),"")</f>
        <v/>
      </c>
      <c r="D241" cm="1">
        <f t="array" ref="D241">IF(B241="","",INDEX(tbEtapas[Nº],MOD(ROW(B240)-1,TotalEtapas)+1))</f>
        <v>6</v>
      </c>
      <c r="E241" t="str">
        <f>IFERROR(VLOOKUP(tbEscolas[[#This Row],[COD ETPA]],tbEtapas[],2,FALSE),"")</f>
        <v>2º ANO</v>
      </c>
      <c r="F241" t="str">
        <f>IFERROR(VLOOKUP(tbEscolas[[#This Row],[COD ETPA]],tbEtapas[],3,FALSE),"")</f>
        <v>FUNDAMENTAL</v>
      </c>
      <c r="G241" t="s">
        <v>126</v>
      </c>
    </row>
    <row r="242" spans="1:7" x14ac:dyDescent="0.25">
      <c r="A242" s="24">
        <f>_xlfn.XLOOKUP(tbEscolas[[#This Row],[ESCOLA]],tbNucleo[ESCOLA],tbNucleo[COD ESCOLA],"")</f>
        <v>14</v>
      </c>
      <c r="B242" t="str" cm="1">
        <f t="array" ref="B242">IFERROR(INDEX(tbNucleo[ESCOLA],ROUNDUP(ROW(B241)/TotalEtapas,0)),"")</f>
        <v>E.E 12 DE OUTUBRO ANEXA ROÇA VELHA</v>
      </c>
      <c r="C242" t="str">
        <f>IFERROR(VLOOKUP(B242,tbNucleo[],2,FALSE),"")</f>
        <v/>
      </c>
      <c r="D242" cm="1">
        <f t="array" ref="D242">IF(B242="","",INDEX(tbEtapas[Nº],MOD(ROW(B241)-1,TotalEtapas)+1))</f>
        <v>7</v>
      </c>
      <c r="E242" t="str">
        <f>IFERROR(VLOOKUP(tbEscolas[[#This Row],[COD ETPA]],tbEtapas[],2,FALSE),"")</f>
        <v>3º ANO</v>
      </c>
      <c r="F242" t="str">
        <f>IFERROR(VLOOKUP(tbEscolas[[#This Row],[COD ETPA]],tbEtapas[],3,FALSE),"")</f>
        <v>FUNDAMENTAL</v>
      </c>
      <c r="G242" t="s">
        <v>126</v>
      </c>
    </row>
    <row r="243" spans="1:7" x14ac:dyDescent="0.25">
      <c r="A243" s="24">
        <f>_xlfn.XLOOKUP(tbEscolas[[#This Row],[ESCOLA]],tbNucleo[ESCOLA],tbNucleo[COD ESCOLA],"")</f>
        <v>14</v>
      </c>
      <c r="B243" t="str" cm="1">
        <f t="array" ref="B243">IFERROR(INDEX(tbNucleo[ESCOLA],ROUNDUP(ROW(B242)/TotalEtapas,0)),"")</f>
        <v>E.E 12 DE OUTUBRO ANEXA ROÇA VELHA</v>
      </c>
      <c r="C243" t="str">
        <f>IFERROR(VLOOKUP(B243,tbNucleo[],2,FALSE),"")</f>
        <v/>
      </c>
      <c r="D243" cm="1">
        <f t="array" ref="D243">IF(B243="","",INDEX(tbEtapas[Nº],MOD(ROW(B242)-1,TotalEtapas)+1))</f>
        <v>8</v>
      </c>
      <c r="E243" t="str">
        <f>IFERROR(VLOOKUP(tbEscolas[[#This Row],[COD ETPA]],tbEtapas[],2,FALSE),"")</f>
        <v>4º ANO</v>
      </c>
      <c r="F243" t="str">
        <f>IFERROR(VLOOKUP(tbEscolas[[#This Row],[COD ETPA]],tbEtapas[],3,FALSE),"")</f>
        <v>FUNDAMENTAL</v>
      </c>
      <c r="G243" t="s">
        <v>126</v>
      </c>
    </row>
    <row r="244" spans="1:7" x14ac:dyDescent="0.25">
      <c r="A244" s="24">
        <f>_xlfn.XLOOKUP(tbEscolas[[#This Row],[ESCOLA]],tbNucleo[ESCOLA],tbNucleo[COD ESCOLA],"")</f>
        <v>14</v>
      </c>
      <c r="B244" t="str" cm="1">
        <f t="array" ref="B244">IFERROR(INDEX(tbNucleo[ESCOLA],ROUNDUP(ROW(B243)/TotalEtapas,0)),"")</f>
        <v>E.E 12 DE OUTUBRO ANEXA ROÇA VELHA</v>
      </c>
      <c r="C244" t="str">
        <f>IFERROR(VLOOKUP(B244,tbNucleo[],2,FALSE),"")</f>
        <v/>
      </c>
      <c r="D244" cm="1">
        <f t="array" ref="D244">IF(B244="","",INDEX(tbEtapas[Nº],MOD(ROW(B243)-1,TotalEtapas)+1))</f>
        <v>9</v>
      </c>
      <c r="E244" t="str">
        <f>IFERROR(VLOOKUP(tbEscolas[[#This Row],[COD ETPA]],tbEtapas[],2,FALSE),"")</f>
        <v>5º ANO</v>
      </c>
      <c r="F244" t="str">
        <f>IFERROR(VLOOKUP(tbEscolas[[#This Row],[COD ETPA]],tbEtapas[],3,FALSE),"")</f>
        <v>FUNDAMENTAL</v>
      </c>
      <c r="G244" t="s">
        <v>126</v>
      </c>
    </row>
    <row r="245" spans="1:7" x14ac:dyDescent="0.25">
      <c r="A245" s="24">
        <f>_xlfn.XLOOKUP(tbEscolas[[#This Row],[ESCOLA]],tbNucleo[ESCOLA],tbNucleo[COD ESCOLA],"")</f>
        <v>14</v>
      </c>
      <c r="B245" t="str" cm="1">
        <f t="array" ref="B245">IFERROR(INDEX(tbNucleo[ESCOLA],ROUNDUP(ROW(B244)/TotalEtapas,0)),"")</f>
        <v>E.E 12 DE OUTUBRO ANEXA ROÇA VELHA</v>
      </c>
      <c r="C245" t="str">
        <f>IFERROR(VLOOKUP(B245,tbNucleo[],2,FALSE),"")</f>
        <v/>
      </c>
      <c r="D245" cm="1">
        <f t="array" ref="D245">IF(B245="","",INDEX(tbEtapas[Nº],MOD(ROW(B244)-1,TotalEtapas)+1))</f>
        <v>10</v>
      </c>
      <c r="E245" t="str">
        <f>IFERROR(VLOOKUP(tbEscolas[[#This Row],[COD ETPA]],tbEtapas[],2,FALSE),"")</f>
        <v>6º ANO</v>
      </c>
      <c r="F245" t="str">
        <f>IFERROR(VLOOKUP(tbEscolas[[#This Row],[COD ETPA]],tbEtapas[],3,FALSE),"")</f>
        <v>FUNDAMENTAL</v>
      </c>
      <c r="G245" t="s">
        <v>125</v>
      </c>
    </row>
    <row r="246" spans="1:7" x14ac:dyDescent="0.25">
      <c r="A246" s="24">
        <f>_xlfn.XLOOKUP(tbEscolas[[#This Row],[ESCOLA]],tbNucleo[ESCOLA],tbNucleo[COD ESCOLA],"")</f>
        <v>14</v>
      </c>
      <c r="B246" t="str" cm="1">
        <f t="array" ref="B246">IFERROR(INDEX(tbNucleo[ESCOLA],ROUNDUP(ROW(B245)/TotalEtapas,0)),"")</f>
        <v>E.E 12 DE OUTUBRO ANEXA ROÇA VELHA</v>
      </c>
      <c r="C246" t="str">
        <f>IFERROR(VLOOKUP(B246,tbNucleo[],2,FALSE),"")</f>
        <v/>
      </c>
      <c r="D246" cm="1">
        <f t="array" ref="D246">IF(B246="","",INDEX(tbEtapas[Nº],MOD(ROW(B245)-1,TotalEtapas)+1))</f>
        <v>11</v>
      </c>
      <c r="E246" t="str">
        <f>IFERROR(VLOOKUP(tbEscolas[[#This Row],[COD ETPA]],tbEtapas[],2,FALSE),"")</f>
        <v>7º ANO</v>
      </c>
      <c r="F246" t="str">
        <f>IFERROR(VLOOKUP(tbEscolas[[#This Row],[COD ETPA]],tbEtapas[],3,FALSE),"")</f>
        <v>FUNDAMENTAL</v>
      </c>
      <c r="G246" t="s">
        <v>125</v>
      </c>
    </row>
    <row r="247" spans="1:7" x14ac:dyDescent="0.25">
      <c r="A247" s="24">
        <f>_xlfn.XLOOKUP(tbEscolas[[#This Row],[ESCOLA]],tbNucleo[ESCOLA],tbNucleo[COD ESCOLA],"")</f>
        <v>14</v>
      </c>
      <c r="B247" t="str" cm="1">
        <f t="array" ref="B247">IFERROR(INDEX(tbNucleo[ESCOLA],ROUNDUP(ROW(B246)/TotalEtapas,0)),"")</f>
        <v>E.E 12 DE OUTUBRO ANEXA ROÇA VELHA</v>
      </c>
      <c r="C247" t="str">
        <f>IFERROR(VLOOKUP(B247,tbNucleo[],2,FALSE),"")</f>
        <v/>
      </c>
      <c r="D247" cm="1">
        <f t="array" ref="D247">IF(B247="","",INDEX(tbEtapas[Nº],MOD(ROW(B246)-1,TotalEtapas)+1))</f>
        <v>12</v>
      </c>
      <c r="E247" t="str">
        <f>IFERROR(VLOOKUP(tbEscolas[[#This Row],[COD ETPA]],tbEtapas[],2,FALSE),"")</f>
        <v>8º ANO</v>
      </c>
      <c r="F247" t="str">
        <f>IFERROR(VLOOKUP(tbEscolas[[#This Row],[COD ETPA]],tbEtapas[],3,FALSE),"")</f>
        <v>FUNDAMENTAL</v>
      </c>
      <c r="G247" t="s">
        <v>125</v>
      </c>
    </row>
    <row r="248" spans="1:7" x14ac:dyDescent="0.25">
      <c r="A248" s="24">
        <f>_xlfn.XLOOKUP(tbEscolas[[#This Row],[ESCOLA]],tbNucleo[ESCOLA],tbNucleo[COD ESCOLA],"")</f>
        <v>14</v>
      </c>
      <c r="B248" t="str" cm="1">
        <f t="array" ref="B248">IFERROR(INDEX(tbNucleo[ESCOLA],ROUNDUP(ROW(B247)/TotalEtapas,0)),"")</f>
        <v>E.E 12 DE OUTUBRO ANEXA ROÇA VELHA</v>
      </c>
      <c r="C248" t="str">
        <f>IFERROR(VLOOKUP(B248,tbNucleo[],2,FALSE),"")</f>
        <v/>
      </c>
      <c r="D248" cm="1">
        <f t="array" ref="D248">IF(B248="","",INDEX(tbEtapas[Nº],MOD(ROW(B247)-1,TotalEtapas)+1))</f>
        <v>13</v>
      </c>
      <c r="E248" t="str">
        <f>IFERROR(VLOOKUP(tbEscolas[[#This Row],[COD ETPA]],tbEtapas[],2,FALSE),"")</f>
        <v>9º ANO</v>
      </c>
      <c r="F248" t="str">
        <f>IFERROR(VLOOKUP(tbEscolas[[#This Row],[COD ETPA]],tbEtapas[],3,FALSE),"")</f>
        <v>FUNDAMENTAL</v>
      </c>
      <c r="G248" t="s">
        <v>125</v>
      </c>
    </row>
    <row r="249" spans="1:7" x14ac:dyDescent="0.25">
      <c r="A249" s="24">
        <f>_xlfn.XLOOKUP(tbEscolas[[#This Row],[ESCOLA]],tbNucleo[ESCOLA],tbNucleo[COD ESCOLA],"")</f>
        <v>14</v>
      </c>
      <c r="B249" t="str" cm="1">
        <f t="array" ref="B249">IFERROR(INDEX(tbNucleo[ESCOLA],ROUNDUP(ROW(B248)/TotalEtapas,0)),"")</f>
        <v>E.E 12 DE OUTUBRO ANEXA ROÇA VELHA</v>
      </c>
      <c r="C249" t="str">
        <f>IFERROR(VLOOKUP(B249,tbNucleo[],2,FALSE),"")</f>
        <v/>
      </c>
      <c r="D249" cm="1">
        <f t="array" ref="D249">IF(B249="","",INDEX(tbEtapas[Nº],MOD(ROW(B248)-1,TotalEtapas)+1))</f>
        <v>14</v>
      </c>
      <c r="E249" t="str">
        <f>IFERROR(VLOOKUP(tbEscolas[[#This Row],[COD ETPA]],tbEtapas[],2,FALSE),"")</f>
        <v>1º ANO</v>
      </c>
      <c r="F249" t="str">
        <f>IFERROR(VLOOKUP(tbEscolas[[#This Row],[COD ETPA]],tbEtapas[],3,FALSE),"")</f>
        <v>ENSINO MÉDIO</v>
      </c>
      <c r="G249" t="s">
        <v>125</v>
      </c>
    </row>
    <row r="250" spans="1:7" x14ac:dyDescent="0.25">
      <c r="A250" s="24">
        <f>_xlfn.XLOOKUP(tbEscolas[[#This Row],[ESCOLA]],tbNucleo[ESCOLA],tbNucleo[COD ESCOLA],"")</f>
        <v>14</v>
      </c>
      <c r="B250" t="str" cm="1">
        <f t="array" ref="B250">IFERROR(INDEX(tbNucleo[ESCOLA],ROUNDUP(ROW(B249)/TotalEtapas,0)),"")</f>
        <v>E.E 12 DE OUTUBRO ANEXA ROÇA VELHA</v>
      </c>
      <c r="C250" t="str">
        <f>IFERROR(VLOOKUP(B250,tbNucleo[],2,FALSE),"")</f>
        <v/>
      </c>
      <c r="D250" cm="1">
        <f t="array" ref="D250">IF(B250="","",INDEX(tbEtapas[Nº],MOD(ROW(B249)-1,TotalEtapas)+1))</f>
        <v>15</v>
      </c>
      <c r="E250" t="str">
        <f>IFERROR(VLOOKUP(tbEscolas[[#This Row],[COD ETPA]],tbEtapas[],2,FALSE),"")</f>
        <v>2º ANO</v>
      </c>
      <c r="F250" t="str">
        <f>IFERROR(VLOOKUP(tbEscolas[[#This Row],[COD ETPA]],tbEtapas[],3,FALSE),"")</f>
        <v>ENSINO MÉDIO</v>
      </c>
      <c r="G250" t="s">
        <v>125</v>
      </c>
    </row>
    <row r="251" spans="1:7" x14ac:dyDescent="0.25">
      <c r="A251" s="24">
        <f>_xlfn.XLOOKUP(tbEscolas[[#This Row],[ESCOLA]],tbNucleo[ESCOLA],tbNucleo[COD ESCOLA],"")</f>
        <v>14</v>
      </c>
      <c r="B251" t="str" cm="1">
        <f t="array" ref="B251">IFERROR(INDEX(tbNucleo[ESCOLA],ROUNDUP(ROW(B250)/TotalEtapas,0)),"")</f>
        <v>E.E 12 DE OUTUBRO ANEXA ROÇA VELHA</v>
      </c>
      <c r="C251" t="str">
        <f>IFERROR(VLOOKUP(B251,tbNucleo[],2,FALSE),"")</f>
        <v/>
      </c>
      <c r="D251" cm="1">
        <f t="array" ref="D251">IF(B251="","",INDEX(tbEtapas[Nº],MOD(ROW(B250)-1,TotalEtapas)+1))</f>
        <v>16</v>
      </c>
      <c r="E251" t="str">
        <f>IFERROR(VLOOKUP(tbEscolas[[#This Row],[COD ETPA]],tbEtapas[],2,FALSE),"")</f>
        <v>3º ANO</v>
      </c>
      <c r="F251" t="str">
        <f>IFERROR(VLOOKUP(tbEscolas[[#This Row],[COD ETPA]],tbEtapas[],3,FALSE),"")</f>
        <v>ENSINO MÉDIO</v>
      </c>
      <c r="G251" t="s">
        <v>125</v>
      </c>
    </row>
    <row r="252" spans="1:7" x14ac:dyDescent="0.25">
      <c r="A252" s="24">
        <f>_xlfn.XLOOKUP(tbEscolas[[#This Row],[ESCOLA]],tbNucleo[ESCOLA],tbNucleo[COD ESCOLA],"")</f>
        <v>14</v>
      </c>
      <c r="B252" t="str" cm="1">
        <f t="array" ref="B252">IFERROR(INDEX(tbNucleo[ESCOLA],ROUNDUP(ROW(B251)/TotalEtapas,0)),"")</f>
        <v>E.E 12 DE OUTUBRO ANEXA ROÇA VELHA</v>
      </c>
      <c r="C252" t="str">
        <f>IFERROR(VLOOKUP(B252,tbNucleo[],2,FALSE),"")</f>
        <v/>
      </c>
      <c r="D252" cm="1">
        <f t="array" ref="D252">IF(B252="","",INDEX(tbEtapas[Nº],MOD(ROW(B251)-1,TotalEtapas)+1))</f>
        <v>17</v>
      </c>
      <c r="E252" t="str">
        <f>IFERROR(VLOOKUP(tbEscolas[[#This Row],[COD ETPA]],tbEtapas[],2,FALSE),"")</f>
        <v>EJA I</v>
      </c>
      <c r="F252" t="str">
        <f>IFERROR(VLOOKUP(tbEscolas[[#This Row],[COD ETPA]],tbEtapas[],3,FALSE),"")</f>
        <v>FUNDAMENTAL</v>
      </c>
      <c r="G252" t="s">
        <v>125</v>
      </c>
    </row>
    <row r="253" spans="1:7" x14ac:dyDescent="0.25">
      <c r="A253" s="24">
        <f>_xlfn.XLOOKUP(tbEscolas[[#This Row],[ESCOLA]],tbNucleo[ESCOLA],tbNucleo[COD ESCOLA],"")</f>
        <v>14</v>
      </c>
      <c r="B253" t="str" cm="1">
        <f t="array" ref="B253">IFERROR(INDEX(tbNucleo[ESCOLA],ROUNDUP(ROW(B252)/TotalEtapas,0)),"")</f>
        <v>E.E 12 DE OUTUBRO ANEXA ROÇA VELHA</v>
      </c>
      <c r="C253" t="str">
        <f>IFERROR(VLOOKUP(B253,tbNucleo[],2,FALSE),"")</f>
        <v/>
      </c>
      <c r="D253" cm="1">
        <f t="array" ref="D253">IF(B253="","",INDEX(tbEtapas[Nº],MOD(ROW(B252)-1,TotalEtapas)+1))</f>
        <v>18</v>
      </c>
      <c r="E253" t="str">
        <f>IFERROR(VLOOKUP(tbEscolas[[#This Row],[COD ETPA]],tbEtapas[],2,FALSE),"")</f>
        <v>EJA II</v>
      </c>
      <c r="F253" t="str">
        <f>IFERROR(VLOOKUP(tbEscolas[[#This Row],[COD ETPA]],tbEtapas[],3,FALSE),"")</f>
        <v>ENSINO MÉDIO</v>
      </c>
      <c r="G253" t="s">
        <v>125</v>
      </c>
    </row>
    <row r="254" spans="1:7" x14ac:dyDescent="0.25">
      <c r="A254" s="24">
        <f>_xlfn.XLOOKUP(tbEscolas[[#This Row],[ESCOLA]],tbNucleo[ESCOLA],tbNucleo[COD ESCOLA],"")</f>
        <v>15</v>
      </c>
      <c r="B254" t="str" cm="1">
        <f t="array" ref="B254">IFERROR(INDEX(tbNucleo[ESCOLA],ROUNDUP(ROW(B253)/TotalEtapas,0)),"")</f>
        <v>E.E 12 DE OUTUBRO ANEXA SAPIQUÁ</v>
      </c>
      <c r="C254" t="str">
        <f>IFERROR(VLOOKUP(B254,tbNucleo[],2,FALSE),"")</f>
        <v/>
      </c>
      <c r="D254" cm="1">
        <f t="array" ref="D254">IF(B254="","",INDEX(tbEtapas[Nº],MOD(ROW(B253)-1,TotalEtapas)+1))</f>
        <v>1</v>
      </c>
      <c r="E254" t="str">
        <f>IFERROR(VLOOKUP(tbEscolas[[#This Row],[COD ETPA]],tbEtapas[],2,FALSE),"")</f>
        <v>CRECHE I</v>
      </c>
      <c r="F254" t="str">
        <f>IFERROR(VLOOKUP(tbEscolas[[#This Row],[COD ETPA]],tbEtapas[],3,FALSE),"")</f>
        <v>EDUCAÇÃO INFANTIL</v>
      </c>
      <c r="G254" t="s">
        <v>125</v>
      </c>
    </row>
    <row r="255" spans="1:7" x14ac:dyDescent="0.25">
      <c r="A255" s="24">
        <f>_xlfn.XLOOKUP(tbEscolas[[#This Row],[ESCOLA]],tbNucleo[ESCOLA],tbNucleo[COD ESCOLA],"")</f>
        <v>15</v>
      </c>
      <c r="B255" t="str" cm="1">
        <f t="array" ref="B255">IFERROR(INDEX(tbNucleo[ESCOLA],ROUNDUP(ROW(B254)/TotalEtapas,0)),"")</f>
        <v>E.E 12 DE OUTUBRO ANEXA SAPIQUÁ</v>
      </c>
      <c r="C255" t="str">
        <f>IFERROR(VLOOKUP(B255,tbNucleo[],2,FALSE),"")</f>
        <v/>
      </c>
      <c r="D255" cm="1">
        <f t="array" ref="D255">IF(B255="","",INDEX(tbEtapas[Nº],MOD(ROW(B254)-1,TotalEtapas)+1))</f>
        <v>2</v>
      </c>
      <c r="E255" t="str">
        <f>IFERROR(VLOOKUP(tbEscolas[[#This Row],[COD ETPA]],tbEtapas[],2,FALSE),"")</f>
        <v>CRECHE II</v>
      </c>
      <c r="F255" t="str">
        <f>IFERROR(VLOOKUP(tbEscolas[[#This Row],[COD ETPA]],tbEtapas[],3,FALSE),"")</f>
        <v>EDUCAÇÃO INFANTIL</v>
      </c>
      <c r="G255" t="s">
        <v>125</v>
      </c>
    </row>
    <row r="256" spans="1:7" x14ac:dyDescent="0.25">
      <c r="A256" s="24">
        <f>_xlfn.XLOOKUP(tbEscolas[[#This Row],[ESCOLA]],tbNucleo[ESCOLA],tbNucleo[COD ESCOLA],"")</f>
        <v>15</v>
      </c>
      <c r="B256" t="str" cm="1">
        <f t="array" ref="B256">IFERROR(INDEX(tbNucleo[ESCOLA],ROUNDUP(ROW(B255)/TotalEtapas,0)),"")</f>
        <v>E.E 12 DE OUTUBRO ANEXA SAPIQUÁ</v>
      </c>
      <c r="C256" t="str">
        <f>IFERROR(VLOOKUP(B256,tbNucleo[],2,FALSE),"")</f>
        <v/>
      </c>
      <c r="D256" cm="1">
        <f t="array" ref="D256">IF(B256="","",INDEX(tbEtapas[Nº],MOD(ROW(B255)-1,TotalEtapas)+1))</f>
        <v>3</v>
      </c>
      <c r="E256" t="str">
        <f>IFERROR(VLOOKUP(tbEscolas[[#This Row],[COD ETPA]],tbEtapas[],2,FALSE),"")</f>
        <v>PRE I</v>
      </c>
      <c r="F256" t="str">
        <f>IFERROR(VLOOKUP(tbEscolas[[#This Row],[COD ETPA]],tbEtapas[],3,FALSE),"")</f>
        <v>EDUCAÇÃO INFANTIL</v>
      </c>
      <c r="G256" t="s">
        <v>125</v>
      </c>
    </row>
    <row r="257" spans="1:7" x14ac:dyDescent="0.25">
      <c r="A257" s="24">
        <f>_xlfn.XLOOKUP(tbEscolas[[#This Row],[ESCOLA]],tbNucleo[ESCOLA],tbNucleo[COD ESCOLA],"")</f>
        <v>15</v>
      </c>
      <c r="B257" t="str" cm="1">
        <f t="array" ref="B257">IFERROR(INDEX(tbNucleo[ESCOLA],ROUNDUP(ROW(B256)/TotalEtapas,0)),"")</f>
        <v>E.E 12 DE OUTUBRO ANEXA SAPIQUÁ</v>
      </c>
      <c r="C257" t="str">
        <f>IFERROR(VLOOKUP(B257,tbNucleo[],2,FALSE),"")</f>
        <v/>
      </c>
      <c r="D257" cm="1">
        <f t="array" ref="D257">IF(B257="","",INDEX(tbEtapas[Nº],MOD(ROW(B256)-1,TotalEtapas)+1))</f>
        <v>4</v>
      </c>
      <c r="E257" t="str">
        <f>IFERROR(VLOOKUP(tbEscolas[[#This Row],[COD ETPA]],tbEtapas[],2,FALSE),"")</f>
        <v>PRE II</v>
      </c>
      <c r="F257" t="str">
        <f>IFERROR(VLOOKUP(tbEscolas[[#This Row],[COD ETPA]],tbEtapas[],3,FALSE),"")</f>
        <v>EDUCAÇÃO INFANTIL</v>
      </c>
      <c r="G257" t="s">
        <v>125</v>
      </c>
    </row>
    <row r="258" spans="1:7" x14ac:dyDescent="0.25">
      <c r="A258" s="24">
        <f>_xlfn.XLOOKUP(tbEscolas[[#This Row],[ESCOLA]],tbNucleo[ESCOLA],tbNucleo[COD ESCOLA],"")</f>
        <v>15</v>
      </c>
      <c r="B258" t="str" cm="1">
        <f t="array" ref="B258">IFERROR(INDEX(tbNucleo[ESCOLA],ROUNDUP(ROW(B257)/TotalEtapas,0)),"")</f>
        <v>E.E 12 DE OUTUBRO ANEXA SAPIQUÁ</v>
      </c>
      <c r="C258" t="str">
        <f>IFERROR(VLOOKUP(B258,tbNucleo[],2,FALSE),"")</f>
        <v/>
      </c>
      <c r="D258" cm="1">
        <f t="array" ref="D258">IF(B258="","",INDEX(tbEtapas[Nº],MOD(ROW(B257)-1,TotalEtapas)+1))</f>
        <v>5</v>
      </c>
      <c r="E258" t="str">
        <f>IFERROR(VLOOKUP(tbEscolas[[#This Row],[COD ETPA]],tbEtapas[],2,FALSE),"")</f>
        <v>1º ANO</v>
      </c>
      <c r="F258" t="str">
        <f>IFERROR(VLOOKUP(tbEscolas[[#This Row],[COD ETPA]],tbEtapas[],3,FALSE),"")</f>
        <v>FUNDAMENTAL</v>
      </c>
      <c r="G258" t="s">
        <v>126</v>
      </c>
    </row>
    <row r="259" spans="1:7" x14ac:dyDescent="0.25">
      <c r="A259" s="24">
        <f>_xlfn.XLOOKUP(tbEscolas[[#This Row],[ESCOLA]],tbNucleo[ESCOLA],tbNucleo[COD ESCOLA],"")</f>
        <v>15</v>
      </c>
      <c r="B259" t="str" cm="1">
        <f t="array" ref="B259">IFERROR(INDEX(tbNucleo[ESCOLA],ROUNDUP(ROW(B258)/TotalEtapas,0)),"")</f>
        <v>E.E 12 DE OUTUBRO ANEXA SAPIQUÁ</v>
      </c>
      <c r="C259" t="str">
        <f>IFERROR(VLOOKUP(B259,tbNucleo[],2,FALSE),"")</f>
        <v/>
      </c>
      <c r="D259" cm="1">
        <f t="array" ref="D259">IF(B259="","",INDEX(tbEtapas[Nº],MOD(ROW(B258)-1,TotalEtapas)+1))</f>
        <v>6</v>
      </c>
      <c r="E259" t="str">
        <f>IFERROR(VLOOKUP(tbEscolas[[#This Row],[COD ETPA]],tbEtapas[],2,FALSE),"")</f>
        <v>2º ANO</v>
      </c>
      <c r="F259" t="str">
        <f>IFERROR(VLOOKUP(tbEscolas[[#This Row],[COD ETPA]],tbEtapas[],3,FALSE),"")</f>
        <v>FUNDAMENTAL</v>
      </c>
      <c r="G259" t="s">
        <v>126</v>
      </c>
    </row>
    <row r="260" spans="1:7" x14ac:dyDescent="0.25">
      <c r="A260" s="24">
        <f>_xlfn.XLOOKUP(tbEscolas[[#This Row],[ESCOLA]],tbNucleo[ESCOLA],tbNucleo[COD ESCOLA],"")</f>
        <v>15</v>
      </c>
      <c r="B260" t="str" cm="1">
        <f t="array" ref="B260">IFERROR(INDEX(tbNucleo[ESCOLA],ROUNDUP(ROW(B259)/TotalEtapas,0)),"")</f>
        <v>E.E 12 DE OUTUBRO ANEXA SAPIQUÁ</v>
      </c>
      <c r="C260" t="str">
        <f>IFERROR(VLOOKUP(B260,tbNucleo[],2,FALSE),"")</f>
        <v/>
      </c>
      <c r="D260" cm="1">
        <f t="array" ref="D260">IF(B260="","",INDEX(tbEtapas[Nº],MOD(ROW(B259)-1,TotalEtapas)+1))</f>
        <v>7</v>
      </c>
      <c r="E260" t="str">
        <f>IFERROR(VLOOKUP(tbEscolas[[#This Row],[COD ETPA]],tbEtapas[],2,FALSE),"")</f>
        <v>3º ANO</v>
      </c>
      <c r="F260" t="str">
        <f>IFERROR(VLOOKUP(tbEscolas[[#This Row],[COD ETPA]],tbEtapas[],3,FALSE),"")</f>
        <v>FUNDAMENTAL</v>
      </c>
      <c r="G260" t="s">
        <v>126</v>
      </c>
    </row>
    <row r="261" spans="1:7" x14ac:dyDescent="0.25">
      <c r="A261" s="24">
        <f>_xlfn.XLOOKUP(tbEscolas[[#This Row],[ESCOLA]],tbNucleo[ESCOLA],tbNucleo[COD ESCOLA],"")</f>
        <v>15</v>
      </c>
      <c r="B261" t="str" cm="1">
        <f t="array" ref="B261">IFERROR(INDEX(tbNucleo[ESCOLA],ROUNDUP(ROW(B260)/TotalEtapas,0)),"")</f>
        <v>E.E 12 DE OUTUBRO ANEXA SAPIQUÁ</v>
      </c>
      <c r="C261" t="str">
        <f>IFERROR(VLOOKUP(B261,tbNucleo[],2,FALSE),"")</f>
        <v/>
      </c>
      <c r="D261" cm="1">
        <f t="array" ref="D261">IF(B261="","",INDEX(tbEtapas[Nº],MOD(ROW(B260)-1,TotalEtapas)+1))</f>
        <v>8</v>
      </c>
      <c r="E261" t="str">
        <f>IFERROR(VLOOKUP(tbEscolas[[#This Row],[COD ETPA]],tbEtapas[],2,FALSE),"")</f>
        <v>4º ANO</v>
      </c>
      <c r="F261" t="str">
        <f>IFERROR(VLOOKUP(tbEscolas[[#This Row],[COD ETPA]],tbEtapas[],3,FALSE),"")</f>
        <v>FUNDAMENTAL</v>
      </c>
      <c r="G261" t="s">
        <v>126</v>
      </c>
    </row>
    <row r="262" spans="1:7" x14ac:dyDescent="0.25">
      <c r="A262" s="24">
        <f>_xlfn.XLOOKUP(tbEscolas[[#This Row],[ESCOLA]],tbNucleo[ESCOLA],tbNucleo[COD ESCOLA],"")</f>
        <v>15</v>
      </c>
      <c r="B262" t="str" cm="1">
        <f t="array" ref="B262">IFERROR(INDEX(tbNucleo[ESCOLA],ROUNDUP(ROW(B261)/TotalEtapas,0)),"")</f>
        <v>E.E 12 DE OUTUBRO ANEXA SAPIQUÁ</v>
      </c>
      <c r="C262" t="str">
        <f>IFERROR(VLOOKUP(B262,tbNucleo[],2,FALSE),"")</f>
        <v/>
      </c>
      <c r="D262" cm="1">
        <f t="array" ref="D262">IF(B262="","",INDEX(tbEtapas[Nº],MOD(ROW(B261)-1,TotalEtapas)+1))</f>
        <v>9</v>
      </c>
      <c r="E262" t="str">
        <f>IFERROR(VLOOKUP(tbEscolas[[#This Row],[COD ETPA]],tbEtapas[],2,FALSE),"")</f>
        <v>5º ANO</v>
      </c>
      <c r="F262" t="str">
        <f>IFERROR(VLOOKUP(tbEscolas[[#This Row],[COD ETPA]],tbEtapas[],3,FALSE),"")</f>
        <v>FUNDAMENTAL</v>
      </c>
      <c r="G262" t="s">
        <v>126</v>
      </c>
    </row>
    <row r="263" spans="1:7" x14ac:dyDescent="0.25">
      <c r="A263" s="24">
        <f>_xlfn.XLOOKUP(tbEscolas[[#This Row],[ESCOLA]],tbNucleo[ESCOLA],tbNucleo[COD ESCOLA],"")</f>
        <v>15</v>
      </c>
      <c r="B263" t="str" cm="1">
        <f t="array" ref="B263">IFERROR(INDEX(tbNucleo[ESCOLA],ROUNDUP(ROW(B262)/TotalEtapas,0)),"")</f>
        <v>E.E 12 DE OUTUBRO ANEXA SAPIQUÁ</v>
      </c>
      <c r="C263" t="str">
        <f>IFERROR(VLOOKUP(B263,tbNucleo[],2,FALSE),"")</f>
        <v/>
      </c>
      <c r="D263" cm="1">
        <f t="array" ref="D263">IF(B263="","",INDEX(tbEtapas[Nº],MOD(ROW(B262)-1,TotalEtapas)+1))</f>
        <v>10</v>
      </c>
      <c r="E263" t="str">
        <f>IFERROR(VLOOKUP(tbEscolas[[#This Row],[COD ETPA]],tbEtapas[],2,FALSE),"")</f>
        <v>6º ANO</v>
      </c>
      <c r="F263" t="str">
        <f>IFERROR(VLOOKUP(tbEscolas[[#This Row],[COD ETPA]],tbEtapas[],3,FALSE),"")</f>
        <v>FUNDAMENTAL</v>
      </c>
      <c r="G263" t="s">
        <v>125</v>
      </c>
    </row>
    <row r="264" spans="1:7" x14ac:dyDescent="0.25">
      <c r="A264" s="24">
        <f>_xlfn.XLOOKUP(tbEscolas[[#This Row],[ESCOLA]],tbNucleo[ESCOLA],tbNucleo[COD ESCOLA],"")</f>
        <v>15</v>
      </c>
      <c r="B264" t="str" cm="1">
        <f t="array" ref="B264">IFERROR(INDEX(tbNucleo[ESCOLA],ROUNDUP(ROW(B263)/TotalEtapas,0)),"")</f>
        <v>E.E 12 DE OUTUBRO ANEXA SAPIQUÁ</v>
      </c>
      <c r="C264" t="str">
        <f>IFERROR(VLOOKUP(B264,tbNucleo[],2,FALSE),"")</f>
        <v/>
      </c>
      <c r="D264" cm="1">
        <f t="array" ref="D264">IF(B264="","",INDEX(tbEtapas[Nº],MOD(ROW(B263)-1,TotalEtapas)+1))</f>
        <v>11</v>
      </c>
      <c r="E264" t="str">
        <f>IFERROR(VLOOKUP(tbEscolas[[#This Row],[COD ETPA]],tbEtapas[],2,FALSE),"")</f>
        <v>7º ANO</v>
      </c>
      <c r="F264" t="str">
        <f>IFERROR(VLOOKUP(tbEscolas[[#This Row],[COD ETPA]],tbEtapas[],3,FALSE),"")</f>
        <v>FUNDAMENTAL</v>
      </c>
      <c r="G264" t="s">
        <v>125</v>
      </c>
    </row>
    <row r="265" spans="1:7" x14ac:dyDescent="0.25">
      <c r="A265" s="24">
        <f>_xlfn.XLOOKUP(tbEscolas[[#This Row],[ESCOLA]],tbNucleo[ESCOLA],tbNucleo[COD ESCOLA],"")</f>
        <v>15</v>
      </c>
      <c r="B265" t="str" cm="1">
        <f t="array" ref="B265">IFERROR(INDEX(tbNucleo[ESCOLA],ROUNDUP(ROW(B264)/TotalEtapas,0)),"")</f>
        <v>E.E 12 DE OUTUBRO ANEXA SAPIQUÁ</v>
      </c>
      <c r="C265" t="str">
        <f>IFERROR(VLOOKUP(B265,tbNucleo[],2,FALSE),"")</f>
        <v/>
      </c>
      <c r="D265" cm="1">
        <f t="array" ref="D265">IF(B265="","",INDEX(tbEtapas[Nº],MOD(ROW(B264)-1,TotalEtapas)+1))</f>
        <v>12</v>
      </c>
      <c r="E265" t="str">
        <f>IFERROR(VLOOKUP(tbEscolas[[#This Row],[COD ETPA]],tbEtapas[],2,FALSE),"")</f>
        <v>8º ANO</v>
      </c>
      <c r="F265" t="str">
        <f>IFERROR(VLOOKUP(tbEscolas[[#This Row],[COD ETPA]],tbEtapas[],3,FALSE),"")</f>
        <v>FUNDAMENTAL</v>
      </c>
      <c r="G265" t="s">
        <v>125</v>
      </c>
    </row>
    <row r="266" spans="1:7" x14ac:dyDescent="0.25">
      <c r="A266" s="24">
        <f>_xlfn.XLOOKUP(tbEscolas[[#This Row],[ESCOLA]],tbNucleo[ESCOLA],tbNucleo[COD ESCOLA],"")</f>
        <v>15</v>
      </c>
      <c r="B266" t="str" cm="1">
        <f t="array" ref="B266">IFERROR(INDEX(tbNucleo[ESCOLA],ROUNDUP(ROW(B265)/TotalEtapas,0)),"")</f>
        <v>E.E 12 DE OUTUBRO ANEXA SAPIQUÁ</v>
      </c>
      <c r="C266" t="str">
        <f>IFERROR(VLOOKUP(B266,tbNucleo[],2,FALSE),"")</f>
        <v/>
      </c>
      <c r="D266" cm="1">
        <f t="array" ref="D266">IF(B266="","",INDEX(tbEtapas[Nº],MOD(ROW(B265)-1,TotalEtapas)+1))</f>
        <v>13</v>
      </c>
      <c r="E266" t="str">
        <f>IFERROR(VLOOKUP(tbEscolas[[#This Row],[COD ETPA]],tbEtapas[],2,FALSE),"")</f>
        <v>9º ANO</v>
      </c>
      <c r="F266" t="str">
        <f>IFERROR(VLOOKUP(tbEscolas[[#This Row],[COD ETPA]],tbEtapas[],3,FALSE),"")</f>
        <v>FUNDAMENTAL</v>
      </c>
      <c r="G266" t="s">
        <v>125</v>
      </c>
    </row>
    <row r="267" spans="1:7" x14ac:dyDescent="0.25">
      <c r="A267" s="24">
        <f>_xlfn.XLOOKUP(tbEscolas[[#This Row],[ESCOLA]],tbNucleo[ESCOLA],tbNucleo[COD ESCOLA],"")</f>
        <v>15</v>
      </c>
      <c r="B267" t="str" cm="1">
        <f t="array" ref="B267">IFERROR(INDEX(tbNucleo[ESCOLA],ROUNDUP(ROW(B266)/TotalEtapas,0)),"")</f>
        <v>E.E 12 DE OUTUBRO ANEXA SAPIQUÁ</v>
      </c>
      <c r="C267" t="str">
        <f>IFERROR(VLOOKUP(B267,tbNucleo[],2,FALSE),"")</f>
        <v/>
      </c>
      <c r="D267" cm="1">
        <f t="array" ref="D267">IF(B267="","",INDEX(tbEtapas[Nº],MOD(ROW(B266)-1,TotalEtapas)+1))</f>
        <v>14</v>
      </c>
      <c r="E267" t="str">
        <f>IFERROR(VLOOKUP(tbEscolas[[#This Row],[COD ETPA]],tbEtapas[],2,FALSE),"")</f>
        <v>1º ANO</v>
      </c>
      <c r="F267" t="str">
        <f>IFERROR(VLOOKUP(tbEscolas[[#This Row],[COD ETPA]],tbEtapas[],3,FALSE),"")</f>
        <v>ENSINO MÉDIO</v>
      </c>
      <c r="G267" t="s">
        <v>125</v>
      </c>
    </row>
    <row r="268" spans="1:7" x14ac:dyDescent="0.25">
      <c r="A268" s="24">
        <f>_xlfn.XLOOKUP(tbEscolas[[#This Row],[ESCOLA]],tbNucleo[ESCOLA],tbNucleo[COD ESCOLA],"")</f>
        <v>15</v>
      </c>
      <c r="B268" t="str" cm="1">
        <f t="array" ref="B268">IFERROR(INDEX(tbNucleo[ESCOLA],ROUNDUP(ROW(B267)/TotalEtapas,0)),"")</f>
        <v>E.E 12 DE OUTUBRO ANEXA SAPIQUÁ</v>
      </c>
      <c r="C268" t="str">
        <f>IFERROR(VLOOKUP(B268,tbNucleo[],2,FALSE),"")</f>
        <v/>
      </c>
      <c r="D268" cm="1">
        <f t="array" ref="D268">IF(B268="","",INDEX(tbEtapas[Nº],MOD(ROW(B267)-1,TotalEtapas)+1))</f>
        <v>15</v>
      </c>
      <c r="E268" t="str">
        <f>IFERROR(VLOOKUP(tbEscolas[[#This Row],[COD ETPA]],tbEtapas[],2,FALSE),"")</f>
        <v>2º ANO</v>
      </c>
      <c r="F268" t="str">
        <f>IFERROR(VLOOKUP(tbEscolas[[#This Row],[COD ETPA]],tbEtapas[],3,FALSE),"")</f>
        <v>ENSINO MÉDIO</v>
      </c>
      <c r="G268" t="s">
        <v>125</v>
      </c>
    </row>
    <row r="269" spans="1:7" x14ac:dyDescent="0.25">
      <c r="A269" s="24">
        <f>_xlfn.XLOOKUP(tbEscolas[[#This Row],[ESCOLA]],tbNucleo[ESCOLA],tbNucleo[COD ESCOLA],"")</f>
        <v>15</v>
      </c>
      <c r="B269" t="str" cm="1">
        <f t="array" ref="B269">IFERROR(INDEX(tbNucleo[ESCOLA],ROUNDUP(ROW(B268)/TotalEtapas,0)),"")</f>
        <v>E.E 12 DE OUTUBRO ANEXA SAPIQUÁ</v>
      </c>
      <c r="C269" t="str">
        <f>IFERROR(VLOOKUP(B269,tbNucleo[],2,FALSE),"")</f>
        <v/>
      </c>
      <c r="D269" cm="1">
        <f t="array" ref="D269">IF(B269="","",INDEX(tbEtapas[Nº],MOD(ROW(B268)-1,TotalEtapas)+1))</f>
        <v>16</v>
      </c>
      <c r="E269" t="str">
        <f>IFERROR(VLOOKUP(tbEscolas[[#This Row],[COD ETPA]],tbEtapas[],2,FALSE),"")</f>
        <v>3º ANO</v>
      </c>
      <c r="F269" t="str">
        <f>IFERROR(VLOOKUP(tbEscolas[[#This Row],[COD ETPA]],tbEtapas[],3,FALSE),"")</f>
        <v>ENSINO MÉDIO</v>
      </c>
      <c r="G269" t="s">
        <v>125</v>
      </c>
    </row>
    <row r="270" spans="1:7" x14ac:dyDescent="0.25">
      <c r="A270" s="24">
        <f>_xlfn.XLOOKUP(tbEscolas[[#This Row],[ESCOLA]],tbNucleo[ESCOLA],tbNucleo[COD ESCOLA],"")</f>
        <v>15</v>
      </c>
      <c r="B270" t="str" cm="1">
        <f t="array" ref="B270">IFERROR(INDEX(tbNucleo[ESCOLA],ROUNDUP(ROW(B269)/TotalEtapas,0)),"")</f>
        <v>E.E 12 DE OUTUBRO ANEXA SAPIQUÁ</v>
      </c>
      <c r="C270" t="str">
        <f>IFERROR(VLOOKUP(B270,tbNucleo[],2,FALSE),"")</f>
        <v/>
      </c>
      <c r="D270" cm="1">
        <f t="array" ref="D270">IF(B270="","",INDEX(tbEtapas[Nº],MOD(ROW(B269)-1,TotalEtapas)+1))</f>
        <v>17</v>
      </c>
      <c r="E270" t="str">
        <f>IFERROR(VLOOKUP(tbEscolas[[#This Row],[COD ETPA]],tbEtapas[],2,FALSE),"")</f>
        <v>EJA I</v>
      </c>
      <c r="F270" t="str">
        <f>IFERROR(VLOOKUP(tbEscolas[[#This Row],[COD ETPA]],tbEtapas[],3,FALSE),"")</f>
        <v>FUNDAMENTAL</v>
      </c>
      <c r="G270" t="s">
        <v>125</v>
      </c>
    </row>
    <row r="271" spans="1:7" x14ac:dyDescent="0.25">
      <c r="A271" s="24">
        <f>_xlfn.XLOOKUP(tbEscolas[[#This Row],[ESCOLA]],tbNucleo[ESCOLA],tbNucleo[COD ESCOLA],"")</f>
        <v>15</v>
      </c>
      <c r="B271" t="str" cm="1">
        <f t="array" ref="B271">IFERROR(INDEX(tbNucleo[ESCOLA],ROUNDUP(ROW(B270)/TotalEtapas,0)),"")</f>
        <v>E.E 12 DE OUTUBRO ANEXA SAPIQUÁ</v>
      </c>
      <c r="C271" t="str">
        <f>IFERROR(VLOOKUP(B271,tbNucleo[],2,FALSE),"")</f>
        <v/>
      </c>
      <c r="D271" cm="1">
        <f t="array" ref="D271">IF(B271="","",INDEX(tbEtapas[Nº],MOD(ROW(B270)-1,TotalEtapas)+1))</f>
        <v>18</v>
      </c>
      <c r="E271" t="str">
        <f>IFERROR(VLOOKUP(tbEscolas[[#This Row],[COD ETPA]],tbEtapas[],2,FALSE),"")</f>
        <v>EJA II</v>
      </c>
      <c r="F271" t="str">
        <f>IFERROR(VLOOKUP(tbEscolas[[#This Row],[COD ETPA]],tbEtapas[],3,FALSE),"")</f>
        <v>ENSINO MÉDIO</v>
      </c>
      <c r="G271" t="s">
        <v>125</v>
      </c>
    </row>
    <row r="272" spans="1:7" x14ac:dyDescent="0.25">
      <c r="A272" s="24">
        <f>_xlfn.XLOOKUP(tbEscolas[[#This Row],[ESCOLA]],tbNucleo[ESCOLA],tbNucleo[COD ESCOLA],"")</f>
        <v>16</v>
      </c>
      <c r="B272" t="str" cm="1">
        <f t="array" ref="B272">IFERROR(INDEX(tbNucleo[ESCOLA],ROUNDUP(ROW(B271)/TotalEtapas,0)),"")</f>
        <v>E.E 12 DE OUTUBRO ANEXA SOTECO</v>
      </c>
      <c r="C272" t="str">
        <f>IFERROR(VLOOKUP(B272,tbNucleo[],2,FALSE),"")</f>
        <v/>
      </c>
      <c r="D272" cm="1">
        <f t="array" ref="D272">IF(B272="","",INDEX(tbEtapas[Nº],MOD(ROW(B271)-1,TotalEtapas)+1))</f>
        <v>1</v>
      </c>
      <c r="E272" t="str">
        <f>IFERROR(VLOOKUP(tbEscolas[[#This Row],[COD ETPA]],tbEtapas[],2,FALSE),"")</f>
        <v>CRECHE I</v>
      </c>
      <c r="F272" t="str">
        <f>IFERROR(VLOOKUP(tbEscolas[[#This Row],[COD ETPA]],tbEtapas[],3,FALSE),"")</f>
        <v>EDUCAÇÃO INFANTIL</v>
      </c>
      <c r="G272" t="s">
        <v>125</v>
      </c>
    </row>
    <row r="273" spans="1:7" x14ac:dyDescent="0.25">
      <c r="A273" s="24">
        <f>_xlfn.XLOOKUP(tbEscolas[[#This Row],[ESCOLA]],tbNucleo[ESCOLA],tbNucleo[COD ESCOLA],"")</f>
        <v>16</v>
      </c>
      <c r="B273" t="str" cm="1">
        <f t="array" ref="B273">IFERROR(INDEX(tbNucleo[ESCOLA],ROUNDUP(ROW(B272)/TotalEtapas,0)),"")</f>
        <v>E.E 12 DE OUTUBRO ANEXA SOTECO</v>
      </c>
      <c r="C273" t="str">
        <f>IFERROR(VLOOKUP(B273,tbNucleo[],2,FALSE),"")</f>
        <v/>
      </c>
      <c r="D273" cm="1">
        <f t="array" ref="D273">IF(B273="","",INDEX(tbEtapas[Nº],MOD(ROW(B272)-1,TotalEtapas)+1))</f>
        <v>2</v>
      </c>
      <c r="E273" t="str">
        <f>IFERROR(VLOOKUP(tbEscolas[[#This Row],[COD ETPA]],tbEtapas[],2,FALSE),"")</f>
        <v>CRECHE II</v>
      </c>
      <c r="F273" t="str">
        <f>IFERROR(VLOOKUP(tbEscolas[[#This Row],[COD ETPA]],tbEtapas[],3,FALSE),"")</f>
        <v>EDUCAÇÃO INFANTIL</v>
      </c>
      <c r="G273" t="s">
        <v>125</v>
      </c>
    </row>
    <row r="274" spans="1:7" x14ac:dyDescent="0.25">
      <c r="A274" s="24">
        <f>_xlfn.XLOOKUP(tbEscolas[[#This Row],[ESCOLA]],tbNucleo[ESCOLA],tbNucleo[COD ESCOLA],"")</f>
        <v>16</v>
      </c>
      <c r="B274" t="str" cm="1">
        <f t="array" ref="B274">IFERROR(INDEX(tbNucleo[ESCOLA],ROUNDUP(ROW(B273)/TotalEtapas,0)),"")</f>
        <v>E.E 12 DE OUTUBRO ANEXA SOTECO</v>
      </c>
      <c r="C274" t="str">
        <f>IFERROR(VLOOKUP(B274,tbNucleo[],2,FALSE),"")</f>
        <v/>
      </c>
      <c r="D274" cm="1">
        <f t="array" ref="D274">IF(B274="","",INDEX(tbEtapas[Nº],MOD(ROW(B273)-1,TotalEtapas)+1))</f>
        <v>3</v>
      </c>
      <c r="E274" t="str">
        <f>IFERROR(VLOOKUP(tbEscolas[[#This Row],[COD ETPA]],tbEtapas[],2,FALSE),"")</f>
        <v>PRE I</v>
      </c>
      <c r="F274" t="str">
        <f>IFERROR(VLOOKUP(tbEscolas[[#This Row],[COD ETPA]],tbEtapas[],3,FALSE),"")</f>
        <v>EDUCAÇÃO INFANTIL</v>
      </c>
      <c r="G274" t="s">
        <v>125</v>
      </c>
    </row>
    <row r="275" spans="1:7" x14ac:dyDescent="0.25">
      <c r="A275" s="24">
        <f>_xlfn.XLOOKUP(tbEscolas[[#This Row],[ESCOLA]],tbNucleo[ESCOLA],tbNucleo[COD ESCOLA],"")</f>
        <v>16</v>
      </c>
      <c r="B275" t="str" cm="1">
        <f t="array" ref="B275">IFERROR(INDEX(tbNucleo[ESCOLA],ROUNDUP(ROW(B274)/TotalEtapas,0)),"")</f>
        <v>E.E 12 DE OUTUBRO ANEXA SOTECO</v>
      </c>
      <c r="C275" t="str">
        <f>IFERROR(VLOOKUP(B275,tbNucleo[],2,FALSE),"")</f>
        <v/>
      </c>
      <c r="D275" cm="1">
        <f t="array" ref="D275">IF(B275="","",INDEX(tbEtapas[Nº],MOD(ROW(B274)-1,TotalEtapas)+1))</f>
        <v>4</v>
      </c>
      <c r="E275" t="str">
        <f>IFERROR(VLOOKUP(tbEscolas[[#This Row],[COD ETPA]],tbEtapas[],2,FALSE),"")</f>
        <v>PRE II</v>
      </c>
      <c r="F275" t="str">
        <f>IFERROR(VLOOKUP(tbEscolas[[#This Row],[COD ETPA]],tbEtapas[],3,FALSE),"")</f>
        <v>EDUCAÇÃO INFANTIL</v>
      </c>
      <c r="G275" t="s">
        <v>125</v>
      </c>
    </row>
    <row r="276" spans="1:7" x14ac:dyDescent="0.25">
      <c r="A276" s="24">
        <f>_xlfn.XLOOKUP(tbEscolas[[#This Row],[ESCOLA]],tbNucleo[ESCOLA],tbNucleo[COD ESCOLA],"")</f>
        <v>16</v>
      </c>
      <c r="B276" t="str" cm="1">
        <f t="array" ref="B276">IFERROR(INDEX(tbNucleo[ESCOLA],ROUNDUP(ROW(B275)/TotalEtapas,0)),"")</f>
        <v>E.E 12 DE OUTUBRO ANEXA SOTECO</v>
      </c>
      <c r="C276" t="str">
        <f>IFERROR(VLOOKUP(B276,tbNucleo[],2,FALSE),"")</f>
        <v/>
      </c>
      <c r="D276" cm="1">
        <f t="array" ref="D276">IF(B276="","",INDEX(tbEtapas[Nº],MOD(ROW(B275)-1,TotalEtapas)+1))</f>
        <v>5</v>
      </c>
      <c r="E276" t="str">
        <f>IFERROR(VLOOKUP(tbEscolas[[#This Row],[COD ETPA]],tbEtapas[],2,FALSE),"")</f>
        <v>1º ANO</v>
      </c>
      <c r="F276" t="str">
        <f>IFERROR(VLOOKUP(tbEscolas[[#This Row],[COD ETPA]],tbEtapas[],3,FALSE),"")</f>
        <v>FUNDAMENTAL</v>
      </c>
      <c r="G276" t="s">
        <v>126</v>
      </c>
    </row>
    <row r="277" spans="1:7" x14ac:dyDescent="0.25">
      <c r="A277" s="24">
        <f>_xlfn.XLOOKUP(tbEscolas[[#This Row],[ESCOLA]],tbNucleo[ESCOLA],tbNucleo[COD ESCOLA],"")</f>
        <v>16</v>
      </c>
      <c r="B277" t="str" cm="1">
        <f t="array" ref="B277">IFERROR(INDEX(tbNucleo[ESCOLA],ROUNDUP(ROW(B276)/TotalEtapas,0)),"")</f>
        <v>E.E 12 DE OUTUBRO ANEXA SOTECO</v>
      </c>
      <c r="C277" t="str">
        <f>IFERROR(VLOOKUP(B277,tbNucleo[],2,FALSE),"")</f>
        <v/>
      </c>
      <c r="D277" cm="1">
        <f t="array" ref="D277">IF(B277="","",INDEX(tbEtapas[Nº],MOD(ROW(B276)-1,TotalEtapas)+1))</f>
        <v>6</v>
      </c>
      <c r="E277" t="str">
        <f>IFERROR(VLOOKUP(tbEscolas[[#This Row],[COD ETPA]],tbEtapas[],2,FALSE),"")</f>
        <v>2º ANO</v>
      </c>
      <c r="F277" t="str">
        <f>IFERROR(VLOOKUP(tbEscolas[[#This Row],[COD ETPA]],tbEtapas[],3,FALSE),"")</f>
        <v>FUNDAMENTAL</v>
      </c>
      <c r="G277" t="s">
        <v>126</v>
      </c>
    </row>
    <row r="278" spans="1:7" x14ac:dyDescent="0.25">
      <c r="A278" s="24">
        <f>_xlfn.XLOOKUP(tbEscolas[[#This Row],[ESCOLA]],tbNucleo[ESCOLA],tbNucleo[COD ESCOLA],"")</f>
        <v>16</v>
      </c>
      <c r="B278" t="str" cm="1">
        <f t="array" ref="B278">IFERROR(INDEX(tbNucleo[ESCOLA],ROUNDUP(ROW(B277)/TotalEtapas,0)),"")</f>
        <v>E.E 12 DE OUTUBRO ANEXA SOTECO</v>
      </c>
      <c r="C278" t="str">
        <f>IFERROR(VLOOKUP(B278,tbNucleo[],2,FALSE),"")</f>
        <v/>
      </c>
      <c r="D278" cm="1">
        <f t="array" ref="D278">IF(B278="","",INDEX(tbEtapas[Nº],MOD(ROW(B277)-1,TotalEtapas)+1))</f>
        <v>7</v>
      </c>
      <c r="E278" t="str">
        <f>IFERROR(VLOOKUP(tbEscolas[[#This Row],[COD ETPA]],tbEtapas[],2,FALSE),"")</f>
        <v>3º ANO</v>
      </c>
      <c r="F278" t="str">
        <f>IFERROR(VLOOKUP(tbEscolas[[#This Row],[COD ETPA]],tbEtapas[],3,FALSE),"")</f>
        <v>FUNDAMENTAL</v>
      </c>
      <c r="G278" t="s">
        <v>126</v>
      </c>
    </row>
    <row r="279" spans="1:7" x14ac:dyDescent="0.25">
      <c r="A279" s="24">
        <f>_xlfn.XLOOKUP(tbEscolas[[#This Row],[ESCOLA]],tbNucleo[ESCOLA],tbNucleo[COD ESCOLA],"")</f>
        <v>16</v>
      </c>
      <c r="B279" t="str" cm="1">
        <f t="array" ref="B279">IFERROR(INDEX(tbNucleo[ESCOLA],ROUNDUP(ROW(B278)/TotalEtapas,0)),"")</f>
        <v>E.E 12 DE OUTUBRO ANEXA SOTECO</v>
      </c>
      <c r="C279" t="str">
        <f>IFERROR(VLOOKUP(B279,tbNucleo[],2,FALSE),"")</f>
        <v/>
      </c>
      <c r="D279" cm="1">
        <f t="array" ref="D279">IF(B279="","",INDEX(tbEtapas[Nº],MOD(ROW(B278)-1,TotalEtapas)+1))</f>
        <v>8</v>
      </c>
      <c r="E279" t="str">
        <f>IFERROR(VLOOKUP(tbEscolas[[#This Row],[COD ETPA]],tbEtapas[],2,FALSE),"")</f>
        <v>4º ANO</v>
      </c>
      <c r="F279" t="str">
        <f>IFERROR(VLOOKUP(tbEscolas[[#This Row],[COD ETPA]],tbEtapas[],3,FALSE),"")</f>
        <v>FUNDAMENTAL</v>
      </c>
      <c r="G279" t="s">
        <v>126</v>
      </c>
    </row>
    <row r="280" spans="1:7" x14ac:dyDescent="0.25">
      <c r="A280" s="24">
        <f>_xlfn.XLOOKUP(tbEscolas[[#This Row],[ESCOLA]],tbNucleo[ESCOLA],tbNucleo[COD ESCOLA],"")</f>
        <v>16</v>
      </c>
      <c r="B280" t="str" cm="1">
        <f t="array" ref="B280">IFERROR(INDEX(tbNucleo[ESCOLA],ROUNDUP(ROW(B279)/TotalEtapas,0)),"")</f>
        <v>E.E 12 DE OUTUBRO ANEXA SOTECO</v>
      </c>
      <c r="C280" t="str">
        <f>IFERROR(VLOOKUP(B280,tbNucleo[],2,FALSE),"")</f>
        <v/>
      </c>
      <c r="D280" cm="1">
        <f t="array" ref="D280">IF(B280="","",INDEX(tbEtapas[Nº],MOD(ROW(B279)-1,TotalEtapas)+1))</f>
        <v>9</v>
      </c>
      <c r="E280" t="str">
        <f>IFERROR(VLOOKUP(tbEscolas[[#This Row],[COD ETPA]],tbEtapas[],2,FALSE),"")</f>
        <v>5º ANO</v>
      </c>
      <c r="F280" t="str">
        <f>IFERROR(VLOOKUP(tbEscolas[[#This Row],[COD ETPA]],tbEtapas[],3,FALSE),"")</f>
        <v>FUNDAMENTAL</v>
      </c>
      <c r="G280" t="s">
        <v>126</v>
      </c>
    </row>
    <row r="281" spans="1:7" x14ac:dyDescent="0.25">
      <c r="A281" s="24">
        <f>_xlfn.XLOOKUP(tbEscolas[[#This Row],[ESCOLA]],tbNucleo[ESCOLA],tbNucleo[COD ESCOLA],"")</f>
        <v>16</v>
      </c>
      <c r="B281" t="str" cm="1">
        <f t="array" ref="B281">IFERROR(INDEX(tbNucleo[ESCOLA],ROUNDUP(ROW(B280)/TotalEtapas,0)),"")</f>
        <v>E.E 12 DE OUTUBRO ANEXA SOTECO</v>
      </c>
      <c r="C281" t="str">
        <f>IFERROR(VLOOKUP(B281,tbNucleo[],2,FALSE),"")</f>
        <v/>
      </c>
      <c r="D281" cm="1">
        <f t="array" ref="D281">IF(B281="","",INDEX(tbEtapas[Nº],MOD(ROW(B280)-1,TotalEtapas)+1))</f>
        <v>10</v>
      </c>
      <c r="E281" t="str">
        <f>IFERROR(VLOOKUP(tbEscolas[[#This Row],[COD ETPA]],tbEtapas[],2,FALSE),"")</f>
        <v>6º ANO</v>
      </c>
      <c r="F281" t="str">
        <f>IFERROR(VLOOKUP(tbEscolas[[#This Row],[COD ETPA]],tbEtapas[],3,FALSE),"")</f>
        <v>FUNDAMENTAL</v>
      </c>
      <c r="G281" t="s">
        <v>125</v>
      </c>
    </row>
    <row r="282" spans="1:7" x14ac:dyDescent="0.25">
      <c r="A282" s="24">
        <f>_xlfn.XLOOKUP(tbEscolas[[#This Row],[ESCOLA]],tbNucleo[ESCOLA],tbNucleo[COD ESCOLA],"")</f>
        <v>16</v>
      </c>
      <c r="B282" t="str" cm="1">
        <f t="array" ref="B282">IFERROR(INDEX(tbNucleo[ESCOLA],ROUNDUP(ROW(B281)/TotalEtapas,0)),"")</f>
        <v>E.E 12 DE OUTUBRO ANEXA SOTECO</v>
      </c>
      <c r="C282" t="str">
        <f>IFERROR(VLOOKUP(B282,tbNucleo[],2,FALSE),"")</f>
        <v/>
      </c>
      <c r="D282" cm="1">
        <f t="array" ref="D282">IF(B282="","",INDEX(tbEtapas[Nº],MOD(ROW(B281)-1,TotalEtapas)+1))</f>
        <v>11</v>
      </c>
      <c r="E282" t="str">
        <f>IFERROR(VLOOKUP(tbEscolas[[#This Row],[COD ETPA]],tbEtapas[],2,FALSE),"")</f>
        <v>7º ANO</v>
      </c>
      <c r="F282" t="str">
        <f>IFERROR(VLOOKUP(tbEscolas[[#This Row],[COD ETPA]],tbEtapas[],3,FALSE),"")</f>
        <v>FUNDAMENTAL</v>
      </c>
      <c r="G282" t="s">
        <v>125</v>
      </c>
    </row>
    <row r="283" spans="1:7" x14ac:dyDescent="0.25">
      <c r="A283" s="24">
        <f>_xlfn.XLOOKUP(tbEscolas[[#This Row],[ESCOLA]],tbNucleo[ESCOLA],tbNucleo[COD ESCOLA],"")</f>
        <v>16</v>
      </c>
      <c r="B283" t="str" cm="1">
        <f t="array" ref="B283">IFERROR(INDEX(tbNucleo[ESCOLA],ROUNDUP(ROW(B282)/TotalEtapas,0)),"")</f>
        <v>E.E 12 DE OUTUBRO ANEXA SOTECO</v>
      </c>
      <c r="C283" t="str">
        <f>IFERROR(VLOOKUP(B283,tbNucleo[],2,FALSE),"")</f>
        <v/>
      </c>
      <c r="D283" cm="1">
        <f t="array" ref="D283">IF(B283="","",INDEX(tbEtapas[Nº],MOD(ROW(B282)-1,TotalEtapas)+1))</f>
        <v>12</v>
      </c>
      <c r="E283" t="str">
        <f>IFERROR(VLOOKUP(tbEscolas[[#This Row],[COD ETPA]],tbEtapas[],2,FALSE),"")</f>
        <v>8º ANO</v>
      </c>
      <c r="F283" t="str">
        <f>IFERROR(VLOOKUP(tbEscolas[[#This Row],[COD ETPA]],tbEtapas[],3,FALSE),"")</f>
        <v>FUNDAMENTAL</v>
      </c>
      <c r="G283" t="s">
        <v>125</v>
      </c>
    </row>
    <row r="284" spans="1:7" x14ac:dyDescent="0.25">
      <c r="A284" s="24">
        <f>_xlfn.XLOOKUP(tbEscolas[[#This Row],[ESCOLA]],tbNucleo[ESCOLA],tbNucleo[COD ESCOLA],"")</f>
        <v>16</v>
      </c>
      <c r="B284" t="str" cm="1">
        <f t="array" ref="B284">IFERROR(INDEX(tbNucleo[ESCOLA],ROUNDUP(ROW(B283)/TotalEtapas,0)),"")</f>
        <v>E.E 12 DE OUTUBRO ANEXA SOTECO</v>
      </c>
      <c r="C284" t="str">
        <f>IFERROR(VLOOKUP(B284,tbNucleo[],2,FALSE),"")</f>
        <v/>
      </c>
      <c r="D284" cm="1">
        <f t="array" ref="D284">IF(B284="","",INDEX(tbEtapas[Nº],MOD(ROW(B283)-1,TotalEtapas)+1))</f>
        <v>13</v>
      </c>
      <c r="E284" t="str">
        <f>IFERROR(VLOOKUP(tbEscolas[[#This Row],[COD ETPA]],tbEtapas[],2,FALSE),"")</f>
        <v>9º ANO</v>
      </c>
      <c r="F284" t="str">
        <f>IFERROR(VLOOKUP(tbEscolas[[#This Row],[COD ETPA]],tbEtapas[],3,FALSE),"")</f>
        <v>FUNDAMENTAL</v>
      </c>
      <c r="G284" t="s">
        <v>125</v>
      </c>
    </row>
    <row r="285" spans="1:7" x14ac:dyDescent="0.25">
      <c r="A285" s="24">
        <f>_xlfn.XLOOKUP(tbEscolas[[#This Row],[ESCOLA]],tbNucleo[ESCOLA],tbNucleo[COD ESCOLA],"")</f>
        <v>16</v>
      </c>
      <c r="B285" t="str" cm="1">
        <f t="array" ref="B285">IFERROR(INDEX(tbNucleo[ESCOLA],ROUNDUP(ROW(B284)/TotalEtapas,0)),"")</f>
        <v>E.E 12 DE OUTUBRO ANEXA SOTECO</v>
      </c>
      <c r="C285" t="str">
        <f>IFERROR(VLOOKUP(B285,tbNucleo[],2,FALSE),"")</f>
        <v/>
      </c>
      <c r="D285" cm="1">
        <f t="array" ref="D285">IF(B285="","",INDEX(tbEtapas[Nº],MOD(ROW(B284)-1,TotalEtapas)+1))</f>
        <v>14</v>
      </c>
      <c r="E285" t="str">
        <f>IFERROR(VLOOKUP(tbEscolas[[#This Row],[COD ETPA]],tbEtapas[],2,FALSE),"")</f>
        <v>1º ANO</v>
      </c>
      <c r="F285" t="str">
        <f>IFERROR(VLOOKUP(tbEscolas[[#This Row],[COD ETPA]],tbEtapas[],3,FALSE),"")</f>
        <v>ENSINO MÉDIO</v>
      </c>
      <c r="G285" t="s">
        <v>125</v>
      </c>
    </row>
    <row r="286" spans="1:7" x14ac:dyDescent="0.25">
      <c r="A286" s="24">
        <f>_xlfn.XLOOKUP(tbEscolas[[#This Row],[ESCOLA]],tbNucleo[ESCOLA],tbNucleo[COD ESCOLA],"")</f>
        <v>16</v>
      </c>
      <c r="B286" t="str" cm="1">
        <f t="array" ref="B286">IFERROR(INDEX(tbNucleo[ESCOLA],ROUNDUP(ROW(B285)/TotalEtapas,0)),"")</f>
        <v>E.E 12 DE OUTUBRO ANEXA SOTECO</v>
      </c>
      <c r="C286" t="str">
        <f>IFERROR(VLOOKUP(B286,tbNucleo[],2,FALSE),"")</f>
        <v/>
      </c>
      <c r="D286" cm="1">
        <f t="array" ref="D286">IF(B286="","",INDEX(tbEtapas[Nº],MOD(ROW(B285)-1,TotalEtapas)+1))</f>
        <v>15</v>
      </c>
      <c r="E286" t="str">
        <f>IFERROR(VLOOKUP(tbEscolas[[#This Row],[COD ETPA]],tbEtapas[],2,FALSE),"")</f>
        <v>2º ANO</v>
      </c>
      <c r="F286" t="str">
        <f>IFERROR(VLOOKUP(tbEscolas[[#This Row],[COD ETPA]],tbEtapas[],3,FALSE),"")</f>
        <v>ENSINO MÉDIO</v>
      </c>
      <c r="G286" t="s">
        <v>125</v>
      </c>
    </row>
    <row r="287" spans="1:7" x14ac:dyDescent="0.25">
      <c r="A287" s="24">
        <f>_xlfn.XLOOKUP(tbEscolas[[#This Row],[ESCOLA]],tbNucleo[ESCOLA],tbNucleo[COD ESCOLA],"")</f>
        <v>16</v>
      </c>
      <c r="B287" t="str" cm="1">
        <f t="array" ref="B287">IFERROR(INDEX(tbNucleo[ESCOLA],ROUNDUP(ROW(B286)/TotalEtapas,0)),"")</f>
        <v>E.E 12 DE OUTUBRO ANEXA SOTECO</v>
      </c>
      <c r="C287" t="str">
        <f>IFERROR(VLOOKUP(B287,tbNucleo[],2,FALSE),"")</f>
        <v/>
      </c>
      <c r="D287" cm="1">
        <f t="array" ref="D287">IF(B287="","",INDEX(tbEtapas[Nº],MOD(ROW(B286)-1,TotalEtapas)+1))</f>
        <v>16</v>
      </c>
      <c r="E287" t="str">
        <f>IFERROR(VLOOKUP(tbEscolas[[#This Row],[COD ETPA]],tbEtapas[],2,FALSE),"")</f>
        <v>3º ANO</v>
      </c>
      <c r="F287" t="str">
        <f>IFERROR(VLOOKUP(tbEscolas[[#This Row],[COD ETPA]],tbEtapas[],3,FALSE),"")</f>
        <v>ENSINO MÉDIO</v>
      </c>
      <c r="G287" t="s">
        <v>125</v>
      </c>
    </row>
    <row r="288" spans="1:7" x14ac:dyDescent="0.25">
      <c r="A288" s="24">
        <f>_xlfn.XLOOKUP(tbEscolas[[#This Row],[ESCOLA]],tbNucleo[ESCOLA],tbNucleo[COD ESCOLA],"")</f>
        <v>16</v>
      </c>
      <c r="B288" t="str" cm="1">
        <f t="array" ref="B288">IFERROR(INDEX(tbNucleo[ESCOLA],ROUNDUP(ROW(B287)/TotalEtapas,0)),"")</f>
        <v>E.E 12 DE OUTUBRO ANEXA SOTECO</v>
      </c>
      <c r="C288" t="str">
        <f>IFERROR(VLOOKUP(B288,tbNucleo[],2,FALSE),"")</f>
        <v/>
      </c>
      <c r="D288" cm="1">
        <f t="array" ref="D288">IF(B288="","",INDEX(tbEtapas[Nº],MOD(ROW(B287)-1,TotalEtapas)+1))</f>
        <v>17</v>
      </c>
      <c r="E288" t="str">
        <f>IFERROR(VLOOKUP(tbEscolas[[#This Row],[COD ETPA]],tbEtapas[],2,FALSE),"")</f>
        <v>EJA I</v>
      </c>
      <c r="F288" t="str">
        <f>IFERROR(VLOOKUP(tbEscolas[[#This Row],[COD ETPA]],tbEtapas[],3,FALSE),"")</f>
        <v>FUNDAMENTAL</v>
      </c>
      <c r="G288" t="s">
        <v>125</v>
      </c>
    </row>
    <row r="289" spans="1:7" x14ac:dyDescent="0.25">
      <c r="A289" s="24">
        <f>_xlfn.XLOOKUP(tbEscolas[[#This Row],[ESCOLA]],tbNucleo[ESCOLA],tbNucleo[COD ESCOLA],"")</f>
        <v>16</v>
      </c>
      <c r="B289" t="str" cm="1">
        <f t="array" ref="B289">IFERROR(INDEX(tbNucleo[ESCOLA],ROUNDUP(ROW(B288)/TotalEtapas,0)),"")</f>
        <v>E.E 12 DE OUTUBRO ANEXA SOTECO</v>
      </c>
      <c r="C289" t="str">
        <f>IFERROR(VLOOKUP(B289,tbNucleo[],2,FALSE),"")</f>
        <v/>
      </c>
      <c r="D289" cm="1">
        <f t="array" ref="D289">IF(B289="","",INDEX(tbEtapas[Nº],MOD(ROW(B288)-1,TotalEtapas)+1))</f>
        <v>18</v>
      </c>
      <c r="E289" t="str">
        <f>IFERROR(VLOOKUP(tbEscolas[[#This Row],[COD ETPA]],tbEtapas[],2,FALSE),"")</f>
        <v>EJA II</v>
      </c>
      <c r="F289" t="str">
        <f>IFERROR(VLOOKUP(tbEscolas[[#This Row],[COD ETPA]],tbEtapas[],3,FALSE),"")</f>
        <v>ENSINO MÉDIO</v>
      </c>
      <c r="G289" t="s">
        <v>125</v>
      </c>
    </row>
    <row r="290" spans="1:7" x14ac:dyDescent="0.25">
      <c r="A290" s="24">
        <f>_xlfn.XLOOKUP(tbEscolas[[#This Row],[ESCOLA]],tbNucleo[ESCOLA],tbNucleo[COD ESCOLA],"")</f>
        <v>17</v>
      </c>
      <c r="B290" t="str" cm="1">
        <f t="array" ref="B290">IFERROR(INDEX(tbNucleo[ESCOLA],ROUNDUP(ROW(B289)/TotalEtapas,0)),"")</f>
        <v>E.E 12 DE OUTUBRO LIMÃO</v>
      </c>
      <c r="C290" t="str">
        <f>IFERROR(VLOOKUP(B290,tbNucleo[],2,FALSE),"")</f>
        <v/>
      </c>
      <c r="D290" cm="1">
        <f t="array" ref="D290">IF(B290="","",INDEX(tbEtapas[Nº],MOD(ROW(B289)-1,TotalEtapas)+1))</f>
        <v>1</v>
      </c>
      <c r="E290" t="str">
        <f>IFERROR(VLOOKUP(tbEscolas[[#This Row],[COD ETPA]],tbEtapas[],2,FALSE),"")</f>
        <v>CRECHE I</v>
      </c>
      <c r="F290" t="str">
        <f>IFERROR(VLOOKUP(tbEscolas[[#This Row],[COD ETPA]],tbEtapas[],3,FALSE),"")</f>
        <v>EDUCAÇÃO INFANTIL</v>
      </c>
      <c r="G290" t="s">
        <v>125</v>
      </c>
    </row>
    <row r="291" spans="1:7" x14ac:dyDescent="0.25">
      <c r="A291" s="24">
        <f>_xlfn.XLOOKUP(tbEscolas[[#This Row],[ESCOLA]],tbNucleo[ESCOLA],tbNucleo[COD ESCOLA],"")</f>
        <v>17</v>
      </c>
      <c r="B291" t="str" cm="1">
        <f t="array" ref="B291">IFERROR(INDEX(tbNucleo[ESCOLA],ROUNDUP(ROW(B290)/TotalEtapas,0)),"")</f>
        <v>E.E 12 DE OUTUBRO LIMÃO</v>
      </c>
      <c r="C291" t="str">
        <f>IFERROR(VLOOKUP(B291,tbNucleo[],2,FALSE),"")</f>
        <v/>
      </c>
      <c r="D291" cm="1">
        <f t="array" ref="D291">IF(B291="","",INDEX(tbEtapas[Nº],MOD(ROW(B290)-1,TotalEtapas)+1))</f>
        <v>2</v>
      </c>
      <c r="E291" t="str">
        <f>IFERROR(VLOOKUP(tbEscolas[[#This Row],[COD ETPA]],tbEtapas[],2,FALSE),"")</f>
        <v>CRECHE II</v>
      </c>
      <c r="F291" t="str">
        <f>IFERROR(VLOOKUP(tbEscolas[[#This Row],[COD ETPA]],tbEtapas[],3,FALSE),"")</f>
        <v>EDUCAÇÃO INFANTIL</v>
      </c>
      <c r="G291" t="s">
        <v>125</v>
      </c>
    </row>
    <row r="292" spans="1:7" x14ac:dyDescent="0.25">
      <c r="A292" s="24">
        <f>_xlfn.XLOOKUP(tbEscolas[[#This Row],[ESCOLA]],tbNucleo[ESCOLA],tbNucleo[COD ESCOLA],"")</f>
        <v>17</v>
      </c>
      <c r="B292" t="str" cm="1">
        <f t="array" ref="B292">IFERROR(INDEX(tbNucleo[ESCOLA],ROUNDUP(ROW(B291)/TotalEtapas,0)),"")</f>
        <v>E.E 12 DE OUTUBRO LIMÃO</v>
      </c>
      <c r="C292" t="str">
        <f>IFERROR(VLOOKUP(B292,tbNucleo[],2,FALSE),"")</f>
        <v/>
      </c>
      <c r="D292" cm="1">
        <f t="array" ref="D292">IF(B292="","",INDEX(tbEtapas[Nº],MOD(ROW(B291)-1,TotalEtapas)+1))</f>
        <v>3</v>
      </c>
      <c r="E292" t="str">
        <f>IFERROR(VLOOKUP(tbEscolas[[#This Row],[COD ETPA]],tbEtapas[],2,FALSE),"")</f>
        <v>PRE I</v>
      </c>
      <c r="F292" t="str">
        <f>IFERROR(VLOOKUP(tbEscolas[[#This Row],[COD ETPA]],tbEtapas[],3,FALSE),"")</f>
        <v>EDUCAÇÃO INFANTIL</v>
      </c>
      <c r="G292" t="s">
        <v>125</v>
      </c>
    </row>
    <row r="293" spans="1:7" x14ac:dyDescent="0.25">
      <c r="A293" s="24">
        <f>_xlfn.XLOOKUP(tbEscolas[[#This Row],[ESCOLA]],tbNucleo[ESCOLA],tbNucleo[COD ESCOLA],"")</f>
        <v>17</v>
      </c>
      <c r="B293" t="str" cm="1">
        <f t="array" ref="B293">IFERROR(INDEX(tbNucleo[ESCOLA],ROUNDUP(ROW(B292)/TotalEtapas,0)),"")</f>
        <v>E.E 12 DE OUTUBRO LIMÃO</v>
      </c>
      <c r="C293" t="str">
        <f>IFERROR(VLOOKUP(B293,tbNucleo[],2,FALSE),"")</f>
        <v/>
      </c>
      <c r="D293" cm="1">
        <f t="array" ref="D293">IF(B293="","",INDEX(tbEtapas[Nº],MOD(ROW(B292)-1,TotalEtapas)+1))</f>
        <v>4</v>
      </c>
      <c r="E293" t="str">
        <f>IFERROR(VLOOKUP(tbEscolas[[#This Row],[COD ETPA]],tbEtapas[],2,FALSE),"")</f>
        <v>PRE II</v>
      </c>
      <c r="F293" t="str">
        <f>IFERROR(VLOOKUP(tbEscolas[[#This Row],[COD ETPA]],tbEtapas[],3,FALSE),"")</f>
        <v>EDUCAÇÃO INFANTIL</v>
      </c>
      <c r="G293" t="s">
        <v>125</v>
      </c>
    </row>
    <row r="294" spans="1:7" x14ac:dyDescent="0.25">
      <c r="A294" s="24">
        <f>_xlfn.XLOOKUP(tbEscolas[[#This Row],[ESCOLA]],tbNucleo[ESCOLA],tbNucleo[COD ESCOLA],"")</f>
        <v>17</v>
      </c>
      <c r="B294" t="str" cm="1">
        <f t="array" ref="B294">IFERROR(INDEX(tbNucleo[ESCOLA],ROUNDUP(ROW(B293)/TotalEtapas,0)),"")</f>
        <v>E.E 12 DE OUTUBRO LIMÃO</v>
      </c>
      <c r="C294" t="str">
        <f>IFERROR(VLOOKUP(B294,tbNucleo[],2,FALSE),"")</f>
        <v/>
      </c>
      <c r="D294" cm="1">
        <f t="array" ref="D294">IF(B294="","",INDEX(tbEtapas[Nº],MOD(ROW(B293)-1,TotalEtapas)+1))</f>
        <v>5</v>
      </c>
      <c r="E294" t="str">
        <f>IFERROR(VLOOKUP(tbEscolas[[#This Row],[COD ETPA]],tbEtapas[],2,FALSE),"")</f>
        <v>1º ANO</v>
      </c>
      <c r="F294" t="str">
        <f>IFERROR(VLOOKUP(tbEscolas[[#This Row],[COD ETPA]],tbEtapas[],3,FALSE),"")</f>
        <v>FUNDAMENTAL</v>
      </c>
      <c r="G294" t="s">
        <v>125</v>
      </c>
    </row>
    <row r="295" spans="1:7" x14ac:dyDescent="0.25">
      <c r="A295" s="24">
        <f>_xlfn.XLOOKUP(tbEscolas[[#This Row],[ESCOLA]],tbNucleo[ESCOLA],tbNucleo[COD ESCOLA],"")</f>
        <v>17</v>
      </c>
      <c r="B295" t="str" cm="1">
        <f t="array" ref="B295">IFERROR(INDEX(tbNucleo[ESCOLA],ROUNDUP(ROW(B294)/TotalEtapas,0)),"")</f>
        <v>E.E 12 DE OUTUBRO LIMÃO</v>
      </c>
      <c r="C295" t="str">
        <f>IFERROR(VLOOKUP(B295,tbNucleo[],2,FALSE),"")</f>
        <v/>
      </c>
      <c r="D295" cm="1">
        <f t="array" ref="D295">IF(B295="","",INDEX(tbEtapas[Nº],MOD(ROW(B294)-1,TotalEtapas)+1))</f>
        <v>6</v>
      </c>
      <c r="E295" t="str">
        <f>IFERROR(VLOOKUP(tbEscolas[[#This Row],[COD ETPA]],tbEtapas[],2,FALSE),"")</f>
        <v>2º ANO</v>
      </c>
      <c r="F295" t="str">
        <f>IFERROR(VLOOKUP(tbEscolas[[#This Row],[COD ETPA]],tbEtapas[],3,FALSE),"")</f>
        <v>FUNDAMENTAL</v>
      </c>
      <c r="G295" t="s">
        <v>125</v>
      </c>
    </row>
    <row r="296" spans="1:7" x14ac:dyDescent="0.25">
      <c r="A296" s="24">
        <f>_xlfn.XLOOKUP(tbEscolas[[#This Row],[ESCOLA]],tbNucleo[ESCOLA],tbNucleo[COD ESCOLA],"")</f>
        <v>17</v>
      </c>
      <c r="B296" t="str" cm="1">
        <f t="array" ref="B296">IFERROR(INDEX(tbNucleo[ESCOLA],ROUNDUP(ROW(B295)/TotalEtapas,0)),"")</f>
        <v>E.E 12 DE OUTUBRO LIMÃO</v>
      </c>
      <c r="C296" t="str">
        <f>IFERROR(VLOOKUP(B296,tbNucleo[],2,FALSE),"")</f>
        <v/>
      </c>
      <c r="D296" cm="1">
        <f t="array" ref="D296">IF(B296="","",INDEX(tbEtapas[Nº],MOD(ROW(B295)-1,TotalEtapas)+1))</f>
        <v>7</v>
      </c>
      <c r="E296" t="str">
        <f>IFERROR(VLOOKUP(tbEscolas[[#This Row],[COD ETPA]],tbEtapas[],2,FALSE),"")</f>
        <v>3º ANO</v>
      </c>
      <c r="F296" t="str">
        <f>IFERROR(VLOOKUP(tbEscolas[[#This Row],[COD ETPA]],tbEtapas[],3,FALSE),"")</f>
        <v>FUNDAMENTAL</v>
      </c>
      <c r="G296" t="s">
        <v>125</v>
      </c>
    </row>
    <row r="297" spans="1:7" x14ac:dyDescent="0.25">
      <c r="A297" s="24">
        <f>_xlfn.XLOOKUP(tbEscolas[[#This Row],[ESCOLA]],tbNucleo[ESCOLA],tbNucleo[COD ESCOLA],"")</f>
        <v>17</v>
      </c>
      <c r="B297" t="str" cm="1">
        <f t="array" ref="B297">IFERROR(INDEX(tbNucleo[ESCOLA],ROUNDUP(ROW(B296)/TotalEtapas,0)),"")</f>
        <v>E.E 12 DE OUTUBRO LIMÃO</v>
      </c>
      <c r="C297" t="str">
        <f>IFERROR(VLOOKUP(B297,tbNucleo[],2,FALSE),"")</f>
        <v/>
      </c>
      <c r="D297" cm="1">
        <f t="array" ref="D297">IF(B297="","",INDEX(tbEtapas[Nº],MOD(ROW(B296)-1,TotalEtapas)+1))</f>
        <v>8</v>
      </c>
      <c r="E297" t="str">
        <f>IFERROR(VLOOKUP(tbEscolas[[#This Row],[COD ETPA]],tbEtapas[],2,FALSE),"")</f>
        <v>4º ANO</v>
      </c>
      <c r="F297" t="str">
        <f>IFERROR(VLOOKUP(tbEscolas[[#This Row],[COD ETPA]],tbEtapas[],3,FALSE),"")</f>
        <v>FUNDAMENTAL</v>
      </c>
      <c r="G297" t="s">
        <v>125</v>
      </c>
    </row>
    <row r="298" spans="1:7" x14ac:dyDescent="0.25">
      <c r="A298" s="24">
        <f>_xlfn.XLOOKUP(tbEscolas[[#This Row],[ESCOLA]],tbNucleo[ESCOLA],tbNucleo[COD ESCOLA],"")</f>
        <v>17</v>
      </c>
      <c r="B298" t="str" cm="1">
        <f t="array" ref="B298">IFERROR(INDEX(tbNucleo[ESCOLA],ROUNDUP(ROW(B297)/TotalEtapas,0)),"")</f>
        <v>E.E 12 DE OUTUBRO LIMÃO</v>
      </c>
      <c r="C298" t="str">
        <f>IFERROR(VLOOKUP(B298,tbNucleo[],2,FALSE),"")</f>
        <v/>
      </c>
      <c r="D298" cm="1">
        <f t="array" ref="D298">IF(B298="","",INDEX(tbEtapas[Nº],MOD(ROW(B297)-1,TotalEtapas)+1))</f>
        <v>9</v>
      </c>
      <c r="E298" t="str">
        <f>IFERROR(VLOOKUP(tbEscolas[[#This Row],[COD ETPA]],tbEtapas[],2,FALSE),"")</f>
        <v>5º ANO</v>
      </c>
      <c r="F298" t="str">
        <f>IFERROR(VLOOKUP(tbEscolas[[#This Row],[COD ETPA]],tbEtapas[],3,FALSE),"")</f>
        <v>FUNDAMENTAL</v>
      </c>
      <c r="G298" t="s">
        <v>125</v>
      </c>
    </row>
    <row r="299" spans="1:7" x14ac:dyDescent="0.25">
      <c r="A299" s="24">
        <f>_xlfn.XLOOKUP(tbEscolas[[#This Row],[ESCOLA]],tbNucleo[ESCOLA],tbNucleo[COD ESCOLA],"")</f>
        <v>17</v>
      </c>
      <c r="B299" t="str" cm="1">
        <f t="array" ref="B299">IFERROR(INDEX(tbNucleo[ESCOLA],ROUNDUP(ROW(B298)/TotalEtapas,0)),"")</f>
        <v>E.E 12 DE OUTUBRO LIMÃO</v>
      </c>
      <c r="C299" t="str">
        <f>IFERROR(VLOOKUP(B299,tbNucleo[],2,FALSE),"")</f>
        <v/>
      </c>
      <c r="D299" cm="1">
        <f t="array" ref="D299">IF(B299="","",INDEX(tbEtapas[Nº],MOD(ROW(B298)-1,TotalEtapas)+1))</f>
        <v>10</v>
      </c>
      <c r="E299" t="str">
        <f>IFERROR(VLOOKUP(tbEscolas[[#This Row],[COD ETPA]],tbEtapas[],2,FALSE),"")</f>
        <v>6º ANO</v>
      </c>
      <c r="F299" t="str">
        <f>IFERROR(VLOOKUP(tbEscolas[[#This Row],[COD ETPA]],tbEtapas[],3,FALSE),"")</f>
        <v>FUNDAMENTAL</v>
      </c>
      <c r="G299" t="s">
        <v>126</v>
      </c>
    </row>
    <row r="300" spans="1:7" x14ac:dyDescent="0.25">
      <c r="A300" s="24">
        <f>_xlfn.XLOOKUP(tbEscolas[[#This Row],[ESCOLA]],tbNucleo[ESCOLA],tbNucleo[COD ESCOLA],"")</f>
        <v>17</v>
      </c>
      <c r="B300" t="str" cm="1">
        <f t="array" ref="B300">IFERROR(INDEX(tbNucleo[ESCOLA],ROUNDUP(ROW(B299)/TotalEtapas,0)),"")</f>
        <v>E.E 12 DE OUTUBRO LIMÃO</v>
      </c>
      <c r="C300" t="str">
        <f>IFERROR(VLOOKUP(B300,tbNucleo[],2,FALSE),"")</f>
        <v/>
      </c>
      <c r="D300" cm="1">
        <f t="array" ref="D300">IF(B300="","",INDEX(tbEtapas[Nº],MOD(ROW(B299)-1,TotalEtapas)+1))</f>
        <v>11</v>
      </c>
      <c r="E300" t="str">
        <f>IFERROR(VLOOKUP(tbEscolas[[#This Row],[COD ETPA]],tbEtapas[],2,FALSE),"")</f>
        <v>7º ANO</v>
      </c>
      <c r="F300" t="str">
        <f>IFERROR(VLOOKUP(tbEscolas[[#This Row],[COD ETPA]],tbEtapas[],3,FALSE),"")</f>
        <v>FUNDAMENTAL</v>
      </c>
      <c r="G300" t="s">
        <v>126</v>
      </c>
    </row>
    <row r="301" spans="1:7" x14ac:dyDescent="0.25">
      <c r="A301" s="24">
        <f>_xlfn.XLOOKUP(tbEscolas[[#This Row],[ESCOLA]],tbNucleo[ESCOLA],tbNucleo[COD ESCOLA],"")</f>
        <v>17</v>
      </c>
      <c r="B301" t="str" cm="1">
        <f t="array" ref="B301">IFERROR(INDEX(tbNucleo[ESCOLA],ROUNDUP(ROW(B300)/TotalEtapas,0)),"")</f>
        <v>E.E 12 DE OUTUBRO LIMÃO</v>
      </c>
      <c r="C301" t="str">
        <f>IFERROR(VLOOKUP(B301,tbNucleo[],2,FALSE),"")</f>
        <v/>
      </c>
      <c r="D301" cm="1">
        <f t="array" ref="D301">IF(B301="","",INDEX(tbEtapas[Nº],MOD(ROW(B300)-1,TotalEtapas)+1))</f>
        <v>12</v>
      </c>
      <c r="E301" t="str">
        <f>IFERROR(VLOOKUP(tbEscolas[[#This Row],[COD ETPA]],tbEtapas[],2,FALSE),"")</f>
        <v>8º ANO</v>
      </c>
      <c r="F301" t="str">
        <f>IFERROR(VLOOKUP(tbEscolas[[#This Row],[COD ETPA]],tbEtapas[],3,FALSE),"")</f>
        <v>FUNDAMENTAL</v>
      </c>
      <c r="G301" t="s">
        <v>126</v>
      </c>
    </row>
    <row r="302" spans="1:7" x14ac:dyDescent="0.25">
      <c r="A302" s="24">
        <f>_xlfn.XLOOKUP(tbEscolas[[#This Row],[ESCOLA]],tbNucleo[ESCOLA],tbNucleo[COD ESCOLA],"")</f>
        <v>17</v>
      </c>
      <c r="B302" t="str" cm="1">
        <f t="array" ref="B302">IFERROR(INDEX(tbNucleo[ESCOLA],ROUNDUP(ROW(B301)/TotalEtapas,0)),"")</f>
        <v>E.E 12 DE OUTUBRO LIMÃO</v>
      </c>
      <c r="C302" t="str">
        <f>IFERROR(VLOOKUP(B302,tbNucleo[],2,FALSE),"")</f>
        <v/>
      </c>
      <c r="D302" cm="1">
        <f t="array" ref="D302">IF(B302="","",INDEX(tbEtapas[Nº],MOD(ROW(B301)-1,TotalEtapas)+1))</f>
        <v>13</v>
      </c>
      <c r="E302" t="str">
        <f>IFERROR(VLOOKUP(tbEscolas[[#This Row],[COD ETPA]],tbEtapas[],2,FALSE),"")</f>
        <v>9º ANO</v>
      </c>
      <c r="F302" t="str">
        <f>IFERROR(VLOOKUP(tbEscolas[[#This Row],[COD ETPA]],tbEtapas[],3,FALSE),"")</f>
        <v>FUNDAMENTAL</v>
      </c>
      <c r="G302" t="s">
        <v>126</v>
      </c>
    </row>
    <row r="303" spans="1:7" x14ac:dyDescent="0.25">
      <c r="A303" s="24">
        <f>_xlfn.XLOOKUP(tbEscolas[[#This Row],[ESCOLA]],tbNucleo[ESCOLA],tbNucleo[COD ESCOLA],"")</f>
        <v>17</v>
      </c>
      <c r="B303" t="str" cm="1">
        <f t="array" ref="B303">IFERROR(INDEX(tbNucleo[ESCOLA],ROUNDUP(ROW(B302)/TotalEtapas,0)),"")</f>
        <v>E.E 12 DE OUTUBRO LIMÃO</v>
      </c>
      <c r="C303" t="str">
        <f>IFERROR(VLOOKUP(B303,tbNucleo[],2,FALSE),"")</f>
        <v/>
      </c>
      <c r="D303" cm="1">
        <f t="array" ref="D303">IF(B303="","",INDEX(tbEtapas[Nº],MOD(ROW(B302)-1,TotalEtapas)+1))</f>
        <v>14</v>
      </c>
      <c r="E303" t="str">
        <f>IFERROR(VLOOKUP(tbEscolas[[#This Row],[COD ETPA]],tbEtapas[],2,FALSE),"")</f>
        <v>1º ANO</v>
      </c>
      <c r="F303" t="str">
        <f>IFERROR(VLOOKUP(tbEscolas[[#This Row],[COD ETPA]],tbEtapas[],3,FALSE),"")</f>
        <v>ENSINO MÉDIO</v>
      </c>
      <c r="G303" t="s">
        <v>126</v>
      </c>
    </row>
    <row r="304" spans="1:7" x14ac:dyDescent="0.25">
      <c r="A304" s="24">
        <f>_xlfn.XLOOKUP(tbEscolas[[#This Row],[ESCOLA]],tbNucleo[ESCOLA],tbNucleo[COD ESCOLA],"")</f>
        <v>17</v>
      </c>
      <c r="B304" t="str" cm="1">
        <f t="array" ref="B304">IFERROR(INDEX(tbNucleo[ESCOLA],ROUNDUP(ROW(B303)/TotalEtapas,0)),"")</f>
        <v>E.E 12 DE OUTUBRO LIMÃO</v>
      </c>
      <c r="C304" t="str">
        <f>IFERROR(VLOOKUP(B304,tbNucleo[],2,FALSE),"")</f>
        <v/>
      </c>
      <c r="D304" cm="1">
        <f t="array" ref="D304">IF(B304="","",INDEX(tbEtapas[Nº],MOD(ROW(B303)-1,TotalEtapas)+1))</f>
        <v>15</v>
      </c>
      <c r="E304" t="str">
        <f>IFERROR(VLOOKUP(tbEscolas[[#This Row],[COD ETPA]],tbEtapas[],2,FALSE),"")</f>
        <v>2º ANO</v>
      </c>
      <c r="F304" t="str">
        <f>IFERROR(VLOOKUP(tbEscolas[[#This Row],[COD ETPA]],tbEtapas[],3,FALSE),"")</f>
        <v>ENSINO MÉDIO</v>
      </c>
      <c r="G304" t="s">
        <v>126</v>
      </c>
    </row>
    <row r="305" spans="1:7" x14ac:dyDescent="0.25">
      <c r="A305" s="24">
        <f>_xlfn.XLOOKUP(tbEscolas[[#This Row],[ESCOLA]],tbNucleo[ESCOLA],tbNucleo[COD ESCOLA],"")</f>
        <v>17</v>
      </c>
      <c r="B305" t="str" cm="1">
        <f t="array" ref="B305">IFERROR(INDEX(tbNucleo[ESCOLA],ROUNDUP(ROW(B304)/TotalEtapas,0)),"")</f>
        <v>E.E 12 DE OUTUBRO LIMÃO</v>
      </c>
      <c r="C305" t="str">
        <f>IFERROR(VLOOKUP(B305,tbNucleo[],2,FALSE),"")</f>
        <v/>
      </c>
      <c r="D305" cm="1">
        <f t="array" ref="D305">IF(B305="","",INDEX(tbEtapas[Nº],MOD(ROW(B304)-1,TotalEtapas)+1))</f>
        <v>16</v>
      </c>
      <c r="E305" t="str">
        <f>IFERROR(VLOOKUP(tbEscolas[[#This Row],[COD ETPA]],tbEtapas[],2,FALSE),"")</f>
        <v>3º ANO</v>
      </c>
      <c r="F305" t="str">
        <f>IFERROR(VLOOKUP(tbEscolas[[#This Row],[COD ETPA]],tbEtapas[],3,FALSE),"")</f>
        <v>ENSINO MÉDIO</v>
      </c>
      <c r="G305" t="s">
        <v>126</v>
      </c>
    </row>
    <row r="306" spans="1:7" x14ac:dyDescent="0.25">
      <c r="A306" s="24">
        <f>_xlfn.XLOOKUP(tbEscolas[[#This Row],[ESCOLA]],tbNucleo[ESCOLA],tbNucleo[COD ESCOLA],"")</f>
        <v>17</v>
      </c>
      <c r="B306" t="str" cm="1">
        <f t="array" ref="B306">IFERROR(INDEX(tbNucleo[ESCOLA],ROUNDUP(ROW(B305)/TotalEtapas,0)),"")</f>
        <v>E.E 12 DE OUTUBRO LIMÃO</v>
      </c>
      <c r="C306" t="str">
        <f>IFERROR(VLOOKUP(B306,tbNucleo[],2,FALSE),"")</f>
        <v/>
      </c>
      <c r="D306" cm="1">
        <f t="array" ref="D306">IF(B306="","",INDEX(tbEtapas[Nº],MOD(ROW(B305)-1,TotalEtapas)+1))</f>
        <v>17</v>
      </c>
      <c r="E306" t="str">
        <f>IFERROR(VLOOKUP(tbEscolas[[#This Row],[COD ETPA]],tbEtapas[],2,FALSE),"")</f>
        <v>EJA I</v>
      </c>
      <c r="F306" t="str">
        <f>IFERROR(VLOOKUP(tbEscolas[[#This Row],[COD ETPA]],tbEtapas[],3,FALSE),"")</f>
        <v>FUNDAMENTAL</v>
      </c>
      <c r="G306" t="s">
        <v>125</v>
      </c>
    </row>
    <row r="307" spans="1:7" x14ac:dyDescent="0.25">
      <c r="A307" s="24">
        <f>_xlfn.XLOOKUP(tbEscolas[[#This Row],[ESCOLA]],tbNucleo[ESCOLA],tbNucleo[COD ESCOLA],"")</f>
        <v>17</v>
      </c>
      <c r="B307" t="str" cm="1">
        <f t="array" ref="B307">IFERROR(INDEX(tbNucleo[ESCOLA],ROUNDUP(ROW(B306)/TotalEtapas,0)),"")</f>
        <v>E.E 12 DE OUTUBRO LIMÃO</v>
      </c>
      <c r="C307" t="str">
        <f>IFERROR(VLOOKUP(B307,tbNucleo[],2,FALSE),"")</f>
        <v/>
      </c>
      <c r="D307" cm="1">
        <f t="array" ref="D307">IF(B307="","",INDEX(tbEtapas[Nº],MOD(ROW(B306)-1,TotalEtapas)+1))</f>
        <v>18</v>
      </c>
      <c r="E307" t="str">
        <f>IFERROR(VLOOKUP(tbEscolas[[#This Row],[COD ETPA]],tbEtapas[],2,FALSE),"")</f>
        <v>EJA II</v>
      </c>
      <c r="F307" t="str">
        <f>IFERROR(VLOOKUP(tbEscolas[[#This Row],[COD ETPA]],tbEtapas[],3,FALSE),"")</f>
        <v>ENSINO MÉDIO</v>
      </c>
      <c r="G307" t="s">
        <v>125</v>
      </c>
    </row>
    <row r="308" spans="1:7" x14ac:dyDescent="0.25">
      <c r="A308" s="24">
        <f>_xlfn.XLOOKUP(tbEscolas[[#This Row],[ESCOLA]],tbNucleo[ESCOLA],tbNucleo[COD ESCOLA],"")</f>
        <v>18</v>
      </c>
      <c r="B308" t="str" cm="1">
        <f t="array" ref="B308">IFERROR(INDEX(tbNucleo[ESCOLA],ROUNDUP(ROW(B307)/TotalEtapas,0)),"")</f>
        <v>E.E COLEGIO ESTADUAL ONZE DE MARÇO ( CEOM )</v>
      </c>
      <c r="C308" t="str">
        <f>IFERROR(VLOOKUP(B308,tbNucleo[],2,FALSE),"")</f>
        <v/>
      </c>
      <c r="D308" cm="1">
        <f t="array" ref="D308">IF(B308="","",INDEX(tbEtapas[Nº],MOD(ROW(B307)-1,TotalEtapas)+1))</f>
        <v>1</v>
      </c>
      <c r="E308" t="str">
        <f>IFERROR(VLOOKUP(tbEscolas[[#This Row],[COD ETPA]],tbEtapas[],2,FALSE),"")</f>
        <v>CRECHE I</v>
      </c>
      <c r="F308" t="str">
        <f>IFERROR(VLOOKUP(tbEscolas[[#This Row],[COD ETPA]],tbEtapas[],3,FALSE),"")</f>
        <v>EDUCAÇÃO INFANTIL</v>
      </c>
      <c r="G308" t="s">
        <v>125</v>
      </c>
    </row>
    <row r="309" spans="1:7" x14ac:dyDescent="0.25">
      <c r="A309" s="24">
        <f>_xlfn.XLOOKUP(tbEscolas[[#This Row],[ESCOLA]],tbNucleo[ESCOLA],tbNucleo[COD ESCOLA],"")</f>
        <v>18</v>
      </c>
      <c r="B309" t="str" cm="1">
        <f t="array" ref="B309">IFERROR(INDEX(tbNucleo[ESCOLA],ROUNDUP(ROW(B308)/TotalEtapas,0)),"")</f>
        <v>E.E COLEGIO ESTADUAL ONZE DE MARÇO ( CEOM )</v>
      </c>
      <c r="C309" t="str">
        <f>IFERROR(VLOOKUP(B309,tbNucleo[],2,FALSE),"")</f>
        <v/>
      </c>
      <c r="D309" cm="1">
        <f t="array" ref="D309">IF(B309="","",INDEX(tbEtapas[Nº],MOD(ROW(B308)-1,TotalEtapas)+1))</f>
        <v>2</v>
      </c>
      <c r="E309" t="str">
        <f>IFERROR(VLOOKUP(tbEscolas[[#This Row],[COD ETPA]],tbEtapas[],2,FALSE),"")</f>
        <v>CRECHE II</v>
      </c>
      <c r="F309" t="str">
        <f>IFERROR(VLOOKUP(tbEscolas[[#This Row],[COD ETPA]],tbEtapas[],3,FALSE),"")</f>
        <v>EDUCAÇÃO INFANTIL</v>
      </c>
      <c r="G309" t="s">
        <v>125</v>
      </c>
    </row>
    <row r="310" spans="1:7" x14ac:dyDescent="0.25">
      <c r="A310" s="24">
        <f>_xlfn.XLOOKUP(tbEscolas[[#This Row],[ESCOLA]],tbNucleo[ESCOLA],tbNucleo[COD ESCOLA],"")</f>
        <v>18</v>
      </c>
      <c r="B310" t="str" cm="1">
        <f t="array" ref="B310">IFERROR(INDEX(tbNucleo[ESCOLA],ROUNDUP(ROW(B309)/TotalEtapas,0)),"")</f>
        <v>E.E COLEGIO ESTADUAL ONZE DE MARÇO ( CEOM )</v>
      </c>
      <c r="C310" t="str">
        <f>IFERROR(VLOOKUP(B310,tbNucleo[],2,FALSE),"")</f>
        <v/>
      </c>
      <c r="D310" cm="1">
        <f t="array" ref="D310">IF(B310="","",INDEX(tbEtapas[Nº],MOD(ROW(B309)-1,TotalEtapas)+1))</f>
        <v>3</v>
      </c>
      <c r="E310" t="str">
        <f>IFERROR(VLOOKUP(tbEscolas[[#This Row],[COD ETPA]],tbEtapas[],2,FALSE),"")</f>
        <v>PRE I</v>
      </c>
      <c r="F310" t="str">
        <f>IFERROR(VLOOKUP(tbEscolas[[#This Row],[COD ETPA]],tbEtapas[],3,FALSE),"")</f>
        <v>EDUCAÇÃO INFANTIL</v>
      </c>
      <c r="G310" t="s">
        <v>125</v>
      </c>
    </row>
    <row r="311" spans="1:7" x14ac:dyDescent="0.25">
      <c r="A311" s="24">
        <f>_xlfn.XLOOKUP(tbEscolas[[#This Row],[ESCOLA]],tbNucleo[ESCOLA],tbNucleo[COD ESCOLA],"")</f>
        <v>18</v>
      </c>
      <c r="B311" t="str" cm="1">
        <f t="array" ref="B311">IFERROR(INDEX(tbNucleo[ESCOLA],ROUNDUP(ROW(B310)/TotalEtapas,0)),"")</f>
        <v>E.E COLEGIO ESTADUAL ONZE DE MARÇO ( CEOM )</v>
      </c>
      <c r="C311" t="str">
        <f>IFERROR(VLOOKUP(B311,tbNucleo[],2,FALSE),"")</f>
        <v/>
      </c>
      <c r="D311" cm="1">
        <f t="array" ref="D311">IF(B311="","",INDEX(tbEtapas[Nº],MOD(ROW(B310)-1,TotalEtapas)+1))</f>
        <v>4</v>
      </c>
      <c r="E311" t="str">
        <f>IFERROR(VLOOKUP(tbEscolas[[#This Row],[COD ETPA]],tbEtapas[],2,FALSE),"")</f>
        <v>PRE II</v>
      </c>
      <c r="F311" t="str">
        <f>IFERROR(VLOOKUP(tbEscolas[[#This Row],[COD ETPA]],tbEtapas[],3,FALSE),"")</f>
        <v>EDUCAÇÃO INFANTIL</v>
      </c>
      <c r="G311" t="s">
        <v>125</v>
      </c>
    </row>
    <row r="312" spans="1:7" x14ac:dyDescent="0.25">
      <c r="A312" s="24">
        <f>_xlfn.XLOOKUP(tbEscolas[[#This Row],[ESCOLA]],tbNucleo[ESCOLA],tbNucleo[COD ESCOLA],"")</f>
        <v>18</v>
      </c>
      <c r="B312" t="str" cm="1">
        <f t="array" ref="B312">IFERROR(INDEX(tbNucleo[ESCOLA],ROUNDUP(ROW(B311)/TotalEtapas,0)),"")</f>
        <v>E.E COLEGIO ESTADUAL ONZE DE MARÇO ( CEOM )</v>
      </c>
      <c r="C312" t="str">
        <f>IFERROR(VLOOKUP(B312,tbNucleo[],2,FALSE),"")</f>
        <v/>
      </c>
      <c r="D312" cm="1">
        <f t="array" ref="D312">IF(B312="","",INDEX(tbEtapas[Nº],MOD(ROW(B311)-1,TotalEtapas)+1))</f>
        <v>5</v>
      </c>
      <c r="E312" t="str">
        <f>IFERROR(VLOOKUP(tbEscolas[[#This Row],[COD ETPA]],tbEtapas[],2,FALSE),"")</f>
        <v>1º ANO</v>
      </c>
      <c r="F312" t="str">
        <f>IFERROR(VLOOKUP(tbEscolas[[#This Row],[COD ETPA]],tbEtapas[],3,FALSE),"")</f>
        <v>FUNDAMENTAL</v>
      </c>
      <c r="G312" t="s">
        <v>126</v>
      </c>
    </row>
    <row r="313" spans="1:7" x14ac:dyDescent="0.25">
      <c r="A313" s="24">
        <f>_xlfn.XLOOKUP(tbEscolas[[#This Row],[ESCOLA]],tbNucleo[ESCOLA],tbNucleo[COD ESCOLA],"")</f>
        <v>18</v>
      </c>
      <c r="B313" t="str" cm="1">
        <f t="array" ref="B313">IFERROR(INDEX(tbNucleo[ESCOLA],ROUNDUP(ROW(B312)/TotalEtapas,0)),"")</f>
        <v>E.E COLEGIO ESTADUAL ONZE DE MARÇO ( CEOM )</v>
      </c>
      <c r="C313" t="str">
        <f>IFERROR(VLOOKUP(B313,tbNucleo[],2,FALSE),"")</f>
        <v/>
      </c>
      <c r="D313" cm="1">
        <f t="array" ref="D313">IF(B313="","",INDEX(tbEtapas[Nº],MOD(ROW(B312)-1,TotalEtapas)+1))</f>
        <v>6</v>
      </c>
      <c r="E313" t="str">
        <f>IFERROR(VLOOKUP(tbEscolas[[#This Row],[COD ETPA]],tbEtapas[],2,FALSE),"")</f>
        <v>2º ANO</v>
      </c>
      <c r="F313" t="str">
        <f>IFERROR(VLOOKUP(tbEscolas[[#This Row],[COD ETPA]],tbEtapas[],3,FALSE),"")</f>
        <v>FUNDAMENTAL</v>
      </c>
      <c r="G313" t="s">
        <v>126</v>
      </c>
    </row>
    <row r="314" spans="1:7" x14ac:dyDescent="0.25">
      <c r="A314" s="24">
        <f>_xlfn.XLOOKUP(tbEscolas[[#This Row],[ESCOLA]],tbNucleo[ESCOLA],tbNucleo[COD ESCOLA],"")</f>
        <v>18</v>
      </c>
      <c r="B314" t="str" cm="1">
        <f t="array" ref="B314">IFERROR(INDEX(tbNucleo[ESCOLA],ROUNDUP(ROW(B313)/TotalEtapas,0)),"")</f>
        <v>E.E COLEGIO ESTADUAL ONZE DE MARÇO ( CEOM )</v>
      </c>
      <c r="C314" t="str">
        <f>IFERROR(VLOOKUP(B314,tbNucleo[],2,FALSE),"")</f>
        <v/>
      </c>
      <c r="D314" cm="1">
        <f t="array" ref="D314">IF(B314="","",INDEX(tbEtapas[Nº],MOD(ROW(B313)-1,TotalEtapas)+1))</f>
        <v>7</v>
      </c>
      <c r="E314" t="str">
        <f>IFERROR(VLOOKUP(tbEscolas[[#This Row],[COD ETPA]],tbEtapas[],2,FALSE),"")</f>
        <v>3º ANO</v>
      </c>
      <c r="F314" t="str">
        <f>IFERROR(VLOOKUP(tbEscolas[[#This Row],[COD ETPA]],tbEtapas[],3,FALSE),"")</f>
        <v>FUNDAMENTAL</v>
      </c>
      <c r="G314" t="s">
        <v>126</v>
      </c>
    </row>
    <row r="315" spans="1:7" x14ac:dyDescent="0.25">
      <c r="A315" s="24">
        <f>_xlfn.XLOOKUP(tbEscolas[[#This Row],[ESCOLA]],tbNucleo[ESCOLA],tbNucleo[COD ESCOLA],"")</f>
        <v>18</v>
      </c>
      <c r="B315" t="str" cm="1">
        <f t="array" ref="B315">IFERROR(INDEX(tbNucleo[ESCOLA],ROUNDUP(ROW(B314)/TotalEtapas,0)),"")</f>
        <v>E.E COLEGIO ESTADUAL ONZE DE MARÇO ( CEOM )</v>
      </c>
      <c r="C315" t="str">
        <f>IFERROR(VLOOKUP(B315,tbNucleo[],2,FALSE),"")</f>
        <v/>
      </c>
      <c r="D315" cm="1">
        <f t="array" ref="D315">IF(B315="","",INDEX(tbEtapas[Nº],MOD(ROW(B314)-1,TotalEtapas)+1))</f>
        <v>8</v>
      </c>
      <c r="E315" t="str">
        <f>IFERROR(VLOOKUP(tbEscolas[[#This Row],[COD ETPA]],tbEtapas[],2,FALSE),"")</f>
        <v>4º ANO</v>
      </c>
      <c r="F315" t="str">
        <f>IFERROR(VLOOKUP(tbEscolas[[#This Row],[COD ETPA]],tbEtapas[],3,FALSE),"")</f>
        <v>FUNDAMENTAL</v>
      </c>
      <c r="G315" t="s">
        <v>126</v>
      </c>
    </row>
    <row r="316" spans="1:7" x14ac:dyDescent="0.25">
      <c r="A316" s="24">
        <f>_xlfn.XLOOKUP(tbEscolas[[#This Row],[ESCOLA]],tbNucleo[ESCOLA],tbNucleo[COD ESCOLA],"")</f>
        <v>18</v>
      </c>
      <c r="B316" t="str" cm="1">
        <f t="array" ref="B316">IFERROR(INDEX(tbNucleo[ESCOLA],ROUNDUP(ROW(B315)/TotalEtapas,0)),"")</f>
        <v>E.E COLEGIO ESTADUAL ONZE DE MARÇO ( CEOM )</v>
      </c>
      <c r="C316" t="str">
        <f>IFERROR(VLOOKUP(B316,tbNucleo[],2,FALSE),"")</f>
        <v/>
      </c>
      <c r="D316" cm="1">
        <f t="array" ref="D316">IF(B316="","",INDEX(tbEtapas[Nº],MOD(ROW(B315)-1,TotalEtapas)+1))</f>
        <v>9</v>
      </c>
      <c r="E316" t="str">
        <f>IFERROR(VLOOKUP(tbEscolas[[#This Row],[COD ETPA]],tbEtapas[],2,FALSE),"")</f>
        <v>5º ANO</v>
      </c>
      <c r="F316" t="str">
        <f>IFERROR(VLOOKUP(tbEscolas[[#This Row],[COD ETPA]],tbEtapas[],3,FALSE),"")</f>
        <v>FUNDAMENTAL</v>
      </c>
      <c r="G316" t="s">
        <v>126</v>
      </c>
    </row>
    <row r="317" spans="1:7" x14ac:dyDescent="0.25">
      <c r="A317" s="24">
        <f>_xlfn.XLOOKUP(tbEscolas[[#This Row],[ESCOLA]],tbNucleo[ESCOLA],tbNucleo[COD ESCOLA],"")</f>
        <v>18</v>
      </c>
      <c r="B317" t="str" cm="1">
        <f t="array" ref="B317">IFERROR(INDEX(tbNucleo[ESCOLA],ROUNDUP(ROW(B316)/TotalEtapas,0)),"")</f>
        <v>E.E COLEGIO ESTADUAL ONZE DE MARÇO ( CEOM )</v>
      </c>
      <c r="C317" t="str">
        <f>IFERROR(VLOOKUP(B317,tbNucleo[],2,FALSE),"")</f>
        <v/>
      </c>
      <c r="D317" cm="1">
        <f t="array" ref="D317">IF(B317="","",INDEX(tbEtapas[Nº],MOD(ROW(B316)-1,TotalEtapas)+1))</f>
        <v>10</v>
      </c>
      <c r="E317" t="str">
        <f>IFERROR(VLOOKUP(tbEscolas[[#This Row],[COD ETPA]],tbEtapas[],2,FALSE),"")</f>
        <v>6º ANO</v>
      </c>
      <c r="F317" t="str">
        <f>IFERROR(VLOOKUP(tbEscolas[[#This Row],[COD ETPA]],tbEtapas[],3,FALSE),"")</f>
        <v>FUNDAMENTAL</v>
      </c>
      <c r="G317" t="s">
        <v>125</v>
      </c>
    </row>
    <row r="318" spans="1:7" x14ac:dyDescent="0.25">
      <c r="A318" s="24">
        <f>_xlfn.XLOOKUP(tbEscolas[[#This Row],[ESCOLA]],tbNucleo[ESCOLA],tbNucleo[COD ESCOLA],"")</f>
        <v>18</v>
      </c>
      <c r="B318" t="str" cm="1">
        <f t="array" ref="B318">IFERROR(INDEX(tbNucleo[ESCOLA],ROUNDUP(ROW(B317)/TotalEtapas,0)),"")</f>
        <v>E.E COLEGIO ESTADUAL ONZE DE MARÇO ( CEOM )</v>
      </c>
      <c r="C318" t="str">
        <f>IFERROR(VLOOKUP(B318,tbNucleo[],2,FALSE),"")</f>
        <v/>
      </c>
      <c r="D318" cm="1">
        <f t="array" ref="D318">IF(B318="","",INDEX(tbEtapas[Nº],MOD(ROW(B317)-1,TotalEtapas)+1))</f>
        <v>11</v>
      </c>
      <c r="E318" t="str">
        <f>IFERROR(VLOOKUP(tbEscolas[[#This Row],[COD ETPA]],tbEtapas[],2,FALSE),"")</f>
        <v>7º ANO</v>
      </c>
      <c r="F318" t="str">
        <f>IFERROR(VLOOKUP(tbEscolas[[#This Row],[COD ETPA]],tbEtapas[],3,FALSE),"")</f>
        <v>FUNDAMENTAL</v>
      </c>
      <c r="G318" t="s">
        <v>125</v>
      </c>
    </row>
    <row r="319" spans="1:7" x14ac:dyDescent="0.25">
      <c r="A319" s="24">
        <f>_xlfn.XLOOKUP(tbEscolas[[#This Row],[ESCOLA]],tbNucleo[ESCOLA],tbNucleo[COD ESCOLA],"")</f>
        <v>18</v>
      </c>
      <c r="B319" t="str" cm="1">
        <f t="array" ref="B319">IFERROR(INDEX(tbNucleo[ESCOLA],ROUNDUP(ROW(B318)/TotalEtapas,0)),"")</f>
        <v>E.E COLEGIO ESTADUAL ONZE DE MARÇO ( CEOM )</v>
      </c>
      <c r="C319" t="str">
        <f>IFERROR(VLOOKUP(B319,tbNucleo[],2,FALSE),"")</f>
        <v/>
      </c>
      <c r="D319" cm="1">
        <f t="array" ref="D319">IF(B319="","",INDEX(tbEtapas[Nº],MOD(ROW(B318)-1,TotalEtapas)+1))</f>
        <v>12</v>
      </c>
      <c r="E319" t="str">
        <f>IFERROR(VLOOKUP(tbEscolas[[#This Row],[COD ETPA]],tbEtapas[],2,FALSE),"")</f>
        <v>8º ANO</v>
      </c>
      <c r="F319" t="str">
        <f>IFERROR(VLOOKUP(tbEscolas[[#This Row],[COD ETPA]],tbEtapas[],3,FALSE),"")</f>
        <v>FUNDAMENTAL</v>
      </c>
      <c r="G319" t="s">
        <v>125</v>
      </c>
    </row>
    <row r="320" spans="1:7" x14ac:dyDescent="0.25">
      <c r="A320" s="24">
        <f>_xlfn.XLOOKUP(tbEscolas[[#This Row],[ESCOLA]],tbNucleo[ESCOLA],tbNucleo[COD ESCOLA],"")</f>
        <v>18</v>
      </c>
      <c r="B320" t="str" cm="1">
        <f t="array" ref="B320">IFERROR(INDEX(tbNucleo[ESCOLA],ROUNDUP(ROW(B319)/TotalEtapas,0)),"")</f>
        <v>E.E COLEGIO ESTADUAL ONZE DE MARÇO ( CEOM )</v>
      </c>
      <c r="C320" t="str">
        <f>IFERROR(VLOOKUP(B320,tbNucleo[],2,FALSE),"")</f>
        <v/>
      </c>
      <c r="D320" cm="1">
        <f t="array" ref="D320">IF(B320="","",INDEX(tbEtapas[Nº],MOD(ROW(B319)-1,TotalEtapas)+1))</f>
        <v>13</v>
      </c>
      <c r="E320" t="str">
        <f>IFERROR(VLOOKUP(tbEscolas[[#This Row],[COD ETPA]],tbEtapas[],2,FALSE),"")</f>
        <v>9º ANO</v>
      </c>
      <c r="F320" t="str">
        <f>IFERROR(VLOOKUP(tbEscolas[[#This Row],[COD ETPA]],tbEtapas[],3,FALSE),"")</f>
        <v>FUNDAMENTAL</v>
      </c>
      <c r="G320" t="s">
        <v>125</v>
      </c>
    </row>
    <row r="321" spans="1:7" x14ac:dyDescent="0.25">
      <c r="A321" s="24">
        <f>_xlfn.XLOOKUP(tbEscolas[[#This Row],[ESCOLA]],tbNucleo[ESCOLA],tbNucleo[COD ESCOLA],"")</f>
        <v>18</v>
      </c>
      <c r="B321" t="str" cm="1">
        <f t="array" ref="B321">IFERROR(INDEX(tbNucleo[ESCOLA],ROUNDUP(ROW(B320)/TotalEtapas,0)),"")</f>
        <v>E.E COLEGIO ESTADUAL ONZE DE MARÇO ( CEOM )</v>
      </c>
      <c r="C321" t="str">
        <f>IFERROR(VLOOKUP(B321,tbNucleo[],2,FALSE),"")</f>
        <v/>
      </c>
      <c r="D321" cm="1">
        <f t="array" ref="D321">IF(B321="","",INDEX(tbEtapas[Nº],MOD(ROW(B320)-1,TotalEtapas)+1))</f>
        <v>14</v>
      </c>
      <c r="E321" t="str">
        <f>IFERROR(VLOOKUP(tbEscolas[[#This Row],[COD ETPA]],tbEtapas[],2,FALSE),"")</f>
        <v>1º ANO</v>
      </c>
      <c r="F321" t="str">
        <f>IFERROR(VLOOKUP(tbEscolas[[#This Row],[COD ETPA]],tbEtapas[],3,FALSE),"")</f>
        <v>ENSINO MÉDIO</v>
      </c>
      <c r="G321" t="s">
        <v>125</v>
      </c>
    </row>
    <row r="322" spans="1:7" x14ac:dyDescent="0.25">
      <c r="A322" s="24">
        <f>_xlfn.XLOOKUP(tbEscolas[[#This Row],[ESCOLA]],tbNucleo[ESCOLA],tbNucleo[COD ESCOLA],"")</f>
        <v>18</v>
      </c>
      <c r="B322" t="str" cm="1">
        <f t="array" ref="B322">IFERROR(INDEX(tbNucleo[ESCOLA],ROUNDUP(ROW(B321)/TotalEtapas,0)),"")</f>
        <v>E.E COLEGIO ESTADUAL ONZE DE MARÇO ( CEOM )</v>
      </c>
      <c r="C322" t="str">
        <f>IFERROR(VLOOKUP(B322,tbNucleo[],2,FALSE),"")</f>
        <v/>
      </c>
      <c r="D322" cm="1">
        <f t="array" ref="D322">IF(B322="","",INDEX(tbEtapas[Nº],MOD(ROW(B321)-1,TotalEtapas)+1))</f>
        <v>15</v>
      </c>
      <c r="E322" t="str">
        <f>IFERROR(VLOOKUP(tbEscolas[[#This Row],[COD ETPA]],tbEtapas[],2,FALSE),"")</f>
        <v>2º ANO</v>
      </c>
      <c r="F322" t="str">
        <f>IFERROR(VLOOKUP(tbEscolas[[#This Row],[COD ETPA]],tbEtapas[],3,FALSE),"")</f>
        <v>ENSINO MÉDIO</v>
      </c>
      <c r="G322" t="s">
        <v>125</v>
      </c>
    </row>
    <row r="323" spans="1:7" x14ac:dyDescent="0.25">
      <c r="A323" s="24">
        <f>_xlfn.XLOOKUP(tbEscolas[[#This Row],[ESCOLA]],tbNucleo[ESCOLA],tbNucleo[COD ESCOLA],"")</f>
        <v>18</v>
      </c>
      <c r="B323" t="str" cm="1">
        <f t="array" ref="B323">IFERROR(INDEX(tbNucleo[ESCOLA],ROUNDUP(ROW(B322)/TotalEtapas,0)),"")</f>
        <v>E.E COLEGIO ESTADUAL ONZE DE MARÇO ( CEOM )</v>
      </c>
      <c r="C323" t="str">
        <f>IFERROR(VLOOKUP(B323,tbNucleo[],2,FALSE),"")</f>
        <v/>
      </c>
      <c r="D323" cm="1">
        <f t="array" ref="D323">IF(B323="","",INDEX(tbEtapas[Nº],MOD(ROW(B322)-1,TotalEtapas)+1))</f>
        <v>16</v>
      </c>
      <c r="E323" t="str">
        <f>IFERROR(VLOOKUP(tbEscolas[[#This Row],[COD ETPA]],tbEtapas[],2,FALSE),"")</f>
        <v>3º ANO</v>
      </c>
      <c r="F323" t="str">
        <f>IFERROR(VLOOKUP(tbEscolas[[#This Row],[COD ETPA]],tbEtapas[],3,FALSE),"")</f>
        <v>ENSINO MÉDIO</v>
      </c>
      <c r="G323" t="s">
        <v>125</v>
      </c>
    </row>
    <row r="324" spans="1:7" x14ac:dyDescent="0.25">
      <c r="A324" s="24">
        <f>_xlfn.XLOOKUP(tbEscolas[[#This Row],[ESCOLA]],tbNucleo[ESCOLA],tbNucleo[COD ESCOLA],"")</f>
        <v>18</v>
      </c>
      <c r="B324" t="str" cm="1">
        <f t="array" ref="B324">IFERROR(INDEX(tbNucleo[ESCOLA],ROUNDUP(ROW(B323)/TotalEtapas,0)),"")</f>
        <v>E.E COLEGIO ESTADUAL ONZE DE MARÇO ( CEOM )</v>
      </c>
      <c r="C324" t="str">
        <f>IFERROR(VLOOKUP(B324,tbNucleo[],2,FALSE),"")</f>
        <v/>
      </c>
      <c r="D324" cm="1">
        <f t="array" ref="D324">IF(B324="","",INDEX(tbEtapas[Nº],MOD(ROW(B323)-1,TotalEtapas)+1))</f>
        <v>17</v>
      </c>
      <c r="E324" t="str">
        <f>IFERROR(VLOOKUP(tbEscolas[[#This Row],[COD ETPA]],tbEtapas[],2,FALSE),"")</f>
        <v>EJA I</v>
      </c>
      <c r="F324" t="str">
        <f>IFERROR(VLOOKUP(tbEscolas[[#This Row],[COD ETPA]],tbEtapas[],3,FALSE),"")</f>
        <v>FUNDAMENTAL</v>
      </c>
      <c r="G324" t="s">
        <v>125</v>
      </c>
    </row>
    <row r="325" spans="1:7" x14ac:dyDescent="0.25">
      <c r="A325" s="24">
        <f>_xlfn.XLOOKUP(tbEscolas[[#This Row],[ESCOLA]],tbNucleo[ESCOLA],tbNucleo[COD ESCOLA],"")</f>
        <v>18</v>
      </c>
      <c r="B325" t="str" cm="1">
        <f t="array" ref="B325">IFERROR(INDEX(tbNucleo[ESCOLA],ROUNDUP(ROW(B324)/TotalEtapas,0)),"")</f>
        <v>E.E COLEGIO ESTADUAL ONZE DE MARÇO ( CEOM )</v>
      </c>
      <c r="C325" t="str">
        <f>IFERROR(VLOOKUP(B325,tbNucleo[],2,FALSE),"")</f>
        <v/>
      </c>
      <c r="D325" cm="1">
        <f t="array" ref="D325">IF(B325="","",INDEX(tbEtapas[Nº],MOD(ROW(B324)-1,TotalEtapas)+1))</f>
        <v>18</v>
      </c>
      <c r="E325" t="str">
        <f>IFERROR(VLOOKUP(tbEscolas[[#This Row],[COD ETPA]],tbEtapas[],2,FALSE),"")</f>
        <v>EJA II</v>
      </c>
      <c r="F325" t="str">
        <f>IFERROR(VLOOKUP(tbEscolas[[#This Row],[COD ETPA]],tbEtapas[],3,FALSE),"")</f>
        <v>ENSINO MÉDIO</v>
      </c>
      <c r="G325" t="s">
        <v>125</v>
      </c>
    </row>
    <row r="326" spans="1:7" x14ac:dyDescent="0.25">
      <c r="A326" s="24">
        <f>_xlfn.XLOOKUP(tbEscolas[[#This Row],[ESCOLA]],tbNucleo[ESCOLA],tbNucleo[COD ESCOLA],"")</f>
        <v>19</v>
      </c>
      <c r="B326" t="str" cm="1">
        <f t="array" ref="B326">IFERROR(INDEX(tbNucleo[ESCOLA],ROUNDUP(ROW(B325)/TotalEtapas,0)),"")</f>
        <v>E.E JOÃO FLORENTINO SILVA NETO ANEXA HORIZONTE D'OESTE</v>
      </c>
      <c r="C326" t="str">
        <f>IFERROR(VLOOKUP(B326,tbNucleo[],2,FALSE),"")</f>
        <v/>
      </c>
      <c r="D326" cm="1">
        <f t="array" ref="D326">IF(B326="","",INDEX(tbEtapas[Nº],MOD(ROW(B325)-1,TotalEtapas)+1))</f>
        <v>1</v>
      </c>
      <c r="E326" t="str">
        <f>IFERROR(VLOOKUP(tbEscolas[[#This Row],[COD ETPA]],tbEtapas[],2,FALSE),"")</f>
        <v>CRECHE I</v>
      </c>
      <c r="F326" t="str">
        <f>IFERROR(VLOOKUP(tbEscolas[[#This Row],[COD ETPA]],tbEtapas[],3,FALSE),"")</f>
        <v>EDUCAÇÃO INFANTIL</v>
      </c>
      <c r="G326" t="s">
        <v>126</v>
      </c>
    </row>
    <row r="327" spans="1:7" x14ac:dyDescent="0.25">
      <c r="A327" s="24">
        <f>_xlfn.XLOOKUP(tbEscolas[[#This Row],[ESCOLA]],tbNucleo[ESCOLA],tbNucleo[COD ESCOLA],"")</f>
        <v>19</v>
      </c>
      <c r="B327" t="str" cm="1">
        <f t="array" ref="B327">IFERROR(INDEX(tbNucleo[ESCOLA],ROUNDUP(ROW(B326)/TotalEtapas,0)),"")</f>
        <v>E.E JOÃO FLORENTINO SILVA NETO ANEXA HORIZONTE D'OESTE</v>
      </c>
      <c r="C327" t="str">
        <f>IFERROR(VLOOKUP(B327,tbNucleo[],2,FALSE),"")</f>
        <v/>
      </c>
      <c r="D327" cm="1">
        <f t="array" ref="D327">IF(B327="","",INDEX(tbEtapas[Nº],MOD(ROW(B326)-1,TotalEtapas)+1))</f>
        <v>2</v>
      </c>
      <c r="E327" t="str">
        <f>IFERROR(VLOOKUP(tbEscolas[[#This Row],[COD ETPA]],tbEtapas[],2,FALSE),"")</f>
        <v>CRECHE II</v>
      </c>
      <c r="F327" t="str">
        <f>IFERROR(VLOOKUP(tbEscolas[[#This Row],[COD ETPA]],tbEtapas[],3,FALSE),"")</f>
        <v>EDUCAÇÃO INFANTIL</v>
      </c>
      <c r="G327" t="s">
        <v>126</v>
      </c>
    </row>
    <row r="328" spans="1:7" x14ac:dyDescent="0.25">
      <c r="A328" s="24">
        <f>_xlfn.XLOOKUP(tbEscolas[[#This Row],[ESCOLA]],tbNucleo[ESCOLA],tbNucleo[COD ESCOLA],"")</f>
        <v>19</v>
      </c>
      <c r="B328" t="str" cm="1">
        <f t="array" ref="B328">IFERROR(INDEX(tbNucleo[ESCOLA],ROUNDUP(ROW(B327)/TotalEtapas,0)),"")</f>
        <v>E.E JOÃO FLORENTINO SILVA NETO ANEXA HORIZONTE D'OESTE</v>
      </c>
      <c r="C328" t="str">
        <f>IFERROR(VLOOKUP(B328,tbNucleo[],2,FALSE),"")</f>
        <v/>
      </c>
      <c r="D328" cm="1">
        <f t="array" ref="D328">IF(B328="","",INDEX(tbEtapas[Nº],MOD(ROW(B327)-1,TotalEtapas)+1))</f>
        <v>3</v>
      </c>
      <c r="E328" t="str">
        <f>IFERROR(VLOOKUP(tbEscolas[[#This Row],[COD ETPA]],tbEtapas[],2,FALSE),"")</f>
        <v>PRE I</v>
      </c>
      <c r="F328" t="str">
        <f>IFERROR(VLOOKUP(tbEscolas[[#This Row],[COD ETPA]],tbEtapas[],3,FALSE),"")</f>
        <v>EDUCAÇÃO INFANTIL</v>
      </c>
      <c r="G328" t="s">
        <v>126</v>
      </c>
    </row>
    <row r="329" spans="1:7" x14ac:dyDescent="0.25">
      <c r="A329" s="24">
        <f>_xlfn.XLOOKUP(tbEscolas[[#This Row],[ESCOLA]],tbNucleo[ESCOLA],tbNucleo[COD ESCOLA],"")</f>
        <v>19</v>
      </c>
      <c r="B329" t="str" cm="1">
        <f t="array" ref="B329">IFERROR(INDEX(tbNucleo[ESCOLA],ROUNDUP(ROW(B328)/TotalEtapas,0)),"")</f>
        <v>E.E JOÃO FLORENTINO SILVA NETO ANEXA HORIZONTE D'OESTE</v>
      </c>
      <c r="C329" t="str">
        <f>IFERROR(VLOOKUP(B329,tbNucleo[],2,FALSE),"")</f>
        <v/>
      </c>
      <c r="D329" cm="1">
        <f t="array" ref="D329">IF(B329="","",INDEX(tbEtapas[Nº],MOD(ROW(B328)-1,TotalEtapas)+1))</f>
        <v>4</v>
      </c>
      <c r="E329" t="str">
        <f>IFERROR(VLOOKUP(tbEscolas[[#This Row],[COD ETPA]],tbEtapas[],2,FALSE),"")</f>
        <v>PRE II</v>
      </c>
      <c r="F329" t="str">
        <f>IFERROR(VLOOKUP(tbEscolas[[#This Row],[COD ETPA]],tbEtapas[],3,FALSE),"")</f>
        <v>EDUCAÇÃO INFANTIL</v>
      </c>
      <c r="G329" t="s">
        <v>126</v>
      </c>
    </row>
    <row r="330" spans="1:7" x14ac:dyDescent="0.25">
      <c r="A330" s="24">
        <f>_xlfn.XLOOKUP(tbEscolas[[#This Row],[ESCOLA]],tbNucleo[ESCOLA],tbNucleo[COD ESCOLA],"")</f>
        <v>19</v>
      </c>
      <c r="B330" t="str" cm="1">
        <f t="array" ref="B330">IFERROR(INDEX(tbNucleo[ESCOLA],ROUNDUP(ROW(B329)/TotalEtapas,0)),"")</f>
        <v>E.E JOÃO FLORENTINO SILVA NETO ANEXA HORIZONTE D'OESTE</v>
      </c>
      <c r="C330" t="str">
        <f>IFERROR(VLOOKUP(B330,tbNucleo[],2,FALSE),"")</f>
        <v/>
      </c>
      <c r="D330" cm="1">
        <f t="array" ref="D330">IF(B330="","",INDEX(tbEtapas[Nº],MOD(ROW(B329)-1,TotalEtapas)+1))</f>
        <v>5</v>
      </c>
      <c r="E330" t="str">
        <f>IFERROR(VLOOKUP(tbEscolas[[#This Row],[COD ETPA]],tbEtapas[],2,FALSE),"")</f>
        <v>1º ANO</v>
      </c>
      <c r="F330" t="str">
        <f>IFERROR(VLOOKUP(tbEscolas[[#This Row],[COD ETPA]],tbEtapas[],3,FALSE),"")</f>
        <v>FUNDAMENTAL</v>
      </c>
      <c r="G330" t="s">
        <v>125</v>
      </c>
    </row>
    <row r="331" spans="1:7" x14ac:dyDescent="0.25">
      <c r="A331" s="24">
        <f>_xlfn.XLOOKUP(tbEscolas[[#This Row],[ESCOLA]],tbNucleo[ESCOLA],tbNucleo[COD ESCOLA],"")</f>
        <v>19</v>
      </c>
      <c r="B331" t="str" cm="1">
        <f t="array" ref="B331">IFERROR(INDEX(tbNucleo[ESCOLA],ROUNDUP(ROW(B330)/TotalEtapas,0)),"")</f>
        <v>E.E JOÃO FLORENTINO SILVA NETO ANEXA HORIZONTE D'OESTE</v>
      </c>
      <c r="C331" t="str">
        <f>IFERROR(VLOOKUP(B331,tbNucleo[],2,FALSE),"")</f>
        <v/>
      </c>
      <c r="D331" cm="1">
        <f t="array" ref="D331">IF(B331="","",INDEX(tbEtapas[Nº],MOD(ROW(B330)-1,TotalEtapas)+1))</f>
        <v>6</v>
      </c>
      <c r="E331" t="str">
        <f>IFERROR(VLOOKUP(tbEscolas[[#This Row],[COD ETPA]],tbEtapas[],2,FALSE),"")</f>
        <v>2º ANO</v>
      </c>
      <c r="F331" t="str">
        <f>IFERROR(VLOOKUP(tbEscolas[[#This Row],[COD ETPA]],tbEtapas[],3,FALSE),"")</f>
        <v>FUNDAMENTAL</v>
      </c>
      <c r="G331" t="s">
        <v>125</v>
      </c>
    </row>
    <row r="332" spans="1:7" x14ac:dyDescent="0.25">
      <c r="A332" s="24">
        <f>_xlfn.XLOOKUP(tbEscolas[[#This Row],[ESCOLA]],tbNucleo[ESCOLA],tbNucleo[COD ESCOLA],"")</f>
        <v>19</v>
      </c>
      <c r="B332" t="str" cm="1">
        <f t="array" ref="B332">IFERROR(INDEX(tbNucleo[ESCOLA],ROUNDUP(ROW(B331)/TotalEtapas,0)),"")</f>
        <v>E.E JOÃO FLORENTINO SILVA NETO ANEXA HORIZONTE D'OESTE</v>
      </c>
      <c r="C332" t="str">
        <f>IFERROR(VLOOKUP(B332,tbNucleo[],2,FALSE),"")</f>
        <v/>
      </c>
      <c r="D332" cm="1">
        <f t="array" ref="D332">IF(B332="","",INDEX(tbEtapas[Nº],MOD(ROW(B331)-1,TotalEtapas)+1))</f>
        <v>7</v>
      </c>
      <c r="E332" t="str">
        <f>IFERROR(VLOOKUP(tbEscolas[[#This Row],[COD ETPA]],tbEtapas[],2,FALSE),"")</f>
        <v>3º ANO</v>
      </c>
      <c r="F332" t="str">
        <f>IFERROR(VLOOKUP(tbEscolas[[#This Row],[COD ETPA]],tbEtapas[],3,FALSE),"")</f>
        <v>FUNDAMENTAL</v>
      </c>
      <c r="G332" t="s">
        <v>125</v>
      </c>
    </row>
    <row r="333" spans="1:7" x14ac:dyDescent="0.25">
      <c r="A333" s="24">
        <f>_xlfn.XLOOKUP(tbEscolas[[#This Row],[ESCOLA]],tbNucleo[ESCOLA],tbNucleo[COD ESCOLA],"")</f>
        <v>19</v>
      </c>
      <c r="B333" t="str" cm="1">
        <f t="array" ref="B333">IFERROR(INDEX(tbNucleo[ESCOLA],ROUNDUP(ROW(B332)/TotalEtapas,0)),"")</f>
        <v>E.E JOÃO FLORENTINO SILVA NETO ANEXA HORIZONTE D'OESTE</v>
      </c>
      <c r="C333" t="str">
        <f>IFERROR(VLOOKUP(B333,tbNucleo[],2,FALSE),"")</f>
        <v/>
      </c>
      <c r="D333" cm="1">
        <f t="array" ref="D333">IF(B333="","",INDEX(tbEtapas[Nº],MOD(ROW(B332)-1,TotalEtapas)+1))</f>
        <v>8</v>
      </c>
      <c r="E333" t="str">
        <f>IFERROR(VLOOKUP(tbEscolas[[#This Row],[COD ETPA]],tbEtapas[],2,FALSE),"")</f>
        <v>4º ANO</v>
      </c>
      <c r="F333" t="str">
        <f>IFERROR(VLOOKUP(tbEscolas[[#This Row],[COD ETPA]],tbEtapas[],3,FALSE),"")</f>
        <v>FUNDAMENTAL</v>
      </c>
      <c r="G333" t="s">
        <v>125</v>
      </c>
    </row>
    <row r="334" spans="1:7" x14ac:dyDescent="0.25">
      <c r="A334" s="24">
        <f>_xlfn.XLOOKUP(tbEscolas[[#This Row],[ESCOLA]],tbNucleo[ESCOLA],tbNucleo[COD ESCOLA],"")</f>
        <v>19</v>
      </c>
      <c r="B334" t="str" cm="1">
        <f t="array" ref="B334">IFERROR(INDEX(tbNucleo[ESCOLA],ROUNDUP(ROW(B333)/TotalEtapas,0)),"")</f>
        <v>E.E JOÃO FLORENTINO SILVA NETO ANEXA HORIZONTE D'OESTE</v>
      </c>
      <c r="C334" t="str">
        <f>IFERROR(VLOOKUP(B334,tbNucleo[],2,FALSE),"")</f>
        <v/>
      </c>
      <c r="D334" cm="1">
        <f t="array" ref="D334">IF(B334="","",INDEX(tbEtapas[Nº],MOD(ROW(B333)-1,TotalEtapas)+1))</f>
        <v>9</v>
      </c>
      <c r="E334" t="str">
        <f>IFERROR(VLOOKUP(tbEscolas[[#This Row],[COD ETPA]],tbEtapas[],2,FALSE),"")</f>
        <v>5º ANO</v>
      </c>
      <c r="F334" t="str">
        <f>IFERROR(VLOOKUP(tbEscolas[[#This Row],[COD ETPA]],tbEtapas[],3,FALSE),"")</f>
        <v>FUNDAMENTAL</v>
      </c>
      <c r="G334" t="s">
        <v>125</v>
      </c>
    </row>
    <row r="335" spans="1:7" x14ac:dyDescent="0.25">
      <c r="A335" s="24">
        <f>_xlfn.XLOOKUP(tbEscolas[[#This Row],[ESCOLA]],tbNucleo[ESCOLA],tbNucleo[COD ESCOLA],"")</f>
        <v>19</v>
      </c>
      <c r="B335" t="str" cm="1">
        <f t="array" ref="B335">IFERROR(INDEX(tbNucleo[ESCOLA],ROUNDUP(ROW(B334)/TotalEtapas,0)),"")</f>
        <v>E.E JOÃO FLORENTINO SILVA NETO ANEXA HORIZONTE D'OESTE</v>
      </c>
      <c r="C335" t="str">
        <f>IFERROR(VLOOKUP(B335,tbNucleo[],2,FALSE),"")</f>
        <v/>
      </c>
      <c r="D335" cm="1">
        <f t="array" ref="D335">IF(B335="","",INDEX(tbEtapas[Nº],MOD(ROW(B334)-1,TotalEtapas)+1))</f>
        <v>10</v>
      </c>
      <c r="E335" t="str">
        <f>IFERROR(VLOOKUP(tbEscolas[[#This Row],[COD ETPA]],tbEtapas[],2,FALSE),"")</f>
        <v>6º ANO</v>
      </c>
      <c r="F335" t="str">
        <f>IFERROR(VLOOKUP(tbEscolas[[#This Row],[COD ETPA]],tbEtapas[],3,FALSE),"")</f>
        <v>FUNDAMENTAL</v>
      </c>
      <c r="G335" t="s">
        <v>125</v>
      </c>
    </row>
    <row r="336" spans="1:7" x14ac:dyDescent="0.25">
      <c r="A336" s="24">
        <f>_xlfn.XLOOKUP(tbEscolas[[#This Row],[ESCOLA]],tbNucleo[ESCOLA],tbNucleo[COD ESCOLA],"")</f>
        <v>19</v>
      </c>
      <c r="B336" t="str" cm="1">
        <f t="array" ref="B336">IFERROR(INDEX(tbNucleo[ESCOLA],ROUNDUP(ROW(B335)/TotalEtapas,0)),"")</f>
        <v>E.E JOÃO FLORENTINO SILVA NETO ANEXA HORIZONTE D'OESTE</v>
      </c>
      <c r="C336" t="str">
        <f>IFERROR(VLOOKUP(B336,tbNucleo[],2,FALSE),"")</f>
        <v/>
      </c>
      <c r="D336" cm="1">
        <f t="array" ref="D336">IF(B336="","",INDEX(tbEtapas[Nº],MOD(ROW(B335)-1,TotalEtapas)+1))</f>
        <v>11</v>
      </c>
      <c r="E336" t="str">
        <f>IFERROR(VLOOKUP(tbEscolas[[#This Row],[COD ETPA]],tbEtapas[],2,FALSE),"")</f>
        <v>7º ANO</v>
      </c>
      <c r="F336" t="str">
        <f>IFERROR(VLOOKUP(tbEscolas[[#This Row],[COD ETPA]],tbEtapas[],3,FALSE),"")</f>
        <v>FUNDAMENTAL</v>
      </c>
      <c r="G336" t="s">
        <v>125</v>
      </c>
    </row>
    <row r="337" spans="1:7" x14ac:dyDescent="0.25">
      <c r="A337" s="24">
        <f>_xlfn.XLOOKUP(tbEscolas[[#This Row],[ESCOLA]],tbNucleo[ESCOLA],tbNucleo[COD ESCOLA],"")</f>
        <v>19</v>
      </c>
      <c r="B337" t="str" cm="1">
        <f t="array" ref="B337">IFERROR(INDEX(tbNucleo[ESCOLA],ROUNDUP(ROW(B336)/TotalEtapas,0)),"")</f>
        <v>E.E JOÃO FLORENTINO SILVA NETO ANEXA HORIZONTE D'OESTE</v>
      </c>
      <c r="C337" t="str">
        <f>IFERROR(VLOOKUP(B337,tbNucleo[],2,FALSE),"")</f>
        <v/>
      </c>
      <c r="D337" cm="1">
        <f t="array" ref="D337">IF(B337="","",INDEX(tbEtapas[Nº],MOD(ROW(B336)-1,TotalEtapas)+1))</f>
        <v>12</v>
      </c>
      <c r="E337" t="str">
        <f>IFERROR(VLOOKUP(tbEscolas[[#This Row],[COD ETPA]],tbEtapas[],2,FALSE),"")</f>
        <v>8º ANO</v>
      </c>
      <c r="F337" t="str">
        <f>IFERROR(VLOOKUP(tbEscolas[[#This Row],[COD ETPA]],tbEtapas[],3,FALSE),"")</f>
        <v>FUNDAMENTAL</v>
      </c>
      <c r="G337" t="s">
        <v>125</v>
      </c>
    </row>
    <row r="338" spans="1:7" x14ac:dyDescent="0.25">
      <c r="A338" s="24">
        <f>_xlfn.XLOOKUP(tbEscolas[[#This Row],[ESCOLA]],tbNucleo[ESCOLA],tbNucleo[COD ESCOLA],"")</f>
        <v>19</v>
      </c>
      <c r="B338" t="str" cm="1">
        <f t="array" ref="B338">IFERROR(INDEX(tbNucleo[ESCOLA],ROUNDUP(ROW(B337)/TotalEtapas,0)),"")</f>
        <v>E.E JOÃO FLORENTINO SILVA NETO ANEXA HORIZONTE D'OESTE</v>
      </c>
      <c r="C338" t="str">
        <f>IFERROR(VLOOKUP(B338,tbNucleo[],2,FALSE),"")</f>
        <v/>
      </c>
      <c r="D338" cm="1">
        <f t="array" ref="D338">IF(B338="","",INDEX(tbEtapas[Nº],MOD(ROW(B337)-1,TotalEtapas)+1))</f>
        <v>13</v>
      </c>
      <c r="E338" t="str">
        <f>IFERROR(VLOOKUP(tbEscolas[[#This Row],[COD ETPA]],tbEtapas[],2,FALSE),"")</f>
        <v>9º ANO</v>
      </c>
      <c r="F338" t="str">
        <f>IFERROR(VLOOKUP(tbEscolas[[#This Row],[COD ETPA]],tbEtapas[],3,FALSE),"")</f>
        <v>FUNDAMENTAL</v>
      </c>
      <c r="G338" t="s">
        <v>125</v>
      </c>
    </row>
    <row r="339" spans="1:7" x14ac:dyDescent="0.25">
      <c r="A339" s="24">
        <f>_xlfn.XLOOKUP(tbEscolas[[#This Row],[ESCOLA]],tbNucleo[ESCOLA],tbNucleo[COD ESCOLA],"")</f>
        <v>19</v>
      </c>
      <c r="B339" t="str" cm="1">
        <f t="array" ref="B339">IFERROR(INDEX(tbNucleo[ESCOLA],ROUNDUP(ROW(B338)/TotalEtapas,0)),"")</f>
        <v>E.E JOÃO FLORENTINO SILVA NETO ANEXA HORIZONTE D'OESTE</v>
      </c>
      <c r="C339" t="str">
        <f>IFERROR(VLOOKUP(B339,tbNucleo[],2,FALSE),"")</f>
        <v/>
      </c>
      <c r="D339" cm="1">
        <f t="array" ref="D339">IF(B339="","",INDEX(tbEtapas[Nº],MOD(ROW(B338)-1,TotalEtapas)+1))</f>
        <v>14</v>
      </c>
      <c r="E339" t="str">
        <f>IFERROR(VLOOKUP(tbEscolas[[#This Row],[COD ETPA]],tbEtapas[],2,FALSE),"")</f>
        <v>1º ANO</v>
      </c>
      <c r="F339" t="str">
        <f>IFERROR(VLOOKUP(tbEscolas[[#This Row],[COD ETPA]],tbEtapas[],3,FALSE),"")</f>
        <v>ENSINO MÉDIO</v>
      </c>
      <c r="G339" t="s">
        <v>125</v>
      </c>
    </row>
    <row r="340" spans="1:7" x14ac:dyDescent="0.25">
      <c r="A340" s="24">
        <f>_xlfn.XLOOKUP(tbEscolas[[#This Row],[ESCOLA]],tbNucleo[ESCOLA],tbNucleo[COD ESCOLA],"")</f>
        <v>19</v>
      </c>
      <c r="B340" t="str" cm="1">
        <f t="array" ref="B340">IFERROR(INDEX(tbNucleo[ESCOLA],ROUNDUP(ROW(B339)/TotalEtapas,0)),"")</f>
        <v>E.E JOÃO FLORENTINO SILVA NETO ANEXA HORIZONTE D'OESTE</v>
      </c>
      <c r="C340" t="str">
        <f>IFERROR(VLOOKUP(B340,tbNucleo[],2,FALSE),"")</f>
        <v/>
      </c>
      <c r="D340" cm="1">
        <f t="array" ref="D340">IF(B340="","",INDEX(tbEtapas[Nº],MOD(ROW(B339)-1,TotalEtapas)+1))</f>
        <v>15</v>
      </c>
      <c r="E340" t="str">
        <f>IFERROR(VLOOKUP(tbEscolas[[#This Row],[COD ETPA]],tbEtapas[],2,FALSE),"")</f>
        <v>2º ANO</v>
      </c>
      <c r="F340" t="str">
        <f>IFERROR(VLOOKUP(tbEscolas[[#This Row],[COD ETPA]],tbEtapas[],3,FALSE),"")</f>
        <v>ENSINO MÉDIO</v>
      </c>
      <c r="G340" t="s">
        <v>125</v>
      </c>
    </row>
    <row r="341" spans="1:7" x14ac:dyDescent="0.25">
      <c r="A341" s="24">
        <f>_xlfn.XLOOKUP(tbEscolas[[#This Row],[ESCOLA]],tbNucleo[ESCOLA],tbNucleo[COD ESCOLA],"")</f>
        <v>19</v>
      </c>
      <c r="B341" t="str" cm="1">
        <f t="array" ref="B341">IFERROR(INDEX(tbNucleo[ESCOLA],ROUNDUP(ROW(B340)/TotalEtapas,0)),"")</f>
        <v>E.E JOÃO FLORENTINO SILVA NETO ANEXA HORIZONTE D'OESTE</v>
      </c>
      <c r="C341" t="str">
        <f>IFERROR(VLOOKUP(B341,tbNucleo[],2,FALSE),"")</f>
        <v/>
      </c>
      <c r="D341" cm="1">
        <f t="array" ref="D341">IF(B341="","",INDEX(tbEtapas[Nº],MOD(ROW(B340)-1,TotalEtapas)+1))</f>
        <v>16</v>
      </c>
      <c r="E341" t="str">
        <f>IFERROR(VLOOKUP(tbEscolas[[#This Row],[COD ETPA]],tbEtapas[],2,FALSE),"")</f>
        <v>3º ANO</v>
      </c>
      <c r="F341" t="str">
        <f>IFERROR(VLOOKUP(tbEscolas[[#This Row],[COD ETPA]],tbEtapas[],3,FALSE),"")</f>
        <v>ENSINO MÉDIO</v>
      </c>
      <c r="G341" t="s">
        <v>125</v>
      </c>
    </row>
    <row r="342" spans="1:7" x14ac:dyDescent="0.25">
      <c r="A342" s="24">
        <f>_xlfn.XLOOKUP(tbEscolas[[#This Row],[ESCOLA]],tbNucleo[ESCOLA],tbNucleo[COD ESCOLA],"")</f>
        <v>19</v>
      </c>
      <c r="B342" t="str" cm="1">
        <f t="array" ref="B342">IFERROR(INDEX(tbNucleo[ESCOLA],ROUNDUP(ROW(B341)/TotalEtapas,0)),"")</f>
        <v>E.E JOÃO FLORENTINO SILVA NETO ANEXA HORIZONTE D'OESTE</v>
      </c>
      <c r="C342" t="str">
        <f>IFERROR(VLOOKUP(B342,tbNucleo[],2,FALSE),"")</f>
        <v/>
      </c>
      <c r="D342" cm="1">
        <f t="array" ref="D342">IF(B342="","",INDEX(tbEtapas[Nº],MOD(ROW(B341)-1,TotalEtapas)+1))</f>
        <v>17</v>
      </c>
      <c r="E342" t="str">
        <f>IFERROR(VLOOKUP(tbEscolas[[#This Row],[COD ETPA]],tbEtapas[],2,FALSE),"")</f>
        <v>EJA I</v>
      </c>
      <c r="F342" t="str">
        <f>IFERROR(VLOOKUP(tbEscolas[[#This Row],[COD ETPA]],tbEtapas[],3,FALSE),"")</f>
        <v>FUNDAMENTAL</v>
      </c>
      <c r="G342" t="s">
        <v>125</v>
      </c>
    </row>
    <row r="343" spans="1:7" x14ac:dyDescent="0.25">
      <c r="A343" s="24">
        <f>_xlfn.XLOOKUP(tbEscolas[[#This Row],[ESCOLA]],tbNucleo[ESCOLA],tbNucleo[COD ESCOLA],"")</f>
        <v>19</v>
      </c>
      <c r="B343" t="str" cm="1">
        <f t="array" ref="B343">IFERROR(INDEX(tbNucleo[ESCOLA],ROUNDUP(ROW(B342)/TotalEtapas,0)),"")</f>
        <v>E.E JOÃO FLORENTINO SILVA NETO ANEXA HORIZONTE D'OESTE</v>
      </c>
      <c r="C343" t="str">
        <f>IFERROR(VLOOKUP(B343,tbNucleo[],2,FALSE),"")</f>
        <v/>
      </c>
      <c r="D343" cm="1">
        <f t="array" ref="D343">IF(B343="","",INDEX(tbEtapas[Nº],MOD(ROW(B342)-1,TotalEtapas)+1))</f>
        <v>18</v>
      </c>
      <c r="E343" t="str">
        <f>IFERROR(VLOOKUP(tbEscolas[[#This Row],[COD ETPA]],tbEtapas[],2,FALSE),"")</f>
        <v>EJA II</v>
      </c>
      <c r="F343" t="str">
        <f>IFERROR(VLOOKUP(tbEscolas[[#This Row],[COD ETPA]],tbEtapas[],3,FALSE),"")</f>
        <v>ENSINO MÉDIO</v>
      </c>
      <c r="G343" t="s">
        <v>125</v>
      </c>
    </row>
    <row r="344" spans="1:7" x14ac:dyDescent="0.25">
      <c r="A344" s="24">
        <f>_xlfn.XLOOKUP(tbEscolas[[#This Row],[ESCOLA]],tbNucleo[ESCOLA],tbNucleo[COD ESCOLA],"")</f>
        <v>20</v>
      </c>
      <c r="B344" t="str" cm="1">
        <f t="array" ref="B344">IFERROR(INDEX(tbNucleo[ESCOLA],ROUNDUP(ROW(B343)/TotalEtapas,0)),"")</f>
        <v>E.E JOÃO FLORENTINO SILVA NETO ANEXA LARANJEIRA</v>
      </c>
      <c r="C344" t="str">
        <f>IFERROR(VLOOKUP(B344,tbNucleo[],2,FALSE),"")</f>
        <v/>
      </c>
      <c r="D344" cm="1">
        <f t="array" ref="D344">IF(B344="","",INDEX(tbEtapas[Nº],MOD(ROW(B343)-1,TotalEtapas)+1))</f>
        <v>1</v>
      </c>
      <c r="E344" t="str">
        <f>IFERROR(VLOOKUP(tbEscolas[[#This Row],[COD ETPA]],tbEtapas[],2,FALSE),"")</f>
        <v>CRECHE I</v>
      </c>
      <c r="F344" t="str">
        <f>IFERROR(VLOOKUP(tbEscolas[[#This Row],[COD ETPA]],tbEtapas[],3,FALSE),"")</f>
        <v>EDUCAÇÃO INFANTIL</v>
      </c>
      <c r="G344" t="s">
        <v>126</v>
      </c>
    </row>
    <row r="345" spans="1:7" x14ac:dyDescent="0.25">
      <c r="A345" s="24">
        <f>_xlfn.XLOOKUP(tbEscolas[[#This Row],[ESCOLA]],tbNucleo[ESCOLA],tbNucleo[COD ESCOLA],"")</f>
        <v>20</v>
      </c>
      <c r="B345" t="str" cm="1">
        <f t="array" ref="B345">IFERROR(INDEX(tbNucleo[ESCOLA],ROUNDUP(ROW(B344)/TotalEtapas,0)),"")</f>
        <v>E.E JOÃO FLORENTINO SILVA NETO ANEXA LARANJEIRA</v>
      </c>
      <c r="C345" t="str">
        <f>IFERROR(VLOOKUP(B345,tbNucleo[],2,FALSE),"")</f>
        <v/>
      </c>
      <c r="D345" cm="1">
        <f t="array" ref="D345">IF(B345="","",INDEX(tbEtapas[Nº],MOD(ROW(B344)-1,TotalEtapas)+1))</f>
        <v>2</v>
      </c>
      <c r="E345" t="str">
        <f>IFERROR(VLOOKUP(tbEscolas[[#This Row],[COD ETPA]],tbEtapas[],2,FALSE),"")</f>
        <v>CRECHE II</v>
      </c>
      <c r="F345" t="str">
        <f>IFERROR(VLOOKUP(tbEscolas[[#This Row],[COD ETPA]],tbEtapas[],3,FALSE),"")</f>
        <v>EDUCAÇÃO INFANTIL</v>
      </c>
      <c r="G345" t="s">
        <v>126</v>
      </c>
    </row>
    <row r="346" spans="1:7" x14ac:dyDescent="0.25">
      <c r="A346" s="24">
        <f>_xlfn.XLOOKUP(tbEscolas[[#This Row],[ESCOLA]],tbNucleo[ESCOLA],tbNucleo[COD ESCOLA],"")</f>
        <v>20</v>
      </c>
      <c r="B346" t="str" cm="1">
        <f t="array" ref="B346">IFERROR(INDEX(tbNucleo[ESCOLA],ROUNDUP(ROW(B345)/TotalEtapas,0)),"")</f>
        <v>E.E JOÃO FLORENTINO SILVA NETO ANEXA LARANJEIRA</v>
      </c>
      <c r="C346" t="str">
        <f>IFERROR(VLOOKUP(B346,tbNucleo[],2,FALSE),"")</f>
        <v/>
      </c>
      <c r="D346" cm="1">
        <f t="array" ref="D346">IF(B346="","",INDEX(tbEtapas[Nº],MOD(ROW(B345)-1,TotalEtapas)+1))</f>
        <v>3</v>
      </c>
      <c r="E346" t="str">
        <f>IFERROR(VLOOKUP(tbEscolas[[#This Row],[COD ETPA]],tbEtapas[],2,FALSE),"")</f>
        <v>PRE I</v>
      </c>
      <c r="F346" t="str">
        <f>IFERROR(VLOOKUP(tbEscolas[[#This Row],[COD ETPA]],tbEtapas[],3,FALSE),"")</f>
        <v>EDUCAÇÃO INFANTIL</v>
      </c>
      <c r="G346" t="s">
        <v>126</v>
      </c>
    </row>
    <row r="347" spans="1:7" x14ac:dyDescent="0.25">
      <c r="A347" s="24">
        <f>_xlfn.XLOOKUP(tbEscolas[[#This Row],[ESCOLA]],tbNucleo[ESCOLA],tbNucleo[COD ESCOLA],"")</f>
        <v>20</v>
      </c>
      <c r="B347" t="str" cm="1">
        <f t="array" ref="B347">IFERROR(INDEX(tbNucleo[ESCOLA],ROUNDUP(ROW(B346)/TotalEtapas,0)),"")</f>
        <v>E.E JOÃO FLORENTINO SILVA NETO ANEXA LARANJEIRA</v>
      </c>
      <c r="C347" t="str">
        <f>IFERROR(VLOOKUP(B347,tbNucleo[],2,FALSE),"")</f>
        <v/>
      </c>
      <c r="D347" cm="1">
        <f t="array" ref="D347">IF(B347="","",INDEX(tbEtapas[Nº],MOD(ROW(B346)-1,TotalEtapas)+1))</f>
        <v>4</v>
      </c>
      <c r="E347" t="str">
        <f>IFERROR(VLOOKUP(tbEscolas[[#This Row],[COD ETPA]],tbEtapas[],2,FALSE),"")</f>
        <v>PRE II</v>
      </c>
      <c r="F347" t="str">
        <f>IFERROR(VLOOKUP(tbEscolas[[#This Row],[COD ETPA]],tbEtapas[],3,FALSE),"")</f>
        <v>EDUCAÇÃO INFANTIL</v>
      </c>
      <c r="G347" t="s">
        <v>126</v>
      </c>
    </row>
    <row r="348" spans="1:7" x14ac:dyDescent="0.25">
      <c r="A348" s="24">
        <f>_xlfn.XLOOKUP(tbEscolas[[#This Row],[ESCOLA]],tbNucleo[ESCOLA],tbNucleo[COD ESCOLA],"")</f>
        <v>20</v>
      </c>
      <c r="B348" t="str" cm="1">
        <f t="array" ref="B348">IFERROR(INDEX(tbNucleo[ESCOLA],ROUNDUP(ROW(B347)/TotalEtapas,0)),"")</f>
        <v>E.E JOÃO FLORENTINO SILVA NETO ANEXA LARANJEIRA</v>
      </c>
      <c r="C348" t="str">
        <f>IFERROR(VLOOKUP(B348,tbNucleo[],2,FALSE),"")</f>
        <v/>
      </c>
      <c r="D348" cm="1">
        <f t="array" ref="D348">IF(B348="","",INDEX(tbEtapas[Nº],MOD(ROW(B347)-1,TotalEtapas)+1))</f>
        <v>5</v>
      </c>
      <c r="E348" t="str">
        <f>IFERROR(VLOOKUP(tbEscolas[[#This Row],[COD ETPA]],tbEtapas[],2,FALSE),"")</f>
        <v>1º ANO</v>
      </c>
      <c r="F348" t="str">
        <f>IFERROR(VLOOKUP(tbEscolas[[#This Row],[COD ETPA]],tbEtapas[],3,FALSE),"")</f>
        <v>FUNDAMENTAL</v>
      </c>
      <c r="G348" t="s">
        <v>125</v>
      </c>
    </row>
    <row r="349" spans="1:7" x14ac:dyDescent="0.25">
      <c r="A349" s="24">
        <f>_xlfn.XLOOKUP(tbEscolas[[#This Row],[ESCOLA]],tbNucleo[ESCOLA],tbNucleo[COD ESCOLA],"")</f>
        <v>20</v>
      </c>
      <c r="B349" t="str" cm="1">
        <f t="array" ref="B349">IFERROR(INDEX(tbNucleo[ESCOLA],ROUNDUP(ROW(B348)/TotalEtapas,0)),"")</f>
        <v>E.E JOÃO FLORENTINO SILVA NETO ANEXA LARANJEIRA</v>
      </c>
      <c r="C349" t="str">
        <f>IFERROR(VLOOKUP(B349,tbNucleo[],2,FALSE),"")</f>
        <v/>
      </c>
      <c r="D349" cm="1">
        <f t="array" ref="D349">IF(B349="","",INDEX(tbEtapas[Nº],MOD(ROW(B348)-1,TotalEtapas)+1))</f>
        <v>6</v>
      </c>
      <c r="E349" t="str">
        <f>IFERROR(VLOOKUP(tbEscolas[[#This Row],[COD ETPA]],tbEtapas[],2,FALSE),"")</f>
        <v>2º ANO</v>
      </c>
      <c r="F349" t="str">
        <f>IFERROR(VLOOKUP(tbEscolas[[#This Row],[COD ETPA]],tbEtapas[],3,FALSE),"")</f>
        <v>FUNDAMENTAL</v>
      </c>
      <c r="G349" t="s">
        <v>125</v>
      </c>
    </row>
    <row r="350" spans="1:7" x14ac:dyDescent="0.25">
      <c r="A350" s="24">
        <f>_xlfn.XLOOKUP(tbEscolas[[#This Row],[ESCOLA]],tbNucleo[ESCOLA],tbNucleo[COD ESCOLA],"")</f>
        <v>20</v>
      </c>
      <c r="B350" t="str" cm="1">
        <f t="array" ref="B350">IFERROR(INDEX(tbNucleo[ESCOLA],ROUNDUP(ROW(B349)/TotalEtapas,0)),"")</f>
        <v>E.E JOÃO FLORENTINO SILVA NETO ANEXA LARANJEIRA</v>
      </c>
      <c r="C350" t="str">
        <f>IFERROR(VLOOKUP(B350,tbNucleo[],2,FALSE),"")</f>
        <v/>
      </c>
      <c r="D350" cm="1">
        <f t="array" ref="D350">IF(B350="","",INDEX(tbEtapas[Nº],MOD(ROW(B349)-1,TotalEtapas)+1))</f>
        <v>7</v>
      </c>
      <c r="E350" t="str">
        <f>IFERROR(VLOOKUP(tbEscolas[[#This Row],[COD ETPA]],tbEtapas[],2,FALSE),"")</f>
        <v>3º ANO</v>
      </c>
      <c r="F350" t="str">
        <f>IFERROR(VLOOKUP(tbEscolas[[#This Row],[COD ETPA]],tbEtapas[],3,FALSE),"")</f>
        <v>FUNDAMENTAL</v>
      </c>
      <c r="G350" t="s">
        <v>125</v>
      </c>
    </row>
    <row r="351" spans="1:7" x14ac:dyDescent="0.25">
      <c r="A351" s="24">
        <f>_xlfn.XLOOKUP(tbEscolas[[#This Row],[ESCOLA]],tbNucleo[ESCOLA],tbNucleo[COD ESCOLA],"")</f>
        <v>20</v>
      </c>
      <c r="B351" t="str" cm="1">
        <f t="array" ref="B351">IFERROR(INDEX(tbNucleo[ESCOLA],ROUNDUP(ROW(B350)/TotalEtapas,0)),"")</f>
        <v>E.E JOÃO FLORENTINO SILVA NETO ANEXA LARANJEIRA</v>
      </c>
      <c r="C351" t="str">
        <f>IFERROR(VLOOKUP(B351,tbNucleo[],2,FALSE),"")</f>
        <v/>
      </c>
      <c r="D351" cm="1">
        <f t="array" ref="D351">IF(B351="","",INDEX(tbEtapas[Nº],MOD(ROW(B350)-1,TotalEtapas)+1))</f>
        <v>8</v>
      </c>
      <c r="E351" t="str">
        <f>IFERROR(VLOOKUP(tbEscolas[[#This Row],[COD ETPA]],tbEtapas[],2,FALSE),"")</f>
        <v>4º ANO</v>
      </c>
      <c r="F351" t="str">
        <f>IFERROR(VLOOKUP(tbEscolas[[#This Row],[COD ETPA]],tbEtapas[],3,FALSE),"")</f>
        <v>FUNDAMENTAL</v>
      </c>
      <c r="G351" t="s">
        <v>125</v>
      </c>
    </row>
    <row r="352" spans="1:7" x14ac:dyDescent="0.25">
      <c r="A352" s="24">
        <f>_xlfn.XLOOKUP(tbEscolas[[#This Row],[ESCOLA]],tbNucleo[ESCOLA],tbNucleo[COD ESCOLA],"")</f>
        <v>20</v>
      </c>
      <c r="B352" t="str" cm="1">
        <f t="array" ref="B352">IFERROR(INDEX(tbNucleo[ESCOLA],ROUNDUP(ROW(B351)/TotalEtapas,0)),"")</f>
        <v>E.E JOÃO FLORENTINO SILVA NETO ANEXA LARANJEIRA</v>
      </c>
      <c r="C352" t="str">
        <f>IFERROR(VLOOKUP(B352,tbNucleo[],2,FALSE),"")</f>
        <v/>
      </c>
      <c r="D352" cm="1">
        <f t="array" ref="D352">IF(B352="","",INDEX(tbEtapas[Nº],MOD(ROW(B351)-1,TotalEtapas)+1))</f>
        <v>9</v>
      </c>
      <c r="E352" t="str">
        <f>IFERROR(VLOOKUP(tbEscolas[[#This Row],[COD ETPA]],tbEtapas[],2,FALSE),"")</f>
        <v>5º ANO</v>
      </c>
      <c r="F352" t="str">
        <f>IFERROR(VLOOKUP(tbEscolas[[#This Row],[COD ETPA]],tbEtapas[],3,FALSE),"")</f>
        <v>FUNDAMENTAL</v>
      </c>
      <c r="G352" t="s">
        <v>125</v>
      </c>
    </row>
    <row r="353" spans="1:7" x14ac:dyDescent="0.25">
      <c r="A353" s="24">
        <f>_xlfn.XLOOKUP(tbEscolas[[#This Row],[ESCOLA]],tbNucleo[ESCOLA],tbNucleo[COD ESCOLA],"")</f>
        <v>20</v>
      </c>
      <c r="B353" t="str" cm="1">
        <f t="array" ref="B353">IFERROR(INDEX(tbNucleo[ESCOLA],ROUNDUP(ROW(B352)/TotalEtapas,0)),"")</f>
        <v>E.E JOÃO FLORENTINO SILVA NETO ANEXA LARANJEIRA</v>
      </c>
      <c r="C353" t="str">
        <f>IFERROR(VLOOKUP(B353,tbNucleo[],2,FALSE),"")</f>
        <v/>
      </c>
      <c r="D353" cm="1">
        <f t="array" ref="D353">IF(B353="","",INDEX(tbEtapas[Nº],MOD(ROW(B352)-1,TotalEtapas)+1))</f>
        <v>10</v>
      </c>
      <c r="E353" t="str">
        <f>IFERROR(VLOOKUP(tbEscolas[[#This Row],[COD ETPA]],tbEtapas[],2,FALSE),"")</f>
        <v>6º ANO</v>
      </c>
      <c r="F353" t="str">
        <f>IFERROR(VLOOKUP(tbEscolas[[#This Row],[COD ETPA]],tbEtapas[],3,FALSE),"")</f>
        <v>FUNDAMENTAL</v>
      </c>
      <c r="G353" t="s">
        <v>125</v>
      </c>
    </row>
    <row r="354" spans="1:7" x14ac:dyDescent="0.25">
      <c r="A354" s="24">
        <f>_xlfn.XLOOKUP(tbEscolas[[#This Row],[ESCOLA]],tbNucleo[ESCOLA],tbNucleo[COD ESCOLA],"")</f>
        <v>20</v>
      </c>
      <c r="B354" t="str" cm="1">
        <f t="array" ref="B354">IFERROR(INDEX(tbNucleo[ESCOLA],ROUNDUP(ROW(B353)/TotalEtapas,0)),"")</f>
        <v>E.E JOÃO FLORENTINO SILVA NETO ANEXA LARANJEIRA</v>
      </c>
      <c r="C354" t="str">
        <f>IFERROR(VLOOKUP(B354,tbNucleo[],2,FALSE),"")</f>
        <v/>
      </c>
      <c r="D354" cm="1">
        <f t="array" ref="D354">IF(B354="","",INDEX(tbEtapas[Nº],MOD(ROW(B353)-1,TotalEtapas)+1))</f>
        <v>11</v>
      </c>
      <c r="E354" t="str">
        <f>IFERROR(VLOOKUP(tbEscolas[[#This Row],[COD ETPA]],tbEtapas[],2,FALSE),"")</f>
        <v>7º ANO</v>
      </c>
      <c r="F354" t="str">
        <f>IFERROR(VLOOKUP(tbEscolas[[#This Row],[COD ETPA]],tbEtapas[],3,FALSE),"")</f>
        <v>FUNDAMENTAL</v>
      </c>
      <c r="G354" t="s">
        <v>125</v>
      </c>
    </row>
    <row r="355" spans="1:7" x14ac:dyDescent="0.25">
      <c r="A355" s="24">
        <f>_xlfn.XLOOKUP(tbEscolas[[#This Row],[ESCOLA]],tbNucleo[ESCOLA],tbNucleo[COD ESCOLA],"")</f>
        <v>20</v>
      </c>
      <c r="B355" t="str" cm="1">
        <f t="array" ref="B355">IFERROR(INDEX(tbNucleo[ESCOLA],ROUNDUP(ROW(B354)/TotalEtapas,0)),"")</f>
        <v>E.E JOÃO FLORENTINO SILVA NETO ANEXA LARANJEIRA</v>
      </c>
      <c r="C355" t="str">
        <f>IFERROR(VLOOKUP(B355,tbNucleo[],2,FALSE),"")</f>
        <v/>
      </c>
      <c r="D355" cm="1">
        <f t="array" ref="D355">IF(B355="","",INDEX(tbEtapas[Nº],MOD(ROW(B354)-1,TotalEtapas)+1))</f>
        <v>12</v>
      </c>
      <c r="E355" t="str">
        <f>IFERROR(VLOOKUP(tbEscolas[[#This Row],[COD ETPA]],tbEtapas[],2,FALSE),"")</f>
        <v>8º ANO</v>
      </c>
      <c r="F355" t="str">
        <f>IFERROR(VLOOKUP(tbEscolas[[#This Row],[COD ETPA]],tbEtapas[],3,FALSE),"")</f>
        <v>FUNDAMENTAL</v>
      </c>
      <c r="G355" t="s">
        <v>125</v>
      </c>
    </row>
    <row r="356" spans="1:7" x14ac:dyDescent="0.25">
      <c r="A356" s="24">
        <f>_xlfn.XLOOKUP(tbEscolas[[#This Row],[ESCOLA]],tbNucleo[ESCOLA],tbNucleo[COD ESCOLA],"")</f>
        <v>20</v>
      </c>
      <c r="B356" t="str" cm="1">
        <f t="array" ref="B356">IFERROR(INDEX(tbNucleo[ESCOLA],ROUNDUP(ROW(B355)/TotalEtapas,0)),"")</f>
        <v>E.E JOÃO FLORENTINO SILVA NETO ANEXA LARANJEIRA</v>
      </c>
      <c r="C356" t="str">
        <f>IFERROR(VLOOKUP(B356,tbNucleo[],2,FALSE),"")</f>
        <v/>
      </c>
      <c r="D356" cm="1">
        <f t="array" ref="D356">IF(B356="","",INDEX(tbEtapas[Nº],MOD(ROW(B355)-1,TotalEtapas)+1))</f>
        <v>13</v>
      </c>
      <c r="E356" t="str">
        <f>IFERROR(VLOOKUP(tbEscolas[[#This Row],[COD ETPA]],tbEtapas[],2,FALSE),"")</f>
        <v>9º ANO</v>
      </c>
      <c r="F356" t="str">
        <f>IFERROR(VLOOKUP(tbEscolas[[#This Row],[COD ETPA]],tbEtapas[],3,FALSE),"")</f>
        <v>FUNDAMENTAL</v>
      </c>
      <c r="G356" t="s">
        <v>125</v>
      </c>
    </row>
    <row r="357" spans="1:7" x14ac:dyDescent="0.25">
      <c r="A357" s="24">
        <f>_xlfn.XLOOKUP(tbEscolas[[#This Row],[ESCOLA]],tbNucleo[ESCOLA],tbNucleo[COD ESCOLA],"")</f>
        <v>20</v>
      </c>
      <c r="B357" t="str" cm="1">
        <f t="array" ref="B357">IFERROR(INDEX(tbNucleo[ESCOLA],ROUNDUP(ROW(B356)/TotalEtapas,0)),"")</f>
        <v>E.E JOÃO FLORENTINO SILVA NETO ANEXA LARANJEIRA</v>
      </c>
      <c r="C357" t="str">
        <f>IFERROR(VLOOKUP(B357,tbNucleo[],2,FALSE),"")</f>
        <v/>
      </c>
      <c r="D357" cm="1">
        <f t="array" ref="D357">IF(B357="","",INDEX(tbEtapas[Nº],MOD(ROW(B356)-1,TotalEtapas)+1))</f>
        <v>14</v>
      </c>
      <c r="E357" t="str">
        <f>IFERROR(VLOOKUP(tbEscolas[[#This Row],[COD ETPA]],tbEtapas[],2,FALSE),"")</f>
        <v>1º ANO</v>
      </c>
      <c r="F357" t="str">
        <f>IFERROR(VLOOKUP(tbEscolas[[#This Row],[COD ETPA]],tbEtapas[],3,FALSE),"")</f>
        <v>ENSINO MÉDIO</v>
      </c>
      <c r="G357" t="s">
        <v>125</v>
      </c>
    </row>
    <row r="358" spans="1:7" x14ac:dyDescent="0.25">
      <c r="A358" s="24">
        <f>_xlfn.XLOOKUP(tbEscolas[[#This Row],[ESCOLA]],tbNucleo[ESCOLA],tbNucleo[COD ESCOLA],"")</f>
        <v>20</v>
      </c>
      <c r="B358" t="str" cm="1">
        <f t="array" ref="B358">IFERROR(INDEX(tbNucleo[ESCOLA],ROUNDUP(ROW(B357)/TotalEtapas,0)),"")</f>
        <v>E.E JOÃO FLORENTINO SILVA NETO ANEXA LARANJEIRA</v>
      </c>
      <c r="C358" t="str">
        <f>IFERROR(VLOOKUP(B358,tbNucleo[],2,FALSE),"")</f>
        <v/>
      </c>
      <c r="D358" cm="1">
        <f t="array" ref="D358">IF(B358="","",INDEX(tbEtapas[Nº],MOD(ROW(B357)-1,TotalEtapas)+1))</f>
        <v>15</v>
      </c>
      <c r="E358" t="str">
        <f>IFERROR(VLOOKUP(tbEscolas[[#This Row],[COD ETPA]],tbEtapas[],2,FALSE),"")</f>
        <v>2º ANO</v>
      </c>
      <c r="F358" t="str">
        <f>IFERROR(VLOOKUP(tbEscolas[[#This Row],[COD ETPA]],tbEtapas[],3,FALSE),"")</f>
        <v>ENSINO MÉDIO</v>
      </c>
      <c r="G358" t="s">
        <v>125</v>
      </c>
    </row>
    <row r="359" spans="1:7" x14ac:dyDescent="0.25">
      <c r="A359" s="24">
        <f>_xlfn.XLOOKUP(tbEscolas[[#This Row],[ESCOLA]],tbNucleo[ESCOLA],tbNucleo[COD ESCOLA],"")</f>
        <v>20</v>
      </c>
      <c r="B359" t="str" cm="1">
        <f t="array" ref="B359">IFERROR(INDEX(tbNucleo[ESCOLA],ROUNDUP(ROW(B358)/TotalEtapas,0)),"")</f>
        <v>E.E JOÃO FLORENTINO SILVA NETO ANEXA LARANJEIRA</v>
      </c>
      <c r="C359" t="str">
        <f>IFERROR(VLOOKUP(B359,tbNucleo[],2,FALSE),"")</f>
        <v/>
      </c>
      <c r="D359" cm="1">
        <f t="array" ref="D359">IF(B359="","",INDEX(tbEtapas[Nº],MOD(ROW(B358)-1,TotalEtapas)+1))</f>
        <v>16</v>
      </c>
      <c r="E359" t="str">
        <f>IFERROR(VLOOKUP(tbEscolas[[#This Row],[COD ETPA]],tbEtapas[],2,FALSE),"")</f>
        <v>3º ANO</v>
      </c>
      <c r="F359" t="str">
        <f>IFERROR(VLOOKUP(tbEscolas[[#This Row],[COD ETPA]],tbEtapas[],3,FALSE),"")</f>
        <v>ENSINO MÉDIO</v>
      </c>
      <c r="G359" t="s">
        <v>125</v>
      </c>
    </row>
    <row r="360" spans="1:7" x14ac:dyDescent="0.25">
      <c r="A360" s="24">
        <f>_xlfn.XLOOKUP(tbEscolas[[#This Row],[ESCOLA]],tbNucleo[ESCOLA],tbNucleo[COD ESCOLA],"")</f>
        <v>20</v>
      </c>
      <c r="B360" t="str" cm="1">
        <f t="array" ref="B360">IFERROR(INDEX(tbNucleo[ESCOLA],ROUNDUP(ROW(B359)/TotalEtapas,0)),"")</f>
        <v>E.E JOÃO FLORENTINO SILVA NETO ANEXA LARANJEIRA</v>
      </c>
      <c r="C360" t="str">
        <f>IFERROR(VLOOKUP(B360,tbNucleo[],2,FALSE),"")</f>
        <v/>
      </c>
      <c r="D360" cm="1">
        <f t="array" ref="D360">IF(B360="","",INDEX(tbEtapas[Nº],MOD(ROW(B359)-1,TotalEtapas)+1))</f>
        <v>17</v>
      </c>
      <c r="E360" t="str">
        <f>IFERROR(VLOOKUP(tbEscolas[[#This Row],[COD ETPA]],tbEtapas[],2,FALSE),"")</f>
        <v>EJA I</v>
      </c>
      <c r="F360" t="str">
        <f>IFERROR(VLOOKUP(tbEscolas[[#This Row],[COD ETPA]],tbEtapas[],3,FALSE),"")</f>
        <v>FUNDAMENTAL</v>
      </c>
      <c r="G360" t="s">
        <v>125</v>
      </c>
    </row>
    <row r="361" spans="1:7" x14ac:dyDescent="0.25">
      <c r="A361" s="24">
        <f>_xlfn.XLOOKUP(tbEscolas[[#This Row],[ESCOLA]],tbNucleo[ESCOLA],tbNucleo[COD ESCOLA],"")</f>
        <v>20</v>
      </c>
      <c r="B361" t="str" cm="1">
        <f t="array" ref="B361">IFERROR(INDEX(tbNucleo[ESCOLA],ROUNDUP(ROW(B360)/TotalEtapas,0)),"")</f>
        <v>E.E JOÃO FLORENTINO SILVA NETO ANEXA LARANJEIRA</v>
      </c>
      <c r="C361" t="str">
        <f>IFERROR(VLOOKUP(B361,tbNucleo[],2,FALSE),"")</f>
        <v/>
      </c>
      <c r="D361" cm="1">
        <f t="array" ref="D361">IF(B361="","",INDEX(tbEtapas[Nº],MOD(ROW(B360)-1,TotalEtapas)+1))</f>
        <v>18</v>
      </c>
      <c r="E361" t="str">
        <f>IFERROR(VLOOKUP(tbEscolas[[#This Row],[COD ETPA]],tbEtapas[],2,FALSE),"")</f>
        <v>EJA II</v>
      </c>
      <c r="F361" t="str">
        <f>IFERROR(VLOOKUP(tbEscolas[[#This Row],[COD ETPA]],tbEtapas[],3,FALSE),"")</f>
        <v>ENSINO MÉDIO</v>
      </c>
      <c r="G361" t="s">
        <v>125</v>
      </c>
    </row>
    <row r="362" spans="1:7" x14ac:dyDescent="0.25">
      <c r="A362" s="24">
        <f>_xlfn.XLOOKUP(tbEscolas[[#This Row],[ESCOLA]],tbNucleo[ESCOLA],tbNucleo[COD ESCOLA],"")</f>
        <v>21</v>
      </c>
      <c r="B362" t="str" cm="1">
        <f t="array" ref="B362">IFERROR(INDEX(tbNucleo[ESCOLA],ROUNDUP(ROW(B361)/TotalEtapas,0)),"")</f>
        <v>E.E JOÃO FLORENTINO SILVA NETO ANEXA PAIOL</v>
      </c>
      <c r="C362" t="str">
        <f>IFERROR(VLOOKUP(B362,tbNucleo[],2,FALSE),"")</f>
        <v/>
      </c>
      <c r="D362" cm="1">
        <f t="array" ref="D362">IF(B362="","",INDEX(tbEtapas[Nº],MOD(ROW(B361)-1,TotalEtapas)+1))</f>
        <v>1</v>
      </c>
      <c r="E362" t="str">
        <f>IFERROR(VLOOKUP(tbEscolas[[#This Row],[COD ETPA]],tbEtapas[],2,FALSE),"")</f>
        <v>CRECHE I</v>
      </c>
      <c r="F362" t="str">
        <f>IFERROR(VLOOKUP(tbEscolas[[#This Row],[COD ETPA]],tbEtapas[],3,FALSE),"")</f>
        <v>EDUCAÇÃO INFANTIL</v>
      </c>
      <c r="G362" t="s">
        <v>125</v>
      </c>
    </row>
    <row r="363" spans="1:7" x14ac:dyDescent="0.25">
      <c r="A363" s="24">
        <f>_xlfn.XLOOKUP(tbEscolas[[#This Row],[ESCOLA]],tbNucleo[ESCOLA],tbNucleo[COD ESCOLA],"")</f>
        <v>21</v>
      </c>
      <c r="B363" t="str" cm="1">
        <f t="array" ref="B363">IFERROR(INDEX(tbNucleo[ESCOLA],ROUNDUP(ROW(B362)/TotalEtapas,0)),"")</f>
        <v>E.E JOÃO FLORENTINO SILVA NETO ANEXA PAIOL</v>
      </c>
      <c r="C363" t="str">
        <f>IFERROR(VLOOKUP(B363,tbNucleo[],2,FALSE),"")</f>
        <v/>
      </c>
      <c r="D363" cm="1">
        <f t="array" ref="D363">IF(B363="","",INDEX(tbEtapas[Nº],MOD(ROW(B362)-1,TotalEtapas)+1))</f>
        <v>2</v>
      </c>
      <c r="E363" t="str">
        <f>IFERROR(VLOOKUP(tbEscolas[[#This Row],[COD ETPA]],tbEtapas[],2,FALSE),"")</f>
        <v>CRECHE II</v>
      </c>
      <c r="F363" t="str">
        <f>IFERROR(VLOOKUP(tbEscolas[[#This Row],[COD ETPA]],tbEtapas[],3,FALSE),"")</f>
        <v>EDUCAÇÃO INFANTIL</v>
      </c>
      <c r="G363" t="s">
        <v>125</v>
      </c>
    </row>
    <row r="364" spans="1:7" x14ac:dyDescent="0.25">
      <c r="A364" s="24">
        <f>_xlfn.XLOOKUP(tbEscolas[[#This Row],[ESCOLA]],tbNucleo[ESCOLA],tbNucleo[COD ESCOLA],"")</f>
        <v>21</v>
      </c>
      <c r="B364" t="str" cm="1">
        <f t="array" ref="B364">IFERROR(INDEX(tbNucleo[ESCOLA],ROUNDUP(ROW(B363)/TotalEtapas,0)),"")</f>
        <v>E.E JOÃO FLORENTINO SILVA NETO ANEXA PAIOL</v>
      </c>
      <c r="C364" t="str">
        <f>IFERROR(VLOOKUP(B364,tbNucleo[],2,FALSE),"")</f>
        <v/>
      </c>
      <c r="D364" cm="1">
        <f t="array" ref="D364">IF(B364="","",INDEX(tbEtapas[Nº],MOD(ROW(B363)-1,TotalEtapas)+1))</f>
        <v>3</v>
      </c>
      <c r="E364" t="str">
        <f>IFERROR(VLOOKUP(tbEscolas[[#This Row],[COD ETPA]],tbEtapas[],2,FALSE),"")</f>
        <v>PRE I</v>
      </c>
      <c r="F364" t="str">
        <f>IFERROR(VLOOKUP(tbEscolas[[#This Row],[COD ETPA]],tbEtapas[],3,FALSE),"")</f>
        <v>EDUCAÇÃO INFANTIL</v>
      </c>
      <c r="G364" t="s">
        <v>126</v>
      </c>
    </row>
    <row r="365" spans="1:7" x14ac:dyDescent="0.25">
      <c r="A365" s="24">
        <f>_xlfn.XLOOKUP(tbEscolas[[#This Row],[ESCOLA]],tbNucleo[ESCOLA],tbNucleo[COD ESCOLA],"")</f>
        <v>21</v>
      </c>
      <c r="B365" t="str" cm="1">
        <f t="array" ref="B365">IFERROR(INDEX(tbNucleo[ESCOLA],ROUNDUP(ROW(B364)/TotalEtapas,0)),"")</f>
        <v>E.E JOÃO FLORENTINO SILVA NETO ANEXA PAIOL</v>
      </c>
      <c r="C365" t="str">
        <f>IFERROR(VLOOKUP(B365,tbNucleo[],2,FALSE),"")</f>
        <v/>
      </c>
      <c r="D365" cm="1">
        <f t="array" ref="D365">IF(B365="","",INDEX(tbEtapas[Nº],MOD(ROW(B364)-1,TotalEtapas)+1))</f>
        <v>4</v>
      </c>
      <c r="E365" t="str">
        <f>IFERROR(VLOOKUP(tbEscolas[[#This Row],[COD ETPA]],tbEtapas[],2,FALSE),"")</f>
        <v>PRE II</v>
      </c>
      <c r="F365" t="str">
        <f>IFERROR(VLOOKUP(tbEscolas[[#This Row],[COD ETPA]],tbEtapas[],3,FALSE),"")</f>
        <v>EDUCAÇÃO INFANTIL</v>
      </c>
      <c r="G365" t="s">
        <v>126</v>
      </c>
    </row>
    <row r="366" spans="1:7" x14ac:dyDescent="0.25">
      <c r="A366" s="24">
        <f>_xlfn.XLOOKUP(tbEscolas[[#This Row],[ESCOLA]],tbNucleo[ESCOLA],tbNucleo[COD ESCOLA],"")</f>
        <v>21</v>
      </c>
      <c r="B366" t="str" cm="1">
        <f t="array" ref="B366">IFERROR(INDEX(tbNucleo[ESCOLA],ROUNDUP(ROW(B365)/TotalEtapas,0)),"")</f>
        <v>E.E JOÃO FLORENTINO SILVA NETO ANEXA PAIOL</v>
      </c>
      <c r="C366" t="str">
        <f>IFERROR(VLOOKUP(B366,tbNucleo[],2,FALSE),"")</f>
        <v/>
      </c>
      <c r="D366" cm="1">
        <f t="array" ref="D366">IF(B366="","",INDEX(tbEtapas[Nº],MOD(ROW(B365)-1,TotalEtapas)+1))</f>
        <v>5</v>
      </c>
      <c r="E366" t="str">
        <f>IFERROR(VLOOKUP(tbEscolas[[#This Row],[COD ETPA]],tbEtapas[],2,FALSE),"")</f>
        <v>1º ANO</v>
      </c>
      <c r="F366" t="str">
        <f>IFERROR(VLOOKUP(tbEscolas[[#This Row],[COD ETPA]],tbEtapas[],3,FALSE),"")</f>
        <v>FUNDAMENTAL</v>
      </c>
      <c r="G366" t="s">
        <v>126</v>
      </c>
    </row>
    <row r="367" spans="1:7" x14ac:dyDescent="0.25">
      <c r="A367" s="24">
        <f>_xlfn.XLOOKUP(tbEscolas[[#This Row],[ESCOLA]],tbNucleo[ESCOLA],tbNucleo[COD ESCOLA],"")</f>
        <v>21</v>
      </c>
      <c r="B367" t="str" cm="1">
        <f t="array" ref="B367">IFERROR(INDEX(tbNucleo[ESCOLA],ROUNDUP(ROW(B366)/TotalEtapas,0)),"")</f>
        <v>E.E JOÃO FLORENTINO SILVA NETO ANEXA PAIOL</v>
      </c>
      <c r="C367" t="str">
        <f>IFERROR(VLOOKUP(B367,tbNucleo[],2,FALSE),"")</f>
        <v/>
      </c>
      <c r="D367" cm="1">
        <f t="array" ref="D367">IF(B367="","",INDEX(tbEtapas[Nº],MOD(ROW(B366)-1,TotalEtapas)+1))</f>
        <v>6</v>
      </c>
      <c r="E367" t="str">
        <f>IFERROR(VLOOKUP(tbEscolas[[#This Row],[COD ETPA]],tbEtapas[],2,FALSE),"")</f>
        <v>2º ANO</v>
      </c>
      <c r="F367" t="str">
        <f>IFERROR(VLOOKUP(tbEscolas[[#This Row],[COD ETPA]],tbEtapas[],3,FALSE),"")</f>
        <v>FUNDAMENTAL</v>
      </c>
      <c r="G367" t="s">
        <v>126</v>
      </c>
    </row>
    <row r="368" spans="1:7" x14ac:dyDescent="0.25">
      <c r="A368" s="24">
        <f>_xlfn.XLOOKUP(tbEscolas[[#This Row],[ESCOLA]],tbNucleo[ESCOLA],tbNucleo[COD ESCOLA],"")</f>
        <v>21</v>
      </c>
      <c r="B368" t="str" cm="1">
        <f t="array" ref="B368">IFERROR(INDEX(tbNucleo[ESCOLA],ROUNDUP(ROW(B367)/TotalEtapas,0)),"")</f>
        <v>E.E JOÃO FLORENTINO SILVA NETO ANEXA PAIOL</v>
      </c>
      <c r="C368" t="str">
        <f>IFERROR(VLOOKUP(B368,tbNucleo[],2,FALSE),"")</f>
        <v/>
      </c>
      <c r="D368" cm="1">
        <f t="array" ref="D368">IF(B368="","",INDEX(tbEtapas[Nº],MOD(ROW(B367)-1,TotalEtapas)+1))</f>
        <v>7</v>
      </c>
      <c r="E368" t="str">
        <f>IFERROR(VLOOKUP(tbEscolas[[#This Row],[COD ETPA]],tbEtapas[],2,FALSE),"")</f>
        <v>3º ANO</v>
      </c>
      <c r="F368" t="str">
        <f>IFERROR(VLOOKUP(tbEscolas[[#This Row],[COD ETPA]],tbEtapas[],3,FALSE),"")</f>
        <v>FUNDAMENTAL</v>
      </c>
      <c r="G368" t="s">
        <v>126</v>
      </c>
    </row>
    <row r="369" spans="1:7" x14ac:dyDescent="0.25">
      <c r="A369" s="24">
        <f>_xlfn.XLOOKUP(tbEscolas[[#This Row],[ESCOLA]],tbNucleo[ESCOLA],tbNucleo[COD ESCOLA],"")</f>
        <v>21</v>
      </c>
      <c r="B369" t="str" cm="1">
        <f t="array" ref="B369">IFERROR(INDEX(tbNucleo[ESCOLA],ROUNDUP(ROW(B368)/TotalEtapas,0)),"")</f>
        <v>E.E JOÃO FLORENTINO SILVA NETO ANEXA PAIOL</v>
      </c>
      <c r="C369" t="str">
        <f>IFERROR(VLOOKUP(B369,tbNucleo[],2,FALSE),"")</f>
        <v/>
      </c>
      <c r="D369" cm="1">
        <f t="array" ref="D369">IF(B369="","",INDEX(tbEtapas[Nº],MOD(ROW(B368)-1,TotalEtapas)+1))</f>
        <v>8</v>
      </c>
      <c r="E369" t="str">
        <f>IFERROR(VLOOKUP(tbEscolas[[#This Row],[COD ETPA]],tbEtapas[],2,FALSE),"")</f>
        <v>4º ANO</v>
      </c>
      <c r="F369" t="str">
        <f>IFERROR(VLOOKUP(tbEscolas[[#This Row],[COD ETPA]],tbEtapas[],3,FALSE),"")</f>
        <v>FUNDAMENTAL</v>
      </c>
      <c r="G369" t="s">
        <v>126</v>
      </c>
    </row>
    <row r="370" spans="1:7" x14ac:dyDescent="0.25">
      <c r="A370" s="24">
        <f>_xlfn.XLOOKUP(tbEscolas[[#This Row],[ESCOLA]],tbNucleo[ESCOLA],tbNucleo[COD ESCOLA],"")</f>
        <v>21</v>
      </c>
      <c r="B370" t="str" cm="1">
        <f t="array" ref="B370">IFERROR(INDEX(tbNucleo[ESCOLA],ROUNDUP(ROW(B369)/TotalEtapas,0)),"")</f>
        <v>E.E JOÃO FLORENTINO SILVA NETO ANEXA PAIOL</v>
      </c>
      <c r="C370" t="str">
        <f>IFERROR(VLOOKUP(B370,tbNucleo[],2,FALSE),"")</f>
        <v/>
      </c>
      <c r="D370" cm="1">
        <f t="array" ref="D370">IF(B370="","",INDEX(tbEtapas[Nº],MOD(ROW(B369)-1,TotalEtapas)+1))</f>
        <v>9</v>
      </c>
      <c r="E370" t="str">
        <f>IFERROR(VLOOKUP(tbEscolas[[#This Row],[COD ETPA]],tbEtapas[],2,FALSE),"")</f>
        <v>5º ANO</v>
      </c>
      <c r="F370" t="str">
        <f>IFERROR(VLOOKUP(tbEscolas[[#This Row],[COD ETPA]],tbEtapas[],3,FALSE),"")</f>
        <v>FUNDAMENTAL</v>
      </c>
      <c r="G370" t="s">
        <v>126</v>
      </c>
    </row>
    <row r="371" spans="1:7" x14ac:dyDescent="0.25">
      <c r="A371" s="24">
        <f>_xlfn.XLOOKUP(tbEscolas[[#This Row],[ESCOLA]],tbNucleo[ESCOLA],tbNucleo[COD ESCOLA],"")</f>
        <v>21</v>
      </c>
      <c r="B371" t="str" cm="1">
        <f t="array" ref="B371">IFERROR(INDEX(tbNucleo[ESCOLA],ROUNDUP(ROW(B370)/TotalEtapas,0)),"")</f>
        <v>E.E JOÃO FLORENTINO SILVA NETO ANEXA PAIOL</v>
      </c>
      <c r="C371" t="str">
        <f>IFERROR(VLOOKUP(B371,tbNucleo[],2,FALSE),"")</f>
        <v/>
      </c>
      <c r="D371" cm="1">
        <f t="array" ref="D371">IF(B371="","",INDEX(tbEtapas[Nº],MOD(ROW(B370)-1,TotalEtapas)+1))</f>
        <v>10</v>
      </c>
      <c r="E371" t="str">
        <f>IFERROR(VLOOKUP(tbEscolas[[#This Row],[COD ETPA]],tbEtapas[],2,FALSE),"")</f>
        <v>6º ANO</v>
      </c>
      <c r="F371" t="str">
        <f>IFERROR(VLOOKUP(tbEscolas[[#This Row],[COD ETPA]],tbEtapas[],3,FALSE),"")</f>
        <v>FUNDAMENTAL</v>
      </c>
      <c r="G371" t="s">
        <v>125</v>
      </c>
    </row>
    <row r="372" spans="1:7" x14ac:dyDescent="0.25">
      <c r="A372" s="24">
        <f>_xlfn.XLOOKUP(tbEscolas[[#This Row],[ESCOLA]],tbNucleo[ESCOLA],tbNucleo[COD ESCOLA],"")</f>
        <v>21</v>
      </c>
      <c r="B372" t="str" cm="1">
        <f t="array" ref="B372">IFERROR(INDEX(tbNucleo[ESCOLA],ROUNDUP(ROW(B371)/TotalEtapas,0)),"")</f>
        <v>E.E JOÃO FLORENTINO SILVA NETO ANEXA PAIOL</v>
      </c>
      <c r="C372" t="str">
        <f>IFERROR(VLOOKUP(B372,tbNucleo[],2,FALSE),"")</f>
        <v/>
      </c>
      <c r="D372" cm="1">
        <f t="array" ref="D372">IF(B372="","",INDEX(tbEtapas[Nº],MOD(ROW(B371)-1,TotalEtapas)+1))</f>
        <v>11</v>
      </c>
      <c r="E372" t="str">
        <f>IFERROR(VLOOKUP(tbEscolas[[#This Row],[COD ETPA]],tbEtapas[],2,FALSE),"")</f>
        <v>7º ANO</v>
      </c>
      <c r="F372" t="str">
        <f>IFERROR(VLOOKUP(tbEscolas[[#This Row],[COD ETPA]],tbEtapas[],3,FALSE),"")</f>
        <v>FUNDAMENTAL</v>
      </c>
      <c r="G372" t="s">
        <v>125</v>
      </c>
    </row>
    <row r="373" spans="1:7" x14ac:dyDescent="0.25">
      <c r="A373" s="24">
        <f>_xlfn.XLOOKUP(tbEscolas[[#This Row],[ESCOLA]],tbNucleo[ESCOLA],tbNucleo[COD ESCOLA],"")</f>
        <v>21</v>
      </c>
      <c r="B373" t="str" cm="1">
        <f t="array" ref="B373">IFERROR(INDEX(tbNucleo[ESCOLA],ROUNDUP(ROW(B372)/TotalEtapas,0)),"")</f>
        <v>E.E JOÃO FLORENTINO SILVA NETO ANEXA PAIOL</v>
      </c>
      <c r="C373" t="str">
        <f>IFERROR(VLOOKUP(B373,tbNucleo[],2,FALSE),"")</f>
        <v/>
      </c>
      <c r="D373" cm="1">
        <f t="array" ref="D373">IF(B373="","",INDEX(tbEtapas[Nº],MOD(ROW(B372)-1,TotalEtapas)+1))</f>
        <v>12</v>
      </c>
      <c r="E373" t="str">
        <f>IFERROR(VLOOKUP(tbEscolas[[#This Row],[COD ETPA]],tbEtapas[],2,FALSE),"")</f>
        <v>8º ANO</v>
      </c>
      <c r="F373" t="str">
        <f>IFERROR(VLOOKUP(tbEscolas[[#This Row],[COD ETPA]],tbEtapas[],3,FALSE),"")</f>
        <v>FUNDAMENTAL</v>
      </c>
      <c r="G373" t="s">
        <v>125</v>
      </c>
    </row>
    <row r="374" spans="1:7" x14ac:dyDescent="0.25">
      <c r="A374" s="24">
        <f>_xlfn.XLOOKUP(tbEscolas[[#This Row],[ESCOLA]],tbNucleo[ESCOLA],tbNucleo[COD ESCOLA],"")</f>
        <v>21</v>
      </c>
      <c r="B374" t="str" cm="1">
        <f t="array" ref="B374">IFERROR(INDEX(tbNucleo[ESCOLA],ROUNDUP(ROW(B373)/TotalEtapas,0)),"")</f>
        <v>E.E JOÃO FLORENTINO SILVA NETO ANEXA PAIOL</v>
      </c>
      <c r="C374" t="str">
        <f>IFERROR(VLOOKUP(B374,tbNucleo[],2,FALSE),"")</f>
        <v/>
      </c>
      <c r="D374" cm="1">
        <f t="array" ref="D374">IF(B374="","",INDEX(tbEtapas[Nº],MOD(ROW(B373)-1,TotalEtapas)+1))</f>
        <v>13</v>
      </c>
      <c r="E374" t="str">
        <f>IFERROR(VLOOKUP(tbEscolas[[#This Row],[COD ETPA]],tbEtapas[],2,FALSE),"")</f>
        <v>9º ANO</v>
      </c>
      <c r="F374" t="str">
        <f>IFERROR(VLOOKUP(tbEscolas[[#This Row],[COD ETPA]],tbEtapas[],3,FALSE),"")</f>
        <v>FUNDAMENTAL</v>
      </c>
      <c r="G374" t="s">
        <v>125</v>
      </c>
    </row>
    <row r="375" spans="1:7" x14ac:dyDescent="0.25">
      <c r="A375" s="24">
        <f>_xlfn.XLOOKUP(tbEscolas[[#This Row],[ESCOLA]],tbNucleo[ESCOLA],tbNucleo[COD ESCOLA],"")</f>
        <v>21</v>
      </c>
      <c r="B375" t="str" cm="1">
        <f t="array" ref="B375">IFERROR(INDEX(tbNucleo[ESCOLA],ROUNDUP(ROW(B374)/TotalEtapas,0)),"")</f>
        <v>E.E JOÃO FLORENTINO SILVA NETO ANEXA PAIOL</v>
      </c>
      <c r="C375" t="str">
        <f>IFERROR(VLOOKUP(B375,tbNucleo[],2,FALSE),"")</f>
        <v/>
      </c>
      <c r="D375" cm="1">
        <f t="array" ref="D375">IF(B375="","",INDEX(tbEtapas[Nº],MOD(ROW(B374)-1,TotalEtapas)+1))</f>
        <v>14</v>
      </c>
      <c r="E375" t="str">
        <f>IFERROR(VLOOKUP(tbEscolas[[#This Row],[COD ETPA]],tbEtapas[],2,FALSE),"")</f>
        <v>1º ANO</v>
      </c>
      <c r="F375" t="str">
        <f>IFERROR(VLOOKUP(tbEscolas[[#This Row],[COD ETPA]],tbEtapas[],3,FALSE),"")</f>
        <v>ENSINO MÉDIO</v>
      </c>
      <c r="G375" t="s">
        <v>125</v>
      </c>
    </row>
    <row r="376" spans="1:7" x14ac:dyDescent="0.25">
      <c r="A376" s="24">
        <f>_xlfn.XLOOKUP(tbEscolas[[#This Row],[ESCOLA]],tbNucleo[ESCOLA],tbNucleo[COD ESCOLA],"")</f>
        <v>21</v>
      </c>
      <c r="B376" t="str" cm="1">
        <f t="array" ref="B376">IFERROR(INDEX(tbNucleo[ESCOLA],ROUNDUP(ROW(B375)/TotalEtapas,0)),"")</f>
        <v>E.E JOÃO FLORENTINO SILVA NETO ANEXA PAIOL</v>
      </c>
      <c r="C376" t="str">
        <f>IFERROR(VLOOKUP(B376,tbNucleo[],2,FALSE),"")</f>
        <v/>
      </c>
      <c r="D376" cm="1">
        <f t="array" ref="D376">IF(B376="","",INDEX(tbEtapas[Nº],MOD(ROW(B375)-1,TotalEtapas)+1))</f>
        <v>15</v>
      </c>
      <c r="E376" t="str">
        <f>IFERROR(VLOOKUP(tbEscolas[[#This Row],[COD ETPA]],tbEtapas[],2,FALSE),"")</f>
        <v>2º ANO</v>
      </c>
      <c r="F376" t="str">
        <f>IFERROR(VLOOKUP(tbEscolas[[#This Row],[COD ETPA]],tbEtapas[],3,FALSE),"")</f>
        <v>ENSINO MÉDIO</v>
      </c>
      <c r="G376" t="s">
        <v>125</v>
      </c>
    </row>
    <row r="377" spans="1:7" x14ac:dyDescent="0.25">
      <c r="A377" s="24">
        <f>_xlfn.XLOOKUP(tbEscolas[[#This Row],[ESCOLA]],tbNucleo[ESCOLA],tbNucleo[COD ESCOLA],"")</f>
        <v>21</v>
      </c>
      <c r="B377" t="str" cm="1">
        <f t="array" ref="B377">IFERROR(INDEX(tbNucleo[ESCOLA],ROUNDUP(ROW(B376)/TotalEtapas,0)),"")</f>
        <v>E.E JOÃO FLORENTINO SILVA NETO ANEXA PAIOL</v>
      </c>
      <c r="C377" t="str">
        <f>IFERROR(VLOOKUP(B377,tbNucleo[],2,FALSE),"")</f>
        <v/>
      </c>
      <c r="D377" cm="1">
        <f t="array" ref="D377">IF(B377="","",INDEX(tbEtapas[Nº],MOD(ROW(B376)-1,TotalEtapas)+1))</f>
        <v>16</v>
      </c>
      <c r="E377" t="str">
        <f>IFERROR(VLOOKUP(tbEscolas[[#This Row],[COD ETPA]],tbEtapas[],2,FALSE),"")</f>
        <v>3º ANO</v>
      </c>
      <c r="F377" t="str">
        <f>IFERROR(VLOOKUP(tbEscolas[[#This Row],[COD ETPA]],tbEtapas[],3,FALSE),"")</f>
        <v>ENSINO MÉDIO</v>
      </c>
      <c r="G377" t="s">
        <v>125</v>
      </c>
    </row>
    <row r="378" spans="1:7" x14ac:dyDescent="0.25">
      <c r="A378" s="24">
        <f>_xlfn.XLOOKUP(tbEscolas[[#This Row],[ESCOLA]],tbNucleo[ESCOLA],tbNucleo[COD ESCOLA],"")</f>
        <v>21</v>
      </c>
      <c r="B378" t="str" cm="1">
        <f t="array" ref="B378">IFERROR(INDEX(tbNucleo[ESCOLA],ROUNDUP(ROW(B377)/TotalEtapas,0)),"")</f>
        <v>E.E JOÃO FLORENTINO SILVA NETO ANEXA PAIOL</v>
      </c>
      <c r="C378" t="str">
        <f>IFERROR(VLOOKUP(B378,tbNucleo[],2,FALSE),"")</f>
        <v/>
      </c>
      <c r="D378" cm="1">
        <f t="array" ref="D378">IF(B378="","",INDEX(tbEtapas[Nº],MOD(ROW(B377)-1,TotalEtapas)+1))</f>
        <v>17</v>
      </c>
      <c r="E378" t="str">
        <f>IFERROR(VLOOKUP(tbEscolas[[#This Row],[COD ETPA]],tbEtapas[],2,FALSE),"")</f>
        <v>EJA I</v>
      </c>
      <c r="F378" t="str">
        <f>IFERROR(VLOOKUP(tbEscolas[[#This Row],[COD ETPA]],tbEtapas[],3,FALSE),"")</f>
        <v>FUNDAMENTAL</v>
      </c>
      <c r="G378" t="s">
        <v>125</v>
      </c>
    </row>
    <row r="379" spans="1:7" x14ac:dyDescent="0.25">
      <c r="A379" s="24">
        <f>_xlfn.XLOOKUP(tbEscolas[[#This Row],[ESCOLA]],tbNucleo[ESCOLA],tbNucleo[COD ESCOLA],"")</f>
        <v>21</v>
      </c>
      <c r="B379" t="str" cm="1">
        <f t="array" ref="B379">IFERROR(INDEX(tbNucleo[ESCOLA],ROUNDUP(ROW(B378)/TotalEtapas,0)),"")</f>
        <v>E.E JOÃO FLORENTINO SILVA NETO ANEXA PAIOL</v>
      </c>
      <c r="C379" t="str">
        <f>IFERROR(VLOOKUP(B379,tbNucleo[],2,FALSE),"")</f>
        <v/>
      </c>
      <c r="D379" cm="1">
        <f t="array" ref="D379">IF(B379="","",INDEX(tbEtapas[Nº],MOD(ROW(B378)-1,TotalEtapas)+1))</f>
        <v>18</v>
      </c>
      <c r="E379" t="str">
        <f>IFERROR(VLOOKUP(tbEscolas[[#This Row],[COD ETPA]],tbEtapas[],2,FALSE),"")</f>
        <v>EJA II</v>
      </c>
      <c r="F379" t="str">
        <f>IFERROR(VLOOKUP(tbEscolas[[#This Row],[COD ETPA]],tbEtapas[],3,FALSE),"")</f>
        <v>ENSINO MÉDIO</v>
      </c>
      <c r="G379" t="s">
        <v>125</v>
      </c>
    </row>
    <row r="380" spans="1:7" x14ac:dyDescent="0.25">
      <c r="A380" s="24">
        <f>_xlfn.XLOOKUP(tbEscolas[[#This Row],[ESCOLA]],tbNucleo[ESCOLA],tbNucleo[COD ESCOLA],"")</f>
        <v>22</v>
      </c>
      <c r="B380" t="str" cm="1">
        <f t="array" ref="B380">IFERROR(INDEX(tbNucleo[ESCOLA],ROUNDUP(ROW(B379)/TotalEtapas,0)),"")</f>
        <v>E.E JOÃO FLORENTINO SILVA NETO ANEXA SADIA</v>
      </c>
      <c r="C380" t="str">
        <f>IFERROR(VLOOKUP(B380,tbNucleo[],2,FALSE),"")</f>
        <v/>
      </c>
      <c r="D380" cm="1">
        <f t="array" ref="D380">IF(B380="","",INDEX(tbEtapas[Nº],MOD(ROW(B379)-1,TotalEtapas)+1))</f>
        <v>1</v>
      </c>
      <c r="E380" t="str">
        <f>IFERROR(VLOOKUP(tbEscolas[[#This Row],[COD ETPA]],tbEtapas[],2,FALSE),"")</f>
        <v>CRECHE I</v>
      </c>
      <c r="F380" t="str">
        <f>IFERROR(VLOOKUP(tbEscolas[[#This Row],[COD ETPA]],tbEtapas[],3,FALSE),"")</f>
        <v>EDUCAÇÃO INFANTIL</v>
      </c>
      <c r="G380" t="s">
        <v>126</v>
      </c>
    </row>
    <row r="381" spans="1:7" x14ac:dyDescent="0.25">
      <c r="A381" s="24">
        <f>_xlfn.XLOOKUP(tbEscolas[[#This Row],[ESCOLA]],tbNucleo[ESCOLA],tbNucleo[COD ESCOLA],"")</f>
        <v>22</v>
      </c>
      <c r="B381" t="str" cm="1">
        <f t="array" ref="B381">IFERROR(INDEX(tbNucleo[ESCOLA],ROUNDUP(ROW(B380)/TotalEtapas,0)),"")</f>
        <v>E.E JOÃO FLORENTINO SILVA NETO ANEXA SADIA</v>
      </c>
      <c r="C381" t="str">
        <f>IFERROR(VLOOKUP(B381,tbNucleo[],2,FALSE),"")</f>
        <v/>
      </c>
      <c r="D381" cm="1">
        <f t="array" ref="D381">IF(B381="","",INDEX(tbEtapas[Nº],MOD(ROW(B380)-1,TotalEtapas)+1))</f>
        <v>2</v>
      </c>
      <c r="E381" t="str">
        <f>IFERROR(VLOOKUP(tbEscolas[[#This Row],[COD ETPA]],tbEtapas[],2,FALSE),"")</f>
        <v>CRECHE II</v>
      </c>
      <c r="F381" t="str">
        <f>IFERROR(VLOOKUP(tbEscolas[[#This Row],[COD ETPA]],tbEtapas[],3,FALSE),"")</f>
        <v>EDUCAÇÃO INFANTIL</v>
      </c>
      <c r="G381" t="s">
        <v>126</v>
      </c>
    </row>
    <row r="382" spans="1:7" x14ac:dyDescent="0.25">
      <c r="A382" s="24">
        <f>_xlfn.XLOOKUP(tbEscolas[[#This Row],[ESCOLA]],tbNucleo[ESCOLA],tbNucleo[COD ESCOLA],"")</f>
        <v>22</v>
      </c>
      <c r="B382" t="str" cm="1">
        <f t="array" ref="B382">IFERROR(INDEX(tbNucleo[ESCOLA],ROUNDUP(ROW(B381)/TotalEtapas,0)),"")</f>
        <v>E.E JOÃO FLORENTINO SILVA NETO ANEXA SADIA</v>
      </c>
      <c r="C382" t="str">
        <f>IFERROR(VLOOKUP(B382,tbNucleo[],2,FALSE),"")</f>
        <v/>
      </c>
      <c r="D382" cm="1">
        <f t="array" ref="D382">IF(B382="","",INDEX(tbEtapas[Nº],MOD(ROW(B381)-1,TotalEtapas)+1))</f>
        <v>3</v>
      </c>
      <c r="E382" t="str">
        <f>IFERROR(VLOOKUP(tbEscolas[[#This Row],[COD ETPA]],tbEtapas[],2,FALSE),"")</f>
        <v>PRE I</v>
      </c>
      <c r="F382" t="str">
        <f>IFERROR(VLOOKUP(tbEscolas[[#This Row],[COD ETPA]],tbEtapas[],3,FALSE),"")</f>
        <v>EDUCAÇÃO INFANTIL</v>
      </c>
      <c r="G382" t="s">
        <v>126</v>
      </c>
    </row>
    <row r="383" spans="1:7" x14ac:dyDescent="0.25">
      <c r="A383" s="24">
        <f>_xlfn.XLOOKUP(tbEscolas[[#This Row],[ESCOLA]],tbNucleo[ESCOLA],tbNucleo[COD ESCOLA],"")</f>
        <v>22</v>
      </c>
      <c r="B383" t="str" cm="1">
        <f t="array" ref="B383">IFERROR(INDEX(tbNucleo[ESCOLA],ROUNDUP(ROW(B382)/TotalEtapas,0)),"")</f>
        <v>E.E JOÃO FLORENTINO SILVA NETO ANEXA SADIA</v>
      </c>
      <c r="C383" t="str">
        <f>IFERROR(VLOOKUP(B383,tbNucleo[],2,FALSE),"")</f>
        <v/>
      </c>
      <c r="D383" cm="1">
        <f t="array" ref="D383">IF(B383="","",INDEX(tbEtapas[Nº],MOD(ROW(B382)-1,TotalEtapas)+1))</f>
        <v>4</v>
      </c>
      <c r="E383" t="str">
        <f>IFERROR(VLOOKUP(tbEscolas[[#This Row],[COD ETPA]],tbEtapas[],2,FALSE),"")</f>
        <v>PRE II</v>
      </c>
      <c r="F383" t="str">
        <f>IFERROR(VLOOKUP(tbEscolas[[#This Row],[COD ETPA]],tbEtapas[],3,FALSE),"")</f>
        <v>EDUCAÇÃO INFANTIL</v>
      </c>
      <c r="G383" t="s">
        <v>126</v>
      </c>
    </row>
    <row r="384" spans="1:7" x14ac:dyDescent="0.25">
      <c r="A384" s="24">
        <f>_xlfn.XLOOKUP(tbEscolas[[#This Row],[ESCOLA]],tbNucleo[ESCOLA],tbNucleo[COD ESCOLA],"")</f>
        <v>22</v>
      </c>
      <c r="B384" t="str" cm="1">
        <f t="array" ref="B384">IFERROR(INDEX(tbNucleo[ESCOLA],ROUNDUP(ROW(B383)/TotalEtapas,0)),"")</f>
        <v>E.E JOÃO FLORENTINO SILVA NETO ANEXA SADIA</v>
      </c>
      <c r="C384" t="str">
        <f>IFERROR(VLOOKUP(B384,tbNucleo[],2,FALSE),"")</f>
        <v/>
      </c>
      <c r="D384" cm="1">
        <f t="array" ref="D384">IF(B384="","",INDEX(tbEtapas[Nº],MOD(ROW(B383)-1,TotalEtapas)+1))</f>
        <v>5</v>
      </c>
      <c r="E384" t="str">
        <f>IFERROR(VLOOKUP(tbEscolas[[#This Row],[COD ETPA]],tbEtapas[],2,FALSE),"")</f>
        <v>1º ANO</v>
      </c>
      <c r="F384" t="str">
        <f>IFERROR(VLOOKUP(tbEscolas[[#This Row],[COD ETPA]],tbEtapas[],3,FALSE),"")</f>
        <v>FUNDAMENTAL</v>
      </c>
      <c r="G384" t="s">
        <v>125</v>
      </c>
    </row>
    <row r="385" spans="1:7" x14ac:dyDescent="0.25">
      <c r="A385" s="24">
        <f>_xlfn.XLOOKUP(tbEscolas[[#This Row],[ESCOLA]],tbNucleo[ESCOLA],tbNucleo[COD ESCOLA],"")</f>
        <v>22</v>
      </c>
      <c r="B385" t="str" cm="1">
        <f t="array" ref="B385">IFERROR(INDEX(tbNucleo[ESCOLA],ROUNDUP(ROW(B384)/TotalEtapas,0)),"")</f>
        <v>E.E JOÃO FLORENTINO SILVA NETO ANEXA SADIA</v>
      </c>
      <c r="C385" t="str">
        <f>IFERROR(VLOOKUP(B385,tbNucleo[],2,FALSE),"")</f>
        <v/>
      </c>
      <c r="D385" cm="1">
        <f t="array" ref="D385">IF(B385="","",INDEX(tbEtapas[Nº],MOD(ROW(B384)-1,TotalEtapas)+1))</f>
        <v>6</v>
      </c>
      <c r="E385" t="str">
        <f>IFERROR(VLOOKUP(tbEscolas[[#This Row],[COD ETPA]],tbEtapas[],2,FALSE),"")</f>
        <v>2º ANO</v>
      </c>
      <c r="F385" t="str">
        <f>IFERROR(VLOOKUP(tbEscolas[[#This Row],[COD ETPA]],tbEtapas[],3,FALSE),"")</f>
        <v>FUNDAMENTAL</v>
      </c>
      <c r="G385" t="s">
        <v>125</v>
      </c>
    </row>
    <row r="386" spans="1:7" x14ac:dyDescent="0.25">
      <c r="A386" s="24">
        <f>_xlfn.XLOOKUP(tbEscolas[[#This Row],[ESCOLA]],tbNucleo[ESCOLA],tbNucleo[COD ESCOLA],"")</f>
        <v>22</v>
      </c>
      <c r="B386" t="str" cm="1">
        <f t="array" ref="B386">IFERROR(INDEX(tbNucleo[ESCOLA],ROUNDUP(ROW(B385)/TotalEtapas,0)),"")</f>
        <v>E.E JOÃO FLORENTINO SILVA NETO ANEXA SADIA</v>
      </c>
      <c r="C386" t="str">
        <f>IFERROR(VLOOKUP(B386,tbNucleo[],2,FALSE),"")</f>
        <v/>
      </c>
      <c r="D386" cm="1">
        <f t="array" ref="D386">IF(B386="","",INDEX(tbEtapas[Nº],MOD(ROW(B385)-1,TotalEtapas)+1))</f>
        <v>7</v>
      </c>
      <c r="E386" t="str">
        <f>IFERROR(VLOOKUP(tbEscolas[[#This Row],[COD ETPA]],tbEtapas[],2,FALSE),"")</f>
        <v>3º ANO</v>
      </c>
      <c r="F386" t="str">
        <f>IFERROR(VLOOKUP(tbEscolas[[#This Row],[COD ETPA]],tbEtapas[],3,FALSE),"")</f>
        <v>FUNDAMENTAL</v>
      </c>
      <c r="G386" t="s">
        <v>125</v>
      </c>
    </row>
    <row r="387" spans="1:7" x14ac:dyDescent="0.25">
      <c r="A387" s="24">
        <f>_xlfn.XLOOKUP(tbEscolas[[#This Row],[ESCOLA]],tbNucleo[ESCOLA],tbNucleo[COD ESCOLA],"")</f>
        <v>22</v>
      </c>
      <c r="B387" t="str" cm="1">
        <f t="array" ref="B387">IFERROR(INDEX(tbNucleo[ESCOLA],ROUNDUP(ROW(B386)/TotalEtapas,0)),"")</f>
        <v>E.E JOÃO FLORENTINO SILVA NETO ANEXA SADIA</v>
      </c>
      <c r="C387" t="str">
        <f>IFERROR(VLOOKUP(B387,tbNucleo[],2,FALSE),"")</f>
        <v/>
      </c>
      <c r="D387" cm="1">
        <f t="array" ref="D387">IF(B387="","",INDEX(tbEtapas[Nº],MOD(ROW(B386)-1,TotalEtapas)+1))</f>
        <v>8</v>
      </c>
      <c r="E387" t="str">
        <f>IFERROR(VLOOKUP(tbEscolas[[#This Row],[COD ETPA]],tbEtapas[],2,FALSE),"")</f>
        <v>4º ANO</v>
      </c>
      <c r="F387" t="str">
        <f>IFERROR(VLOOKUP(tbEscolas[[#This Row],[COD ETPA]],tbEtapas[],3,FALSE),"")</f>
        <v>FUNDAMENTAL</v>
      </c>
      <c r="G387" t="s">
        <v>125</v>
      </c>
    </row>
    <row r="388" spans="1:7" x14ac:dyDescent="0.25">
      <c r="A388" s="24">
        <f>_xlfn.XLOOKUP(tbEscolas[[#This Row],[ESCOLA]],tbNucleo[ESCOLA],tbNucleo[COD ESCOLA],"")</f>
        <v>22</v>
      </c>
      <c r="B388" t="str" cm="1">
        <f t="array" ref="B388">IFERROR(INDEX(tbNucleo[ESCOLA],ROUNDUP(ROW(B387)/TotalEtapas,0)),"")</f>
        <v>E.E JOÃO FLORENTINO SILVA NETO ANEXA SADIA</v>
      </c>
      <c r="C388" t="str">
        <f>IFERROR(VLOOKUP(B388,tbNucleo[],2,FALSE),"")</f>
        <v/>
      </c>
      <c r="D388" cm="1">
        <f t="array" ref="D388">IF(B388="","",INDEX(tbEtapas[Nº],MOD(ROW(B387)-1,TotalEtapas)+1))</f>
        <v>9</v>
      </c>
      <c r="E388" t="str">
        <f>IFERROR(VLOOKUP(tbEscolas[[#This Row],[COD ETPA]],tbEtapas[],2,FALSE),"")</f>
        <v>5º ANO</v>
      </c>
      <c r="F388" t="str">
        <f>IFERROR(VLOOKUP(tbEscolas[[#This Row],[COD ETPA]],tbEtapas[],3,FALSE),"")</f>
        <v>FUNDAMENTAL</v>
      </c>
      <c r="G388" t="s">
        <v>125</v>
      </c>
    </row>
    <row r="389" spans="1:7" x14ac:dyDescent="0.25">
      <c r="A389" s="24">
        <f>_xlfn.XLOOKUP(tbEscolas[[#This Row],[ESCOLA]],tbNucleo[ESCOLA],tbNucleo[COD ESCOLA],"")</f>
        <v>22</v>
      </c>
      <c r="B389" t="str" cm="1">
        <f t="array" ref="B389">IFERROR(INDEX(tbNucleo[ESCOLA],ROUNDUP(ROW(B388)/TotalEtapas,0)),"")</f>
        <v>E.E JOÃO FLORENTINO SILVA NETO ANEXA SADIA</v>
      </c>
      <c r="C389" t="str">
        <f>IFERROR(VLOOKUP(B389,tbNucleo[],2,FALSE),"")</f>
        <v/>
      </c>
      <c r="D389" cm="1">
        <f t="array" ref="D389">IF(B389="","",INDEX(tbEtapas[Nº],MOD(ROW(B388)-1,TotalEtapas)+1))</f>
        <v>10</v>
      </c>
      <c r="E389" t="str">
        <f>IFERROR(VLOOKUP(tbEscolas[[#This Row],[COD ETPA]],tbEtapas[],2,FALSE),"")</f>
        <v>6º ANO</v>
      </c>
      <c r="F389" t="str">
        <f>IFERROR(VLOOKUP(tbEscolas[[#This Row],[COD ETPA]],tbEtapas[],3,FALSE),"")</f>
        <v>FUNDAMENTAL</v>
      </c>
      <c r="G389" t="s">
        <v>125</v>
      </c>
    </row>
    <row r="390" spans="1:7" x14ac:dyDescent="0.25">
      <c r="A390" s="24">
        <f>_xlfn.XLOOKUP(tbEscolas[[#This Row],[ESCOLA]],tbNucleo[ESCOLA],tbNucleo[COD ESCOLA],"")</f>
        <v>22</v>
      </c>
      <c r="B390" t="str" cm="1">
        <f t="array" ref="B390">IFERROR(INDEX(tbNucleo[ESCOLA],ROUNDUP(ROW(B389)/TotalEtapas,0)),"")</f>
        <v>E.E JOÃO FLORENTINO SILVA NETO ANEXA SADIA</v>
      </c>
      <c r="C390" t="str">
        <f>IFERROR(VLOOKUP(B390,tbNucleo[],2,FALSE),"")</f>
        <v/>
      </c>
      <c r="D390" cm="1">
        <f t="array" ref="D390">IF(B390="","",INDEX(tbEtapas[Nº],MOD(ROW(B389)-1,TotalEtapas)+1))</f>
        <v>11</v>
      </c>
      <c r="E390" t="str">
        <f>IFERROR(VLOOKUP(tbEscolas[[#This Row],[COD ETPA]],tbEtapas[],2,FALSE),"")</f>
        <v>7º ANO</v>
      </c>
      <c r="F390" t="str">
        <f>IFERROR(VLOOKUP(tbEscolas[[#This Row],[COD ETPA]],tbEtapas[],3,FALSE),"")</f>
        <v>FUNDAMENTAL</v>
      </c>
      <c r="G390" t="s">
        <v>125</v>
      </c>
    </row>
    <row r="391" spans="1:7" x14ac:dyDescent="0.25">
      <c r="A391" s="24">
        <f>_xlfn.XLOOKUP(tbEscolas[[#This Row],[ESCOLA]],tbNucleo[ESCOLA],tbNucleo[COD ESCOLA],"")</f>
        <v>22</v>
      </c>
      <c r="B391" t="str" cm="1">
        <f t="array" ref="B391">IFERROR(INDEX(tbNucleo[ESCOLA],ROUNDUP(ROW(B390)/TotalEtapas,0)),"")</f>
        <v>E.E JOÃO FLORENTINO SILVA NETO ANEXA SADIA</v>
      </c>
      <c r="C391" t="str">
        <f>IFERROR(VLOOKUP(B391,tbNucleo[],2,FALSE),"")</f>
        <v/>
      </c>
      <c r="D391" cm="1">
        <f t="array" ref="D391">IF(B391="","",INDEX(tbEtapas[Nº],MOD(ROW(B390)-1,TotalEtapas)+1))</f>
        <v>12</v>
      </c>
      <c r="E391" t="str">
        <f>IFERROR(VLOOKUP(tbEscolas[[#This Row],[COD ETPA]],tbEtapas[],2,FALSE),"")</f>
        <v>8º ANO</v>
      </c>
      <c r="F391" t="str">
        <f>IFERROR(VLOOKUP(tbEscolas[[#This Row],[COD ETPA]],tbEtapas[],3,FALSE),"")</f>
        <v>FUNDAMENTAL</v>
      </c>
      <c r="G391" t="s">
        <v>125</v>
      </c>
    </row>
    <row r="392" spans="1:7" x14ac:dyDescent="0.25">
      <c r="A392" s="24">
        <f>_xlfn.XLOOKUP(tbEscolas[[#This Row],[ESCOLA]],tbNucleo[ESCOLA],tbNucleo[COD ESCOLA],"")</f>
        <v>22</v>
      </c>
      <c r="B392" t="str" cm="1">
        <f t="array" ref="B392">IFERROR(INDEX(tbNucleo[ESCOLA],ROUNDUP(ROW(B391)/TotalEtapas,0)),"")</f>
        <v>E.E JOÃO FLORENTINO SILVA NETO ANEXA SADIA</v>
      </c>
      <c r="C392" t="str">
        <f>IFERROR(VLOOKUP(B392,tbNucleo[],2,FALSE),"")</f>
        <v/>
      </c>
      <c r="D392" cm="1">
        <f t="array" ref="D392">IF(B392="","",INDEX(tbEtapas[Nº],MOD(ROW(B391)-1,TotalEtapas)+1))</f>
        <v>13</v>
      </c>
      <c r="E392" t="str">
        <f>IFERROR(VLOOKUP(tbEscolas[[#This Row],[COD ETPA]],tbEtapas[],2,FALSE),"")</f>
        <v>9º ANO</v>
      </c>
      <c r="F392" t="str">
        <f>IFERROR(VLOOKUP(tbEscolas[[#This Row],[COD ETPA]],tbEtapas[],3,FALSE),"")</f>
        <v>FUNDAMENTAL</v>
      </c>
      <c r="G392" t="s">
        <v>125</v>
      </c>
    </row>
    <row r="393" spans="1:7" x14ac:dyDescent="0.25">
      <c r="A393" s="24">
        <f>_xlfn.XLOOKUP(tbEscolas[[#This Row],[ESCOLA]],tbNucleo[ESCOLA],tbNucleo[COD ESCOLA],"")</f>
        <v>22</v>
      </c>
      <c r="B393" t="str" cm="1">
        <f t="array" ref="B393">IFERROR(INDEX(tbNucleo[ESCOLA],ROUNDUP(ROW(B392)/TotalEtapas,0)),"")</f>
        <v>E.E JOÃO FLORENTINO SILVA NETO ANEXA SADIA</v>
      </c>
      <c r="C393" t="str">
        <f>IFERROR(VLOOKUP(B393,tbNucleo[],2,FALSE),"")</f>
        <v/>
      </c>
      <c r="D393" cm="1">
        <f t="array" ref="D393">IF(B393="","",INDEX(tbEtapas[Nº],MOD(ROW(B392)-1,TotalEtapas)+1))</f>
        <v>14</v>
      </c>
      <c r="E393" t="str">
        <f>IFERROR(VLOOKUP(tbEscolas[[#This Row],[COD ETPA]],tbEtapas[],2,FALSE),"")</f>
        <v>1º ANO</v>
      </c>
      <c r="F393" t="str">
        <f>IFERROR(VLOOKUP(tbEscolas[[#This Row],[COD ETPA]],tbEtapas[],3,FALSE),"")</f>
        <v>ENSINO MÉDIO</v>
      </c>
      <c r="G393" t="s">
        <v>125</v>
      </c>
    </row>
    <row r="394" spans="1:7" x14ac:dyDescent="0.25">
      <c r="A394" s="24">
        <f>_xlfn.XLOOKUP(tbEscolas[[#This Row],[ESCOLA]],tbNucleo[ESCOLA],tbNucleo[COD ESCOLA],"")</f>
        <v>22</v>
      </c>
      <c r="B394" t="str" cm="1">
        <f t="array" ref="B394">IFERROR(INDEX(tbNucleo[ESCOLA],ROUNDUP(ROW(B393)/TotalEtapas,0)),"")</f>
        <v>E.E JOÃO FLORENTINO SILVA NETO ANEXA SADIA</v>
      </c>
      <c r="C394" t="str">
        <f>IFERROR(VLOOKUP(B394,tbNucleo[],2,FALSE),"")</f>
        <v/>
      </c>
      <c r="D394" cm="1">
        <f t="array" ref="D394">IF(B394="","",INDEX(tbEtapas[Nº],MOD(ROW(B393)-1,TotalEtapas)+1))</f>
        <v>15</v>
      </c>
      <c r="E394" t="str">
        <f>IFERROR(VLOOKUP(tbEscolas[[#This Row],[COD ETPA]],tbEtapas[],2,FALSE),"")</f>
        <v>2º ANO</v>
      </c>
      <c r="F394" t="str">
        <f>IFERROR(VLOOKUP(tbEscolas[[#This Row],[COD ETPA]],tbEtapas[],3,FALSE),"")</f>
        <v>ENSINO MÉDIO</v>
      </c>
      <c r="G394" t="s">
        <v>125</v>
      </c>
    </row>
    <row r="395" spans="1:7" x14ac:dyDescent="0.25">
      <c r="A395" s="24">
        <f>_xlfn.XLOOKUP(tbEscolas[[#This Row],[ESCOLA]],tbNucleo[ESCOLA],tbNucleo[COD ESCOLA],"")</f>
        <v>22</v>
      </c>
      <c r="B395" t="str" cm="1">
        <f t="array" ref="B395">IFERROR(INDEX(tbNucleo[ESCOLA],ROUNDUP(ROW(B394)/TotalEtapas,0)),"")</f>
        <v>E.E JOÃO FLORENTINO SILVA NETO ANEXA SADIA</v>
      </c>
      <c r="C395" t="str">
        <f>IFERROR(VLOOKUP(B395,tbNucleo[],2,FALSE),"")</f>
        <v/>
      </c>
      <c r="D395" cm="1">
        <f t="array" ref="D395">IF(B395="","",INDEX(tbEtapas[Nº],MOD(ROW(B394)-1,TotalEtapas)+1))</f>
        <v>16</v>
      </c>
      <c r="E395" t="str">
        <f>IFERROR(VLOOKUP(tbEscolas[[#This Row],[COD ETPA]],tbEtapas[],2,FALSE),"")</f>
        <v>3º ANO</v>
      </c>
      <c r="F395" t="str">
        <f>IFERROR(VLOOKUP(tbEscolas[[#This Row],[COD ETPA]],tbEtapas[],3,FALSE),"")</f>
        <v>ENSINO MÉDIO</v>
      </c>
      <c r="G395" t="s">
        <v>125</v>
      </c>
    </row>
    <row r="396" spans="1:7" x14ac:dyDescent="0.25">
      <c r="A396" s="24">
        <f>_xlfn.XLOOKUP(tbEscolas[[#This Row],[ESCOLA]],tbNucleo[ESCOLA],tbNucleo[COD ESCOLA],"")</f>
        <v>22</v>
      </c>
      <c r="B396" t="str" cm="1">
        <f t="array" ref="B396">IFERROR(INDEX(tbNucleo[ESCOLA],ROUNDUP(ROW(B395)/TotalEtapas,0)),"")</f>
        <v>E.E JOÃO FLORENTINO SILVA NETO ANEXA SADIA</v>
      </c>
      <c r="C396" t="str">
        <f>IFERROR(VLOOKUP(B396,tbNucleo[],2,FALSE),"")</f>
        <v/>
      </c>
      <c r="D396" cm="1">
        <f t="array" ref="D396">IF(B396="","",INDEX(tbEtapas[Nº],MOD(ROW(B395)-1,TotalEtapas)+1))</f>
        <v>17</v>
      </c>
      <c r="E396" t="str">
        <f>IFERROR(VLOOKUP(tbEscolas[[#This Row],[COD ETPA]],tbEtapas[],2,FALSE),"")</f>
        <v>EJA I</v>
      </c>
      <c r="F396" t="str">
        <f>IFERROR(VLOOKUP(tbEscolas[[#This Row],[COD ETPA]],tbEtapas[],3,FALSE),"")</f>
        <v>FUNDAMENTAL</v>
      </c>
      <c r="G396" t="s">
        <v>125</v>
      </c>
    </row>
    <row r="397" spans="1:7" x14ac:dyDescent="0.25">
      <c r="A397" s="24">
        <f>_xlfn.XLOOKUP(tbEscolas[[#This Row],[ESCOLA]],tbNucleo[ESCOLA],tbNucleo[COD ESCOLA],"")</f>
        <v>22</v>
      </c>
      <c r="B397" t="str" cm="1">
        <f t="array" ref="B397">IFERROR(INDEX(tbNucleo[ESCOLA],ROUNDUP(ROW(B396)/TotalEtapas,0)),"")</f>
        <v>E.E JOÃO FLORENTINO SILVA NETO ANEXA SADIA</v>
      </c>
      <c r="C397" t="str">
        <f>IFERROR(VLOOKUP(B397,tbNucleo[],2,FALSE),"")</f>
        <v/>
      </c>
      <c r="D397" cm="1">
        <f t="array" ref="D397">IF(B397="","",INDEX(tbEtapas[Nº],MOD(ROW(B396)-1,TotalEtapas)+1))</f>
        <v>18</v>
      </c>
      <c r="E397" t="str">
        <f>IFERROR(VLOOKUP(tbEscolas[[#This Row],[COD ETPA]],tbEtapas[],2,FALSE),"")</f>
        <v>EJA II</v>
      </c>
      <c r="F397" t="str">
        <f>IFERROR(VLOOKUP(tbEscolas[[#This Row],[COD ETPA]],tbEtapas[],3,FALSE),"")</f>
        <v>ENSINO MÉDIO</v>
      </c>
      <c r="G397" t="s">
        <v>125</v>
      </c>
    </row>
    <row r="398" spans="1:7" x14ac:dyDescent="0.25">
      <c r="A398" s="24">
        <f>_xlfn.XLOOKUP(tbEscolas[[#This Row],[ESCOLA]],tbNucleo[ESCOLA],tbNucleo[COD ESCOLA],"")</f>
        <v>23</v>
      </c>
      <c r="B398" t="str" cm="1">
        <f t="array" ref="B398">IFERROR(INDEX(tbNucleo[ESCOLA],ROUNDUP(ROW(B397)/TotalEtapas,0)),"")</f>
        <v>E.E JOÃO FLORENTINO SILVA NETO ANEXA VILA APARECIDA</v>
      </c>
      <c r="C398" t="str">
        <f>IFERROR(VLOOKUP(B398,tbNucleo[],2,FALSE),"")</f>
        <v/>
      </c>
      <c r="D398" cm="1">
        <f t="array" ref="D398">IF(B398="","",INDEX(tbEtapas[Nº],MOD(ROW(B397)-1,TotalEtapas)+1))</f>
        <v>1</v>
      </c>
      <c r="E398" t="str">
        <f>IFERROR(VLOOKUP(tbEscolas[[#This Row],[COD ETPA]],tbEtapas[],2,FALSE),"")</f>
        <v>CRECHE I</v>
      </c>
      <c r="F398" t="str">
        <f>IFERROR(VLOOKUP(tbEscolas[[#This Row],[COD ETPA]],tbEtapas[],3,FALSE),"")</f>
        <v>EDUCAÇÃO INFANTIL</v>
      </c>
      <c r="G398" t="s">
        <v>125</v>
      </c>
    </row>
    <row r="399" spans="1:7" x14ac:dyDescent="0.25">
      <c r="A399" s="24">
        <f>_xlfn.XLOOKUP(tbEscolas[[#This Row],[ESCOLA]],tbNucleo[ESCOLA],tbNucleo[COD ESCOLA],"")</f>
        <v>23</v>
      </c>
      <c r="B399" t="str" cm="1">
        <f t="array" ref="B399">IFERROR(INDEX(tbNucleo[ESCOLA],ROUNDUP(ROW(B398)/TotalEtapas,0)),"")</f>
        <v>E.E JOÃO FLORENTINO SILVA NETO ANEXA VILA APARECIDA</v>
      </c>
      <c r="C399" t="str">
        <f>IFERROR(VLOOKUP(B399,tbNucleo[],2,FALSE),"")</f>
        <v/>
      </c>
      <c r="D399" cm="1">
        <f t="array" ref="D399">IF(B399="","",INDEX(tbEtapas[Nº],MOD(ROW(B398)-1,TotalEtapas)+1))</f>
        <v>2</v>
      </c>
      <c r="E399" t="str">
        <f>IFERROR(VLOOKUP(tbEscolas[[#This Row],[COD ETPA]],tbEtapas[],2,FALSE),"")</f>
        <v>CRECHE II</v>
      </c>
      <c r="F399" t="str">
        <f>IFERROR(VLOOKUP(tbEscolas[[#This Row],[COD ETPA]],tbEtapas[],3,FALSE),"")</f>
        <v>EDUCAÇÃO INFANTIL</v>
      </c>
      <c r="G399" t="s">
        <v>125</v>
      </c>
    </row>
    <row r="400" spans="1:7" x14ac:dyDescent="0.25">
      <c r="A400" s="24">
        <f>_xlfn.XLOOKUP(tbEscolas[[#This Row],[ESCOLA]],tbNucleo[ESCOLA],tbNucleo[COD ESCOLA],"")</f>
        <v>23</v>
      </c>
      <c r="B400" t="str" cm="1">
        <f t="array" ref="B400">IFERROR(INDEX(tbNucleo[ESCOLA],ROUNDUP(ROW(B399)/TotalEtapas,0)),"")</f>
        <v>E.E JOÃO FLORENTINO SILVA NETO ANEXA VILA APARECIDA</v>
      </c>
      <c r="C400" t="str">
        <f>IFERROR(VLOOKUP(B400,tbNucleo[],2,FALSE),"")</f>
        <v/>
      </c>
      <c r="D400" cm="1">
        <f t="array" ref="D400">IF(B400="","",INDEX(tbEtapas[Nº],MOD(ROW(B399)-1,TotalEtapas)+1))</f>
        <v>3</v>
      </c>
      <c r="E400" t="str">
        <f>IFERROR(VLOOKUP(tbEscolas[[#This Row],[COD ETPA]],tbEtapas[],2,FALSE),"")</f>
        <v>PRE I</v>
      </c>
      <c r="F400" t="str">
        <f>IFERROR(VLOOKUP(tbEscolas[[#This Row],[COD ETPA]],tbEtapas[],3,FALSE),"")</f>
        <v>EDUCAÇÃO INFANTIL</v>
      </c>
      <c r="G400" t="s">
        <v>126</v>
      </c>
    </row>
    <row r="401" spans="1:7" x14ac:dyDescent="0.25">
      <c r="A401" s="24">
        <f>_xlfn.XLOOKUP(tbEscolas[[#This Row],[ESCOLA]],tbNucleo[ESCOLA],tbNucleo[COD ESCOLA],"")</f>
        <v>23</v>
      </c>
      <c r="B401" t="str" cm="1">
        <f t="array" ref="B401">IFERROR(INDEX(tbNucleo[ESCOLA],ROUNDUP(ROW(B400)/TotalEtapas,0)),"")</f>
        <v>E.E JOÃO FLORENTINO SILVA NETO ANEXA VILA APARECIDA</v>
      </c>
      <c r="C401" t="str">
        <f>IFERROR(VLOOKUP(B401,tbNucleo[],2,FALSE),"")</f>
        <v/>
      </c>
      <c r="D401" cm="1">
        <f t="array" ref="D401">IF(B401="","",INDEX(tbEtapas[Nº],MOD(ROW(B400)-1,TotalEtapas)+1))</f>
        <v>4</v>
      </c>
      <c r="E401" t="str">
        <f>IFERROR(VLOOKUP(tbEscolas[[#This Row],[COD ETPA]],tbEtapas[],2,FALSE),"")</f>
        <v>PRE II</v>
      </c>
      <c r="F401" t="str">
        <f>IFERROR(VLOOKUP(tbEscolas[[#This Row],[COD ETPA]],tbEtapas[],3,FALSE),"")</f>
        <v>EDUCAÇÃO INFANTIL</v>
      </c>
      <c r="G401" t="s">
        <v>126</v>
      </c>
    </row>
    <row r="402" spans="1:7" x14ac:dyDescent="0.25">
      <c r="A402" s="24">
        <f>_xlfn.XLOOKUP(tbEscolas[[#This Row],[ESCOLA]],tbNucleo[ESCOLA],tbNucleo[COD ESCOLA],"")</f>
        <v>23</v>
      </c>
      <c r="B402" t="str" cm="1">
        <f t="array" ref="B402">IFERROR(INDEX(tbNucleo[ESCOLA],ROUNDUP(ROW(B401)/TotalEtapas,0)),"")</f>
        <v>E.E JOÃO FLORENTINO SILVA NETO ANEXA VILA APARECIDA</v>
      </c>
      <c r="C402" t="str">
        <f>IFERROR(VLOOKUP(B402,tbNucleo[],2,FALSE),"")</f>
        <v/>
      </c>
      <c r="D402" cm="1">
        <f t="array" ref="D402">IF(B402="","",INDEX(tbEtapas[Nº],MOD(ROW(B401)-1,TotalEtapas)+1))</f>
        <v>5</v>
      </c>
      <c r="E402" t="str">
        <f>IFERROR(VLOOKUP(tbEscolas[[#This Row],[COD ETPA]],tbEtapas[],2,FALSE),"")</f>
        <v>1º ANO</v>
      </c>
      <c r="F402" t="str">
        <f>IFERROR(VLOOKUP(tbEscolas[[#This Row],[COD ETPA]],tbEtapas[],3,FALSE),"")</f>
        <v>FUNDAMENTAL</v>
      </c>
      <c r="G402" t="s">
        <v>126</v>
      </c>
    </row>
    <row r="403" spans="1:7" x14ac:dyDescent="0.25">
      <c r="A403" s="24">
        <f>_xlfn.XLOOKUP(tbEscolas[[#This Row],[ESCOLA]],tbNucleo[ESCOLA],tbNucleo[COD ESCOLA],"")</f>
        <v>23</v>
      </c>
      <c r="B403" t="str" cm="1">
        <f t="array" ref="B403">IFERROR(INDEX(tbNucleo[ESCOLA],ROUNDUP(ROW(B402)/TotalEtapas,0)),"")</f>
        <v>E.E JOÃO FLORENTINO SILVA NETO ANEXA VILA APARECIDA</v>
      </c>
      <c r="C403" t="str">
        <f>IFERROR(VLOOKUP(B403,tbNucleo[],2,FALSE),"")</f>
        <v/>
      </c>
      <c r="D403" cm="1">
        <f t="array" ref="D403">IF(B403="","",INDEX(tbEtapas[Nº],MOD(ROW(B402)-1,TotalEtapas)+1))</f>
        <v>6</v>
      </c>
      <c r="E403" t="str">
        <f>IFERROR(VLOOKUP(tbEscolas[[#This Row],[COD ETPA]],tbEtapas[],2,FALSE),"")</f>
        <v>2º ANO</v>
      </c>
      <c r="F403" t="str">
        <f>IFERROR(VLOOKUP(tbEscolas[[#This Row],[COD ETPA]],tbEtapas[],3,FALSE),"")</f>
        <v>FUNDAMENTAL</v>
      </c>
      <c r="G403" t="s">
        <v>126</v>
      </c>
    </row>
    <row r="404" spans="1:7" x14ac:dyDescent="0.25">
      <c r="A404" s="24">
        <f>_xlfn.XLOOKUP(tbEscolas[[#This Row],[ESCOLA]],tbNucleo[ESCOLA],tbNucleo[COD ESCOLA],"")</f>
        <v>23</v>
      </c>
      <c r="B404" t="str" cm="1">
        <f t="array" ref="B404">IFERROR(INDEX(tbNucleo[ESCOLA],ROUNDUP(ROW(B403)/TotalEtapas,0)),"")</f>
        <v>E.E JOÃO FLORENTINO SILVA NETO ANEXA VILA APARECIDA</v>
      </c>
      <c r="C404" t="str">
        <f>IFERROR(VLOOKUP(B404,tbNucleo[],2,FALSE),"")</f>
        <v/>
      </c>
      <c r="D404" cm="1">
        <f t="array" ref="D404">IF(B404="","",INDEX(tbEtapas[Nº],MOD(ROW(B403)-1,TotalEtapas)+1))</f>
        <v>7</v>
      </c>
      <c r="E404" t="str">
        <f>IFERROR(VLOOKUP(tbEscolas[[#This Row],[COD ETPA]],tbEtapas[],2,FALSE),"")</f>
        <v>3º ANO</v>
      </c>
      <c r="F404" t="str">
        <f>IFERROR(VLOOKUP(tbEscolas[[#This Row],[COD ETPA]],tbEtapas[],3,FALSE),"")</f>
        <v>FUNDAMENTAL</v>
      </c>
      <c r="G404" t="s">
        <v>126</v>
      </c>
    </row>
    <row r="405" spans="1:7" x14ac:dyDescent="0.25">
      <c r="A405" s="24">
        <f>_xlfn.XLOOKUP(tbEscolas[[#This Row],[ESCOLA]],tbNucleo[ESCOLA],tbNucleo[COD ESCOLA],"")</f>
        <v>23</v>
      </c>
      <c r="B405" t="str" cm="1">
        <f t="array" ref="B405">IFERROR(INDEX(tbNucleo[ESCOLA],ROUNDUP(ROW(B404)/TotalEtapas,0)),"")</f>
        <v>E.E JOÃO FLORENTINO SILVA NETO ANEXA VILA APARECIDA</v>
      </c>
      <c r="C405" t="str">
        <f>IFERROR(VLOOKUP(B405,tbNucleo[],2,FALSE),"")</f>
        <v/>
      </c>
      <c r="D405" cm="1">
        <f t="array" ref="D405">IF(B405="","",INDEX(tbEtapas[Nº],MOD(ROW(B404)-1,TotalEtapas)+1))</f>
        <v>8</v>
      </c>
      <c r="E405" t="str">
        <f>IFERROR(VLOOKUP(tbEscolas[[#This Row],[COD ETPA]],tbEtapas[],2,FALSE),"")</f>
        <v>4º ANO</v>
      </c>
      <c r="F405" t="str">
        <f>IFERROR(VLOOKUP(tbEscolas[[#This Row],[COD ETPA]],tbEtapas[],3,FALSE),"")</f>
        <v>FUNDAMENTAL</v>
      </c>
      <c r="G405" t="s">
        <v>126</v>
      </c>
    </row>
    <row r="406" spans="1:7" x14ac:dyDescent="0.25">
      <c r="A406" s="24">
        <f>_xlfn.XLOOKUP(tbEscolas[[#This Row],[ESCOLA]],tbNucleo[ESCOLA],tbNucleo[COD ESCOLA],"")</f>
        <v>23</v>
      </c>
      <c r="B406" t="str" cm="1">
        <f t="array" ref="B406">IFERROR(INDEX(tbNucleo[ESCOLA],ROUNDUP(ROW(B405)/TotalEtapas,0)),"")</f>
        <v>E.E JOÃO FLORENTINO SILVA NETO ANEXA VILA APARECIDA</v>
      </c>
      <c r="C406" t="str">
        <f>IFERROR(VLOOKUP(B406,tbNucleo[],2,FALSE),"")</f>
        <v/>
      </c>
      <c r="D406" cm="1">
        <f t="array" ref="D406">IF(B406="","",INDEX(tbEtapas[Nº],MOD(ROW(B405)-1,TotalEtapas)+1))</f>
        <v>9</v>
      </c>
      <c r="E406" t="str">
        <f>IFERROR(VLOOKUP(tbEscolas[[#This Row],[COD ETPA]],tbEtapas[],2,FALSE),"")</f>
        <v>5º ANO</v>
      </c>
      <c r="F406" t="str">
        <f>IFERROR(VLOOKUP(tbEscolas[[#This Row],[COD ETPA]],tbEtapas[],3,FALSE),"")</f>
        <v>FUNDAMENTAL</v>
      </c>
      <c r="G406" t="s">
        <v>126</v>
      </c>
    </row>
    <row r="407" spans="1:7" x14ac:dyDescent="0.25">
      <c r="A407" s="24">
        <f>_xlfn.XLOOKUP(tbEscolas[[#This Row],[ESCOLA]],tbNucleo[ESCOLA],tbNucleo[COD ESCOLA],"")</f>
        <v>23</v>
      </c>
      <c r="B407" t="str" cm="1">
        <f t="array" ref="B407">IFERROR(INDEX(tbNucleo[ESCOLA],ROUNDUP(ROW(B406)/TotalEtapas,0)),"")</f>
        <v>E.E JOÃO FLORENTINO SILVA NETO ANEXA VILA APARECIDA</v>
      </c>
      <c r="C407" t="str">
        <f>IFERROR(VLOOKUP(B407,tbNucleo[],2,FALSE),"")</f>
        <v/>
      </c>
      <c r="D407" cm="1">
        <f t="array" ref="D407">IF(B407="","",INDEX(tbEtapas[Nº],MOD(ROW(B406)-1,TotalEtapas)+1))</f>
        <v>10</v>
      </c>
      <c r="E407" t="str">
        <f>IFERROR(VLOOKUP(tbEscolas[[#This Row],[COD ETPA]],tbEtapas[],2,FALSE),"")</f>
        <v>6º ANO</v>
      </c>
      <c r="F407" t="str">
        <f>IFERROR(VLOOKUP(tbEscolas[[#This Row],[COD ETPA]],tbEtapas[],3,FALSE),"")</f>
        <v>FUNDAMENTAL</v>
      </c>
      <c r="G407" t="s">
        <v>125</v>
      </c>
    </row>
    <row r="408" spans="1:7" x14ac:dyDescent="0.25">
      <c r="A408" s="24">
        <f>_xlfn.XLOOKUP(tbEscolas[[#This Row],[ESCOLA]],tbNucleo[ESCOLA],tbNucleo[COD ESCOLA],"")</f>
        <v>23</v>
      </c>
      <c r="B408" t="str" cm="1">
        <f t="array" ref="B408">IFERROR(INDEX(tbNucleo[ESCOLA],ROUNDUP(ROW(B407)/TotalEtapas,0)),"")</f>
        <v>E.E JOÃO FLORENTINO SILVA NETO ANEXA VILA APARECIDA</v>
      </c>
      <c r="C408" t="str">
        <f>IFERROR(VLOOKUP(B408,tbNucleo[],2,FALSE),"")</f>
        <v/>
      </c>
      <c r="D408" cm="1">
        <f t="array" ref="D408">IF(B408="","",INDEX(tbEtapas[Nº],MOD(ROW(B407)-1,TotalEtapas)+1))</f>
        <v>11</v>
      </c>
      <c r="E408" t="str">
        <f>IFERROR(VLOOKUP(tbEscolas[[#This Row],[COD ETPA]],tbEtapas[],2,FALSE),"")</f>
        <v>7º ANO</v>
      </c>
      <c r="F408" t="str">
        <f>IFERROR(VLOOKUP(tbEscolas[[#This Row],[COD ETPA]],tbEtapas[],3,FALSE),"")</f>
        <v>FUNDAMENTAL</v>
      </c>
      <c r="G408" t="s">
        <v>125</v>
      </c>
    </row>
    <row r="409" spans="1:7" x14ac:dyDescent="0.25">
      <c r="A409" s="24">
        <f>_xlfn.XLOOKUP(tbEscolas[[#This Row],[ESCOLA]],tbNucleo[ESCOLA],tbNucleo[COD ESCOLA],"")</f>
        <v>23</v>
      </c>
      <c r="B409" t="str" cm="1">
        <f t="array" ref="B409">IFERROR(INDEX(tbNucleo[ESCOLA],ROUNDUP(ROW(B408)/TotalEtapas,0)),"")</f>
        <v>E.E JOÃO FLORENTINO SILVA NETO ANEXA VILA APARECIDA</v>
      </c>
      <c r="C409" t="str">
        <f>IFERROR(VLOOKUP(B409,tbNucleo[],2,FALSE),"")</f>
        <v/>
      </c>
      <c r="D409" cm="1">
        <f t="array" ref="D409">IF(B409="","",INDEX(tbEtapas[Nº],MOD(ROW(B408)-1,TotalEtapas)+1))</f>
        <v>12</v>
      </c>
      <c r="E409" t="str">
        <f>IFERROR(VLOOKUP(tbEscolas[[#This Row],[COD ETPA]],tbEtapas[],2,FALSE),"")</f>
        <v>8º ANO</v>
      </c>
      <c r="F409" t="str">
        <f>IFERROR(VLOOKUP(tbEscolas[[#This Row],[COD ETPA]],tbEtapas[],3,FALSE),"")</f>
        <v>FUNDAMENTAL</v>
      </c>
      <c r="G409" t="s">
        <v>125</v>
      </c>
    </row>
    <row r="410" spans="1:7" x14ac:dyDescent="0.25">
      <c r="A410" s="24">
        <f>_xlfn.XLOOKUP(tbEscolas[[#This Row],[ESCOLA]],tbNucleo[ESCOLA],tbNucleo[COD ESCOLA],"")</f>
        <v>23</v>
      </c>
      <c r="B410" t="str" cm="1">
        <f t="array" ref="B410">IFERROR(INDEX(tbNucleo[ESCOLA],ROUNDUP(ROW(B409)/TotalEtapas,0)),"")</f>
        <v>E.E JOÃO FLORENTINO SILVA NETO ANEXA VILA APARECIDA</v>
      </c>
      <c r="C410" t="str">
        <f>IFERROR(VLOOKUP(B410,tbNucleo[],2,FALSE),"")</f>
        <v/>
      </c>
      <c r="D410" cm="1">
        <f t="array" ref="D410">IF(B410="","",INDEX(tbEtapas[Nº],MOD(ROW(B409)-1,TotalEtapas)+1))</f>
        <v>13</v>
      </c>
      <c r="E410" t="str">
        <f>IFERROR(VLOOKUP(tbEscolas[[#This Row],[COD ETPA]],tbEtapas[],2,FALSE),"")</f>
        <v>9º ANO</v>
      </c>
      <c r="F410" t="str">
        <f>IFERROR(VLOOKUP(tbEscolas[[#This Row],[COD ETPA]],tbEtapas[],3,FALSE),"")</f>
        <v>FUNDAMENTAL</v>
      </c>
      <c r="G410" t="s">
        <v>125</v>
      </c>
    </row>
    <row r="411" spans="1:7" x14ac:dyDescent="0.25">
      <c r="A411" s="24">
        <f>_xlfn.XLOOKUP(tbEscolas[[#This Row],[ESCOLA]],tbNucleo[ESCOLA],tbNucleo[COD ESCOLA],"")</f>
        <v>23</v>
      </c>
      <c r="B411" t="str" cm="1">
        <f t="array" ref="B411">IFERROR(INDEX(tbNucleo[ESCOLA],ROUNDUP(ROW(B410)/TotalEtapas,0)),"")</f>
        <v>E.E JOÃO FLORENTINO SILVA NETO ANEXA VILA APARECIDA</v>
      </c>
      <c r="C411" t="str">
        <f>IFERROR(VLOOKUP(B411,tbNucleo[],2,FALSE),"")</f>
        <v/>
      </c>
      <c r="D411" cm="1">
        <f t="array" ref="D411">IF(B411="","",INDEX(tbEtapas[Nº],MOD(ROW(B410)-1,TotalEtapas)+1))</f>
        <v>14</v>
      </c>
      <c r="E411" t="str">
        <f>IFERROR(VLOOKUP(tbEscolas[[#This Row],[COD ETPA]],tbEtapas[],2,FALSE),"")</f>
        <v>1º ANO</v>
      </c>
      <c r="F411" t="str">
        <f>IFERROR(VLOOKUP(tbEscolas[[#This Row],[COD ETPA]],tbEtapas[],3,FALSE),"")</f>
        <v>ENSINO MÉDIO</v>
      </c>
      <c r="G411" t="s">
        <v>125</v>
      </c>
    </row>
    <row r="412" spans="1:7" x14ac:dyDescent="0.25">
      <c r="A412" s="24">
        <f>_xlfn.XLOOKUP(tbEscolas[[#This Row],[ESCOLA]],tbNucleo[ESCOLA],tbNucleo[COD ESCOLA],"")</f>
        <v>23</v>
      </c>
      <c r="B412" t="str" cm="1">
        <f t="array" ref="B412">IFERROR(INDEX(tbNucleo[ESCOLA],ROUNDUP(ROW(B411)/TotalEtapas,0)),"")</f>
        <v>E.E JOÃO FLORENTINO SILVA NETO ANEXA VILA APARECIDA</v>
      </c>
      <c r="C412" t="str">
        <f>IFERROR(VLOOKUP(B412,tbNucleo[],2,FALSE),"")</f>
        <v/>
      </c>
      <c r="D412" cm="1">
        <f t="array" ref="D412">IF(B412="","",INDEX(tbEtapas[Nº],MOD(ROW(B411)-1,TotalEtapas)+1))</f>
        <v>15</v>
      </c>
      <c r="E412" t="str">
        <f>IFERROR(VLOOKUP(tbEscolas[[#This Row],[COD ETPA]],tbEtapas[],2,FALSE),"")</f>
        <v>2º ANO</v>
      </c>
      <c r="F412" t="str">
        <f>IFERROR(VLOOKUP(tbEscolas[[#This Row],[COD ETPA]],tbEtapas[],3,FALSE),"")</f>
        <v>ENSINO MÉDIO</v>
      </c>
      <c r="G412" t="s">
        <v>125</v>
      </c>
    </row>
    <row r="413" spans="1:7" x14ac:dyDescent="0.25">
      <c r="A413" s="24">
        <f>_xlfn.XLOOKUP(tbEscolas[[#This Row],[ESCOLA]],tbNucleo[ESCOLA],tbNucleo[COD ESCOLA],"")</f>
        <v>23</v>
      </c>
      <c r="B413" t="str" cm="1">
        <f t="array" ref="B413">IFERROR(INDEX(tbNucleo[ESCOLA],ROUNDUP(ROW(B412)/TotalEtapas,0)),"")</f>
        <v>E.E JOÃO FLORENTINO SILVA NETO ANEXA VILA APARECIDA</v>
      </c>
      <c r="C413" t="str">
        <f>IFERROR(VLOOKUP(B413,tbNucleo[],2,FALSE),"")</f>
        <v/>
      </c>
      <c r="D413" cm="1">
        <f t="array" ref="D413">IF(B413="","",INDEX(tbEtapas[Nº],MOD(ROW(B412)-1,TotalEtapas)+1))</f>
        <v>16</v>
      </c>
      <c r="E413" t="str">
        <f>IFERROR(VLOOKUP(tbEscolas[[#This Row],[COD ETPA]],tbEtapas[],2,FALSE),"")</f>
        <v>3º ANO</v>
      </c>
      <c r="F413" t="str">
        <f>IFERROR(VLOOKUP(tbEscolas[[#This Row],[COD ETPA]],tbEtapas[],3,FALSE),"")</f>
        <v>ENSINO MÉDIO</v>
      </c>
      <c r="G413" t="s">
        <v>125</v>
      </c>
    </row>
    <row r="414" spans="1:7" x14ac:dyDescent="0.25">
      <c r="A414" s="24">
        <f>_xlfn.XLOOKUP(tbEscolas[[#This Row],[ESCOLA]],tbNucleo[ESCOLA],tbNucleo[COD ESCOLA],"")</f>
        <v>23</v>
      </c>
      <c r="B414" t="str" cm="1">
        <f t="array" ref="B414">IFERROR(INDEX(tbNucleo[ESCOLA],ROUNDUP(ROW(B413)/TotalEtapas,0)),"")</f>
        <v>E.E JOÃO FLORENTINO SILVA NETO ANEXA VILA APARECIDA</v>
      </c>
      <c r="C414" t="str">
        <f>IFERROR(VLOOKUP(B414,tbNucleo[],2,FALSE),"")</f>
        <v/>
      </c>
      <c r="D414" cm="1">
        <f t="array" ref="D414">IF(B414="","",INDEX(tbEtapas[Nº],MOD(ROW(B413)-1,TotalEtapas)+1))</f>
        <v>17</v>
      </c>
      <c r="E414" t="str">
        <f>IFERROR(VLOOKUP(tbEscolas[[#This Row],[COD ETPA]],tbEtapas[],2,FALSE),"")</f>
        <v>EJA I</v>
      </c>
      <c r="F414" t="str">
        <f>IFERROR(VLOOKUP(tbEscolas[[#This Row],[COD ETPA]],tbEtapas[],3,FALSE),"")</f>
        <v>FUNDAMENTAL</v>
      </c>
      <c r="G414" t="s">
        <v>125</v>
      </c>
    </row>
    <row r="415" spans="1:7" x14ac:dyDescent="0.25">
      <c r="A415" s="24">
        <f>_xlfn.XLOOKUP(tbEscolas[[#This Row],[ESCOLA]],tbNucleo[ESCOLA],tbNucleo[COD ESCOLA],"")</f>
        <v>23</v>
      </c>
      <c r="B415" t="str" cm="1">
        <f t="array" ref="B415">IFERROR(INDEX(tbNucleo[ESCOLA],ROUNDUP(ROW(B414)/TotalEtapas,0)),"")</f>
        <v>E.E JOÃO FLORENTINO SILVA NETO ANEXA VILA APARECIDA</v>
      </c>
      <c r="C415" t="str">
        <f>IFERROR(VLOOKUP(B415,tbNucleo[],2,FALSE),"")</f>
        <v/>
      </c>
      <c r="D415" cm="1">
        <f t="array" ref="D415">IF(B415="","",INDEX(tbEtapas[Nº],MOD(ROW(B414)-1,TotalEtapas)+1))</f>
        <v>18</v>
      </c>
      <c r="E415" t="str">
        <f>IFERROR(VLOOKUP(tbEscolas[[#This Row],[COD ETPA]],tbEtapas[],2,FALSE),"")</f>
        <v>EJA II</v>
      </c>
      <c r="F415" t="str">
        <f>IFERROR(VLOOKUP(tbEscolas[[#This Row],[COD ETPA]],tbEtapas[],3,FALSE),"")</f>
        <v>ENSINO MÉDIO</v>
      </c>
      <c r="G415" t="s">
        <v>125</v>
      </c>
    </row>
    <row r="416" spans="1:7" x14ac:dyDescent="0.25">
      <c r="A416" s="24">
        <f>_xlfn.XLOOKUP(tbEscolas[[#This Row],[ESCOLA]],tbNucleo[ESCOLA],tbNucleo[COD ESCOLA],"")</f>
        <v>24</v>
      </c>
      <c r="B416" t="str" cm="1">
        <f t="array" ref="B416">IFERROR(INDEX(tbNucleo[ESCOLA],ROUNDUP(ROW(B415)/TotalEtapas,0)),"")</f>
        <v>E.E JOÃO FLORENTINO SILVA NETO CARAMUJO</v>
      </c>
      <c r="C416" t="str">
        <f>IFERROR(VLOOKUP(B416,tbNucleo[],2,FALSE),"")</f>
        <v/>
      </c>
      <c r="D416" cm="1">
        <f t="array" ref="D416">IF(B416="","",INDEX(tbEtapas[Nº],MOD(ROW(B415)-1,TotalEtapas)+1))</f>
        <v>1</v>
      </c>
      <c r="E416" t="str">
        <f>IFERROR(VLOOKUP(tbEscolas[[#This Row],[COD ETPA]],tbEtapas[],2,FALSE),"")</f>
        <v>CRECHE I</v>
      </c>
      <c r="F416" t="str">
        <f>IFERROR(VLOOKUP(tbEscolas[[#This Row],[COD ETPA]],tbEtapas[],3,FALSE),"")</f>
        <v>EDUCAÇÃO INFANTIL</v>
      </c>
      <c r="G416" t="s">
        <v>125</v>
      </c>
    </row>
    <row r="417" spans="1:7" x14ac:dyDescent="0.25">
      <c r="A417" s="24">
        <f>_xlfn.XLOOKUP(tbEscolas[[#This Row],[ESCOLA]],tbNucleo[ESCOLA],tbNucleo[COD ESCOLA],"")</f>
        <v>24</v>
      </c>
      <c r="B417" t="str" cm="1">
        <f t="array" ref="B417">IFERROR(INDEX(tbNucleo[ESCOLA],ROUNDUP(ROW(B416)/TotalEtapas,0)),"")</f>
        <v>E.E JOÃO FLORENTINO SILVA NETO CARAMUJO</v>
      </c>
      <c r="C417" t="str">
        <f>IFERROR(VLOOKUP(B417,tbNucleo[],2,FALSE),"")</f>
        <v/>
      </c>
      <c r="D417" cm="1">
        <f t="array" ref="D417">IF(B417="","",INDEX(tbEtapas[Nº],MOD(ROW(B416)-1,TotalEtapas)+1))</f>
        <v>2</v>
      </c>
      <c r="E417" t="str">
        <f>IFERROR(VLOOKUP(tbEscolas[[#This Row],[COD ETPA]],tbEtapas[],2,FALSE),"")</f>
        <v>CRECHE II</v>
      </c>
      <c r="F417" t="str">
        <f>IFERROR(VLOOKUP(tbEscolas[[#This Row],[COD ETPA]],tbEtapas[],3,FALSE),"")</f>
        <v>EDUCAÇÃO INFANTIL</v>
      </c>
      <c r="G417" t="s">
        <v>125</v>
      </c>
    </row>
    <row r="418" spans="1:7" x14ac:dyDescent="0.25">
      <c r="A418" s="24">
        <f>_xlfn.XLOOKUP(tbEscolas[[#This Row],[ESCOLA]],tbNucleo[ESCOLA],tbNucleo[COD ESCOLA],"")</f>
        <v>24</v>
      </c>
      <c r="B418" t="str" cm="1">
        <f t="array" ref="B418">IFERROR(INDEX(tbNucleo[ESCOLA],ROUNDUP(ROW(B417)/TotalEtapas,0)),"")</f>
        <v>E.E JOÃO FLORENTINO SILVA NETO CARAMUJO</v>
      </c>
      <c r="C418" t="str">
        <f>IFERROR(VLOOKUP(B418,tbNucleo[],2,FALSE),"")</f>
        <v/>
      </c>
      <c r="D418" cm="1">
        <f t="array" ref="D418">IF(B418="","",INDEX(tbEtapas[Nº],MOD(ROW(B417)-1,TotalEtapas)+1))</f>
        <v>3</v>
      </c>
      <c r="E418" t="str">
        <f>IFERROR(VLOOKUP(tbEscolas[[#This Row],[COD ETPA]],tbEtapas[],2,FALSE),"")</f>
        <v>PRE I</v>
      </c>
      <c r="F418" t="str">
        <f>IFERROR(VLOOKUP(tbEscolas[[#This Row],[COD ETPA]],tbEtapas[],3,FALSE),"")</f>
        <v>EDUCAÇÃO INFANTIL</v>
      </c>
      <c r="G418" t="s">
        <v>125</v>
      </c>
    </row>
    <row r="419" spans="1:7" x14ac:dyDescent="0.25">
      <c r="A419" s="24">
        <f>_xlfn.XLOOKUP(tbEscolas[[#This Row],[ESCOLA]],tbNucleo[ESCOLA],tbNucleo[COD ESCOLA],"")</f>
        <v>24</v>
      </c>
      <c r="B419" t="str" cm="1">
        <f t="array" ref="B419">IFERROR(INDEX(tbNucleo[ESCOLA],ROUNDUP(ROW(B418)/TotalEtapas,0)),"")</f>
        <v>E.E JOÃO FLORENTINO SILVA NETO CARAMUJO</v>
      </c>
      <c r="C419" t="str">
        <f>IFERROR(VLOOKUP(B419,tbNucleo[],2,FALSE),"")</f>
        <v/>
      </c>
      <c r="D419" cm="1">
        <f t="array" ref="D419">IF(B419="","",INDEX(tbEtapas[Nº],MOD(ROW(B418)-1,TotalEtapas)+1))</f>
        <v>4</v>
      </c>
      <c r="E419" t="str">
        <f>IFERROR(VLOOKUP(tbEscolas[[#This Row],[COD ETPA]],tbEtapas[],2,FALSE),"")</f>
        <v>PRE II</v>
      </c>
      <c r="F419" t="str">
        <f>IFERROR(VLOOKUP(tbEscolas[[#This Row],[COD ETPA]],tbEtapas[],3,FALSE),"")</f>
        <v>EDUCAÇÃO INFANTIL</v>
      </c>
      <c r="G419" t="s">
        <v>125</v>
      </c>
    </row>
    <row r="420" spans="1:7" x14ac:dyDescent="0.25">
      <c r="A420" s="24">
        <f>_xlfn.XLOOKUP(tbEscolas[[#This Row],[ESCOLA]],tbNucleo[ESCOLA],tbNucleo[COD ESCOLA],"")</f>
        <v>24</v>
      </c>
      <c r="B420" t="str" cm="1">
        <f t="array" ref="B420">IFERROR(INDEX(tbNucleo[ESCOLA],ROUNDUP(ROW(B419)/TotalEtapas,0)),"")</f>
        <v>E.E JOÃO FLORENTINO SILVA NETO CARAMUJO</v>
      </c>
      <c r="C420" t="str">
        <f>IFERROR(VLOOKUP(B420,tbNucleo[],2,FALSE),"")</f>
        <v/>
      </c>
      <c r="D420" cm="1">
        <f t="array" ref="D420">IF(B420="","",INDEX(tbEtapas[Nº],MOD(ROW(B419)-1,TotalEtapas)+1))</f>
        <v>5</v>
      </c>
      <c r="E420" t="str">
        <f>IFERROR(VLOOKUP(tbEscolas[[#This Row],[COD ETPA]],tbEtapas[],2,FALSE),"")</f>
        <v>1º ANO</v>
      </c>
      <c r="F420" t="str">
        <f>IFERROR(VLOOKUP(tbEscolas[[#This Row],[COD ETPA]],tbEtapas[],3,FALSE),"")</f>
        <v>FUNDAMENTAL</v>
      </c>
      <c r="G420" t="s">
        <v>126</v>
      </c>
    </row>
    <row r="421" spans="1:7" x14ac:dyDescent="0.25">
      <c r="A421" s="24">
        <f>_xlfn.XLOOKUP(tbEscolas[[#This Row],[ESCOLA]],tbNucleo[ESCOLA],tbNucleo[COD ESCOLA],"")</f>
        <v>24</v>
      </c>
      <c r="B421" t="str" cm="1">
        <f t="array" ref="B421">IFERROR(INDEX(tbNucleo[ESCOLA],ROUNDUP(ROW(B420)/TotalEtapas,0)),"")</f>
        <v>E.E JOÃO FLORENTINO SILVA NETO CARAMUJO</v>
      </c>
      <c r="C421" t="str">
        <f>IFERROR(VLOOKUP(B421,tbNucleo[],2,FALSE),"")</f>
        <v/>
      </c>
      <c r="D421" cm="1">
        <f t="array" ref="D421">IF(B421="","",INDEX(tbEtapas[Nº],MOD(ROW(B420)-1,TotalEtapas)+1))</f>
        <v>6</v>
      </c>
      <c r="E421" t="str">
        <f>IFERROR(VLOOKUP(tbEscolas[[#This Row],[COD ETPA]],tbEtapas[],2,FALSE),"")</f>
        <v>2º ANO</v>
      </c>
      <c r="F421" t="str">
        <f>IFERROR(VLOOKUP(tbEscolas[[#This Row],[COD ETPA]],tbEtapas[],3,FALSE),"")</f>
        <v>FUNDAMENTAL</v>
      </c>
      <c r="G421" t="s">
        <v>126</v>
      </c>
    </row>
    <row r="422" spans="1:7" x14ac:dyDescent="0.25">
      <c r="A422" s="24">
        <f>_xlfn.XLOOKUP(tbEscolas[[#This Row],[ESCOLA]],tbNucleo[ESCOLA],tbNucleo[COD ESCOLA],"")</f>
        <v>24</v>
      </c>
      <c r="B422" t="str" cm="1">
        <f t="array" ref="B422">IFERROR(INDEX(tbNucleo[ESCOLA],ROUNDUP(ROW(B421)/TotalEtapas,0)),"")</f>
        <v>E.E JOÃO FLORENTINO SILVA NETO CARAMUJO</v>
      </c>
      <c r="C422" t="str">
        <f>IFERROR(VLOOKUP(B422,tbNucleo[],2,FALSE),"")</f>
        <v/>
      </c>
      <c r="D422" cm="1">
        <f t="array" ref="D422">IF(B422="","",INDEX(tbEtapas[Nº],MOD(ROW(B421)-1,TotalEtapas)+1))</f>
        <v>7</v>
      </c>
      <c r="E422" t="str">
        <f>IFERROR(VLOOKUP(tbEscolas[[#This Row],[COD ETPA]],tbEtapas[],2,FALSE),"")</f>
        <v>3º ANO</v>
      </c>
      <c r="F422" t="str">
        <f>IFERROR(VLOOKUP(tbEscolas[[#This Row],[COD ETPA]],tbEtapas[],3,FALSE),"")</f>
        <v>FUNDAMENTAL</v>
      </c>
      <c r="G422" t="s">
        <v>126</v>
      </c>
    </row>
    <row r="423" spans="1:7" x14ac:dyDescent="0.25">
      <c r="A423" s="24">
        <f>_xlfn.XLOOKUP(tbEscolas[[#This Row],[ESCOLA]],tbNucleo[ESCOLA],tbNucleo[COD ESCOLA],"")</f>
        <v>24</v>
      </c>
      <c r="B423" t="str" cm="1">
        <f t="array" ref="B423">IFERROR(INDEX(tbNucleo[ESCOLA],ROUNDUP(ROW(B422)/TotalEtapas,0)),"")</f>
        <v>E.E JOÃO FLORENTINO SILVA NETO CARAMUJO</v>
      </c>
      <c r="C423" t="str">
        <f>IFERROR(VLOOKUP(B423,tbNucleo[],2,FALSE),"")</f>
        <v/>
      </c>
      <c r="D423" cm="1">
        <f t="array" ref="D423">IF(B423="","",INDEX(tbEtapas[Nº],MOD(ROW(B422)-1,TotalEtapas)+1))</f>
        <v>8</v>
      </c>
      <c r="E423" t="str">
        <f>IFERROR(VLOOKUP(tbEscolas[[#This Row],[COD ETPA]],tbEtapas[],2,FALSE),"")</f>
        <v>4º ANO</v>
      </c>
      <c r="F423" t="str">
        <f>IFERROR(VLOOKUP(tbEscolas[[#This Row],[COD ETPA]],tbEtapas[],3,FALSE),"")</f>
        <v>FUNDAMENTAL</v>
      </c>
      <c r="G423" t="s">
        <v>126</v>
      </c>
    </row>
    <row r="424" spans="1:7" x14ac:dyDescent="0.25">
      <c r="A424" s="24">
        <f>_xlfn.XLOOKUP(tbEscolas[[#This Row],[ESCOLA]],tbNucleo[ESCOLA],tbNucleo[COD ESCOLA],"")</f>
        <v>24</v>
      </c>
      <c r="B424" t="str" cm="1">
        <f t="array" ref="B424">IFERROR(INDEX(tbNucleo[ESCOLA],ROUNDUP(ROW(B423)/TotalEtapas,0)),"")</f>
        <v>E.E JOÃO FLORENTINO SILVA NETO CARAMUJO</v>
      </c>
      <c r="C424" t="str">
        <f>IFERROR(VLOOKUP(B424,tbNucleo[],2,FALSE),"")</f>
        <v/>
      </c>
      <c r="D424" cm="1">
        <f t="array" ref="D424">IF(B424="","",INDEX(tbEtapas[Nº],MOD(ROW(B423)-1,TotalEtapas)+1))</f>
        <v>9</v>
      </c>
      <c r="E424" t="str">
        <f>IFERROR(VLOOKUP(tbEscolas[[#This Row],[COD ETPA]],tbEtapas[],2,FALSE),"")</f>
        <v>5º ANO</v>
      </c>
      <c r="F424" t="str">
        <f>IFERROR(VLOOKUP(tbEscolas[[#This Row],[COD ETPA]],tbEtapas[],3,FALSE),"")</f>
        <v>FUNDAMENTAL</v>
      </c>
      <c r="G424" t="s">
        <v>126</v>
      </c>
    </row>
    <row r="425" spans="1:7" x14ac:dyDescent="0.25">
      <c r="A425" s="24">
        <f>_xlfn.XLOOKUP(tbEscolas[[#This Row],[ESCOLA]],tbNucleo[ESCOLA],tbNucleo[COD ESCOLA],"")</f>
        <v>24</v>
      </c>
      <c r="B425" t="str" cm="1">
        <f t="array" ref="B425">IFERROR(INDEX(tbNucleo[ESCOLA],ROUNDUP(ROW(B424)/TotalEtapas,0)),"")</f>
        <v>E.E JOÃO FLORENTINO SILVA NETO CARAMUJO</v>
      </c>
      <c r="C425" t="str">
        <f>IFERROR(VLOOKUP(B425,tbNucleo[],2,FALSE),"")</f>
        <v/>
      </c>
      <c r="D425" cm="1">
        <f t="array" ref="D425">IF(B425="","",INDEX(tbEtapas[Nº],MOD(ROW(B424)-1,TotalEtapas)+1))</f>
        <v>10</v>
      </c>
      <c r="E425" t="str">
        <f>IFERROR(VLOOKUP(tbEscolas[[#This Row],[COD ETPA]],tbEtapas[],2,FALSE),"")</f>
        <v>6º ANO</v>
      </c>
      <c r="F425" t="str">
        <f>IFERROR(VLOOKUP(tbEscolas[[#This Row],[COD ETPA]],tbEtapas[],3,FALSE),"")</f>
        <v>FUNDAMENTAL</v>
      </c>
      <c r="G425" t="s">
        <v>125</v>
      </c>
    </row>
    <row r="426" spans="1:7" x14ac:dyDescent="0.25">
      <c r="A426" s="24">
        <f>_xlfn.XLOOKUP(tbEscolas[[#This Row],[ESCOLA]],tbNucleo[ESCOLA],tbNucleo[COD ESCOLA],"")</f>
        <v>24</v>
      </c>
      <c r="B426" t="str" cm="1">
        <f t="array" ref="B426">IFERROR(INDEX(tbNucleo[ESCOLA],ROUNDUP(ROW(B425)/TotalEtapas,0)),"")</f>
        <v>E.E JOÃO FLORENTINO SILVA NETO CARAMUJO</v>
      </c>
      <c r="C426" t="str">
        <f>IFERROR(VLOOKUP(B426,tbNucleo[],2,FALSE),"")</f>
        <v/>
      </c>
      <c r="D426" cm="1">
        <f t="array" ref="D426">IF(B426="","",INDEX(tbEtapas[Nº],MOD(ROW(B425)-1,TotalEtapas)+1))</f>
        <v>11</v>
      </c>
      <c r="E426" t="str">
        <f>IFERROR(VLOOKUP(tbEscolas[[#This Row],[COD ETPA]],tbEtapas[],2,FALSE),"")</f>
        <v>7º ANO</v>
      </c>
      <c r="F426" t="str">
        <f>IFERROR(VLOOKUP(tbEscolas[[#This Row],[COD ETPA]],tbEtapas[],3,FALSE),"")</f>
        <v>FUNDAMENTAL</v>
      </c>
      <c r="G426" t="s">
        <v>125</v>
      </c>
    </row>
    <row r="427" spans="1:7" x14ac:dyDescent="0.25">
      <c r="A427" s="24">
        <f>_xlfn.XLOOKUP(tbEscolas[[#This Row],[ESCOLA]],tbNucleo[ESCOLA],tbNucleo[COD ESCOLA],"")</f>
        <v>24</v>
      </c>
      <c r="B427" t="str" cm="1">
        <f t="array" ref="B427">IFERROR(INDEX(tbNucleo[ESCOLA],ROUNDUP(ROW(B426)/TotalEtapas,0)),"")</f>
        <v>E.E JOÃO FLORENTINO SILVA NETO CARAMUJO</v>
      </c>
      <c r="C427" t="str">
        <f>IFERROR(VLOOKUP(B427,tbNucleo[],2,FALSE),"")</f>
        <v/>
      </c>
      <c r="D427" cm="1">
        <f t="array" ref="D427">IF(B427="","",INDEX(tbEtapas[Nº],MOD(ROW(B426)-1,TotalEtapas)+1))</f>
        <v>12</v>
      </c>
      <c r="E427" t="str">
        <f>IFERROR(VLOOKUP(tbEscolas[[#This Row],[COD ETPA]],tbEtapas[],2,FALSE),"")</f>
        <v>8º ANO</v>
      </c>
      <c r="F427" t="str">
        <f>IFERROR(VLOOKUP(tbEscolas[[#This Row],[COD ETPA]],tbEtapas[],3,FALSE),"")</f>
        <v>FUNDAMENTAL</v>
      </c>
      <c r="G427" t="s">
        <v>125</v>
      </c>
    </row>
    <row r="428" spans="1:7" x14ac:dyDescent="0.25">
      <c r="A428" s="24">
        <f>_xlfn.XLOOKUP(tbEscolas[[#This Row],[ESCOLA]],tbNucleo[ESCOLA],tbNucleo[COD ESCOLA],"")</f>
        <v>24</v>
      </c>
      <c r="B428" t="str" cm="1">
        <f t="array" ref="B428">IFERROR(INDEX(tbNucleo[ESCOLA],ROUNDUP(ROW(B427)/TotalEtapas,0)),"")</f>
        <v>E.E JOÃO FLORENTINO SILVA NETO CARAMUJO</v>
      </c>
      <c r="C428" t="str">
        <f>IFERROR(VLOOKUP(B428,tbNucleo[],2,FALSE),"")</f>
        <v/>
      </c>
      <c r="D428" cm="1">
        <f t="array" ref="D428">IF(B428="","",INDEX(tbEtapas[Nº],MOD(ROW(B427)-1,TotalEtapas)+1))</f>
        <v>13</v>
      </c>
      <c r="E428" t="str">
        <f>IFERROR(VLOOKUP(tbEscolas[[#This Row],[COD ETPA]],tbEtapas[],2,FALSE),"")</f>
        <v>9º ANO</v>
      </c>
      <c r="F428" t="str">
        <f>IFERROR(VLOOKUP(tbEscolas[[#This Row],[COD ETPA]],tbEtapas[],3,FALSE),"")</f>
        <v>FUNDAMENTAL</v>
      </c>
      <c r="G428" t="s">
        <v>125</v>
      </c>
    </row>
    <row r="429" spans="1:7" x14ac:dyDescent="0.25">
      <c r="A429" s="24">
        <f>_xlfn.XLOOKUP(tbEscolas[[#This Row],[ESCOLA]],tbNucleo[ESCOLA],tbNucleo[COD ESCOLA],"")</f>
        <v>24</v>
      </c>
      <c r="B429" t="str" cm="1">
        <f t="array" ref="B429">IFERROR(INDEX(tbNucleo[ESCOLA],ROUNDUP(ROW(B428)/TotalEtapas,0)),"")</f>
        <v>E.E JOÃO FLORENTINO SILVA NETO CARAMUJO</v>
      </c>
      <c r="C429" t="str">
        <f>IFERROR(VLOOKUP(B429,tbNucleo[],2,FALSE),"")</f>
        <v/>
      </c>
      <c r="D429" cm="1">
        <f t="array" ref="D429">IF(B429="","",INDEX(tbEtapas[Nº],MOD(ROW(B428)-1,TotalEtapas)+1))</f>
        <v>14</v>
      </c>
      <c r="E429" t="str">
        <f>IFERROR(VLOOKUP(tbEscolas[[#This Row],[COD ETPA]],tbEtapas[],2,FALSE),"")</f>
        <v>1º ANO</v>
      </c>
      <c r="F429" t="str">
        <f>IFERROR(VLOOKUP(tbEscolas[[#This Row],[COD ETPA]],tbEtapas[],3,FALSE),"")</f>
        <v>ENSINO MÉDIO</v>
      </c>
      <c r="G429" t="s">
        <v>125</v>
      </c>
    </row>
    <row r="430" spans="1:7" x14ac:dyDescent="0.25">
      <c r="A430" s="24">
        <f>_xlfn.XLOOKUP(tbEscolas[[#This Row],[ESCOLA]],tbNucleo[ESCOLA],tbNucleo[COD ESCOLA],"")</f>
        <v>24</v>
      </c>
      <c r="B430" t="str" cm="1">
        <f t="array" ref="B430">IFERROR(INDEX(tbNucleo[ESCOLA],ROUNDUP(ROW(B429)/TotalEtapas,0)),"")</f>
        <v>E.E JOÃO FLORENTINO SILVA NETO CARAMUJO</v>
      </c>
      <c r="C430" t="str">
        <f>IFERROR(VLOOKUP(B430,tbNucleo[],2,FALSE),"")</f>
        <v/>
      </c>
      <c r="D430" cm="1">
        <f t="array" ref="D430">IF(B430="","",INDEX(tbEtapas[Nº],MOD(ROW(B429)-1,TotalEtapas)+1))</f>
        <v>15</v>
      </c>
      <c r="E430" t="str">
        <f>IFERROR(VLOOKUP(tbEscolas[[#This Row],[COD ETPA]],tbEtapas[],2,FALSE),"")</f>
        <v>2º ANO</v>
      </c>
      <c r="F430" t="str">
        <f>IFERROR(VLOOKUP(tbEscolas[[#This Row],[COD ETPA]],tbEtapas[],3,FALSE),"")</f>
        <v>ENSINO MÉDIO</v>
      </c>
      <c r="G430" t="s">
        <v>125</v>
      </c>
    </row>
    <row r="431" spans="1:7" x14ac:dyDescent="0.25">
      <c r="A431" s="24">
        <f>_xlfn.XLOOKUP(tbEscolas[[#This Row],[ESCOLA]],tbNucleo[ESCOLA],tbNucleo[COD ESCOLA],"")</f>
        <v>24</v>
      </c>
      <c r="B431" t="str" cm="1">
        <f t="array" ref="B431">IFERROR(INDEX(tbNucleo[ESCOLA],ROUNDUP(ROW(B430)/TotalEtapas,0)),"")</f>
        <v>E.E JOÃO FLORENTINO SILVA NETO CARAMUJO</v>
      </c>
      <c r="C431" t="str">
        <f>IFERROR(VLOOKUP(B431,tbNucleo[],2,FALSE),"")</f>
        <v/>
      </c>
      <c r="D431" cm="1">
        <f t="array" ref="D431">IF(B431="","",INDEX(tbEtapas[Nº],MOD(ROW(B430)-1,TotalEtapas)+1))</f>
        <v>16</v>
      </c>
      <c r="E431" t="str">
        <f>IFERROR(VLOOKUP(tbEscolas[[#This Row],[COD ETPA]],tbEtapas[],2,FALSE),"")</f>
        <v>3º ANO</v>
      </c>
      <c r="F431" t="str">
        <f>IFERROR(VLOOKUP(tbEscolas[[#This Row],[COD ETPA]],tbEtapas[],3,FALSE),"")</f>
        <v>ENSINO MÉDIO</v>
      </c>
      <c r="G431" t="s">
        <v>125</v>
      </c>
    </row>
    <row r="432" spans="1:7" x14ac:dyDescent="0.25">
      <c r="A432" s="24">
        <f>_xlfn.XLOOKUP(tbEscolas[[#This Row],[ESCOLA]],tbNucleo[ESCOLA],tbNucleo[COD ESCOLA],"")</f>
        <v>24</v>
      </c>
      <c r="B432" t="str" cm="1">
        <f t="array" ref="B432">IFERROR(INDEX(tbNucleo[ESCOLA],ROUNDUP(ROW(B431)/TotalEtapas,0)),"")</f>
        <v>E.E JOÃO FLORENTINO SILVA NETO CARAMUJO</v>
      </c>
      <c r="C432" t="str">
        <f>IFERROR(VLOOKUP(B432,tbNucleo[],2,FALSE),"")</f>
        <v/>
      </c>
      <c r="D432" cm="1">
        <f t="array" ref="D432">IF(B432="","",INDEX(tbEtapas[Nº],MOD(ROW(B431)-1,TotalEtapas)+1))</f>
        <v>17</v>
      </c>
      <c r="E432" t="str">
        <f>IFERROR(VLOOKUP(tbEscolas[[#This Row],[COD ETPA]],tbEtapas[],2,FALSE),"")</f>
        <v>EJA I</v>
      </c>
      <c r="F432" t="str">
        <f>IFERROR(VLOOKUP(tbEscolas[[#This Row],[COD ETPA]],tbEtapas[],3,FALSE),"")</f>
        <v>FUNDAMENTAL</v>
      </c>
      <c r="G432" t="s">
        <v>125</v>
      </c>
    </row>
    <row r="433" spans="1:7" x14ac:dyDescent="0.25">
      <c r="A433" s="24">
        <f>_xlfn.XLOOKUP(tbEscolas[[#This Row],[ESCOLA]],tbNucleo[ESCOLA],tbNucleo[COD ESCOLA],"")</f>
        <v>24</v>
      </c>
      <c r="B433" t="str" cm="1">
        <f t="array" ref="B433">IFERROR(INDEX(tbNucleo[ESCOLA],ROUNDUP(ROW(B432)/TotalEtapas,0)),"")</f>
        <v>E.E JOÃO FLORENTINO SILVA NETO CARAMUJO</v>
      </c>
      <c r="C433" t="str">
        <f>IFERROR(VLOOKUP(B433,tbNucleo[],2,FALSE),"")</f>
        <v/>
      </c>
      <c r="D433" cm="1">
        <f t="array" ref="D433">IF(B433="","",INDEX(tbEtapas[Nº],MOD(ROW(B432)-1,TotalEtapas)+1))</f>
        <v>18</v>
      </c>
      <c r="E433" t="str">
        <f>IFERROR(VLOOKUP(tbEscolas[[#This Row],[COD ETPA]],tbEtapas[],2,FALSE),"")</f>
        <v>EJA II</v>
      </c>
      <c r="F433" t="str">
        <f>IFERROR(VLOOKUP(tbEscolas[[#This Row],[COD ETPA]],tbEtapas[],3,FALSE),"")</f>
        <v>ENSINO MÉDIO</v>
      </c>
      <c r="G433" t="s">
        <v>125</v>
      </c>
    </row>
    <row r="434" spans="1:7" x14ac:dyDescent="0.25">
      <c r="A434" s="24">
        <f>_xlfn.XLOOKUP(tbEscolas[[#This Row],[ESCOLA]],tbNucleo[ESCOLA],tbNucleo[COD ESCOLA],"")</f>
        <v>25</v>
      </c>
      <c r="B434" t="str" cm="1">
        <f t="array" ref="B434">IFERROR(INDEX(tbNucleo[ESCOLA],ROUNDUP(ROW(B433)/TotalEtapas,0)),"")</f>
        <v>E.E SÃO LUIZ</v>
      </c>
      <c r="C434" t="str">
        <f>IFERROR(VLOOKUP(B434,tbNucleo[],2,FALSE),"")</f>
        <v/>
      </c>
      <c r="D434" cm="1">
        <f t="array" ref="D434">IF(B434="","",INDEX(tbEtapas[Nº],MOD(ROW(B433)-1,TotalEtapas)+1))</f>
        <v>1</v>
      </c>
      <c r="E434" t="str">
        <f>IFERROR(VLOOKUP(tbEscolas[[#This Row],[COD ETPA]],tbEtapas[],2,FALSE),"")</f>
        <v>CRECHE I</v>
      </c>
      <c r="F434" t="str">
        <f>IFERROR(VLOOKUP(tbEscolas[[#This Row],[COD ETPA]],tbEtapas[],3,FALSE),"")</f>
        <v>EDUCAÇÃO INFANTIL</v>
      </c>
      <c r="G434" t="s">
        <v>125</v>
      </c>
    </row>
    <row r="435" spans="1:7" x14ac:dyDescent="0.25">
      <c r="A435" s="24">
        <f>_xlfn.XLOOKUP(tbEscolas[[#This Row],[ESCOLA]],tbNucleo[ESCOLA],tbNucleo[COD ESCOLA],"")</f>
        <v>25</v>
      </c>
      <c r="B435" t="str" cm="1">
        <f t="array" ref="B435">IFERROR(INDEX(tbNucleo[ESCOLA],ROUNDUP(ROW(B434)/TotalEtapas,0)),"")</f>
        <v>E.E SÃO LUIZ</v>
      </c>
      <c r="C435" t="str">
        <f>IFERROR(VLOOKUP(B435,tbNucleo[],2,FALSE),"")</f>
        <v/>
      </c>
      <c r="D435" cm="1">
        <f t="array" ref="D435">IF(B435="","",INDEX(tbEtapas[Nº],MOD(ROW(B434)-1,TotalEtapas)+1))</f>
        <v>2</v>
      </c>
      <c r="E435" t="str">
        <f>IFERROR(VLOOKUP(tbEscolas[[#This Row],[COD ETPA]],tbEtapas[],2,FALSE),"")</f>
        <v>CRECHE II</v>
      </c>
      <c r="F435" t="str">
        <f>IFERROR(VLOOKUP(tbEscolas[[#This Row],[COD ETPA]],tbEtapas[],3,FALSE),"")</f>
        <v>EDUCAÇÃO INFANTIL</v>
      </c>
      <c r="G435" t="s">
        <v>125</v>
      </c>
    </row>
    <row r="436" spans="1:7" x14ac:dyDescent="0.25">
      <c r="A436" s="24">
        <f>_xlfn.XLOOKUP(tbEscolas[[#This Row],[ESCOLA]],tbNucleo[ESCOLA],tbNucleo[COD ESCOLA],"")</f>
        <v>25</v>
      </c>
      <c r="B436" t="str" cm="1">
        <f t="array" ref="B436">IFERROR(INDEX(tbNucleo[ESCOLA],ROUNDUP(ROW(B435)/TotalEtapas,0)),"")</f>
        <v>E.E SÃO LUIZ</v>
      </c>
      <c r="C436" t="str">
        <f>IFERROR(VLOOKUP(B436,tbNucleo[],2,FALSE),"")</f>
        <v/>
      </c>
      <c r="D436" cm="1">
        <f t="array" ref="D436">IF(B436="","",INDEX(tbEtapas[Nº],MOD(ROW(B435)-1,TotalEtapas)+1))</f>
        <v>3</v>
      </c>
      <c r="E436" t="str">
        <f>IFERROR(VLOOKUP(tbEscolas[[#This Row],[COD ETPA]],tbEtapas[],2,FALSE),"")</f>
        <v>PRE I</v>
      </c>
      <c r="F436" t="str">
        <f>IFERROR(VLOOKUP(tbEscolas[[#This Row],[COD ETPA]],tbEtapas[],3,FALSE),"")</f>
        <v>EDUCAÇÃO INFANTIL</v>
      </c>
      <c r="G436" t="s">
        <v>125</v>
      </c>
    </row>
    <row r="437" spans="1:7" x14ac:dyDescent="0.25">
      <c r="A437" s="24">
        <f>_xlfn.XLOOKUP(tbEscolas[[#This Row],[ESCOLA]],tbNucleo[ESCOLA],tbNucleo[COD ESCOLA],"")</f>
        <v>25</v>
      </c>
      <c r="B437" t="str" cm="1">
        <f t="array" ref="B437">IFERROR(INDEX(tbNucleo[ESCOLA],ROUNDUP(ROW(B436)/TotalEtapas,0)),"")</f>
        <v>E.E SÃO LUIZ</v>
      </c>
      <c r="C437" t="str">
        <f>IFERROR(VLOOKUP(B437,tbNucleo[],2,FALSE),"")</f>
        <v/>
      </c>
      <c r="D437" cm="1">
        <f t="array" ref="D437">IF(B437="","",INDEX(tbEtapas[Nº],MOD(ROW(B436)-1,TotalEtapas)+1))</f>
        <v>4</v>
      </c>
      <c r="E437" t="str">
        <f>IFERROR(VLOOKUP(tbEscolas[[#This Row],[COD ETPA]],tbEtapas[],2,FALSE),"")</f>
        <v>PRE II</v>
      </c>
      <c r="F437" t="str">
        <f>IFERROR(VLOOKUP(tbEscolas[[#This Row],[COD ETPA]],tbEtapas[],3,FALSE),"")</f>
        <v>EDUCAÇÃO INFANTIL</v>
      </c>
      <c r="G437" t="s">
        <v>125</v>
      </c>
    </row>
    <row r="438" spans="1:7" x14ac:dyDescent="0.25">
      <c r="A438" s="24">
        <f>_xlfn.XLOOKUP(tbEscolas[[#This Row],[ESCOLA]],tbNucleo[ESCOLA],tbNucleo[COD ESCOLA],"")</f>
        <v>25</v>
      </c>
      <c r="B438" t="str" cm="1">
        <f t="array" ref="B438">IFERROR(INDEX(tbNucleo[ESCOLA],ROUNDUP(ROW(B437)/TotalEtapas,0)),"")</f>
        <v>E.E SÃO LUIZ</v>
      </c>
      <c r="C438" t="str">
        <f>IFERROR(VLOOKUP(B438,tbNucleo[],2,FALSE),"")</f>
        <v/>
      </c>
      <c r="D438" cm="1">
        <f t="array" ref="D438">IF(B438="","",INDEX(tbEtapas[Nº],MOD(ROW(B437)-1,TotalEtapas)+1))</f>
        <v>5</v>
      </c>
      <c r="E438" t="str">
        <f>IFERROR(VLOOKUP(tbEscolas[[#This Row],[COD ETPA]],tbEtapas[],2,FALSE),"")</f>
        <v>1º ANO</v>
      </c>
      <c r="F438" t="str">
        <f>IFERROR(VLOOKUP(tbEscolas[[#This Row],[COD ETPA]],tbEtapas[],3,FALSE),"")</f>
        <v>FUNDAMENTAL</v>
      </c>
      <c r="G438" t="s">
        <v>125</v>
      </c>
    </row>
    <row r="439" spans="1:7" x14ac:dyDescent="0.25">
      <c r="A439" s="24">
        <f>_xlfn.XLOOKUP(tbEscolas[[#This Row],[ESCOLA]],tbNucleo[ESCOLA],tbNucleo[COD ESCOLA],"")</f>
        <v>25</v>
      </c>
      <c r="B439" t="str" cm="1">
        <f t="array" ref="B439">IFERROR(INDEX(tbNucleo[ESCOLA],ROUNDUP(ROW(B438)/TotalEtapas,0)),"")</f>
        <v>E.E SÃO LUIZ</v>
      </c>
      <c r="C439" t="str">
        <f>IFERROR(VLOOKUP(B439,tbNucleo[],2,FALSE),"")</f>
        <v/>
      </c>
      <c r="D439" cm="1">
        <f t="array" ref="D439">IF(B439="","",INDEX(tbEtapas[Nº],MOD(ROW(B438)-1,TotalEtapas)+1))</f>
        <v>6</v>
      </c>
      <c r="E439" t="str">
        <f>IFERROR(VLOOKUP(tbEscolas[[#This Row],[COD ETPA]],tbEtapas[],2,FALSE),"")</f>
        <v>2º ANO</v>
      </c>
      <c r="F439" t="str">
        <f>IFERROR(VLOOKUP(tbEscolas[[#This Row],[COD ETPA]],tbEtapas[],3,FALSE),"")</f>
        <v>FUNDAMENTAL</v>
      </c>
      <c r="G439" t="s">
        <v>125</v>
      </c>
    </row>
    <row r="440" spans="1:7" x14ac:dyDescent="0.25">
      <c r="A440" s="24">
        <f>_xlfn.XLOOKUP(tbEscolas[[#This Row],[ESCOLA]],tbNucleo[ESCOLA],tbNucleo[COD ESCOLA],"")</f>
        <v>25</v>
      </c>
      <c r="B440" t="str" cm="1">
        <f t="array" ref="B440">IFERROR(INDEX(tbNucleo[ESCOLA],ROUNDUP(ROW(B439)/TotalEtapas,0)),"")</f>
        <v>E.E SÃO LUIZ</v>
      </c>
      <c r="C440" t="str">
        <f>IFERROR(VLOOKUP(B440,tbNucleo[],2,FALSE),"")</f>
        <v/>
      </c>
      <c r="D440" cm="1">
        <f t="array" ref="D440">IF(B440="","",INDEX(tbEtapas[Nº],MOD(ROW(B439)-1,TotalEtapas)+1))</f>
        <v>7</v>
      </c>
      <c r="E440" t="str">
        <f>IFERROR(VLOOKUP(tbEscolas[[#This Row],[COD ETPA]],tbEtapas[],2,FALSE),"")</f>
        <v>3º ANO</v>
      </c>
      <c r="F440" t="str">
        <f>IFERROR(VLOOKUP(tbEscolas[[#This Row],[COD ETPA]],tbEtapas[],3,FALSE),"")</f>
        <v>FUNDAMENTAL</v>
      </c>
      <c r="G440" t="s">
        <v>125</v>
      </c>
    </row>
    <row r="441" spans="1:7" x14ac:dyDescent="0.25">
      <c r="A441" s="24">
        <f>_xlfn.XLOOKUP(tbEscolas[[#This Row],[ESCOLA]],tbNucleo[ESCOLA],tbNucleo[COD ESCOLA],"")</f>
        <v>25</v>
      </c>
      <c r="B441" t="str" cm="1">
        <f t="array" ref="B441">IFERROR(INDEX(tbNucleo[ESCOLA],ROUNDUP(ROW(B440)/TotalEtapas,0)),"")</f>
        <v>E.E SÃO LUIZ</v>
      </c>
      <c r="C441" t="str">
        <f>IFERROR(VLOOKUP(B441,tbNucleo[],2,FALSE),"")</f>
        <v/>
      </c>
      <c r="D441" cm="1">
        <f t="array" ref="D441">IF(B441="","",INDEX(tbEtapas[Nº],MOD(ROW(B440)-1,TotalEtapas)+1))</f>
        <v>8</v>
      </c>
      <c r="E441" t="str">
        <f>IFERROR(VLOOKUP(tbEscolas[[#This Row],[COD ETPA]],tbEtapas[],2,FALSE),"")</f>
        <v>4º ANO</v>
      </c>
      <c r="F441" t="str">
        <f>IFERROR(VLOOKUP(tbEscolas[[#This Row],[COD ETPA]],tbEtapas[],3,FALSE),"")</f>
        <v>FUNDAMENTAL</v>
      </c>
      <c r="G441" t="s">
        <v>125</v>
      </c>
    </row>
    <row r="442" spans="1:7" x14ac:dyDescent="0.25">
      <c r="A442" s="24">
        <f>_xlfn.XLOOKUP(tbEscolas[[#This Row],[ESCOLA]],tbNucleo[ESCOLA],tbNucleo[COD ESCOLA],"")</f>
        <v>25</v>
      </c>
      <c r="B442" t="str" cm="1">
        <f t="array" ref="B442">IFERROR(INDEX(tbNucleo[ESCOLA],ROUNDUP(ROW(B441)/TotalEtapas,0)),"")</f>
        <v>E.E SÃO LUIZ</v>
      </c>
      <c r="C442" t="str">
        <f>IFERROR(VLOOKUP(B442,tbNucleo[],2,FALSE),"")</f>
        <v/>
      </c>
      <c r="D442" cm="1">
        <f t="array" ref="D442">IF(B442="","",INDEX(tbEtapas[Nº],MOD(ROW(B441)-1,TotalEtapas)+1))</f>
        <v>9</v>
      </c>
      <c r="E442" t="str">
        <f>IFERROR(VLOOKUP(tbEscolas[[#This Row],[COD ETPA]],tbEtapas[],2,FALSE),"")</f>
        <v>5º ANO</v>
      </c>
      <c r="F442" t="str">
        <f>IFERROR(VLOOKUP(tbEscolas[[#This Row],[COD ETPA]],tbEtapas[],3,FALSE),"")</f>
        <v>FUNDAMENTAL</v>
      </c>
      <c r="G442" t="s">
        <v>125</v>
      </c>
    </row>
    <row r="443" spans="1:7" x14ac:dyDescent="0.25">
      <c r="A443" s="24">
        <f>_xlfn.XLOOKUP(tbEscolas[[#This Row],[ESCOLA]],tbNucleo[ESCOLA],tbNucleo[COD ESCOLA],"")</f>
        <v>25</v>
      </c>
      <c r="B443" t="str" cm="1">
        <f t="array" ref="B443">IFERROR(INDEX(tbNucleo[ESCOLA],ROUNDUP(ROW(B442)/TotalEtapas,0)),"")</f>
        <v>E.E SÃO LUIZ</v>
      </c>
      <c r="C443" t="str">
        <f>IFERROR(VLOOKUP(B443,tbNucleo[],2,FALSE),"")</f>
        <v/>
      </c>
      <c r="D443" cm="1">
        <f t="array" ref="D443">IF(B443="","",INDEX(tbEtapas[Nº],MOD(ROW(B442)-1,TotalEtapas)+1))</f>
        <v>10</v>
      </c>
      <c r="E443" t="str">
        <f>IFERROR(VLOOKUP(tbEscolas[[#This Row],[COD ETPA]],tbEtapas[],2,FALSE),"")</f>
        <v>6º ANO</v>
      </c>
      <c r="F443" t="str">
        <f>IFERROR(VLOOKUP(tbEscolas[[#This Row],[COD ETPA]],tbEtapas[],3,FALSE),"")</f>
        <v>FUNDAMENTAL</v>
      </c>
      <c r="G443" t="s">
        <v>126</v>
      </c>
    </row>
    <row r="444" spans="1:7" x14ac:dyDescent="0.25">
      <c r="A444" s="24">
        <f>_xlfn.XLOOKUP(tbEscolas[[#This Row],[ESCOLA]],tbNucleo[ESCOLA],tbNucleo[COD ESCOLA],"")</f>
        <v>25</v>
      </c>
      <c r="B444" t="str" cm="1">
        <f t="array" ref="B444">IFERROR(INDEX(tbNucleo[ESCOLA],ROUNDUP(ROW(B443)/TotalEtapas,0)),"")</f>
        <v>E.E SÃO LUIZ</v>
      </c>
      <c r="C444" t="str">
        <f>IFERROR(VLOOKUP(B444,tbNucleo[],2,FALSE),"")</f>
        <v/>
      </c>
      <c r="D444" cm="1">
        <f t="array" ref="D444">IF(B444="","",INDEX(tbEtapas[Nº],MOD(ROW(B443)-1,TotalEtapas)+1))</f>
        <v>11</v>
      </c>
      <c r="E444" t="str">
        <f>IFERROR(VLOOKUP(tbEscolas[[#This Row],[COD ETPA]],tbEtapas[],2,FALSE),"")</f>
        <v>7º ANO</v>
      </c>
      <c r="F444" t="str">
        <f>IFERROR(VLOOKUP(tbEscolas[[#This Row],[COD ETPA]],tbEtapas[],3,FALSE),"")</f>
        <v>FUNDAMENTAL</v>
      </c>
      <c r="G444" t="s">
        <v>126</v>
      </c>
    </row>
    <row r="445" spans="1:7" x14ac:dyDescent="0.25">
      <c r="A445" s="24">
        <f>_xlfn.XLOOKUP(tbEscolas[[#This Row],[ESCOLA]],tbNucleo[ESCOLA],tbNucleo[COD ESCOLA],"")</f>
        <v>25</v>
      </c>
      <c r="B445" t="str" cm="1">
        <f t="array" ref="B445">IFERROR(INDEX(tbNucleo[ESCOLA],ROUNDUP(ROW(B444)/TotalEtapas,0)),"")</f>
        <v>E.E SÃO LUIZ</v>
      </c>
      <c r="C445" t="str">
        <f>IFERROR(VLOOKUP(B445,tbNucleo[],2,FALSE),"")</f>
        <v/>
      </c>
      <c r="D445" cm="1">
        <f t="array" ref="D445">IF(B445="","",INDEX(tbEtapas[Nº],MOD(ROW(B444)-1,TotalEtapas)+1))</f>
        <v>12</v>
      </c>
      <c r="E445" t="str">
        <f>IFERROR(VLOOKUP(tbEscolas[[#This Row],[COD ETPA]],tbEtapas[],2,FALSE),"")</f>
        <v>8º ANO</v>
      </c>
      <c r="F445" t="str">
        <f>IFERROR(VLOOKUP(tbEscolas[[#This Row],[COD ETPA]],tbEtapas[],3,FALSE),"")</f>
        <v>FUNDAMENTAL</v>
      </c>
      <c r="G445" t="s">
        <v>126</v>
      </c>
    </row>
    <row r="446" spans="1:7" x14ac:dyDescent="0.25">
      <c r="A446" s="24">
        <f>_xlfn.XLOOKUP(tbEscolas[[#This Row],[ESCOLA]],tbNucleo[ESCOLA],tbNucleo[COD ESCOLA],"")</f>
        <v>25</v>
      </c>
      <c r="B446" t="str" cm="1">
        <f t="array" ref="B446">IFERROR(INDEX(tbNucleo[ESCOLA],ROUNDUP(ROW(B445)/TotalEtapas,0)),"")</f>
        <v>E.E SÃO LUIZ</v>
      </c>
      <c r="C446" t="str">
        <f>IFERROR(VLOOKUP(B446,tbNucleo[],2,FALSE),"")</f>
        <v/>
      </c>
      <c r="D446" cm="1">
        <f t="array" ref="D446">IF(B446="","",INDEX(tbEtapas[Nº],MOD(ROW(B445)-1,TotalEtapas)+1))</f>
        <v>13</v>
      </c>
      <c r="E446" t="str">
        <f>IFERROR(VLOOKUP(tbEscolas[[#This Row],[COD ETPA]],tbEtapas[],2,FALSE),"")</f>
        <v>9º ANO</v>
      </c>
      <c r="F446" t="str">
        <f>IFERROR(VLOOKUP(tbEscolas[[#This Row],[COD ETPA]],tbEtapas[],3,FALSE),"")</f>
        <v>FUNDAMENTAL</v>
      </c>
      <c r="G446" t="s">
        <v>126</v>
      </c>
    </row>
    <row r="447" spans="1:7" x14ac:dyDescent="0.25">
      <c r="A447" s="24">
        <f>_xlfn.XLOOKUP(tbEscolas[[#This Row],[ESCOLA]],tbNucleo[ESCOLA],tbNucleo[COD ESCOLA],"")</f>
        <v>25</v>
      </c>
      <c r="B447" t="str" cm="1">
        <f t="array" ref="B447">IFERROR(INDEX(tbNucleo[ESCOLA],ROUNDUP(ROW(B446)/TotalEtapas,0)),"")</f>
        <v>E.E SÃO LUIZ</v>
      </c>
      <c r="C447" t="str">
        <f>IFERROR(VLOOKUP(B447,tbNucleo[],2,FALSE),"")</f>
        <v/>
      </c>
      <c r="D447" cm="1">
        <f t="array" ref="D447">IF(B447="","",INDEX(tbEtapas[Nº],MOD(ROW(B446)-1,TotalEtapas)+1))</f>
        <v>14</v>
      </c>
      <c r="E447" t="str">
        <f>IFERROR(VLOOKUP(tbEscolas[[#This Row],[COD ETPA]],tbEtapas[],2,FALSE),"")</f>
        <v>1º ANO</v>
      </c>
      <c r="F447" t="str">
        <f>IFERROR(VLOOKUP(tbEscolas[[#This Row],[COD ETPA]],tbEtapas[],3,FALSE),"")</f>
        <v>ENSINO MÉDIO</v>
      </c>
      <c r="G447" t="s">
        <v>126</v>
      </c>
    </row>
    <row r="448" spans="1:7" x14ac:dyDescent="0.25">
      <c r="A448" s="24">
        <f>_xlfn.XLOOKUP(tbEscolas[[#This Row],[ESCOLA]],tbNucleo[ESCOLA],tbNucleo[COD ESCOLA],"")</f>
        <v>25</v>
      </c>
      <c r="B448" t="str" cm="1">
        <f t="array" ref="B448">IFERROR(INDEX(tbNucleo[ESCOLA],ROUNDUP(ROW(B447)/TotalEtapas,0)),"")</f>
        <v>E.E SÃO LUIZ</v>
      </c>
      <c r="C448" t="str">
        <f>IFERROR(VLOOKUP(B448,tbNucleo[],2,FALSE),"")</f>
        <v/>
      </c>
      <c r="D448" cm="1">
        <f t="array" ref="D448">IF(B448="","",INDEX(tbEtapas[Nº],MOD(ROW(B447)-1,TotalEtapas)+1))</f>
        <v>15</v>
      </c>
      <c r="E448" t="str">
        <f>IFERROR(VLOOKUP(tbEscolas[[#This Row],[COD ETPA]],tbEtapas[],2,FALSE),"")</f>
        <v>2º ANO</v>
      </c>
      <c r="F448" t="str">
        <f>IFERROR(VLOOKUP(tbEscolas[[#This Row],[COD ETPA]],tbEtapas[],3,FALSE),"")</f>
        <v>ENSINO MÉDIO</v>
      </c>
      <c r="G448" t="s">
        <v>126</v>
      </c>
    </row>
    <row r="449" spans="1:7" x14ac:dyDescent="0.25">
      <c r="A449" s="24">
        <f>_xlfn.XLOOKUP(tbEscolas[[#This Row],[ESCOLA]],tbNucleo[ESCOLA],tbNucleo[COD ESCOLA],"")</f>
        <v>25</v>
      </c>
      <c r="B449" t="str" cm="1">
        <f t="array" ref="B449">IFERROR(INDEX(tbNucleo[ESCOLA],ROUNDUP(ROW(B448)/TotalEtapas,0)),"")</f>
        <v>E.E SÃO LUIZ</v>
      </c>
      <c r="C449" t="str">
        <f>IFERROR(VLOOKUP(B449,tbNucleo[],2,FALSE),"")</f>
        <v/>
      </c>
      <c r="D449" cm="1">
        <f t="array" ref="D449">IF(B449="","",INDEX(tbEtapas[Nº],MOD(ROW(B448)-1,TotalEtapas)+1))</f>
        <v>16</v>
      </c>
      <c r="E449" t="str">
        <f>IFERROR(VLOOKUP(tbEscolas[[#This Row],[COD ETPA]],tbEtapas[],2,FALSE),"")</f>
        <v>3º ANO</v>
      </c>
      <c r="F449" t="str">
        <f>IFERROR(VLOOKUP(tbEscolas[[#This Row],[COD ETPA]],tbEtapas[],3,FALSE),"")</f>
        <v>ENSINO MÉDIO</v>
      </c>
      <c r="G449" t="s">
        <v>126</v>
      </c>
    </row>
    <row r="450" spans="1:7" x14ac:dyDescent="0.25">
      <c r="A450" s="24">
        <f>_xlfn.XLOOKUP(tbEscolas[[#This Row],[ESCOLA]],tbNucleo[ESCOLA],tbNucleo[COD ESCOLA],"")</f>
        <v>25</v>
      </c>
      <c r="B450" t="str" cm="1">
        <f t="array" ref="B450">IFERROR(INDEX(tbNucleo[ESCOLA],ROUNDUP(ROW(B449)/TotalEtapas,0)),"")</f>
        <v>E.E SÃO LUIZ</v>
      </c>
      <c r="C450" t="str">
        <f>IFERROR(VLOOKUP(B450,tbNucleo[],2,FALSE),"")</f>
        <v/>
      </c>
      <c r="D450" cm="1">
        <f t="array" ref="D450">IF(B450="","",INDEX(tbEtapas[Nº],MOD(ROW(B449)-1,TotalEtapas)+1))</f>
        <v>17</v>
      </c>
      <c r="E450" t="str">
        <f>IFERROR(VLOOKUP(tbEscolas[[#This Row],[COD ETPA]],tbEtapas[],2,FALSE),"")</f>
        <v>EJA I</v>
      </c>
      <c r="F450" t="str">
        <f>IFERROR(VLOOKUP(tbEscolas[[#This Row],[COD ETPA]],tbEtapas[],3,FALSE),"")</f>
        <v>FUNDAMENTAL</v>
      </c>
      <c r="G450" t="s">
        <v>125</v>
      </c>
    </row>
    <row r="451" spans="1:7" x14ac:dyDescent="0.25">
      <c r="A451" s="24">
        <f>_xlfn.XLOOKUP(tbEscolas[[#This Row],[ESCOLA]],tbNucleo[ESCOLA],tbNucleo[COD ESCOLA],"")</f>
        <v>25</v>
      </c>
      <c r="B451" t="str" cm="1">
        <f t="array" ref="B451">IFERROR(INDEX(tbNucleo[ESCOLA],ROUNDUP(ROW(B450)/TotalEtapas,0)),"")</f>
        <v>E.E SÃO LUIZ</v>
      </c>
      <c r="C451" t="str">
        <f>IFERROR(VLOOKUP(B451,tbNucleo[],2,FALSE),"")</f>
        <v/>
      </c>
      <c r="D451" cm="1">
        <f t="array" ref="D451">IF(B451="","",INDEX(tbEtapas[Nº],MOD(ROW(B450)-1,TotalEtapas)+1))</f>
        <v>18</v>
      </c>
      <c r="E451" t="str">
        <f>IFERROR(VLOOKUP(tbEscolas[[#This Row],[COD ETPA]],tbEtapas[],2,FALSE),"")</f>
        <v>EJA II</v>
      </c>
      <c r="F451" t="str">
        <f>IFERROR(VLOOKUP(tbEscolas[[#This Row],[COD ETPA]],tbEtapas[],3,FALSE),"")</f>
        <v>ENSINO MÉDIO</v>
      </c>
      <c r="G451" t="s">
        <v>125</v>
      </c>
    </row>
    <row r="452" spans="1:7" x14ac:dyDescent="0.25">
      <c r="A452" s="25">
        <f>_xlfn.XLOOKUP(tbEscolas[[#This Row],[ESCOLA]],tbNucleo[ESCOLA],tbNucleo[COD ESCOLA],"")</f>
        <v>26</v>
      </c>
      <c r="B452" s="1" t="str" cm="1">
        <f t="array" ref="B452">IFERROR(INDEX(tbNucleo[ESCOLA],ROUNDUP(ROW(B451)/TotalEtapas,0)),"")</f>
        <v>EM 16 DE MARÇO</v>
      </c>
      <c r="C452" s="1" t="str">
        <f>IFERROR(VLOOKUP(B452,tbNucleo[],2,FALSE),"")</f>
        <v/>
      </c>
      <c r="D452" s="1" cm="1">
        <f t="array" ref="D452">IF(B452="","",INDEX(tbEtapas[Nº],MOD(ROW(B451)-1,TotalEtapas)+1))</f>
        <v>1</v>
      </c>
      <c r="E452" s="1" t="str">
        <f>IFERROR(VLOOKUP(tbEscolas[[#This Row],[COD ETPA]],tbEtapas[],2,FALSE),"")</f>
        <v>CRECHE I</v>
      </c>
      <c r="F452" s="1" t="str">
        <f>IFERROR(VLOOKUP(tbEscolas[[#This Row],[COD ETPA]],tbEtapas[],3,FALSE),"")</f>
        <v>EDUCAÇÃO INFANTIL</v>
      </c>
      <c r="G452" s="1" t="s">
        <v>125</v>
      </c>
    </row>
    <row r="453" spans="1:7" x14ac:dyDescent="0.25">
      <c r="A453" s="25">
        <f>_xlfn.XLOOKUP(tbEscolas[[#This Row],[ESCOLA]],tbNucleo[ESCOLA],tbNucleo[COD ESCOLA],"")</f>
        <v>26</v>
      </c>
      <c r="B453" s="1" t="str" cm="1">
        <f t="array" ref="B453">IFERROR(INDEX(tbNucleo[ESCOLA],ROUNDUP(ROW(B452)/TotalEtapas,0)),"")</f>
        <v>EM 16 DE MARÇO</v>
      </c>
      <c r="C453" s="1" t="str">
        <f>IFERROR(VLOOKUP(B453,tbNucleo[],2,FALSE),"")</f>
        <v/>
      </c>
      <c r="D453" s="1" cm="1">
        <f t="array" ref="D453">IF(B453="","",INDEX(tbEtapas[Nº],MOD(ROW(B452)-1,TotalEtapas)+1))</f>
        <v>2</v>
      </c>
      <c r="E453" s="1" t="str">
        <f>IFERROR(VLOOKUP(tbEscolas[[#This Row],[COD ETPA]],tbEtapas[],2,FALSE),"")</f>
        <v>CRECHE II</v>
      </c>
      <c r="F453" s="1" t="str">
        <f>IFERROR(VLOOKUP(tbEscolas[[#This Row],[COD ETPA]],tbEtapas[],3,FALSE),"")</f>
        <v>EDUCAÇÃO INFANTIL</v>
      </c>
      <c r="G453" s="1" t="s">
        <v>125</v>
      </c>
    </row>
    <row r="454" spans="1:7" x14ac:dyDescent="0.25">
      <c r="A454" s="25">
        <f>_xlfn.XLOOKUP(tbEscolas[[#This Row],[ESCOLA]],tbNucleo[ESCOLA],tbNucleo[COD ESCOLA],"")</f>
        <v>26</v>
      </c>
      <c r="B454" s="1" t="str" cm="1">
        <f t="array" ref="B454">IFERROR(INDEX(tbNucleo[ESCOLA],ROUNDUP(ROW(B453)/TotalEtapas,0)),"")</f>
        <v>EM 16 DE MARÇO</v>
      </c>
      <c r="C454" s="1" t="str">
        <f>IFERROR(VLOOKUP(B454,tbNucleo[],2,FALSE),"")</f>
        <v/>
      </c>
      <c r="D454" s="1" cm="1">
        <f t="array" ref="D454">IF(B454="","",INDEX(tbEtapas[Nº],MOD(ROW(B453)-1,TotalEtapas)+1))</f>
        <v>3</v>
      </c>
      <c r="E454" s="1" t="str">
        <f>IFERROR(VLOOKUP(tbEscolas[[#This Row],[COD ETPA]],tbEtapas[],2,FALSE),"")</f>
        <v>PRE I</v>
      </c>
      <c r="F454" s="1" t="str">
        <f>IFERROR(VLOOKUP(tbEscolas[[#This Row],[COD ETPA]],tbEtapas[],3,FALSE),"")</f>
        <v>EDUCAÇÃO INFANTIL</v>
      </c>
      <c r="G454" s="1" t="s">
        <v>126</v>
      </c>
    </row>
    <row r="455" spans="1:7" x14ac:dyDescent="0.25">
      <c r="A455" s="25">
        <f>_xlfn.XLOOKUP(tbEscolas[[#This Row],[ESCOLA]],tbNucleo[ESCOLA],tbNucleo[COD ESCOLA],"")</f>
        <v>26</v>
      </c>
      <c r="B455" s="1" t="str" cm="1">
        <f t="array" ref="B455">IFERROR(INDEX(tbNucleo[ESCOLA],ROUNDUP(ROW(B454)/TotalEtapas,0)),"")</f>
        <v>EM 16 DE MARÇO</v>
      </c>
      <c r="C455" s="1" t="str">
        <f>IFERROR(VLOOKUP(B455,tbNucleo[],2,FALSE),"")</f>
        <v/>
      </c>
      <c r="D455" s="1" cm="1">
        <f t="array" ref="D455">IF(B455="","",INDEX(tbEtapas[Nº],MOD(ROW(B454)-1,TotalEtapas)+1))</f>
        <v>4</v>
      </c>
      <c r="E455" s="1" t="str">
        <f>IFERROR(VLOOKUP(tbEscolas[[#This Row],[COD ETPA]],tbEtapas[],2,FALSE),"")</f>
        <v>PRE II</v>
      </c>
      <c r="F455" s="1" t="str">
        <f>IFERROR(VLOOKUP(tbEscolas[[#This Row],[COD ETPA]],tbEtapas[],3,FALSE),"")</f>
        <v>EDUCAÇÃO INFANTIL</v>
      </c>
      <c r="G455" s="1" t="s">
        <v>126</v>
      </c>
    </row>
    <row r="456" spans="1:7" x14ac:dyDescent="0.25">
      <c r="A456" s="25">
        <f>_xlfn.XLOOKUP(tbEscolas[[#This Row],[ESCOLA]],tbNucleo[ESCOLA],tbNucleo[COD ESCOLA],"")</f>
        <v>26</v>
      </c>
      <c r="B456" s="1" t="str" cm="1">
        <f t="array" ref="B456">IFERROR(INDEX(tbNucleo[ESCOLA],ROUNDUP(ROW(B455)/TotalEtapas,0)),"")</f>
        <v>EM 16 DE MARÇO</v>
      </c>
      <c r="C456" s="1" t="str">
        <f>IFERROR(VLOOKUP(B456,tbNucleo[],2,FALSE),"")</f>
        <v/>
      </c>
      <c r="D456" s="1" cm="1">
        <f t="array" ref="D456">IF(B456="","",INDEX(tbEtapas[Nº],MOD(ROW(B455)-1,TotalEtapas)+1))</f>
        <v>5</v>
      </c>
      <c r="E456" s="1" t="str">
        <f>IFERROR(VLOOKUP(tbEscolas[[#This Row],[COD ETPA]],tbEtapas[],2,FALSE),"")</f>
        <v>1º ANO</v>
      </c>
      <c r="F456" s="1" t="str">
        <f>IFERROR(VLOOKUP(tbEscolas[[#This Row],[COD ETPA]],tbEtapas[],3,FALSE),"")</f>
        <v>FUNDAMENTAL</v>
      </c>
      <c r="G456" s="1" t="s">
        <v>126</v>
      </c>
    </row>
    <row r="457" spans="1:7" x14ac:dyDescent="0.25">
      <c r="A457" s="25">
        <f>_xlfn.XLOOKUP(tbEscolas[[#This Row],[ESCOLA]],tbNucleo[ESCOLA],tbNucleo[COD ESCOLA],"")</f>
        <v>26</v>
      </c>
      <c r="B457" s="1" t="str" cm="1">
        <f t="array" ref="B457">IFERROR(INDEX(tbNucleo[ESCOLA],ROUNDUP(ROW(B456)/TotalEtapas,0)),"")</f>
        <v>EM 16 DE MARÇO</v>
      </c>
      <c r="C457" s="1" t="str">
        <f>IFERROR(VLOOKUP(B457,tbNucleo[],2,FALSE),"")</f>
        <v/>
      </c>
      <c r="D457" s="1" cm="1">
        <f t="array" ref="D457">IF(B457="","",INDEX(tbEtapas[Nº],MOD(ROW(B456)-1,TotalEtapas)+1))</f>
        <v>6</v>
      </c>
      <c r="E457" s="1" t="str">
        <f>IFERROR(VLOOKUP(tbEscolas[[#This Row],[COD ETPA]],tbEtapas[],2,FALSE),"")</f>
        <v>2º ANO</v>
      </c>
      <c r="F457" s="1" t="str">
        <f>IFERROR(VLOOKUP(tbEscolas[[#This Row],[COD ETPA]],tbEtapas[],3,FALSE),"")</f>
        <v>FUNDAMENTAL</v>
      </c>
      <c r="G457" s="1" t="s">
        <v>126</v>
      </c>
    </row>
    <row r="458" spans="1:7" x14ac:dyDescent="0.25">
      <c r="A458" s="25">
        <f>_xlfn.XLOOKUP(tbEscolas[[#This Row],[ESCOLA]],tbNucleo[ESCOLA],tbNucleo[COD ESCOLA],"")</f>
        <v>26</v>
      </c>
      <c r="B458" s="1" t="str" cm="1">
        <f t="array" ref="B458">IFERROR(INDEX(tbNucleo[ESCOLA],ROUNDUP(ROW(B457)/TotalEtapas,0)),"")</f>
        <v>EM 16 DE MARÇO</v>
      </c>
      <c r="C458" s="1" t="str">
        <f>IFERROR(VLOOKUP(B458,tbNucleo[],2,FALSE),"")</f>
        <v/>
      </c>
      <c r="D458" s="1" cm="1">
        <f t="array" ref="D458">IF(B458="","",INDEX(tbEtapas[Nº],MOD(ROW(B457)-1,TotalEtapas)+1))</f>
        <v>7</v>
      </c>
      <c r="E458" s="1" t="str">
        <f>IFERROR(VLOOKUP(tbEscolas[[#This Row],[COD ETPA]],tbEtapas[],2,FALSE),"")</f>
        <v>3º ANO</v>
      </c>
      <c r="F458" s="1" t="str">
        <f>IFERROR(VLOOKUP(tbEscolas[[#This Row],[COD ETPA]],tbEtapas[],3,FALSE),"")</f>
        <v>FUNDAMENTAL</v>
      </c>
      <c r="G458" s="1" t="s">
        <v>126</v>
      </c>
    </row>
    <row r="459" spans="1:7" x14ac:dyDescent="0.25">
      <c r="A459" s="25">
        <f>_xlfn.XLOOKUP(tbEscolas[[#This Row],[ESCOLA]],tbNucleo[ESCOLA],tbNucleo[COD ESCOLA],"")</f>
        <v>26</v>
      </c>
      <c r="B459" s="1" t="str" cm="1">
        <f t="array" ref="B459">IFERROR(INDEX(tbNucleo[ESCOLA],ROUNDUP(ROW(B458)/TotalEtapas,0)),"")</f>
        <v>EM 16 DE MARÇO</v>
      </c>
      <c r="C459" s="1" t="str">
        <f>IFERROR(VLOOKUP(B459,tbNucleo[],2,FALSE),"")</f>
        <v/>
      </c>
      <c r="D459" s="1" cm="1">
        <f t="array" ref="D459">IF(B459="","",INDEX(tbEtapas[Nº],MOD(ROW(B458)-1,TotalEtapas)+1))</f>
        <v>8</v>
      </c>
      <c r="E459" s="1" t="str">
        <f>IFERROR(VLOOKUP(tbEscolas[[#This Row],[COD ETPA]],tbEtapas[],2,FALSE),"")</f>
        <v>4º ANO</v>
      </c>
      <c r="F459" s="1" t="str">
        <f>IFERROR(VLOOKUP(tbEscolas[[#This Row],[COD ETPA]],tbEtapas[],3,FALSE),"")</f>
        <v>FUNDAMENTAL</v>
      </c>
      <c r="G459" s="1" t="s">
        <v>126</v>
      </c>
    </row>
    <row r="460" spans="1:7" x14ac:dyDescent="0.25">
      <c r="A460" s="25">
        <f>_xlfn.XLOOKUP(tbEscolas[[#This Row],[ESCOLA]],tbNucleo[ESCOLA],tbNucleo[COD ESCOLA],"")</f>
        <v>26</v>
      </c>
      <c r="B460" s="1" t="str" cm="1">
        <f t="array" ref="B460">IFERROR(INDEX(tbNucleo[ESCOLA],ROUNDUP(ROW(B459)/TotalEtapas,0)),"")</f>
        <v>EM 16 DE MARÇO</v>
      </c>
      <c r="C460" s="1" t="str">
        <f>IFERROR(VLOOKUP(B460,tbNucleo[],2,FALSE),"")</f>
        <v/>
      </c>
      <c r="D460" s="1" cm="1">
        <f t="array" ref="D460">IF(B460="","",INDEX(tbEtapas[Nº],MOD(ROW(B459)-1,TotalEtapas)+1))</f>
        <v>9</v>
      </c>
      <c r="E460" s="1" t="str">
        <f>IFERROR(VLOOKUP(tbEscolas[[#This Row],[COD ETPA]],tbEtapas[],2,FALSE),"")</f>
        <v>5º ANO</v>
      </c>
      <c r="F460" s="1" t="str">
        <f>IFERROR(VLOOKUP(tbEscolas[[#This Row],[COD ETPA]],tbEtapas[],3,FALSE),"")</f>
        <v>FUNDAMENTAL</v>
      </c>
      <c r="G460" s="1" t="s">
        <v>126</v>
      </c>
    </row>
    <row r="461" spans="1:7" x14ac:dyDescent="0.25">
      <c r="A461" s="25">
        <f>_xlfn.XLOOKUP(tbEscolas[[#This Row],[ESCOLA]],tbNucleo[ESCOLA],tbNucleo[COD ESCOLA],"")</f>
        <v>26</v>
      </c>
      <c r="B461" s="1" t="str" cm="1">
        <f t="array" ref="B461">IFERROR(INDEX(tbNucleo[ESCOLA],ROUNDUP(ROW(B460)/TotalEtapas,0)),"")</f>
        <v>EM 16 DE MARÇO</v>
      </c>
      <c r="C461" s="1" t="str">
        <f>IFERROR(VLOOKUP(B461,tbNucleo[],2,FALSE),"")</f>
        <v/>
      </c>
      <c r="D461" s="1" cm="1">
        <f t="array" ref="D461">IF(B461="","",INDEX(tbEtapas[Nº],MOD(ROW(B460)-1,TotalEtapas)+1))</f>
        <v>10</v>
      </c>
      <c r="E461" s="1" t="str">
        <f>IFERROR(VLOOKUP(tbEscolas[[#This Row],[COD ETPA]],tbEtapas[],2,FALSE),"")</f>
        <v>6º ANO</v>
      </c>
      <c r="F461" s="1" t="str">
        <f>IFERROR(VLOOKUP(tbEscolas[[#This Row],[COD ETPA]],tbEtapas[],3,FALSE),"")</f>
        <v>FUNDAMENTAL</v>
      </c>
      <c r="G461" s="1" t="s">
        <v>125</v>
      </c>
    </row>
    <row r="462" spans="1:7" x14ac:dyDescent="0.25">
      <c r="A462" s="25">
        <f>_xlfn.XLOOKUP(tbEscolas[[#This Row],[ESCOLA]],tbNucleo[ESCOLA],tbNucleo[COD ESCOLA],"")</f>
        <v>26</v>
      </c>
      <c r="B462" s="1" t="str" cm="1">
        <f t="array" ref="B462">IFERROR(INDEX(tbNucleo[ESCOLA],ROUNDUP(ROW(B461)/TotalEtapas,0)),"")</f>
        <v>EM 16 DE MARÇO</v>
      </c>
      <c r="C462" s="1" t="str">
        <f>IFERROR(VLOOKUP(B462,tbNucleo[],2,FALSE),"")</f>
        <v/>
      </c>
      <c r="D462" s="1" cm="1">
        <f t="array" ref="D462">IF(B462="","",INDEX(tbEtapas[Nº],MOD(ROW(B461)-1,TotalEtapas)+1))</f>
        <v>11</v>
      </c>
      <c r="E462" s="1" t="str">
        <f>IFERROR(VLOOKUP(tbEscolas[[#This Row],[COD ETPA]],tbEtapas[],2,FALSE),"")</f>
        <v>7º ANO</v>
      </c>
      <c r="F462" s="1" t="str">
        <f>IFERROR(VLOOKUP(tbEscolas[[#This Row],[COD ETPA]],tbEtapas[],3,FALSE),"")</f>
        <v>FUNDAMENTAL</v>
      </c>
      <c r="G462" s="1" t="s">
        <v>125</v>
      </c>
    </row>
    <row r="463" spans="1:7" x14ac:dyDescent="0.25">
      <c r="A463" s="25">
        <f>_xlfn.XLOOKUP(tbEscolas[[#This Row],[ESCOLA]],tbNucleo[ESCOLA],tbNucleo[COD ESCOLA],"")</f>
        <v>26</v>
      </c>
      <c r="B463" s="1" t="str" cm="1">
        <f t="array" ref="B463">IFERROR(INDEX(tbNucleo[ESCOLA],ROUNDUP(ROW(B462)/TotalEtapas,0)),"")</f>
        <v>EM 16 DE MARÇO</v>
      </c>
      <c r="C463" s="1" t="str">
        <f>IFERROR(VLOOKUP(B463,tbNucleo[],2,FALSE),"")</f>
        <v/>
      </c>
      <c r="D463" s="1" cm="1">
        <f t="array" ref="D463">IF(B463="","",INDEX(tbEtapas[Nº],MOD(ROW(B462)-1,TotalEtapas)+1))</f>
        <v>12</v>
      </c>
      <c r="E463" s="1" t="str">
        <f>IFERROR(VLOOKUP(tbEscolas[[#This Row],[COD ETPA]],tbEtapas[],2,FALSE),"")</f>
        <v>8º ANO</v>
      </c>
      <c r="F463" s="1" t="str">
        <f>IFERROR(VLOOKUP(tbEscolas[[#This Row],[COD ETPA]],tbEtapas[],3,FALSE),"")</f>
        <v>FUNDAMENTAL</v>
      </c>
      <c r="G463" s="1" t="s">
        <v>125</v>
      </c>
    </row>
    <row r="464" spans="1:7" x14ac:dyDescent="0.25">
      <c r="A464" s="25">
        <f>_xlfn.XLOOKUP(tbEscolas[[#This Row],[ESCOLA]],tbNucleo[ESCOLA],tbNucleo[COD ESCOLA],"")</f>
        <v>26</v>
      </c>
      <c r="B464" s="1" t="str" cm="1">
        <f t="array" ref="B464">IFERROR(INDEX(tbNucleo[ESCOLA],ROUNDUP(ROW(B463)/TotalEtapas,0)),"")</f>
        <v>EM 16 DE MARÇO</v>
      </c>
      <c r="C464" s="1" t="str">
        <f>IFERROR(VLOOKUP(B464,tbNucleo[],2,FALSE),"")</f>
        <v/>
      </c>
      <c r="D464" s="1" cm="1">
        <f t="array" ref="D464">IF(B464="","",INDEX(tbEtapas[Nº],MOD(ROW(B463)-1,TotalEtapas)+1))</f>
        <v>13</v>
      </c>
      <c r="E464" s="1" t="str">
        <f>IFERROR(VLOOKUP(tbEscolas[[#This Row],[COD ETPA]],tbEtapas[],2,FALSE),"")</f>
        <v>9º ANO</v>
      </c>
      <c r="F464" s="1" t="str">
        <f>IFERROR(VLOOKUP(tbEscolas[[#This Row],[COD ETPA]],tbEtapas[],3,FALSE),"")</f>
        <v>FUNDAMENTAL</v>
      </c>
      <c r="G464" s="1" t="s">
        <v>125</v>
      </c>
    </row>
    <row r="465" spans="1:7" x14ac:dyDescent="0.25">
      <c r="A465" s="25">
        <f>_xlfn.XLOOKUP(tbEscolas[[#This Row],[ESCOLA]],tbNucleo[ESCOLA],tbNucleo[COD ESCOLA],"")</f>
        <v>26</v>
      </c>
      <c r="B465" s="1" t="str" cm="1">
        <f t="array" ref="B465">IFERROR(INDEX(tbNucleo[ESCOLA],ROUNDUP(ROW(B464)/TotalEtapas,0)),"")</f>
        <v>EM 16 DE MARÇO</v>
      </c>
      <c r="C465" s="1" t="str">
        <f>IFERROR(VLOOKUP(B465,tbNucleo[],2,FALSE),"")</f>
        <v/>
      </c>
      <c r="D465" s="1" cm="1">
        <f t="array" ref="D465">IF(B465="","",INDEX(tbEtapas[Nº],MOD(ROW(B464)-1,TotalEtapas)+1))</f>
        <v>14</v>
      </c>
      <c r="E465" s="1" t="str">
        <f>IFERROR(VLOOKUP(tbEscolas[[#This Row],[COD ETPA]],tbEtapas[],2,FALSE),"")</f>
        <v>1º ANO</v>
      </c>
      <c r="F465" s="1" t="str">
        <f>IFERROR(VLOOKUP(tbEscolas[[#This Row],[COD ETPA]],tbEtapas[],3,FALSE),"")</f>
        <v>ENSINO MÉDIO</v>
      </c>
      <c r="G465" s="1" t="s">
        <v>125</v>
      </c>
    </row>
    <row r="466" spans="1:7" x14ac:dyDescent="0.25">
      <c r="A466" s="25">
        <f>_xlfn.XLOOKUP(tbEscolas[[#This Row],[ESCOLA]],tbNucleo[ESCOLA],tbNucleo[COD ESCOLA],"")</f>
        <v>26</v>
      </c>
      <c r="B466" s="1" t="str" cm="1">
        <f t="array" ref="B466">IFERROR(INDEX(tbNucleo[ESCOLA],ROUNDUP(ROW(B465)/TotalEtapas,0)),"")</f>
        <v>EM 16 DE MARÇO</v>
      </c>
      <c r="C466" s="1" t="str">
        <f>IFERROR(VLOOKUP(B466,tbNucleo[],2,FALSE),"")</f>
        <v/>
      </c>
      <c r="D466" s="1" cm="1">
        <f t="array" ref="D466">IF(B466="","",INDEX(tbEtapas[Nº],MOD(ROW(B465)-1,TotalEtapas)+1))</f>
        <v>15</v>
      </c>
      <c r="E466" s="1" t="str">
        <f>IFERROR(VLOOKUP(tbEscolas[[#This Row],[COD ETPA]],tbEtapas[],2,FALSE),"")</f>
        <v>2º ANO</v>
      </c>
      <c r="F466" s="1" t="str">
        <f>IFERROR(VLOOKUP(tbEscolas[[#This Row],[COD ETPA]],tbEtapas[],3,FALSE),"")</f>
        <v>ENSINO MÉDIO</v>
      </c>
      <c r="G466" s="1" t="s">
        <v>125</v>
      </c>
    </row>
    <row r="467" spans="1:7" x14ac:dyDescent="0.25">
      <c r="A467" s="25">
        <f>_xlfn.XLOOKUP(tbEscolas[[#This Row],[ESCOLA]],tbNucleo[ESCOLA],tbNucleo[COD ESCOLA],"")</f>
        <v>26</v>
      </c>
      <c r="B467" s="1" t="str" cm="1">
        <f t="array" ref="B467">IFERROR(INDEX(tbNucleo[ESCOLA],ROUNDUP(ROW(B466)/TotalEtapas,0)),"")</f>
        <v>EM 16 DE MARÇO</v>
      </c>
      <c r="C467" s="1" t="str">
        <f>IFERROR(VLOOKUP(B467,tbNucleo[],2,FALSE),"")</f>
        <v/>
      </c>
      <c r="D467" s="1" cm="1">
        <f t="array" ref="D467">IF(B467="","",INDEX(tbEtapas[Nº],MOD(ROW(B466)-1,TotalEtapas)+1))</f>
        <v>16</v>
      </c>
      <c r="E467" s="1" t="str">
        <f>IFERROR(VLOOKUP(tbEscolas[[#This Row],[COD ETPA]],tbEtapas[],2,FALSE),"")</f>
        <v>3º ANO</v>
      </c>
      <c r="F467" s="1" t="str">
        <f>IFERROR(VLOOKUP(tbEscolas[[#This Row],[COD ETPA]],tbEtapas[],3,FALSE),"")</f>
        <v>ENSINO MÉDIO</v>
      </c>
      <c r="G467" s="1" t="s">
        <v>125</v>
      </c>
    </row>
    <row r="468" spans="1:7" x14ac:dyDescent="0.25">
      <c r="A468" s="25">
        <f>_xlfn.XLOOKUP(tbEscolas[[#This Row],[ESCOLA]],tbNucleo[ESCOLA],tbNucleo[COD ESCOLA],"")</f>
        <v>26</v>
      </c>
      <c r="B468" s="1" t="str" cm="1">
        <f t="array" ref="B468">IFERROR(INDEX(tbNucleo[ESCOLA],ROUNDUP(ROW(B467)/TotalEtapas,0)),"")</f>
        <v>EM 16 DE MARÇO</v>
      </c>
      <c r="C468" s="1" t="str">
        <f>IFERROR(VLOOKUP(B468,tbNucleo[],2,FALSE),"")</f>
        <v/>
      </c>
      <c r="D468" s="1" cm="1">
        <f t="array" ref="D468">IF(B468="","",INDEX(tbEtapas[Nº],MOD(ROW(B467)-1,TotalEtapas)+1))</f>
        <v>17</v>
      </c>
      <c r="E468" s="1" t="str">
        <f>IFERROR(VLOOKUP(tbEscolas[[#This Row],[COD ETPA]],tbEtapas[],2,FALSE),"")</f>
        <v>EJA I</v>
      </c>
      <c r="F468" s="1" t="str">
        <f>IFERROR(VLOOKUP(tbEscolas[[#This Row],[COD ETPA]],tbEtapas[],3,FALSE),"")</f>
        <v>FUNDAMENTAL</v>
      </c>
      <c r="G468" s="1" t="s">
        <v>125</v>
      </c>
    </row>
    <row r="469" spans="1:7" x14ac:dyDescent="0.25">
      <c r="A469" s="25">
        <f>_xlfn.XLOOKUP(tbEscolas[[#This Row],[ESCOLA]],tbNucleo[ESCOLA],tbNucleo[COD ESCOLA],"")</f>
        <v>26</v>
      </c>
      <c r="B469" s="1" t="str" cm="1">
        <f t="array" ref="B469">IFERROR(INDEX(tbNucleo[ESCOLA],ROUNDUP(ROW(B468)/TotalEtapas,0)),"")</f>
        <v>EM 16 DE MARÇO</v>
      </c>
      <c r="C469" s="1" t="str">
        <f>IFERROR(VLOOKUP(B469,tbNucleo[],2,FALSE),"")</f>
        <v/>
      </c>
      <c r="D469" s="1" cm="1">
        <f t="array" ref="D469">IF(B469="","",INDEX(tbEtapas[Nº],MOD(ROW(B468)-1,TotalEtapas)+1))</f>
        <v>18</v>
      </c>
      <c r="E469" s="1" t="str">
        <f>IFERROR(VLOOKUP(tbEscolas[[#This Row],[COD ETPA]],tbEtapas[],2,FALSE),"")</f>
        <v>EJA II</v>
      </c>
      <c r="F469" s="1" t="str">
        <f>IFERROR(VLOOKUP(tbEscolas[[#This Row],[COD ETPA]],tbEtapas[],3,FALSE),"")</f>
        <v>ENSINO MÉDIO</v>
      </c>
      <c r="G469" s="1" t="s">
        <v>125</v>
      </c>
    </row>
    <row r="470" spans="1:7" x14ac:dyDescent="0.25">
      <c r="A470" s="26">
        <f>_xlfn.XLOOKUP(tbEscolas[[#This Row],[ESCOLA]],tbNucleo[ESCOLA],tbNucleo[COD ESCOLA],"")</f>
        <v>27</v>
      </c>
      <c r="B470" s="2" t="str" cm="1">
        <f t="array" ref="B470">IFERROR(INDEX(tbNucleo[ESCOLA],ROUNDUP(ROW(B469)/TotalEtapas,0)),"")</f>
        <v>EM BURITI</v>
      </c>
      <c r="C470" s="2" t="s">
        <v>111</v>
      </c>
      <c r="D470" s="2" cm="1">
        <f t="array" ref="D470">IF(B470="","",INDEX(tbEtapas[Nº],MOD(ROW(B469)-1,TotalEtapas)+1))</f>
        <v>1</v>
      </c>
      <c r="E470" s="2" t="str">
        <f>IFERROR(VLOOKUP(tbEscolas[[#This Row],[COD ETPA]],tbEtapas[],2,FALSE),"")</f>
        <v>CRECHE I</v>
      </c>
      <c r="F470" s="2" t="str">
        <f>IFERROR(VLOOKUP(tbEscolas[[#This Row],[COD ETPA]],tbEtapas[],3,FALSE),"")</f>
        <v>EDUCAÇÃO INFANTIL</v>
      </c>
      <c r="G470" s="2" t="s">
        <v>125</v>
      </c>
    </row>
    <row r="471" spans="1:7" x14ac:dyDescent="0.25">
      <c r="A471" s="26">
        <f>_xlfn.XLOOKUP(tbEscolas[[#This Row],[ESCOLA]],tbNucleo[ESCOLA],tbNucleo[COD ESCOLA],"")</f>
        <v>27</v>
      </c>
      <c r="B471" s="2" t="str" cm="1">
        <f t="array" ref="B471">IFERROR(INDEX(tbNucleo[ESCOLA],ROUNDUP(ROW(B470)/TotalEtapas,0)),"")</f>
        <v>EM BURITI</v>
      </c>
      <c r="C471" s="2" t="s">
        <v>111</v>
      </c>
      <c r="D471" s="2" cm="1">
        <f t="array" ref="D471">IF(B471="","",INDEX(tbEtapas[Nº],MOD(ROW(B470)-1,TotalEtapas)+1))</f>
        <v>2</v>
      </c>
      <c r="E471" s="2" t="str">
        <f>IFERROR(VLOOKUP(tbEscolas[[#This Row],[COD ETPA]],tbEtapas[],2,FALSE),"")</f>
        <v>CRECHE II</v>
      </c>
      <c r="F471" s="2" t="str">
        <f>IFERROR(VLOOKUP(tbEscolas[[#This Row],[COD ETPA]],tbEtapas[],3,FALSE),"")</f>
        <v>EDUCAÇÃO INFANTIL</v>
      </c>
      <c r="G471" s="2" t="s">
        <v>125</v>
      </c>
    </row>
    <row r="472" spans="1:7" x14ac:dyDescent="0.25">
      <c r="A472" s="26">
        <f>_xlfn.XLOOKUP(tbEscolas[[#This Row],[ESCOLA]],tbNucleo[ESCOLA],tbNucleo[COD ESCOLA],"")</f>
        <v>27</v>
      </c>
      <c r="B472" s="2" t="str" cm="1">
        <f t="array" ref="B472">IFERROR(INDEX(tbNucleo[ESCOLA],ROUNDUP(ROW(B471)/TotalEtapas,0)),"")</f>
        <v>EM BURITI</v>
      </c>
      <c r="C472" s="2" t="s">
        <v>111</v>
      </c>
      <c r="D472" s="2" cm="1">
        <f t="array" ref="D472">IF(B472="","",INDEX(tbEtapas[Nº],MOD(ROW(B471)-1,TotalEtapas)+1))</f>
        <v>3</v>
      </c>
      <c r="E472" s="2" t="str">
        <f>IFERROR(VLOOKUP(tbEscolas[[#This Row],[COD ETPA]],tbEtapas[],2,FALSE),"")</f>
        <v>PRE I</v>
      </c>
      <c r="F472" s="2" t="str">
        <f>IFERROR(VLOOKUP(tbEscolas[[#This Row],[COD ETPA]],tbEtapas[],3,FALSE),"")</f>
        <v>EDUCAÇÃO INFANTIL</v>
      </c>
      <c r="G472" s="2" t="s">
        <v>126</v>
      </c>
    </row>
    <row r="473" spans="1:7" x14ac:dyDescent="0.25">
      <c r="A473" s="26">
        <f>_xlfn.XLOOKUP(tbEscolas[[#This Row],[ESCOLA]],tbNucleo[ESCOLA],tbNucleo[COD ESCOLA],"")</f>
        <v>27</v>
      </c>
      <c r="B473" s="2" t="str" cm="1">
        <f t="array" ref="B473">IFERROR(INDEX(tbNucleo[ESCOLA],ROUNDUP(ROW(B472)/TotalEtapas,0)),"")</f>
        <v>EM BURITI</v>
      </c>
      <c r="C473" s="2" t="s">
        <v>111</v>
      </c>
      <c r="D473" s="2" cm="1">
        <f t="array" ref="D473">IF(B473="","",INDEX(tbEtapas[Nº],MOD(ROW(B472)-1,TotalEtapas)+1))</f>
        <v>4</v>
      </c>
      <c r="E473" s="2" t="str">
        <f>IFERROR(VLOOKUP(tbEscolas[[#This Row],[COD ETPA]],tbEtapas[],2,FALSE),"")</f>
        <v>PRE II</v>
      </c>
      <c r="F473" s="2" t="str">
        <f>IFERROR(VLOOKUP(tbEscolas[[#This Row],[COD ETPA]],tbEtapas[],3,FALSE),"")</f>
        <v>EDUCAÇÃO INFANTIL</v>
      </c>
      <c r="G473" s="2" t="s">
        <v>126</v>
      </c>
    </row>
    <row r="474" spans="1:7" x14ac:dyDescent="0.25">
      <c r="A474" s="26">
        <f>_xlfn.XLOOKUP(tbEscolas[[#This Row],[ESCOLA]],tbNucleo[ESCOLA],tbNucleo[COD ESCOLA],"")</f>
        <v>27</v>
      </c>
      <c r="B474" s="2" t="str" cm="1">
        <f t="array" ref="B474">IFERROR(INDEX(tbNucleo[ESCOLA],ROUNDUP(ROW(B473)/TotalEtapas,0)),"")</f>
        <v>EM BURITI</v>
      </c>
      <c r="C474" s="2" t="s">
        <v>111</v>
      </c>
      <c r="D474" s="2" cm="1">
        <f t="array" ref="D474">IF(B474="","",INDEX(tbEtapas[Nº],MOD(ROW(B473)-1,TotalEtapas)+1))</f>
        <v>5</v>
      </c>
      <c r="E474" s="2" t="str">
        <f>IFERROR(VLOOKUP(tbEscolas[[#This Row],[COD ETPA]],tbEtapas[],2,FALSE),"")</f>
        <v>1º ANO</v>
      </c>
      <c r="F474" s="2" t="str">
        <f>IFERROR(VLOOKUP(tbEscolas[[#This Row],[COD ETPA]],tbEtapas[],3,FALSE),"")</f>
        <v>FUNDAMENTAL</v>
      </c>
      <c r="G474" s="2" t="s">
        <v>126</v>
      </c>
    </row>
    <row r="475" spans="1:7" x14ac:dyDescent="0.25">
      <c r="A475" s="26">
        <f>_xlfn.XLOOKUP(tbEscolas[[#This Row],[ESCOLA]],tbNucleo[ESCOLA],tbNucleo[COD ESCOLA],"")</f>
        <v>27</v>
      </c>
      <c r="B475" s="2" t="str" cm="1">
        <f t="array" ref="B475">IFERROR(INDEX(tbNucleo[ESCOLA],ROUNDUP(ROW(B474)/TotalEtapas,0)),"")</f>
        <v>EM BURITI</v>
      </c>
      <c r="C475" s="2" t="s">
        <v>111</v>
      </c>
      <c r="D475" s="2" cm="1">
        <f t="array" ref="D475">IF(B475="","",INDEX(tbEtapas[Nº],MOD(ROW(B474)-1,TotalEtapas)+1))</f>
        <v>6</v>
      </c>
      <c r="E475" s="2" t="str">
        <f>IFERROR(VLOOKUP(tbEscolas[[#This Row],[COD ETPA]],tbEtapas[],2,FALSE),"")</f>
        <v>2º ANO</v>
      </c>
      <c r="F475" s="2" t="str">
        <f>IFERROR(VLOOKUP(tbEscolas[[#This Row],[COD ETPA]],tbEtapas[],3,FALSE),"")</f>
        <v>FUNDAMENTAL</v>
      </c>
      <c r="G475" s="2" t="s">
        <v>126</v>
      </c>
    </row>
    <row r="476" spans="1:7" x14ac:dyDescent="0.25">
      <c r="A476" s="26">
        <f>_xlfn.XLOOKUP(tbEscolas[[#This Row],[ESCOLA]],tbNucleo[ESCOLA],tbNucleo[COD ESCOLA],"")</f>
        <v>27</v>
      </c>
      <c r="B476" s="2" t="str" cm="1">
        <f t="array" ref="B476">IFERROR(INDEX(tbNucleo[ESCOLA],ROUNDUP(ROW(B475)/TotalEtapas,0)),"")</f>
        <v>EM BURITI</v>
      </c>
      <c r="C476" s="2" t="s">
        <v>111</v>
      </c>
      <c r="D476" s="2" cm="1">
        <f t="array" ref="D476">IF(B476="","",INDEX(tbEtapas[Nº],MOD(ROW(B475)-1,TotalEtapas)+1))</f>
        <v>7</v>
      </c>
      <c r="E476" s="2" t="str">
        <f>IFERROR(VLOOKUP(tbEscolas[[#This Row],[COD ETPA]],tbEtapas[],2,FALSE),"")</f>
        <v>3º ANO</v>
      </c>
      <c r="F476" s="2" t="str">
        <f>IFERROR(VLOOKUP(tbEscolas[[#This Row],[COD ETPA]],tbEtapas[],3,FALSE),"")</f>
        <v>FUNDAMENTAL</v>
      </c>
      <c r="G476" s="2" t="s">
        <v>126</v>
      </c>
    </row>
    <row r="477" spans="1:7" x14ac:dyDescent="0.25">
      <c r="A477" s="26">
        <f>_xlfn.XLOOKUP(tbEscolas[[#This Row],[ESCOLA]],tbNucleo[ESCOLA],tbNucleo[COD ESCOLA],"")</f>
        <v>27</v>
      </c>
      <c r="B477" s="2" t="str" cm="1">
        <f t="array" ref="B477">IFERROR(INDEX(tbNucleo[ESCOLA],ROUNDUP(ROW(B476)/TotalEtapas,0)),"")</f>
        <v>EM BURITI</v>
      </c>
      <c r="C477" s="2" t="s">
        <v>111</v>
      </c>
      <c r="D477" s="2" cm="1">
        <f t="array" ref="D477">IF(B477="","",INDEX(tbEtapas[Nº],MOD(ROW(B476)-1,TotalEtapas)+1))</f>
        <v>8</v>
      </c>
      <c r="E477" s="2" t="str">
        <f>IFERROR(VLOOKUP(tbEscolas[[#This Row],[COD ETPA]],tbEtapas[],2,FALSE),"")</f>
        <v>4º ANO</v>
      </c>
      <c r="F477" s="2" t="str">
        <f>IFERROR(VLOOKUP(tbEscolas[[#This Row],[COD ETPA]],tbEtapas[],3,FALSE),"")</f>
        <v>FUNDAMENTAL</v>
      </c>
      <c r="G477" s="2" t="s">
        <v>126</v>
      </c>
    </row>
    <row r="478" spans="1:7" x14ac:dyDescent="0.25">
      <c r="A478" s="26">
        <f>_xlfn.XLOOKUP(tbEscolas[[#This Row],[ESCOLA]],tbNucleo[ESCOLA],tbNucleo[COD ESCOLA],"")</f>
        <v>27</v>
      </c>
      <c r="B478" s="2" t="str" cm="1">
        <f t="array" ref="B478">IFERROR(INDEX(tbNucleo[ESCOLA],ROUNDUP(ROW(B477)/TotalEtapas,0)),"")</f>
        <v>EM BURITI</v>
      </c>
      <c r="C478" s="2" t="s">
        <v>111</v>
      </c>
      <c r="D478" s="2" cm="1">
        <f t="array" ref="D478">IF(B478="","",INDEX(tbEtapas[Nº],MOD(ROW(B477)-1,TotalEtapas)+1))</f>
        <v>9</v>
      </c>
      <c r="E478" s="2" t="str">
        <f>IFERROR(VLOOKUP(tbEscolas[[#This Row],[COD ETPA]],tbEtapas[],2,FALSE),"")</f>
        <v>5º ANO</v>
      </c>
      <c r="F478" s="2" t="str">
        <f>IFERROR(VLOOKUP(tbEscolas[[#This Row],[COD ETPA]],tbEtapas[],3,FALSE),"")</f>
        <v>FUNDAMENTAL</v>
      </c>
      <c r="G478" s="2" t="s">
        <v>126</v>
      </c>
    </row>
    <row r="479" spans="1:7" x14ac:dyDescent="0.25">
      <c r="A479" s="26">
        <f>_xlfn.XLOOKUP(tbEscolas[[#This Row],[ESCOLA]],tbNucleo[ESCOLA],tbNucleo[COD ESCOLA],"")</f>
        <v>27</v>
      </c>
      <c r="B479" s="2" t="str" cm="1">
        <f t="array" ref="B479">IFERROR(INDEX(tbNucleo[ESCOLA],ROUNDUP(ROW(B478)/TotalEtapas,0)),"")</f>
        <v>EM BURITI</v>
      </c>
      <c r="C479" s="2" t="s">
        <v>111</v>
      </c>
      <c r="D479" s="2" cm="1">
        <f t="array" ref="D479">IF(B479="","",INDEX(tbEtapas[Nº],MOD(ROW(B478)-1,TotalEtapas)+1))</f>
        <v>10</v>
      </c>
      <c r="E479" s="2" t="str">
        <f>IFERROR(VLOOKUP(tbEscolas[[#This Row],[COD ETPA]],tbEtapas[],2,FALSE),"")</f>
        <v>6º ANO</v>
      </c>
      <c r="F479" s="2" t="str">
        <f>IFERROR(VLOOKUP(tbEscolas[[#This Row],[COD ETPA]],tbEtapas[],3,FALSE),"")</f>
        <v>FUNDAMENTAL</v>
      </c>
      <c r="G479" s="2" t="s">
        <v>125</v>
      </c>
    </row>
    <row r="480" spans="1:7" x14ac:dyDescent="0.25">
      <c r="A480" s="26">
        <f>_xlfn.XLOOKUP(tbEscolas[[#This Row],[ESCOLA]],tbNucleo[ESCOLA],tbNucleo[COD ESCOLA],"")</f>
        <v>27</v>
      </c>
      <c r="B480" s="2" t="str" cm="1">
        <f t="array" ref="B480">IFERROR(INDEX(tbNucleo[ESCOLA],ROUNDUP(ROW(B479)/TotalEtapas,0)),"")</f>
        <v>EM BURITI</v>
      </c>
      <c r="C480" s="2" t="s">
        <v>111</v>
      </c>
      <c r="D480" s="2" cm="1">
        <f t="array" ref="D480">IF(B480="","",INDEX(tbEtapas[Nº],MOD(ROW(B479)-1,TotalEtapas)+1))</f>
        <v>11</v>
      </c>
      <c r="E480" s="2" t="str">
        <f>IFERROR(VLOOKUP(tbEscolas[[#This Row],[COD ETPA]],tbEtapas[],2,FALSE),"")</f>
        <v>7º ANO</v>
      </c>
      <c r="F480" s="2" t="str">
        <f>IFERROR(VLOOKUP(tbEscolas[[#This Row],[COD ETPA]],tbEtapas[],3,FALSE),"")</f>
        <v>FUNDAMENTAL</v>
      </c>
      <c r="G480" s="2" t="s">
        <v>125</v>
      </c>
    </row>
    <row r="481" spans="1:7" x14ac:dyDescent="0.25">
      <c r="A481" s="26">
        <f>_xlfn.XLOOKUP(tbEscolas[[#This Row],[ESCOLA]],tbNucleo[ESCOLA],tbNucleo[COD ESCOLA],"")</f>
        <v>27</v>
      </c>
      <c r="B481" s="2" t="str" cm="1">
        <f t="array" ref="B481">IFERROR(INDEX(tbNucleo[ESCOLA],ROUNDUP(ROW(B480)/TotalEtapas,0)),"")</f>
        <v>EM BURITI</v>
      </c>
      <c r="C481" s="2" t="s">
        <v>111</v>
      </c>
      <c r="D481" s="2" cm="1">
        <f t="array" ref="D481">IF(B481="","",INDEX(tbEtapas[Nº],MOD(ROW(B480)-1,TotalEtapas)+1))</f>
        <v>12</v>
      </c>
      <c r="E481" s="2" t="str">
        <f>IFERROR(VLOOKUP(tbEscolas[[#This Row],[COD ETPA]],tbEtapas[],2,FALSE),"")</f>
        <v>8º ANO</v>
      </c>
      <c r="F481" s="2" t="str">
        <f>IFERROR(VLOOKUP(tbEscolas[[#This Row],[COD ETPA]],tbEtapas[],3,FALSE),"")</f>
        <v>FUNDAMENTAL</v>
      </c>
      <c r="G481" s="2" t="s">
        <v>125</v>
      </c>
    </row>
    <row r="482" spans="1:7" x14ac:dyDescent="0.25">
      <c r="A482" s="26">
        <f>_xlfn.XLOOKUP(tbEscolas[[#This Row],[ESCOLA]],tbNucleo[ESCOLA],tbNucleo[COD ESCOLA],"")</f>
        <v>27</v>
      </c>
      <c r="B482" s="2" t="str" cm="1">
        <f t="array" ref="B482">IFERROR(INDEX(tbNucleo[ESCOLA],ROUNDUP(ROW(B481)/TotalEtapas,0)),"")</f>
        <v>EM BURITI</v>
      </c>
      <c r="C482" s="2" t="s">
        <v>111</v>
      </c>
      <c r="D482" s="2" cm="1">
        <f t="array" ref="D482">IF(B482="","",INDEX(tbEtapas[Nº],MOD(ROW(B481)-1,TotalEtapas)+1))</f>
        <v>13</v>
      </c>
      <c r="E482" s="2" t="str">
        <f>IFERROR(VLOOKUP(tbEscolas[[#This Row],[COD ETPA]],tbEtapas[],2,FALSE),"")</f>
        <v>9º ANO</v>
      </c>
      <c r="F482" s="2" t="str">
        <f>IFERROR(VLOOKUP(tbEscolas[[#This Row],[COD ETPA]],tbEtapas[],3,FALSE),"")</f>
        <v>FUNDAMENTAL</v>
      </c>
      <c r="G482" s="2" t="s">
        <v>125</v>
      </c>
    </row>
    <row r="483" spans="1:7" x14ac:dyDescent="0.25">
      <c r="A483" s="26">
        <f>_xlfn.XLOOKUP(tbEscolas[[#This Row],[ESCOLA]],tbNucleo[ESCOLA],tbNucleo[COD ESCOLA],"")</f>
        <v>27</v>
      </c>
      <c r="B483" s="2" t="str" cm="1">
        <f t="array" ref="B483">IFERROR(INDEX(tbNucleo[ESCOLA],ROUNDUP(ROW(B482)/TotalEtapas,0)),"")</f>
        <v>EM BURITI</v>
      </c>
      <c r="C483" s="2" t="s">
        <v>111</v>
      </c>
      <c r="D483" s="2" cm="1">
        <f t="array" ref="D483">IF(B483="","",INDEX(tbEtapas[Nº],MOD(ROW(B482)-1,TotalEtapas)+1))</f>
        <v>14</v>
      </c>
      <c r="E483" s="2" t="str">
        <f>IFERROR(VLOOKUP(tbEscolas[[#This Row],[COD ETPA]],tbEtapas[],2,FALSE),"")</f>
        <v>1º ANO</v>
      </c>
      <c r="F483" s="2" t="str">
        <f>IFERROR(VLOOKUP(tbEscolas[[#This Row],[COD ETPA]],tbEtapas[],3,FALSE),"")</f>
        <v>ENSINO MÉDIO</v>
      </c>
      <c r="G483" s="2" t="s">
        <v>125</v>
      </c>
    </row>
    <row r="484" spans="1:7" x14ac:dyDescent="0.25">
      <c r="A484" s="26">
        <f>_xlfn.XLOOKUP(tbEscolas[[#This Row],[ESCOLA]],tbNucleo[ESCOLA],tbNucleo[COD ESCOLA],"")</f>
        <v>27</v>
      </c>
      <c r="B484" s="2" t="str" cm="1">
        <f t="array" ref="B484">IFERROR(INDEX(tbNucleo[ESCOLA],ROUNDUP(ROW(B483)/TotalEtapas,0)),"")</f>
        <v>EM BURITI</v>
      </c>
      <c r="C484" s="2" t="s">
        <v>111</v>
      </c>
      <c r="D484" s="2" cm="1">
        <f t="array" ref="D484">IF(B484="","",INDEX(tbEtapas[Nº],MOD(ROW(B483)-1,TotalEtapas)+1))</f>
        <v>15</v>
      </c>
      <c r="E484" s="2" t="str">
        <f>IFERROR(VLOOKUP(tbEscolas[[#This Row],[COD ETPA]],tbEtapas[],2,FALSE),"")</f>
        <v>2º ANO</v>
      </c>
      <c r="F484" s="2" t="str">
        <f>IFERROR(VLOOKUP(tbEscolas[[#This Row],[COD ETPA]],tbEtapas[],3,FALSE),"")</f>
        <v>ENSINO MÉDIO</v>
      </c>
      <c r="G484" s="2" t="s">
        <v>125</v>
      </c>
    </row>
    <row r="485" spans="1:7" x14ac:dyDescent="0.25">
      <c r="A485" s="26">
        <f>_xlfn.XLOOKUP(tbEscolas[[#This Row],[ESCOLA]],tbNucleo[ESCOLA],tbNucleo[COD ESCOLA],"")</f>
        <v>27</v>
      </c>
      <c r="B485" s="2" t="str" cm="1">
        <f t="array" ref="B485">IFERROR(INDEX(tbNucleo[ESCOLA],ROUNDUP(ROW(B484)/TotalEtapas,0)),"")</f>
        <v>EM BURITI</v>
      </c>
      <c r="C485" s="2" t="s">
        <v>111</v>
      </c>
      <c r="D485" s="2" cm="1">
        <f t="array" ref="D485">IF(B485="","",INDEX(tbEtapas[Nº],MOD(ROW(B484)-1,TotalEtapas)+1))</f>
        <v>16</v>
      </c>
      <c r="E485" s="2" t="str">
        <f>IFERROR(VLOOKUP(tbEscolas[[#This Row],[COD ETPA]],tbEtapas[],2,FALSE),"")</f>
        <v>3º ANO</v>
      </c>
      <c r="F485" s="2" t="str">
        <f>IFERROR(VLOOKUP(tbEscolas[[#This Row],[COD ETPA]],tbEtapas[],3,FALSE),"")</f>
        <v>ENSINO MÉDIO</v>
      </c>
      <c r="G485" s="2" t="s">
        <v>125</v>
      </c>
    </row>
    <row r="486" spans="1:7" x14ac:dyDescent="0.25">
      <c r="A486" s="26">
        <f>_xlfn.XLOOKUP(tbEscolas[[#This Row],[ESCOLA]],tbNucleo[ESCOLA],tbNucleo[COD ESCOLA],"")</f>
        <v>27</v>
      </c>
      <c r="B486" s="2" t="str" cm="1">
        <f t="array" ref="B486">IFERROR(INDEX(tbNucleo[ESCOLA],ROUNDUP(ROW(B485)/TotalEtapas,0)),"")</f>
        <v>EM BURITI</v>
      </c>
      <c r="C486" s="2" t="s">
        <v>111</v>
      </c>
      <c r="D486" s="2" cm="1">
        <f t="array" ref="D486">IF(B486="","",INDEX(tbEtapas[Nº],MOD(ROW(B485)-1,TotalEtapas)+1))</f>
        <v>17</v>
      </c>
      <c r="E486" s="2" t="str">
        <f>IFERROR(VLOOKUP(tbEscolas[[#This Row],[COD ETPA]],tbEtapas[],2,FALSE),"")</f>
        <v>EJA I</v>
      </c>
      <c r="F486" s="2" t="str">
        <f>IFERROR(VLOOKUP(tbEscolas[[#This Row],[COD ETPA]],tbEtapas[],3,FALSE),"")</f>
        <v>FUNDAMENTAL</v>
      </c>
      <c r="G486" s="2" t="s">
        <v>125</v>
      </c>
    </row>
    <row r="487" spans="1:7" x14ac:dyDescent="0.25">
      <c r="A487" s="26">
        <f>_xlfn.XLOOKUP(tbEscolas[[#This Row],[ESCOLA]],tbNucleo[ESCOLA],tbNucleo[COD ESCOLA],"")</f>
        <v>27</v>
      </c>
      <c r="B487" s="2" t="str" cm="1">
        <f t="array" ref="B487">IFERROR(INDEX(tbNucleo[ESCOLA],ROUNDUP(ROW(B486)/TotalEtapas,0)),"")</f>
        <v>EM BURITI</v>
      </c>
      <c r="C487" s="2" t="s">
        <v>111</v>
      </c>
      <c r="D487" s="2" cm="1">
        <f t="array" ref="D487">IF(B487="","",INDEX(tbEtapas[Nº],MOD(ROW(B486)-1,TotalEtapas)+1))</f>
        <v>18</v>
      </c>
      <c r="E487" s="2" t="str">
        <f>IFERROR(VLOOKUP(tbEscolas[[#This Row],[COD ETPA]],tbEtapas[],2,FALSE),"")</f>
        <v>EJA II</v>
      </c>
      <c r="F487" s="2" t="str">
        <f>IFERROR(VLOOKUP(tbEscolas[[#This Row],[COD ETPA]],tbEtapas[],3,FALSE),"")</f>
        <v>ENSINO MÉDIO</v>
      </c>
      <c r="G487" s="2" t="s">
        <v>125</v>
      </c>
    </row>
    <row r="488" spans="1:7" x14ac:dyDescent="0.25">
      <c r="A488" s="27">
        <f>_xlfn.XLOOKUP(tbEscolas[[#This Row],[ESCOLA]],tbNucleo[ESCOLA],tbNucleo[COD ESCOLA],"")</f>
        <v>28</v>
      </c>
      <c r="B488" s="3" t="str" cm="1">
        <f t="array" ref="B488">IFERROR(INDEX(tbNucleo[ESCOLA],ROUNDUP(ROW(B487)/TotalEtapas,0)),"")</f>
        <v xml:space="preserve">EM CAIC </v>
      </c>
      <c r="C488" s="3" t="s">
        <v>110</v>
      </c>
      <c r="D488" s="3" cm="1">
        <f t="array" ref="D488">IF(B488="","",INDEX(tbEtapas[Nº],MOD(ROW(B487)-1,TotalEtapas)+1))</f>
        <v>1</v>
      </c>
      <c r="E488" s="3" t="str">
        <f>IFERROR(VLOOKUP(tbEscolas[[#This Row],[COD ETPA]],tbEtapas[],2,FALSE),"")</f>
        <v>CRECHE I</v>
      </c>
      <c r="F488" s="3" t="str">
        <f>IFERROR(VLOOKUP(tbEscolas[[#This Row],[COD ETPA]],tbEtapas[],3,FALSE),"")</f>
        <v>EDUCAÇÃO INFANTIL</v>
      </c>
      <c r="G488" s="3" t="s">
        <v>125</v>
      </c>
    </row>
    <row r="489" spans="1:7" x14ac:dyDescent="0.25">
      <c r="A489" s="27">
        <f>_xlfn.XLOOKUP(tbEscolas[[#This Row],[ESCOLA]],tbNucleo[ESCOLA],tbNucleo[COD ESCOLA],"")</f>
        <v>28</v>
      </c>
      <c r="B489" s="3" t="str" cm="1">
        <f t="array" ref="B489">IFERROR(INDEX(tbNucleo[ESCOLA],ROUNDUP(ROW(B488)/TotalEtapas,0)),"")</f>
        <v xml:space="preserve">EM CAIC </v>
      </c>
      <c r="C489" s="3" t="s">
        <v>110</v>
      </c>
      <c r="D489" s="3" cm="1">
        <f t="array" ref="D489">IF(B489="","",INDEX(tbEtapas[Nº],MOD(ROW(B488)-1,TotalEtapas)+1))</f>
        <v>2</v>
      </c>
      <c r="E489" s="3" t="str">
        <f>IFERROR(VLOOKUP(tbEscolas[[#This Row],[COD ETPA]],tbEtapas[],2,FALSE),"")</f>
        <v>CRECHE II</v>
      </c>
      <c r="F489" s="3" t="str">
        <f>IFERROR(VLOOKUP(tbEscolas[[#This Row],[COD ETPA]],tbEtapas[],3,FALSE),"")</f>
        <v>EDUCAÇÃO INFANTIL</v>
      </c>
      <c r="G489" s="3" t="s">
        <v>125</v>
      </c>
    </row>
    <row r="490" spans="1:7" x14ac:dyDescent="0.25">
      <c r="A490" s="27">
        <f>_xlfn.XLOOKUP(tbEscolas[[#This Row],[ESCOLA]],tbNucleo[ESCOLA],tbNucleo[COD ESCOLA],"")</f>
        <v>28</v>
      </c>
      <c r="B490" s="3" t="str" cm="1">
        <f t="array" ref="B490">IFERROR(INDEX(tbNucleo[ESCOLA],ROUNDUP(ROW(B489)/TotalEtapas,0)),"")</f>
        <v xml:space="preserve">EM CAIC </v>
      </c>
      <c r="C490" s="3" t="s">
        <v>110</v>
      </c>
      <c r="D490" s="3" cm="1">
        <f t="array" ref="D490">IF(B490="","",INDEX(tbEtapas[Nº],MOD(ROW(B489)-1,TotalEtapas)+1))</f>
        <v>3</v>
      </c>
      <c r="E490" s="3" t="str">
        <f>IFERROR(VLOOKUP(tbEscolas[[#This Row],[COD ETPA]],tbEtapas[],2,FALSE),"")</f>
        <v>PRE I</v>
      </c>
      <c r="F490" s="3" t="str">
        <f>IFERROR(VLOOKUP(tbEscolas[[#This Row],[COD ETPA]],tbEtapas[],3,FALSE),"")</f>
        <v>EDUCAÇÃO INFANTIL</v>
      </c>
      <c r="G490" s="3" t="s">
        <v>126</v>
      </c>
    </row>
    <row r="491" spans="1:7" x14ac:dyDescent="0.25">
      <c r="A491" s="27">
        <f>_xlfn.XLOOKUP(tbEscolas[[#This Row],[ESCOLA]],tbNucleo[ESCOLA],tbNucleo[COD ESCOLA],"")</f>
        <v>28</v>
      </c>
      <c r="B491" s="3" t="str" cm="1">
        <f t="array" ref="B491">IFERROR(INDEX(tbNucleo[ESCOLA],ROUNDUP(ROW(B490)/TotalEtapas,0)),"")</f>
        <v xml:space="preserve">EM CAIC </v>
      </c>
      <c r="C491" s="3" t="s">
        <v>110</v>
      </c>
      <c r="D491" s="3" cm="1">
        <f t="array" ref="D491">IF(B491="","",INDEX(tbEtapas[Nº],MOD(ROW(B490)-1,TotalEtapas)+1))</f>
        <v>4</v>
      </c>
      <c r="E491" s="3" t="str">
        <f>IFERROR(VLOOKUP(tbEscolas[[#This Row],[COD ETPA]],tbEtapas[],2,FALSE),"")</f>
        <v>PRE II</v>
      </c>
      <c r="F491" s="3" t="str">
        <f>IFERROR(VLOOKUP(tbEscolas[[#This Row],[COD ETPA]],tbEtapas[],3,FALSE),"")</f>
        <v>EDUCAÇÃO INFANTIL</v>
      </c>
      <c r="G491" s="3" t="s">
        <v>126</v>
      </c>
    </row>
    <row r="492" spans="1:7" x14ac:dyDescent="0.25">
      <c r="A492" s="27">
        <f>_xlfn.XLOOKUP(tbEscolas[[#This Row],[ESCOLA]],tbNucleo[ESCOLA],tbNucleo[COD ESCOLA],"")</f>
        <v>28</v>
      </c>
      <c r="B492" s="3" t="str" cm="1">
        <f t="array" ref="B492">IFERROR(INDEX(tbNucleo[ESCOLA],ROUNDUP(ROW(B491)/TotalEtapas,0)),"")</f>
        <v xml:space="preserve">EM CAIC </v>
      </c>
      <c r="C492" s="3" t="s">
        <v>110</v>
      </c>
      <c r="D492" s="3" cm="1">
        <f t="array" ref="D492">IF(B492="","",INDEX(tbEtapas[Nº],MOD(ROW(B491)-1,TotalEtapas)+1))</f>
        <v>5</v>
      </c>
      <c r="E492" s="3" t="str">
        <f>IFERROR(VLOOKUP(tbEscolas[[#This Row],[COD ETPA]],tbEtapas[],2,FALSE),"")</f>
        <v>1º ANO</v>
      </c>
      <c r="F492" s="3" t="str">
        <f>IFERROR(VLOOKUP(tbEscolas[[#This Row],[COD ETPA]],tbEtapas[],3,FALSE),"")</f>
        <v>FUNDAMENTAL</v>
      </c>
      <c r="G492" s="3" t="s">
        <v>126</v>
      </c>
    </row>
    <row r="493" spans="1:7" x14ac:dyDescent="0.25">
      <c r="A493" s="27">
        <f>_xlfn.XLOOKUP(tbEscolas[[#This Row],[ESCOLA]],tbNucleo[ESCOLA],tbNucleo[COD ESCOLA],"")</f>
        <v>28</v>
      </c>
      <c r="B493" s="3" t="str" cm="1">
        <f t="array" ref="B493">IFERROR(INDEX(tbNucleo[ESCOLA],ROUNDUP(ROW(B492)/TotalEtapas,0)),"")</f>
        <v xml:space="preserve">EM CAIC </v>
      </c>
      <c r="C493" s="3" t="s">
        <v>110</v>
      </c>
      <c r="D493" s="3" cm="1">
        <f t="array" ref="D493">IF(B493="","",INDEX(tbEtapas[Nº],MOD(ROW(B492)-1,TotalEtapas)+1))</f>
        <v>6</v>
      </c>
      <c r="E493" s="3" t="str">
        <f>IFERROR(VLOOKUP(tbEscolas[[#This Row],[COD ETPA]],tbEtapas[],2,FALSE),"")</f>
        <v>2º ANO</v>
      </c>
      <c r="F493" s="3" t="str">
        <f>IFERROR(VLOOKUP(tbEscolas[[#This Row],[COD ETPA]],tbEtapas[],3,FALSE),"")</f>
        <v>FUNDAMENTAL</v>
      </c>
      <c r="G493" s="3" t="s">
        <v>126</v>
      </c>
    </row>
    <row r="494" spans="1:7" x14ac:dyDescent="0.25">
      <c r="A494" s="27">
        <f>_xlfn.XLOOKUP(tbEscolas[[#This Row],[ESCOLA]],tbNucleo[ESCOLA],tbNucleo[COD ESCOLA],"")</f>
        <v>28</v>
      </c>
      <c r="B494" s="3" t="str" cm="1">
        <f t="array" ref="B494">IFERROR(INDEX(tbNucleo[ESCOLA],ROUNDUP(ROW(B493)/TotalEtapas,0)),"")</f>
        <v xml:space="preserve">EM CAIC </v>
      </c>
      <c r="C494" s="3" t="s">
        <v>110</v>
      </c>
      <c r="D494" s="3" cm="1">
        <f t="array" ref="D494">IF(B494="","",INDEX(tbEtapas[Nº],MOD(ROW(B493)-1,TotalEtapas)+1))</f>
        <v>7</v>
      </c>
      <c r="E494" s="3" t="str">
        <f>IFERROR(VLOOKUP(tbEscolas[[#This Row],[COD ETPA]],tbEtapas[],2,FALSE),"")</f>
        <v>3º ANO</v>
      </c>
      <c r="F494" s="3" t="str">
        <f>IFERROR(VLOOKUP(tbEscolas[[#This Row],[COD ETPA]],tbEtapas[],3,FALSE),"")</f>
        <v>FUNDAMENTAL</v>
      </c>
      <c r="G494" s="3" t="s">
        <v>126</v>
      </c>
    </row>
    <row r="495" spans="1:7" x14ac:dyDescent="0.25">
      <c r="A495" s="27">
        <f>_xlfn.XLOOKUP(tbEscolas[[#This Row],[ESCOLA]],tbNucleo[ESCOLA],tbNucleo[COD ESCOLA],"")</f>
        <v>28</v>
      </c>
      <c r="B495" s="3" t="str" cm="1">
        <f t="array" ref="B495">IFERROR(INDEX(tbNucleo[ESCOLA],ROUNDUP(ROW(B494)/TotalEtapas,0)),"")</f>
        <v xml:space="preserve">EM CAIC </v>
      </c>
      <c r="C495" s="3" t="s">
        <v>110</v>
      </c>
      <c r="D495" s="3" cm="1">
        <f t="array" ref="D495">IF(B495="","",INDEX(tbEtapas[Nº],MOD(ROW(B494)-1,TotalEtapas)+1))</f>
        <v>8</v>
      </c>
      <c r="E495" s="3" t="str">
        <f>IFERROR(VLOOKUP(tbEscolas[[#This Row],[COD ETPA]],tbEtapas[],2,FALSE),"")</f>
        <v>4º ANO</v>
      </c>
      <c r="F495" s="3" t="str">
        <f>IFERROR(VLOOKUP(tbEscolas[[#This Row],[COD ETPA]],tbEtapas[],3,FALSE),"")</f>
        <v>FUNDAMENTAL</v>
      </c>
      <c r="G495" s="3" t="s">
        <v>126</v>
      </c>
    </row>
    <row r="496" spans="1:7" x14ac:dyDescent="0.25">
      <c r="A496" s="27">
        <f>_xlfn.XLOOKUP(tbEscolas[[#This Row],[ESCOLA]],tbNucleo[ESCOLA],tbNucleo[COD ESCOLA],"")</f>
        <v>28</v>
      </c>
      <c r="B496" s="3" t="str" cm="1">
        <f t="array" ref="B496">IFERROR(INDEX(tbNucleo[ESCOLA],ROUNDUP(ROW(B495)/TotalEtapas,0)),"")</f>
        <v xml:space="preserve">EM CAIC </v>
      </c>
      <c r="C496" s="3" t="s">
        <v>110</v>
      </c>
      <c r="D496" s="3" cm="1">
        <f t="array" ref="D496">IF(B496="","",INDEX(tbEtapas[Nº],MOD(ROW(B495)-1,TotalEtapas)+1))</f>
        <v>9</v>
      </c>
      <c r="E496" s="3" t="str">
        <f>IFERROR(VLOOKUP(tbEscolas[[#This Row],[COD ETPA]],tbEtapas[],2,FALSE),"")</f>
        <v>5º ANO</v>
      </c>
      <c r="F496" s="3" t="str">
        <f>IFERROR(VLOOKUP(tbEscolas[[#This Row],[COD ETPA]],tbEtapas[],3,FALSE),"")</f>
        <v>FUNDAMENTAL</v>
      </c>
      <c r="G496" s="3" t="s">
        <v>126</v>
      </c>
    </row>
    <row r="497" spans="1:7" x14ac:dyDescent="0.25">
      <c r="A497" s="27">
        <f>_xlfn.XLOOKUP(tbEscolas[[#This Row],[ESCOLA]],tbNucleo[ESCOLA],tbNucleo[COD ESCOLA],"")</f>
        <v>28</v>
      </c>
      <c r="B497" s="3" t="str" cm="1">
        <f t="array" ref="B497">IFERROR(INDEX(tbNucleo[ESCOLA],ROUNDUP(ROW(B496)/TotalEtapas,0)),"")</f>
        <v xml:space="preserve">EM CAIC </v>
      </c>
      <c r="C497" s="3" t="s">
        <v>110</v>
      </c>
      <c r="D497" s="3" cm="1">
        <f t="array" ref="D497">IF(B497="","",INDEX(tbEtapas[Nº],MOD(ROW(B496)-1,TotalEtapas)+1))</f>
        <v>10</v>
      </c>
      <c r="E497" s="3" t="str">
        <f>IFERROR(VLOOKUP(tbEscolas[[#This Row],[COD ETPA]],tbEtapas[],2,FALSE),"")</f>
        <v>6º ANO</v>
      </c>
      <c r="F497" s="3" t="str">
        <f>IFERROR(VLOOKUP(tbEscolas[[#This Row],[COD ETPA]],tbEtapas[],3,FALSE),"")</f>
        <v>FUNDAMENTAL</v>
      </c>
      <c r="G497" s="3" t="s">
        <v>125</v>
      </c>
    </row>
    <row r="498" spans="1:7" x14ac:dyDescent="0.25">
      <c r="A498" s="27">
        <f>_xlfn.XLOOKUP(tbEscolas[[#This Row],[ESCOLA]],tbNucleo[ESCOLA],tbNucleo[COD ESCOLA],"")</f>
        <v>28</v>
      </c>
      <c r="B498" s="3" t="str" cm="1">
        <f t="array" ref="B498">IFERROR(INDEX(tbNucleo[ESCOLA],ROUNDUP(ROW(B497)/TotalEtapas,0)),"")</f>
        <v xml:space="preserve">EM CAIC </v>
      </c>
      <c r="C498" s="3" t="s">
        <v>110</v>
      </c>
      <c r="D498" s="3" cm="1">
        <f t="array" ref="D498">IF(B498="","",INDEX(tbEtapas[Nº],MOD(ROW(B497)-1,TotalEtapas)+1))</f>
        <v>11</v>
      </c>
      <c r="E498" s="3" t="str">
        <f>IFERROR(VLOOKUP(tbEscolas[[#This Row],[COD ETPA]],tbEtapas[],2,FALSE),"")</f>
        <v>7º ANO</v>
      </c>
      <c r="F498" s="3" t="str">
        <f>IFERROR(VLOOKUP(tbEscolas[[#This Row],[COD ETPA]],tbEtapas[],3,FALSE),"")</f>
        <v>FUNDAMENTAL</v>
      </c>
      <c r="G498" s="3" t="s">
        <v>125</v>
      </c>
    </row>
    <row r="499" spans="1:7" x14ac:dyDescent="0.25">
      <c r="A499" s="27">
        <f>_xlfn.XLOOKUP(tbEscolas[[#This Row],[ESCOLA]],tbNucleo[ESCOLA],tbNucleo[COD ESCOLA],"")</f>
        <v>28</v>
      </c>
      <c r="B499" s="3" t="str" cm="1">
        <f t="array" ref="B499">IFERROR(INDEX(tbNucleo[ESCOLA],ROUNDUP(ROW(B498)/TotalEtapas,0)),"")</f>
        <v xml:space="preserve">EM CAIC </v>
      </c>
      <c r="C499" s="3" t="s">
        <v>110</v>
      </c>
      <c r="D499" s="3" cm="1">
        <f t="array" ref="D499">IF(B499="","",INDEX(tbEtapas[Nº],MOD(ROW(B498)-1,TotalEtapas)+1))</f>
        <v>12</v>
      </c>
      <c r="E499" s="3" t="str">
        <f>IFERROR(VLOOKUP(tbEscolas[[#This Row],[COD ETPA]],tbEtapas[],2,FALSE),"")</f>
        <v>8º ANO</v>
      </c>
      <c r="F499" s="3" t="str">
        <f>IFERROR(VLOOKUP(tbEscolas[[#This Row],[COD ETPA]],tbEtapas[],3,FALSE),"")</f>
        <v>FUNDAMENTAL</v>
      </c>
      <c r="G499" s="3" t="s">
        <v>125</v>
      </c>
    </row>
    <row r="500" spans="1:7" x14ac:dyDescent="0.25">
      <c r="A500" s="27">
        <f>_xlfn.XLOOKUP(tbEscolas[[#This Row],[ESCOLA]],tbNucleo[ESCOLA],tbNucleo[COD ESCOLA],"")</f>
        <v>28</v>
      </c>
      <c r="B500" s="3" t="str" cm="1">
        <f t="array" ref="B500">IFERROR(INDEX(tbNucleo[ESCOLA],ROUNDUP(ROW(B499)/TotalEtapas,0)),"")</f>
        <v xml:space="preserve">EM CAIC </v>
      </c>
      <c r="C500" s="3" t="s">
        <v>110</v>
      </c>
      <c r="D500" s="3" cm="1">
        <f t="array" ref="D500">IF(B500="","",INDEX(tbEtapas[Nº],MOD(ROW(B499)-1,TotalEtapas)+1))</f>
        <v>13</v>
      </c>
      <c r="E500" s="3" t="str">
        <f>IFERROR(VLOOKUP(tbEscolas[[#This Row],[COD ETPA]],tbEtapas[],2,FALSE),"")</f>
        <v>9º ANO</v>
      </c>
      <c r="F500" s="3" t="str">
        <f>IFERROR(VLOOKUP(tbEscolas[[#This Row],[COD ETPA]],tbEtapas[],3,FALSE),"")</f>
        <v>FUNDAMENTAL</v>
      </c>
      <c r="G500" s="3" t="s">
        <v>125</v>
      </c>
    </row>
    <row r="501" spans="1:7" x14ac:dyDescent="0.25">
      <c r="A501" s="27">
        <f>_xlfn.XLOOKUP(tbEscolas[[#This Row],[ESCOLA]],tbNucleo[ESCOLA],tbNucleo[COD ESCOLA],"")</f>
        <v>28</v>
      </c>
      <c r="B501" s="3" t="str" cm="1">
        <f t="array" ref="B501">IFERROR(INDEX(tbNucleo[ESCOLA],ROUNDUP(ROW(B500)/TotalEtapas,0)),"")</f>
        <v xml:space="preserve">EM CAIC </v>
      </c>
      <c r="C501" s="3" t="s">
        <v>110</v>
      </c>
      <c r="D501" s="3">
        <v>14</v>
      </c>
      <c r="E501" s="3" t="str">
        <f>IFERROR(VLOOKUP(tbEscolas[[#This Row],[COD ETPA]],tbEtapas[],2,FALSE),"")</f>
        <v>1º ANO</v>
      </c>
      <c r="F501" s="3" t="str">
        <f>IFERROR(VLOOKUP(tbEscolas[[#This Row],[COD ETPA]],tbEtapas[],3,FALSE),"")</f>
        <v>ENSINO MÉDIO</v>
      </c>
      <c r="G501" s="3" t="s">
        <v>125</v>
      </c>
    </row>
    <row r="502" spans="1:7" x14ac:dyDescent="0.25">
      <c r="A502" s="27">
        <f>_xlfn.XLOOKUP(tbEscolas[[#This Row],[ESCOLA]],tbNucleo[ESCOLA],tbNucleo[COD ESCOLA],"")</f>
        <v>28</v>
      </c>
      <c r="B502" s="3" t="str" cm="1">
        <f t="array" ref="B502">IFERROR(INDEX(tbNucleo[ESCOLA],ROUNDUP(ROW(B501)/TotalEtapas,0)),"")</f>
        <v xml:space="preserve">EM CAIC </v>
      </c>
      <c r="C502" s="3" t="s">
        <v>110</v>
      </c>
      <c r="D502" s="3">
        <v>15</v>
      </c>
      <c r="E502" s="3" t="str">
        <f>IFERROR(VLOOKUP(tbEscolas[[#This Row],[COD ETPA]],tbEtapas[],2,FALSE),"")</f>
        <v>2º ANO</v>
      </c>
      <c r="F502" s="3" t="str">
        <f>IFERROR(VLOOKUP(tbEscolas[[#This Row],[COD ETPA]],tbEtapas[],3,FALSE),"")</f>
        <v>ENSINO MÉDIO</v>
      </c>
      <c r="G502" s="3" t="s">
        <v>125</v>
      </c>
    </row>
    <row r="503" spans="1:7" x14ac:dyDescent="0.25">
      <c r="A503" s="27">
        <f>_xlfn.XLOOKUP(tbEscolas[[#This Row],[ESCOLA]],tbNucleo[ESCOLA],tbNucleo[COD ESCOLA],"")</f>
        <v>28</v>
      </c>
      <c r="B503" s="3" t="str" cm="1">
        <f t="array" ref="B503">IFERROR(INDEX(tbNucleo[ESCOLA],ROUNDUP(ROW(B502)/TotalEtapas,0)),"")</f>
        <v xml:space="preserve">EM CAIC </v>
      </c>
      <c r="C503" s="3" t="s">
        <v>110</v>
      </c>
      <c r="D503" s="3">
        <v>16</v>
      </c>
      <c r="E503" s="3" t="str">
        <f>IFERROR(VLOOKUP(tbEscolas[[#This Row],[COD ETPA]],tbEtapas[],2,FALSE),"")</f>
        <v>3º ANO</v>
      </c>
      <c r="F503" s="3" t="str">
        <f>IFERROR(VLOOKUP(tbEscolas[[#This Row],[COD ETPA]],tbEtapas[],3,FALSE),"")</f>
        <v>ENSINO MÉDIO</v>
      </c>
      <c r="G503" s="3" t="s">
        <v>125</v>
      </c>
    </row>
    <row r="504" spans="1:7" x14ac:dyDescent="0.25">
      <c r="A504" s="27">
        <f>_xlfn.XLOOKUP(tbEscolas[[#This Row],[ESCOLA]],tbNucleo[ESCOLA],tbNucleo[COD ESCOLA],"")</f>
        <v>28</v>
      </c>
      <c r="B504" s="3" t="str" cm="1">
        <f t="array" ref="B504">IFERROR(INDEX(tbNucleo[ESCOLA],ROUNDUP(ROW(B503)/TotalEtapas,0)),"")</f>
        <v xml:space="preserve">EM CAIC </v>
      </c>
      <c r="C504" s="3" t="s">
        <v>110</v>
      </c>
      <c r="D504" s="3">
        <v>17</v>
      </c>
      <c r="E504" s="3" t="str">
        <f>IFERROR(VLOOKUP(tbEscolas[[#This Row],[COD ETPA]],tbEtapas[],2,FALSE),"")</f>
        <v>EJA I</v>
      </c>
      <c r="F504" s="3" t="str">
        <f>IFERROR(VLOOKUP(tbEscolas[[#This Row],[COD ETPA]],tbEtapas[],3,FALSE),"")</f>
        <v>FUNDAMENTAL</v>
      </c>
      <c r="G504" s="3" t="s">
        <v>125</v>
      </c>
    </row>
    <row r="505" spans="1:7" x14ac:dyDescent="0.25">
      <c r="A505" s="27">
        <f>_xlfn.XLOOKUP(tbEscolas[[#This Row],[ESCOLA]],tbNucleo[ESCOLA],tbNucleo[COD ESCOLA],"")</f>
        <v>28</v>
      </c>
      <c r="B505" s="3" t="str" cm="1">
        <f t="array" ref="B505">IFERROR(INDEX(tbNucleo[ESCOLA],ROUNDUP(ROW(B504)/TotalEtapas,0)),"")</f>
        <v xml:space="preserve">EM CAIC </v>
      </c>
      <c r="C505" s="3" t="s">
        <v>110</v>
      </c>
      <c r="D505" s="3">
        <v>18</v>
      </c>
      <c r="E505" s="3" t="str">
        <f>IFERROR(VLOOKUP(tbEscolas[[#This Row],[COD ETPA]],tbEtapas[],2,FALSE),"")</f>
        <v>EJA II</v>
      </c>
      <c r="F505" s="3" t="str">
        <f>IFERROR(VLOOKUP(tbEscolas[[#This Row],[COD ETPA]],tbEtapas[],3,FALSE),"")</f>
        <v>ENSINO MÉDIO</v>
      </c>
      <c r="G505" s="3" t="s">
        <v>125</v>
      </c>
    </row>
    <row r="506" spans="1:7" x14ac:dyDescent="0.25">
      <c r="A506" s="24">
        <f>_xlfn.XLOOKUP(tbEscolas[[#This Row],[ESCOLA]],tbNucleo[ESCOLA],tbNucleo[COD ESCOLA],"")</f>
        <v>29</v>
      </c>
      <c r="B506" t="str" cm="1">
        <f t="array" ref="B506">IFERROR(INDEX(tbNucleo[ESCOLA],ROUNDUP(ROW(B505)/TotalEtapas,0)),"")</f>
        <v xml:space="preserve">EM CLARINÓPOLIS </v>
      </c>
      <c r="C506" t="s">
        <v>31</v>
      </c>
      <c r="D506" cm="1">
        <f t="array" ref="D506">IF(B506="","",INDEX(tbEtapas[Nº],MOD(ROW(B505)-1,TotalEtapas)+1))</f>
        <v>1</v>
      </c>
      <c r="E506" t="str">
        <f>IFERROR(VLOOKUP(tbEscolas[[#This Row],[COD ETPA]],tbEtapas[],2,FALSE),"")</f>
        <v>CRECHE I</v>
      </c>
      <c r="F506" t="str">
        <f>IFERROR(VLOOKUP(tbEscolas[[#This Row],[COD ETPA]],tbEtapas[],3,FALSE),"")</f>
        <v>EDUCAÇÃO INFANTIL</v>
      </c>
      <c r="G506" t="s">
        <v>126</v>
      </c>
    </row>
    <row r="507" spans="1:7" x14ac:dyDescent="0.25">
      <c r="A507" s="24">
        <f>_xlfn.XLOOKUP(tbEscolas[[#This Row],[ESCOLA]],tbNucleo[ESCOLA],tbNucleo[COD ESCOLA],"")</f>
        <v>29</v>
      </c>
      <c r="B507" t="str" cm="1">
        <f t="array" ref="B507">IFERROR(INDEX(tbNucleo[ESCOLA],ROUNDUP(ROW(B506)/TotalEtapas,0)),"")</f>
        <v xml:space="preserve">EM CLARINÓPOLIS </v>
      </c>
      <c r="C507" t="s">
        <v>31</v>
      </c>
      <c r="D507" cm="1">
        <f t="array" ref="D507">IF(B507="","",INDEX(tbEtapas[Nº],MOD(ROW(B506)-1,TotalEtapas)+1))</f>
        <v>2</v>
      </c>
      <c r="E507" t="str">
        <f>IFERROR(VLOOKUP(tbEscolas[[#This Row],[COD ETPA]],tbEtapas[],2,FALSE),"")</f>
        <v>CRECHE II</v>
      </c>
      <c r="F507" t="str">
        <f>IFERROR(VLOOKUP(tbEscolas[[#This Row],[COD ETPA]],tbEtapas[],3,FALSE),"")</f>
        <v>EDUCAÇÃO INFANTIL</v>
      </c>
      <c r="G507" t="s">
        <v>126</v>
      </c>
    </row>
    <row r="508" spans="1:7" x14ac:dyDescent="0.25">
      <c r="A508" s="24">
        <f>_xlfn.XLOOKUP(tbEscolas[[#This Row],[ESCOLA]],tbNucleo[ESCOLA],tbNucleo[COD ESCOLA],"")</f>
        <v>29</v>
      </c>
      <c r="B508" t="str" cm="1">
        <f t="array" ref="B508">IFERROR(INDEX(tbNucleo[ESCOLA],ROUNDUP(ROW(B507)/TotalEtapas,0)),"")</f>
        <v xml:space="preserve">EM CLARINÓPOLIS </v>
      </c>
      <c r="C508" t="s">
        <v>31</v>
      </c>
      <c r="D508" cm="1">
        <f t="array" ref="D508">IF(B508="","",INDEX(tbEtapas[Nº],MOD(ROW(B507)-1,TotalEtapas)+1))</f>
        <v>3</v>
      </c>
      <c r="E508" t="str">
        <f>IFERROR(VLOOKUP(tbEscolas[[#This Row],[COD ETPA]],tbEtapas[],2,FALSE),"")</f>
        <v>PRE I</v>
      </c>
      <c r="F508" t="str">
        <f>IFERROR(VLOOKUP(tbEscolas[[#This Row],[COD ETPA]],tbEtapas[],3,FALSE),"")</f>
        <v>EDUCAÇÃO INFANTIL</v>
      </c>
      <c r="G508" t="s">
        <v>126</v>
      </c>
    </row>
    <row r="509" spans="1:7" x14ac:dyDescent="0.25">
      <c r="A509" s="24">
        <f>_xlfn.XLOOKUP(tbEscolas[[#This Row],[ESCOLA]],tbNucleo[ESCOLA],tbNucleo[COD ESCOLA],"")</f>
        <v>29</v>
      </c>
      <c r="B509" t="str" cm="1">
        <f t="array" ref="B509">IFERROR(INDEX(tbNucleo[ESCOLA],ROUNDUP(ROW(B508)/TotalEtapas,0)),"")</f>
        <v xml:space="preserve">EM CLARINÓPOLIS </v>
      </c>
      <c r="C509" t="s">
        <v>31</v>
      </c>
      <c r="D509" cm="1">
        <f t="array" ref="D509">IF(B509="","",INDEX(tbEtapas[Nº],MOD(ROW(B508)-1,TotalEtapas)+1))</f>
        <v>4</v>
      </c>
      <c r="E509" t="str">
        <f>IFERROR(VLOOKUP(tbEscolas[[#This Row],[COD ETPA]],tbEtapas[],2,FALSE),"")</f>
        <v>PRE II</v>
      </c>
      <c r="F509" t="str">
        <f>IFERROR(VLOOKUP(tbEscolas[[#This Row],[COD ETPA]],tbEtapas[],3,FALSE),"")</f>
        <v>EDUCAÇÃO INFANTIL</v>
      </c>
      <c r="G509" t="s">
        <v>126</v>
      </c>
    </row>
    <row r="510" spans="1:7" x14ac:dyDescent="0.25">
      <c r="A510" s="24">
        <f>_xlfn.XLOOKUP(tbEscolas[[#This Row],[ESCOLA]],tbNucleo[ESCOLA],tbNucleo[COD ESCOLA],"")</f>
        <v>29</v>
      </c>
      <c r="B510" t="str" cm="1">
        <f t="array" ref="B510">IFERROR(INDEX(tbNucleo[ESCOLA],ROUNDUP(ROW(B509)/TotalEtapas,0)),"")</f>
        <v xml:space="preserve">EM CLARINÓPOLIS </v>
      </c>
      <c r="C510" t="s">
        <v>31</v>
      </c>
      <c r="D510" cm="1">
        <f t="array" ref="D510">IF(B510="","",INDEX(tbEtapas[Nº],MOD(ROW(B509)-1,TotalEtapas)+1))</f>
        <v>5</v>
      </c>
      <c r="E510" t="str">
        <f>IFERROR(VLOOKUP(tbEscolas[[#This Row],[COD ETPA]],tbEtapas[],2,FALSE),"")</f>
        <v>1º ANO</v>
      </c>
      <c r="F510" t="str">
        <f>IFERROR(VLOOKUP(tbEscolas[[#This Row],[COD ETPA]],tbEtapas[],3,FALSE),"")</f>
        <v>FUNDAMENTAL</v>
      </c>
      <c r="G510" t="s">
        <v>125</v>
      </c>
    </row>
    <row r="511" spans="1:7" x14ac:dyDescent="0.25">
      <c r="A511" s="24">
        <f>_xlfn.XLOOKUP(tbEscolas[[#This Row],[ESCOLA]],tbNucleo[ESCOLA],tbNucleo[COD ESCOLA],"")</f>
        <v>29</v>
      </c>
      <c r="B511" t="str" cm="1">
        <f t="array" ref="B511">IFERROR(INDEX(tbNucleo[ESCOLA],ROUNDUP(ROW(B510)/TotalEtapas,0)),"")</f>
        <v xml:space="preserve">EM CLARINÓPOLIS </v>
      </c>
      <c r="C511" t="s">
        <v>31</v>
      </c>
      <c r="D511" cm="1">
        <f t="array" ref="D511">IF(B511="","",INDEX(tbEtapas[Nº],MOD(ROW(B510)-1,TotalEtapas)+1))</f>
        <v>6</v>
      </c>
      <c r="E511" t="str">
        <f>IFERROR(VLOOKUP(tbEscolas[[#This Row],[COD ETPA]],tbEtapas[],2,FALSE),"")</f>
        <v>2º ANO</v>
      </c>
      <c r="F511" t="str">
        <f>IFERROR(VLOOKUP(tbEscolas[[#This Row],[COD ETPA]],tbEtapas[],3,FALSE),"")</f>
        <v>FUNDAMENTAL</v>
      </c>
      <c r="G511" t="s">
        <v>125</v>
      </c>
    </row>
    <row r="512" spans="1:7" x14ac:dyDescent="0.25">
      <c r="A512" s="24">
        <f>_xlfn.XLOOKUP(tbEscolas[[#This Row],[ESCOLA]],tbNucleo[ESCOLA],tbNucleo[COD ESCOLA],"")</f>
        <v>29</v>
      </c>
      <c r="B512" t="str" cm="1">
        <f t="array" ref="B512">IFERROR(INDEX(tbNucleo[ESCOLA],ROUNDUP(ROW(B511)/TotalEtapas,0)),"")</f>
        <v xml:space="preserve">EM CLARINÓPOLIS </v>
      </c>
      <c r="C512" t="s">
        <v>31</v>
      </c>
      <c r="D512" cm="1">
        <f t="array" ref="D512">IF(B512="","",INDEX(tbEtapas[Nº],MOD(ROW(B511)-1,TotalEtapas)+1))</f>
        <v>7</v>
      </c>
      <c r="E512" t="str">
        <f>IFERROR(VLOOKUP(tbEscolas[[#This Row],[COD ETPA]],tbEtapas[],2,FALSE),"")</f>
        <v>3º ANO</v>
      </c>
      <c r="F512" t="str">
        <f>IFERROR(VLOOKUP(tbEscolas[[#This Row],[COD ETPA]],tbEtapas[],3,FALSE),"")</f>
        <v>FUNDAMENTAL</v>
      </c>
      <c r="G512" t="s">
        <v>125</v>
      </c>
    </row>
    <row r="513" spans="1:7" x14ac:dyDescent="0.25">
      <c r="A513" s="24">
        <f>_xlfn.XLOOKUP(tbEscolas[[#This Row],[ESCOLA]],tbNucleo[ESCOLA],tbNucleo[COD ESCOLA],"")</f>
        <v>29</v>
      </c>
      <c r="B513" t="str" cm="1">
        <f t="array" ref="B513">IFERROR(INDEX(tbNucleo[ESCOLA],ROUNDUP(ROW(B512)/TotalEtapas,0)),"")</f>
        <v xml:space="preserve">EM CLARINÓPOLIS </v>
      </c>
      <c r="C513" t="s">
        <v>31</v>
      </c>
      <c r="D513" cm="1">
        <f t="array" ref="D513">IF(B513="","",INDEX(tbEtapas[Nº],MOD(ROW(B512)-1,TotalEtapas)+1))</f>
        <v>8</v>
      </c>
      <c r="E513" t="str">
        <f>IFERROR(VLOOKUP(tbEscolas[[#This Row],[COD ETPA]],tbEtapas[],2,FALSE),"")</f>
        <v>4º ANO</v>
      </c>
      <c r="F513" t="str">
        <f>IFERROR(VLOOKUP(tbEscolas[[#This Row],[COD ETPA]],tbEtapas[],3,FALSE),"")</f>
        <v>FUNDAMENTAL</v>
      </c>
      <c r="G513" t="s">
        <v>125</v>
      </c>
    </row>
    <row r="514" spans="1:7" x14ac:dyDescent="0.25">
      <c r="A514" s="24">
        <f>_xlfn.XLOOKUP(tbEscolas[[#This Row],[ESCOLA]],tbNucleo[ESCOLA],tbNucleo[COD ESCOLA],"")</f>
        <v>29</v>
      </c>
      <c r="B514" t="str" cm="1">
        <f t="array" ref="B514">IFERROR(INDEX(tbNucleo[ESCOLA],ROUNDUP(ROW(B513)/TotalEtapas,0)),"")</f>
        <v xml:space="preserve">EM CLARINÓPOLIS </v>
      </c>
      <c r="C514" t="s">
        <v>31</v>
      </c>
      <c r="D514" cm="1">
        <f t="array" ref="D514">IF(B514="","",INDEX(tbEtapas[Nº],MOD(ROW(B513)-1,TotalEtapas)+1))</f>
        <v>9</v>
      </c>
      <c r="E514" t="str">
        <f>IFERROR(VLOOKUP(tbEscolas[[#This Row],[COD ETPA]],tbEtapas[],2,FALSE),"")</f>
        <v>5º ANO</v>
      </c>
      <c r="F514" t="str">
        <f>IFERROR(VLOOKUP(tbEscolas[[#This Row],[COD ETPA]],tbEtapas[],3,FALSE),"")</f>
        <v>FUNDAMENTAL</v>
      </c>
      <c r="G514" t="s">
        <v>125</v>
      </c>
    </row>
    <row r="515" spans="1:7" x14ac:dyDescent="0.25">
      <c r="A515" s="24">
        <f>_xlfn.XLOOKUP(tbEscolas[[#This Row],[ESCOLA]],tbNucleo[ESCOLA],tbNucleo[COD ESCOLA],"")</f>
        <v>29</v>
      </c>
      <c r="B515" t="str" cm="1">
        <f t="array" ref="B515">IFERROR(INDEX(tbNucleo[ESCOLA],ROUNDUP(ROW(B514)/TotalEtapas,0)),"")</f>
        <v xml:space="preserve">EM CLARINÓPOLIS </v>
      </c>
      <c r="C515" t="s">
        <v>31</v>
      </c>
      <c r="D515" cm="1">
        <f t="array" ref="D515">IF(B515="","",INDEX(tbEtapas[Nº],MOD(ROW(B514)-1,TotalEtapas)+1))</f>
        <v>10</v>
      </c>
      <c r="E515" t="str">
        <f>IFERROR(VLOOKUP(tbEscolas[[#This Row],[COD ETPA]],tbEtapas[],2,FALSE),"")</f>
        <v>6º ANO</v>
      </c>
      <c r="F515" t="str">
        <f>IFERROR(VLOOKUP(tbEscolas[[#This Row],[COD ETPA]],tbEtapas[],3,FALSE),"")</f>
        <v>FUNDAMENTAL</v>
      </c>
      <c r="G515" t="s">
        <v>125</v>
      </c>
    </row>
    <row r="516" spans="1:7" x14ac:dyDescent="0.25">
      <c r="A516" s="24">
        <f>_xlfn.XLOOKUP(tbEscolas[[#This Row],[ESCOLA]],tbNucleo[ESCOLA],tbNucleo[COD ESCOLA],"")</f>
        <v>29</v>
      </c>
      <c r="B516" t="str" cm="1">
        <f t="array" ref="B516">IFERROR(INDEX(tbNucleo[ESCOLA],ROUNDUP(ROW(B515)/TotalEtapas,0)),"")</f>
        <v xml:space="preserve">EM CLARINÓPOLIS </v>
      </c>
      <c r="C516" t="s">
        <v>31</v>
      </c>
      <c r="D516" cm="1">
        <f t="array" ref="D516">IF(B516="","",INDEX(tbEtapas[Nº],MOD(ROW(B515)-1,TotalEtapas)+1))</f>
        <v>11</v>
      </c>
      <c r="E516" t="str">
        <f>IFERROR(VLOOKUP(tbEscolas[[#This Row],[COD ETPA]],tbEtapas[],2,FALSE),"")</f>
        <v>7º ANO</v>
      </c>
      <c r="F516" t="str">
        <f>IFERROR(VLOOKUP(tbEscolas[[#This Row],[COD ETPA]],tbEtapas[],3,FALSE),"")</f>
        <v>FUNDAMENTAL</v>
      </c>
      <c r="G516" t="s">
        <v>125</v>
      </c>
    </row>
    <row r="517" spans="1:7" x14ac:dyDescent="0.25">
      <c r="A517" s="24">
        <f>_xlfn.XLOOKUP(tbEscolas[[#This Row],[ESCOLA]],tbNucleo[ESCOLA],tbNucleo[COD ESCOLA],"")</f>
        <v>29</v>
      </c>
      <c r="B517" t="str" cm="1">
        <f t="array" ref="B517">IFERROR(INDEX(tbNucleo[ESCOLA],ROUNDUP(ROW(B516)/TotalEtapas,0)),"")</f>
        <v xml:space="preserve">EM CLARINÓPOLIS </v>
      </c>
      <c r="C517" t="s">
        <v>31</v>
      </c>
      <c r="D517" cm="1">
        <f t="array" ref="D517">IF(B517="","",INDEX(tbEtapas[Nº],MOD(ROW(B516)-1,TotalEtapas)+1))</f>
        <v>12</v>
      </c>
      <c r="E517" t="str">
        <f>IFERROR(VLOOKUP(tbEscolas[[#This Row],[COD ETPA]],tbEtapas[],2,FALSE),"")</f>
        <v>8º ANO</v>
      </c>
      <c r="F517" t="str">
        <f>IFERROR(VLOOKUP(tbEscolas[[#This Row],[COD ETPA]],tbEtapas[],3,FALSE),"")</f>
        <v>FUNDAMENTAL</v>
      </c>
      <c r="G517" t="s">
        <v>125</v>
      </c>
    </row>
    <row r="518" spans="1:7" x14ac:dyDescent="0.25">
      <c r="A518" s="24">
        <f>_xlfn.XLOOKUP(tbEscolas[[#This Row],[ESCOLA]],tbNucleo[ESCOLA],tbNucleo[COD ESCOLA],"")</f>
        <v>29</v>
      </c>
      <c r="B518" t="str" cm="1">
        <f t="array" ref="B518">IFERROR(INDEX(tbNucleo[ESCOLA],ROUNDUP(ROW(B517)/TotalEtapas,0)),"")</f>
        <v xml:space="preserve">EM CLARINÓPOLIS </v>
      </c>
      <c r="C518" t="s">
        <v>31</v>
      </c>
      <c r="D518" cm="1">
        <f t="array" ref="D518">IF(B518="","",INDEX(tbEtapas[Nº],MOD(ROW(B517)-1,TotalEtapas)+1))</f>
        <v>13</v>
      </c>
      <c r="E518" t="str">
        <f>IFERROR(VLOOKUP(tbEscolas[[#This Row],[COD ETPA]],tbEtapas[],2,FALSE),"")</f>
        <v>9º ANO</v>
      </c>
      <c r="F518" t="str">
        <f>IFERROR(VLOOKUP(tbEscolas[[#This Row],[COD ETPA]],tbEtapas[],3,FALSE),"")</f>
        <v>FUNDAMENTAL</v>
      </c>
      <c r="G518" t="s">
        <v>125</v>
      </c>
    </row>
    <row r="519" spans="1:7" x14ac:dyDescent="0.25">
      <c r="A519" s="24">
        <f>_xlfn.XLOOKUP(tbEscolas[[#This Row],[ESCOLA]],tbNucleo[ESCOLA],tbNucleo[COD ESCOLA],"")</f>
        <v>29</v>
      </c>
      <c r="B519" t="str" cm="1">
        <f t="array" ref="B519">IFERROR(INDEX(tbNucleo[ESCOLA],ROUNDUP(ROW(B518)/TotalEtapas,0)),"")</f>
        <v xml:space="preserve">EM CLARINÓPOLIS </v>
      </c>
      <c r="C519" t="s">
        <v>31</v>
      </c>
      <c r="D519">
        <v>14</v>
      </c>
      <c r="E519" t="str">
        <f>IFERROR(VLOOKUP(tbEscolas[[#This Row],[COD ETPA]],tbEtapas[],2,FALSE),"")</f>
        <v>1º ANO</v>
      </c>
      <c r="F519" t="str">
        <f>IFERROR(VLOOKUP(tbEscolas[[#This Row],[COD ETPA]],tbEtapas[],3,FALSE),"")</f>
        <v>ENSINO MÉDIO</v>
      </c>
      <c r="G519" t="s">
        <v>125</v>
      </c>
    </row>
    <row r="520" spans="1:7" x14ac:dyDescent="0.25">
      <c r="A520" s="24">
        <f>_xlfn.XLOOKUP(tbEscolas[[#This Row],[ESCOLA]],tbNucleo[ESCOLA],tbNucleo[COD ESCOLA],"")</f>
        <v>29</v>
      </c>
      <c r="B520" t="str" cm="1">
        <f t="array" ref="B520">IFERROR(INDEX(tbNucleo[ESCOLA],ROUNDUP(ROW(B519)/TotalEtapas,0)),"")</f>
        <v xml:space="preserve">EM CLARINÓPOLIS </v>
      </c>
      <c r="C520" t="s">
        <v>31</v>
      </c>
      <c r="D520">
        <v>15</v>
      </c>
      <c r="E520" t="str">
        <f>IFERROR(VLOOKUP(tbEscolas[[#This Row],[COD ETPA]],tbEtapas[],2,FALSE),"")</f>
        <v>2º ANO</v>
      </c>
      <c r="F520" t="str">
        <f>IFERROR(VLOOKUP(tbEscolas[[#This Row],[COD ETPA]],tbEtapas[],3,FALSE),"")</f>
        <v>ENSINO MÉDIO</v>
      </c>
      <c r="G520" t="s">
        <v>125</v>
      </c>
    </row>
    <row r="521" spans="1:7" x14ac:dyDescent="0.25">
      <c r="A521" s="24">
        <f>_xlfn.XLOOKUP(tbEscolas[[#This Row],[ESCOLA]],tbNucleo[ESCOLA],tbNucleo[COD ESCOLA],"")</f>
        <v>29</v>
      </c>
      <c r="B521" t="str" cm="1">
        <f t="array" ref="B521">IFERROR(INDEX(tbNucleo[ESCOLA],ROUNDUP(ROW(B520)/TotalEtapas,0)),"")</f>
        <v xml:space="preserve">EM CLARINÓPOLIS </v>
      </c>
      <c r="C521" t="s">
        <v>31</v>
      </c>
      <c r="D521">
        <v>16</v>
      </c>
      <c r="E521" t="str">
        <f>IFERROR(VLOOKUP(tbEscolas[[#This Row],[COD ETPA]],tbEtapas[],2,FALSE),"")</f>
        <v>3º ANO</v>
      </c>
      <c r="F521" t="str">
        <f>IFERROR(VLOOKUP(tbEscolas[[#This Row],[COD ETPA]],tbEtapas[],3,FALSE),"")</f>
        <v>ENSINO MÉDIO</v>
      </c>
      <c r="G521" t="s">
        <v>125</v>
      </c>
    </row>
    <row r="522" spans="1:7" x14ac:dyDescent="0.25">
      <c r="A522" s="24">
        <f>_xlfn.XLOOKUP(tbEscolas[[#This Row],[ESCOLA]],tbNucleo[ESCOLA],tbNucleo[COD ESCOLA],"")</f>
        <v>29</v>
      </c>
      <c r="B522" t="str" cm="1">
        <f t="array" ref="B522">IFERROR(INDEX(tbNucleo[ESCOLA],ROUNDUP(ROW(B521)/TotalEtapas,0)),"")</f>
        <v xml:space="preserve">EM CLARINÓPOLIS </v>
      </c>
      <c r="C522" t="s">
        <v>31</v>
      </c>
      <c r="D522">
        <v>17</v>
      </c>
      <c r="E522" t="str">
        <f>IFERROR(VLOOKUP(tbEscolas[[#This Row],[COD ETPA]],tbEtapas[],2,FALSE),"")</f>
        <v>EJA I</v>
      </c>
      <c r="F522" t="str">
        <f>IFERROR(VLOOKUP(tbEscolas[[#This Row],[COD ETPA]],tbEtapas[],3,FALSE),"")</f>
        <v>FUNDAMENTAL</v>
      </c>
      <c r="G522" t="s">
        <v>125</v>
      </c>
    </row>
    <row r="523" spans="1:7" x14ac:dyDescent="0.25">
      <c r="A523" s="24">
        <f>_xlfn.XLOOKUP(tbEscolas[[#This Row],[ESCOLA]],tbNucleo[ESCOLA],tbNucleo[COD ESCOLA],"")</f>
        <v>29</v>
      </c>
      <c r="B523" t="str" cm="1">
        <f t="array" ref="B523">IFERROR(INDEX(tbNucleo[ESCOLA],ROUNDUP(ROW(B522)/TotalEtapas,0)),"")</f>
        <v xml:space="preserve">EM CLARINÓPOLIS </v>
      </c>
      <c r="C523" t="s">
        <v>31</v>
      </c>
      <c r="D523">
        <v>18</v>
      </c>
      <c r="E523" t="str">
        <f>IFERROR(VLOOKUP(tbEscolas[[#This Row],[COD ETPA]],tbEtapas[],2,FALSE),"")</f>
        <v>EJA II</v>
      </c>
      <c r="F523" t="str">
        <f>IFERROR(VLOOKUP(tbEscolas[[#This Row],[COD ETPA]],tbEtapas[],3,FALSE),"")</f>
        <v>ENSINO MÉDIO</v>
      </c>
      <c r="G523" t="s">
        <v>125</v>
      </c>
    </row>
    <row r="524" spans="1:7" x14ac:dyDescent="0.25">
      <c r="A524" s="28">
        <f>_xlfn.XLOOKUP(tbEscolas[[#This Row],[ESCOLA]],tbNucleo[ESCOLA],tbNucleo[COD ESCOLA],"")</f>
        <v>30</v>
      </c>
      <c r="B524" s="4" t="str" cm="1">
        <f t="array" ref="B524">IFERROR(INDEX(tbNucleo[ESCOLA],ROUNDUP(ROW(B523)/TotalEtapas,0)),"")</f>
        <v>EM DESEMBARGADOR GABRIEL PINTO DE ARRUDA</v>
      </c>
      <c r="C524" s="4" t="s">
        <v>117</v>
      </c>
      <c r="D524" s="4" cm="1">
        <f t="array" ref="D524">IF(B524="","",INDEX(tbEtapas[Nº],MOD(ROW(B523)-1,TotalEtapas)+1))</f>
        <v>1</v>
      </c>
      <c r="E524" s="4" t="str">
        <f>IFERROR(VLOOKUP(tbEscolas[[#This Row],[COD ETPA]],tbEtapas[],2,FALSE),"")</f>
        <v>CRECHE I</v>
      </c>
      <c r="F524" s="4" t="str">
        <f>IFERROR(VLOOKUP(tbEscolas[[#This Row],[COD ETPA]],tbEtapas[],3,FALSE),"")</f>
        <v>EDUCAÇÃO INFANTIL</v>
      </c>
      <c r="G524" s="4" t="s">
        <v>125</v>
      </c>
    </row>
    <row r="525" spans="1:7" x14ac:dyDescent="0.25">
      <c r="A525" s="28">
        <f>_xlfn.XLOOKUP(tbEscolas[[#This Row],[ESCOLA]],tbNucleo[ESCOLA],tbNucleo[COD ESCOLA],"")</f>
        <v>30</v>
      </c>
      <c r="B525" s="4" t="str" cm="1">
        <f t="array" ref="B525">IFERROR(INDEX(tbNucleo[ESCOLA],ROUNDUP(ROW(B524)/TotalEtapas,0)),"")</f>
        <v>EM DESEMBARGADOR GABRIEL PINTO DE ARRUDA</v>
      </c>
      <c r="C525" s="4" t="s">
        <v>117</v>
      </c>
      <c r="D525" s="4" cm="1">
        <f t="array" ref="D525">IF(B525="","",INDEX(tbEtapas[Nº],MOD(ROW(B524)-1,TotalEtapas)+1))</f>
        <v>2</v>
      </c>
      <c r="E525" s="4" t="str">
        <f>IFERROR(VLOOKUP(tbEscolas[[#This Row],[COD ETPA]],tbEtapas[],2,FALSE),"")</f>
        <v>CRECHE II</v>
      </c>
      <c r="F525" s="4" t="str">
        <f>IFERROR(VLOOKUP(tbEscolas[[#This Row],[COD ETPA]],tbEtapas[],3,FALSE),"")</f>
        <v>EDUCAÇÃO INFANTIL</v>
      </c>
      <c r="G525" s="4" t="s">
        <v>125</v>
      </c>
    </row>
    <row r="526" spans="1:7" x14ac:dyDescent="0.25">
      <c r="A526" s="28">
        <f>_xlfn.XLOOKUP(tbEscolas[[#This Row],[ESCOLA]],tbNucleo[ESCOLA],tbNucleo[COD ESCOLA],"")</f>
        <v>30</v>
      </c>
      <c r="B526" s="4" t="str" cm="1">
        <f t="array" ref="B526">IFERROR(INDEX(tbNucleo[ESCOLA],ROUNDUP(ROW(B525)/TotalEtapas,0)),"")</f>
        <v>EM DESEMBARGADOR GABRIEL PINTO DE ARRUDA</v>
      </c>
      <c r="C526" s="4" t="s">
        <v>117</v>
      </c>
      <c r="D526" s="4" cm="1">
        <f t="array" ref="D526">IF(B526="","",INDEX(tbEtapas[Nº],MOD(ROW(B525)-1,TotalEtapas)+1))</f>
        <v>3</v>
      </c>
      <c r="E526" s="4" t="str">
        <f>IFERROR(VLOOKUP(tbEscolas[[#This Row],[COD ETPA]],tbEtapas[],2,FALSE),"")</f>
        <v>PRE I</v>
      </c>
      <c r="F526" s="4" t="str">
        <f>IFERROR(VLOOKUP(tbEscolas[[#This Row],[COD ETPA]],tbEtapas[],3,FALSE),"")</f>
        <v>EDUCAÇÃO INFANTIL</v>
      </c>
      <c r="G526" s="4" t="s">
        <v>126</v>
      </c>
    </row>
    <row r="527" spans="1:7" x14ac:dyDescent="0.25">
      <c r="A527" s="28">
        <f>_xlfn.XLOOKUP(tbEscolas[[#This Row],[ESCOLA]],tbNucleo[ESCOLA],tbNucleo[COD ESCOLA],"")</f>
        <v>30</v>
      </c>
      <c r="B527" s="4" t="str" cm="1">
        <f t="array" ref="B527">IFERROR(INDEX(tbNucleo[ESCOLA],ROUNDUP(ROW(B526)/TotalEtapas,0)),"")</f>
        <v>EM DESEMBARGADOR GABRIEL PINTO DE ARRUDA</v>
      </c>
      <c r="C527" s="4" t="s">
        <v>117</v>
      </c>
      <c r="D527" s="4" cm="1">
        <f t="array" ref="D527">IF(B527="","",INDEX(tbEtapas[Nº],MOD(ROW(B526)-1,TotalEtapas)+1))</f>
        <v>4</v>
      </c>
      <c r="E527" s="4" t="str">
        <f>IFERROR(VLOOKUP(tbEscolas[[#This Row],[COD ETPA]],tbEtapas[],2,FALSE),"")</f>
        <v>PRE II</v>
      </c>
      <c r="F527" s="4" t="str">
        <f>IFERROR(VLOOKUP(tbEscolas[[#This Row],[COD ETPA]],tbEtapas[],3,FALSE),"")</f>
        <v>EDUCAÇÃO INFANTIL</v>
      </c>
      <c r="G527" s="4" t="s">
        <v>126</v>
      </c>
    </row>
    <row r="528" spans="1:7" x14ac:dyDescent="0.25">
      <c r="A528" s="28">
        <f>_xlfn.XLOOKUP(tbEscolas[[#This Row],[ESCOLA]],tbNucleo[ESCOLA],tbNucleo[COD ESCOLA],"")</f>
        <v>30</v>
      </c>
      <c r="B528" s="4" t="str" cm="1">
        <f t="array" ref="B528">IFERROR(INDEX(tbNucleo[ESCOLA],ROUNDUP(ROW(B527)/TotalEtapas,0)),"")</f>
        <v>EM DESEMBARGADOR GABRIEL PINTO DE ARRUDA</v>
      </c>
      <c r="C528" s="4" t="s">
        <v>117</v>
      </c>
      <c r="D528" s="4" cm="1">
        <f t="array" ref="D528">IF(B528="","",INDEX(tbEtapas[Nº],MOD(ROW(B527)-1,TotalEtapas)+1))</f>
        <v>5</v>
      </c>
      <c r="E528" s="4" t="str">
        <f>IFERROR(VLOOKUP(tbEscolas[[#This Row],[COD ETPA]],tbEtapas[],2,FALSE),"")</f>
        <v>1º ANO</v>
      </c>
      <c r="F528" s="4" t="str">
        <f>IFERROR(VLOOKUP(tbEscolas[[#This Row],[COD ETPA]],tbEtapas[],3,FALSE),"")</f>
        <v>FUNDAMENTAL</v>
      </c>
      <c r="G528" s="4" t="s">
        <v>126</v>
      </c>
    </row>
    <row r="529" spans="1:7" x14ac:dyDescent="0.25">
      <c r="A529" s="28">
        <f>_xlfn.XLOOKUP(tbEscolas[[#This Row],[ESCOLA]],tbNucleo[ESCOLA],tbNucleo[COD ESCOLA],"")</f>
        <v>30</v>
      </c>
      <c r="B529" s="4" t="str" cm="1">
        <f t="array" ref="B529">IFERROR(INDEX(tbNucleo[ESCOLA],ROUNDUP(ROW(B528)/TotalEtapas,0)),"")</f>
        <v>EM DESEMBARGADOR GABRIEL PINTO DE ARRUDA</v>
      </c>
      <c r="C529" s="4" t="s">
        <v>117</v>
      </c>
      <c r="D529" s="4" cm="1">
        <f t="array" ref="D529">IF(B529="","",INDEX(tbEtapas[Nº],MOD(ROW(B528)-1,TotalEtapas)+1))</f>
        <v>6</v>
      </c>
      <c r="E529" s="4" t="str">
        <f>IFERROR(VLOOKUP(tbEscolas[[#This Row],[COD ETPA]],tbEtapas[],2,FALSE),"")</f>
        <v>2º ANO</v>
      </c>
      <c r="F529" s="4" t="str">
        <f>IFERROR(VLOOKUP(tbEscolas[[#This Row],[COD ETPA]],tbEtapas[],3,FALSE),"")</f>
        <v>FUNDAMENTAL</v>
      </c>
      <c r="G529" s="4" t="s">
        <v>126</v>
      </c>
    </row>
    <row r="530" spans="1:7" x14ac:dyDescent="0.25">
      <c r="A530" s="28">
        <f>_xlfn.XLOOKUP(tbEscolas[[#This Row],[ESCOLA]],tbNucleo[ESCOLA],tbNucleo[COD ESCOLA],"")</f>
        <v>30</v>
      </c>
      <c r="B530" s="4" t="str" cm="1">
        <f t="array" ref="B530">IFERROR(INDEX(tbNucleo[ESCOLA],ROUNDUP(ROW(B529)/TotalEtapas,0)),"")</f>
        <v>EM DESEMBARGADOR GABRIEL PINTO DE ARRUDA</v>
      </c>
      <c r="C530" s="4" t="s">
        <v>117</v>
      </c>
      <c r="D530" s="4" cm="1">
        <f t="array" ref="D530">IF(B530="","",INDEX(tbEtapas[Nº],MOD(ROW(B529)-1,TotalEtapas)+1))</f>
        <v>7</v>
      </c>
      <c r="E530" s="4" t="str">
        <f>IFERROR(VLOOKUP(tbEscolas[[#This Row],[COD ETPA]],tbEtapas[],2,FALSE),"")</f>
        <v>3º ANO</v>
      </c>
      <c r="F530" s="4" t="str">
        <f>IFERROR(VLOOKUP(tbEscolas[[#This Row],[COD ETPA]],tbEtapas[],3,FALSE),"")</f>
        <v>FUNDAMENTAL</v>
      </c>
      <c r="G530" s="4" t="s">
        <v>126</v>
      </c>
    </row>
    <row r="531" spans="1:7" x14ac:dyDescent="0.25">
      <c r="A531" s="28">
        <f>_xlfn.XLOOKUP(tbEscolas[[#This Row],[ESCOLA]],tbNucleo[ESCOLA],tbNucleo[COD ESCOLA],"")</f>
        <v>30</v>
      </c>
      <c r="B531" s="4" t="str" cm="1">
        <f t="array" ref="B531">IFERROR(INDEX(tbNucleo[ESCOLA],ROUNDUP(ROW(B530)/TotalEtapas,0)),"")</f>
        <v>EM DESEMBARGADOR GABRIEL PINTO DE ARRUDA</v>
      </c>
      <c r="C531" s="4" t="s">
        <v>117</v>
      </c>
      <c r="D531" s="4" cm="1">
        <f t="array" ref="D531">IF(B531="","",INDEX(tbEtapas[Nº],MOD(ROW(B530)-1,TotalEtapas)+1))</f>
        <v>8</v>
      </c>
      <c r="E531" s="4" t="str">
        <f>IFERROR(VLOOKUP(tbEscolas[[#This Row],[COD ETPA]],tbEtapas[],2,FALSE),"")</f>
        <v>4º ANO</v>
      </c>
      <c r="F531" s="4" t="str">
        <f>IFERROR(VLOOKUP(tbEscolas[[#This Row],[COD ETPA]],tbEtapas[],3,FALSE),"")</f>
        <v>FUNDAMENTAL</v>
      </c>
      <c r="G531" s="4" t="s">
        <v>126</v>
      </c>
    </row>
    <row r="532" spans="1:7" x14ac:dyDescent="0.25">
      <c r="A532" s="28">
        <f>_xlfn.XLOOKUP(tbEscolas[[#This Row],[ESCOLA]],tbNucleo[ESCOLA],tbNucleo[COD ESCOLA],"")</f>
        <v>30</v>
      </c>
      <c r="B532" s="4" t="str" cm="1">
        <f t="array" ref="B532">IFERROR(INDEX(tbNucleo[ESCOLA],ROUNDUP(ROW(B531)/TotalEtapas,0)),"")</f>
        <v>EM DESEMBARGADOR GABRIEL PINTO DE ARRUDA</v>
      </c>
      <c r="C532" s="4" t="s">
        <v>117</v>
      </c>
      <c r="D532" s="4" cm="1">
        <f t="array" ref="D532">IF(B532="","",INDEX(tbEtapas[Nº],MOD(ROW(B531)-1,TotalEtapas)+1))</f>
        <v>9</v>
      </c>
      <c r="E532" s="4" t="str">
        <f>IFERROR(VLOOKUP(tbEscolas[[#This Row],[COD ETPA]],tbEtapas[],2,FALSE),"")</f>
        <v>5º ANO</v>
      </c>
      <c r="F532" s="4" t="str">
        <f>IFERROR(VLOOKUP(tbEscolas[[#This Row],[COD ETPA]],tbEtapas[],3,FALSE),"")</f>
        <v>FUNDAMENTAL</v>
      </c>
      <c r="G532" s="4" t="s">
        <v>126</v>
      </c>
    </row>
    <row r="533" spans="1:7" x14ac:dyDescent="0.25">
      <c r="A533" s="28">
        <f>_xlfn.XLOOKUP(tbEscolas[[#This Row],[ESCOLA]],tbNucleo[ESCOLA],tbNucleo[COD ESCOLA],"")</f>
        <v>30</v>
      </c>
      <c r="B533" s="4" t="str" cm="1">
        <f t="array" ref="B533">IFERROR(INDEX(tbNucleo[ESCOLA],ROUNDUP(ROW(B532)/TotalEtapas,0)),"")</f>
        <v>EM DESEMBARGADOR GABRIEL PINTO DE ARRUDA</v>
      </c>
      <c r="C533" s="4" t="s">
        <v>117</v>
      </c>
      <c r="D533" s="4" cm="1">
        <f t="array" ref="D533">IF(B533="","",INDEX(tbEtapas[Nº],MOD(ROW(B532)-1,TotalEtapas)+1))</f>
        <v>10</v>
      </c>
      <c r="E533" s="4" t="str">
        <f>IFERROR(VLOOKUP(tbEscolas[[#This Row],[COD ETPA]],tbEtapas[],2,FALSE),"")</f>
        <v>6º ANO</v>
      </c>
      <c r="F533" s="4" t="str">
        <f>IFERROR(VLOOKUP(tbEscolas[[#This Row],[COD ETPA]],tbEtapas[],3,FALSE),"")</f>
        <v>FUNDAMENTAL</v>
      </c>
      <c r="G533" s="4" t="s">
        <v>125</v>
      </c>
    </row>
    <row r="534" spans="1:7" x14ac:dyDescent="0.25">
      <c r="A534" s="28">
        <f>_xlfn.XLOOKUP(tbEscolas[[#This Row],[ESCOLA]],tbNucleo[ESCOLA],tbNucleo[COD ESCOLA],"")</f>
        <v>30</v>
      </c>
      <c r="B534" s="4" t="str" cm="1">
        <f t="array" ref="B534">IFERROR(INDEX(tbNucleo[ESCOLA],ROUNDUP(ROW(B533)/TotalEtapas,0)),"")</f>
        <v>EM DESEMBARGADOR GABRIEL PINTO DE ARRUDA</v>
      </c>
      <c r="C534" s="4" t="s">
        <v>117</v>
      </c>
      <c r="D534" s="4" cm="1">
        <f t="array" ref="D534">IF(B534="","",INDEX(tbEtapas[Nº],MOD(ROW(B533)-1,TotalEtapas)+1))</f>
        <v>11</v>
      </c>
      <c r="E534" s="4" t="str">
        <f>IFERROR(VLOOKUP(tbEscolas[[#This Row],[COD ETPA]],tbEtapas[],2,FALSE),"")</f>
        <v>7º ANO</v>
      </c>
      <c r="F534" s="4" t="str">
        <f>IFERROR(VLOOKUP(tbEscolas[[#This Row],[COD ETPA]],tbEtapas[],3,FALSE),"")</f>
        <v>FUNDAMENTAL</v>
      </c>
      <c r="G534" s="4" t="s">
        <v>125</v>
      </c>
    </row>
    <row r="535" spans="1:7" x14ac:dyDescent="0.25">
      <c r="A535" s="28">
        <f>_xlfn.XLOOKUP(tbEscolas[[#This Row],[ESCOLA]],tbNucleo[ESCOLA],tbNucleo[COD ESCOLA],"")</f>
        <v>30</v>
      </c>
      <c r="B535" s="4" t="str" cm="1">
        <f t="array" ref="B535">IFERROR(INDEX(tbNucleo[ESCOLA],ROUNDUP(ROW(B534)/TotalEtapas,0)),"")</f>
        <v>EM DESEMBARGADOR GABRIEL PINTO DE ARRUDA</v>
      </c>
      <c r="C535" s="4" t="s">
        <v>117</v>
      </c>
      <c r="D535" s="4" cm="1">
        <f t="array" ref="D535">IF(B535="","",INDEX(tbEtapas[Nº],MOD(ROW(B534)-1,TotalEtapas)+1))</f>
        <v>12</v>
      </c>
      <c r="E535" s="4" t="str">
        <f>IFERROR(VLOOKUP(tbEscolas[[#This Row],[COD ETPA]],tbEtapas[],2,FALSE),"")</f>
        <v>8º ANO</v>
      </c>
      <c r="F535" s="4" t="str">
        <f>IFERROR(VLOOKUP(tbEscolas[[#This Row],[COD ETPA]],tbEtapas[],3,FALSE),"")</f>
        <v>FUNDAMENTAL</v>
      </c>
      <c r="G535" s="4" t="s">
        <v>125</v>
      </c>
    </row>
    <row r="536" spans="1:7" x14ac:dyDescent="0.25">
      <c r="A536" s="28">
        <f>_xlfn.XLOOKUP(tbEscolas[[#This Row],[ESCOLA]],tbNucleo[ESCOLA],tbNucleo[COD ESCOLA],"")</f>
        <v>30</v>
      </c>
      <c r="B536" s="4" t="str" cm="1">
        <f t="array" ref="B536">IFERROR(INDEX(tbNucleo[ESCOLA],ROUNDUP(ROW(B535)/TotalEtapas,0)),"")</f>
        <v>EM DESEMBARGADOR GABRIEL PINTO DE ARRUDA</v>
      </c>
      <c r="C536" s="4" t="s">
        <v>117</v>
      </c>
      <c r="D536" s="4" cm="1">
        <f t="array" ref="D536">IF(B536="","",INDEX(tbEtapas[Nº],MOD(ROW(B535)-1,TotalEtapas)+1))</f>
        <v>13</v>
      </c>
      <c r="E536" s="4" t="str">
        <f>IFERROR(VLOOKUP(tbEscolas[[#This Row],[COD ETPA]],tbEtapas[],2,FALSE),"")</f>
        <v>9º ANO</v>
      </c>
      <c r="F536" s="4" t="str">
        <f>IFERROR(VLOOKUP(tbEscolas[[#This Row],[COD ETPA]],tbEtapas[],3,FALSE),"")</f>
        <v>FUNDAMENTAL</v>
      </c>
      <c r="G536" s="4" t="s">
        <v>125</v>
      </c>
    </row>
    <row r="537" spans="1:7" x14ac:dyDescent="0.25">
      <c r="A537" s="28">
        <f>_xlfn.XLOOKUP(tbEscolas[[#This Row],[ESCOLA]],tbNucleo[ESCOLA],tbNucleo[COD ESCOLA],"")</f>
        <v>30</v>
      </c>
      <c r="B537" s="4" t="str" cm="1">
        <f t="array" ref="B537">IFERROR(INDEX(tbNucleo[ESCOLA],ROUNDUP(ROW(B536)/TotalEtapas,0)),"")</f>
        <v>EM DESEMBARGADOR GABRIEL PINTO DE ARRUDA</v>
      </c>
      <c r="C537" s="4" t="s">
        <v>117</v>
      </c>
      <c r="D537" s="4">
        <v>14</v>
      </c>
      <c r="E537" s="4" t="str">
        <f>IFERROR(VLOOKUP(tbEscolas[[#This Row],[COD ETPA]],tbEtapas[],2,FALSE),"")</f>
        <v>1º ANO</v>
      </c>
      <c r="F537" s="4" t="str">
        <f>IFERROR(VLOOKUP(tbEscolas[[#This Row],[COD ETPA]],tbEtapas[],3,FALSE),"")</f>
        <v>ENSINO MÉDIO</v>
      </c>
      <c r="G537" s="4" t="s">
        <v>125</v>
      </c>
    </row>
    <row r="538" spans="1:7" x14ac:dyDescent="0.25">
      <c r="A538" s="28">
        <f>_xlfn.XLOOKUP(tbEscolas[[#This Row],[ESCOLA]],tbNucleo[ESCOLA],tbNucleo[COD ESCOLA],"")</f>
        <v>30</v>
      </c>
      <c r="B538" s="4" t="str" cm="1">
        <f t="array" ref="B538">IFERROR(INDEX(tbNucleo[ESCOLA],ROUNDUP(ROW(B537)/TotalEtapas,0)),"")</f>
        <v>EM DESEMBARGADOR GABRIEL PINTO DE ARRUDA</v>
      </c>
      <c r="C538" s="4" t="s">
        <v>117</v>
      </c>
      <c r="D538" s="4">
        <v>15</v>
      </c>
      <c r="E538" s="4" t="str">
        <f>IFERROR(VLOOKUP(tbEscolas[[#This Row],[COD ETPA]],tbEtapas[],2,FALSE),"")</f>
        <v>2º ANO</v>
      </c>
      <c r="F538" s="4" t="str">
        <f>IFERROR(VLOOKUP(tbEscolas[[#This Row],[COD ETPA]],tbEtapas[],3,FALSE),"")</f>
        <v>ENSINO MÉDIO</v>
      </c>
      <c r="G538" s="4" t="s">
        <v>125</v>
      </c>
    </row>
    <row r="539" spans="1:7" x14ac:dyDescent="0.25">
      <c r="A539" s="28">
        <f>_xlfn.XLOOKUP(tbEscolas[[#This Row],[ESCOLA]],tbNucleo[ESCOLA],tbNucleo[COD ESCOLA],"")</f>
        <v>30</v>
      </c>
      <c r="B539" s="4" t="str" cm="1">
        <f t="array" ref="B539">IFERROR(INDEX(tbNucleo[ESCOLA],ROUNDUP(ROW(B538)/TotalEtapas,0)),"")</f>
        <v>EM DESEMBARGADOR GABRIEL PINTO DE ARRUDA</v>
      </c>
      <c r="C539" s="4" t="s">
        <v>117</v>
      </c>
      <c r="D539" s="4">
        <v>16</v>
      </c>
      <c r="E539" s="4" t="str">
        <f>IFERROR(VLOOKUP(tbEscolas[[#This Row],[COD ETPA]],tbEtapas[],2,FALSE),"")</f>
        <v>3º ANO</v>
      </c>
      <c r="F539" s="4" t="str">
        <f>IFERROR(VLOOKUP(tbEscolas[[#This Row],[COD ETPA]],tbEtapas[],3,FALSE),"")</f>
        <v>ENSINO MÉDIO</v>
      </c>
      <c r="G539" s="4" t="s">
        <v>125</v>
      </c>
    </row>
    <row r="540" spans="1:7" x14ac:dyDescent="0.25">
      <c r="A540" s="28">
        <f>_xlfn.XLOOKUP(tbEscolas[[#This Row],[ESCOLA]],tbNucleo[ESCOLA],tbNucleo[COD ESCOLA],"")</f>
        <v>30</v>
      </c>
      <c r="B540" s="4" t="str" cm="1">
        <f t="array" ref="B540">IFERROR(INDEX(tbNucleo[ESCOLA],ROUNDUP(ROW(B539)/TotalEtapas,0)),"")</f>
        <v>EM DESEMBARGADOR GABRIEL PINTO DE ARRUDA</v>
      </c>
      <c r="C540" s="4" t="s">
        <v>117</v>
      </c>
      <c r="D540" s="4">
        <v>17</v>
      </c>
      <c r="E540" s="4" t="str">
        <f>IFERROR(VLOOKUP(tbEscolas[[#This Row],[COD ETPA]],tbEtapas[],2,FALSE),"")</f>
        <v>EJA I</v>
      </c>
      <c r="F540" s="4" t="str">
        <f>IFERROR(VLOOKUP(tbEscolas[[#This Row],[COD ETPA]],tbEtapas[],3,FALSE),"")</f>
        <v>FUNDAMENTAL</v>
      </c>
      <c r="G540" s="4" t="s">
        <v>125</v>
      </c>
    </row>
    <row r="541" spans="1:7" x14ac:dyDescent="0.25">
      <c r="A541" s="28">
        <f>_xlfn.XLOOKUP(tbEscolas[[#This Row],[ESCOLA]],tbNucleo[ESCOLA],tbNucleo[COD ESCOLA],"")</f>
        <v>30</v>
      </c>
      <c r="B541" s="4" t="str" cm="1">
        <f t="array" ref="B541">IFERROR(INDEX(tbNucleo[ESCOLA],ROUNDUP(ROW(B540)/TotalEtapas,0)),"")</f>
        <v>EM DESEMBARGADOR GABRIEL PINTO DE ARRUDA</v>
      </c>
      <c r="C541" s="4" t="s">
        <v>117</v>
      </c>
      <c r="D541" s="4">
        <v>18</v>
      </c>
      <c r="E541" s="4" t="str">
        <f>IFERROR(VLOOKUP(tbEscolas[[#This Row],[COD ETPA]],tbEtapas[],2,FALSE),"")</f>
        <v>EJA II</v>
      </c>
      <c r="F541" s="4" t="str">
        <f>IFERROR(VLOOKUP(tbEscolas[[#This Row],[COD ETPA]],tbEtapas[],3,FALSE),"")</f>
        <v>ENSINO MÉDIO</v>
      </c>
      <c r="G541" s="4" t="s">
        <v>125</v>
      </c>
    </row>
    <row r="542" spans="1:7" x14ac:dyDescent="0.25">
      <c r="A542" s="24">
        <f>_xlfn.XLOOKUP(tbEscolas[[#This Row],[ESCOLA]],tbNucleo[ESCOLA],tbNucleo[COD ESCOLA],"")</f>
        <v>31</v>
      </c>
      <c r="B542" t="str" cm="1">
        <f t="array" ref="B542">IFERROR(INDEX(tbNucleo[ESCOLA],ROUNDUP(ROW(B541)/TotalEtapas,0)),"")</f>
        <v xml:space="preserve">EM DR. JOSE RODRIGUES FONTES </v>
      </c>
      <c r="C542" t="s">
        <v>31</v>
      </c>
      <c r="D542" cm="1">
        <f t="array" ref="D542">IF(B542="","",INDEX(tbEtapas[Nº],MOD(ROW(B541)-1,TotalEtapas)+1))</f>
        <v>1</v>
      </c>
      <c r="E542" t="str">
        <f>IFERROR(VLOOKUP(tbEscolas[[#This Row],[COD ETPA]],tbEtapas[],2,FALSE),"")</f>
        <v>CRECHE I</v>
      </c>
      <c r="F542" t="str">
        <f>IFERROR(VLOOKUP(tbEscolas[[#This Row],[COD ETPA]],tbEtapas[],3,FALSE),"")</f>
        <v>EDUCAÇÃO INFANTIL</v>
      </c>
      <c r="G542" t="s">
        <v>125</v>
      </c>
    </row>
    <row r="543" spans="1:7" x14ac:dyDescent="0.25">
      <c r="A543" s="24">
        <f>_xlfn.XLOOKUP(tbEscolas[[#This Row],[ESCOLA]],tbNucleo[ESCOLA],tbNucleo[COD ESCOLA],"")</f>
        <v>31</v>
      </c>
      <c r="B543" t="str" cm="1">
        <f t="array" ref="B543">IFERROR(INDEX(tbNucleo[ESCOLA],ROUNDUP(ROW(B542)/TotalEtapas,0)),"")</f>
        <v xml:space="preserve">EM DR. JOSE RODRIGUES FONTES </v>
      </c>
      <c r="C543" t="s">
        <v>31</v>
      </c>
      <c r="D543" cm="1">
        <f t="array" ref="D543">IF(B543="","",INDEX(tbEtapas[Nº],MOD(ROW(B542)-1,TotalEtapas)+1))</f>
        <v>2</v>
      </c>
      <c r="E543" t="str">
        <f>IFERROR(VLOOKUP(tbEscolas[[#This Row],[COD ETPA]],tbEtapas[],2,FALSE),"")</f>
        <v>CRECHE II</v>
      </c>
      <c r="F543" t="str">
        <f>IFERROR(VLOOKUP(tbEscolas[[#This Row],[COD ETPA]],tbEtapas[],3,FALSE),"")</f>
        <v>EDUCAÇÃO INFANTIL</v>
      </c>
      <c r="G543" t="s">
        <v>125</v>
      </c>
    </row>
    <row r="544" spans="1:7" x14ac:dyDescent="0.25">
      <c r="A544" s="24">
        <f>_xlfn.XLOOKUP(tbEscolas[[#This Row],[ESCOLA]],tbNucleo[ESCOLA],tbNucleo[COD ESCOLA],"")</f>
        <v>31</v>
      </c>
      <c r="B544" t="str" cm="1">
        <f t="array" ref="B544">IFERROR(INDEX(tbNucleo[ESCOLA],ROUNDUP(ROW(B543)/TotalEtapas,0)),"")</f>
        <v xml:space="preserve">EM DR. JOSE RODRIGUES FONTES </v>
      </c>
      <c r="C544" t="s">
        <v>31</v>
      </c>
      <c r="D544" cm="1">
        <f t="array" ref="D544">IF(B544="","",INDEX(tbEtapas[Nº],MOD(ROW(B543)-1,TotalEtapas)+1))</f>
        <v>3</v>
      </c>
      <c r="E544" t="str">
        <f>IFERROR(VLOOKUP(tbEscolas[[#This Row],[COD ETPA]],tbEtapas[],2,FALSE),"")</f>
        <v>PRE I</v>
      </c>
      <c r="F544" t="str">
        <f>IFERROR(VLOOKUP(tbEscolas[[#This Row],[COD ETPA]],tbEtapas[],3,FALSE),"")</f>
        <v>EDUCAÇÃO INFANTIL</v>
      </c>
      <c r="G544" t="s">
        <v>126</v>
      </c>
    </row>
    <row r="545" spans="1:7" x14ac:dyDescent="0.25">
      <c r="A545" s="24">
        <f>_xlfn.XLOOKUP(tbEscolas[[#This Row],[ESCOLA]],tbNucleo[ESCOLA],tbNucleo[COD ESCOLA],"")</f>
        <v>31</v>
      </c>
      <c r="B545" t="str" cm="1">
        <f t="array" ref="B545">IFERROR(INDEX(tbNucleo[ESCOLA],ROUNDUP(ROW(B544)/TotalEtapas,0)),"")</f>
        <v xml:space="preserve">EM DR. JOSE RODRIGUES FONTES </v>
      </c>
      <c r="C545" t="s">
        <v>31</v>
      </c>
      <c r="D545" cm="1">
        <f t="array" ref="D545">IF(B545="","",INDEX(tbEtapas[Nº],MOD(ROW(B544)-1,TotalEtapas)+1))</f>
        <v>4</v>
      </c>
      <c r="E545" t="str">
        <f>IFERROR(VLOOKUP(tbEscolas[[#This Row],[COD ETPA]],tbEtapas[],2,FALSE),"")</f>
        <v>PRE II</v>
      </c>
      <c r="F545" t="str">
        <f>IFERROR(VLOOKUP(tbEscolas[[#This Row],[COD ETPA]],tbEtapas[],3,FALSE),"")</f>
        <v>EDUCAÇÃO INFANTIL</v>
      </c>
      <c r="G545" t="s">
        <v>126</v>
      </c>
    </row>
    <row r="546" spans="1:7" x14ac:dyDescent="0.25">
      <c r="A546" s="24">
        <f>_xlfn.XLOOKUP(tbEscolas[[#This Row],[ESCOLA]],tbNucleo[ESCOLA],tbNucleo[COD ESCOLA],"")</f>
        <v>31</v>
      </c>
      <c r="B546" t="str" cm="1">
        <f t="array" ref="B546">IFERROR(INDEX(tbNucleo[ESCOLA],ROUNDUP(ROW(B545)/TotalEtapas,0)),"")</f>
        <v xml:space="preserve">EM DR. JOSE RODRIGUES FONTES </v>
      </c>
      <c r="C546" t="s">
        <v>31</v>
      </c>
      <c r="D546" cm="1">
        <f t="array" ref="D546">IF(B546="","",INDEX(tbEtapas[Nº],MOD(ROW(B545)-1,TotalEtapas)+1))</f>
        <v>5</v>
      </c>
      <c r="E546" t="str">
        <f>IFERROR(VLOOKUP(tbEscolas[[#This Row],[COD ETPA]],tbEtapas[],2,FALSE),"")</f>
        <v>1º ANO</v>
      </c>
      <c r="F546" t="str">
        <f>IFERROR(VLOOKUP(tbEscolas[[#This Row],[COD ETPA]],tbEtapas[],3,FALSE),"")</f>
        <v>FUNDAMENTAL</v>
      </c>
      <c r="G546" t="s">
        <v>126</v>
      </c>
    </row>
    <row r="547" spans="1:7" x14ac:dyDescent="0.25">
      <c r="A547" s="24">
        <f>_xlfn.XLOOKUP(tbEscolas[[#This Row],[ESCOLA]],tbNucleo[ESCOLA],tbNucleo[COD ESCOLA],"")</f>
        <v>31</v>
      </c>
      <c r="B547" t="str" cm="1">
        <f t="array" ref="B547">IFERROR(INDEX(tbNucleo[ESCOLA],ROUNDUP(ROW(B546)/TotalEtapas,0)),"")</f>
        <v xml:space="preserve">EM DR. JOSE RODRIGUES FONTES </v>
      </c>
      <c r="C547" t="s">
        <v>31</v>
      </c>
      <c r="D547" cm="1">
        <f t="array" ref="D547">IF(B547="","",INDEX(tbEtapas[Nº],MOD(ROW(B546)-1,TotalEtapas)+1))</f>
        <v>6</v>
      </c>
      <c r="E547" t="str">
        <f>IFERROR(VLOOKUP(tbEscolas[[#This Row],[COD ETPA]],tbEtapas[],2,FALSE),"")</f>
        <v>2º ANO</v>
      </c>
      <c r="F547" t="str">
        <f>IFERROR(VLOOKUP(tbEscolas[[#This Row],[COD ETPA]],tbEtapas[],3,FALSE),"")</f>
        <v>FUNDAMENTAL</v>
      </c>
      <c r="G547" t="s">
        <v>126</v>
      </c>
    </row>
    <row r="548" spans="1:7" x14ac:dyDescent="0.25">
      <c r="A548" s="24">
        <f>_xlfn.XLOOKUP(tbEscolas[[#This Row],[ESCOLA]],tbNucleo[ESCOLA],tbNucleo[COD ESCOLA],"")</f>
        <v>31</v>
      </c>
      <c r="B548" t="str" cm="1">
        <f t="array" ref="B548">IFERROR(INDEX(tbNucleo[ESCOLA],ROUNDUP(ROW(B547)/TotalEtapas,0)),"")</f>
        <v xml:space="preserve">EM DR. JOSE RODRIGUES FONTES </v>
      </c>
      <c r="C548" t="s">
        <v>31</v>
      </c>
      <c r="D548" cm="1">
        <f t="array" ref="D548">IF(B548="","",INDEX(tbEtapas[Nº],MOD(ROW(B547)-1,TotalEtapas)+1))</f>
        <v>7</v>
      </c>
      <c r="E548" t="str">
        <f>IFERROR(VLOOKUP(tbEscolas[[#This Row],[COD ETPA]],tbEtapas[],2,FALSE),"")</f>
        <v>3º ANO</v>
      </c>
      <c r="F548" t="str">
        <f>IFERROR(VLOOKUP(tbEscolas[[#This Row],[COD ETPA]],tbEtapas[],3,FALSE),"")</f>
        <v>FUNDAMENTAL</v>
      </c>
      <c r="G548" t="s">
        <v>126</v>
      </c>
    </row>
    <row r="549" spans="1:7" x14ac:dyDescent="0.25">
      <c r="A549" s="24">
        <f>_xlfn.XLOOKUP(tbEscolas[[#This Row],[ESCOLA]],tbNucleo[ESCOLA],tbNucleo[COD ESCOLA],"")</f>
        <v>31</v>
      </c>
      <c r="B549" t="str" cm="1">
        <f t="array" ref="B549">IFERROR(INDEX(tbNucleo[ESCOLA],ROUNDUP(ROW(B548)/TotalEtapas,0)),"")</f>
        <v xml:space="preserve">EM DR. JOSE RODRIGUES FONTES </v>
      </c>
      <c r="C549" t="s">
        <v>31</v>
      </c>
      <c r="D549" cm="1">
        <f t="array" ref="D549">IF(B549="","",INDEX(tbEtapas[Nº],MOD(ROW(B548)-1,TotalEtapas)+1))</f>
        <v>8</v>
      </c>
      <c r="E549" t="str">
        <f>IFERROR(VLOOKUP(tbEscolas[[#This Row],[COD ETPA]],tbEtapas[],2,FALSE),"")</f>
        <v>4º ANO</v>
      </c>
      <c r="F549" t="str">
        <f>IFERROR(VLOOKUP(tbEscolas[[#This Row],[COD ETPA]],tbEtapas[],3,FALSE),"")</f>
        <v>FUNDAMENTAL</v>
      </c>
      <c r="G549" t="s">
        <v>126</v>
      </c>
    </row>
    <row r="550" spans="1:7" x14ac:dyDescent="0.25">
      <c r="A550" s="24">
        <f>_xlfn.XLOOKUP(tbEscolas[[#This Row],[ESCOLA]],tbNucleo[ESCOLA],tbNucleo[COD ESCOLA],"")</f>
        <v>31</v>
      </c>
      <c r="B550" t="str" cm="1">
        <f t="array" ref="B550">IFERROR(INDEX(tbNucleo[ESCOLA],ROUNDUP(ROW(B549)/TotalEtapas,0)),"")</f>
        <v xml:space="preserve">EM DR. JOSE RODRIGUES FONTES </v>
      </c>
      <c r="C550" t="s">
        <v>31</v>
      </c>
      <c r="D550" cm="1">
        <f t="array" ref="D550">IF(B550="","",INDEX(tbEtapas[Nº],MOD(ROW(B549)-1,TotalEtapas)+1))</f>
        <v>9</v>
      </c>
      <c r="E550" t="str">
        <f>IFERROR(VLOOKUP(tbEscolas[[#This Row],[COD ETPA]],tbEtapas[],2,FALSE),"")</f>
        <v>5º ANO</v>
      </c>
      <c r="F550" t="str">
        <f>IFERROR(VLOOKUP(tbEscolas[[#This Row],[COD ETPA]],tbEtapas[],3,FALSE),"")</f>
        <v>FUNDAMENTAL</v>
      </c>
      <c r="G550" t="s">
        <v>126</v>
      </c>
    </row>
    <row r="551" spans="1:7" x14ac:dyDescent="0.25">
      <c r="A551" s="24">
        <f>_xlfn.XLOOKUP(tbEscolas[[#This Row],[ESCOLA]],tbNucleo[ESCOLA],tbNucleo[COD ESCOLA],"")</f>
        <v>31</v>
      </c>
      <c r="B551" t="str" cm="1">
        <f t="array" ref="B551">IFERROR(INDEX(tbNucleo[ESCOLA],ROUNDUP(ROW(B550)/TotalEtapas,0)),"")</f>
        <v xml:space="preserve">EM DR. JOSE RODRIGUES FONTES </v>
      </c>
      <c r="C551" t="s">
        <v>31</v>
      </c>
      <c r="D551" cm="1">
        <f t="array" ref="D551">IF(B551="","",INDEX(tbEtapas[Nº],MOD(ROW(B550)-1,TotalEtapas)+1))</f>
        <v>10</v>
      </c>
      <c r="E551" t="str">
        <f>IFERROR(VLOOKUP(tbEscolas[[#This Row],[COD ETPA]],tbEtapas[],2,FALSE),"")</f>
        <v>6º ANO</v>
      </c>
      <c r="F551" t="str">
        <f>IFERROR(VLOOKUP(tbEscolas[[#This Row],[COD ETPA]],tbEtapas[],3,FALSE),"")</f>
        <v>FUNDAMENTAL</v>
      </c>
      <c r="G551" t="s">
        <v>125</v>
      </c>
    </row>
    <row r="552" spans="1:7" x14ac:dyDescent="0.25">
      <c r="A552" s="24">
        <f>_xlfn.XLOOKUP(tbEscolas[[#This Row],[ESCOLA]],tbNucleo[ESCOLA],tbNucleo[COD ESCOLA],"")</f>
        <v>31</v>
      </c>
      <c r="B552" t="str" cm="1">
        <f t="array" ref="B552">IFERROR(INDEX(tbNucleo[ESCOLA],ROUNDUP(ROW(B551)/TotalEtapas,0)),"")</f>
        <v xml:space="preserve">EM DR. JOSE RODRIGUES FONTES </v>
      </c>
      <c r="C552" t="s">
        <v>31</v>
      </c>
      <c r="D552" cm="1">
        <f t="array" ref="D552">IF(B552="","",INDEX(tbEtapas[Nº],MOD(ROW(B551)-1,TotalEtapas)+1))</f>
        <v>11</v>
      </c>
      <c r="E552" t="str">
        <f>IFERROR(VLOOKUP(tbEscolas[[#This Row],[COD ETPA]],tbEtapas[],2,FALSE),"")</f>
        <v>7º ANO</v>
      </c>
      <c r="F552" t="str">
        <f>IFERROR(VLOOKUP(tbEscolas[[#This Row],[COD ETPA]],tbEtapas[],3,FALSE),"")</f>
        <v>FUNDAMENTAL</v>
      </c>
      <c r="G552" t="s">
        <v>125</v>
      </c>
    </row>
    <row r="553" spans="1:7" x14ac:dyDescent="0.25">
      <c r="A553" s="24">
        <f>_xlfn.XLOOKUP(tbEscolas[[#This Row],[ESCOLA]],tbNucleo[ESCOLA],tbNucleo[COD ESCOLA],"")</f>
        <v>31</v>
      </c>
      <c r="B553" t="str" cm="1">
        <f t="array" ref="B553">IFERROR(INDEX(tbNucleo[ESCOLA],ROUNDUP(ROW(B552)/TotalEtapas,0)),"")</f>
        <v xml:space="preserve">EM DR. JOSE RODRIGUES FONTES </v>
      </c>
      <c r="C553" t="s">
        <v>31</v>
      </c>
      <c r="D553" cm="1">
        <f t="array" ref="D553">IF(B553="","",INDEX(tbEtapas[Nº],MOD(ROW(B552)-1,TotalEtapas)+1))</f>
        <v>12</v>
      </c>
      <c r="E553" t="str">
        <f>IFERROR(VLOOKUP(tbEscolas[[#This Row],[COD ETPA]],tbEtapas[],2,FALSE),"")</f>
        <v>8º ANO</v>
      </c>
      <c r="F553" t="str">
        <f>IFERROR(VLOOKUP(tbEscolas[[#This Row],[COD ETPA]],tbEtapas[],3,FALSE),"")</f>
        <v>FUNDAMENTAL</v>
      </c>
      <c r="G553" t="s">
        <v>125</v>
      </c>
    </row>
    <row r="554" spans="1:7" x14ac:dyDescent="0.25">
      <c r="A554" s="24">
        <f>_xlfn.XLOOKUP(tbEscolas[[#This Row],[ESCOLA]],tbNucleo[ESCOLA],tbNucleo[COD ESCOLA],"")</f>
        <v>31</v>
      </c>
      <c r="B554" t="str" cm="1">
        <f t="array" ref="B554">IFERROR(INDEX(tbNucleo[ESCOLA],ROUNDUP(ROW(B553)/TotalEtapas,0)),"")</f>
        <v xml:space="preserve">EM DR. JOSE RODRIGUES FONTES </v>
      </c>
      <c r="C554" t="s">
        <v>31</v>
      </c>
      <c r="D554" cm="1">
        <f t="array" ref="D554">IF(B554="","",INDEX(tbEtapas[Nº],MOD(ROW(B553)-1,TotalEtapas)+1))</f>
        <v>13</v>
      </c>
      <c r="E554" t="str">
        <f>IFERROR(VLOOKUP(tbEscolas[[#This Row],[COD ETPA]],tbEtapas[],2,FALSE),"")</f>
        <v>9º ANO</v>
      </c>
      <c r="F554" t="str">
        <f>IFERROR(VLOOKUP(tbEscolas[[#This Row],[COD ETPA]],tbEtapas[],3,FALSE),"")</f>
        <v>FUNDAMENTAL</v>
      </c>
      <c r="G554" t="s">
        <v>125</v>
      </c>
    </row>
    <row r="555" spans="1:7" x14ac:dyDescent="0.25">
      <c r="A555" s="24">
        <f>_xlfn.XLOOKUP(tbEscolas[[#This Row],[ESCOLA]],tbNucleo[ESCOLA],tbNucleo[COD ESCOLA],"")</f>
        <v>31</v>
      </c>
      <c r="B555" t="str" cm="1">
        <f t="array" ref="B555">IFERROR(INDEX(tbNucleo[ESCOLA],ROUNDUP(ROW(B554)/TotalEtapas,0)),"")</f>
        <v xml:space="preserve">EM DR. JOSE RODRIGUES FONTES </v>
      </c>
      <c r="C555" t="s">
        <v>31</v>
      </c>
      <c r="D555">
        <v>14</v>
      </c>
      <c r="E555" t="str">
        <f>IFERROR(VLOOKUP(tbEscolas[[#This Row],[COD ETPA]],tbEtapas[],2,FALSE),"")</f>
        <v>1º ANO</v>
      </c>
      <c r="F555" t="str">
        <f>IFERROR(VLOOKUP(tbEscolas[[#This Row],[COD ETPA]],tbEtapas[],3,FALSE),"")</f>
        <v>ENSINO MÉDIO</v>
      </c>
      <c r="G555" t="s">
        <v>125</v>
      </c>
    </row>
    <row r="556" spans="1:7" x14ac:dyDescent="0.25">
      <c r="A556" s="24">
        <f>_xlfn.XLOOKUP(tbEscolas[[#This Row],[ESCOLA]],tbNucleo[ESCOLA],tbNucleo[COD ESCOLA],"")</f>
        <v>31</v>
      </c>
      <c r="B556" t="str" cm="1">
        <f t="array" ref="B556">IFERROR(INDEX(tbNucleo[ESCOLA],ROUNDUP(ROW(B555)/TotalEtapas,0)),"")</f>
        <v xml:space="preserve">EM DR. JOSE RODRIGUES FONTES </v>
      </c>
      <c r="C556" t="s">
        <v>31</v>
      </c>
      <c r="D556">
        <v>15</v>
      </c>
      <c r="E556" t="str">
        <f>IFERROR(VLOOKUP(tbEscolas[[#This Row],[COD ETPA]],tbEtapas[],2,FALSE),"")</f>
        <v>2º ANO</v>
      </c>
      <c r="F556" t="str">
        <f>IFERROR(VLOOKUP(tbEscolas[[#This Row],[COD ETPA]],tbEtapas[],3,FALSE),"")</f>
        <v>ENSINO MÉDIO</v>
      </c>
      <c r="G556" t="s">
        <v>125</v>
      </c>
    </row>
    <row r="557" spans="1:7" x14ac:dyDescent="0.25">
      <c r="A557" s="24">
        <f>_xlfn.XLOOKUP(tbEscolas[[#This Row],[ESCOLA]],tbNucleo[ESCOLA],tbNucleo[COD ESCOLA],"")</f>
        <v>31</v>
      </c>
      <c r="B557" t="str" cm="1">
        <f t="array" ref="B557">IFERROR(INDEX(tbNucleo[ESCOLA],ROUNDUP(ROW(B556)/TotalEtapas,0)),"")</f>
        <v xml:space="preserve">EM DR. JOSE RODRIGUES FONTES </v>
      </c>
      <c r="C557" t="s">
        <v>31</v>
      </c>
      <c r="D557">
        <v>16</v>
      </c>
      <c r="E557" t="str">
        <f>IFERROR(VLOOKUP(tbEscolas[[#This Row],[COD ETPA]],tbEtapas[],2,FALSE),"")</f>
        <v>3º ANO</v>
      </c>
      <c r="F557" t="str">
        <f>IFERROR(VLOOKUP(tbEscolas[[#This Row],[COD ETPA]],tbEtapas[],3,FALSE),"")</f>
        <v>ENSINO MÉDIO</v>
      </c>
      <c r="G557" t="s">
        <v>125</v>
      </c>
    </row>
    <row r="558" spans="1:7" x14ac:dyDescent="0.25">
      <c r="A558" s="24">
        <f>_xlfn.XLOOKUP(tbEscolas[[#This Row],[ESCOLA]],tbNucleo[ESCOLA],tbNucleo[COD ESCOLA],"")</f>
        <v>31</v>
      </c>
      <c r="B558" t="str" cm="1">
        <f t="array" ref="B558">IFERROR(INDEX(tbNucleo[ESCOLA],ROUNDUP(ROW(B557)/TotalEtapas,0)),"")</f>
        <v xml:space="preserve">EM DR. JOSE RODRIGUES FONTES </v>
      </c>
      <c r="C558" t="s">
        <v>31</v>
      </c>
      <c r="D558">
        <v>17</v>
      </c>
      <c r="E558" t="str">
        <f>IFERROR(VLOOKUP(tbEscolas[[#This Row],[COD ETPA]],tbEtapas[],2,FALSE),"")</f>
        <v>EJA I</v>
      </c>
      <c r="F558" t="str">
        <f>IFERROR(VLOOKUP(tbEscolas[[#This Row],[COD ETPA]],tbEtapas[],3,FALSE),"")</f>
        <v>FUNDAMENTAL</v>
      </c>
      <c r="G558" t="s">
        <v>125</v>
      </c>
    </row>
    <row r="559" spans="1:7" x14ac:dyDescent="0.25">
      <c r="A559" s="24">
        <f>_xlfn.XLOOKUP(tbEscolas[[#This Row],[ESCOLA]],tbNucleo[ESCOLA],tbNucleo[COD ESCOLA],"")</f>
        <v>31</v>
      </c>
      <c r="B559" t="str" cm="1">
        <f t="array" ref="B559">IFERROR(INDEX(tbNucleo[ESCOLA],ROUNDUP(ROW(B558)/TotalEtapas,0)),"")</f>
        <v xml:space="preserve">EM DR. JOSE RODRIGUES FONTES </v>
      </c>
      <c r="C559" t="s">
        <v>31</v>
      </c>
      <c r="D559">
        <v>18</v>
      </c>
      <c r="E559" t="str">
        <f>IFERROR(VLOOKUP(tbEscolas[[#This Row],[COD ETPA]],tbEtapas[],2,FALSE),"")</f>
        <v>EJA II</v>
      </c>
      <c r="F559" t="str">
        <f>IFERROR(VLOOKUP(tbEscolas[[#This Row],[COD ETPA]],tbEtapas[],3,FALSE),"")</f>
        <v>ENSINO MÉDIO</v>
      </c>
      <c r="G559" t="s">
        <v>125</v>
      </c>
    </row>
    <row r="560" spans="1:7" x14ac:dyDescent="0.25">
      <c r="A560" s="29">
        <f>_xlfn.XLOOKUP(tbEscolas[[#This Row],[ESCOLA]],tbNucleo[ESCOLA],tbNucleo[COD ESCOLA],"")</f>
        <v>32</v>
      </c>
      <c r="B560" s="5" t="str" cm="1">
        <f t="array" ref="B560">IFERROR(INDEX(tbNucleo[ESCOLA],ROUNDUP(ROW(B559)/TotalEtapas,0)),"")</f>
        <v>EM DUQUE DE CAXIAS</v>
      </c>
      <c r="C560" s="5" t="s">
        <v>116</v>
      </c>
      <c r="D560" s="5" cm="1">
        <f t="array" ref="D560">IF(B560="","",INDEX(tbEtapas[Nº],MOD(ROW(B559)-1,TotalEtapas)+1))</f>
        <v>1</v>
      </c>
      <c r="E560" s="5" t="str">
        <f>IFERROR(VLOOKUP(tbEscolas[[#This Row],[COD ETPA]],tbEtapas[],2,FALSE),"")</f>
        <v>CRECHE I</v>
      </c>
      <c r="F560" s="5" t="str">
        <f>IFERROR(VLOOKUP(tbEscolas[[#This Row],[COD ETPA]],tbEtapas[],3,FALSE),"")</f>
        <v>EDUCAÇÃO INFANTIL</v>
      </c>
      <c r="G560" s="5" t="s">
        <v>126</v>
      </c>
    </row>
    <row r="561" spans="1:7" x14ac:dyDescent="0.25">
      <c r="A561" s="29">
        <f>_xlfn.XLOOKUP(tbEscolas[[#This Row],[ESCOLA]],tbNucleo[ESCOLA],tbNucleo[COD ESCOLA],"")</f>
        <v>32</v>
      </c>
      <c r="B561" s="5" t="str" cm="1">
        <f t="array" ref="B561">IFERROR(INDEX(tbNucleo[ESCOLA],ROUNDUP(ROW(B560)/TotalEtapas,0)),"")</f>
        <v>EM DUQUE DE CAXIAS</v>
      </c>
      <c r="C561" s="5" t="s">
        <v>116</v>
      </c>
      <c r="D561" s="5" cm="1">
        <f t="array" ref="D561">IF(B561="","",INDEX(tbEtapas[Nº],MOD(ROW(B560)-1,TotalEtapas)+1))</f>
        <v>2</v>
      </c>
      <c r="E561" s="5" t="str">
        <f>IFERROR(VLOOKUP(tbEscolas[[#This Row],[COD ETPA]],tbEtapas[],2,FALSE),"")</f>
        <v>CRECHE II</v>
      </c>
      <c r="F561" s="5" t="str">
        <f>IFERROR(VLOOKUP(tbEscolas[[#This Row],[COD ETPA]],tbEtapas[],3,FALSE),"")</f>
        <v>EDUCAÇÃO INFANTIL</v>
      </c>
      <c r="G561" s="5" t="s">
        <v>126</v>
      </c>
    </row>
    <row r="562" spans="1:7" x14ac:dyDescent="0.25">
      <c r="A562" s="29">
        <f>_xlfn.XLOOKUP(tbEscolas[[#This Row],[ESCOLA]],tbNucleo[ESCOLA],tbNucleo[COD ESCOLA],"")</f>
        <v>32</v>
      </c>
      <c r="B562" s="5" t="str" cm="1">
        <f t="array" ref="B562">IFERROR(INDEX(tbNucleo[ESCOLA],ROUNDUP(ROW(B561)/TotalEtapas,0)),"")</f>
        <v>EM DUQUE DE CAXIAS</v>
      </c>
      <c r="C562" s="5" t="s">
        <v>116</v>
      </c>
      <c r="D562" s="5" cm="1">
        <f t="array" ref="D562">IF(B562="","",INDEX(tbEtapas[Nº],MOD(ROW(B561)-1,TotalEtapas)+1))</f>
        <v>3</v>
      </c>
      <c r="E562" s="5" t="str">
        <f>IFERROR(VLOOKUP(tbEscolas[[#This Row],[COD ETPA]],tbEtapas[],2,FALSE),"")</f>
        <v>PRE I</v>
      </c>
      <c r="F562" s="5" t="str">
        <f>IFERROR(VLOOKUP(tbEscolas[[#This Row],[COD ETPA]],tbEtapas[],3,FALSE),"")</f>
        <v>EDUCAÇÃO INFANTIL</v>
      </c>
      <c r="G562" s="5" t="s">
        <v>126</v>
      </c>
    </row>
    <row r="563" spans="1:7" x14ac:dyDescent="0.25">
      <c r="A563" s="29">
        <f>_xlfn.XLOOKUP(tbEscolas[[#This Row],[ESCOLA]],tbNucleo[ESCOLA],tbNucleo[COD ESCOLA],"")</f>
        <v>32</v>
      </c>
      <c r="B563" s="5" t="str" cm="1">
        <f t="array" ref="B563">IFERROR(INDEX(tbNucleo[ESCOLA],ROUNDUP(ROW(B562)/TotalEtapas,0)),"")</f>
        <v>EM DUQUE DE CAXIAS</v>
      </c>
      <c r="C563" s="5" t="s">
        <v>116</v>
      </c>
      <c r="D563" s="5" cm="1">
        <f t="array" ref="D563">IF(B563="","",INDEX(tbEtapas[Nº],MOD(ROW(B562)-1,TotalEtapas)+1))</f>
        <v>4</v>
      </c>
      <c r="E563" s="5" t="str">
        <f>IFERROR(VLOOKUP(tbEscolas[[#This Row],[COD ETPA]],tbEtapas[],2,FALSE),"")</f>
        <v>PRE II</v>
      </c>
      <c r="F563" s="5" t="str">
        <f>IFERROR(VLOOKUP(tbEscolas[[#This Row],[COD ETPA]],tbEtapas[],3,FALSE),"")</f>
        <v>EDUCAÇÃO INFANTIL</v>
      </c>
      <c r="G563" s="5" t="s">
        <v>126</v>
      </c>
    </row>
    <row r="564" spans="1:7" x14ac:dyDescent="0.25">
      <c r="A564" s="29">
        <f>_xlfn.XLOOKUP(tbEscolas[[#This Row],[ESCOLA]],tbNucleo[ESCOLA],tbNucleo[COD ESCOLA],"")</f>
        <v>32</v>
      </c>
      <c r="B564" s="5" t="str" cm="1">
        <f t="array" ref="B564">IFERROR(INDEX(tbNucleo[ESCOLA],ROUNDUP(ROW(B563)/TotalEtapas,0)),"")</f>
        <v>EM DUQUE DE CAXIAS</v>
      </c>
      <c r="C564" s="5" t="s">
        <v>116</v>
      </c>
      <c r="D564" s="5" cm="1">
        <f t="array" ref="D564">IF(B564="","",INDEX(tbEtapas[Nº],MOD(ROW(B563)-1,TotalEtapas)+1))</f>
        <v>5</v>
      </c>
      <c r="E564" s="5" t="str">
        <f>IFERROR(VLOOKUP(tbEscolas[[#This Row],[COD ETPA]],tbEtapas[],2,FALSE),"")</f>
        <v>1º ANO</v>
      </c>
      <c r="F564" s="5" t="str">
        <f>IFERROR(VLOOKUP(tbEscolas[[#This Row],[COD ETPA]],tbEtapas[],3,FALSE),"")</f>
        <v>FUNDAMENTAL</v>
      </c>
      <c r="G564" s="5" t="s">
        <v>126</v>
      </c>
    </row>
    <row r="565" spans="1:7" x14ac:dyDescent="0.25">
      <c r="A565" s="29">
        <f>_xlfn.XLOOKUP(tbEscolas[[#This Row],[ESCOLA]],tbNucleo[ESCOLA],tbNucleo[COD ESCOLA],"")</f>
        <v>32</v>
      </c>
      <c r="B565" s="5" t="str" cm="1">
        <f t="array" ref="B565">IFERROR(INDEX(tbNucleo[ESCOLA],ROUNDUP(ROW(B564)/TotalEtapas,0)),"")</f>
        <v>EM DUQUE DE CAXIAS</v>
      </c>
      <c r="C565" s="5" t="s">
        <v>116</v>
      </c>
      <c r="D565" s="5" cm="1">
        <f t="array" ref="D565">IF(B565="","",INDEX(tbEtapas[Nº],MOD(ROW(B564)-1,TotalEtapas)+1))</f>
        <v>6</v>
      </c>
      <c r="E565" s="5" t="str">
        <f>IFERROR(VLOOKUP(tbEscolas[[#This Row],[COD ETPA]],tbEtapas[],2,FALSE),"")</f>
        <v>2º ANO</v>
      </c>
      <c r="F565" s="5" t="str">
        <f>IFERROR(VLOOKUP(tbEscolas[[#This Row],[COD ETPA]],tbEtapas[],3,FALSE),"")</f>
        <v>FUNDAMENTAL</v>
      </c>
      <c r="G565" s="5" t="s">
        <v>126</v>
      </c>
    </row>
    <row r="566" spans="1:7" x14ac:dyDescent="0.25">
      <c r="A566" s="29">
        <f>_xlfn.XLOOKUP(tbEscolas[[#This Row],[ESCOLA]],tbNucleo[ESCOLA],tbNucleo[COD ESCOLA],"")</f>
        <v>32</v>
      </c>
      <c r="B566" s="5" t="str" cm="1">
        <f t="array" ref="B566">IFERROR(INDEX(tbNucleo[ESCOLA],ROUNDUP(ROW(B565)/TotalEtapas,0)),"")</f>
        <v>EM DUQUE DE CAXIAS</v>
      </c>
      <c r="C566" s="5" t="s">
        <v>116</v>
      </c>
      <c r="D566" s="5" cm="1">
        <f t="array" ref="D566">IF(B566="","",INDEX(tbEtapas[Nº],MOD(ROW(B565)-1,TotalEtapas)+1))</f>
        <v>7</v>
      </c>
      <c r="E566" s="5" t="str">
        <f>IFERROR(VLOOKUP(tbEscolas[[#This Row],[COD ETPA]],tbEtapas[],2,FALSE),"")</f>
        <v>3º ANO</v>
      </c>
      <c r="F566" s="5" t="str">
        <f>IFERROR(VLOOKUP(tbEscolas[[#This Row],[COD ETPA]],tbEtapas[],3,FALSE),"")</f>
        <v>FUNDAMENTAL</v>
      </c>
      <c r="G566" s="5" t="s">
        <v>126</v>
      </c>
    </row>
    <row r="567" spans="1:7" x14ac:dyDescent="0.25">
      <c r="A567" s="29">
        <f>_xlfn.XLOOKUP(tbEscolas[[#This Row],[ESCOLA]],tbNucleo[ESCOLA],tbNucleo[COD ESCOLA],"")</f>
        <v>32</v>
      </c>
      <c r="B567" s="5" t="str" cm="1">
        <f t="array" ref="B567">IFERROR(INDEX(tbNucleo[ESCOLA],ROUNDUP(ROW(B566)/TotalEtapas,0)),"")</f>
        <v>EM DUQUE DE CAXIAS</v>
      </c>
      <c r="C567" s="5" t="s">
        <v>116</v>
      </c>
      <c r="D567" s="5" cm="1">
        <f t="array" ref="D567">IF(B567="","",INDEX(tbEtapas[Nº],MOD(ROW(B566)-1,TotalEtapas)+1))</f>
        <v>8</v>
      </c>
      <c r="E567" s="5" t="str">
        <f>IFERROR(VLOOKUP(tbEscolas[[#This Row],[COD ETPA]],tbEtapas[],2,FALSE),"")</f>
        <v>4º ANO</v>
      </c>
      <c r="F567" s="5" t="str">
        <f>IFERROR(VLOOKUP(tbEscolas[[#This Row],[COD ETPA]],tbEtapas[],3,FALSE),"")</f>
        <v>FUNDAMENTAL</v>
      </c>
      <c r="G567" s="5" t="s">
        <v>126</v>
      </c>
    </row>
    <row r="568" spans="1:7" x14ac:dyDescent="0.25">
      <c r="A568" s="29">
        <f>_xlfn.XLOOKUP(tbEscolas[[#This Row],[ESCOLA]],tbNucleo[ESCOLA],tbNucleo[COD ESCOLA],"")</f>
        <v>32</v>
      </c>
      <c r="B568" s="5" t="str" cm="1">
        <f t="array" ref="B568">IFERROR(INDEX(tbNucleo[ESCOLA],ROUNDUP(ROW(B567)/TotalEtapas,0)),"")</f>
        <v>EM DUQUE DE CAXIAS</v>
      </c>
      <c r="C568" s="5" t="s">
        <v>116</v>
      </c>
      <c r="D568" s="5" cm="1">
        <f t="array" ref="D568">IF(B568="","",INDEX(tbEtapas[Nº],MOD(ROW(B567)-1,TotalEtapas)+1))</f>
        <v>9</v>
      </c>
      <c r="E568" s="5" t="str">
        <f>IFERROR(VLOOKUP(tbEscolas[[#This Row],[COD ETPA]],tbEtapas[],2,FALSE),"")</f>
        <v>5º ANO</v>
      </c>
      <c r="F568" s="5" t="str">
        <f>IFERROR(VLOOKUP(tbEscolas[[#This Row],[COD ETPA]],tbEtapas[],3,FALSE),"")</f>
        <v>FUNDAMENTAL</v>
      </c>
      <c r="G568" s="5" t="s">
        <v>126</v>
      </c>
    </row>
    <row r="569" spans="1:7" x14ac:dyDescent="0.25">
      <c r="A569" s="29">
        <f>_xlfn.XLOOKUP(tbEscolas[[#This Row],[ESCOLA]],tbNucleo[ESCOLA],tbNucleo[COD ESCOLA],"")</f>
        <v>32</v>
      </c>
      <c r="B569" s="5" t="str" cm="1">
        <f t="array" ref="B569">IFERROR(INDEX(tbNucleo[ESCOLA],ROUNDUP(ROW(B568)/TotalEtapas,0)),"")</f>
        <v>EM DUQUE DE CAXIAS</v>
      </c>
      <c r="C569" s="5" t="s">
        <v>116</v>
      </c>
      <c r="D569" s="5" cm="1">
        <f t="array" ref="D569">IF(B569="","",INDEX(tbEtapas[Nº],MOD(ROW(B568)-1,TotalEtapas)+1))</f>
        <v>10</v>
      </c>
      <c r="E569" s="5" t="str">
        <f>IFERROR(VLOOKUP(tbEscolas[[#This Row],[COD ETPA]],tbEtapas[],2,FALSE),"")</f>
        <v>6º ANO</v>
      </c>
      <c r="F569" s="5" t="str">
        <f>IFERROR(VLOOKUP(tbEscolas[[#This Row],[COD ETPA]],tbEtapas[],3,FALSE),"")</f>
        <v>FUNDAMENTAL</v>
      </c>
      <c r="G569" s="5" t="s">
        <v>125</v>
      </c>
    </row>
    <row r="570" spans="1:7" x14ac:dyDescent="0.25">
      <c r="A570" s="29">
        <f>_xlfn.XLOOKUP(tbEscolas[[#This Row],[ESCOLA]],tbNucleo[ESCOLA],tbNucleo[COD ESCOLA],"")</f>
        <v>32</v>
      </c>
      <c r="B570" s="5" t="str" cm="1">
        <f t="array" ref="B570">IFERROR(INDEX(tbNucleo[ESCOLA],ROUNDUP(ROW(B569)/TotalEtapas,0)),"")</f>
        <v>EM DUQUE DE CAXIAS</v>
      </c>
      <c r="C570" s="5" t="s">
        <v>116</v>
      </c>
      <c r="D570" s="5" cm="1">
        <f t="array" ref="D570">IF(B570="","",INDEX(tbEtapas[Nº],MOD(ROW(B569)-1,TotalEtapas)+1))</f>
        <v>11</v>
      </c>
      <c r="E570" s="5" t="str">
        <f>IFERROR(VLOOKUP(tbEscolas[[#This Row],[COD ETPA]],tbEtapas[],2,FALSE),"")</f>
        <v>7º ANO</v>
      </c>
      <c r="F570" s="5" t="str">
        <f>IFERROR(VLOOKUP(tbEscolas[[#This Row],[COD ETPA]],tbEtapas[],3,FALSE),"")</f>
        <v>FUNDAMENTAL</v>
      </c>
      <c r="G570" s="5" t="s">
        <v>125</v>
      </c>
    </row>
    <row r="571" spans="1:7" x14ac:dyDescent="0.25">
      <c r="A571" s="29">
        <f>_xlfn.XLOOKUP(tbEscolas[[#This Row],[ESCOLA]],tbNucleo[ESCOLA],tbNucleo[COD ESCOLA],"")</f>
        <v>32</v>
      </c>
      <c r="B571" s="5" t="str" cm="1">
        <f t="array" ref="B571">IFERROR(INDEX(tbNucleo[ESCOLA],ROUNDUP(ROW(B570)/TotalEtapas,0)),"")</f>
        <v>EM DUQUE DE CAXIAS</v>
      </c>
      <c r="C571" s="5" t="s">
        <v>116</v>
      </c>
      <c r="D571" s="5" cm="1">
        <f t="array" ref="D571">IF(B571="","",INDEX(tbEtapas[Nº],MOD(ROW(B570)-1,TotalEtapas)+1))</f>
        <v>12</v>
      </c>
      <c r="E571" s="5" t="str">
        <f>IFERROR(VLOOKUP(tbEscolas[[#This Row],[COD ETPA]],tbEtapas[],2,FALSE),"")</f>
        <v>8º ANO</v>
      </c>
      <c r="F571" s="5" t="str">
        <f>IFERROR(VLOOKUP(tbEscolas[[#This Row],[COD ETPA]],tbEtapas[],3,FALSE),"")</f>
        <v>FUNDAMENTAL</v>
      </c>
      <c r="G571" s="5" t="s">
        <v>125</v>
      </c>
    </row>
    <row r="572" spans="1:7" x14ac:dyDescent="0.25">
      <c r="A572" s="29">
        <f>_xlfn.XLOOKUP(tbEscolas[[#This Row],[ESCOLA]],tbNucleo[ESCOLA],tbNucleo[COD ESCOLA],"")</f>
        <v>32</v>
      </c>
      <c r="B572" s="5" t="str" cm="1">
        <f t="array" ref="B572">IFERROR(INDEX(tbNucleo[ESCOLA],ROUNDUP(ROW(B571)/TotalEtapas,0)),"")</f>
        <v>EM DUQUE DE CAXIAS</v>
      </c>
      <c r="C572" s="5" t="s">
        <v>116</v>
      </c>
      <c r="D572" s="5" cm="1">
        <f t="array" ref="D572">IF(B572="","",INDEX(tbEtapas[Nº],MOD(ROW(B571)-1,TotalEtapas)+1))</f>
        <v>13</v>
      </c>
      <c r="E572" s="5" t="str">
        <f>IFERROR(VLOOKUP(tbEscolas[[#This Row],[COD ETPA]],tbEtapas[],2,FALSE),"")</f>
        <v>9º ANO</v>
      </c>
      <c r="F572" s="5" t="str">
        <f>IFERROR(VLOOKUP(tbEscolas[[#This Row],[COD ETPA]],tbEtapas[],3,FALSE),"")</f>
        <v>FUNDAMENTAL</v>
      </c>
      <c r="G572" s="5" t="s">
        <v>125</v>
      </c>
    </row>
    <row r="573" spans="1:7" x14ac:dyDescent="0.25">
      <c r="A573" s="29">
        <f>_xlfn.XLOOKUP(tbEscolas[[#This Row],[ESCOLA]],tbNucleo[ESCOLA],tbNucleo[COD ESCOLA],"")</f>
        <v>32</v>
      </c>
      <c r="B573" s="5" t="str" cm="1">
        <f t="array" ref="B573">IFERROR(INDEX(tbNucleo[ESCOLA],ROUNDUP(ROW(B572)/TotalEtapas,0)),"")</f>
        <v>EM DUQUE DE CAXIAS</v>
      </c>
      <c r="C573" s="5" t="s">
        <v>116</v>
      </c>
      <c r="D573" s="5">
        <v>14</v>
      </c>
      <c r="E573" s="5" t="str">
        <f>IFERROR(VLOOKUP(tbEscolas[[#This Row],[COD ETPA]],tbEtapas[],2,FALSE),"")</f>
        <v>1º ANO</v>
      </c>
      <c r="F573" s="5" t="str">
        <f>IFERROR(VLOOKUP(tbEscolas[[#This Row],[COD ETPA]],tbEtapas[],3,FALSE),"")</f>
        <v>ENSINO MÉDIO</v>
      </c>
      <c r="G573" s="5" t="s">
        <v>125</v>
      </c>
    </row>
    <row r="574" spans="1:7" x14ac:dyDescent="0.25">
      <c r="A574" s="29">
        <f>_xlfn.XLOOKUP(tbEscolas[[#This Row],[ESCOLA]],tbNucleo[ESCOLA],tbNucleo[COD ESCOLA],"")</f>
        <v>32</v>
      </c>
      <c r="B574" s="5" t="str" cm="1">
        <f t="array" ref="B574">IFERROR(INDEX(tbNucleo[ESCOLA],ROUNDUP(ROW(B573)/TotalEtapas,0)),"")</f>
        <v>EM DUQUE DE CAXIAS</v>
      </c>
      <c r="C574" s="5" t="s">
        <v>116</v>
      </c>
      <c r="D574" s="5">
        <v>15</v>
      </c>
      <c r="E574" s="5" t="str">
        <f>IFERROR(VLOOKUP(tbEscolas[[#This Row],[COD ETPA]],tbEtapas[],2,FALSE),"")</f>
        <v>2º ANO</v>
      </c>
      <c r="F574" s="5" t="str">
        <f>IFERROR(VLOOKUP(tbEscolas[[#This Row],[COD ETPA]],tbEtapas[],3,FALSE),"")</f>
        <v>ENSINO MÉDIO</v>
      </c>
      <c r="G574" s="5" t="s">
        <v>125</v>
      </c>
    </row>
    <row r="575" spans="1:7" x14ac:dyDescent="0.25">
      <c r="A575" s="29">
        <f>_xlfn.XLOOKUP(tbEscolas[[#This Row],[ESCOLA]],tbNucleo[ESCOLA],tbNucleo[COD ESCOLA],"")</f>
        <v>32</v>
      </c>
      <c r="B575" s="5" t="str" cm="1">
        <f t="array" ref="B575">IFERROR(INDEX(tbNucleo[ESCOLA],ROUNDUP(ROW(B574)/TotalEtapas,0)),"")</f>
        <v>EM DUQUE DE CAXIAS</v>
      </c>
      <c r="C575" s="5" t="s">
        <v>116</v>
      </c>
      <c r="D575" s="5">
        <v>16</v>
      </c>
      <c r="E575" s="5" t="str">
        <f>IFERROR(VLOOKUP(tbEscolas[[#This Row],[COD ETPA]],tbEtapas[],2,FALSE),"")</f>
        <v>3º ANO</v>
      </c>
      <c r="F575" s="5" t="str">
        <f>IFERROR(VLOOKUP(tbEscolas[[#This Row],[COD ETPA]],tbEtapas[],3,FALSE),"")</f>
        <v>ENSINO MÉDIO</v>
      </c>
      <c r="G575" s="5" t="s">
        <v>125</v>
      </c>
    </row>
    <row r="576" spans="1:7" x14ac:dyDescent="0.25">
      <c r="A576" s="29">
        <f>_xlfn.XLOOKUP(tbEscolas[[#This Row],[ESCOLA]],tbNucleo[ESCOLA],tbNucleo[COD ESCOLA],"")</f>
        <v>32</v>
      </c>
      <c r="B576" s="5" t="str" cm="1">
        <f t="array" ref="B576">IFERROR(INDEX(tbNucleo[ESCOLA],ROUNDUP(ROW(B575)/TotalEtapas,0)),"")</f>
        <v>EM DUQUE DE CAXIAS</v>
      </c>
      <c r="C576" s="5" t="s">
        <v>116</v>
      </c>
      <c r="D576" s="5">
        <v>17</v>
      </c>
      <c r="E576" s="5" t="str">
        <f>IFERROR(VLOOKUP(tbEscolas[[#This Row],[COD ETPA]],tbEtapas[],2,FALSE),"")</f>
        <v>EJA I</v>
      </c>
      <c r="F576" s="5" t="str">
        <f>IFERROR(VLOOKUP(tbEscolas[[#This Row],[COD ETPA]],tbEtapas[],3,FALSE),"")</f>
        <v>FUNDAMENTAL</v>
      </c>
      <c r="G576" s="5" t="s">
        <v>125</v>
      </c>
    </row>
    <row r="577" spans="1:7" x14ac:dyDescent="0.25">
      <c r="A577" s="29">
        <f>_xlfn.XLOOKUP(tbEscolas[[#This Row],[ESCOLA]],tbNucleo[ESCOLA],tbNucleo[COD ESCOLA],"")</f>
        <v>32</v>
      </c>
      <c r="B577" s="5" t="str" cm="1">
        <f t="array" ref="B577">IFERROR(INDEX(tbNucleo[ESCOLA],ROUNDUP(ROW(B576)/TotalEtapas,0)),"")</f>
        <v>EM DUQUE DE CAXIAS</v>
      </c>
      <c r="C577" s="5" t="s">
        <v>116</v>
      </c>
      <c r="D577" s="5">
        <v>18</v>
      </c>
      <c r="E577" s="5" t="str">
        <f>IFERROR(VLOOKUP(tbEscolas[[#This Row],[COD ETPA]],tbEtapas[],2,FALSE),"")</f>
        <v>EJA II</v>
      </c>
      <c r="F577" s="5" t="str">
        <f>IFERROR(VLOOKUP(tbEscolas[[#This Row],[COD ETPA]],tbEtapas[],3,FALSE),"")</f>
        <v>ENSINO MÉDIO</v>
      </c>
      <c r="G577" s="5" t="s">
        <v>125</v>
      </c>
    </row>
    <row r="578" spans="1:7" x14ac:dyDescent="0.25">
      <c r="A578" s="30">
        <f>_xlfn.XLOOKUP(tbEscolas[[#This Row],[ESCOLA]],tbNucleo[ESCOLA],tbNucleo[COD ESCOLA],"")</f>
        <v>33</v>
      </c>
      <c r="B578" s="6" t="str" cm="1">
        <f t="array" ref="B578">IFERROR(INDEX(tbNucleo[ESCOLA],ROUNDUP(ROW(B577)/TotalEtapas,0)),"")</f>
        <v>EM GARCES</v>
      </c>
      <c r="C578" s="6" t="s">
        <v>134</v>
      </c>
      <c r="D578" s="6" cm="1">
        <f t="array" ref="D578">IF(B578="","",INDEX(tbEtapas[Nº],MOD(ROW(B577)-1,TotalEtapas)+1))</f>
        <v>1</v>
      </c>
      <c r="E578" s="6" t="str">
        <f>IFERROR(VLOOKUP(tbEscolas[[#This Row],[COD ETPA]],tbEtapas[],2,FALSE),"")</f>
        <v>CRECHE I</v>
      </c>
      <c r="F578" s="6" t="str">
        <f>IFERROR(VLOOKUP(tbEscolas[[#This Row],[COD ETPA]],tbEtapas[],3,FALSE),"")</f>
        <v>EDUCAÇÃO INFANTIL</v>
      </c>
      <c r="G578" s="6" t="s">
        <v>125</v>
      </c>
    </row>
    <row r="579" spans="1:7" x14ac:dyDescent="0.25">
      <c r="A579" s="30">
        <f>_xlfn.XLOOKUP(tbEscolas[[#This Row],[ESCOLA]],tbNucleo[ESCOLA],tbNucleo[COD ESCOLA],"")</f>
        <v>33</v>
      </c>
      <c r="B579" s="6" t="str" cm="1">
        <f t="array" ref="B579">IFERROR(INDEX(tbNucleo[ESCOLA],ROUNDUP(ROW(B578)/TotalEtapas,0)),"")</f>
        <v>EM GARCES</v>
      </c>
      <c r="C579" s="6" t="s">
        <v>134</v>
      </c>
      <c r="D579" s="6" cm="1">
        <f t="array" ref="D579">IF(B579="","",INDEX(tbEtapas[Nº],MOD(ROW(B578)-1,TotalEtapas)+1))</f>
        <v>2</v>
      </c>
      <c r="E579" s="6" t="str">
        <f>IFERROR(VLOOKUP(tbEscolas[[#This Row],[COD ETPA]],tbEtapas[],2,FALSE),"")</f>
        <v>CRECHE II</v>
      </c>
      <c r="F579" s="6" t="str">
        <f>IFERROR(VLOOKUP(tbEscolas[[#This Row],[COD ETPA]],tbEtapas[],3,FALSE),"")</f>
        <v>EDUCAÇÃO INFANTIL</v>
      </c>
      <c r="G579" s="6" t="s">
        <v>125</v>
      </c>
    </row>
    <row r="580" spans="1:7" x14ac:dyDescent="0.25">
      <c r="A580" s="30">
        <f>_xlfn.XLOOKUP(tbEscolas[[#This Row],[ESCOLA]],tbNucleo[ESCOLA],tbNucleo[COD ESCOLA],"")</f>
        <v>33</v>
      </c>
      <c r="B580" s="6" t="str" cm="1">
        <f t="array" ref="B580">IFERROR(INDEX(tbNucleo[ESCOLA],ROUNDUP(ROW(B579)/TotalEtapas,0)),"")</f>
        <v>EM GARCES</v>
      </c>
      <c r="C580" s="6" t="s">
        <v>134</v>
      </c>
      <c r="D580" s="6" cm="1">
        <f t="array" ref="D580">IF(B580="","",INDEX(tbEtapas[Nº],MOD(ROW(B579)-1,TotalEtapas)+1))</f>
        <v>3</v>
      </c>
      <c r="E580" s="6" t="str">
        <f>IFERROR(VLOOKUP(tbEscolas[[#This Row],[COD ETPA]],tbEtapas[],2,FALSE),"")</f>
        <v>PRE I</v>
      </c>
      <c r="F580" s="6" t="str">
        <f>IFERROR(VLOOKUP(tbEscolas[[#This Row],[COD ETPA]],tbEtapas[],3,FALSE),"")</f>
        <v>EDUCAÇÃO INFANTIL</v>
      </c>
      <c r="G580" s="6" t="s">
        <v>126</v>
      </c>
    </row>
    <row r="581" spans="1:7" x14ac:dyDescent="0.25">
      <c r="A581" s="30">
        <f>_xlfn.XLOOKUP(tbEscolas[[#This Row],[ESCOLA]],tbNucleo[ESCOLA],tbNucleo[COD ESCOLA],"")</f>
        <v>33</v>
      </c>
      <c r="B581" s="6" t="str" cm="1">
        <f t="array" ref="B581">IFERROR(INDEX(tbNucleo[ESCOLA],ROUNDUP(ROW(B580)/TotalEtapas,0)),"")</f>
        <v>EM GARCES</v>
      </c>
      <c r="C581" s="6" t="s">
        <v>134</v>
      </c>
      <c r="D581" s="6" cm="1">
        <f t="array" ref="D581">IF(B581="","",INDEX(tbEtapas[Nº],MOD(ROW(B580)-1,TotalEtapas)+1))</f>
        <v>4</v>
      </c>
      <c r="E581" s="6" t="str">
        <f>IFERROR(VLOOKUP(tbEscolas[[#This Row],[COD ETPA]],tbEtapas[],2,FALSE),"")</f>
        <v>PRE II</v>
      </c>
      <c r="F581" s="6" t="str">
        <f>IFERROR(VLOOKUP(tbEscolas[[#This Row],[COD ETPA]],tbEtapas[],3,FALSE),"")</f>
        <v>EDUCAÇÃO INFANTIL</v>
      </c>
      <c r="G581" s="6" t="s">
        <v>126</v>
      </c>
    </row>
    <row r="582" spans="1:7" x14ac:dyDescent="0.25">
      <c r="A582" s="30">
        <f>_xlfn.XLOOKUP(tbEscolas[[#This Row],[ESCOLA]],tbNucleo[ESCOLA],tbNucleo[COD ESCOLA],"")</f>
        <v>33</v>
      </c>
      <c r="B582" s="6" t="str" cm="1">
        <f t="array" ref="B582">IFERROR(INDEX(tbNucleo[ESCOLA],ROUNDUP(ROW(B581)/TotalEtapas,0)),"")</f>
        <v>EM GARCES</v>
      </c>
      <c r="C582" s="6" t="s">
        <v>134</v>
      </c>
      <c r="D582" s="6" cm="1">
        <f t="array" ref="D582">IF(B582="","",INDEX(tbEtapas[Nº],MOD(ROW(B581)-1,TotalEtapas)+1))</f>
        <v>5</v>
      </c>
      <c r="E582" s="6" t="str">
        <f>IFERROR(VLOOKUP(tbEscolas[[#This Row],[COD ETPA]],tbEtapas[],2,FALSE),"")</f>
        <v>1º ANO</v>
      </c>
      <c r="F582" s="6" t="str">
        <f>IFERROR(VLOOKUP(tbEscolas[[#This Row],[COD ETPA]],tbEtapas[],3,FALSE),"")</f>
        <v>FUNDAMENTAL</v>
      </c>
      <c r="G582" s="6" t="s">
        <v>126</v>
      </c>
    </row>
    <row r="583" spans="1:7" x14ac:dyDescent="0.25">
      <c r="A583" s="30">
        <f>_xlfn.XLOOKUP(tbEscolas[[#This Row],[ESCOLA]],tbNucleo[ESCOLA],tbNucleo[COD ESCOLA],"")</f>
        <v>33</v>
      </c>
      <c r="B583" s="6" t="str" cm="1">
        <f t="array" ref="B583">IFERROR(INDEX(tbNucleo[ESCOLA],ROUNDUP(ROW(B582)/TotalEtapas,0)),"")</f>
        <v>EM GARCES</v>
      </c>
      <c r="C583" s="6" t="s">
        <v>134</v>
      </c>
      <c r="D583" s="6" cm="1">
        <f t="array" ref="D583">IF(B583="","",INDEX(tbEtapas[Nº],MOD(ROW(B582)-1,TotalEtapas)+1))</f>
        <v>6</v>
      </c>
      <c r="E583" s="6" t="str">
        <f>IFERROR(VLOOKUP(tbEscolas[[#This Row],[COD ETPA]],tbEtapas[],2,FALSE),"")</f>
        <v>2º ANO</v>
      </c>
      <c r="F583" s="6" t="str">
        <f>IFERROR(VLOOKUP(tbEscolas[[#This Row],[COD ETPA]],tbEtapas[],3,FALSE),"")</f>
        <v>FUNDAMENTAL</v>
      </c>
      <c r="G583" s="6" t="s">
        <v>126</v>
      </c>
    </row>
    <row r="584" spans="1:7" x14ac:dyDescent="0.25">
      <c r="A584" s="30">
        <f>_xlfn.XLOOKUP(tbEscolas[[#This Row],[ESCOLA]],tbNucleo[ESCOLA],tbNucleo[COD ESCOLA],"")</f>
        <v>33</v>
      </c>
      <c r="B584" s="6" t="str" cm="1">
        <f t="array" ref="B584">IFERROR(INDEX(tbNucleo[ESCOLA],ROUNDUP(ROW(B583)/TotalEtapas,0)),"")</f>
        <v>EM GARCES</v>
      </c>
      <c r="C584" s="6" t="s">
        <v>134</v>
      </c>
      <c r="D584" s="6" cm="1">
        <f t="array" ref="D584">IF(B584="","",INDEX(tbEtapas[Nº],MOD(ROW(B583)-1,TotalEtapas)+1))</f>
        <v>7</v>
      </c>
      <c r="E584" s="6" t="str">
        <f>IFERROR(VLOOKUP(tbEscolas[[#This Row],[COD ETPA]],tbEtapas[],2,FALSE),"")</f>
        <v>3º ANO</v>
      </c>
      <c r="F584" s="6" t="str">
        <f>IFERROR(VLOOKUP(tbEscolas[[#This Row],[COD ETPA]],tbEtapas[],3,FALSE),"")</f>
        <v>FUNDAMENTAL</v>
      </c>
      <c r="G584" s="6" t="s">
        <v>126</v>
      </c>
    </row>
    <row r="585" spans="1:7" x14ac:dyDescent="0.25">
      <c r="A585" s="30">
        <f>_xlfn.XLOOKUP(tbEscolas[[#This Row],[ESCOLA]],tbNucleo[ESCOLA],tbNucleo[COD ESCOLA],"")</f>
        <v>33</v>
      </c>
      <c r="B585" s="6" t="str" cm="1">
        <f t="array" ref="B585">IFERROR(INDEX(tbNucleo[ESCOLA],ROUNDUP(ROW(B584)/TotalEtapas,0)),"")</f>
        <v>EM GARCES</v>
      </c>
      <c r="C585" s="6" t="s">
        <v>134</v>
      </c>
      <c r="D585" s="6" cm="1">
        <f t="array" ref="D585">IF(B585="","",INDEX(tbEtapas[Nº],MOD(ROW(B584)-1,TotalEtapas)+1))</f>
        <v>8</v>
      </c>
      <c r="E585" s="6" t="str">
        <f>IFERROR(VLOOKUP(tbEscolas[[#This Row],[COD ETPA]],tbEtapas[],2,FALSE),"")</f>
        <v>4º ANO</v>
      </c>
      <c r="F585" s="6" t="str">
        <f>IFERROR(VLOOKUP(tbEscolas[[#This Row],[COD ETPA]],tbEtapas[],3,FALSE),"")</f>
        <v>FUNDAMENTAL</v>
      </c>
      <c r="G585" s="6" t="s">
        <v>126</v>
      </c>
    </row>
    <row r="586" spans="1:7" x14ac:dyDescent="0.25">
      <c r="A586" s="30">
        <f>_xlfn.XLOOKUP(tbEscolas[[#This Row],[ESCOLA]],tbNucleo[ESCOLA],tbNucleo[COD ESCOLA],"")</f>
        <v>33</v>
      </c>
      <c r="B586" s="6" t="str" cm="1">
        <f t="array" ref="B586">IFERROR(INDEX(tbNucleo[ESCOLA],ROUNDUP(ROW(B585)/TotalEtapas,0)),"")</f>
        <v>EM GARCES</v>
      </c>
      <c r="C586" s="6" t="s">
        <v>134</v>
      </c>
      <c r="D586" s="6" cm="1">
        <f t="array" ref="D586">IF(B586="","",INDEX(tbEtapas[Nº],MOD(ROW(B585)-1,TotalEtapas)+1))</f>
        <v>9</v>
      </c>
      <c r="E586" s="6" t="str">
        <f>IFERROR(VLOOKUP(tbEscolas[[#This Row],[COD ETPA]],tbEtapas[],2,FALSE),"")</f>
        <v>5º ANO</v>
      </c>
      <c r="F586" s="6" t="str">
        <f>IFERROR(VLOOKUP(tbEscolas[[#This Row],[COD ETPA]],tbEtapas[],3,FALSE),"")</f>
        <v>FUNDAMENTAL</v>
      </c>
      <c r="G586" s="6" t="s">
        <v>126</v>
      </c>
    </row>
    <row r="587" spans="1:7" x14ac:dyDescent="0.25">
      <c r="A587" s="30">
        <f>_xlfn.XLOOKUP(tbEscolas[[#This Row],[ESCOLA]],tbNucleo[ESCOLA],tbNucleo[COD ESCOLA],"")</f>
        <v>33</v>
      </c>
      <c r="B587" s="6" t="str" cm="1">
        <f t="array" ref="B587">IFERROR(INDEX(tbNucleo[ESCOLA],ROUNDUP(ROW(B586)/TotalEtapas,0)),"")</f>
        <v>EM GARCES</v>
      </c>
      <c r="C587" s="6" t="s">
        <v>134</v>
      </c>
      <c r="D587" s="6" cm="1">
        <f t="array" ref="D587">IF(B587="","",INDEX(tbEtapas[Nº],MOD(ROW(B586)-1,TotalEtapas)+1))</f>
        <v>10</v>
      </c>
      <c r="E587" s="6" t="str">
        <f>IFERROR(VLOOKUP(tbEscolas[[#This Row],[COD ETPA]],tbEtapas[],2,FALSE),"")</f>
        <v>6º ANO</v>
      </c>
      <c r="F587" s="6" t="str">
        <f>IFERROR(VLOOKUP(tbEscolas[[#This Row],[COD ETPA]],tbEtapas[],3,FALSE),"")</f>
        <v>FUNDAMENTAL</v>
      </c>
      <c r="G587" s="6" t="s">
        <v>125</v>
      </c>
    </row>
    <row r="588" spans="1:7" x14ac:dyDescent="0.25">
      <c r="A588" s="30">
        <f>_xlfn.XLOOKUP(tbEscolas[[#This Row],[ESCOLA]],tbNucleo[ESCOLA],tbNucleo[COD ESCOLA],"")</f>
        <v>33</v>
      </c>
      <c r="B588" s="6" t="str" cm="1">
        <f t="array" ref="B588">IFERROR(INDEX(tbNucleo[ESCOLA],ROUNDUP(ROW(B587)/TotalEtapas,0)),"")</f>
        <v>EM GARCES</v>
      </c>
      <c r="C588" s="6" t="s">
        <v>134</v>
      </c>
      <c r="D588" s="6" cm="1">
        <f t="array" ref="D588">IF(B588="","",INDEX(tbEtapas[Nº],MOD(ROW(B587)-1,TotalEtapas)+1))</f>
        <v>11</v>
      </c>
      <c r="E588" s="6" t="str">
        <f>IFERROR(VLOOKUP(tbEscolas[[#This Row],[COD ETPA]],tbEtapas[],2,FALSE),"")</f>
        <v>7º ANO</v>
      </c>
      <c r="F588" s="6" t="str">
        <f>IFERROR(VLOOKUP(tbEscolas[[#This Row],[COD ETPA]],tbEtapas[],3,FALSE),"")</f>
        <v>FUNDAMENTAL</v>
      </c>
      <c r="G588" s="6" t="s">
        <v>125</v>
      </c>
    </row>
    <row r="589" spans="1:7" x14ac:dyDescent="0.25">
      <c r="A589" s="30">
        <f>_xlfn.XLOOKUP(tbEscolas[[#This Row],[ESCOLA]],tbNucleo[ESCOLA],tbNucleo[COD ESCOLA],"")</f>
        <v>33</v>
      </c>
      <c r="B589" s="6" t="str" cm="1">
        <f t="array" ref="B589">IFERROR(INDEX(tbNucleo[ESCOLA],ROUNDUP(ROW(B588)/TotalEtapas,0)),"")</f>
        <v>EM GARCES</v>
      </c>
      <c r="C589" s="6" t="s">
        <v>134</v>
      </c>
      <c r="D589" s="6" cm="1">
        <f t="array" ref="D589">IF(B589="","",INDEX(tbEtapas[Nº],MOD(ROW(B588)-1,TotalEtapas)+1))</f>
        <v>12</v>
      </c>
      <c r="E589" s="6" t="str">
        <f>IFERROR(VLOOKUP(tbEscolas[[#This Row],[COD ETPA]],tbEtapas[],2,FALSE),"")</f>
        <v>8º ANO</v>
      </c>
      <c r="F589" s="6" t="str">
        <f>IFERROR(VLOOKUP(tbEscolas[[#This Row],[COD ETPA]],tbEtapas[],3,FALSE),"")</f>
        <v>FUNDAMENTAL</v>
      </c>
      <c r="G589" s="6" t="s">
        <v>125</v>
      </c>
    </row>
    <row r="590" spans="1:7" x14ac:dyDescent="0.25">
      <c r="A590" s="30">
        <f>_xlfn.XLOOKUP(tbEscolas[[#This Row],[ESCOLA]],tbNucleo[ESCOLA],tbNucleo[COD ESCOLA],"")</f>
        <v>33</v>
      </c>
      <c r="B590" s="6" t="str" cm="1">
        <f t="array" ref="B590">IFERROR(INDEX(tbNucleo[ESCOLA],ROUNDUP(ROW(B589)/TotalEtapas,0)),"")</f>
        <v>EM GARCES</v>
      </c>
      <c r="C590" s="6" t="s">
        <v>134</v>
      </c>
      <c r="D590" s="6" cm="1">
        <f t="array" ref="D590">IF(B590="","",INDEX(tbEtapas[Nº],MOD(ROW(B589)-1,TotalEtapas)+1))</f>
        <v>13</v>
      </c>
      <c r="E590" s="6" t="str">
        <f>IFERROR(VLOOKUP(tbEscolas[[#This Row],[COD ETPA]],tbEtapas[],2,FALSE),"")</f>
        <v>9º ANO</v>
      </c>
      <c r="F590" s="6" t="str">
        <f>IFERROR(VLOOKUP(tbEscolas[[#This Row],[COD ETPA]],tbEtapas[],3,FALSE),"")</f>
        <v>FUNDAMENTAL</v>
      </c>
      <c r="G590" s="6" t="s">
        <v>125</v>
      </c>
    </row>
    <row r="591" spans="1:7" x14ac:dyDescent="0.25">
      <c r="A591" s="30">
        <f>_xlfn.XLOOKUP(tbEscolas[[#This Row],[ESCOLA]],tbNucleo[ESCOLA],tbNucleo[COD ESCOLA],"")</f>
        <v>33</v>
      </c>
      <c r="B591" s="6" t="str" cm="1">
        <f t="array" ref="B591">IFERROR(INDEX(tbNucleo[ESCOLA],ROUNDUP(ROW(B590)/TotalEtapas,0)),"")</f>
        <v>EM GARCES</v>
      </c>
      <c r="C591" s="6" t="s">
        <v>134</v>
      </c>
      <c r="D591" s="6">
        <v>14</v>
      </c>
      <c r="E591" s="6" t="str">
        <f>IFERROR(VLOOKUP(tbEscolas[[#This Row],[COD ETPA]],tbEtapas[],2,FALSE),"")</f>
        <v>1º ANO</v>
      </c>
      <c r="F591" s="6" t="str">
        <f>IFERROR(VLOOKUP(tbEscolas[[#This Row],[COD ETPA]],tbEtapas[],3,FALSE),"")</f>
        <v>ENSINO MÉDIO</v>
      </c>
      <c r="G591" s="6" t="s">
        <v>125</v>
      </c>
    </row>
    <row r="592" spans="1:7" x14ac:dyDescent="0.25">
      <c r="A592" s="30">
        <f>_xlfn.XLOOKUP(tbEscolas[[#This Row],[ESCOLA]],tbNucleo[ESCOLA],tbNucleo[COD ESCOLA],"")</f>
        <v>33</v>
      </c>
      <c r="B592" s="6" t="str" cm="1">
        <f t="array" ref="B592">IFERROR(INDEX(tbNucleo[ESCOLA],ROUNDUP(ROW(B591)/TotalEtapas,0)),"")</f>
        <v>EM GARCES</v>
      </c>
      <c r="C592" s="6" t="s">
        <v>134</v>
      </c>
      <c r="D592" s="6">
        <v>15</v>
      </c>
      <c r="E592" s="6" t="str">
        <f>IFERROR(VLOOKUP(tbEscolas[[#This Row],[COD ETPA]],tbEtapas[],2,FALSE),"")</f>
        <v>2º ANO</v>
      </c>
      <c r="F592" s="6" t="str">
        <f>IFERROR(VLOOKUP(tbEscolas[[#This Row],[COD ETPA]],tbEtapas[],3,FALSE),"")</f>
        <v>ENSINO MÉDIO</v>
      </c>
      <c r="G592" s="6" t="s">
        <v>125</v>
      </c>
    </row>
    <row r="593" spans="1:7" x14ac:dyDescent="0.25">
      <c r="A593" s="30">
        <f>_xlfn.XLOOKUP(tbEscolas[[#This Row],[ESCOLA]],tbNucleo[ESCOLA],tbNucleo[COD ESCOLA],"")</f>
        <v>33</v>
      </c>
      <c r="B593" s="6" t="str" cm="1">
        <f t="array" ref="B593">IFERROR(INDEX(tbNucleo[ESCOLA],ROUNDUP(ROW(B592)/TotalEtapas,0)),"")</f>
        <v>EM GARCES</v>
      </c>
      <c r="C593" s="6" t="s">
        <v>134</v>
      </c>
      <c r="D593" s="6">
        <v>16</v>
      </c>
      <c r="E593" s="6" t="str">
        <f>IFERROR(VLOOKUP(tbEscolas[[#This Row],[COD ETPA]],tbEtapas[],2,FALSE),"")</f>
        <v>3º ANO</v>
      </c>
      <c r="F593" s="6" t="str">
        <f>IFERROR(VLOOKUP(tbEscolas[[#This Row],[COD ETPA]],tbEtapas[],3,FALSE),"")</f>
        <v>ENSINO MÉDIO</v>
      </c>
      <c r="G593" s="6" t="s">
        <v>125</v>
      </c>
    </row>
    <row r="594" spans="1:7" x14ac:dyDescent="0.25">
      <c r="A594" s="30">
        <f>_xlfn.XLOOKUP(tbEscolas[[#This Row],[ESCOLA]],tbNucleo[ESCOLA],tbNucleo[COD ESCOLA],"")</f>
        <v>33</v>
      </c>
      <c r="B594" s="6" t="str" cm="1">
        <f t="array" ref="B594">IFERROR(INDEX(tbNucleo[ESCOLA],ROUNDUP(ROW(B593)/TotalEtapas,0)),"")</f>
        <v>EM GARCES</v>
      </c>
      <c r="C594" s="6" t="s">
        <v>134</v>
      </c>
      <c r="D594" s="6">
        <v>17</v>
      </c>
      <c r="E594" s="6" t="str">
        <f>IFERROR(VLOOKUP(tbEscolas[[#This Row],[COD ETPA]],tbEtapas[],2,FALSE),"")</f>
        <v>EJA I</v>
      </c>
      <c r="F594" s="6" t="str">
        <f>IFERROR(VLOOKUP(tbEscolas[[#This Row],[COD ETPA]],tbEtapas[],3,FALSE),"")</f>
        <v>FUNDAMENTAL</v>
      </c>
      <c r="G594" s="6" t="s">
        <v>125</v>
      </c>
    </row>
    <row r="595" spans="1:7" x14ac:dyDescent="0.25">
      <c r="A595" s="30">
        <f>_xlfn.XLOOKUP(tbEscolas[[#This Row],[ESCOLA]],tbNucleo[ESCOLA],tbNucleo[COD ESCOLA],"")</f>
        <v>33</v>
      </c>
      <c r="B595" s="6" t="str" cm="1">
        <f t="array" ref="B595">IFERROR(INDEX(tbNucleo[ESCOLA],ROUNDUP(ROW(B594)/TotalEtapas,0)),"")</f>
        <v>EM GARCES</v>
      </c>
      <c r="C595" s="6" t="s">
        <v>134</v>
      </c>
      <c r="D595" s="6">
        <v>18</v>
      </c>
      <c r="E595" s="6" t="str">
        <f>IFERROR(VLOOKUP(tbEscolas[[#This Row],[COD ETPA]],tbEtapas[],2,FALSE),"")</f>
        <v>EJA II</v>
      </c>
      <c r="F595" s="6" t="str">
        <f>IFERROR(VLOOKUP(tbEscolas[[#This Row],[COD ETPA]],tbEtapas[],3,FALSE),"")</f>
        <v>ENSINO MÉDIO</v>
      </c>
      <c r="G595" s="6" t="s">
        <v>125</v>
      </c>
    </row>
    <row r="596" spans="1:7" x14ac:dyDescent="0.25">
      <c r="A596" s="31">
        <f>_xlfn.XLOOKUP(tbEscolas[[#This Row],[ESCOLA]],tbNucleo[ESCOLA],tbNucleo[COD ESCOLA],"")</f>
        <v>34</v>
      </c>
      <c r="B596" s="7" t="str" cm="1">
        <f t="array" ref="B596">IFERROR(INDEX(tbNucleo[ESCOLA],ROUNDUP(ROW(B595)/TotalEtapas,0)),"")</f>
        <v>EM JARDIM PARAISO</v>
      </c>
      <c r="C596" s="7" t="s">
        <v>115</v>
      </c>
      <c r="D596" s="7" cm="1">
        <f t="array" ref="D596">IF(B596="","",INDEX(tbEtapas[Nº],MOD(ROW(B595)-1,TotalEtapas)+1))</f>
        <v>1</v>
      </c>
      <c r="E596" s="7" t="str">
        <f>IFERROR(VLOOKUP(tbEscolas[[#This Row],[COD ETPA]],tbEtapas[],2,FALSE),"")</f>
        <v>CRECHE I</v>
      </c>
      <c r="F596" s="7" t="str">
        <f>IFERROR(VLOOKUP(tbEscolas[[#This Row],[COD ETPA]],tbEtapas[],3,FALSE),"")</f>
        <v>EDUCAÇÃO INFANTIL</v>
      </c>
      <c r="G596" s="7" t="s">
        <v>125</v>
      </c>
    </row>
    <row r="597" spans="1:7" x14ac:dyDescent="0.25">
      <c r="A597" s="31">
        <f>_xlfn.XLOOKUP(tbEscolas[[#This Row],[ESCOLA]],tbNucleo[ESCOLA],tbNucleo[COD ESCOLA],"")</f>
        <v>34</v>
      </c>
      <c r="B597" s="7" t="str" cm="1">
        <f t="array" ref="B597">IFERROR(INDEX(tbNucleo[ESCOLA],ROUNDUP(ROW(B596)/TotalEtapas,0)),"")</f>
        <v>EM JARDIM PARAISO</v>
      </c>
      <c r="C597" s="7" t="s">
        <v>115</v>
      </c>
      <c r="D597" s="7" cm="1">
        <f t="array" ref="D597">IF(B597="","",INDEX(tbEtapas[Nº],MOD(ROW(B596)-1,TotalEtapas)+1))</f>
        <v>2</v>
      </c>
      <c r="E597" s="7" t="str">
        <f>IFERROR(VLOOKUP(tbEscolas[[#This Row],[COD ETPA]],tbEtapas[],2,FALSE),"")</f>
        <v>CRECHE II</v>
      </c>
      <c r="F597" s="7" t="str">
        <f>IFERROR(VLOOKUP(tbEscolas[[#This Row],[COD ETPA]],tbEtapas[],3,FALSE),"")</f>
        <v>EDUCAÇÃO INFANTIL</v>
      </c>
      <c r="G597" s="7" t="s">
        <v>125</v>
      </c>
    </row>
    <row r="598" spans="1:7" x14ac:dyDescent="0.25">
      <c r="A598" s="31">
        <f>_xlfn.XLOOKUP(tbEscolas[[#This Row],[ESCOLA]],tbNucleo[ESCOLA],tbNucleo[COD ESCOLA],"")</f>
        <v>34</v>
      </c>
      <c r="B598" s="7" t="str" cm="1">
        <f t="array" ref="B598">IFERROR(INDEX(tbNucleo[ESCOLA],ROUNDUP(ROW(B597)/TotalEtapas,0)),"")</f>
        <v>EM JARDIM PARAISO</v>
      </c>
      <c r="C598" s="7" t="s">
        <v>115</v>
      </c>
      <c r="D598" s="7" cm="1">
        <f t="array" ref="D598">IF(B598="","",INDEX(tbEtapas[Nº],MOD(ROW(B597)-1,TotalEtapas)+1))</f>
        <v>3</v>
      </c>
      <c r="E598" s="7" t="str">
        <f>IFERROR(VLOOKUP(tbEscolas[[#This Row],[COD ETPA]],tbEtapas[],2,FALSE),"")</f>
        <v>PRE I</v>
      </c>
      <c r="F598" s="7" t="str">
        <f>IFERROR(VLOOKUP(tbEscolas[[#This Row],[COD ETPA]],tbEtapas[],3,FALSE),"")</f>
        <v>EDUCAÇÃO INFANTIL</v>
      </c>
      <c r="G598" s="7" t="s">
        <v>126</v>
      </c>
    </row>
    <row r="599" spans="1:7" x14ac:dyDescent="0.25">
      <c r="A599" s="31">
        <f>_xlfn.XLOOKUP(tbEscolas[[#This Row],[ESCOLA]],tbNucleo[ESCOLA],tbNucleo[COD ESCOLA],"")</f>
        <v>34</v>
      </c>
      <c r="B599" s="7" t="str" cm="1">
        <f t="array" ref="B599">IFERROR(INDEX(tbNucleo[ESCOLA],ROUNDUP(ROW(B598)/TotalEtapas,0)),"")</f>
        <v>EM JARDIM PARAISO</v>
      </c>
      <c r="C599" s="7" t="s">
        <v>115</v>
      </c>
      <c r="D599" s="7" cm="1">
        <f t="array" ref="D599">IF(B599="","",INDEX(tbEtapas[Nº],MOD(ROW(B598)-1,TotalEtapas)+1))</f>
        <v>4</v>
      </c>
      <c r="E599" s="7" t="str">
        <f>IFERROR(VLOOKUP(tbEscolas[[#This Row],[COD ETPA]],tbEtapas[],2,FALSE),"")</f>
        <v>PRE II</v>
      </c>
      <c r="F599" s="7" t="str">
        <f>IFERROR(VLOOKUP(tbEscolas[[#This Row],[COD ETPA]],tbEtapas[],3,FALSE),"")</f>
        <v>EDUCAÇÃO INFANTIL</v>
      </c>
      <c r="G599" s="7" t="s">
        <v>126</v>
      </c>
    </row>
    <row r="600" spans="1:7" x14ac:dyDescent="0.25">
      <c r="A600" s="31">
        <f>_xlfn.XLOOKUP(tbEscolas[[#This Row],[ESCOLA]],tbNucleo[ESCOLA],tbNucleo[COD ESCOLA],"")</f>
        <v>34</v>
      </c>
      <c r="B600" s="7" t="str" cm="1">
        <f t="array" ref="B600">IFERROR(INDEX(tbNucleo[ESCOLA],ROUNDUP(ROW(B599)/TotalEtapas,0)),"")</f>
        <v>EM JARDIM PARAISO</v>
      </c>
      <c r="C600" s="7" t="s">
        <v>115</v>
      </c>
      <c r="D600" s="7" cm="1">
        <f t="array" ref="D600">IF(B600="","",INDEX(tbEtapas[Nº],MOD(ROW(B599)-1,TotalEtapas)+1))</f>
        <v>5</v>
      </c>
      <c r="E600" s="7" t="str">
        <f>IFERROR(VLOOKUP(tbEscolas[[#This Row],[COD ETPA]],tbEtapas[],2,FALSE),"")</f>
        <v>1º ANO</v>
      </c>
      <c r="F600" s="7" t="str">
        <f>IFERROR(VLOOKUP(tbEscolas[[#This Row],[COD ETPA]],tbEtapas[],3,FALSE),"")</f>
        <v>FUNDAMENTAL</v>
      </c>
      <c r="G600" s="7" t="s">
        <v>126</v>
      </c>
    </row>
    <row r="601" spans="1:7" x14ac:dyDescent="0.25">
      <c r="A601" s="31">
        <f>_xlfn.XLOOKUP(tbEscolas[[#This Row],[ESCOLA]],tbNucleo[ESCOLA],tbNucleo[COD ESCOLA],"")</f>
        <v>34</v>
      </c>
      <c r="B601" s="7" t="str" cm="1">
        <f t="array" ref="B601">IFERROR(INDEX(tbNucleo[ESCOLA],ROUNDUP(ROW(B600)/TotalEtapas,0)),"")</f>
        <v>EM JARDIM PARAISO</v>
      </c>
      <c r="C601" s="7" t="s">
        <v>115</v>
      </c>
      <c r="D601" s="7" cm="1">
        <f t="array" ref="D601">IF(B601="","",INDEX(tbEtapas[Nº],MOD(ROW(B600)-1,TotalEtapas)+1))</f>
        <v>6</v>
      </c>
      <c r="E601" s="7" t="str">
        <f>IFERROR(VLOOKUP(tbEscolas[[#This Row],[COD ETPA]],tbEtapas[],2,FALSE),"")</f>
        <v>2º ANO</v>
      </c>
      <c r="F601" s="7" t="str">
        <f>IFERROR(VLOOKUP(tbEscolas[[#This Row],[COD ETPA]],tbEtapas[],3,FALSE),"")</f>
        <v>FUNDAMENTAL</v>
      </c>
      <c r="G601" s="7" t="s">
        <v>126</v>
      </c>
    </row>
    <row r="602" spans="1:7" x14ac:dyDescent="0.25">
      <c r="A602" s="31">
        <f>_xlfn.XLOOKUP(tbEscolas[[#This Row],[ESCOLA]],tbNucleo[ESCOLA],tbNucleo[COD ESCOLA],"")</f>
        <v>34</v>
      </c>
      <c r="B602" s="7" t="str" cm="1">
        <f t="array" ref="B602">IFERROR(INDEX(tbNucleo[ESCOLA],ROUNDUP(ROW(B601)/TotalEtapas,0)),"")</f>
        <v>EM JARDIM PARAISO</v>
      </c>
      <c r="C602" s="7" t="s">
        <v>115</v>
      </c>
      <c r="D602" s="7" cm="1">
        <f t="array" ref="D602">IF(B602="","",INDEX(tbEtapas[Nº],MOD(ROW(B601)-1,TotalEtapas)+1))</f>
        <v>7</v>
      </c>
      <c r="E602" s="7" t="str">
        <f>IFERROR(VLOOKUP(tbEscolas[[#This Row],[COD ETPA]],tbEtapas[],2,FALSE),"")</f>
        <v>3º ANO</v>
      </c>
      <c r="F602" s="7" t="str">
        <f>IFERROR(VLOOKUP(tbEscolas[[#This Row],[COD ETPA]],tbEtapas[],3,FALSE),"")</f>
        <v>FUNDAMENTAL</v>
      </c>
      <c r="G602" s="7" t="s">
        <v>126</v>
      </c>
    </row>
    <row r="603" spans="1:7" x14ac:dyDescent="0.25">
      <c r="A603" s="31">
        <f>_xlfn.XLOOKUP(tbEscolas[[#This Row],[ESCOLA]],tbNucleo[ESCOLA],tbNucleo[COD ESCOLA],"")</f>
        <v>34</v>
      </c>
      <c r="B603" s="7" t="str" cm="1">
        <f t="array" ref="B603">IFERROR(INDEX(tbNucleo[ESCOLA],ROUNDUP(ROW(B602)/TotalEtapas,0)),"")</f>
        <v>EM JARDIM PARAISO</v>
      </c>
      <c r="C603" s="7" t="s">
        <v>115</v>
      </c>
      <c r="D603" s="7" cm="1">
        <f t="array" ref="D603">IF(B603="","",INDEX(tbEtapas[Nº],MOD(ROW(B602)-1,TotalEtapas)+1))</f>
        <v>8</v>
      </c>
      <c r="E603" s="7" t="str">
        <f>IFERROR(VLOOKUP(tbEscolas[[#This Row],[COD ETPA]],tbEtapas[],2,FALSE),"")</f>
        <v>4º ANO</v>
      </c>
      <c r="F603" s="7" t="str">
        <f>IFERROR(VLOOKUP(tbEscolas[[#This Row],[COD ETPA]],tbEtapas[],3,FALSE),"")</f>
        <v>FUNDAMENTAL</v>
      </c>
      <c r="G603" s="7" t="s">
        <v>126</v>
      </c>
    </row>
    <row r="604" spans="1:7" x14ac:dyDescent="0.25">
      <c r="A604" s="31">
        <f>_xlfn.XLOOKUP(tbEscolas[[#This Row],[ESCOLA]],tbNucleo[ESCOLA],tbNucleo[COD ESCOLA],"")</f>
        <v>34</v>
      </c>
      <c r="B604" s="7" t="str" cm="1">
        <f t="array" ref="B604">IFERROR(INDEX(tbNucleo[ESCOLA],ROUNDUP(ROW(B603)/TotalEtapas,0)),"")</f>
        <v>EM JARDIM PARAISO</v>
      </c>
      <c r="C604" s="7" t="s">
        <v>115</v>
      </c>
      <c r="D604" s="7" cm="1">
        <f t="array" ref="D604">IF(B604="","",INDEX(tbEtapas[Nº],MOD(ROW(B603)-1,TotalEtapas)+1))</f>
        <v>9</v>
      </c>
      <c r="E604" s="7" t="str">
        <f>IFERROR(VLOOKUP(tbEscolas[[#This Row],[COD ETPA]],tbEtapas[],2,FALSE),"")</f>
        <v>5º ANO</v>
      </c>
      <c r="F604" s="7" t="str">
        <f>IFERROR(VLOOKUP(tbEscolas[[#This Row],[COD ETPA]],tbEtapas[],3,FALSE),"")</f>
        <v>FUNDAMENTAL</v>
      </c>
      <c r="G604" s="7" t="s">
        <v>126</v>
      </c>
    </row>
    <row r="605" spans="1:7" x14ac:dyDescent="0.25">
      <c r="A605" s="31">
        <f>_xlfn.XLOOKUP(tbEscolas[[#This Row],[ESCOLA]],tbNucleo[ESCOLA],tbNucleo[COD ESCOLA],"")</f>
        <v>34</v>
      </c>
      <c r="B605" s="7" t="str" cm="1">
        <f t="array" ref="B605">IFERROR(INDEX(tbNucleo[ESCOLA],ROUNDUP(ROW(B604)/TotalEtapas,0)),"")</f>
        <v>EM JARDIM PARAISO</v>
      </c>
      <c r="C605" s="7" t="s">
        <v>115</v>
      </c>
      <c r="D605" s="7" cm="1">
        <f t="array" ref="D605">IF(B605="","",INDEX(tbEtapas[Nº],MOD(ROW(B604)-1,TotalEtapas)+1))</f>
        <v>10</v>
      </c>
      <c r="E605" s="7" t="str">
        <f>IFERROR(VLOOKUP(tbEscolas[[#This Row],[COD ETPA]],tbEtapas[],2,FALSE),"")</f>
        <v>6º ANO</v>
      </c>
      <c r="F605" s="7" t="str">
        <f>IFERROR(VLOOKUP(tbEscolas[[#This Row],[COD ETPA]],tbEtapas[],3,FALSE),"")</f>
        <v>FUNDAMENTAL</v>
      </c>
      <c r="G605" s="7" t="s">
        <v>125</v>
      </c>
    </row>
    <row r="606" spans="1:7" x14ac:dyDescent="0.25">
      <c r="A606" s="31">
        <f>_xlfn.XLOOKUP(tbEscolas[[#This Row],[ESCOLA]],tbNucleo[ESCOLA],tbNucleo[COD ESCOLA],"")</f>
        <v>34</v>
      </c>
      <c r="B606" s="7" t="str" cm="1">
        <f t="array" ref="B606">IFERROR(INDEX(tbNucleo[ESCOLA],ROUNDUP(ROW(B605)/TotalEtapas,0)),"")</f>
        <v>EM JARDIM PARAISO</v>
      </c>
      <c r="C606" s="7" t="s">
        <v>115</v>
      </c>
      <c r="D606" s="7" cm="1">
        <f t="array" ref="D606">IF(B606="","",INDEX(tbEtapas[Nº],MOD(ROW(B605)-1,TotalEtapas)+1))</f>
        <v>11</v>
      </c>
      <c r="E606" s="7" t="str">
        <f>IFERROR(VLOOKUP(tbEscolas[[#This Row],[COD ETPA]],tbEtapas[],2,FALSE),"")</f>
        <v>7º ANO</v>
      </c>
      <c r="F606" s="7" t="str">
        <f>IFERROR(VLOOKUP(tbEscolas[[#This Row],[COD ETPA]],tbEtapas[],3,FALSE),"")</f>
        <v>FUNDAMENTAL</v>
      </c>
      <c r="G606" s="7" t="s">
        <v>125</v>
      </c>
    </row>
    <row r="607" spans="1:7" x14ac:dyDescent="0.25">
      <c r="A607" s="31">
        <f>_xlfn.XLOOKUP(tbEscolas[[#This Row],[ESCOLA]],tbNucleo[ESCOLA],tbNucleo[COD ESCOLA],"")</f>
        <v>34</v>
      </c>
      <c r="B607" s="7" t="str" cm="1">
        <f t="array" ref="B607">IFERROR(INDEX(tbNucleo[ESCOLA],ROUNDUP(ROW(B606)/TotalEtapas,0)),"")</f>
        <v>EM JARDIM PARAISO</v>
      </c>
      <c r="C607" s="7" t="s">
        <v>115</v>
      </c>
      <c r="D607" s="7" cm="1">
        <f t="array" ref="D607">IF(B607="","",INDEX(tbEtapas[Nº],MOD(ROW(B606)-1,TotalEtapas)+1))</f>
        <v>12</v>
      </c>
      <c r="E607" s="7" t="str">
        <f>IFERROR(VLOOKUP(tbEscolas[[#This Row],[COD ETPA]],tbEtapas[],2,FALSE),"")</f>
        <v>8º ANO</v>
      </c>
      <c r="F607" s="7" t="str">
        <f>IFERROR(VLOOKUP(tbEscolas[[#This Row],[COD ETPA]],tbEtapas[],3,FALSE),"")</f>
        <v>FUNDAMENTAL</v>
      </c>
      <c r="G607" s="7" t="s">
        <v>125</v>
      </c>
    </row>
    <row r="608" spans="1:7" x14ac:dyDescent="0.25">
      <c r="A608" s="31">
        <f>_xlfn.XLOOKUP(tbEscolas[[#This Row],[ESCOLA]],tbNucleo[ESCOLA],tbNucleo[COD ESCOLA],"")</f>
        <v>34</v>
      </c>
      <c r="B608" s="7" t="str" cm="1">
        <f t="array" ref="B608">IFERROR(INDEX(tbNucleo[ESCOLA],ROUNDUP(ROW(B607)/TotalEtapas,0)),"")</f>
        <v>EM JARDIM PARAISO</v>
      </c>
      <c r="C608" s="7" t="s">
        <v>115</v>
      </c>
      <c r="D608" s="7" cm="1">
        <f t="array" ref="D608">IF(B608="","",INDEX(tbEtapas[Nº],MOD(ROW(B607)-1,TotalEtapas)+1))</f>
        <v>13</v>
      </c>
      <c r="E608" s="7" t="str">
        <f>IFERROR(VLOOKUP(tbEscolas[[#This Row],[COD ETPA]],tbEtapas[],2,FALSE),"")</f>
        <v>9º ANO</v>
      </c>
      <c r="F608" s="7" t="str">
        <f>IFERROR(VLOOKUP(tbEscolas[[#This Row],[COD ETPA]],tbEtapas[],3,FALSE),"")</f>
        <v>FUNDAMENTAL</v>
      </c>
      <c r="G608" s="7" t="s">
        <v>125</v>
      </c>
    </row>
    <row r="609" spans="1:7" x14ac:dyDescent="0.25">
      <c r="A609" s="31">
        <f>_xlfn.XLOOKUP(tbEscolas[[#This Row],[ESCOLA]],tbNucleo[ESCOLA],tbNucleo[COD ESCOLA],"")</f>
        <v>34</v>
      </c>
      <c r="B609" s="7" t="str" cm="1">
        <f t="array" ref="B609">IFERROR(INDEX(tbNucleo[ESCOLA],ROUNDUP(ROW(B608)/TotalEtapas,0)),"")</f>
        <v>EM JARDIM PARAISO</v>
      </c>
      <c r="C609" s="7" t="s">
        <v>115</v>
      </c>
      <c r="D609" s="7">
        <v>14</v>
      </c>
      <c r="E609" s="7" t="str">
        <f>IFERROR(VLOOKUP(tbEscolas[[#This Row],[COD ETPA]],tbEtapas[],2,FALSE),"")</f>
        <v>1º ANO</v>
      </c>
      <c r="F609" s="7" t="str">
        <f>IFERROR(VLOOKUP(tbEscolas[[#This Row],[COD ETPA]],tbEtapas[],3,FALSE),"")</f>
        <v>ENSINO MÉDIO</v>
      </c>
      <c r="G609" s="7" t="s">
        <v>125</v>
      </c>
    </row>
    <row r="610" spans="1:7" x14ac:dyDescent="0.25">
      <c r="A610" s="31">
        <f>_xlfn.XLOOKUP(tbEscolas[[#This Row],[ESCOLA]],tbNucleo[ESCOLA],tbNucleo[COD ESCOLA],"")</f>
        <v>34</v>
      </c>
      <c r="B610" s="7" t="str" cm="1">
        <f t="array" ref="B610">IFERROR(INDEX(tbNucleo[ESCOLA],ROUNDUP(ROW(B609)/TotalEtapas,0)),"")</f>
        <v>EM JARDIM PARAISO</v>
      </c>
      <c r="C610" s="7" t="s">
        <v>115</v>
      </c>
      <c r="D610" s="7">
        <v>15</v>
      </c>
      <c r="E610" s="7" t="str">
        <f>IFERROR(VLOOKUP(tbEscolas[[#This Row],[COD ETPA]],tbEtapas[],2,FALSE),"")</f>
        <v>2º ANO</v>
      </c>
      <c r="F610" s="7" t="str">
        <f>IFERROR(VLOOKUP(tbEscolas[[#This Row],[COD ETPA]],tbEtapas[],3,FALSE),"")</f>
        <v>ENSINO MÉDIO</v>
      </c>
      <c r="G610" s="7" t="s">
        <v>125</v>
      </c>
    </row>
    <row r="611" spans="1:7" x14ac:dyDescent="0.25">
      <c r="A611" s="31">
        <f>_xlfn.XLOOKUP(tbEscolas[[#This Row],[ESCOLA]],tbNucleo[ESCOLA],tbNucleo[COD ESCOLA],"")</f>
        <v>34</v>
      </c>
      <c r="B611" s="7" t="str" cm="1">
        <f t="array" ref="B611">IFERROR(INDEX(tbNucleo[ESCOLA],ROUNDUP(ROW(B610)/TotalEtapas,0)),"")</f>
        <v>EM JARDIM PARAISO</v>
      </c>
      <c r="C611" s="7" t="s">
        <v>115</v>
      </c>
      <c r="D611" s="7">
        <v>16</v>
      </c>
      <c r="E611" s="7" t="str">
        <f>IFERROR(VLOOKUP(tbEscolas[[#This Row],[COD ETPA]],tbEtapas[],2,FALSE),"")</f>
        <v>3º ANO</v>
      </c>
      <c r="F611" s="7" t="str">
        <f>IFERROR(VLOOKUP(tbEscolas[[#This Row],[COD ETPA]],tbEtapas[],3,FALSE),"")</f>
        <v>ENSINO MÉDIO</v>
      </c>
      <c r="G611" s="7" t="s">
        <v>125</v>
      </c>
    </row>
    <row r="612" spans="1:7" x14ac:dyDescent="0.25">
      <c r="A612" s="31">
        <f>_xlfn.XLOOKUP(tbEscolas[[#This Row],[ESCOLA]],tbNucleo[ESCOLA],tbNucleo[COD ESCOLA],"")</f>
        <v>34</v>
      </c>
      <c r="B612" s="7" t="str" cm="1">
        <f t="array" ref="B612">IFERROR(INDEX(tbNucleo[ESCOLA],ROUNDUP(ROW(B611)/TotalEtapas,0)),"")</f>
        <v>EM JARDIM PARAISO</v>
      </c>
      <c r="C612" s="7" t="s">
        <v>115</v>
      </c>
      <c r="D612" s="7">
        <v>17</v>
      </c>
      <c r="E612" s="7" t="str">
        <f>IFERROR(VLOOKUP(tbEscolas[[#This Row],[COD ETPA]],tbEtapas[],2,FALSE),"")</f>
        <v>EJA I</v>
      </c>
      <c r="F612" s="7" t="str">
        <f>IFERROR(VLOOKUP(tbEscolas[[#This Row],[COD ETPA]],tbEtapas[],3,FALSE),"")</f>
        <v>FUNDAMENTAL</v>
      </c>
      <c r="G612" s="7" t="s">
        <v>125</v>
      </c>
    </row>
    <row r="613" spans="1:7" x14ac:dyDescent="0.25">
      <c r="A613" s="31">
        <f>_xlfn.XLOOKUP(tbEscolas[[#This Row],[ESCOLA]],tbNucleo[ESCOLA],tbNucleo[COD ESCOLA],"")</f>
        <v>34</v>
      </c>
      <c r="B613" s="7" t="str" cm="1">
        <f t="array" ref="B613">IFERROR(INDEX(tbNucleo[ESCOLA],ROUNDUP(ROW(B612)/TotalEtapas,0)),"")</f>
        <v>EM JARDIM PARAISO</v>
      </c>
      <c r="C613" s="7" t="s">
        <v>115</v>
      </c>
      <c r="D613" s="7">
        <v>18</v>
      </c>
      <c r="E613" s="7" t="str">
        <f>IFERROR(VLOOKUP(tbEscolas[[#This Row],[COD ETPA]],tbEtapas[],2,FALSE),"")</f>
        <v>EJA II</v>
      </c>
      <c r="F613" s="7" t="str">
        <f>IFERROR(VLOOKUP(tbEscolas[[#This Row],[COD ETPA]],tbEtapas[],3,FALSE),"")</f>
        <v>ENSINO MÉDIO</v>
      </c>
      <c r="G613" s="7" t="s">
        <v>125</v>
      </c>
    </row>
    <row r="614" spans="1:7" x14ac:dyDescent="0.25">
      <c r="A614" s="32">
        <f>_xlfn.XLOOKUP(tbEscolas[[#This Row],[ESCOLA]],tbNucleo[ESCOLA],tbNucleo[COD ESCOLA],"")</f>
        <v>35</v>
      </c>
      <c r="B614" s="8" t="str" cm="1">
        <f t="array" ref="B614">IFERROR(INDEX(tbNucleo[ESCOLA],ROUNDUP(ROW(B613)/TotalEtapas,0)),"")</f>
        <v>EM LIMOEIRO</v>
      </c>
      <c r="C614" s="8" t="s">
        <v>112</v>
      </c>
      <c r="D614" s="8" cm="1">
        <f t="array" ref="D614">IF(B614="","",INDEX(tbEtapas[Nº],MOD(ROW(B613)-1,TotalEtapas)+1))</f>
        <v>1</v>
      </c>
      <c r="E614" s="8" t="str">
        <f>IFERROR(VLOOKUP(tbEscolas[[#This Row],[COD ETPA]],tbEtapas[],2,FALSE),"")</f>
        <v>CRECHE I</v>
      </c>
      <c r="F614" s="8" t="str">
        <f>IFERROR(VLOOKUP(tbEscolas[[#This Row],[COD ETPA]],tbEtapas[],3,FALSE),"")</f>
        <v>EDUCAÇÃO INFANTIL</v>
      </c>
      <c r="G614" s="8" t="s">
        <v>125</v>
      </c>
    </row>
    <row r="615" spans="1:7" x14ac:dyDescent="0.25">
      <c r="A615" s="32">
        <f>_xlfn.XLOOKUP(tbEscolas[[#This Row],[ESCOLA]],tbNucleo[ESCOLA],tbNucleo[COD ESCOLA],"")</f>
        <v>35</v>
      </c>
      <c r="B615" s="8" t="str" cm="1">
        <f t="array" ref="B615">IFERROR(INDEX(tbNucleo[ESCOLA],ROUNDUP(ROW(B614)/TotalEtapas,0)),"")</f>
        <v>EM LIMOEIRO</v>
      </c>
      <c r="C615" s="8" t="s">
        <v>112</v>
      </c>
      <c r="D615" s="8" cm="1">
        <f t="array" ref="D615">IF(B615="","",INDEX(tbEtapas[Nº],MOD(ROW(B614)-1,TotalEtapas)+1))</f>
        <v>2</v>
      </c>
      <c r="E615" s="8" t="str">
        <f>IFERROR(VLOOKUP(tbEscolas[[#This Row],[COD ETPA]],tbEtapas[],2,FALSE),"")</f>
        <v>CRECHE II</v>
      </c>
      <c r="F615" s="8" t="str">
        <f>IFERROR(VLOOKUP(tbEscolas[[#This Row],[COD ETPA]],tbEtapas[],3,FALSE),"")</f>
        <v>EDUCAÇÃO INFANTIL</v>
      </c>
      <c r="G615" s="8" t="s">
        <v>125</v>
      </c>
    </row>
    <row r="616" spans="1:7" x14ac:dyDescent="0.25">
      <c r="A616" s="32">
        <f>_xlfn.XLOOKUP(tbEscolas[[#This Row],[ESCOLA]],tbNucleo[ESCOLA],tbNucleo[COD ESCOLA],"")</f>
        <v>35</v>
      </c>
      <c r="B616" s="8" t="str" cm="1">
        <f t="array" ref="B616">IFERROR(INDEX(tbNucleo[ESCOLA],ROUNDUP(ROW(B615)/TotalEtapas,0)),"")</f>
        <v>EM LIMOEIRO</v>
      </c>
      <c r="C616" s="8" t="s">
        <v>112</v>
      </c>
      <c r="D616" s="8" cm="1">
        <f t="array" ref="D616">IF(B616="","",INDEX(tbEtapas[Nº],MOD(ROW(B615)-1,TotalEtapas)+1))</f>
        <v>3</v>
      </c>
      <c r="E616" s="8" t="str">
        <f>IFERROR(VLOOKUP(tbEscolas[[#This Row],[COD ETPA]],tbEtapas[],2,FALSE),"")</f>
        <v>PRE I</v>
      </c>
      <c r="F616" s="8" t="str">
        <f>IFERROR(VLOOKUP(tbEscolas[[#This Row],[COD ETPA]],tbEtapas[],3,FALSE),"")</f>
        <v>EDUCAÇÃO INFANTIL</v>
      </c>
      <c r="G616" s="8" t="s">
        <v>126</v>
      </c>
    </row>
    <row r="617" spans="1:7" x14ac:dyDescent="0.25">
      <c r="A617" s="32">
        <f>_xlfn.XLOOKUP(tbEscolas[[#This Row],[ESCOLA]],tbNucleo[ESCOLA],tbNucleo[COD ESCOLA],"")</f>
        <v>35</v>
      </c>
      <c r="B617" s="8" t="str" cm="1">
        <f t="array" ref="B617">IFERROR(INDEX(tbNucleo[ESCOLA],ROUNDUP(ROW(B616)/TotalEtapas,0)),"")</f>
        <v>EM LIMOEIRO</v>
      </c>
      <c r="C617" s="8" t="s">
        <v>112</v>
      </c>
      <c r="D617" s="8" cm="1">
        <f t="array" ref="D617">IF(B617="","",INDEX(tbEtapas[Nº],MOD(ROW(B616)-1,TotalEtapas)+1))</f>
        <v>4</v>
      </c>
      <c r="E617" s="8" t="str">
        <f>IFERROR(VLOOKUP(tbEscolas[[#This Row],[COD ETPA]],tbEtapas[],2,FALSE),"")</f>
        <v>PRE II</v>
      </c>
      <c r="F617" s="8" t="str">
        <f>IFERROR(VLOOKUP(tbEscolas[[#This Row],[COD ETPA]],tbEtapas[],3,FALSE),"")</f>
        <v>EDUCAÇÃO INFANTIL</v>
      </c>
      <c r="G617" s="8" t="s">
        <v>126</v>
      </c>
    </row>
    <row r="618" spans="1:7" x14ac:dyDescent="0.25">
      <c r="A618" s="32">
        <f>_xlfn.XLOOKUP(tbEscolas[[#This Row],[ESCOLA]],tbNucleo[ESCOLA],tbNucleo[COD ESCOLA],"")</f>
        <v>35</v>
      </c>
      <c r="B618" s="8" t="str" cm="1">
        <f t="array" ref="B618">IFERROR(INDEX(tbNucleo[ESCOLA],ROUNDUP(ROW(B617)/TotalEtapas,0)),"")</f>
        <v>EM LIMOEIRO</v>
      </c>
      <c r="C618" s="8" t="s">
        <v>112</v>
      </c>
      <c r="D618" s="8" cm="1">
        <f t="array" ref="D618">IF(B618="","",INDEX(tbEtapas[Nº],MOD(ROW(B617)-1,TotalEtapas)+1))</f>
        <v>5</v>
      </c>
      <c r="E618" s="8" t="str">
        <f>IFERROR(VLOOKUP(tbEscolas[[#This Row],[COD ETPA]],tbEtapas[],2,FALSE),"")</f>
        <v>1º ANO</v>
      </c>
      <c r="F618" s="8" t="str">
        <f>IFERROR(VLOOKUP(tbEscolas[[#This Row],[COD ETPA]],tbEtapas[],3,FALSE),"")</f>
        <v>FUNDAMENTAL</v>
      </c>
      <c r="G618" s="8" t="s">
        <v>126</v>
      </c>
    </row>
    <row r="619" spans="1:7" x14ac:dyDescent="0.25">
      <c r="A619" s="32">
        <f>_xlfn.XLOOKUP(tbEscolas[[#This Row],[ESCOLA]],tbNucleo[ESCOLA],tbNucleo[COD ESCOLA],"")</f>
        <v>35</v>
      </c>
      <c r="B619" s="8" t="str" cm="1">
        <f t="array" ref="B619">IFERROR(INDEX(tbNucleo[ESCOLA],ROUNDUP(ROW(B618)/TotalEtapas,0)),"")</f>
        <v>EM LIMOEIRO</v>
      </c>
      <c r="C619" s="8" t="s">
        <v>112</v>
      </c>
      <c r="D619" s="8" cm="1">
        <f t="array" ref="D619">IF(B619="","",INDEX(tbEtapas[Nº],MOD(ROW(B618)-1,TotalEtapas)+1))</f>
        <v>6</v>
      </c>
      <c r="E619" s="8" t="str">
        <f>IFERROR(VLOOKUP(tbEscolas[[#This Row],[COD ETPA]],tbEtapas[],2,FALSE),"")</f>
        <v>2º ANO</v>
      </c>
      <c r="F619" s="8" t="str">
        <f>IFERROR(VLOOKUP(tbEscolas[[#This Row],[COD ETPA]],tbEtapas[],3,FALSE),"")</f>
        <v>FUNDAMENTAL</v>
      </c>
      <c r="G619" s="8" t="s">
        <v>126</v>
      </c>
    </row>
    <row r="620" spans="1:7" x14ac:dyDescent="0.25">
      <c r="A620" s="32">
        <f>_xlfn.XLOOKUP(tbEscolas[[#This Row],[ESCOLA]],tbNucleo[ESCOLA],tbNucleo[COD ESCOLA],"")</f>
        <v>35</v>
      </c>
      <c r="B620" s="8" t="str" cm="1">
        <f t="array" ref="B620">IFERROR(INDEX(tbNucleo[ESCOLA],ROUNDUP(ROW(B619)/TotalEtapas,0)),"")</f>
        <v>EM LIMOEIRO</v>
      </c>
      <c r="C620" s="8" t="s">
        <v>112</v>
      </c>
      <c r="D620" s="8" cm="1">
        <f t="array" ref="D620">IF(B620="","",INDEX(tbEtapas[Nº],MOD(ROW(B619)-1,TotalEtapas)+1))</f>
        <v>7</v>
      </c>
      <c r="E620" s="8" t="str">
        <f>IFERROR(VLOOKUP(tbEscolas[[#This Row],[COD ETPA]],tbEtapas[],2,FALSE),"")</f>
        <v>3º ANO</v>
      </c>
      <c r="F620" s="8" t="str">
        <f>IFERROR(VLOOKUP(tbEscolas[[#This Row],[COD ETPA]],tbEtapas[],3,FALSE),"")</f>
        <v>FUNDAMENTAL</v>
      </c>
      <c r="G620" s="8" t="s">
        <v>126</v>
      </c>
    </row>
    <row r="621" spans="1:7" x14ac:dyDescent="0.25">
      <c r="A621" s="32">
        <f>_xlfn.XLOOKUP(tbEscolas[[#This Row],[ESCOLA]],tbNucleo[ESCOLA],tbNucleo[COD ESCOLA],"")</f>
        <v>35</v>
      </c>
      <c r="B621" s="8" t="str" cm="1">
        <f t="array" ref="B621">IFERROR(INDEX(tbNucleo[ESCOLA],ROUNDUP(ROW(B620)/TotalEtapas,0)),"")</f>
        <v>EM LIMOEIRO</v>
      </c>
      <c r="C621" s="8" t="s">
        <v>112</v>
      </c>
      <c r="D621" s="8" cm="1">
        <f t="array" ref="D621">IF(B621="","",INDEX(tbEtapas[Nº],MOD(ROW(B620)-1,TotalEtapas)+1))</f>
        <v>8</v>
      </c>
      <c r="E621" s="8" t="str">
        <f>IFERROR(VLOOKUP(tbEscolas[[#This Row],[COD ETPA]],tbEtapas[],2,FALSE),"")</f>
        <v>4º ANO</v>
      </c>
      <c r="F621" s="8" t="str">
        <f>IFERROR(VLOOKUP(tbEscolas[[#This Row],[COD ETPA]],tbEtapas[],3,FALSE),"")</f>
        <v>FUNDAMENTAL</v>
      </c>
      <c r="G621" s="8" t="s">
        <v>126</v>
      </c>
    </row>
    <row r="622" spans="1:7" x14ac:dyDescent="0.25">
      <c r="A622" s="32">
        <f>_xlfn.XLOOKUP(tbEscolas[[#This Row],[ESCOLA]],tbNucleo[ESCOLA],tbNucleo[COD ESCOLA],"")</f>
        <v>35</v>
      </c>
      <c r="B622" s="8" t="str" cm="1">
        <f t="array" ref="B622">IFERROR(INDEX(tbNucleo[ESCOLA],ROUNDUP(ROW(B621)/TotalEtapas,0)),"")</f>
        <v>EM LIMOEIRO</v>
      </c>
      <c r="C622" s="8" t="s">
        <v>112</v>
      </c>
      <c r="D622" s="8" cm="1">
        <f t="array" ref="D622">IF(B622="","",INDEX(tbEtapas[Nº],MOD(ROW(B621)-1,TotalEtapas)+1))</f>
        <v>9</v>
      </c>
      <c r="E622" s="8" t="str">
        <f>IFERROR(VLOOKUP(tbEscolas[[#This Row],[COD ETPA]],tbEtapas[],2,FALSE),"")</f>
        <v>5º ANO</v>
      </c>
      <c r="F622" s="8" t="str">
        <f>IFERROR(VLOOKUP(tbEscolas[[#This Row],[COD ETPA]],tbEtapas[],3,FALSE),"")</f>
        <v>FUNDAMENTAL</v>
      </c>
      <c r="G622" s="8" t="s">
        <v>126</v>
      </c>
    </row>
    <row r="623" spans="1:7" x14ac:dyDescent="0.25">
      <c r="A623" s="32">
        <f>_xlfn.XLOOKUP(tbEscolas[[#This Row],[ESCOLA]],tbNucleo[ESCOLA],tbNucleo[COD ESCOLA],"")</f>
        <v>35</v>
      </c>
      <c r="B623" s="8" t="str" cm="1">
        <f t="array" ref="B623">IFERROR(INDEX(tbNucleo[ESCOLA],ROUNDUP(ROW(B622)/TotalEtapas,0)),"")</f>
        <v>EM LIMOEIRO</v>
      </c>
      <c r="C623" s="8" t="s">
        <v>112</v>
      </c>
      <c r="D623" s="8" cm="1">
        <f t="array" ref="D623">IF(B623="","",INDEX(tbEtapas[Nº],MOD(ROW(B622)-1,TotalEtapas)+1))</f>
        <v>10</v>
      </c>
      <c r="E623" s="8" t="str">
        <f>IFERROR(VLOOKUP(tbEscolas[[#This Row],[COD ETPA]],tbEtapas[],2,FALSE),"")</f>
        <v>6º ANO</v>
      </c>
      <c r="F623" s="8" t="str">
        <f>IFERROR(VLOOKUP(tbEscolas[[#This Row],[COD ETPA]],tbEtapas[],3,FALSE),"")</f>
        <v>FUNDAMENTAL</v>
      </c>
      <c r="G623" s="8" t="s">
        <v>125</v>
      </c>
    </row>
    <row r="624" spans="1:7" x14ac:dyDescent="0.25">
      <c r="A624" s="32">
        <f>_xlfn.XLOOKUP(tbEscolas[[#This Row],[ESCOLA]],tbNucleo[ESCOLA],tbNucleo[COD ESCOLA],"")</f>
        <v>35</v>
      </c>
      <c r="B624" s="8" t="str" cm="1">
        <f t="array" ref="B624">IFERROR(INDEX(tbNucleo[ESCOLA],ROUNDUP(ROW(B623)/TotalEtapas,0)),"")</f>
        <v>EM LIMOEIRO</v>
      </c>
      <c r="C624" s="8" t="s">
        <v>112</v>
      </c>
      <c r="D624" s="8" cm="1">
        <f t="array" ref="D624">IF(B624="","",INDEX(tbEtapas[Nº],MOD(ROW(B623)-1,TotalEtapas)+1))</f>
        <v>11</v>
      </c>
      <c r="E624" s="8" t="str">
        <f>IFERROR(VLOOKUP(tbEscolas[[#This Row],[COD ETPA]],tbEtapas[],2,FALSE),"")</f>
        <v>7º ANO</v>
      </c>
      <c r="F624" s="8" t="str">
        <f>IFERROR(VLOOKUP(tbEscolas[[#This Row],[COD ETPA]],tbEtapas[],3,FALSE),"")</f>
        <v>FUNDAMENTAL</v>
      </c>
      <c r="G624" s="8" t="s">
        <v>125</v>
      </c>
    </row>
    <row r="625" spans="1:7" x14ac:dyDescent="0.25">
      <c r="A625" s="32">
        <f>_xlfn.XLOOKUP(tbEscolas[[#This Row],[ESCOLA]],tbNucleo[ESCOLA],tbNucleo[COD ESCOLA],"")</f>
        <v>35</v>
      </c>
      <c r="B625" s="8" t="str" cm="1">
        <f t="array" ref="B625">IFERROR(INDEX(tbNucleo[ESCOLA],ROUNDUP(ROW(B624)/TotalEtapas,0)),"")</f>
        <v>EM LIMOEIRO</v>
      </c>
      <c r="C625" s="8" t="s">
        <v>112</v>
      </c>
      <c r="D625" s="8" cm="1">
        <f t="array" ref="D625">IF(B625="","",INDEX(tbEtapas[Nº],MOD(ROW(B624)-1,TotalEtapas)+1))</f>
        <v>12</v>
      </c>
      <c r="E625" s="8" t="str">
        <f>IFERROR(VLOOKUP(tbEscolas[[#This Row],[COD ETPA]],tbEtapas[],2,FALSE),"")</f>
        <v>8º ANO</v>
      </c>
      <c r="F625" s="8" t="str">
        <f>IFERROR(VLOOKUP(tbEscolas[[#This Row],[COD ETPA]],tbEtapas[],3,FALSE),"")</f>
        <v>FUNDAMENTAL</v>
      </c>
      <c r="G625" s="8" t="s">
        <v>125</v>
      </c>
    </row>
    <row r="626" spans="1:7" x14ac:dyDescent="0.25">
      <c r="A626" s="32">
        <f>_xlfn.XLOOKUP(tbEscolas[[#This Row],[ESCOLA]],tbNucleo[ESCOLA],tbNucleo[COD ESCOLA],"")</f>
        <v>35</v>
      </c>
      <c r="B626" s="8" t="str" cm="1">
        <f t="array" ref="B626">IFERROR(INDEX(tbNucleo[ESCOLA],ROUNDUP(ROW(B625)/TotalEtapas,0)),"")</f>
        <v>EM LIMOEIRO</v>
      </c>
      <c r="C626" s="8" t="s">
        <v>112</v>
      </c>
      <c r="D626" s="8" cm="1">
        <f t="array" ref="D626">IF(B626="","",INDEX(tbEtapas[Nº],MOD(ROW(B625)-1,TotalEtapas)+1))</f>
        <v>13</v>
      </c>
      <c r="E626" s="8" t="str">
        <f>IFERROR(VLOOKUP(tbEscolas[[#This Row],[COD ETPA]],tbEtapas[],2,FALSE),"")</f>
        <v>9º ANO</v>
      </c>
      <c r="F626" s="8" t="str">
        <f>IFERROR(VLOOKUP(tbEscolas[[#This Row],[COD ETPA]],tbEtapas[],3,FALSE),"")</f>
        <v>FUNDAMENTAL</v>
      </c>
      <c r="G626" s="8" t="s">
        <v>125</v>
      </c>
    </row>
    <row r="627" spans="1:7" x14ac:dyDescent="0.25">
      <c r="A627" s="32">
        <f>_xlfn.XLOOKUP(tbEscolas[[#This Row],[ESCOLA]],tbNucleo[ESCOLA],tbNucleo[COD ESCOLA],"")</f>
        <v>35</v>
      </c>
      <c r="B627" s="8" t="str" cm="1">
        <f t="array" ref="B627">IFERROR(INDEX(tbNucleo[ESCOLA],ROUNDUP(ROW(B626)/TotalEtapas,0)),"")</f>
        <v>EM LIMOEIRO</v>
      </c>
      <c r="C627" s="8" t="s">
        <v>112</v>
      </c>
      <c r="D627" s="8">
        <v>14</v>
      </c>
      <c r="E627" s="8" t="str">
        <f>IFERROR(VLOOKUP(tbEscolas[[#This Row],[COD ETPA]],tbEtapas[],2,FALSE),"")</f>
        <v>1º ANO</v>
      </c>
      <c r="F627" s="8" t="str">
        <f>IFERROR(VLOOKUP(tbEscolas[[#This Row],[COD ETPA]],tbEtapas[],3,FALSE),"")</f>
        <v>ENSINO MÉDIO</v>
      </c>
      <c r="G627" s="8" t="s">
        <v>125</v>
      </c>
    </row>
    <row r="628" spans="1:7" x14ac:dyDescent="0.25">
      <c r="A628" s="32">
        <f>_xlfn.XLOOKUP(tbEscolas[[#This Row],[ESCOLA]],tbNucleo[ESCOLA],tbNucleo[COD ESCOLA],"")</f>
        <v>35</v>
      </c>
      <c r="B628" s="8" t="str" cm="1">
        <f t="array" ref="B628">IFERROR(INDEX(tbNucleo[ESCOLA],ROUNDUP(ROW(B627)/TotalEtapas,0)),"")</f>
        <v>EM LIMOEIRO</v>
      </c>
      <c r="C628" s="8" t="s">
        <v>112</v>
      </c>
      <c r="D628" s="8">
        <v>15</v>
      </c>
      <c r="E628" s="8" t="str">
        <f>IFERROR(VLOOKUP(tbEscolas[[#This Row],[COD ETPA]],tbEtapas[],2,FALSE),"")</f>
        <v>2º ANO</v>
      </c>
      <c r="F628" s="8" t="str">
        <f>IFERROR(VLOOKUP(tbEscolas[[#This Row],[COD ETPA]],tbEtapas[],3,FALSE),"")</f>
        <v>ENSINO MÉDIO</v>
      </c>
      <c r="G628" s="8" t="s">
        <v>125</v>
      </c>
    </row>
    <row r="629" spans="1:7" x14ac:dyDescent="0.25">
      <c r="A629" s="32">
        <f>_xlfn.XLOOKUP(tbEscolas[[#This Row],[ESCOLA]],tbNucleo[ESCOLA],tbNucleo[COD ESCOLA],"")</f>
        <v>35</v>
      </c>
      <c r="B629" s="8" t="str" cm="1">
        <f t="array" ref="B629">IFERROR(INDEX(tbNucleo[ESCOLA],ROUNDUP(ROW(B628)/TotalEtapas,0)),"")</f>
        <v>EM LIMOEIRO</v>
      </c>
      <c r="C629" s="8" t="s">
        <v>112</v>
      </c>
      <c r="D629" s="8">
        <v>16</v>
      </c>
      <c r="E629" s="8" t="str">
        <f>IFERROR(VLOOKUP(tbEscolas[[#This Row],[COD ETPA]],tbEtapas[],2,FALSE),"")</f>
        <v>3º ANO</v>
      </c>
      <c r="F629" s="8" t="str">
        <f>IFERROR(VLOOKUP(tbEscolas[[#This Row],[COD ETPA]],tbEtapas[],3,FALSE),"")</f>
        <v>ENSINO MÉDIO</v>
      </c>
      <c r="G629" s="8" t="s">
        <v>125</v>
      </c>
    </row>
    <row r="630" spans="1:7" x14ac:dyDescent="0.25">
      <c r="A630" s="32">
        <f>_xlfn.XLOOKUP(tbEscolas[[#This Row],[ESCOLA]],tbNucleo[ESCOLA],tbNucleo[COD ESCOLA],"")</f>
        <v>35</v>
      </c>
      <c r="B630" s="8" t="str" cm="1">
        <f t="array" ref="B630">IFERROR(INDEX(tbNucleo[ESCOLA],ROUNDUP(ROW(B629)/TotalEtapas,0)),"")</f>
        <v>EM LIMOEIRO</v>
      </c>
      <c r="C630" s="8" t="s">
        <v>112</v>
      </c>
      <c r="D630" s="8">
        <v>17</v>
      </c>
      <c r="E630" s="8" t="str">
        <f>IFERROR(VLOOKUP(tbEscolas[[#This Row],[COD ETPA]],tbEtapas[],2,FALSE),"")</f>
        <v>EJA I</v>
      </c>
      <c r="F630" s="8" t="str">
        <f>IFERROR(VLOOKUP(tbEscolas[[#This Row],[COD ETPA]],tbEtapas[],3,FALSE),"")</f>
        <v>FUNDAMENTAL</v>
      </c>
      <c r="G630" s="8" t="s">
        <v>125</v>
      </c>
    </row>
    <row r="631" spans="1:7" x14ac:dyDescent="0.25">
      <c r="A631" s="32">
        <f>_xlfn.XLOOKUP(tbEscolas[[#This Row],[ESCOLA]],tbNucleo[ESCOLA],tbNucleo[COD ESCOLA],"")</f>
        <v>35</v>
      </c>
      <c r="B631" s="8" t="str" cm="1">
        <f t="array" ref="B631">IFERROR(INDEX(tbNucleo[ESCOLA],ROUNDUP(ROW(B630)/TotalEtapas,0)),"")</f>
        <v>EM LIMOEIRO</v>
      </c>
      <c r="C631" s="8" t="s">
        <v>112</v>
      </c>
      <c r="D631" s="8">
        <v>18</v>
      </c>
      <c r="E631" s="8" t="str">
        <f>IFERROR(VLOOKUP(tbEscolas[[#This Row],[COD ETPA]],tbEtapas[],2,FALSE),"")</f>
        <v>EJA II</v>
      </c>
      <c r="F631" s="8" t="str">
        <f>IFERROR(VLOOKUP(tbEscolas[[#This Row],[COD ETPA]],tbEtapas[],3,FALSE),"")</f>
        <v>ENSINO MÉDIO</v>
      </c>
      <c r="G631" s="8" t="s">
        <v>125</v>
      </c>
    </row>
    <row r="632" spans="1:7" x14ac:dyDescent="0.25">
      <c r="A632" s="33">
        <f>_xlfn.XLOOKUP(tbEscolas[[#This Row],[ESCOLA]],tbNucleo[ESCOLA],tbNucleo[COD ESCOLA],"")</f>
        <v>36</v>
      </c>
      <c r="B632" s="9" t="str" cm="1">
        <f t="array" ref="B632">IFERROR(INDEX(tbNucleo[ESCOLA],ROUNDUP(ROW(B631)/TotalEtapas,0)),"")</f>
        <v xml:space="preserve">EM NOSSA SENHORA APARECIDA </v>
      </c>
      <c r="C632" s="9" t="s">
        <v>119</v>
      </c>
      <c r="D632" s="9" cm="1">
        <f t="array" ref="D632">IF(B632="","",INDEX(tbEtapas[Nº],MOD(ROW(B631)-1,TotalEtapas)+1))</f>
        <v>1</v>
      </c>
      <c r="E632" s="9" t="str">
        <f>IFERROR(VLOOKUP(tbEscolas[[#This Row],[COD ETPA]],tbEtapas[],2,FALSE),"")</f>
        <v>CRECHE I</v>
      </c>
      <c r="F632" s="9" t="str">
        <f>IFERROR(VLOOKUP(tbEscolas[[#This Row],[COD ETPA]],tbEtapas[],3,FALSE),"")</f>
        <v>EDUCAÇÃO INFANTIL</v>
      </c>
      <c r="G632" s="9" t="s">
        <v>125</v>
      </c>
    </row>
    <row r="633" spans="1:7" x14ac:dyDescent="0.25">
      <c r="A633" s="33">
        <f>_xlfn.XLOOKUP(tbEscolas[[#This Row],[ESCOLA]],tbNucleo[ESCOLA],tbNucleo[COD ESCOLA],"")</f>
        <v>36</v>
      </c>
      <c r="B633" s="9" t="str" cm="1">
        <f t="array" ref="B633">IFERROR(INDEX(tbNucleo[ESCOLA],ROUNDUP(ROW(B632)/TotalEtapas,0)),"")</f>
        <v xml:space="preserve">EM NOSSA SENHORA APARECIDA </v>
      </c>
      <c r="C633" s="9" t="s">
        <v>119</v>
      </c>
      <c r="D633" s="9" cm="1">
        <f t="array" ref="D633">IF(B633="","",INDEX(tbEtapas[Nº],MOD(ROW(B632)-1,TotalEtapas)+1))</f>
        <v>2</v>
      </c>
      <c r="E633" s="9" t="str">
        <f>IFERROR(VLOOKUP(tbEscolas[[#This Row],[COD ETPA]],tbEtapas[],2,FALSE),"")</f>
        <v>CRECHE II</v>
      </c>
      <c r="F633" s="9" t="str">
        <f>IFERROR(VLOOKUP(tbEscolas[[#This Row],[COD ETPA]],tbEtapas[],3,FALSE),"")</f>
        <v>EDUCAÇÃO INFANTIL</v>
      </c>
      <c r="G633" s="9" t="s">
        <v>125</v>
      </c>
    </row>
    <row r="634" spans="1:7" x14ac:dyDescent="0.25">
      <c r="A634" s="33">
        <f>_xlfn.XLOOKUP(tbEscolas[[#This Row],[ESCOLA]],tbNucleo[ESCOLA],tbNucleo[COD ESCOLA],"")</f>
        <v>36</v>
      </c>
      <c r="B634" s="9" t="str" cm="1">
        <f t="array" ref="B634">IFERROR(INDEX(tbNucleo[ESCOLA],ROUNDUP(ROW(B633)/TotalEtapas,0)),"")</f>
        <v xml:space="preserve">EM NOSSA SENHORA APARECIDA </v>
      </c>
      <c r="C634" s="9" t="s">
        <v>119</v>
      </c>
      <c r="D634" s="9" cm="1">
        <f t="array" ref="D634">IF(B634="","",INDEX(tbEtapas[Nº],MOD(ROW(B633)-1,TotalEtapas)+1))</f>
        <v>3</v>
      </c>
      <c r="E634" s="9" t="str">
        <f>IFERROR(VLOOKUP(tbEscolas[[#This Row],[COD ETPA]],tbEtapas[],2,FALSE),"")</f>
        <v>PRE I</v>
      </c>
      <c r="F634" s="9" t="str">
        <f>IFERROR(VLOOKUP(tbEscolas[[#This Row],[COD ETPA]],tbEtapas[],3,FALSE),"")</f>
        <v>EDUCAÇÃO INFANTIL</v>
      </c>
      <c r="G634" s="9" t="s">
        <v>126</v>
      </c>
    </row>
    <row r="635" spans="1:7" x14ac:dyDescent="0.25">
      <c r="A635" s="33">
        <f>_xlfn.XLOOKUP(tbEscolas[[#This Row],[ESCOLA]],tbNucleo[ESCOLA],tbNucleo[COD ESCOLA],"")</f>
        <v>36</v>
      </c>
      <c r="B635" s="9" t="str" cm="1">
        <f t="array" ref="B635">IFERROR(INDEX(tbNucleo[ESCOLA],ROUNDUP(ROW(B634)/TotalEtapas,0)),"")</f>
        <v xml:space="preserve">EM NOSSA SENHORA APARECIDA </v>
      </c>
      <c r="C635" s="9" t="s">
        <v>119</v>
      </c>
      <c r="D635" s="9" cm="1">
        <f t="array" ref="D635">IF(B635="","",INDEX(tbEtapas[Nº],MOD(ROW(B634)-1,TotalEtapas)+1))</f>
        <v>4</v>
      </c>
      <c r="E635" s="9" t="str">
        <f>IFERROR(VLOOKUP(tbEscolas[[#This Row],[COD ETPA]],tbEtapas[],2,FALSE),"")</f>
        <v>PRE II</v>
      </c>
      <c r="F635" s="9" t="str">
        <f>IFERROR(VLOOKUP(tbEscolas[[#This Row],[COD ETPA]],tbEtapas[],3,FALSE),"")</f>
        <v>EDUCAÇÃO INFANTIL</v>
      </c>
      <c r="G635" s="9" t="s">
        <v>126</v>
      </c>
    </row>
    <row r="636" spans="1:7" x14ac:dyDescent="0.25">
      <c r="A636" s="33">
        <f>_xlfn.XLOOKUP(tbEscolas[[#This Row],[ESCOLA]],tbNucleo[ESCOLA],tbNucleo[COD ESCOLA],"")</f>
        <v>36</v>
      </c>
      <c r="B636" s="9" t="str" cm="1">
        <f t="array" ref="B636">IFERROR(INDEX(tbNucleo[ESCOLA],ROUNDUP(ROW(B635)/TotalEtapas,0)),"")</f>
        <v xml:space="preserve">EM NOSSA SENHORA APARECIDA </v>
      </c>
      <c r="C636" s="9" t="s">
        <v>119</v>
      </c>
      <c r="D636" s="9" cm="1">
        <f t="array" ref="D636">IF(B636="","",INDEX(tbEtapas[Nº],MOD(ROW(B635)-1,TotalEtapas)+1))</f>
        <v>5</v>
      </c>
      <c r="E636" s="9" t="str">
        <f>IFERROR(VLOOKUP(tbEscolas[[#This Row],[COD ETPA]],tbEtapas[],2,FALSE),"")</f>
        <v>1º ANO</v>
      </c>
      <c r="F636" s="9" t="str">
        <f>IFERROR(VLOOKUP(tbEscolas[[#This Row],[COD ETPA]],tbEtapas[],3,FALSE),"")</f>
        <v>FUNDAMENTAL</v>
      </c>
      <c r="G636" s="9" t="s">
        <v>126</v>
      </c>
    </row>
    <row r="637" spans="1:7" x14ac:dyDescent="0.25">
      <c r="A637" s="33">
        <f>_xlfn.XLOOKUP(tbEscolas[[#This Row],[ESCOLA]],tbNucleo[ESCOLA],tbNucleo[COD ESCOLA],"")</f>
        <v>36</v>
      </c>
      <c r="B637" s="9" t="str" cm="1">
        <f t="array" ref="B637">IFERROR(INDEX(tbNucleo[ESCOLA],ROUNDUP(ROW(B636)/TotalEtapas,0)),"")</f>
        <v xml:space="preserve">EM NOSSA SENHORA APARECIDA </v>
      </c>
      <c r="C637" s="9" t="s">
        <v>119</v>
      </c>
      <c r="D637" s="9" cm="1">
        <f t="array" ref="D637">IF(B637="","",INDEX(tbEtapas[Nº],MOD(ROW(B636)-1,TotalEtapas)+1))</f>
        <v>6</v>
      </c>
      <c r="E637" s="9" t="str">
        <f>IFERROR(VLOOKUP(tbEscolas[[#This Row],[COD ETPA]],tbEtapas[],2,FALSE),"")</f>
        <v>2º ANO</v>
      </c>
      <c r="F637" s="9" t="str">
        <f>IFERROR(VLOOKUP(tbEscolas[[#This Row],[COD ETPA]],tbEtapas[],3,FALSE),"")</f>
        <v>FUNDAMENTAL</v>
      </c>
      <c r="G637" s="9" t="s">
        <v>126</v>
      </c>
    </row>
    <row r="638" spans="1:7" x14ac:dyDescent="0.25">
      <c r="A638" s="33">
        <f>_xlfn.XLOOKUP(tbEscolas[[#This Row],[ESCOLA]],tbNucleo[ESCOLA],tbNucleo[COD ESCOLA],"")</f>
        <v>36</v>
      </c>
      <c r="B638" s="9" t="str" cm="1">
        <f t="array" ref="B638">IFERROR(INDEX(tbNucleo[ESCOLA],ROUNDUP(ROW(B637)/TotalEtapas,0)),"")</f>
        <v xml:space="preserve">EM NOSSA SENHORA APARECIDA </v>
      </c>
      <c r="C638" s="9" t="s">
        <v>119</v>
      </c>
      <c r="D638" s="9" cm="1">
        <f t="array" ref="D638">IF(B638="","",INDEX(tbEtapas[Nº],MOD(ROW(B637)-1,TotalEtapas)+1))</f>
        <v>7</v>
      </c>
      <c r="E638" s="9" t="str">
        <f>IFERROR(VLOOKUP(tbEscolas[[#This Row],[COD ETPA]],tbEtapas[],2,FALSE),"")</f>
        <v>3º ANO</v>
      </c>
      <c r="F638" s="9" t="str">
        <f>IFERROR(VLOOKUP(tbEscolas[[#This Row],[COD ETPA]],tbEtapas[],3,FALSE),"")</f>
        <v>FUNDAMENTAL</v>
      </c>
      <c r="G638" s="9" t="s">
        <v>126</v>
      </c>
    </row>
    <row r="639" spans="1:7" x14ac:dyDescent="0.25">
      <c r="A639" s="33">
        <f>_xlfn.XLOOKUP(tbEscolas[[#This Row],[ESCOLA]],tbNucleo[ESCOLA],tbNucleo[COD ESCOLA],"")</f>
        <v>36</v>
      </c>
      <c r="B639" s="9" t="str" cm="1">
        <f t="array" ref="B639">IFERROR(INDEX(tbNucleo[ESCOLA],ROUNDUP(ROW(B638)/TotalEtapas,0)),"")</f>
        <v xml:space="preserve">EM NOSSA SENHORA APARECIDA </v>
      </c>
      <c r="C639" s="9" t="s">
        <v>119</v>
      </c>
      <c r="D639" s="9" cm="1">
        <f t="array" ref="D639">IF(B639="","",INDEX(tbEtapas[Nº],MOD(ROW(B638)-1,TotalEtapas)+1))</f>
        <v>8</v>
      </c>
      <c r="E639" s="9" t="str">
        <f>IFERROR(VLOOKUP(tbEscolas[[#This Row],[COD ETPA]],tbEtapas[],2,FALSE),"")</f>
        <v>4º ANO</v>
      </c>
      <c r="F639" s="9" t="str">
        <f>IFERROR(VLOOKUP(tbEscolas[[#This Row],[COD ETPA]],tbEtapas[],3,FALSE),"")</f>
        <v>FUNDAMENTAL</v>
      </c>
      <c r="G639" s="9" t="s">
        <v>126</v>
      </c>
    </row>
    <row r="640" spans="1:7" x14ac:dyDescent="0.25">
      <c r="A640" s="33">
        <f>_xlfn.XLOOKUP(tbEscolas[[#This Row],[ESCOLA]],tbNucleo[ESCOLA],tbNucleo[COD ESCOLA],"")</f>
        <v>36</v>
      </c>
      <c r="B640" s="9" t="str" cm="1">
        <f t="array" ref="B640">IFERROR(INDEX(tbNucleo[ESCOLA],ROUNDUP(ROW(B639)/TotalEtapas,0)),"")</f>
        <v xml:space="preserve">EM NOSSA SENHORA APARECIDA </v>
      </c>
      <c r="C640" s="9" t="s">
        <v>119</v>
      </c>
      <c r="D640" s="9" cm="1">
        <f t="array" ref="D640">IF(B640="","",INDEX(tbEtapas[Nº],MOD(ROW(B639)-1,TotalEtapas)+1))</f>
        <v>9</v>
      </c>
      <c r="E640" s="9" t="str">
        <f>IFERROR(VLOOKUP(tbEscolas[[#This Row],[COD ETPA]],tbEtapas[],2,FALSE),"")</f>
        <v>5º ANO</v>
      </c>
      <c r="F640" s="9" t="str">
        <f>IFERROR(VLOOKUP(tbEscolas[[#This Row],[COD ETPA]],tbEtapas[],3,FALSE),"")</f>
        <v>FUNDAMENTAL</v>
      </c>
      <c r="G640" s="9" t="s">
        <v>126</v>
      </c>
    </row>
    <row r="641" spans="1:7" x14ac:dyDescent="0.25">
      <c r="A641" s="33">
        <f>_xlfn.XLOOKUP(tbEscolas[[#This Row],[ESCOLA]],tbNucleo[ESCOLA],tbNucleo[COD ESCOLA],"")</f>
        <v>36</v>
      </c>
      <c r="B641" s="9" t="str" cm="1">
        <f t="array" ref="B641">IFERROR(INDEX(tbNucleo[ESCOLA],ROUNDUP(ROW(B640)/TotalEtapas,0)),"")</f>
        <v xml:space="preserve">EM NOSSA SENHORA APARECIDA </v>
      </c>
      <c r="C641" s="9" t="s">
        <v>119</v>
      </c>
      <c r="D641" s="9" cm="1">
        <f t="array" ref="D641">IF(B641="","",INDEX(tbEtapas[Nº],MOD(ROW(B640)-1,TotalEtapas)+1))</f>
        <v>10</v>
      </c>
      <c r="E641" s="9" t="str">
        <f>IFERROR(VLOOKUP(tbEscolas[[#This Row],[COD ETPA]],tbEtapas[],2,FALSE),"")</f>
        <v>6º ANO</v>
      </c>
      <c r="F641" s="9" t="str">
        <f>IFERROR(VLOOKUP(tbEscolas[[#This Row],[COD ETPA]],tbEtapas[],3,FALSE),"")</f>
        <v>FUNDAMENTAL</v>
      </c>
      <c r="G641" s="9" t="s">
        <v>125</v>
      </c>
    </row>
    <row r="642" spans="1:7" x14ac:dyDescent="0.25">
      <c r="A642" s="33">
        <f>_xlfn.XLOOKUP(tbEscolas[[#This Row],[ESCOLA]],tbNucleo[ESCOLA],tbNucleo[COD ESCOLA],"")</f>
        <v>36</v>
      </c>
      <c r="B642" s="9" t="str" cm="1">
        <f t="array" ref="B642">IFERROR(INDEX(tbNucleo[ESCOLA],ROUNDUP(ROW(B641)/TotalEtapas,0)),"")</f>
        <v xml:space="preserve">EM NOSSA SENHORA APARECIDA </v>
      </c>
      <c r="C642" s="9" t="s">
        <v>119</v>
      </c>
      <c r="D642" s="9" cm="1">
        <f t="array" ref="D642">IF(B642="","",INDEX(tbEtapas[Nº],MOD(ROW(B641)-1,TotalEtapas)+1))</f>
        <v>11</v>
      </c>
      <c r="E642" s="9" t="str">
        <f>IFERROR(VLOOKUP(tbEscolas[[#This Row],[COD ETPA]],tbEtapas[],2,FALSE),"")</f>
        <v>7º ANO</v>
      </c>
      <c r="F642" s="9" t="str">
        <f>IFERROR(VLOOKUP(tbEscolas[[#This Row],[COD ETPA]],tbEtapas[],3,FALSE),"")</f>
        <v>FUNDAMENTAL</v>
      </c>
      <c r="G642" s="9" t="s">
        <v>125</v>
      </c>
    </row>
    <row r="643" spans="1:7" x14ac:dyDescent="0.25">
      <c r="A643" s="33">
        <f>_xlfn.XLOOKUP(tbEscolas[[#This Row],[ESCOLA]],tbNucleo[ESCOLA],tbNucleo[COD ESCOLA],"")</f>
        <v>36</v>
      </c>
      <c r="B643" s="9" t="str" cm="1">
        <f t="array" ref="B643">IFERROR(INDEX(tbNucleo[ESCOLA],ROUNDUP(ROW(B642)/TotalEtapas,0)),"")</f>
        <v xml:space="preserve">EM NOSSA SENHORA APARECIDA </v>
      </c>
      <c r="C643" s="9" t="s">
        <v>119</v>
      </c>
      <c r="D643" s="9" cm="1">
        <f t="array" ref="D643">IF(B643="","",INDEX(tbEtapas[Nº],MOD(ROW(B642)-1,TotalEtapas)+1))</f>
        <v>12</v>
      </c>
      <c r="E643" s="9" t="str">
        <f>IFERROR(VLOOKUP(tbEscolas[[#This Row],[COD ETPA]],tbEtapas[],2,FALSE),"")</f>
        <v>8º ANO</v>
      </c>
      <c r="F643" s="9" t="str">
        <f>IFERROR(VLOOKUP(tbEscolas[[#This Row],[COD ETPA]],tbEtapas[],3,FALSE),"")</f>
        <v>FUNDAMENTAL</v>
      </c>
      <c r="G643" s="9" t="s">
        <v>125</v>
      </c>
    </row>
    <row r="644" spans="1:7" x14ac:dyDescent="0.25">
      <c r="A644" s="33">
        <f>_xlfn.XLOOKUP(tbEscolas[[#This Row],[ESCOLA]],tbNucleo[ESCOLA],tbNucleo[COD ESCOLA],"")</f>
        <v>36</v>
      </c>
      <c r="B644" s="9" t="str" cm="1">
        <f t="array" ref="B644">IFERROR(INDEX(tbNucleo[ESCOLA],ROUNDUP(ROW(B643)/TotalEtapas,0)),"")</f>
        <v xml:space="preserve">EM NOSSA SENHORA APARECIDA </v>
      </c>
      <c r="C644" s="9" t="s">
        <v>119</v>
      </c>
      <c r="D644" s="9" cm="1">
        <f t="array" ref="D644">IF(B644="","",INDEX(tbEtapas[Nº],MOD(ROW(B643)-1,TotalEtapas)+1))</f>
        <v>13</v>
      </c>
      <c r="E644" s="9" t="str">
        <f>IFERROR(VLOOKUP(tbEscolas[[#This Row],[COD ETPA]],tbEtapas[],2,FALSE),"")</f>
        <v>9º ANO</v>
      </c>
      <c r="F644" s="9" t="str">
        <f>IFERROR(VLOOKUP(tbEscolas[[#This Row],[COD ETPA]],tbEtapas[],3,FALSE),"")</f>
        <v>FUNDAMENTAL</v>
      </c>
      <c r="G644" s="9" t="s">
        <v>125</v>
      </c>
    </row>
    <row r="645" spans="1:7" x14ac:dyDescent="0.25">
      <c r="A645" s="33">
        <f>_xlfn.XLOOKUP(tbEscolas[[#This Row],[ESCOLA]],tbNucleo[ESCOLA],tbNucleo[COD ESCOLA],"")</f>
        <v>36</v>
      </c>
      <c r="B645" s="9" t="str" cm="1">
        <f t="array" ref="B645">IFERROR(INDEX(tbNucleo[ESCOLA],ROUNDUP(ROW(B644)/TotalEtapas,0)),"")</f>
        <v xml:space="preserve">EM NOSSA SENHORA APARECIDA </v>
      </c>
      <c r="C645" s="9" t="s">
        <v>119</v>
      </c>
      <c r="D645" s="9">
        <v>14</v>
      </c>
      <c r="E645" s="9" t="str">
        <f>IFERROR(VLOOKUP(tbEscolas[[#This Row],[COD ETPA]],tbEtapas[],2,FALSE),"")</f>
        <v>1º ANO</v>
      </c>
      <c r="F645" s="9" t="str">
        <f>IFERROR(VLOOKUP(tbEscolas[[#This Row],[COD ETPA]],tbEtapas[],3,FALSE),"")</f>
        <v>ENSINO MÉDIO</v>
      </c>
      <c r="G645" s="9" t="s">
        <v>125</v>
      </c>
    </row>
    <row r="646" spans="1:7" x14ac:dyDescent="0.25">
      <c r="A646" s="33">
        <f>_xlfn.XLOOKUP(tbEscolas[[#This Row],[ESCOLA]],tbNucleo[ESCOLA],tbNucleo[COD ESCOLA],"")</f>
        <v>36</v>
      </c>
      <c r="B646" s="9" t="str" cm="1">
        <f t="array" ref="B646">IFERROR(INDEX(tbNucleo[ESCOLA],ROUNDUP(ROW(B645)/TotalEtapas,0)),"")</f>
        <v xml:space="preserve">EM NOSSA SENHORA APARECIDA </v>
      </c>
      <c r="C646" s="9" t="s">
        <v>119</v>
      </c>
      <c r="D646" s="9">
        <v>15</v>
      </c>
      <c r="E646" s="9" t="str">
        <f>IFERROR(VLOOKUP(tbEscolas[[#This Row],[COD ETPA]],tbEtapas[],2,FALSE),"")</f>
        <v>2º ANO</v>
      </c>
      <c r="F646" s="9" t="str">
        <f>IFERROR(VLOOKUP(tbEscolas[[#This Row],[COD ETPA]],tbEtapas[],3,FALSE),"")</f>
        <v>ENSINO MÉDIO</v>
      </c>
      <c r="G646" s="9" t="s">
        <v>125</v>
      </c>
    </row>
    <row r="647" spans="1:7" x14ac:dyDescent="0.25">
      <c r="A647" s="33">
        <f>_xlfn.XLOOKUP(tbEscolas[[#This Row],[ESCOLA]],tbNucleo[ESCOLA],tbNucleo[COD ESCOLA],"")</f>
        <v>36</v>
      </c>
      <c r="B647" s="9" t="str" cm="1">
        <f t="array" ref="B647">IFERROR(INDEX(tbNucleo[ESCOLA],ROUNDUP(ROW(B646)/TotalEtapas,0)),"")</f>
        <v xml:space="preserve">EM NOSSA SENHORA APARECIDA </v>
      </c>
      <c r="C647" s="9" t="s">
        <v>119</v>
      </c>
      <c r="D647" s="9">
        <v>16</v>
      </c>
      <c r="E647" s="9" t="str">
        <f>IFERROR(VLOOKUP(tbEscolas[[#This Row],[COD ETPA]],tbEtapas[],2,FALSE),"")</f>
        <v>3º ANO</v>
      </c>
      <c r="F647" s="9" t="str">
        <f>IFERROR(VLOOKUP(tbEscolas[[#This Row],[COD ETPA]],tbEtapas[],3,FALSE),"")</f>
        <v>ENSINO MÉDIO</v>
      </c>
      <c r="G647" s="9" t="s">
        <v>125</v>
      </c>
    </row>
    <row r="648" spans="1:7" x14ac:dyDescent="0.25">
      <c r="A648" s="33">
        <f>_xlfn.XLOOKUP(tbEscolas[[#This Row],[ESCOLA]],tbNucleo[ESCOLA],tbNucleo[COD ESCOLA],"")</f>
        <v>36</v>
      </c>
      <c r="B648" s="9" t="str" cm="1">
        <f t="array" ref="B648">IFERROR(INDEX(tbNucleo[ESCOLA],ROUNDUP(ROW(B647)/TotalEtapas,0)),"")</f>
        <v xml:space="preserve">EM NOSSA SENHORA APARECIDA </v>
      </c>
      <c r="C648" s="9" t="s">
        <v>119</v>
      </c>
      <c r="D648" s="9">
        <v>17</v>
      </c>
      <c r="E648" s="9" t="str">
        <f>IFERROR(VLOOKUP(tbEscolas[[#This Row],[COD ETPA]],tbEtapas[],2,FALSE),"")</f>
        <v>EJA I</v>
      </c>
      <c r="F648" s="9" t="str">
        <f>IFERROR(VLOOKUP(tbEscolas[[#This Row],[COD ETPA]],tbEtapas[],3,FALSE),"")</f>
        <v>FUNDAMENTAL</v>
      </c>
      <c r="G648" s="9" t="s">
        <v>125</v>
      </c>
    </row>
    <row r="649" spans="1:7" x14ac:dyDescent="0.25">
      <c r="A649" s="33">
        <f>_xlfn.XLOOKUP(tbEscolas[[#This Row],[ESCOLA]],tbNucleo[ESCOLA],tbNucleo[COD ESCOLA],"")</f>
        <v>36</v>
      </c>
      <c r="B649" s="9" t="str" cm="1">
        <f t="array" ref="B649">IFERROR(INDEX(tbNucleo[ESCOLA],ROUNDUP(ROW(B648)/TotalEtapas,0)),"")</f>
        <v xml:space="preserve">EM NOSSA SENHORA APARECIDA </v>
      </c>
      <c r="C649" s="9" t="s">
        <v>119</v>
      </c>
      <c r="D649" s="9">
        <v>18</v>
      </c>
      <c r="E649" s="9" t="str">
        <f>IFERROR(VLOOKUP(tbEscolas[[#This Row],[COD ETPA]],tbEtapas[],2,FALSE),"")</f>
        <v>EJA II</v>
      </c>
      <c r="F649" s="9" t="str">
        <f>IFERROR(VLOOKUP(tbEscolas[[#This Row],[COD ETPA]],tbEtapas[],3,FALSE),"")</f>
        <v>ENSINO MÉDIO</v>
      </c>
      <c r="G649" s="9" t="s">
        <v>125</v>
      </c>
    </row>
    <row r="650" spans="1:7" x14ac:dyDescent="0.25">
      <c r="A650" s="34">
        <f>_xlfn.XLOOKUP(tbEscolas[[#This Row],[ESCOLA]],tbNucleo[ESCOLA],tbNucleo[COD ESCOLA],"")</f>
        <v>37</v>
      </c>
      <c r="B650" s="10" t="str" cm="1">
        <f t="array" ref="B650">IFERROR(INDEX(tbNucleo[ESCOLA],ROUNDUP(ROW(B649)/TotalEtapas,0)),"")</f>
        <v>EM PAULO FREIRE</v>
      </c>
      <c r="C650" s="10" t="s">
        <v>114</v>
      </c>
      <c r="D650" s="10" cm="1">
        <f t="array" ref="D650">IF(B650="","",INDEX(tbEtapas[Nº],MOD(ROW(B649)-1,TotalEtapas)+1))</f>
        <v>1</v>
      </c>
      <c r="E650" s="10" t="str">
        <f>IFERROR(VLOOKUP(tbEscolas[[#This Row],[COD ETPA]],tbEtapas[],2,FALSE),"")</f>
        <v>CRECHE I</v>
      </c>
      <c r="F650" s="10" t="str">
        <f>IFERROR(VLOOKUP(tbEscolas[[#This Row],[COD ETPA]],tbEtapas[],3,FALSE),"")</f>
        <v>EDUCAÇÃO INFANTIL</v>
      </c>
      <c r="G650" s="10" t="s">
        <v>125</v>
      </c>
    </row>
    <row r="651" spans="1:7" x14ac:dyDescent="0.25">
      <c r="A651" s="34">
        <f>_xlfn.XLOOKUP(tbEscolas[[#This Row],[ESCOLA]],tbNucleo[ESCOLA],tbNucleo[COD ESCOLA],"")</f>
        <v>37</v>
      </c>
      <c r="B651" s="10" t="str" cm="1">
        <f t="array" ref="B651">IFERROR(INDEX(tbNucleo[ESCOLA],ROUNDUP(ROW(B650)/TotalEtapas,0)),"")</f>
        <v>EM PAULO FREIRE</v>
      </c>
      <c r="C651" s="10" t="s">
        <v>114</v>
      </c>
      <c r="D651" s="10" cm="1">
        <f t="array" ref="D651">IF(B651="","",INDEX(tbEtapas[Nº],MOD(ROW(B650)-1,TotalEtapas)+1))</f>
        <v>2</v>
      </c>
      <c r="E651" s="10" t="str">
        <f>IFERROR(VLOOKUP(tbEscolas[[#This Row],[COD ETPA]],tbEtapas[],2,FALSE),"")</f>
        <v>CRECHE II</v>
      </c>
      <c r="F651" s="10" t="str">
        <f>IFERROR(VLOOKUP(tbEscolas[[#This Row],[COD ETPA]],tbEtapas[],3,FALSE),"")</f>
        <v>EDUCAÇÃO INFANTIL</v>
      </c>
      <c r="G651" s="10" t="s">
        <v>125</v>
      </c>
    </row>
    <row r="652" spans="1:7" x14ac:dyDescent="0.25">
      <c r="A652" s="34">
        <f>_xlfn.XLOOKUP(tbEscolas[[#This Row],[ESCOLA]],tbNucleo[ESCOLA],tbNucleo[COD ESCOLA],"")</f>
        <v>37</v>
      </c>
      <c r="B652" s="10" t="str" cm="1">
        <f t="array" ref="B652">IFERROR(INDEX(tbNucleo[ESCOLA],ROUNDUP(ROW(B651)/TotalEtapas,0)),"")</f>
        <v>EM PAULO FREIRE</v>
      </c>
      <c r="C652" s="10" t="s">
        <v>114</v>
      </c>
      <c r="D652" s="10" cm="1">
        <f t="array" ref="D652">IF(B652="","",INDEX(tbEtapas[Nº],MOD(ROW(B651)-1,TotalEtapas)+1))</f>
        <v>3</v>
      </c>
      <c r="E652" s="10" t="str">
        <f>IFERROR(VLOOKUP(tbEscolas[[#This Row],[COD ETPA]],tbEtapas[],2,FALSE),"")</f>
        <v>PRE I</v>
      </c>
      <c r="F652" s="10" t="str">
        <f>IFERROR(VLOOKUP(tbEscolas[[#This Row],[COD ETPA]],tbEtapas[],3,FALSE),"")</f>
        <v>EDUCAÇÃO INFANTIL</v>
      </c>
      <c r="G652" s="10" t="s">
        <v>126</v>
      </c>
    </row>
    <row r="653" spans="1:7" x14ac:dyDescent="0.25">
      <c r="A653" s="34">
        <f>_xlfn.XLOOKUP(tbEscolas[[#This Row],[ESCOLA]],tbNucleo[ESCOLA],tbNucleo[COD ESCOLA],"")</f>
        <v>37</v>
      </c>
      <c r="B653" s="10" t="str" cm="1">
        <f t="array" ref="B653">IFERROR(INDEX(tbNucleo[ESCOLA],ROUNDUP(ROW(B652)/TotalEtapas,0)),"")</f>
        <v>EM PAULO FREIRE</v>
      </c>
      <c r="C653" s="10" t="s">
        <v>114</v>
      </c>
      <c r="D653" s="10" cm="1">
        <f t="array" ref="D653">IF(B653="","",INDEX(tbEtapas[Nº],MOD(ROW(B652)-1,TotalEtapas)+1))</f>
        <v>4</v>
      </c>
      <c r="E653" s="10" t="str">
        <f>IFERROR(VLOOKUP(tbEscolas[[#This Row],[COD ETPA]],tbEtapas[],2,FALSE),"")</f>
        <v>PRE II</v>
      </c>
      <c r="F653" s="10" t="str">
        <f>IFERROR(VLOOKUP(tbEscolas[[#This Row],[COD ETPA]],tbEtapas[],3,FALSE),"")</f>
        <v>EDUCAÇÃO INFANTIL</v>
      </c>
      <c r="G653" s="10" t="s">
        <v>126</v>
      </c>
    </row>
    <row r="654" spans="1:7" x14ac:dyDescent="0.25">
      <c r="A654" s="34">
        <f>_xlfn.XLOOKUP(tbEscolas[[#This Row],[ESCOLA]],tbNucleo[ESCOLA],tbNucleo[COD ESCOLA],"")</f>
        <v>37</v>
      </c>
      <c r="B654" s="10" t="str" cm="1">
        <f t="array" ref="B654">IFERROR(INDEX(tbNucleo[ESCOLA],ROUNDUP(ROW(B653)/TotalEtapas,0)),"")</f>
        <v>EM PAULO FREIRE</v>
      </c>
      <c r="C654" s="10" t="s">
        <v>114</v>
      </c>
      <c r="D654" s="10" cm="1">
        <f t="array" ref="D654">IF(B654="","",INDEX(tbEtapas[Nº],MOD(ROW(B653)-1,TotalEtapas)+1))</f>
        <v>5</v>
      </c>
      <c r="E654" s="10" t="str">
        <f>IFERROR(VLOOKUP(tbEscolas[[#This Row],[COD ETPA]],tbEtapas[],2,FALSE),"")</f>
        <v>1º ANO</v>
      </c>
      <c r="F654" s="10" t="str">
        <f>IFERROR(VLOOKUP(tbEscolas[[#This Row],[COD ETPA]],tbEtapas[],3,FALSE),"")</f>
        <v>FUNDAMENTAL</v>
      </c>
      <c r="G654" s="10" t="s">
        <v>126</v>
      </c>
    </row>
    <row r="655" spans="1:7" x14ac:dyDescent="0.25">
      <c r="A655" s="34">
        <f>_xlfn.XLOOKUP(tbEscolas[[#This Row],[ESCOLA]],tbNucleo[ESCOLA],tbNucleo[COD ESCOLA],"")</f>
        <v>37</v>
      </c>
      <c r="B655" s="10" t="str" cm="1">
        <f t="array" ref="B655">IFERROR(INDEX(tbNucleo[ESCOLA],ROUNDUP(ROW(B654)/TotalEtapas,0)),"")</f>
        <v>EM PAULO FREIRE</v>
      </c>
      <c r="C655" s="10" t="s">
        <v>114</v>
      </c>
      <c r="D655" s="10" cm="1">
        <f t="array" ref="D655">IF(B655="","",INDEX(tbEtapas[Nº],MOD(ROW(B654)-1,TotalEtapas)+1))</f>
        <v>6</v>
      </c>
      <c r="E655" s="10" t="str">
        <f>IFERROR(VLOOKUP(tbEscolas[[#This Row],[COD ETPA]],tbEtapas[],2,FALSE),"")</f>
        <v>2º ANO</v>
      </c>
      <c r="F655" s="10" t="str">
        <f>IFERROR(VLOOKUP(tbEscolas[[#This Row],[COD ETPA]],tbEtapas[],3,FALSE),"")</f>
        <v>FUNDAMENTAL</v>
      </c>
      <c r="G655" s="10" t="s">
        <v>126</v>
      </c>
    </row>
    <row r="656" spans="1:7" x14ac:dyDescent="0.25">
      <c r="A656" s="34">
        <f>_xlfn.XLOOKUP(tbEscolas[[#This Row],[ESCOLA]],tbNucleo[ESCOLA],tbNucleo[COD ESCOLA],"")</f>
        <v>37</v>
      </c>
      <c r="B656" s="10" t="str" cm="1">
        <f t="array" ref="B656">IFERROR(INDEX(tbNucleo[ESCOLA],ROUNDUP(ROW(B655)/TotalEtapas,0)),"")</f>
        <v>EM PAULO FREIRE</v>
      </c>
      <c r="C656" s="10" t="s">
        <v>114</v>
      </c>
      <c r="D656" s="10" cm="1">
        <f t="array" ref="D656">IF(B656="","",INDEX(tbEtapas[Nº],MOD(ROW(B655)-1,TotalEtapas)+1))</f>
        <v>7</v>
      </c>
      <c r="E656" s="10" t="str">
        <f>IFERROR(VLOOKUP(tbEscolas[[#This Row],[COD ETPA]],tbEtapas[],2,FALSE),"")</f>
        <v>3º ANO</v>
      </c>
      <c r="F656" s="10" t="str">
        <f>IFERROR(VLOOKUP(tbEscolas[[#This Row],[COD ETPA]],tbEtapas[],3,FALSE),"")</f>
        <v>FUNDAMENTAL</v>
      </c>
      <c r="G656" s="10" t="s">
        <v>126</v>
      </c>
    </row>
    <row r="657" spans="1:7" x14ac:dyDescent="0.25">
      <c r="A657" s="34">
        <f>_xlfn.XLOOKUP(tbEscolas[[#This Row],[ESCOLA]],tbNucleo[ESCOLA],tbNucleo[COD ESCOLA],"")</f>
        <v>37</v>
      </c>
      <c r="B657" s="10" t="str" cm="1">
        <f t="array" ref="B657">IFERROR(INDEX(tbNucleo[ESCOLA],ROUNDUP(ROW(B656)/TotalEtapas,0)),"")</f>
        <v>EM PAULO FREIRE</v>
      </c>
      <c r="C657" s="10" t="s">
        <v>114</v>
      </c>
      <c r="D657" s="10" cm="1">
        <f t="array" ref="D657">IF(B657="","",INDEX(tbEtapas[Nº],MOD(ROW(B656)-1,TotalEtapas)+1))</f>
        <v>8</v>
      </c>
      <c r="E657" s="10" t="str">
        <f>IFERROR(VLOOKUP(tbEscolas[[#This Row],[COD ETPA]],tbEtapas[],2,FALSE),"")</f>
        <v>4º ANO</v>
      </c>
      <c r="F657" s="10" t="str">
        <f>IFERROR(VLOOKUP(tbEscolas[[#This Row],[COD ETPA]],tbEtapas[],3,FALSE),"")</f>
        <v>FUNDAMENTAL</v>
      </c>
      <c r="G657" s="10" t="s">
        <v>126</v>
      </c>
    </row>
    <row r="658" spans="1:7" x14ac:dyDescent="0.25">
      <c r="A658" s="34">
        <f>_xlfn.XLOOKUP(tbEscolas[[#This Row],[ESCOLA]],tbNucleo[ESCOLA],tbNucleo[COD ESCOLA],"")</f>
        <v>37</v>
      </c>
      <c r="B658" s="10" t="str" cm="1">
        <f t="array" ref="B658">IFERROR(INDEX(tbNucleo[ESCOLA],ROUNDUP(ROW(B657)/TotalEtapas,0)),"")</f>
        <v>EM PAULO FREIRE</v>
      </c>
      <c r="C658" s="10" t="s">
        <v>114</v>
      </c>
      <c r="D658" s="10" cm="1">
        <f t="array" ref="D658">IF(B658="","",INDEX(tbEtapas[Nº],MOD(ROW(B657)-1,TotalEtapas)+1))</f>
        <v>9</v>
      </c>
      <c r="E658" s="10" t="str">
        <f>IFERROR(VLOOKUP(tbEscolas[[#This Row],[COD ETPA]],tbEtapas[],2,FALSE),"")</f>
        <v>5º ANO</v>
      </c>
      <c r="F658" s="10" t="str">
        <f>IFERROR(VLOOKUP(tbEscolas[[#This Row],[COD ETPA]],tbEtapas[],3,FALSE),"")</f>
        <v>FUNDAMENTAL</v>
      </c>
      <c r="G658" s="10" t="s">
        <v>126</v>
      </c>
    </row>
    <row r="659" spans="1:7" x14ac:dyDescent="0.25">
      <c r="A659" s="34">
        <f>_xlfn.XLOOKUP(tbEscolas[[#This Row],[ESCOLA]],tbNucleo[ESCOLA],tbNucleo[COD ESCOLA],"")</f>
        <v>37</v>
      </c>
      <c r="B659" s="10" t="str" cm="1">
        <f t="array" ref="B659">IFERROR(INDEX(tbNucleo[ESCOLA],ROUNDUP(ROW(B658)/TotalEtapas,0)),"")</f>
        <v>EM PAULO FREIRE</v>
      </c>
      <c r="C659" s="10" t="s">
        <v>114</v>
      </c>
      <c r="D659" s="10" cm="1">
        <f t="array" ref="D659">IF(B659="","",INDEX(tbEtapas[Nº],MOD(ROW(B658)-1,TotalEtapas)+1))</f>
        <v>10</v>
      </c>
      <c r="E659" s="10" t="str">
        <f>IFERROR(VLOOKUP(tbEscolas[[#This Row],[COD ETPA]],tbEtapas[],2,FALSE),"")</f>
        <v>6º ANO</v>
      </c>
      <c r="F659" s="10" t="str">
        <f>IFERROR(VLOOKUP(tbEscolas[[#This Row],[COD ETPA]],tbEtapas[],3,FALSE),"")</f>
        <v>FUNDAMENTAL</v>
      </c>
      <c r="G659" s="10" t="s">
        <v>125</v>
      </c>
    </row>
    <row r="660" spans="1:7" x14ac:dyDescent="0.25">
      <c r="A660" s="34">
        <f>_xlfn.XLOOKUP(tbEscolas[[#This Row],[ESCOLA]],tbNucleo[ESCOLA],tbNucleo[COD ESCOLA],"")</f>
        <v>37</v>
      </c>
      <c r="B660" s="10" t="str" cm="1">
        <f t="array" ref="B660">IFERROR(INDEX(tbNucleo[ESCOLA],ROUNDUP(ROW(B659)/TotalEtapas,0)),"")</f>
        <v>EM PAULO FREIRE</v>
      </c>
      <c r="C660" s="10" t="s">
        <v>114</v>
      </c>
      <c r="D660" s="10" cm="1">
        <f t="array" ref="D660">IF(B660="","",INDEX(tbEtapas[Nº],MOD(ROW(B659)-1,TotalEtapas)+1))</f>
        <v>11</v>
      </c>
      <c r="E660" s="10" t="str">
        <f>IFERROR(VLOOKUP(tbEscolas[[#This Row],[COD ETPA]],tbEtapas[],2,FALSE),"")</f>
        <v>7º ANO</v>
      </c>
      <c r="F660" s="10" t="str">
        <f>IFERROR(VLOOKUP(tbEscolas[[#This Row],[COD ETPA]],tbEtapas[],3,FALSE),"")</f>
        <v>FUNDAMENTAL</v>
      </c>
      <c r="G660" s="10" t="s">
        <v>125</v>
      </c>
    </row>
    <row r="661" spans="1:7" x14ac:dyDescent="0.25">
      <c r="A661" s="34">
        <f>_xlfn.XLOOKUP(tbEscolas[[#This Row],[ESCOLA]],tbNucleo[ESCOLA],tbNucleo[COD ESCOLA],"")</f>
        <v>37</v>
      </c>
      <c r="B661" s="10" t="str" cm="1">
        <f t="array" ref="B661">IFERROR(INDEX(tbNucleo[ESCOLA],ROUNDUP(ROW(B660)/TotalEtapas,0)),"")</f>
        <v>EM PAULO FREIRE</v>
      </c>
      <c r="C661" s="10" t="s">
        <v>114</v>
      </c>
      <c r="D661" s="10" cm="1">
        <f t="array" ref="D661">IF(B661="","",INDEX(tbEtapas[Nº],MOD(ROW(B660)-1,TotalEtapas)+1))</f>
        <v>12</v>
      </c>
      <c r="E661" s="10" t="str">
        <f>IFERROR(VLOOKUP(tbEscolas[[#This Row],[COD ETPA]],tbEtapas[],2,FALSE),"")</f>
        <v>8º ANO</v>
      </c>
      <c r="F661" s="10" t="str">
        <f>IFERROR(VLOOKUP(tbEscolas[[#This Row],[COD ETPA]],tbEtapas[],3,FALSE),"")</f>
        <v>FUNDAMENTAL</v>
      </c>
      <c r="G661" s="10" t="s">
        <v>125</v>
      </c>
    </row>
    <row r="662" spans="1:7" x14ac:dyDescent="0.25">
      <c r="A662" s="34">
        <f>_xlfn.XLOOKUP(tbEscolas[[#This Row],[ESCOLA]],tbNucleo[ESCOLA],tbNucleo[COD ESCOLA],"")</f>
        <v>37</v>
      </c>
      <c r="B662" s="10" t="str" cm="1">
        <f t="array" ref="B662">IFERROR(INDEX(tbNucleo[ESCOLA],ROUNDUP(ROW(B661)/TotalEtapas,0)),"")</f>
        <v>EM PAULO FREIRE</v>
      </c>
      <c r="C662" s="10" t="s">
        <v>114</v>
      </c>
      <c r="D662" s="10" cm="1">
        <f t="array" ref="D662">IF(B662="","",INDEX(tbEtapas[Nº],MOD(ROW(B661)-1,TotalEtapas)+1))</f>
        <v>13</v>
      </c>
      <c r="E662" s="10" t="str">
        <f>IFERROR(VLOOKUP(tbEscolas[[#This Row],[COD ETPA]],tbEtapas[],2,FALSE),"")</f>
        <v>9º ANO</v>
      </c>
      <c r="F662" s="10" t="str">
        <f>IFERROR(VLOOKUP(tbEscolas[[#This Row],[COD ETPA]],tbEtapas[],3,FALSE),"")</f>
        <v>FUNDAMENTAL</v>
      </c>
      <c r="G662" s="10" t="s">
        <v>125</v>
      </c>
    </row>
    <row r="663" spans="1:7" x14ac:dyDescent="0.25">
      <c r="A663" s="34">
        <f>_xlfn.XLOOKUP(tbEscolas[[#This Row],[ESCOLA]],tbNucleo[ESCOLA],tbNucleo[COD ESCOLA],"")</f>
        <v>37</v>
      </c>
      <c r="B663" s="10" t="str" cm="1">
        <f t="array" ref="B663">IFERROR(INDEX(tbNucleo[ESCOLA],ROUNDUP(ROW(B662)/TotalEtapas,0)),"")</f>
        <v>EM PAULO FREIRE</v>
      </c>
      <c r="C663" s="10" t="s">
        <v>114</v>
      </c>
      <c r="D663" s="10">
        <v>14</v>
      </c>
      <c r="E663" s="10" t="str">
        <f>IFERROR(VLOOKUP(tbEscolas[[#This Row],[COD ETPA]],tbEtapas[],2,FALSE),"")</f>
        <v>1º ANO</v>
      </c>
      <c r="F663" s="10" t="str">
        <f>IFERROR(VLOOKUP(tbEscolas[[#This Row],[COD ETPA]],tbEtapas[],3,FALSE),"")</f>
        <v>ENSINO MÉDIO</v>
      </c>
      <c r="G663" s="10" t="s">
        <v>125</v>
      </c>
    </row>
    <row r="664" spans="1:7" x14ac:dyDescent="0.25">
      <c r="A664" s="34">
        <f>_xlfn.XLOOKUP(tbEscolas[[#This Row],[ESCOLA]],tbNucleo[ESCOLA],tbNucleo[COD ESCOLA],"")</f>
        <v>37</v>
      </c>
      <c r="B664" s="10" t="str" cm="1">
        <f t="array" ref="B664">IFERROR(INDEX(tbNucleo[ESCOLA],ROUNDUP(ROW(B663)/TotalEtapas,0)),"")</f>
        <v>EM PAULO FREIRE</v>
      </c>
      <c r="C664" s="10" t="s">
        <v>114</v>
      </c>
      <c r="D664" s="10">
        <v>15</v>
      </c>
      <c r="E664" s="10" t="str">
        <f>IFERROR(VLOOKUP(tbEscolas[[#This Row],[COD ETPA]],tbEtapas[],2,FALSE),"")</f>
        <v>2º ANO</v>
      </c>
      <c r="F664" s="10" t="str">
        <f>IFERROR(VLOOKUP(tbEscolas[[#This Row],[COD ETPA]],tbEtapas[],3,FALSE),"")</f>
        <v>ENSINO MÉDIO</v>
      </c>
      <c r="G664" s="10" t="s">
        <v>125</v>
      </c>
    </row>
    <row r="665" spans="1:7" x14ac:dyDescent="0.25">
      <c r="A665" s="34">
        <f>_xlfn.XLOOKUP(tbEscolas[[#This Row],[ESCOLA]],tbNucleo[ESCOLA],tbNucleo[COD ESCOLA],"")</f>
        <v>37</v>
      </c>
      <c r="B665" s="10" t="str" cm="1">
        <f t="array" ref="B665">IFERROR(INDEX(tbNucleo[ESCOLA],ROUNDUP(ROW(B664)/TotalEtapas,0)),"")</f>
        <v>EM PAULO FREIRE</v>
      </c>
      <c r="C665" s="10" t="s">
        <v>114</v>
      </c>
      <c r="D665" s="10">
        <v>16</v>
      </c>
      <c r="E665" s="10" t="str">
        <f>IFERROR(VLOOKUP(tbEscolas[[#This Row],[COD ETPA]],tbEtapas[],2,FALSE),"")</f>
        <v>3º ANO</v>
      </c>
      <c r="F665" s="10" t="str">
        <f>IFERROR(VLOOKUP(tbEscolas[[#This Row],[COD ETPA]],tbEtapas[],3,FALSE),"")</f>
        <v>ENSINO MÉDIO</v>
      </c>
      <c r="G665" s="10" t="s">
        <v>125</v>
      </c>
    </row>
    <row r="666" spans="1:7" x14ac:dyDescent="0.25">
      <c r="A666" s="34">
        <f>_xlfn.XLOOKUP(tbEscolas[[#This Row],[ESCOLA]],tbNucleo[ESCOLA],tbNucleo[COD ESCOLA],"")</f>
        <v>37</v>
      </c>
      <c r="B666" s="10" t="str" cm="1">
        <f t="array" ref="B666">IFERROR(INDEX(tbNucleo[ESCOLA],ROUNDUP(ROW(B665)/TotalEtapas,0)),"")</f>
        <v>EM PAULO FREIRE</v>
      </c>
      <c r="C666" s="10" t="s">
        <v>114</v>
      </c>
      <c r="D666" s="10">
        <v>17</v>
      </c>
      <c r="E666" s="10" t="str">
        <f>IFERROR(VLOOKUP(tbEscolas[[#This Row],[COD ETPA]],tbEtapas[],2,FALSE),"")</f>
        <v>EJA I</v>
      </c>
      <c r="F666" s="10" t="str">
        <f>IFERROR(VLOOKUP(tbEscolas[[#This Row],[COD ETPA]],tbEtapas[],3,FALSE),"")</f>
        <v>FUNDAMENTAL</v>
      </c>
      <c r="G666" s="10" t="s">
        <v>125</v>
      </c>
    </row>
    <row r="667" spans="1:7" x14ac:dyDescent="0.25">
      <c r="A667" s="34">
        <f>_xlfn.XLOOKUP(tbEscolas[[#This Row],[ESCOLA]],tbNucleo[ESCOLA],tbNucleo[COD ESCOLA],"")</f>
        <v>37</v>
      </c>
      <c r="B667" s="10" t="str" cm="1">
        <f t="array" ref="B667">IFERROR(INDEX(tbNucleo[ESCOLA],ROUNDUP(ROW(B666)/TotalEtapas,0)),"")</f>
        <v>EM PAULO FREIRE</v>
      </c>
      <c r="C667" s="10" t="s">
        <v>114</v>
      </c>
      <c r="D667" s="10">
        <v>18</v>
      </c>
      <c r="E667" s="10" t="str">
        <f>IFERROR(VLOOKUP(tbEscolas[[#This Row],[COD ETPA]],tbEtapas[],2,FALSE),"")</f>
        <v>EJA II</v>
      </c>
      <c r="F667" s="10" t="str">
        <f>IFERROR(VLOOKUP(tbEscolas[[#This Row],[COD ETPA]],tbEtapas[],3,FALSE),"")</f>
        <v>ENSINO MÉDIO</v>
      </c>
      <c r="G667" s="10" t="s">
        <v>125</v>
      </c>
    </row>
    <row r="668" spans="1:7" x14ac:dyDescent="0.25">
      <c r="A668" s="35">
        <f>_xlfn.XLOOKUP(tbEscolas[[#This Row],[ESCOLA]],tbNucleo[ESCOLA],tbNucleo[COD ESCOLA],"")</f>
        <v>38</v>
      </c>
      <c r="B668" s="11" t="str" cm="1">
        <f t="array" ref="B668">IFERROR(INDEX(tbNucleo[ESCOLA],ROUNDUP(ROW(B667)/TotalEtapas,0)),"")</f>
        <v>EM PEQUENO SABIO</v>
      </c>
      <c r="C668" s="11" t="s">
        <v>120</v>
      </c>
      <c r="D668" s="11" cm="1">
        <f t="array" ref="D668">IF(B668="","",INDEX(tbEtapas[Nº],MOD(ROW(B667)-1,TotalEtapas)+1))</f>
        <v>1</v>
      </c>
      <c r="E668" s="11" t="str">
        <f>IFERROR(VLOOKUP(tbEscolas[[#This Row],[COD ETPA]],tbEtapas[],2,FALSE),"")</f>
        <v>CRECHE I</v>
      </c>
      <c r="F668" s="11" t="str">
        <f>IFERROR(VLOOKUP(tbEscolas[[#This Row],[COD ETPA]],tbEtapas[],3,FALSE),"")</f>
        <v>EDUCAÇÃO INFANTIL</v>
      </c>
      <c r="G668" s="11" t="s">
        <v>125</v>
      </c>
    </row>
    <row r="669" spans="1:7" x14ac:dyDescent="0.25">
      <c r="A669" s="35">
        <f>_xlfn.XLOOKUP(tbEscolas[[#This Row],[ESCOLA]],tbNucleo[ESCOLA],tbNucleo[COD ESCOLA],"")</f>
        <v>38</v>
      </c>
      <c r="B669" s="11" t="str" cm="1">
        <f t="array" ref="B669">IFERROR(INDEX(tbNucleo[ESCOLA],ROUNDUP(ROW(B668)/TotalEtapas,0)),"")</f>
        <v>EM PEQUENO SABIO</v>
      </c>
      <c r="C669" s="11" t="s">
        <v>120</v>
      </c>
      <c r="D669" s="11" cm="1">
        <f t="array" ref="D669">IF(B669="","",INDEX(tbEtapas[Nº],MOD(ROW(B668)-1,TotalEtapas)+1))</f>
        <v>2</v>
      </c>
      <c r="E669" s="11" t="str">
        <f>IFERROR(VLOOKUP(tbEscolas[[#This Row],[COD ETPA]],tbEtapas[],2,FALSE),"")</f>
        <v>CRECHE II</v>
      </c>
      <c r="F669" s="11" t="str">
        <f>IFERROR(VLOOKUP(tbEscolas[[#This Row],[COD ETPA]],tbEtapas[],3,FALSE),"")</f>
        <v>EDUCAÇÃO INFANTIL</v>
      </c>
      <c r="G669" s="11" t="s">
        <v>125</v>
      </c>
    </row>
    <row r="670" spans="1:7" x14ac:dyDescent="0.25">
      <c r="A670" s="35">
        <f>_xlfn.XLOOKUP(tbEscolas[[#This Row],[ESCOLA]],tbNucleo[ESCOLA],tbNucleo[COD ESCOLA],"")</f>
        <v>38</v>
      </c>
      <c r="B670" s="11" t="str" cm="1">
        <f t="array" ref="B670">IFERROR(INDEX(tbNucleo[ESCOLA],ROUNDUP(ROW(B669)/TotalEtapas,0)),"")</f>
        <v>EM PEQUENO SABIO</v>
      </c>
      <c r="C670" s="11" t="s">
        <v>120</v>
      </c>
      <c r="D670" s="11" cm="1">
        <f t="array" ref="D670">IF(B670="","",INDEX(tbEtapas[Nº],MOD(ROW(B669)-1,TotalEtapas)+1))</f>
        <v>3</v>
      </c>
      <c r="E670" s="11" t="str">
        <f>IFERROR(VLOOKUP(tbEscolas[[#This Row],[COD ETPA]],tbEtapas[],2,FALSE),"")</f>
        <v>PRE I</v>
      </c>
      <c r="F670" s="11" t="str">
        <f>IFERROR(VLOOKUP(tbEscolas[[#This Row],[COD ETPA]],tbEtapas[],3,FALSE),"")</f>
        <v>EDUCAÇÃO INFANTIL</v>
      </c>
      <c r="G670" s="11" t="s">
        <v>126</v>
      </c>
    </row>
    <row r="671" spans="1:7" x14ac:dyDescent="0.25">
      <c r="A671" s="35">
        <f>_xlfn.XLOOKUP(tbEscolas[[#This Row],[ESCOLA]],tbNucleo[ESCOLA],tbNucleo[COD ESCOLA],"")</f>
        <v>38</v>
      </c>
      <c r="B671" s="11" t="str" cm="1">
        <f t="array" ref="B671">IFERROR(INDEX(tbNucleo[ESCOLA],ROUNDUP(ROW(B670)/TotalEtapas,0)),"")</f>
        <v>EM PEQUENO SABIO</v>
      </c>
      <c r="C671" s="11" t="s">
        <v>120</v>
      </c>
      <c r="D671" s="11" cm="1">
        <f t="array" ref="D671">IF(B671="","",INDEX(tbEtapas[Nº],MOD(ROW(B670)-1,TotalEtapas)+1))</f>
        <v>4</v>
      </c>
      <c r="E671" s="11" t="str">
        <f>IFERROR(VLOOKUP(tbEscolas[[#This Row],[COD ETPA]],tbEtapas[],2,FALSE),"")</f>
        <v>PRE II</v>
      </c>
      <c r="F671" s="11" t="str">
        <f>IFERROR(VLOOKUP(tbEscolas[[#This Row],[COD ETPA]],tbEtapas[],3,FALSE),"")</f>
        <v>EDUCAÇÃO INFANTIL</v>
      </c>
      <c r="G671" s="11" t="s">
        <v>126</v>
      </c>
    </row>
    <row r="672" spans="1:7" x14ac:dyDescent="0.25">
      <c r="A672" s="35">
        <f>_xlfn.XLOOKUP(tbEscolas[[#This Row],[ESCOLA]],tbNucleo[ESCOLA],tbNucleo[COD ESCOLA],"")</f>
        <v>38</v>
      </c>
      <c r="B672" s="11" t="str" cm="1">
        <f t="array" ref="B672">IFERROR(INDEX(tbNucleo[ESCOLA],ROUNDUP(ROW(B671)/TotalEtapas,0)),"")</f>
        <v>EM PEQUENO SABIO</v>
      </c>
      <c r="C672" s="11" t="s">
        <v>120</v>
      </c>
      <c r="D672" s="11" cm="1">
        <f t="array" ref="D672">IF(B672="","",INDEX(tbEtapas[Nº],MOD(ROW(B671)-1,TotalEtapas)+1))</f>
        <v>5</v>
      </c>
      <c r="E672" s="11" t="str">
        <f>IFERROR(VLOOKUP(tbEscolas[[#This Row],[COD ETPA]],tbEtapas[],2,FALSE),"")</f>
        <v>1º ANO</v>
      </c>
      <c r="F672" s="11" t="str">
        <f>IFERROR(VLOOKUP(tbEscolas[[#This Row],[COD ETPA]],tbEtapas[],3,FALSE),"")</f>
        <v>FUNDAMENTAL</v>
      </c>
      <c r="G672" s="11" t="s">
        <v>126</v>
      </c>
    </row>
    <row r="673" spans="1:7" x14ac:dyDescent="0.25">
      <c r="A673" s="35">
        <f>_xlfn.XLOOKUP(tbEscolas[[#This Row],[ESCOLA]],tbNucleo[ESCOLA],tbNucleo[COD ESCOLA],"")</f>
        <v>38</v>
      </c>
      <c r="B673" s="11" t="str" cm="1">
        <f t="array" ref="B673">IFERROR(INDEX(tbNucleo[ESCOLA],ROUNDUP(ROW(B672)/TotalEtapas,0)),"")</f>
        <v>EM PEQUENO SABIO</v>
      </c>
      <c r="C673" s="11" t="s">
        <v>120</v>
      </c>
      <c r="D673" s="11" cm="1">
        <f t="array" ref="D673">IF(B673="","",INDEX(tbEtapas[Nº],MOD(ROW(B672)-1,TotalEtapas)+1))</f>
        <v>6</v>
      </c>
      <c r="E673" s="11" t="str">
        <f>IFERROR(VLOOKUP(tbEscolas[[#This Row],[COD ETPA]],tbEtapas[],2,FALSE),"")</f>
        <v>2º ANO</v>
      </c>
      <c r="F673" s="11" t="str">
        <f>IFERROR(VLOOKUP(tbEscolas[[#This Row],[COD ETPA]],tbEtapas[],3,FALSE),"")</f>
        <v>FUNDAMENTAL</v>
      </c>
      <c r="G673" s="11" t="s">
        <v>126</v>
      </c>
    </row>
    <row r="674" spans="1:7" x14ac:dyDescent="0.25">
      <c r="A674" s="35">
        <f>_xlfn.XLOOKUP(tbEscolas[[#This Row],[ESCOLA]],tbNucleo[ESCOLA],tbNucleo[COD ESCOLA],"")</f>
        <v>38</v>
      </c>
      <c r="B674" s="11" t="str" cm="1">
        <f t="array" ref="B674">IFERROR(INDEX(tbNucleo[ESCOLA],ROUNDUP(ROW(B673)/TotalEtapas,0)),"")</f>
        <v>EM PEQUENO SABIO</v>
      </c>
      <c r="C674" s="11" t="s">
        <v>120</v>
      </c>
      <c r="D674" s="11" cm="1">
        <f t="array" ref="D674">IF(B674="","",INDEX(tbEtapas[Nº],MOD(ROW(B673)-1,TotalEtapas)+1))</f>
        <v>7</v>
      </c>
      <c r="E674" s="11" t="str">
        <f>IFERROR(VLOOKUP(tbEscolas[[#This Row],[COD ETPA]],tbEtapas[],2,FALSE),"")</f>
        <v>3º ANO</v>
      </c>
      <c r="F674" s="11" t="str">
        <f>IFERROR(VLOOKUP(tbEscolas[[#This Row],[COD ETPA]],tbEtapas[],3,FALSE),"")</f>
        <v>FUNDAMENTAL</v>
      </c>
      <c r="G674" s="11" t="s">
        <v>126</v>
      </c>
    </row>
    <row r="675" spans="1:7" x14ac:dyDescent="0.25">
      <c r="A675" s="35">
        <f>_xlfn.XLOOKUP(tbEscolas[[#This Row],[ESCOLA]],tbNucleo[ESCOLA],tbNucleo[COD ESCOLA],"")</f>
        <v>38</v>
      </c>
      <c r="B675" s="11" t="str" cm="1">
        <f t="array" ref="B675">IFERROR(INDEX(tbNucleo[ESCOLA],ROUNDUP(ROW(B674)/TotalEtapas,0)),"")</f>
        <v>EM PEQUENO SABIO</v>
      </c>
      <c r="C675" s="11" t="s">
        <v>120</v>
      </c>
      <c r="D675" s="11" cm="1">
        <f t="array" ref="D675">IF(B675="","",INDEX(tbEtapas[Nº],MOD(ROW(B674)-1,TotalEtapas)+1))</f>
        <v>8</v>
      </c>
      <c r="E675" s="11" t="str">
        <f>IFERROR(VLOOKUP(tbEscolas[[#This Row],[COD ETPA]],tbEtapas[],2,FALSE),"")</f>
        <v>4º ANO</v>
      </c>
      <c r="F675" s="11" t="str">
        <f>IFERROR(VLOOKUP(tbEscolas[[#This Row],[COD ETPA]],tbEtapas[],3,FALSE),"")</f>
        <v>FUNDAMENTAL</v>
      </c>
      <c r="G675" s="11" t="s">
        <v>126</v>
      </c>
    </row>
    <row r="676" spans="1:7" x14ac:dyDescent="0.25">
      <c r="A676" s="35">
        <f>_xlfn.XLOOKUP(tbEscolas[[#This Row],[ESCOLA]],tbNucleo[ESCOLA],tbNucleo[COD ESCOLA],"")</f>
        <v>38</v>
      </c>
      <c r="B676" s="11" t="str" cm="1">
        <f t="array" ref="B676">IFERROR(INDEX(tbNucleo[ESCOLA],ROUNDUP(ROW(B675)/TotalEtapas,0)),"")</f>
        <v>EM PEQUENO SABIO</v>
      </c>
      <c r="C676" s="11" t="s">
        <v>120</v>
      </c>
      <c r="D676" s="11" cm="1">
        <f t="array" ref="D676">IF(B676="","",INDEX(tbEtapas[Nº],MOD(ROW(B675)-1,TotalEtapas)+1))</f>
        <v>9</v>
      </c>
      <c r="E676" s="11" t="str">
        <f>IFERROR(VLOOKUP(tbEscolas[[#This Row],[COD ETPA]],tbEtapas[],2,FALSE),"")</f>
        <v>5º ANO</v>
      </c>
      <c r="F676" s="11" t="str">
        <f>IFERROR(VLOOKUP(tbEscolas[[#This Row],[COD ETPA]],tbEtapas[],3,FALSE),"")</f>
        <v>FUNDAMENTAL</v>
      </c>
      <c r="G676" s="11" t="s">
        <v>126</v>
      </c>
    </row>
    <row r="677" spans="1:7" x14ac:dyDescent="0.25">
      <c r="A677" s="35">
        <f>_xlfn.XLOOKUP(tbEscolas[[#This Row],[ESCOLA]],tbNucleo[ESCOLA],tbNucleo[COD ESCOLA],"")</f>
        <v>38</v>
      </c>
      <c r="B677" s="11" t="str" cm="1">
        <f t="array" ref="B677">IFERROR(INDEX(tbNucleo[ESCOLA],ROUNDUP(ROW(B676)/TotalEtapas,0)),"")</f>
        <v>EM PEQUENO SABIO</v>
      </c>
      <c r="C677" s="11" t="s">
        <v>120</v>
      </c>
      <c r="D677" s="11" cm="1">
        <f t="array" ref="D677">IF(B677="","",INDEX(tbEtapas[Nº],MOD(ROW(B676)-1,TotalEtapas)+1))</f>
        <v>10</v>
      </c>
      <c r="E677" s="11" t="str">
        <f>IFERROR(VLOOKUP(tbEscolas[[#This Row],[COD ETPA]],tbEtapas[],2,FALSE),"")</f>
        <v>6º ANO</v>
      </c>
      <c r="F677" s="11" t="str">
        <f>IFERROR(VLOOKUP(tbEscolas[[#This Row],[COD ETPA]],tbEtapas[],3,FALSE),"")</f>
        <v>FUNDAMENTAL</v>
      </c>
      <c r="G677" s="11" t="s">
        <v>125</v>
      </c>
    </row>
    <row r="678" spans="1:7" x14ac:dyDescent="0.25">
      <c r="A678" s="35">
        <f>_xlfn.XLOOKUP(tbEscolas[[#This Row],[ESCOLA]],tbNucleo[ESCOLA],tbNucleo[COD ESCOLA],"")</f>
        <v>38</v>
      </c>
      <c r="B678" s="11" t="str" cm="1">
        <f t="array" ref="B678">IFERROR(INDEX(tbNucleo[ESCOLA],ROUNDUP(ROW(B677)/TotalEtapas,0)),"")</f>
        <v>EM PEQUENO SABIO</v>
      </c>
      <c r="C678" s="11" t="s">
        <v>120</v>
      </c>
      <c r="D678" s="11" cm="1">
        <f t="array" ref="D678">IF(B678="","",INDEX(tbEtapas[Nº],MOD(ROW(B677)-1,TotalEtapas)+1))</f>
        <v>11</v>
      </c>
      <c r="E678" s="11" t="str">
        <f>IFERROR(VLOOKUP(tbEscolas[[#This Row],[COD ETPA]],tbEtapas[],2,FALSE),"")</f>
        <v>7º ANO</v>
      </c>
      <c r="F678" s="11" t="str">
        <f>IFERROR(VLOOKUP(tbEscolas[[#This Row],[COD ETPA]],tbEtapas[],3,FALSE),"")</f>
        <v>FUNDAMENTAL</v>
      </c>
      <c r="G678" s="11" t="s">
        <v>125</v>
      </c>
    </row>
    <row r="679" spans="1:7" x14ac:dyDescent="0.25">
      <c r="A679" s="35">
        <f>_xlfn.XLOOKUP(tbEscolas[[#This Row],[ESCOLA]],tbNucleo[ESCOLA],tbNucleo[COD ESCOLA],"")</f>
        <v>38</v>
      </c>
      <c r="B679" s="11" t="str" cm="1">
        <f t="array" ref="B679">IFERROR(INDEX(tbNucleo[ESCOLA],ROUNDUP(ROW(B678)/TotalEtapas,0)),"")</f>
        <v>EM PEQUENO SABIO</v>
      </c>
      <c r="C679" s="11" t="s">
        <v>120</v>
      </c>
      <c r="D679" s="11" cm="1">
        <f t="array" ref="D679">IF(B679="","",INDEX(tbEtapas[Nº],MOD(ROW(B678)-1,TotalEtapas)+1))</f>
        <v>12</v>
      </c>
      <c r="E679" s="11" t="str">
        <f>IFERROR(VLOOKUP(tbEscolas[[#This Row],[COD ETPA]],tbEtapas[],2,FALSE),"")</f>
        <v>8º ANO</v>
      </c>
      <c r="F679" s="11" t="str">
        <f>IFERROR(VLOOKUP(tbEscolas[[#This Row],[COD ETPA]],tbEtapas[],3,FALSE),"")</f>
        <v>FUNDAMENTAL</v>
      </c>
      <c r="G679" s="11" t="s">
        <v>125</v>
      </c>
    </row>
    <row r="680" spans="1:7" x14ac:dyDescent="0.25">
      <c r="A680" s="35">
        <f>_xlfn.XLOOKUP(tbEscolas[[#This Row],[ESCOLA]],tbNucleo[ESCOLA],tbNucleo[COD ESCOLA],"")</f>
        <v>38</v>
      </c>
      <c r="B680" s="11" t="str" cm="1">
        <f t="array" ref="B680">IFERROR(INDEX(tbNucleo[ESCOLA],ROUNDUP(ROW(B679)/TotalEtapas,0)),"")</f>
        <v>EM PEQUENO SABIO</v>
      </c>
      <c r="C680" s="11" t="s">
        <v>120</v>
      </c>
      <c r="D680" s="11" cm="1">
        <f t="array" ref="D680">IF(B680="","",INDEX(tbEtapas[Nº],MOD(ROW(B679)-1,TotalEtapas)+1))</f>
        <v>13</v>
      </c>
      <c r="E680" s="11" t="str">
        <f>IFERROR(VLOOKUP(tbEscolas[[#This Row],[COD ETPA]],tbEtapas[],2,FALSE),"")</f>
        <v>9º ANO</v>
      </c>
      <c r="F680" s="11" t="str">
        <f>IFERROR(VLOOKUP(tbEscolas[[#This Row],[COD ETPA]],tbEtapas[],3,FALSE),"")</f>
        <v>FUNDAMENTAL</v>
      </c>
      <c r="G680" s="11" t="s">
        <v>125</v>
      </c>
    </row>
    <row r="681" spans="1:7" x14ac:dyDescent="0.25">
      <c r="A681" s="35">
        <f>_xlfn.XLOOKUP(tbEscolas[[#This Row],[ESCOLA]],tbNucleo[ESCOLA],tbNucleo[COD ESCOLA],"")</f>
        <v>38</v>
      </c>
      <c r="B681" s="11" t="str" cm="1">
        <f t="array" ref="B681">IFERROR(INDEX(tbNucleo[ESCOLA],ROUNDUP(ROW(B680)/TotalEtapas,0)),"")</f>
        <v>EM PEQUENO SABIO</v>
      </c>
      <c r="C681" s="11" t="s">
        <v>120</v>
      </c>
      <c r="D681" s="11">
        <v>14</v>
      </c>
      <c r="E681" s="11" t="str">
        <f>IFERROR(VLOOKUP(tbEscolas[[#This Row],[COD ETPA]],tbEtapas[],2,FALSE),"")</f>
        <v>1º ANO</v>
      </c>
      <c r="F681" s="11" t="str">
        <f>IFERROR(VLOOKUP(tbEscolas[[#This Row],[COD ETPA]],tbEtapas[],3,FALSE),"")</f>
        <v>ENSINO MÉDIO</v>
      </c>
      <c r="G681" s="11" t="s">
        <v>125</v>
      </c>
    </row>
    <row r="682" spans="1:7" x14ac:dyDescent="0.25">
      <c r="A682" s="35">
        <f>_xlfn.XLOOKUP(tbEscolas[[#This Row],[ESCOLA]],tbNucleo[ESCOLA],tbNucleo[COD ESCOLA],"")</f>
        <v>38</v>
      </c>
      <c r="B682" s="11" t="str" cm="1">
        <f t="array" ref="B682">IFERROR(INDEX(tbNucleo[ESCOLA],ROUNDUP(ROW(B681)/TotalEtapas,0)),"")</f>
        <v>EM PEQUENO SABIO</v>
      </c>
      <c r="C682" s="11" t="s">
        <v>120</v>
      </c>
      <c r="D682" s="11">
        <v>15</v>
      </c>
      <c r="E682" s="11" t="str">
        <f>IFERROR(VLOOKUP(tbEscolas[[#This Row],[COD ETPA]],tbEtapas[],2,FALSE),"")</f>
        <v>2º ANO</v>
      </c>
      <c r="F682" s="11" t="str">
        <f>IFERROR(VLOOKUP(tbEscolas[[#This Row],[COD ETPA]],tbEtapas[],3,FALSE),"")</f>
        <v>ENSINO MÉDIO</v>
      </c>
      <c r="G682" s="11" t="s">
        <v>125</v>
      </c>
    </row>
    <row r="683" spans="1:7" x14ac:dyDescent="0.25">
      <c r="A683" s="35">
        <f>_xlfn.XLOOKUP(tbEscolas[[#This Row],[ESCOLA]],tbNucleo[ESCOLA],tbNucleo[COD ESCOLA],"")</f>
        <v>38</v>
      </c>
      <c r="B683" s="11" t="str" cm="1">
        <f t="array" ref="B683">IFERROR(INDEX(tbNucleo[ESCOLA],ROUNDUP(ROW(B682)/TotalEtapas,0)),"")</f>
        <v>EM PEQUENO SABIO</v>
      </c>
      <c r="C683" s="11" t="s">
        <v>120</v>
      </c>
      <c r="D683" s="11">
        <v>16</v>
      </c>
      <c r="E683" s="11" t="str">
        <f>IFERROR(VLOOKUP(tbEscolas[[#This Row],[COD ETPA]],tbEtapas[],2,FALSE),"")</f>
        <v>3º ANO</v>
      </c>
      <c r="F683" s="11" t="str">
        <f>IFERROR(VLOOKUP(tbEscolas[[#This Row],[COD ETPA]],tbEtapas[],3,FALSE),"")</f>
        <v>ENSINO MÉDIO</v>
      </c>
      <c r="G683" s="11" t="s">
        <v>125</v>
      </c>
    </row>
    <row r="684" spans="1:7" x14ac:dyDescent="0.25">
      <c r="A684" s="35">
        <f>_xlfn.XLOOKUP(tbEscolas[[#This Row],[ESCOLA]],tbNucleo[ESCOLA],tbNucleo[COD ESCOLA],"")</f>
        <v>38</v>
      </c>
      <c r="B684" s="11" t="str" cm="1">
        <f t="array" ref="B684">IFERROR(INDEX(tbNucleo[ESCOLA],ROUNDUP(ROW(B683)/TotalEtapas,0)),"")</f>
        <v>EM PEQUENO SABIO</v>
      </c>
      <c r="C684" s="11" t="s">
        <v>120</v>
      </c>
      <c r="D684" s="11">
        <v>17</v>
      </c>
      <c r="E684" s="11" t="str">
        <f>IFERROR(VLOOKUP(tbEscolas[[#This Row],[COD ETPA]],tbEtapas[],2,FALSE),"")</f>
        <v>EJA I</v>
      </c>
      <c r="F684" s="11" t="str">
        <f>IFERROR(VLOOKUP(tbEscolas[[#This Row],[COD ETPA]],tbEtapas[],3,FALSE),"")</f>
        <v>FUNDAMENTAL</v>
      </c>
      <c r="G684" s="11" t="s">
        <v>125</v>
      </c>
    </row>
    <row r="685" spans="1:7" x14ac:dyDescent="0.25">
      <c r="A685" s="35">
        <f>_xlfn.XLOOKUP(tbEscolas[[#This Row],[ESCOLA]],tbNucleo[ESCOLA],tbNucleo[COD ESCOLA],"")</f>
        <v>38</v>
      </c>
      <c r="B685" s="11" t="str" cm="1">
        <f t="array" ref="B685">IFERROR(INDEX(tbNucleo[ESCOLA],ROUNDUP(ROW(B684)/TotalEtapas,0)),"")</f>
        <v>EM PEQUENO SABIO</v>
      </c>
      <c r="C685" s="11" t="s">
        <v>120</v>
      </c>
      <c r="D685" s="11">
        <v>18</v>
      </c>
      <c r="E685" s="11" t="str">
        <f>IFERROR(VLOOKUP(tbEscolas[[#This Row],[COD ETPA]],tbEtapas[],2,FALSE),"")</f>
        <v>EJA II</v>
      </c>
      <c r="F685" s="11" t="str">
        <f>IFERROR(VLOOKUP(tbEscolas[[#This Row],[COD ETPA]],tbEtapas[],3,FALSE),"")</f>
        <v>ENSINO MÉDIO</v>
      </c>
      <c r="G685" s="11" t="s">
        <v>125</v>
      </c>
    </row>
    <row r="686" spans="1:7" x14ac:dyDescent="0.25">
      <c r="A686" s="24">
        <f>_xlfn.XLOOKUP(tbEscolas[[#This Row],[ESCOLA]],tbNucleo[ESCOLA],tbNucleo[COD ESCOLA],"")</f>
        <v>39</v>
      </c>
      <c r="B686" t="str" cm="1">
        <f t="array" ref="B686">IFERROR(INDEX(tbNucleo[ESCOLA],ROUNDUP(ROW(B685)/TotalEtapas,0)),"")</f>
        <v>EM PROFª ISABEL CAMPOS</v>
      </c>
      <c r="C686" t="s">
        <v>31</v>
      </c>
      <c r="D686" cm="1">
        <f t="array" ref="D686">IF(B686="","",INDEX(tbEtapas[Nº],MOD(ROW(B685)-1,TotalEtapas)+1))</f>
        <v>1</v>
      </c>
      <c r="E686" t="str">
        <f>IFERROR(VLOOKUP(tbEscolas[[#This Row],[COD ETPA]],tbEtapas[],2,FALSE),"")</f>
        <v>CRECHE I</v>
      </c>
      <c r="F686" t="str">
        <f>IFERROR(VLOOKUP(tbEscolas[[#This Row],[COD ETPA]],tbEtapas[],3,FALSE),"")</f>
        <v>EDUCAÇÃO INFANTIL</v>
      </c>
      <c r="G686" t="s">
        <v>125</v>
      </c>
    </row>
    <row r="687" spans="1:7" x14ac:dyDescent="0.25">
      <c r="A687" s="24">
        <f>_xlfn.XLOOKUP(tbEscolas[[#This Row],[ESCOLA]],tbNucleo[ESCOLA],tbNucleo[COD ESCOLA],"")</f>
        <v>39</v>
      </c>
      <c r="B687" t="str" cm="1">
        <f t="array" ref="B687">IFERROR(INDEX(tbNucleo[ESCOLA],ROUNDUP(ROW(B686)/TotalEtapas,0)),"")</f>
        <v>EM PROFª ISABEL CAMPOS</v>
      </c>
      <c r="C687" t="s">
        <v>31</v>
      </c>
      <c r="D687" cm="1">
        <f t="array" ref="D687">IF(B687="","",INDEX(tbEtapas[Nº],MOD(ROW(B686)-1,TotalEtapas)+1))</f>
        <v>2</v>
      </c>
      <c r="E687" t="str">
        <f>IFERROR(VLOOKUP(tbEscolas[[#This Row],[COD ETPA]],tbEtapas[],2,FALSE),"")</f>
        <v>CRECHE II</v>
      </c>
      <c r="F687" t="str">
        <f>IFERROR(VLOOKUP(tbEscolas[[#This Row],[COD ETPA]],tbEtapas[],3,FALSE),"")</f>
        <v>EDUCAÇÃO INFANTIL</v>
      </c>
      <c r="G687" t="s">
        <v>125</v>
      </c>
    </row>
    <row r="688" spans="1:7" x14ac:dyDescent="0.25">
      <c r="A688" s="24">
        <f>_xlfn.XLOOKUP(tbEscolas[[#This Row],[ESCOLA]],tbNucleo[ESCOLA],tbNucleo[COD ESCOLA],"")</f>
        <v>39</v>
      </c>
      <c r="B688" t="str" cm="1">
        <f t="array" ref="B688">IFERROR(INDEX(tbNucleo[ESCOLA],ROUNDUP(ROW(B687)/TotalEtapas,0)),"")</f>
        <v>EM PROFª ISABEL CAMPOS</v>
      </c>
      <c r="C688" t="s">
        <v>31</v>
      </c>
      <c r="D688" cm="1">
        <f t="array" ref="D688">IF(B688="","",INDEX(tbEtapas[Nº],MOD(ROW(B687)-1,TotalEtapas)+1))</f>
        <v>3</v>
      </c>
      <c r="E688" t="str">
        <f>IFERROR(VLOOKUP(tbEscolas[[#This Row],[COD ETPA]],tbEtapas[],2,FALSE),"")</f>
        <v>PRE I</v>
      </c>
      <c r="F688" t="str">
        <f>IFERROR(VLOOKUP(tbEscolas[[#This Row],[COD ETPA]],tbEtapas[],3,FALSE),"")</f>
        <v>EDUCAÇÃO INFANTIL</v>
      </c>
      <c r="G688" t="s">
        <v>126</v>
      </c>
    </row>
    <row r="689" spans="1:7" x14ac:dyDescent="0.25">
      <c r="A689" s="24">
        <f>_xlfn.XLOOKUP(tbEscolas[[#This Row],[ESCOLA]],tbNucleo[ESCOLA],tbNucleo[COD ESCOLA],"")</f>
        <v>39</v>
      </c>
      <c r="B689" t="str" cm="1">
        <f t="array" ref="B689">IFERROR(INDEX(tbNucleo[ESCOLA],ROUNDUP(ROW(B688)/TotalEtapas,0)),"")</f>
        <v>EM PROFª ISABEL CAMPOS</v>
      </c>
      <c r="C689" t="s">
        <v>31</v>
      </c>
      <c r="D689" cm="1">
        <f t="array" ref="D689">IF(B689="","",INDEX(tbEtapas[Nº],MOD(ROW(B688)-1,TotalEtapas)+1))</f>
        <v>4</v>
      </c>
      <c r="E689" t="str">
        <f>IFERROR(VLOOKUP(tbEscolas[[#This Row],[COD ETPA]],tbEtapas[],2,FALSE),"")</f>
        <v>PRE II</v>
      </c>
      <c r="F689" t="str">
        <f>IFERROR(VLOOKUP(tbEscolas[[#This Row],[COD ETPA]],tbEtapas[],3,FALSE),"")</f>
        <v>EDUCAÇÃO INFANTIL</v>
      </c>
      <c r="G689" t="s">
        <v>126</v>
      </c>
    </row>
    <row r="690" spans="1:7" x14ac:dyDescent="0.25">
      <c r="A690" s="24">
        <f>_xlfn.XLOOKUP(tbEscolas[[#This Row],[ESCOLA]],tbNucleo[ESCOLA],tbNucleo[COD ESCOLA],"")</f>
        <v>39</v>
      </c>
      <c r="B690" t="str" cm="1">
        <f t="array" ref="B690">IFERROR(INDEX(tbNucleo[ESCOLA],ROUNDUP(ROW(B689)/TotalEtapas,0)),"")</f>
        <v>EM PROFª ISABEL CAMPOS</v>
      </c>
      <c r="C690" t="s">
        <v>31</v>
      </c>
      <c r="D690" cm="1">
        <f t="array" ref="D690">IF(B690="","",INDEX(tbEtapas[Nº],MOD(ROW(B689)-1,TotalEtapas)+1))</f>
        <v>5</v>
      </c>
      <c r="E690" t="str">
        <f>IFERROR(VLOOKUP(tbEscolas[[#This Row],[COD ETPA]],tbEtapas[],2,FALSE),"")</f>
        <v>1º ANO</v>
      </c>
      <c r="F690" t="str">
        <f>IFERROR(VLOOKUP(tbEscolas[[#This Row],[COD ETPA]],tbEtapas[],3,FALSE),"")</f>
        <v>FUNDAMENTAL</v>
      </c>
      <c r="G690" t="s">
        <v>126</v>
      </c>
    </row>
    <row r="691" spans="1:7" x14ac:dyDescent="0.25">
      <c r="A691" s="24">
        <f>_xlfn.XLOOKUP(tbEscolas[[#This Row],[ESCOLA]],tbNucleo[ESCOLA],tbNucleo[COD ESCOLA],"")</f>
        <v>39</v>
      </c>
      <c r="B691" t="str" cm="1">
        <f t="array" ref="B691">IFERROR(INDEX(tbNucleo[ESCOLA],ROUNDUP(ROW(B690)/TotalEtapas,0)),"")</f>
        <v>EM PROFª ISABEL CAMPOS</v>
      </c>
      <c r="C691" t="s">
        <v>31</v>
      </c>
      <c r="D691" cm="1">
        <f t="array" ref="D691">IF(B691="","",INDEX(tbEtapas[Nº],MOD(ROW(B690)-1,TotalEtapas)+1))</f>
        <v>6</v>
      </c>
      <c r="E691" t="str">
        <f>IFERROR(VLOOKUP(tbEscolas[[#This Row],[COD ETPA]],tbEtapas[],2,FALSE),"")</f>
        <v>2º ANO</v>
      </c>
      <c r="F691" t="str">
        <f>IFERROR(VLOOKUP(tbEscolas[[#This Row],[COD ETPA]],tbEtapas[],3,FALSE),"")</f>
        <v>FUNDAMENTAL</v>
      </c>
      <c r="G691" t="s">
        <v>126</v>
      </c>
    </row>
    <row r="692" spans="1:7" x14ac:dyDescent="0.25">
      <c r="A692" s="24">
        <f>_xlfn.XLOOKUP(tbEscolas[[#This Row],[ESCOLA]],tbNucleo[ESCOLA],tbNucleo[COD ESCOLA],"")</f>
        <v>39</v>
      </c>
      <c r="B692" t="str" cm="1">
        <f t="array" ref="B692">IFERROR(INDEX(tbNucleo[ESCOLA],ROUNDUP(ROW(B691)/TotalEtapas,0)),"")</f>
        <v>EM PROFª ISABEL CAMPOS</v>
      </c>
      <c r="C692" t="s">
        <v>31</v>
      </c>
      <c r="D692" cm="1">
        <f t="array" ref="D692">IF(B692="","",INDEX(tbEtapas[Nº],MOD(ROW(B691)-1,TotalEtapas)+1))</f>
        <v>7</v>
      </c>
      <c r="E692" t="str">
        <f>IFERROR(VLOOKUP(tbEscolas[[#This Row],[COD ETPA]],tbEtapas[],2,FALSE),"")</f>
        <v>3º ANO</v>
      </c>
      <c r="F692" t="str">
        <f>IFERROR(VLOOKUP(tbEscolas[[#This Row],[COD ETPA]],tbEtapas[],3,FALSE),"")</f>
        <v>FUNDAMENTAL</v>
      </c>
      <c r="G692" t="s">
        <v>126</v>
      </c>
    </row>
    <row r="693" spans="1:7" x14ac:dyDescent="0.25">
      <c r="A693" s="24">
        <f>_xlfn.XLOOKUP(tbEscolas[[#This Row],[ESCOLA]],tbNucleo[ESCOLA],tbNucleo[COD ESCOLA],"")</f>
        <v>39</v>
      </c>
      <c r="B693" t="str" cm="1">
        <f t="array" ref="B693">IFERROR(INDEX(tbNucleo[ESCOLA],ROUNDUP(ROW(B692)/TotalEtapas,0)),"")</f>
        <v>EM PROFª ISABEL CAMPOS</v>
      </c>
      <c r="C693" t="s">
        <v>31</v>
      </c>
      <c r="D693" cm="1">
        <f t="array" ref="D693">IF(B693="","",INDEX(tbEtapas[Nº],MOD(ROW(B692)-1,TotalEtapas)+1))</f>
        <v>8</v>
      </c>
      <c r="E693" t="str">
        <f>IFERROR(VLOOKUP(tbEscolas[[#This Row],[COD ETPA]],tbEtapas[],2,FALSE),"")</f>
        <v>4º ANO</v>
      </c>
      <c r="F693" t="str">
        <f>IFERROR(VLOOKUP(tbEscolas[[#This Row],[COD ETPA]],tbEtapas[],3,FALSE),"")</f>
        <v>FUNDAMENTAL</v>
      </c>
      <c r="G693" t="s">
        <v>126</v>
      </c>
    </row>
    <row r="694" spans="1:7" x14ac:dyDescent="0.25">
      <c r="A694" s="24">
        <f>_xlfn.XLOOKUP(tbEscolas[[#This Row],[ESCOLA]],tbNucleo[ESCOLA],tbNucleo[COD ESCOLA],"")</f>
        <v>39</v>
      </c>
      <c r="B694" t="str" cm="1">
        <f t="array" ref="B694">IFERROR(INDEX(tbNucleo[ESCOLA],ROUNDUP(ROW(B693)/TotalEtapas,0)),"")</f>
        <v>EM PROFª ISABEL CAMPOS</v>
      </c>
      <c r="C694" t="s">
        <v>31</v>
      </c>
      <c r="D694" cm="1">
        <f t="array" ref="D694">IF(B694="","",INDEX(tbEtapas[Nº],MOD(ROW(B693)-1,TotalEtapas)+1))</f>
        <v>9</v>
      </c>
      <c r="E694" t="str">
        <f>IFERROR(VLOOKUP(tbEscolas[[#This Row],[COD ETPA]],tbEtapas[],2,FALSE),"")</f>
        <v>5º ANO</v>
      </c>
      <c r="F694" t="str">
        <f>IFERROR(VLOOKUP(tbEscolas[[#This Row],[COD ETPA]],tbEtapas[],3,FALSE),"")</f>
        <v>FUNDAMENTAL</v>
      </c>
      <c r="G694" t="s">
        <v>126</v>
      </c>
    </row>
    <row r="695" spans="1:7" x14ac:dyDescent="0.25">
      <c r="A695" s="24">
        <f>_xlfn.XLOOKUP(tbEscolas[[#This Row],[ESCOLA]],tbNucleo[ESCOLA],tbNucleo[COD ESCOLA],"")</f>
        <v>39</v>
      </c>
      <c r="B695" t="str" cm="1">
        <f t="array" ref="B695">IFERROR(INDEX(tbNucleo[ESCOLA],ROUNDUP(ROW(B694)/TotalEtapas,0)),"")</f>
        <v>EM PROFª ISABEL CAMPOS</v>
      </c>
      <c r="C695" t="s">
        <v>31</v>
      </c>
      <c r="D695" cm="1">
        <f t="array" ref="D695">IF(B695="","",INDEX(tbEtapas[Nº],MOD(ROW(B694)-1,TotalEtapas)+1))</f>
        <v>10</v>
      </c>
      <c r="E695" t="str">
        <f>IFERROR(VLOOKUP(tbEscolas[[#This Row],[COD ETPA]],tbEtapas[],2,FALSE),"")</f>
        <v>6º ANO</v>
      </c>
      <c r="F695" t="str">
        <f>IFERROR(VLOOKUP(tbEscolas[[#This Row],[COD ETPA]],tbEtapas[],3,FALSE),"")</f>
        <v>FUNDAMENTAL</v>
      </c>
      <c r="G695" t="s">
        <v>125</v>
      </c>
    </row>
    <row r="696" spans="1:7" x14ac:dyDescent="0.25">
      <c r="A696" s="24">
        <f>_xlfn.XLOOKUP(tbEscolas[[#This Row],[ESCOLA]],tbNucleo[ESCOLA],tbNucleo[COD ESCOLA],"")</f>
        <v>39</v>
      </c>
      <c r="B696" t="str" cm="1">
        <f t="array" ref="B696">IFERROR(INDEX(tbNucleo[ESCOLA],ROUNDUP(ROW(B695)/TotalEtapas,0)),"")</f>
        <v>EM PROFª ISABEL CAMPOS</v>
      </c>
      <c r="C696" t="s">
        <v>31</v>
      </c>
      <c r="D696" cm="1">
        <f t="array" ref="D696">IF(B696="","",INDEX(tbEtapas[Nº],MOD(ROW(B695)-1,TotalEtapas)+1))</f>
        <v>11</v>
      </c>
      <c r="E696" t="str">
        <f>IFERROR(VLOOKUP(tbEscolas[[#This Row],[COD ETPA]],tbEtapas[],2,FALSE),"")</f>
        <v>7º ANO</v>
      </c>
      <c r="F696" t="str">
        <f>IFERROR(VLOOKUP(tbEscolas[[#This Row],[COD ETPA]],tbEtapas[],3,FALSE),"")</f>
        <v>FUNDAMENTAL</v>
      </c>
      <c r="G696" t="s">
        <v>125</v>
      </c>
    </row>
    <row r="697" spans="1:7" x14ac:dyDescent="0.25">
      <c r="A697" s="24">
        <f>_xlfn.XLOOKUP(tbEscolas[[#This Row],[ESCOLA]],tbNucleo[ESCOLA],tbNucleo[COD ESCOLA],"")</f>
        <v>39</v>
      </c>
      <c r="B697" t="str" cm="1">
        <f t="array" ref="B697">IFERROR(INDEX(tbNucleo[ESCOLA],ROUNDUP(ROW(B696)/TotalEtapas,0)),"")</f>
        <v>EM PROFª ISABEL CAMPOS</v>
      </c>
      <c r="C697" t="s">
        <v>31</v>
      </c>
      <c r="D697" cm="1">
        <f t="array" ref="D697">IF(B697="","",INDEX(tbEtapas[Nº],MOD(ROW(B696)-1,TotalEtapas)+1))</f>
        <v>12</v>
      </c>
      <c r="E697" t="str">
        <f>IFERROR(VLOOKUP(tbEscolas[[#This Row],[COD ETPA]],tbEtapas[],2,FALSE),"")</f>
        <v>8º ANO</v>
      </c>
      <c r="F697" t="str">
        <f>IFERROR(VLOOKUP(tbEscolas[[#This Row],[COD ETPA]],tbEtapas[],3,FALSE),"")</f>
        <v>FUNDAMENTAL</v>
      </c>
      <c r="G697" t="s">
        <v>125</v>
      </c>
    </row>
    <row r="698" spans="1:7" x14ac:dyDescent="0.25">
      <c r="A698" s="24">
        <f>_xlfn.XLOOKUP(tbEscolas[[#This Row],[ESCOLA]],tbNucleo[ESCOLA],tbNucleo[COD ESCOLA],"")</f>
        <v>39</v>
      </c>
      <c r="B698" t="str" cm="1">
        <f t="array" ref="B698">IFERROR(INDEX(tbNucleo[ESCOLA],ROUNDUP(ROW(B697)/TotalEtapas,0)),"")</f>
        <v>EM PROFª ISABEL CAMPOS</v>
      </c>
      <c r="C698" t="s">
        <v>31</v>
      </c>
      <c r="D698" cm="1">
        <f t="array" ref="D698">IF(B698="","",INDEX(tbEtapas[Nº],MOD(ROW(B697)-1,TotalEtapas)+1))</f>
        <v>13</v>
      </c>
      <c r="E698" t="str">
        <f>IFERROR(VLOOKUP(tbEscolas[[#This Row],[COD ETPA]],tbEtapas[],2,FALSE),"")</f>
        <v>9º ANO</v>
      </c>
      <c r="F698" t="str">
        <f>IFERROR(VLOOKUP(tbEscolas[[#This Row],[COD ETPA]],tbEtapas[],3,FALSE),"")</f>
        <v>FUNDAMENTAL</v>
      </c>
      <c r="G698" t="s">
        <v>125</v>
      </c>
    </row>
    <row r="699" spans="1:7" x14ac:dyDescent="0.25">
      <c r="A699" s="24">
        <f>_xlfn.XLOOKUP(tbEscolas[[#This Row],[ESCOLA]],tbNucleo[ESCOLA],tbNucleo[COD ESCOLA],"")</f>
        <v>39</v>
      </c>
      <c r="B699" t="str" cm="1">
        <f t="array" ref="B699">IFERROR(INDEX(tbNucleo[ESCOLA],ROUNDUP(ROW(B698)/TotalEtapas,0)),"")</f>
        <v>EM PROFª ISABEL CAMPOS</v>
      </c>
      <c r="C699" t="s">
        <v>31</v>
      </c>
      <c r="D699">
        <v>14</v>
      </c>
      <c r="E699" t="str">
        <f>IFERROR(VLOOKUP(tbEscolas[[#This Row],[COD ETPA]],tbEtapas[],2,FALSE),"")</f>
        <v>1º ANO</v>
      </c>
      <c r="F699" t="str">
        <f>IFERROR(VLOOKUP(tbEscolas[[#This Row],[COD ETPA]],tbEtapas[],3,FALSE),"")</f>
        <v>ENSINO MÉDIO</v>
      </c>
      <c r="G699" t="s">
        <v>125</v>
      </c>
    </row>
    <row r="700" spans="1:7" x14ac:dyDescent="0.25">
      <c r="A700" s="24">
        <f>_xlfn.XLOOKUP(tbEscolas[[#This Row],[ESCOLA]],tbNucleo[ESCOLA],tbNucleo[COD ESCOLA],"")</f>
        <v>39</v>
      </c>
      <c r="B700" t="str" cm="1">
        <f t="array" ref="B700">IFERROR(INDEX(tbNucleo[ESCOLA],ROUNDUP(ROW(B699)/TotalEtapas,0)),"")</f>
        <v>EM PROFª ISABEL CAMPOS</v>
      </c>
      <c r="C700" t="s">
        <v>31</v>
      </c>
      <c r="D700">
        <v>15</v>
      </c>
      <c r="E700" t="str">
        <f>IFERROR(VLOOKUP(tbEscolas[[#This Row],[COD ETPA]],tbEtapas[],2,FALSE),"")</f>
        <v>2º ANO</v>
      </c>
      <c r="F700" t="str">
        <f>IFERROR(VLOOKUP(tbEscolas[[#This Row],[COD ETPA]],tbEtapas[],3,FALSE),"")</f>
        <v>ENSINO MÉDIO</v>
      </c>
      <c r="G700" t="s">
        <v>125</v>
      </c>
    </row>
    <row r="701" spans="1:7" x14ac:dyDescent="0.25">
      <c r="A701" s="24">
        <f>_xlfn.XLOOKUP(tbEscolas[[#This Row],[ESCOLA]],tbNucleo[ESCOLA],tbNucleo[COD ESCOLA],"")</f>
        <v>39</v>
      </c>
      <c r="B701" t="str" cm="1">
        <f t="array" ref="B701">IFERROR(INDEX(tbNucleo[ESCOLA],ROUNDUP(ROW(B700)/TotalEtapas,0)),"")</f>
        <v>EM PROFª ISABEL CAMPOS</v>
      </c>
      <c r="C701" t="s">
        <v>31</v>
      </c>
      <c r="D701">
        <v>16</v>
      </c>
      <c r="E701" t="str">
        <f>IFERROR(VLOOKUP(tbEscolas[[#This Row],[COD ETPA]],tbEtapas[],2,FALSE),"")</f>
        <v>3º ANO</v>
      </c>
      <c r="F701" t="str">
        <f>IFERROR(VLOOKUP(tbEscolas[[#This Row],[COD ETPA]],tbEtapas[],3,FALSE),"")</f>
        <v>ENSINO MÉDIO</v>
      </c>
      <c r="G701" t="s">
        <v>125</v>
      </c>
    </row>
    <row r="702" spans="1:7" x14ac:dyDescent="0.25">
      <c r="A702" s="24">
        <f>_xlfn.XLOOKUP(tbEscolas[[#This Row],[ESCOLA]],tbNucleo[ESCOLA],tbNucleo[COD ESCOLA],"")</f>
        <v>39</v>
      </c>
      <c r="B702" t="str" cm="1">
        <f t="array" ref="B702">IFERROR(INDEX(tbNucleo[ESCOLA],ROUNDUP(ROW(B701)/TotalEtapas,0)),"")</f>
        <v>EM PROFª ISABEL CAMPOS</v>
      </c>
      <c r="C702" t="s">
        <v>31</v>
      </c>
      <c r="D702">
        <v>17</v>
      </c>
      <c r="E702" t="str">
        <f>IFERROR(VLOOKUP(tbEscolas[[#This Row],[COD ETPA]],tbEtapas[],2,FALSE),"")</f>
        <v>EJA I</v>
      </c>
      <c r="F702" t="str">
        <f>IFERROR(VLOOKUP(tbEscolas[[#This Row],[COD ETPA]],tbEtapas[],3,FALSE),"")</f>
        <v>FUNDAMENTAL</v>
      </c>
      <c r="G702" t="s">
        <v>125</v>
      </c>
    </row>
    <row r="703" spans="1:7" x14ac:dyDescent="0.25">
      <c r="A703" s="24">
        <f>_xlfn.XLOOKUP(tbEscolas[[#This Row],[ESCOLA]],tbNucleo[ESCOLA],tbNucleo[COD ESCOLA],"")</f>
        <v>39</v>
      </c>
      <c r="B703" t="str" cm="1">
        <f t="array" ref="B703">IFERROR(INDEX(tbNucleo[ESCOLA],ROUNDUP(ROW(B702)/TotalEtapas,0)),"")</f>
        <v>EM PROFª ISABEL CAMPOS</v>
      </c>
      <c r="C703" t="s">
        <v>31</v>
      </c>
      <c r="D703">
        <v>18</v>
      </c>
      <c r="E703" t="str">
        <f>IFERROR(VLOOKUP(tbEscolas[[#This Row],[COD ETPA]],tbEtapas[],2,FALSE),"")</f>
        <v>EJA II</v>
      </c>
      <c r="F703" t="str">
        <f>IFERROR(VLOOKUP(tbEscolas[[#This Row],[COD ETPA]],tbEtapas[],3,FALSE),"")</f>
        <v>ENSINO MÉDIO</v>
      </c>
      <c r="G703" t="s">
        <v>125</v>
      </c>
    </row>
    <row r="704" spans="1:7" x14ac:dyDescent="0.25">
      <c r="A704" s="36">
        <f>_xlfn.XLOOKUP(tbEscolas[[#This Row],[ESCOLA]],tbNucleo[ESCOLA],tbNucleo[COD ESCOLA],"")</f>
        <v>40</v>
      </c>
      <c r="B704" s="12" t="str" cm="1">
        <f t="array" ref="B704">IFERROR(INDEX(tbNucleo[ESCOLA],ROUNDUP(ROW(B703)/TotalEtapas,0)),"")</f>
        <v>EM RAQUEL RAMAO DA SILVA</v>
      </c>
      <c r="C704" s="12" t="s">
        <v>113</v>
      </c>
      <c r="D704" s="12" cm="1">
        <f t="array" ref="D704">IF(B704="","",INDEX(tbEtapas[Nº],MOD(ROW(B703)-1,TotalEtapas)+1))</f>
        <v>1</v>
      </c>
      <c r="E704" s="12" t="str">
        <f>IFERROR(VLOOKUP(tbEscolas[[#This Row],[COD ETPA]],tbEtapas[],2,FALSE),"")</f>
        <v>CRECHE I</v>
      </c>
      <c r="F704" s="12" t="str">
        <f>IFERROR(VLOOKUP(tbEscolas[[#This Row],[COD ETPA]],tbEtapas[],3,FALSE),"")</f>
        <v>EDUCAÇÃO INFANTIL</v>
      </c>
      <c r="G704" s="12" t="s">
        <v>125</v>
      </c>
    </row>
    <row r="705" spans="1:7" x14ac:dyDescent="0.25">
      <c r="A705" s="36">
        <f>_xlfn.XLOOKUP(tbEscolas[[#This Row],[ESCOLA]],tbNucleo[ESCOLA],tbNucleo[COD ESCOLA],"")</f>
        <v>40</v>
      </c>
      <c r="B705" s="12" t="str" cm="1">
        <f t="array" ref="B705">IFERROR(INDEX(tbNucleo[ESCOLA],ROUNDUP(ROW(B704)/TotalEtapas,0)),"")</f>
        <v>EM RAQUEL RAMAO DA SILVA</v>
      </c>
      <c r="C705" s="12" t="s">
        <v>113</v>
      </c>
      <c r="D705" s="12" cm="1">
        <f t="array" ref="D705">IF(B705="","",INDEX(tbEtapas[Nº],MOD(ROW(B704)-1,TotalEtapas)+1))</f>
        <v>2</v>
      </c>
      <c r="E705" s="12" t="str">
        <f>IFERROR(VLOOKUP(tbEscolas[[#This Row],[COD ETPA]],tbEtapas[],2,FALSE),"")</f>
        <v>CRECHE II</v>
      </c>
      <c r="F705" s="12" t="str">
        <f>IFERROR(VLOOKUP(tbEscolas[[#This Row],[COD ETPA]],tbEtapas[],3,FALSE),"")</f>
        <v>EDUCAÇÃO INFANTIL</v>
      </c>
      <c r="G705" s="12" t="s">
        <v>125</v>
      </c>
    </row>
    <row r="706" spans="1:7" x14ac:dyDescent="0.25">
      <c r="A706" s="36">
        <f>_xlfn.XLOOKUP(tbEscolas[[#This Row],[ESCOLA]],tbNucleo[ESCOLA],tbNucleo[COD ESCOLA],"")</f>
        <v>40</v>
      </c>
      <c r="B706" s="12" t="str" cm="1">
        <f t="array" ref="B706">IFERROR(INDEX(tbNucleo[ESCOLA],ROUNDUP(ROW(B705)/TotalEtapas,0)),"")</f>
        <v>EM RAQUEL RAMAO DA SILVA</v>
      </c>
      <c r="C706" s="12" t="s">
        <v>113</v>
      </c>
      <c r="D706" s="12" cm="1">
        <f t="array" ref="D706">IF(B706="","",INDEX(tbEtapas[Nº],MOD(ROW(B705)-1,TotalEtapas)+1))</f>
        <v>3</v>
      </c>
      <c r="E706" s="12" t="str">
        <f>IFERROR(VLOOKUP(tbEscolas[[#This Row],[COD ETPA]],tbEtapas[],2,FALSE),"")</f>
        <v>PRE I</v>
      </c>
      <c r="F706" s="12" t="str">
        <f>IFERROR(VLOOKUP(tbEscolas[[#This Row],[COD ETPA]],tbEtapas[],3,FALSE),"")</f>
        <v>EDUCAÇÃO INFANTIL</v>
      </c>
      <c r="G706" s="12" t="s">
        <v>126</v>
      </c>
    </row>
    <row r="707" spans="1:7" x14ac:dyDescent="0.25">
      <c r="A707" s="36">
        <f>_xlfn.XLOOKUP(tbEscolas[[#This Row],[ESCOLA]],tbNucleo[ESCOLA],tbNucleo[COD ESCOLA],"")</f>
        <v>40</v>
      </c>
      <c r="B707" s="12" t="str" cm="1">
        <f t="array" ref="B707">IFERROR(INDEX(tbNucleo[ESCOLA],ROUNDUP(ROW(B706)/TotalEtapas,0)),"")</f>
        <v>EM RAQUEL RAMAO DA SILVA</v>
      </c>
      <c r="C707" s="12" t="s">
        <v>113</v>
      </c>
      <c r="D707" s="12" cm="1">
        <f t="array" ref="D707">IF(B707="","",INDEX(tbEtapas[Nº],MOD(ROW(B706)-1,TotalEtapas)+1))</f>
        <v>4</v>
      </c>
      <c r="E707" s="12" t="str">
        <f>IFERROR(VLOOKUP(tbEscolas[[#This Row],[COD ETPA]],tbEtapas[],2,FALSE),"")</f>
        <v>PRE II</v>
      </c>
      <c r="F707" s="12" t="str">
        <f>IFERROR(VLOOKUP(tbEscolas[[#This Row],[COD ETPA]],tbEtapas[],3,FALSE),"")</f>
        <v>EDUCAÇÃO INFANTIL</v>
      </c>
      <c r="G707" s="12" t="s">
        <v>126</v>
      </c>
    </row>
    <row r="708" spans="1:7" x14ac:dyDescent="0.25">
      <c r="A708" s="36">
        <f>_xlfn.XLOOKUP(tbEscolas[[#This Row],[ESCOLA]],tbNucleo[ESCOLA],tbNucleo[COD ESCOLA],"")</f>
        <v>40</v>
      </c>
      <c r="B708" s="12" t="str" cm="1">
        <f t="array" ref="B708">IFERROR(INDEX(tbNucleo[ESCOLA],ROUNDUP(ROW(B707)/TotalEtapas,0)),"")</f>
        <v>EM RAQUEL RAMAO DA SILVA</v>
      </c>
      <c r="C708" s="12" t="s">
        <v>113</v>
      </c>
      <c r="D708" s="12" cm="1">
        <f t="array" ref="D708">IF(B708="","",INDEX(tbEtapas[Nº],MOD(ROW(B707)-1,TotalEtapas)+1))</f>
        <v>5</v>
      </c>
      <c r="E708" s="12" t="str">
        <f>IFERROR(VLOOKUP(tbEscolas[[#This Row],[COD ETPA]],tbEtapas[],2,FALSE),"")</f>
        <v>1º ANO</v>
      </c>
      <c r="F708" s="12" t="str">
        <f>IFERROR(VLOOKUP(tbEscolas[[#This Row],[COD ETPA]],tbEtapas[],3,FALSE),"")</f>
        <v>FUNDAMENTAL</v>
      </c>
      <c r="G708" s="12" t="s">
        <v>126</v>
      </c>
    </row>
    <row r="709" spans="1:7" x14ac:dyDescent="0.25">
      <c r="A709" s="36">
        <f>_xlfn.XLOOKUP(tbEscolas[[#This Row],[ESCOLA]],tbNucleo[ESCOLA],tbNucleo[COD ESCOLA],"")</f>
        <v>40</v>
      </c>
      <c r="B709" s="12" t="str" cm="1">
        <f t="array" ref="B709">IFERROR(INDEX(tbNucleo[ESCOLA],ROUNDUP(ROW(B708)/TotalEtapas,0)),"")</f>
        <v>EM RAQUEL RAMAO DA SILVA</v>
      </c>
      <c r="C709" s="12" t="s">
        <v>113</v>
      </c>
      <c r="D709" s="12" cm="1">
        <f t="array" ref="D709">IF(B709="","",INDEX(tbEtapas[Nº],MOD(ROW(B708)-1,TotalEtapas)+1))</f>
        <v>6</v>
      </c>
      <c r="E709" s="12" t="str">
        <f>IFERROR(VLOOKUP(tbEscolas[[#This Row],[COD ETPA]],tbEtapas[],2,FALSE),"")</f>
        <v>2º ANO</v>
      </c>
      <c r="F709" s="12" t="str">
        <f>IFERROR(VLOOKUP(tbEscolas[[#This Row],[COD ETPA]],tbEtapas[],3,FALSE),"")</f>
        <v>FUNDAMENTAL</v>
      </c>
      <c r="G709" s="12" t="s">
        <v>126</v>
      </c>
    </row>
    <row r="710" spans="1:7" x14ac:dyDescent="0.25">
      <c r="A710" s="36">
        <f>_xlfn.XLOOKUP(tbEscolas[[#This Row],[ESCOLA]],tbNucleo[ESCOLA],tbNucleo[COD ESCOLA],"")</f>
        <v>40</v>
      </c>
      <c r="B710" s="12" t="str" cm="1">
        <f t="array" ref="B710">IFERROR(INDEX(tbNucleo[ESCOLA],ROUNDUP(ROW(B709)/TotalEtapas,0)),"")</f>
        <v>EM RAQUEL RAMAO DA SILVA</v>
      </c>
      <c r="C710" s="12" t="s">
        <v>113</v>
      </c>
      <c r="D710" s="12" cm="1">
        <f t="array" ref="D710">IF(B710="","",INDEX(tbEtapas[Nº],MOD(ROW(B709)-1,TotalEtapas)+1))</f>
        <v>7</v>
      </c>
      <c r="E710" s="12" t="str">
        <f>IFERROR(VLOOKUP(tbEscolas[[#This Row],[COD ETPA]],tbEtapas[],2,FALSE),"")</f>
        <v>3º ANO</v>
      </c>
      <c r="F710" s="12" t="str">
        <f>IFERROR(VLOOKUP(tbEscolas[[#This Row],[COD ETPA]],tbEtapas[],3,FALSE),"")</f>
        <v>FUNDAMENTAL</v>
      </c>
      <c r="G710" s="12" t="s">
        <v>126</v>
      </c>
    </row>
    <row r="711" spans="1:7" x14ac:dyDescent="0.25">
      <c r="A711" s="36">
        <f>_xlfn.XLOOKUP(tbEscolas[[#This Row],[ESCOLA]],tbNucleo[ESCOLA],tbNucleo[COD ESCOLA],"")</f>
        <v>40</v>
      </c>
      <c r="B711" s="12" t="str" cm="1">
        <f t="array" ref="B711">IFERROR(INDEX(tbNucleo[ESCOLA],ROUNDUP(ROW(B710)/TotalEtapas,0)),"")</f>
        <v>EM RAQUEL RAMAO DA SILVA</v>
      </c>
      <c r="C711" s="12" t="s">
        <v>113</v>
      </c>
      <c r="D711" s="12" cm="1">
        <f t="array" ref="D711">IF(B711="","",INDEX(tbEtapas[Nº],MOD(ROW(B710)-1,TotalEtapas)+1))</f>
        <v>8</v>
      </c>
      <c r="E711" s="12" t="str">
        <f>IFERROR(VLOOKUP(tbEscolas[[#This Row],[COD ETPA]],tbEtapas[],2,FALSE),"")</f>
        <v>4º ANO</v>
      </c>
      <c r="F711" s="12" t="str">
        <f>IFERROR(VLOOKUP(tbEscolas[[#This Row],[COD ETPA]],tbEtapas[],3,FALSE),"")</f>
        <v>FUNDAMENTAL</v>
      </c>
      <c r="G711" s="12" t="s">
        <v>126</v>
      </c>
    </row>
    <row r="712" spans="1:7" x14ac:dyDescent="0.25">
      <c r="A712" s="36">
        <f>_xlfn.XLOOKUP(tbEscolas[[#This Row],[ESCOLA]],tbNucleo[ESCOLA],tbNucleo[COD ESCOLA],"")</f>
        <v>40</v>
      </c>
      <c r="B712" s="12" t="str" cm="1">
        <f t="array" ref="B712">IFERROR(INDEX(tbNucleo[ESCOLA],ROUNDUP(ROW(B711)/TotalEtapas,0)),"")</f>
        <v>EM RAQUEL RAMAO DA SILVA</v>
      </c>
      <c r="C712" s="12" t="s">
        <v>113</v>
      </c>
      <c r="D712" s="12" cm="1">
        <f t="array" ref="D712">IF(B712="","",INDEX(tbEtapas[Nº],MOD(ROW(B711)-1,TotalEtapas)+1))</f>
        <v>9</v>
      </c>
      <c r="E712" s="12" t="str">
        <f>IFERROR(VLOOKUP(tbEscolas[[#This Row],[COD ETPA]],tbEtapas[],2,FALSE),"")</f>
        <v>5º ANO</v>
      </c>
      <c r="F712" s="12" t="str">
        <f>IFERROR(VLOOKUP(tbEscolas[[#This Row],[COD ETPA]],tbEtapas[],3,FALSE),"")</f>
        <v>FUNDAMENTAL</v>
      </c>
      <c r="G712" s="12" t="s">
        <v>126</v>
      </c>
    </row>
    <row r="713" spans="1:7" x14ac:dyDescent="0.25">
      <c r="A713" s="36">
        <f>_xlfn.XLOOKUP(tbEscolas[[#This Row],[ESCOLA]],tbNucleo[ESCOLA],tbNucleo[COD ESCOLA],"")</f>
        <v>40</v>
      </c>
      <c r="B713" s="12" t="str" cm="1">
        <f t="array" ref="B713">IFERROR(INDEX(tbNucleo[ESCOLA],ROUNDUP(ROW(B712)/TotalEtapas,0)),"")</f>
        <v>EM RAQUEL RAMAO DA SILVA</v>
      </c>
      <c r="C713" s="12" t="s">
        <v>113</v>
      </c>
      <c r="D713" s="12" cm="1">
        <f t="array" ref="D713">IF(B713="","",INDEX(tbEtapas[Nº],MOD(ROW(B712)-1,TotalEtapas)+1))</f>
        <v>10</v>
      </c>
      <c r="E713" s="12" t="str">
        <f>IFERROR(VLOOKUP(tbEscolas[[#This Row],[COD ETPA]],tbEtapas[],2,FALSE),"")</f>
        <v>6º ANO</v>
      </c>
      <c r="F713" s="12" t="str">
        <f>IFERROR(VLOOKUP(tbEscolas[[#This Row],[COD ETPA]],tbEtapas[],3,FALSE),"")</f>
        <v>FUNDAMENTAL</v>
      </c>
      <c r="G713" s="12" t="s">
        <v>125</v>
      </c>
    </row>
    <row r="714" spans="1:7" x14ac:dyDescent="0.25">
      <c r="A714" s="36">
        <f>_xlfn.XLOOKUP(tbEscolas[[#This Row],[ESCOLA]],tbNucleo[ESCOLA],tbNucleo[COD ESCOLA],"")</f>
        <v>40</v>
      </c>
      <c r="B714" s="12" t="str" cm="1">
        <f t="array" ref="B714">IFERROR(INDEX(tbNucleo[ESCOLA],ROUNDUP(ROW(B713)/TotalEtapas,0)),"")</f>
        <v>EM RAQUEL RAMAO DA SILVA</v>
      </c>
      <c r="C714" s="12" t="s">
        <v>113</v>
      </c>
      <c r="D714" s="12" cm="1">
        <f t="array" ref="D714">IF(B714="","",INDEX(tbEtapas[Nº],MOD(ROW(B713)-1,TotalEtapas)+1))</f>
        <v>11</v>
      </c>
      <c r="E714" s="12" t="str">
        <f>IFERROR(VLOOKUP(tbEscolas[[#This Row],[COD ETPA]],tbEtapas[],2,FALSE),"")</f>
        <v>7º ANO</v>
      </c>
      <c r="F714" s="12" t="str">
        <f>IFERROR(VLOOKUP(tbEscolas[[#This Row],[COD ETPA]],tbEtapas[],3,FALSE),"")</f>
        <v>FUNDAMENTAL</v>
      </c>
      <c r="G714" s="12" t="s">
        <v>125</v>
      </c>
    </row>
    <row r="715" spans="1:7" x14ac:dyDescent="0.25">
      <c r="A715" s="36">
        <f>_xlfn.XLOOKUP(tbEscolas[[#This Row],[ESCOLA]],tbNucleo[ESCOLA],tbNucleo[COD ESCOLA],"")</f>
        <v>40</v>
      </c>
      <c r="B715" s="12" t="str" cm="1">
        <f t="array" ref="B715">IFERROR(INDEX(tbNucleo[ESCOLA],ROUNDUP(ROW(B714)/TotalEtapas,0)),"")</f>
        <v>EM RAQUEL RAMAO DA SILVA</v>
      </c>
      <c r="C715" s="12" t="s">
        <v>113</v>
      </c>
      <c r="D715" s="12" cm="1">
        <f t="array" ref="D715">IF(B715="","",INDEX(tbEtapas[Nº],MOD(ROW(B714)-1,TotalEtapas)+1))</f>
        <v>12</v>
      </c>
      <c r="E715" s="12" t="str">
        <f>IFERROR(VLOOKUP(tbEscolas[[#This Row],[COD ETPA]],tbEtapas[],2,FALSE),"")</f>
        <v>8º ANO</v>
      </c>
      <c r="F715" s="12" t="str">
        <f>IFERROR(VLOOKUP(tbEscolas[[#This Row],[COD ETPA]],tbEtapas[],3,FALSE),"")</f>
        <v>FUNDAMENTAL</v>
      </c>
      <c r="G715" s="12" t="s">
        <v>125</v>
      </c>
    </row>
    <row r="716" spans="1:7" x14ac:dyDescent="0.25">
      <c r="A716" s="36">
        <f>_xlfn.XLOOKUP(tbEscolas[[#This Row],[ESCOLA]],tbNucleo[ESCOLA],tbNucleo[COD ESCOLA],"")</f>
        <v>40</v>
      </c>
      <c r="B716" s="12" t="str" cm="1">
        <f t="array" ref="B716">IFERROR(INDEX(tbNucleo[ESCOLA],ROUNDUP(ROW(B715)/TotalEtapas,0)),"")</f>
        <v>EM RAQUEL RAMAO DA SILVA</v>
      </c>
      <c r="C716" s="12" t="s">
        <v>113</v>
      </c>
      <c r="D716" s="12" cm="1">
        <f t="array" ref="D716">IF(B716="","",INDEX(tbEtapas[Nº],MOD(ROW(B715)-1,TotalEtapas)+1))</f>
        <v>13</v>
      </c>
      <c r="E716" s="12" t="str">
        <f>IFERROR(VLOOKUP(tbEscolas[[#This Row],[COD ETPA]],tbEtapas[],2,FALSE),"")</f>
        <v>9º ANO</v>
      </c>
      <c r="F716" s="12" t="str">
        <f>IFERROR(VLOOKUP(tbEscolas[[#This Row],[COD ETPA]],tbEtapas[],3,FALSE),"")</f>
        <v>FUNDAMENTAL</v>
      </c>
      <c r="G716" s="12" t="s">
        <v>125</v>
      </c>
    </row>
    <row r="717" spans="1:7" x14ac:dyDescent="0.25">
      <c r="A717" s="36">
        <f>_xlfn.XLOOKUP(tbEscolas[[#This Row],[ESCOLA]],tbNucleo[ESCOLA],tbNucleo[COD ESCOLA],"")</f>
        <v>40</v>
      </c>
      <c r="B717" s="12" t="str" cm="1">
        <f t="array" ref="B717">IFERROR(INDEX(tbNucleo[ESCOLA],ROUNDUP(ROW(B716)/TotalEtapas,0)),"")</f>
        <v>EM RAQUEL RAMAO DA SILVA</v>
      </c>
      <c r="C717" s="12" t="s">
        <v>113</v>
      </c>
      <c r="D717" s="12">
        <v>14</v>
      </c>
      <c r="E717" s="12" t="str">
        <f>IFERROR(VLOOKUP(tbEscolas[[#This Row],[COD ETPA]],tbEtapas[],2,FALSE),"")</f>
        <v>1º ANO</v>
      </c>
      <c r="F717" s="12" t="str">
        <f>IFERROR(VLOOKUP(tbEscolas[[#This Row],[COD ETPA]],tbEtapas[],3,FALSE),"")</f>
        <v>ENSINO MÉDIO</v>
      </c>
      <c r="G717" s="12" t="s">
        <v>125</v>
      </c>
    </row>
    <row r="718" spans="1:7" x14ac:dyDescent="0.25">
      <c r="A718" s="36">
        <f>_xlfn.XLOOKUP(tbEscolas[[#This Row],[ESCOLA]],tbNucleo[ESCOLA],tbNucleo[COD ESCOLA],"")</f>
        <v>40</v>
      </c>
      <c r="B718" s="12" t="str" cm="1">
        <f t="array" ref="B718">IFERROR(INDEX(tbNucleo[ESCOLA],ROUNDUP(ROW(B717)/TotalEtapas,0)),"")</f>
        <v>EM RAQUEL RAMAO DA SILVA</v>
      </c>
      <c r="C718" s="12" t="s">
        <v>113</v>
      </c>
      <c r="D718" s="12">
        <v>15</v>
      </c>
      <c r="E718" s="12" t="str">
        <f>IFERROR(VLOOKUP(tbEscolas[[#This Row],[COD ETPA]],tbEtapas[],2,FALSE),"")</f>
        <v>2º ANO</v>
      </c>
      <c r="F718" s="12" t="str">
        <f>IFERROR(VLOOKUP(tbEscolas[[#This Row],[COD ETPA]],tbEtapas[],3,FALSE),"")</f>
        <v>ENSINO MÉDIO</v>
      </c>
      <c r="G718" s="12" t="s">
        <v>125</v>
      </c>
    </row>
    <row r="719" spans="1:7" x14ac:dyDescent="0.25">
      <c r="A719" s="36">
        <f>_xlfn.XLOOKUP(tbEscolas[[#This Row],[ESCOLA]],tbNucleo[ESCOLA],tbNucleo[COD ESCOLA],"")</f>
        <v>40</v>
      </c>
      <c r="B719" s="12" t="str" cm="1">
        <f t="array" ref="B719">IFERROR(INDEX(tbNucleo[ESCOLA],ROUNDUP(ROW(B718)/TotalEtapas,0)),"")</f>
        <v>EM RAQUEL RAMAO DA SILVA</v>
      </c>
      <c r="C719" s="12" t="s">
        <v>113</v>
      </c>
      <c r="D719" s="12">
        <v>16</v>
      </c>
      <c r="E719" s="12" t="str">
        <f>IFERROR(VLOOKUP(tbEscolas[[#This Row],[COD ETPA]],tbEtapas[],2,FALSE),"")</f>
        <v>3º ANO</v>
      </c>
      <c r="F719" s="12" t="str">
        <f>IFERROR(VLOOKUP(tbEscolas[[#This Row],[COD ETPA]],tbEtapas[],3,FALSE),"")</f>
        <v>ENSINO MÉDIO</v>
      </c>
      <c r="G719" s="12" t="s">
        <v>125</v>
      </c>
    </row>
    <row r="720" spans="1:7" x14ac:dyDescent="0.25">
      <c r="A720" s="36">
        <f>_xlfn.XLOOKUP(tbEscolas[[#This Row],[ESCOLA]],tbNucleo[ESCOLA],tbNucleo[COD ESCOLA],"")</f>
        <v>40</v>
      </c>
      <c r="B720" s="12" t="str" cm="1">
        <f t="array" ref="B720">IFERROR(INDEX(tbNucleo[ESCOLA],ROUNDUP(ROW(B719)/TotalEtapas,0)),"")</f>
        <v>EM RAQUEL RAMAO DA SILVA</v>
      </c>
      <c r="C720" s="12" t="s">
        <v>113</v>
      </c>
      <c r="D720" s="12">
        <v>17</v>
      </c>
      <c r="E720" s="12" t="str">
        <f>IFERROR(VLOOKUP(tbEscolas[[#This Row],[COD ETPA]],tbEtapas[],2,FALSE),"")</f>
        <v>EJA I</v>
      </c>
      <c r="F720" s="12" t="str">
        <f>IFERROR(VLOOKUP(tbEscolas[[#This Row],[COD ETPA]],tbEtapas[],3,FALSE),"")</f>
        <v>FUNDAMENTAL</v>
      </c>
      <c r="G720" s="12" t="s">
        <v>125</v>
      </c>
    </row>
    <row r="721" spans="1:7" x14ac:dyDescent="0.25">
      <c r="A721" s="36">
        <f>_xlfn.XLOOKUP(tbEscolas[[#This Row],[ESCOLA]],tbNucleo[ESCOLA],tbNucleo[COD ESCOLA],"")</f>
        <v>40</v>
      </c>
      <c r="B721" s="12" t="str" cm="1">
        <f t="array" ref="B721">IFERROR(INDEX(tbNucleo[ESCOLA],ROUNDUP(ROW(B720)/TotalEtapas,0)),"")</f>
        <v>EM RAQUEL RAMAO DA SILVA</v>
      </c>
      <c r="C721" s="12" t="s">
        <v>113</v>
      </c>
      <c r="D721" s="12">
        <v>18</v>
      </c>
      <c r="E721" s="12" t="str">
        <f>IFERROR(VLOOKUP(tbEscolas[[#This Row],[COD ETPA]],tbEtapas[],2,FALSE),"")</f>
        <v>EJA II</v>
      </c>
      <c r="F721" s="12" t="str">
        <f>IFERROR(VLOOKUP(tbEscolas[[#This Row],[COD ETPA]],tbEtapas[],3,FALSE),"")</f>
        <v>ENSINO MÉDIO</v>
      </c>
      <c r="G721" s="12" t="s">
        <v>125</v>
      </c>
    </row>
    <row r="722" spans="1:7" x14ac:dyDescent="0.25">
      <c r="A722" s="26">
        <f>_xlfn.XLOOKUP(tbEscolas[[#This Row],[ESCOLA]],tbNucleo[ESCOLA],tbNucleo[COD ESCOLA],"")</f>
        <v>41</v>
      </c>
      <c r="B722" s="2" t="str" cm="1">
        <f t="array" ref="B722">IFERROR(INDEX(tbNucleo[ESCOLA],ROUNDUP(ROW(B721)/TotalEtapas,0)),"")</f>
        <v>EM ROCA VELHA</v>
      </c>
      <c r="C722" s="2" t="s">
        <v>111</v>
      </c>
      <c r="D722" s="2" cm="1">
        <f t="array" ref="D722">IF(B722="","",INDEX(tbEtapas[Nº],MOD(ROW(B721)-1,TotalEtapas)+1))</f>
        <v>1</v>
      </c>
      <c r="E722" s="2" t="str">
        <f>IFERROR(VLOOKUP(tbEscolas[[#This Row],[COD ETPA]],tbEtapas[],2,FALSE),"")</f>
        <v>CRECHE I</v>
      </c>
      <c r="F722" s="2" t="str">
        <f>IFERROR(VLOOKUP(tbEscolas[[#This Row],[COD ETPA]],tbEtapas[],3,FALSE),"")</f>
        <v>EDUCAÇÃO INFANTIL</v>
      </c>
      <c r="G722" s="2" t="s">
        <v>125</v>
      </c>
    </row>
    <row r="723" spans="1:7" x14ac:dyDescent="0.25">
      <c r="A723" s="26">
        <f>_xlfn.XLOOKUP(tbEscolas[[#This Row],[ESCOLA]],tbNucleo[ESCOLA],tbNucleo[COD ESCOLA],"")</f>
        <v>41</v>
      </c>
      <c r="B723" s="2" t="str" cm="1">
        <f t="array" ref="B723">IFERROR(INDEX(tbNucleo[ESCOLA],ROUNDUP(ROW(B722)/TotalEtapas,0)),"")</f>
        <v>EM ROCA VELHA</v>
      </c>
      <c r="C723" s="2" t="s">
        <v>111</v>
      </c>
      <c r="D723" s="2" cm="1">
        <f t="array" ref="D723">IF(B723="","",INDEX(tbEtapas[Nº],MOD(ROW(B722)-1,TotalEtapas)+1))</f>
        <v>2</v>
      </c>
      <c r="E723" s="2" t="str">
        <f>IFERROR(VLOOKUP(tbEscolas[[#This Row],[COD ETPA]],tbEtapas[],2,FALSE),"")</f>
        <v>CRECHE II</v>
      </c>
      <c r="F723" s="2" t="str">
        <f>IFERROR(VLOOKUP(tbEscolas[[#This Row],[COD ETPA]],tbEtapas[],3,FALSE),"")</f>
        <v>EDUCAÇÃO INFANTIL</v>
      </c>
      <c r="G723" s="2" t="s">
        <v>125</v>
      </c>
    </row>
    <row r="724" spans="1:7" x14ac:dyDescent="0.25">
      <c r="A724" s="26">
        <f>_xlfn.XLOOKUP(tbEscolas[[#This Row],[ESCOLA]],tbNucleo[ESCOLA],tbNucleo[COD ESCOLA],"")</f>
        <v>41</v>
      </c>
      <c r="B724" s="2" t="str" cm="1">
        <f t="array" ref="B724">IFERROR(INDEX(tbNucleo[ESCOLA],ROUNDUP(ROW(B723)/TotalEtapas,0)),"")</f>
        <v>EM ROCA VELHA</v>
      </c>
      <c r="C724" s="2" t="s">
        <v>111</v>
      </c>
      <c r="D724" s="2" cm="1">
        <f t="array" ref="D724">IF(B724="","",INDEX(tbEtapas[Nº],MOD(ROW(B723)-1,TotalEtapas)+1))</f>
        <v>3</v>
      </c>
      <c r="E724" s="2" t="str">
        <f>IFERROR(VLOOKUP(tbEscolas[[#This Row],[COD ETPA]],tbEtapas[],2,FALSE),"")</f>
        <v>PRE I</v>
      </c>
      <c r="F724" s="2" t="str">
        <f>IFERROR(VLOOKUP(tbEscolas[[#This Row],[COD ETPA]],tbEtapas[],3,FALSE),"")</f>
        <v>EDUCAÇÃO INFANTIL</v>
      </c>
      <c r="G724" s="2" t="s">
        <v>125</v>
      </c>
    </row>
    <row r="725" spans="1:7" x14ac:dyDescent="0.25">
      <c r="A725" s="26">
        <f>_xlfn.XLOOKUP(tbEscolas[[#This Row],[ESCOLA]],tbNucleo[ESCOLA],tbNucleo[COD ESCOLA],"")</f>
        <v>41</v>
      </c>
      <c r="B725" s="2" t="str" cm="1">
        <f t="array" ref="B725">IFERROR(INDEX(tbNucleo[ESCOLA],ROUNDUP(ROW(B724)/TotalEtapas,0)),"")</f>
        <v>EM ROCA VELHA</v>
      </c>
      <c r="C725" s="2" t="s">
        <v>111</v>
      </c>
      <c r="D725" s="2" cm="1">
        <f t="array" ref="D725">IF(B725="","",INDEX(tbEtapas[Nº],MOD(ROW(B724)-1,TotalEtapas)+1))</f>
        <v>4</v>
      </c>
      <c r="E725" s="2" t="str">
        <f>IFERROR(VLOOKUP(tbEscolas[[#This Row],[COD ETPA]],tbEtapas[],2,FALSE),"")</f>
        <v>PRE II</v>
      </c>
      <c r="F725" s="2" t="str">
        <f>IFERROR(VLOOKUP(tbEscolas[[#This Row],[COD ETPA]],tbEtapas[],3,FALSE),"")</f>
        <v>EDUCAÇÃO INFANTIL</v>
      </c>
      <c r="G725" s="2" t="s">
        <v>125</v>
      </c>
    </row>
    <row r="726" spans="1:7" x14ac:dyDescent="0.25">
      <c r="A726" s="26">
        <f>_xlfn.XLOOKUP(tbEscolas[[#This Row],[ESCOLA]],tbNucleo[ESCOLA],tbNucleo[COD ESCOLA],"")</f>
        <v>41</v>
      </c>
      <c r="B726" s="2" t="str" cm="1">
        <f t="array" ref="B726">IFERROR(INDEX(tbNucleo[ESCOLA],ROUNDUP(ROW(B725)/TotalEtapas,0)),"")</f>
        <v>EM ROCA VELHA</v>
      </c>
      <c r="C726" s="2" t="s">
        <v>111</v>
      </c>
      <c r="D726" s="2" cm="1">
        <f t="array" ref="D726">IF(B726="","",INDEX(tbEtapas[Nº],MOD(ROW(B725)-1,TotalEtapas)+1))</f>
        <v>5</v>
      </c>
      <c r="E726" s="2" t="str">
        <f>IFERROR(VLOOKUP(tbEscolas[[#This Row],[COD ETPA]],tbEtapas[],2,FALSE),"")</f>
        <v>1º ANO</v>
      </c>
      <c r="F726" s="2" t="str">
        <f>IFERROR(VLOOKUP(tbEscolas[[#This Row],[COD ETPA]],tbEtapas[],3,FALSE),"")</f>
        <v>FUNDAMENTAL</v>
      </c>
      <c r="G726" s="2" t="s">
        <v>125</v>
      </c>
    </row>
    <row r="727" spans="1:7" x14ac:dyDescent="0.25">
      <c r="A727" s="26">
        <f>_xlfn.XLOOKUP(tbEscolas[[#This Row],[ESCOLA]],tbNucleo[ESCOLA],tbNucleo[COD ESCOLA],"")</f>
        <v>41</v>
      </c>
      <c r="B727" s="2" t="str" cm="1">
        <f t="array" ref="B727">IFERROR(INDEX(tbNucleo[ESCOLA],ROUNDUP(ROW(B726)/TotalEtapas,0)),"")</f>
        <v>EM ROCA VELHA</v>
      </c>
      <c r="C727" s="2" t="s">
        <v>111</v>
      </c>
      <c r="D727" s="2" cm="1">
        <f t="array" ref="D727">IF(B727="","",INDEX(tbEtapas[Nº],MOD(ROW(B726)-1,TotalEtapas)+1))</f>
        <v>6</v>
      </c>
      <c r="E727" s="2" t="str">
        <f>IFERROR(VLOOKUP(tbEscolas[[#This Row],[COD ETPA]],tbEtapas[],2,FALSE),"")</f>
        <v>2º ANO</v>
      </c>
      <c r="F727" s="2" t="str">
        <f>IFERROR(VLOOKUP(tbEscolas[[#This Row],[COD ETPA]],tbEtapas[],3,FALSE),"")</f>
        <v>FUNDAMENTAL</v>
      </c>
      <c r="G727" s="2" t="s">
        <v>125</v>
      </c>
    </row>
    <row r="728" spans="1:7" x14ac:dyDescent="0.25">
      <c r="A728" s="26">
        <f>_xlfn.XLOOKUP(tbEscolas[[#This Row],[ESCOLA]],tbNucleo[ESCOLA],tbNucleo[COD ESCOLA],"")</f>
        <v>41</v>
      </c>
      <c r="B728" s="2" t="str" cm="1">
        <f t="array" ref="B728">IFERROR(INDEX(tbNucleo[ESCOLA],ROUNDUP(ROW(B727)/TotalEtapas,0)),"")</f>
        <v>EM ROCA VELHA</v>
      </c>
      <c r="C728" s="2" t="s">
        <v>111</v>
      </c>
      <c r="D728" s="2" cm="1">
        <f t="array" ref="D728">IF(B728="","",INDEX(tbEtapas[Nº],MOD(ROW(B727)-1,TotalEtapas)+1))</f>
        <v>7</v>
      </c>
      <c r="E728" s="2" t="str">
        <f>IFERROR(VLOOKUP(tbEscolas[[#This Row],[COD ETPA]],tbEtapas[],2,FALSE),"")</f>
        <v>3º ANO</v>
      </c>
      <c r="F728" s="2" t="str">
        <f>IFERROR(VLOOKUP(tbEscolas[[#This Row],[COD ETPA]],tbEtapas[],3,FALSE),"")</f>
        <v>FUNDAMENTAL</v>
      </c>
      <c r="G728" s="2" t="s">
        <v>125</v>
      </c>
    </row>
    <row r="729" spans="1:7" x14ac:dyDescent="0.25">
      <c r="A729" s="26">
        <f>_xlfn.XLOOKUP(tbEscolas[[#This Row],[ESCOLA]],tbNucleo[ESCOLA],tbNucleo[COD ESCOLA],"")</f>
        <v>41</v>
      </c>
      <c r="B729" s="2" t="str" cm="1">
        <f t="array" ref="B729">IFERROR(INDEX(tbNucleo[ESCOLA],ROUNDUP(ROW(B728)/TotalEtapas,0)),"")</f>
        <v>EM ROCA VELHA</v>
      </c>
      <c r="C729" s="2" t="s">
        <v>111</v>
      </c>
      <c r="D729" s="2" cm="1">
        <f t="array" ref="D729">IF(B729="","",INDEX(tbEtapas[Nº],MOD(ROW(B728)-1,TotalEtapas)+1))</f>
        <v>8</v>
      </c>
      <c r="E729" s="2" t="str">
        <f>IFERROR(VLOOKUP(tbEscolas[[#This Row],[COD ETPA]],tbEtapas[],2,FALSE),"")</f>
        <v>4º ANO</v>
      </c>
      <c r="F729" s="2" t="str">
        <f>IFERROR(VLOOKUP(tbEscolas[[#This Row],[COD ETPA]],tbEtapas[],3,FALSE),"")</f>
        <v>FUNDAMENTAL</v>
      </c>
      <c r="G729" s="2" t="s">
        <v>125</v>
      </c>
    </row>
    <row r="730" spans="1:7" x14ac:dyDescent="0.25">
      <c r="A730" s="26">
        <f>_xlfn.XLOOKUP(tbEscolas[[#This Row],[ESCOLA]],tbNucleo[ESCOLA],tbNucleo[COD ESCOLA],"")</f>
        <v>41</v>
      </c>
      <c r="B730" s="2" t="str" cm="1">
        <f t="array" ref="B730">IFERROR(INDEX(tbNucleo[ESCOLA],ROUNDUP(ROW(B729)/TotalEtapas,0)),"")</f>
        <v>EM ROCA VELHA</v>
      </c>
      <c r="C730" s="2" t="s">
        <v>111</v>
      </c>
      <c r="D730" s="2" cm="1">
        <f t="array" ref="D730">IF(B730="","",INDEX(tbEtapas[Nº],MOD(ROW(B729)-1,TotalEtapas)+1))</f>
        <v>9</v>
      </c>
      <c r="E730" s="2" t="str">
        <f>IFERROR(VLOOKUP(tbEscolas[[#This Row],[COD ETPA]],tbEtapas[],2,FALSE),"")</f>
        <v>5º ANO</v>
      </c>
      <c r="F730" s="2" t="str">
        <f>IFERROR(VLOOKUP(tbEscolas[[#This Row],[COD ETPA]],tbEtapas[],3,FALSE),"")</f>
        <v>FUNDAMENTAL</v>
      </c>
      <c r="G730" s="2" t="s">
        <v>125</v>
      </c>
    </row>
    <row r="731" spans="1:7" x14ac:dyDescent="0.25">
      <c r="A731" s="26">
        <f>_xlfn.XLOOKUP(tbEscolas[[#This Row],[ESCOLA]],tbNucleo[ESCOLA],tbNucleo[COD ESCOLA],"")</f>
        <v>41</v>
      </c>
      <c r="B731" s="2" t="str" cm="1">
        <f t="array" ref="B731">IFERROR(INDEX(tbNucleo[ESCOLA],ROUNDUP(ROW(B730)/TotalEtapas,0)),"")</f>
        <v>EM ROCA VELHA</v>
      </c>
      <c r="C731" s="2" t="s">
        <v>111</v>
      </c>
      <c r="D731" s="2" cm="1">
        <f t="array" ref="D731">IF(B731="","",INDEX(tbEtapas[Nº],MOD(ROW(B730)-1,TotalEtapas)+1))</f>
        <v>10</v>
      </c>
      <c r="E731" s="2" t="str">
        <f>IFERROR(VLOOKUP(tbEscolas[[#This Row],[COD ETPA]],tbEtapas[],2,FALSE),"")</f>
        <v>6º ANO</v>
      </c>
      <c r="F731" s="2" t="str">
        <f>IFERROR(VLOOKUP(tbEscolas[[#This Row],[COD ETPA]],tbEtapas[],3,FALSE),"")</f>
        <v>FUNDAMENTAL</v>
      </c>
      <c r="G731" s="2" t="s">
        <v>126</v>
      </c>
    </row>
    <row r="732" spans="1:7" x14ac:dyDescent="0.25">
      <c r="A732" s="26">
        <f>_xlfn.XLOOKUP(tbEscolas[[#This Row],[ESCOLA]],tbNucleo[ESCOLA],tbNucleo[COD ESCOLA],"")</f>
        <v>41</v>
      </c>
      <c r="B732" s="2" t="str" cm="1">
        <f t="array" ref="B732">IFERROR(INDEX(tbNucleo[ESCOLA],ROUNDUP(ROW(B731)/TotalEtapas,0)),"")</f>
        <v>EM ROCA VELHA</v>
      </c>
      <c r="C732" s="2" t="s">
        <v>111</v>
      </c>
      <c r="D732" s="2" cm="1">
        <f t="array" ref="D732">IF(B732="","",INDEX(tbEtapas[Nº],MOD(ROW(B731)-1,TotalEtapas)+1))</f>
        <v>11</v>
      </c>
      <c r="E732" s="2" t="str">
        <f>IFERROR(VLOOKUP(tbEscolas[[#This Row],[COD ETPA]],tbEtapas[],2,FALSE),"")</f>
        <v>7º ANO</v>
      </c>
      <c r="F732" s="2" t="str">
        <f>IFERROR(VLOOKUP(tbEscolas[[#This Row],[COD ETPA]],tbEtapas[],3,FALSE),"")</f>
        <v>FUNDAMENTAL</v>
      </c>
      <c r="G732" s="2" t="s">
        <v>126</v>
      </c>
    </row>
    <row r="733" spans="1:7" x14ac:dyDescent="0.25">
      <c r="A733" s="26">
        <f>_xlfn.XLOOKUP(tbEscolas[[#This Row],[ESCOLA]],tbNucleo[ESCOLA],tbNucleo[COD ESCOLA],"")</f>
        <v>41</v>
      </c>
      <c r="B733" s="2" t="str" cm="1">
        <f t="array" ref="B733">IFERROR(INDEX(tbNucleo[ESCOLA],ROUNDUP(ROW(B732)/TotalEtapas,0)),"")</f>
        <v>EM ROCA VELHA</v>
      </c>
      <c r="C733" s="2" t="s">
        <v>111</v>
      </c>
      <c r="D733" s="2" cm="1">
        <f t="array" ref="D733">IF(B733="","",INDEX(tbEtapas[Nº],MOD(ROW(B732)-1,TotalEtapas)+1))</f>
        <v>12</v>
      </c>
      <c r="E733" s="2" t="str">
        <f>IFERROR(VLOOKUP(tbEscolas[[#This Row],[COD ETPA]],tbEtapas[],2,FALSE),"")</f>
        <v>8º ANO</v>
      </c>
      <c r="F733" s="2" t="str">
        <f>IFERROR(VLOOKUP(tbEscolas[[#This Row],[COD ETPA]],tbEtapas[],3,FALSE),"")</f>
        <v>FUNDAMENTAL</v>
      </c>
      <c r="G733" s="2" t="s">
        <v>126</v>
      </c>
    </row>
    <row r="734" spans="1:7" x14ac:dyDescent="0.25">
      <c r="A734" s="26">
        <f>_xlfn.XLOOKUP(tbEscolas[[#This Row],[ESCOLA]],tbNucleo[ESCOLA],tbNucleo[COD ESCOLA],"")</f>
        <v>41</v>
      </c>
      <c r="B734" s="2" t="str" cm="1">
        <f t="array" ref="B734">IFERROR(INDEX(tbNucleo[ESCOLA],ROUNDUP(ROW(B733)/TotalEtapas,0)),"")</f>
        <v>EM ROCA VELHA</v>
      </c>
      <c r="C734" s="2" t="s">
        <v>111</v>
      </c>
      <c r="D734" s="2" cm="1">
        <f t="array" ref="D734">IF(B734="","",INDEX(tbEtapas[Nº],MOD(ROW(B733)-1,TotalEtapas)+1))</f>
        <v>13</v>
      </c>
      <c r="E734" s="2" t="str">
        <f>IFERROR(VLOOKUP(tbEscolas[[#This Row],[COD ETPA]],tbEtapas[],2,FALSE),"")</f>
        <v>9º ANO</v>
      </c>
      <c r="F734" s="2" t="str">
        <f>IFERROR(VLOOKUP(tbEscolas[[#This Row],[COD ETPA]],tbEtapas[],3,FALSE),"")</f>
        <v>FUNDAMENTAL</v>
      </c>
      <c r="G734" s="2" t="s">
        <v>126</v>
      </c>
    </row>
    <row r="735" spans="1:7" x14ac:dyDescent="0.25">
      <c r="A735" s="26">
        <f>_xlfn.XLOOKUP(tbEscolas[[#This Row],[ESCOLA]],tbNucleo[ESCOLA],tbNucleo[COD ESCOLA],"")</f>
        <v>41</v>
      </c>
      <c r="B735" s="2" t="str" cm="1">
        <f t="array" ref="B735">IFERROR(INDEX(tbNucleo[ESCOLA],ROUNDUP(ROW(B734)/TotalEtapas,0)),"")</f>
        <v>EM ROCA VELHA</v>
      </c>
      <c r="C735" s="2" t="s">
        <v>111</v>
      </c>
      <c r="D735" s="2">
        <v>14</v>
      </c>
      <c r="E735" s="2" t="str">
        <f>IFERROR(VLOOKUP(tbEscolas[[#This Row],[COD ETPA]],tbEtapas[],2,FALSE),"")</f>
        <v>1º ANO</v>
      </c>
      <c r="F735" s="2" t="str">
        <f>IFERROR(VLOOKUP(tbEscolas[[#This Row],[COD ETPA]],tbEtapas[],3,FALSE),"")</f>
        <v>ENSINO MÉDIO</v>
      </c>
      <c r="G735" s="2" t="s">
        <v>126</v>
      </c>
    </row>
    <row r="736" spans="1:7" x14ac:dyDescent="0.25">
      <c r="A736" s="26">
        <f>_xlfn.XLOOKUP(tbEscolas[[#This Row],[ESCOLA]],tbNucleo[ESCOLA],tbNucleo[COD ESCOLA],"")</f>
        <v>41</v>
      </c>
      <c r="B736" s="2" t="str" cm="1">
        <f t="array" ref="B736">IFERROR(INDEX(tbNucleo[ESCOLA],ROUNDUP(ROW(B735)/TotalEtapas,0)),"")</f>
        <v>EM ROCA VELHA</v>
      </c>
      <c r="C736" s="2" t="s">
        <v>111</v>
      </c>
      <c r="D736" s="2">
        <v>15</v>
      </c>
      <c r="E736" s="2" t="str">
        <f>IFERROR(VLOOKUP(tbEscolas[[#This Row],[COD ETPA]],tbEtapas[],2,FALSE),"")</f>
        <v>2º ANO</v>
      </c>
      <c r="F736" s="2" t="str">
        <f>IFERROR(VLOOKUP(tbEscolas[[#This Row],[COD ETPA]],tbEtapas[],3,FALSE),"")</f>
        <v>ENSINO MÉDIO</v>
      </c>
      <c r="G736" s="2" t="s">
        <v>126</v>
      </c>
    </row>
    <row r="737" spans="1:7" x14ac:dyDescent="0.25">
      <c r="A737" s="26">
        <f>_xlfn.XLOOKUP(tbEscolas[[#This Row],[ESCOLA]],tbNucleo[ESCOLA],tbNucleo[COD ESCOLA],"")</f>
        <v>41</v>
      </c>
      <c r="B737" s="2" t="str" cm="1">
        <f t="array" ref="B737">IFERROR(INDEX(tbNucleo[ESCOLA],ROUNDUP(ROW(B736)/TotalEtapas,0)),"")</f>
        <v>EM ROCA VELHA</v>
      </c>
      <c r="C737" s="2" t="s">
        <v>111</v>
      </c>
      <c r="D737" s="2">
        <v>16</v>
      </c>
      <c r="E737" s="2" t="str">
        <f>IFERROR(VLOOKUP(tbEscolas[[#This Row],[COD ETPA]],tbEtapas[],2,FALSE),"")</f>
        <v>3º ANO</v>
      </c>
      <c r="F737" s="2" t="str">
        <f>IFERROR(VLOOKUP(tbEscolas[[#This Row],[COD ETPA]],tbEtapas[],3,FALSE),"")</f>
        <v>ENSINO MÉDIO</v>
      </c>
      <c r="G737" s="2" t="s">
        <v>126</v>
      </c>
    </row>
    <row r="738" spans="1:7" x14ac:dyDescent="0.25">
      <c r="A738" s="26">
        <f>_xlfn.XLOOKUP(tbEscolas[[#This Row],[ESCOLA]],tbNucleo[ESCOLA],tbNucleo[COD ESCOLA],"")</f>
        <v>41</v>
      </c>
      <c r="B738" s="2" t="str" cm="1">
        <f t="array" ref="B738">IFERROR(INDEX(tbNucleo[ESCOLA],ROUNDUP(ROW(B737)/TotalEtapas,0)),"")</f>
        <v>EM ROCA VELHA</v>
      </c>
      <c r="C738" s="2" t="s">
        <v>111</v>
      </c>
      <c r="D738" s="2">
        <v>17</v>
      </c>
      <c r="E738" s="2" t="str">
        <f>IFERROR(VLOOKUP(tbEscolas[[#This Row],[COD ETPA]],tbEtapas[],2,FALSE),"")</f>
        <v>EJA I</v>
      </c>
      <c r="F738" s="2" t="str">
        <f>IFERROR(VLOOKUP(tbEscolas[[#This Row],[COD ETPA]],tbEtapas[],3,FALSE),"")</f>
        <v>FUNDAMENTAL</v>
      </c>
      <c r="G738" s="2" t="s">
        <v>125</v>
      </c>
    </row>
    <row r="739" spans="1:7" x14ac:dyDescent="0.25">
      <c r="A739" s="26">
        <f>_xlfn.XLOOKUP(tbEscolas[[#This Row],[ESCOLA]],tbNucleo[ESCOLA],tbNucleo[COD ESCOLA],"")</f>
        <v>41</v>
      </c>
      <c r="B739" s="2" t="str" cm="1">
        <f t="array" ref="B739">IFERROR(INDEX(tbNucleo[ESCOLA],ROUNDUP(ROW(B738)/TotalEtapas,0)),"")</f>
        <v>EM ROCA VELHA</v>
      </c>
      <c r="C739" s="2" t="s">
        <v>111</v>
      </c>
      <c r="D739" s="2">
        <v>18</v>
      </c>
      <c r="E739" s="2" t="str">
        <f>IFERROR(VLOOKUP(tbEscolas[[#This Row],[COD ETPA]],tbEtapas[],2,FALSE),"")</f>
        <v>EJA II</v>
      </c>
      <c r="F739" s="2" t="str">
        <f>IFERROR(VLOOKUP(tbEscolas[[#This Row],[COD ETPA]],tbEtapas[],3,FALSE),"")</f>
        <v>ENSINO MÉDIO</v>
      </c>
      <c r="G739" s="2" t="s">
        <v>125</v>
      </c>
    </row>
    <row r="740" spans="1:7" x14ac:dyDescent="0.25">
      <c r="A740" s="35">
        <f>_xlfn.XLOOKUP(tbEscolas[[#This Row],[ESCOLA]],tbNucleo[ESCOLA],tbNucleo[COD ESCOLA],"")</f>
        <v>42</v>
      </c>
      <c r="B740" s="11" t="str" cm="1">
        <f t="array" ref="B740">IFERROR(INDEX(tbNucleo[ESCOLA],ROUNDUP(ROW(B739)/TotalEtapas,0)),"")</f>
        <v>EM SANTA CATARINA</v>
      </c>
      <c r="C740" s="11" t="s">
        <v>120</v>
      </c>
      <c r="D740" s="11" cm="1">
        <f t="array" ref="D740">IF(B740="","",INDEX(tbEtapas[Nº],MOD(ROW(B739)-1,TotalEtapas)+1))</f>
        <v>1</v>
      </c>
      <c r="E740" s="11" t="str">
        <f>IFERROR(VLOOKUP(tbEscolas[[#This Row],[COD ETPA]],tbEtapas[],2,FALSE),"")</f>
        <v>CRECHE I</v>
      </c>
      <c r="F740" s="11" t="str">
        <f>IFERROR(VLOOKUP(tbEscolas[[#This Row],[COD ETPA]],tbEtapas[],3,FALSE),"")</f>
        <v>EDUCAÇÃO INFANTIL</v>
      </c>
      <c r="G740" s="11" t="s">
        <v>125</v>
      </c>
    </row>
    <row r="741" spans="1:7" x14ac:dyDescent="0.25">
      <c r="A741" s="35">
        <f>_xlfn.XLOOKUP(tbEscolas[[#This Row],[ESCOLA]],tbNucleo[ESCOLA],tbNucleo[COD ESCOLA],"")</f>
        <v>42</v>
      </c>
      <c r="B741" s="11" t="str" cm="1">
        <f t="array" ref="B741">IFERROR(INDEX(tbNucleo[ESCOLA],ROUNDUP(ROW(B740)/TotalEtapas,0)),"")</f>
        <v>EM SANTA CATARINA</v>
      </c>
      <c r="C741" s="11" t="s">
        <v>120</v>
      </c>
      <c r="D741" s="11" cm="1">
        <f t="array" ref="D741">IF(B741="","",INDEX(tbEtapas[Nº],MOD(ROW(B740)-1,TotalEtapas)+1))</f>
        <v>2</v>
      </c>
      <c r="E741" s="11" t="str">
        <f>IFERROR(VLOOKUP(tbEscolas[[#This Row],[COD ETPA]],tbEtapas[],2,FALSE),"")</f>
        <v>CRECHE II</v>
      </c>
      <c r="F741" s="11" t="str">
        <f>IFERROR(VLOOKUP(tbEscolas[[#This Row],[COD ETPA]],tbEtapas[],3,FALSE),"")</f>
        <v>EDUCAÇÃO INFANTIL</v>
      </c>
      <c r="G741" s="11" t="s">
        <v>125</v>
      </c>
    </row>
    <row r="742" spans="1:7" x14ac:dyDescent="0.25">
      <c r="A742" s="35">
        <f>_xlfn.XLOOKUP(tbEscolas[[#This Row],[ESCOLA]],tbNucleo[ESCOLA],tbNucleo[COD ESCOLA],"")</f>
        <v>42</v>
      </c>
      <c r="B742" s="11" t="str" cm="1">
        <f t="array" ref="B742">IFERROR(INDEX(tbNucleo[ESCOLA],ROUNDUP(ROW(B741)/TotalEtapas,0)),"")</f>
        <v>EM SANTA CATARINA</v>
      </c>
      <c r="C742" s="11" t="s">
        <v>120</v>
      </c>
      <c r="D742" s="11" cm="1">
        <f t="array" ref="D742">IF(B742="","",INDEX(tbEtapas[Nº],MOD(ROW(B741)-1,TotalEtapas)+1))</f>
        <v>3</v>
      </c>
      <c r="E742" s="11" t="str">
        <f>IFERROR(VLOOKUP(tbEscolas[[#This Row],[COD ETPA]],tbEtapas[],2,FALSE),"")</f>
        <v>PRE I</v>
      </c>
      <c r="F742" s="11" t="str">
        <f>IFERROR(VLOOKUP(tbEscolas[[#This Row],[COD ETPA]],tbEtapas[],3,FALSE),"")</f>
        <v>EDUCAÇÃO INFANTIL</v>
      </c>
      <c r="G742" s="11" t="s">
        <v>125</v>
      </c>
    </row>
    <row r="743" spans="1:7" x14ac:dyDescent="0.25">
      <c r="A743" s="35">
        <f>_xlfn.XLOOKUP(tbEscolas[[#This Row],[ESCOLA]],tbNucleo[ESCOLA],tbNucleo[COD ESCOLA],"")</f>
        <v>42</v>
      </c>
      <c r="B743" s="11" t="str" cm="1">
        <f t="array" ref="B743">IFERROR(INDEX(tbNucleo[ESCOLA],ROUNDUP(ROW(B742)/TotalEtapas,0)),"")</f>
        <v>EM SANTA CATARINA</v>
      </c>
      <c r="C743" s="11" t="s">
        <v>120</v>
      </c>
      <c r="D743" s="11" cm="1">
        <f t="array" ref="D743">IF(B743="","",INDEX(tbEtapas[Nº],MOD(ROW(B742)-1,TotalEtapas)+1))</f>
        <v>4</v>
      </c>
      <c r="E743" s="11" t="str">
        <f>IFERROR(VLOOKUP(tbEscolas[[#This Row],[COD ETPA]],tbEtapas[],2,FALSE),"")</f>
        <v>PRE II</v>
      </c>
      <c r="F743" s="11" t="str">
        <f>IFERROR(VLOOKUP(tbEscolas[[#This Row],[COD ETPA]],tbEtapas[],3,FALSE),"")</f>
        <v>EDUCAÇÃO INFANTIL</v>
      </c>
      <c r="G743" s="11" t="s">
        <v>125</v>
      </c>
    </row>
    <row r="744" spans="1:7" x14ac:dyDescent="0.25">
      <c r="A744" s="35">
        <f>_xlfn.XLOOKUP(tbEscolas[[#This Row],[ESCOLA]],tbNucleo[ESCOLA],tbNucleo[COD ESCOLA],"")</f>
        <v>42</v>
      </c>
      <c r="B744" s="11" t="str" cm="1">
        <f t="array" ref="B744">IFERROR(INDEX(tbNucleo[ESCOLA],ROUNDUP(ROW(B743)/TotalEtapas,0)),"")</f>
        <v>EM SANTA CATARINA</v>
      </c>
      <c r="C744" s="11" t="s">
        <v>120</v>
      </c>
      <c r="D744" s="11" cm="1">
        <f t="array" ref="D744">IF(B744="","",INDEX(tbEtapas[Nº],MOD(ROW(B743)-1,TotalEtapas)+1))</f>
        <v>5</v>
      </c>
      <c r="E744" s="11" t="str">
        <f>IFERROR(VLOOKUP(tbEscolas[[#This Row],[COD ETPA]],tbEtapas[],2,FALSE),"")</f>
        <v>1º ANO</v>
      </c>
      <c r="F744" s="11" t="str">
        <f>IFERROR(VLOOKUP(tbEscolas[[#This Row],[COD ETPA]],tbEtapas[],3,FALSE),"")</f>
        <v>FUNDAMENTAL</v>
      </c>
      <c r="G744" s="11" t="s">
        <v>125</v>
      </c>
    </row>
    <row r="745" spans="1:7" x14ac:dyDescent="0.25">
      <c r="A745" s="35">
        <f>_xlfn.XLOOKUP(tbEscolas[[#This Row],[ESCOLA]],tbNucleo[ESCOLA],tbNucleo[COD ESCOLA],"")</f>
        <v>42</v>
      </c>
      <c r="B745" s="11" t="str" cm="1">
        <f t="array" ref="B745">IFERROR(INDEX(tbNucleo[ESCOLA],ROUNDUP(ROW(B744)/TotalEtapas,0)),"")</f>
        <v>EM SANTA CATARINA</v>
      </c>
      <c r="C745" s="11" t="s">
        <v>120</v>
      </c>
      <c r="D745" s="11" cm="1">
        <f t="array" ref="D745">IF(B745="","",INDEX(tbEtapas[Nº],MOD(ROW(B744)-1,TotalEtapas)+1))</f>
        <v>6</v>
      </c>
      <c r="E745" s="11" t="str">
        <f>IFERROR(VLOOKUP(tbEscolas[[#This Row],[COD ETPA]],tbEtapas[],2,FALSE),"")</f>
        <v>2º ANO</v>
      </c>
      <c r="F745" s="11" t="str">
        <f>IFERROR(VLOOKUP(tbEscolas[[#This Row],[COD ETPA]],tbEtapas[],3,FALSE),"")</f>
        <v>FUNDAMENTAL</v>
      </c>
      <c r="G745" s="11" t="s">
        <v>125</v>
      </c>
    </row>
    <row r="746" spans="1:7" x14ac:dyDescent="0.25">
      <c r="A746" s="35">
        <f>_xlfn.XLOOKUP(tbEscolas[[#This Row],[ESCOLA]],tbNucleo[ESCOLA],tbNucleo[COD ESCOLA],"")</f>
        <v>42</v>
      </c>
      <c r="B746" s="11" t="str" cm="1">
        <f t="array" ref="B746">IFERROR(INDEX(tbNucleo[ESCOLA],ROUNDUP(ROW(B745)/TotalEtapas,0)),"")</f>
        <v>EM SANTA CATARINA</v>
      </c>
      <c r="C746" s="11" t="s">
        <v>120</v>
      </c>
      <c r="D746" s="11" cm="1">
        <f t="array" ref="D746">IF(B746="","",INDEX(tbEtapas[Nº],MOD(ROW(B745)-1,TotalEtapas)+1))</f>
        <v>7</v>
      </c>
      <c r="E746" s="11" t="str">
        <f>IFERROR(VLOOKUP(tbEscolas[[#This Row],[COD ETPA]],tbEtapas[],2,FALSE),"")</f>
        <v>3º ANO</v>
      </c>
      <c r="F746" s="11" t="str">
        <f>IFERROR(VLOOKUP(tbEscolas[[#This Row],[COD ETPA]],tbEtapas[],3,FALSE),"")</f>
        <v>FUNDAMENTAL</v>
      </c>
      <c r="G746" s="11" t="s">
        <v>125</v>
      </c>
    </row>
    <row r="747" spans="1:7" x14ac:dyDescent="0.25">
      <c r="A747" s="35">
        <f>_xlfn.XLOOKUP(tbEscolas[[#This Row],[ESCOLA]],tbNucleo[ESCOLA],tbNucleo[COD ESCOLA],"")</f>
        <v>42</v>
      </c>
      <c r="B747" s="11" t="str" cm="1">
        <f t="array" ref="B747">IFERROR(INDEX(tbNucleo[ESCOLA],ROUNDUP(ROW(B746)/TotalEtapas,0)),"")</f>
        <v>EM SANTA CATARINA</v>
      </c>
      <c r="C747" s="11" t="s">
        <v>120</v>
      </c>
      <c r="D747" s="11" cm="1">
        <f t="array" ref="D747">IF(B747="","",INDEX(tbEtapas[Nº],MOD(ROW(B746)-1,TotalEtapas)+1))</f>
        <v>8</v>
      </c>
      <c r="E747" s="11" t="str">
        <f>IFERROR(VLOOKUP(tbEscolas[[#This Row],[COD ETPA]],tbEtapas[],2,FALSE),"")</f>
        <v>4º ANO</v>
      </c>
      <c r="F747" s="11" t="str">
        <f>IFERROR(VLOOKUP(tbEscolas[[#This Row],[COD ETPA]],tbEtapas[],3,FALSE),"")</f>
        <v>FUNDAMENTAL</v>
      </c>
      <c r="G747" s="11" t="s">
        <v>125</v>
      </c>
    </row>
    <row r="748" spans="1:7" x14ac:dyDescent="0.25">
      <c r="A748" s="35">
        <f>_xlfn.XLOOKUP(tbEscolas[[#This Row],[ESCOLA]],tbNucleo[ESCOLA],tbNucleo[COD ESCOLA],"")</f>
        <v>42</v>
      </c>
      <c r="B748" s="11" t="str" cm="1">
        <f t="array" ref="B748">IFERROR(INDEX(tbNucleo[ESCOLA],ROUNDUP(ROW(B747)/TotalEtapas,0)),"")</f>
        <v>EM SANTA CATARINA</v>
      </c>
      <c r="C748" s="11" t="s">
        <v>120</v>
      </c>
      <c r="D748" s="11" cm="1">
        <f t="array" ref="D748">IF(B748="","",INDEX(tbEtapas[Nº],MOD(ROW(B747)-1,TotalEtapas)+1))</f>
        <v>9</v>
      </c>
      <c r="E748" s="11" t="str">
        <f>IFERROR(VLOOKUP(tbEscolas[[#This Row],[COD ETPA]],tbEtapas[],2,FALSE),"")</f>
        <v>5º ANO</v>
      </c>
      <c r="F748" s="11" t="str">
        <f>IFERROR(VLOOKUP(tbEscolas[[#This Row],[COD ETPA]],tbEtapas[],3,FALSE),"")</f>
        <v>FUNDAMENTAL</v>
      </c>
      <c r="G748" s="11" t="s">
        <v>125</v>
      </c>
    </row>
    <row r="749" spans="1:7" x14ac:dyDescent="0.25">
      <c r="A749" s="35">
        <f>_xlfn.XLOOKUP(tbEscolas[[#This Row],[ESCOLA]],tbNucleo[ESCOLA],tbNucleo[COD ESCOLA],"")</f>
        <v>42</v>
      </c>
      <c r="B749" s="11" t="str" cm="1">
        <f t="array" ref="B749">IFERROR(INDEX(tbNucleo[ESCOLA],ROUNDUP(ROW(B748)/TotalEtapas,0)),"")</f>
        <v>EM SANTA CATARINA</v>
      </c>
      <c r="C749" s="11" t="s">
        <v>120</v>
      </c>
      <c r="D749" s="11" cm="1">
        <f t="array" ref="D749">IF(B749="","",INDEX(tbEtapas[Nº],MOD(ROW(B748)-1,TotalEtapas)+1))</f>
        <v>10</v>
      </c>
      <c r="E749" s="11" t="str">
        <f>IFERROR(VLOOKUP(tbEscolas[[#This Row],[COD ETPA]],tbEtapas[],2,FALSE),"")</f>
        <v>6º ANO</v>
      </c>
      <c r="F749" s="11" t="str">
        <f>IFERROR(VLOOKUP(tbEscolas[[#This Row],[COD ETPA]],tbEtapas[],3,FALSE),"")</f>
        <v>FUNDAMENTAL</v>
      </c>
      <c r="G749" s="11" t="s">
        <v>126</v>
      </c>
    </row>
    <row r="750" spans="1:7" x14ac:dyDescent="0.25">
      <c r="A750" s="35">
        <f>_xlfn.XLOOKUP(tbEscolas[[#This Row],[ESCOLA]],tbNucleo[ESCOLA],tbNucleo[COD ESCOLA],"")</f>
        <v>42</v>
      </c>
      <c r="B750" s="11" t="str" cm="1">
        <f t="array" ref="B750">IFERROR(INDEX(tbNucleo[ESCOLA],ROUNDUP(ROW(B749)/TotalEtapas,0)),"")</f>
        <v>EM SANTA CATARINA</v>
      </c>
      <c r="C750" s="11" t="s">
        <v>120</v>
      </c>
      <c r="D750" s="11" cm="1">
        <f t="array" ref="D750">IF(B750="","",INDEX(tbEtapas[Nº],MOD(ROW(B749)-1,TotalEtapas)+1))</f>
        <v>11</v>
      </c>
      <c r="E750" s="11" t="str">
        <f>IFERROR(VLOOKUP(tbEscolas[[#This Row],[COD ETPA]],tbEtapas[],2,FALSE),"")</f>
        <v>7º ANO</v>
      </c>
      <c r="F750" s="11" t="str">
        <f>IFERROR(VLOOKUP(tbEscolas[[#This Row],[COD ETPA]],tbEtapas[],3,FALSE),"")</f>
        <v>FUNDAMENTAL</v>
      </c>
      <c r="G750" s="11" t="s">
        <v>126</v>
      </c>
    </row>
    <row r="751" spans="1:7" x14ac:dyDescent="0.25">
      <c r="A751" s="35">
        <f>_xlfn.XLOOKUP(tbEscolas[[#This Row],[ESCOLA]],tbNucleo[ESCOLA],tbNucleo[COD ESCOLA],"")</f>
        <v>42</v>
      </c>
      <c r="B751" s="11" t="str" cm="1">
        <f t="array" ref="B751">IFERROR(INDEX(tbNucleo[ESCOLA],ROUNDUP(ROW(B750)/TotalEtapas,0)),"")</f>
        <v>EM SANTA CATARINA</v>
      </c>
      <c r="C751" s="11" t="s">
        <v>120</v>
      </c>
      <c r="D751" s="11" cm="1">
        <f t="array" ref="D751">IF(B751="","",INDEX(tbEtapas[Nº],MOD(ROW(B750)-1,TotalEtapas)+1))</f>
        <v>12</v>
      </c>
      <c r="E751" s="11" t="str">
        <f>IFERROR(VLOOKUP(tbEscolas[[#This Row],[COD ETPA]],tbEtapas[],2,FALSE),"")</f>
        <v>8º ANO</v>
      </c>
      <c r="F751" s="11" t="str">
        <f>IFERROR(VLOOKUP(tbEscolas[[#This Row],[COD ETPA]],tbEtapas[],3,FALSE),"")</f>
        <v>FUNDAMENTAL</v>
      </c>
      <c r="G751" s="11" t="s">
        <v>126</v>
      </c>
    </row>
    <row r="752" spans="1:7" x14ac:dyDescent="0.25">
      <c r="A752" s="35">
        <f>_xlfn.XLOOKUP(tbEscolas[[#This Row],[ESCOLA]],tbNucleo[ESCOLA],tbNucleo[COD ESCOLA],"")</f>
        <v>42</v>
      </c>
      <c r="B752" s="11" t="str" cm="1">
        <f t="array" ref="B752">IFERROR(INDEX(tbNucleo[ESCOLA],ROUNDUP(ROW(B751)/TotalEtapas,0)),"")</f>
        <v>EM SANTA CATARINA</v>
      </c>
      <c r="C752" s="11" t="s">
        <v>120</v>
      </c>
      <c r="D752" s="11" cm="1">
        <f t="array" ref="D752">IF(B752="","",INDEX(tbEtapas[Nº],MOD(ROW(B751)-1,TotalEtapas)+1))</f>
        <v>13</v>
      </c>
      <c r="E752" s="11" t="str">
        <f>IFERROR(VLOOKUP(tbEscolas[[#This Row],[COD ETPA]],tbEtapas[],2,FALSE),"")</f>
        <v>9º ANO</v>
      </c>
      <c r="F752" s="11" t="str">
        <f>IFERROR(VLOOKUP(tbEscolas[[#This Row],[COD ETPA]],tbEtapas[],3,FALSE),"")</f>
        <v>FUNDAMENTAL</v>
      </c>
      <c r="G752" s="11" t="s">
        <v>126</v>
      </c>
    </row>
    <row r="753" spans="1:7" x14ac:dyDescent="0.25">
      <c r="A753" s="35">
        <f>_xlfn.XLOOKUP(tbEscolas[[#This Row],[ESCOLA]],tbNucleo[ESCOLA],tbNucleo[COD ESCOLA],"")</f>
        <v>42</v>
      </c>
      <c r="B753" s="11" t="str" cm="1">
        <f t="array" ref="B753">IFERROR(INDEX(tbNucleo[ESCOLA],ROUNDUP(ROW(B752)/TotalEtapas,0)),"")</f>
        <v>EM SANTA CATARINA</v>
      </c>
      <c r="C753" s="11" t="s">
        <v>120</v>
      </c>
      <c r="D753" s="11">
        <v>14</v>
      </c>
      <c r="E753" s="11" t="str">
        <f>IFERROR(VLOOKUP(tbEscolas[[#This Row],[COD ETPA]],tbEtapas[],2,FALSE),"")</f>
        <v>1º ANO</v>
      </c>
      <c r="F753" s="11" t="str">
        <f>IFERROR(VLOOKUP(tbEscolas[[#This Row],[COD ETPA]],tbEtapas[],3,FALSE),"")</f>
        <v>ENSINO MÉDIO</v>
      </c>
      <c r="G753" s="11" t="s">
        <v>126</v>
      </c>
    </row>
    <row r="754" spans="1:7" x14ac:dyDescent="0.25">
      <c r="A754" s="35">
        <f>_xlfn.XLOOKUP(tbEscolas[[#This Row],[ESCOLA]],tbNucleo[ESCOLA],tbNucleo[COD ESCOLA],"")</f>
        <v>42</v>
      </c>
      <c r="B754" s="11" t="str" cm="1">
        <f t="array" ref="B754">IFERROR(INDEX(tbNucleo[ESCOLA],ROUNDUP(ROW(B753)/TotalEtapas,0)),"")</f>
        <v>EM SANTA CATARINA</v>
      </c>
      <c r="C754" s="11" t="s">
        <v>120</v>
      </c>
      <c r="D754" s="11">
        <v>15</v>
      </c>
      <c r="E754" s="11" t="str">
        <f>IFERROR(VLOOKUP(tbEscolas[[#This Row],[COD ETPA]],tbEtapas[],2,FALSE),"")</f>
        <v>2º ANO</v>
      </c>
      <c r="F754" s="11" t="str">
        <f>IFERROR(VLOOKUP(tbEscolas[[#This Row],[COD ETPA]],tbEtapas[],3,FALSE),"")</f>
        <v>ENSINO MÉDIO</v>
      </c>
      <c r="G754" s="11" t="s">
        <v>126</v>
      </c>
    </row>
    <row r="755" spans="1:7" x14ac:dyDescent="0.25">
      <c r="A755" s="35">
        <f>_xlfn.XLOOKUP(tbEscolas[[#This Row],[ESCOLA]],tbNucleo[ESCOLA],tbNucleo[COD ESCOLA],"")</f>
        <v>42</v>
      </c>
      <c r="B755" s="11" t="str" cm="1">
        <f t="array" ref="B755">IFERROR(INDEX(tbNucleo[ESCOLA],ROUNDUP(ROW(B754)/TotalEtapas,0)),"")</f>
        <v>EM SANTA CATARINA</v>
      </c>
      <c r="C755" s="11" t="s">
        <v>120</v>
      </c>
      <c r="D755" s="11">
        <v>16</v>
      </c>
      <c r="E755" s="11" t="str">
        <f>IFERROR(VLOOKUP(tbEscolas[[#This Row],[COD ETPA]],tbEtapas[],2,FALSE),"")</f>
        <v>3º ANO</v>
      </c>
      <c r="F755" s="11" t="str">
        <f>IFERROR(VLOOKUP(tbEscolas[[#This Row],[COD ETPA]],tbEtapas[],3,FALSE),"")</f>
        <v>ENSINO MÉDIO</v>
      </c>
      <c r="G755" s="11" t="s">
        <v>126</v>
      </c>
    </row>
    <row r="756" spans="1:7" x14ac:dyDescent="0.25">
      <c r="A756" s="35">
        <f>_xlfn.XLOOKUP(tbEscolas[[#This Row],[ESCOLA]],tbNucleo[ESCOLA],tbNucleo[COD ESCOLA],"")</f>
        <v>42</v>
      </c>
      <c r="B756" s="11" t="str" cm="1">
        <f t="array" ref="B756">IFERROR(INDEX(tbNucleo[ESCOLA],ROUNDUP(ROW(B755)/TotalEtapas,0)),"")</f>
        <v>EM SANTA CATARINA</v>
      </c>
      <c r="C756" s="11" t="s">
        <v>120</v>
      </c>
      <c r="D756" s="11">
        <v>17</v>
      </c>
      <c r="E756" s="11" t="str">
        <f>IFERROR(VLOOKUP(tbEscolas[[#This Row],[COD ETPA]],tbEtapas[],2,FALSE),"")</f>
        <v>EJA I</v>
      </c>
      <c r="F756" s="11" t="str">
        <f>IFERROR(VLOOKUP(tbEscolas[[#This Row],[COD ETPA]],tbEtapas[],3,FALSE),"")</f>
        <v>FUNDAMENTAL</v>
      </c>
      <c r="G756" s="11" t="s">
        <v>125</v>
      </c>
    </row>
    <row r="757" spans="1:7" x14ac:dyDescent="0.25">
      <c r="A757" s="35">
        <f>_xlfn.XLOOKUP(tbEscolas[[#This Row],[ESCOLA]],tbNucleo[ESCOLA],tbNucleo[COD ESCOLA],"")</f>
        <v>42</v>
      </c>
      <c r="B757" s="11" t="str" cm="1">
        <f t="array" ref="B757">IFERROR(INDEX(tbNucleo[ESCOLA],ROUNDUP(ROW(B756)/TotalEtapas,0)),"")</f>
        <v>EM SANTA CATARINA</v>
      </c>
      <c r="C757" s="11" t="s">
        <v>120</v>
      </c>
      <c r="D757" s="11">
        <v>18</v>
      </c>
      <c r="E757" s="11" t="str">
        <f>IFERROR(VLOOKUP(tbEscolas[[#This Row],[COD ETPA]],tbEtapas[],2,FALSE),"")</f>
        <v>EJA II</v>
      </c>
      <c r="F757" s="11" t="str">
        <f>IFERROR(VLOOKUP(tbEscolas[[#This Row],[COD ETPA]],tbEtapas[],3,FALSE),"")</f>
        <v>ENSINO MÉDIO</v>
      </c>
      <c r="G757" s="11" t="s">
        <v>125</v>
      </c>
    </row>
    <row r="758" spans="1:7" x14ac:dyDescent="0.25">
      <c r="A758" s="31">
        <f>_xlfn.XLOOKUP(tbEscolas[[#This Row],[ESCOLA]],tbNucleo[ESCOLA],tbNucleo[COD ESCOLA],"")</f>
        <v>43</v>
      </c>
      <c r="B758" s="7" t="str" cm="1">
        <f t="array" ref="B758">IFERROR(INDEX(tbNucleo[ESCOLA],ROUNDUP(ROW(B757)/TotalEtapas,0)),"")</f>
        <v>EM SANTO ANTONIO DO CARAMUJO</v>
      </c>
      <c r="C758" s="7" t="s">
        <v>115</v>
      </c>
      <c r="D758" s="7" cm="1">
        <f t="array" ref="D758">IF(B758="","",INDEX(tbEtapas[Nº],MOD(ROW(B757)-1,TotalEtapas)+1))</f>
        <v>1</v>
      </c>
      <c r="E758" s="7" t="str">
        <f>IFERROR(VLOOKUP(tbEscolas[[#This Row],[COD ETPA]],tbEtapas[],2,FALSE),"")</f>
        <v>CRECHE I</v>
      </c>
      <c r="F758" s="7" t="str">
        <f>IFERROR(VLOOKUP(tbEscolas[[#This Row],[COD ETPA]],tbEtapas[],3,FALSE),"")</f>
        <v>EDUCAÇÃO INFANTIL</v>
      </c>
      <c r="G758" s="7" t="s">
        <v>125</v>
      </c>
    </row>
    <row r="759" spans="1:7" x14ac:dyDescent="0.25">
      <c r="A759" s="31">
        <f>_xlfn.XLOOKUP(tbEscolas[[#This Row],[ESCOLA]],tbNucleo[ESCOLA],tbNucleo[COD ESCOLA],"")</f>
        <v>43</v>
      </c>
      <c r="B759" s="7" t="str" cm="1">
        <f t="array" ref="B759">IFERROR(INDEX(tbNucleo[ESCOLA],ROUNDUP(ROW(B758)/TotalEtapas,0)),"")</f>
        <v>EM SANTO ANTONIO DO CARAMUJO</v>
      </c>
      <c r="C759" s="7" t="s">
        <v>115</v>
      </c>
      <c r="D759" s="7" cm="1">
        <f t="array" ref="D759">IF(B759="","",INDEX(tbEtapas[Nº],MOD(ROW(B758)-1,TotalEtapas)+1))</f>
        <v>2</v>
      </c>
      <c r="E759" s="7" t="str">
        <f>IFERROR(VLOOKUP(tbEscolas[[#This Row],[COD ETPA]],tbEtapas[],2,FALSE),"")</f>
        <v>CRECHE II</v>
      </c>
      <c r="F759" s="7" t="str">
        <f>IFERROR(VLOOKUP(tbEscolas[[#This Row],[COD ETPA]],tbEtapas[],3,FALSE),"")</f>
        <v>EDUCAÇÃO INFANTIL</v>
      </c>
      <c r="G759" s="7" t="s">
        <v>125</v>
      </c>
    </row>
    <row r="760" spans="1:7" x14ac:dyDescent="0.25">
      <c r="A760" s="31">
        <f>_xlfn.XLOOKUP(tbEscolas[[#This Row],[ESCOLA]],tbNucleo[ESCOLA],tbNucleo[COD ESCOLA],"")</f>
        <v>43</v>
      </c>
      <c r="B760" s="7" t="str" cm="1">
        <f t="array" ref="B760">IFERROR(INDEX(tbNucleo[ESCOLA],ROUNDUP(ROW(B759)/TotalEtapas,0)),"")</f>
        <v>EM SANTO ANTONIO DO CARAMUJO</v>
      </c>
      <c r="C760" s="7" t="s">
        <v>115</v>
      </c>
      <c r="D760" s="7" cm="1">
        <f t="array" ref="D760">IF(B760="","",INDEX(tbEtapas[Nº],MOD(ROW(B759)-1,TotalEtapas)+1))</f>
        <v>3</v>
      </c>
      <c r="E760" s="7" t="str">
        <f>IFERROR(VLOOKUP(tbEscolas[[#This Row],[COD ETPA]],tbEtapas[],2,FALSE),"")</f>
        <v>PRE I</v>
      </c>
      <c r="F760" s="7" t="str">
        <f>IFERROR(VLOOKUP(tbEscolas[[#This Row],[COD ETPA]],tbEtapas[],3,FALSE),"")</f>
        <v>EDUCAÇÃO INFANTIL</v>
      </c>
      <c r="G760" s="7" t="s">
        <v>125</v>
      </c>
    </row>
    <row r="761" spans="1:7" x14ac:dyDescent="0.25">
      <c r="A761" s="31">
        <f>_xlfn.XLOOKUP(tbEscolas[[#This Row],[ESCOLA]],tbNucleo[ESCOLA],tbNucleo[COD ESCOLA],"")</f>
        <v>43</v>
      </c>
      <c r="B761" s="7" t="str" cm="1">
        <f t="array" ref="B761">IFERROR(INDEX(tbNucleo[ESCOLA],ROUNDUP(ROW(B760)/TotalEtapas,0)),"")</f>
        <v>EM SANTO ANTONIO DO CARAMUJO</v>
      </c>
      <c r="C761" s="7" t="s">
        <v>115</v>
      </c>
      <c r="D761" s="7" cm="1">
        <f t="array" ref="D761">IF(B761="","",INDEX(tbEtapas[Nº],MOD(ROW(B760)-1,TotalEtapas)+1))</f>
        <v>4</v>
      </c>
      <c r="E761" s="7" t="str">
        <f>IFERROR(VLOOKUP(tbEscolas[[#This Row],[COD ETPA]],tbEtapas[],2,FALSE),"")</f>
        <v>PRE II</v>
      </c>
      <c r="F761" s="7" t="str">
        <f>IFERROR(VLOOKUP(tbEscolas[[#This Row],[COD ETPA]],tbEtapas[],3,FALSE),"")</f>
        <v>EDUCAÇÃO INFANTIL</v>
      </c>
      <c r="G761" s="7" t="s">
        <v>125</v>
      </c>
    </row>
    <row r="762" spans="1:7" x14ac:dyDescent="0.25">
      <c r="A762" s="31">
        <f>_xlfn.XLOOKUP(tbEscolas[[#This Row],[ESCOLA]],tbNucleo[ESCOLA],tbNucleo[COD ESCOLA],"")</f>
        <v>43</v>
      </c>
      <c r="B762" s="7" t="str" cm="1">
        <f t="array" ref="B762">IFERROR(INDEX(tbNucleo[ESCOLA],ROUNDUP(ROW(B761)/TotalEtapas,0)),"")</f>
        <v>EM SANTO ANTONIO DO CARAMUJO</v>
      </c>
      <c r="C762" s="7" t="s">
        <v>115</v>
      </c>
      <c r="D762" s="7" cm="1">
        <f t="array" ref="D762">IF(B762="","",INDEX(tbEtapas[Nº],MOD(ROW(B761)-1,TotalEtapas)+1))</f>
        <v>5</v>
      </c>
      <c r="E762" s="7" t="str">
        <f>IFERROR(VLOOKUP(tbEscolas[[#This Row],[COD ETPA]],tbEtapas[],2,FALSE),"")</f>
        <v>1º ANO</v>
      </c>
      <c r="F762" s="7" t="str">
        <f>IFERROR(VLOOKUP(tbEscolas[[#This Row],[COD ETPA]],tbEtapas[],3,FALSE),"")</f>
        <v>FUNDAMENTAL</v>
      </c>
      <c r="G762" s="7" t="s">
        <v>125</v>
      </c>
    </row>
    <row r="763" spans="1:7" x14ac:dyDescent="0.25">
      <c r="A763" s="31">
        <f>_xlfn.XLOOKUP(tbEscolas[[#This Row],[ESCOLA]],tbNucleo[ESCOLA],tbNucleo[COD ESCOLA],"")</f>
        <v>43</v>
      </c>
      <c r="B763" s="7" t="str" cm="1">
        <f t="array" ref="B763">IFERROR(INDEX(tbNucleo[ESCOLA],ROUNDUP(ROW(B762)/TotalEtapas,0)),"")</f>
        <v>EM SANTO ANTONIO DO CARAMUJO</v>
      </c>
      <c r="C763" s="7" t="s">
        <v>115</v>
      </c>
      <c r="D763" s="7" cm="1">
        <f t="array" ref="D763">IF(B763="","",INDEX(tbEtapas[Nº],MOD(ROW(B762)-1,TotalEtapas)+1))</f>
        <v>6</v>
      </c>
      <c r="E763" s="7" t="str">
        <f>IFERROR(VLOOKUP(tbEscolas[[#This Row],[COD ETPA]],tbEtapas[],2,FALSE),"")</f>
        <v>2º ANO</v>
      </c>
      <c r="F763" s="7" t="str">
        <f>IFERROR(VLOOKUP(tbEscolas[[#This Row],[COD ETPA]],tbEtapas[],3,FALSE),"")</f>
        <v>FUNDAMENTAL</v>
      </c>
      <c r="G763" s="7" t="s">
        <v>125</v>
      </c>
    </row>
    <row r="764" spans="1:7" x14ac:dyDescent="0.25">
      <c r="A764" s="31">
        <f>_xlfn.XLOOKUP(tbEscolas[[#This Row],[ESCOLA]],tbNucleo[ESCOLA],tbNucleo[COD ESCOLA],"")</f>
        <v>43</v>
      </c>
      <c r="B764" s="7" t="str" cm="1">
        <f t="array" ref="B764">IFERROR(INDEX(tbNucleo[ESCOLA],ROUNDUP(ROW(B763)/TotalEtapas,0)),"")</f>
        <v>EM SANTO ANTONIO DO CARAMUJO</v>
      </c>
      <c r="C764" s="7" t="s">
        <v>115</v>
      </c>
      <c r="D764" s="7" cm="1">
        <f t="array" ref="D764">IF(B764="","",INDEX(tbEtapas[Nº],MOD(ROW(B763)-1,TotalEtapas)+1))</f>
        <v>7</v>
      </c>
      <c r="E764" s="7" t="str">
        <f>IFERROR(VLOOKUP(tbEscolas[[#This Row],[COD ETPA]],tbEtapas[],2,FALSE),"")</f>
        <v>3º ANO</v>
      </c>
      <c r="F764" s="7" t="str">
        <f>IFERROR(VLOOKUP(tbEscolas[[#This Row],[COD ETPA]],tbEtapas[],3,FALSE),"")</f>
        <v>FUNDAMENTAL</v>
      </c>
      <c r="G764" s="7" t="s">
        <v>125</v>
      </c>
    </row>
    <row r="765" spans="1:7" x14ac:dyDescent="0.25">
      <c r="A765" s="31">
        <f>_xlfn.XLOOKUP(tbEscolas[[#This Row],[ESCOLA]],tbNucleo[ESCOLA],tbNucleo[COD ESCOLA],"")</f>
        <v>43</v>
      </c>
      <c r="B765" s="7" t="str" cm="1">
        <f t="array" ref="B765">IFERROR(INDEX(tbNucleo[ESCOLA],ROUNDUP(ROW(B764)/TotalEtapas,0)),"")</f>
        <v>EM SANTO ANTONIO DO CARAMUJO</v>
      </c>
      <c r="C765" s="7" t="s">
        <v>115</v>
      </c>
      <c r="D765" s="7" cm="1">
        <f t="array" ref="D765">IF(B765="","",INDEX(tbEtapas[Nº],MOD(ROW(B764)-1,TotalEtapas)+1))</f>
        <v>8</v>
      </c>
      <c r="E765" s="7" t="str">
        <f>IFERROR(VLOOKUP(tbEscolas[[#This Row],[COD ETPA]],tbEtapas[],2,FALSE),"")</f>
        <v>4º ANO</v>
      </c>
      <c r="F765" s="7" t="str">
        <f>IFERROR(VLOOKUP(tbEscolas[[#This Row],[COD ETPA]],tbEtapas[],3,FALSE),"")</f>
        <v>FUNDAMENTAL</v>
      </c>
      <c r="G765" s="7" t="s">
        <v>125</v>
      </c>
    </row>
    <row r="766" spans="1:7" x14ac:dyDescent="0.25">
      <c r="A766" s="31">
        <f>_xlfn.XLOOKUP(tbEscolas[[#This Row],[ESCOLA]],tbNucleo[ESCOLA],tbNucleo[COD ESCOLA],"")</f>
        <v>43</v>
      </c>
      <c r="B766" s="7" t="str" cm="1">
        <f t="array" ref="B766">IFERROR(INDEX(tbNucleo[ESCOLA],ROUNDUP(ROW(B765)/TotalEtapas,0)),"")</f>
        <v>EM SANTO ANTONIO DO CARAMUJO</v>
      </c>
      <c r="C766" s="7" t="s">
        <v>115</v>
      </c>
      <c r="D766" s="7" cm="1">
        <f t="array" ref="D766">IF(B766="","",INDEX(tbEtapas[Nº],MOD(ROW(B765)-1,TotalEtapas)+1))</f>
        <v>9</v>
      </c>
      <c r="E766" s="7" t="str">
        <f>IFERROR(VLOOKUP(tbEscolas[[#This Row],[COD ETPA]],tbEtapas[],2,FALSE),"")</f>
        <v>5º ANO</v>
      </c>
      <c r="F766" s="7" t="str">
        <f>IFERROR(VLOOKUP(tbEscolas[[#This Row],[COD ETPA]],tbEtapas[],3,FALSE),"")</f>
        <v>FUNDAMENTAL</v>
      </c>
      <c r="G766" s="7" t="s">
        <v>125</v>
      </c>
    </row>
    <row r="767" spans="1:7" x14ac:dyDescent="0.25">
      <c r="A767" s="31">
        <f>_xlfn.XLOOKUP(tbEscolas[[#This Row],[ESCOLA]],tbNucleo[ESCOLA],tbNucleo[COD ESCOLA],"")</f>
        <v>43</v>
      </c>
      <c r="B767" s="7" t="str" cm="1">
        <f t="array" ref="B767">IFERROR(INDEX(tbNucleo[ESCOLA],ROUNDUP(ROW(B766)/TotalEtapas,0)),"")</f>
        <v>EM SANTO ANTONIO DO CARAMUJO</v>
      </c>
      <c r="C767" s="7" t="s">
        <v>115</v>
      </c>
      <c r="D767" s="7" cm="1">
        <f t="array" ref="D767">IF(B767="","",INDEX(tbEtapas[Nº],MOD(ROW(B766)-1,TotalEtapas)+1))</f>
        <v>10</v>
      </c>
      <c r="E767" s="7" t="str">
        <f>IFERROR(VLOOKUP(tbEscolas[[#This Row],[COD ETPA]],tbEtapas[],2,FALSE),"")</f>
        <v>6º ANO</v>
      </c>
      <c r="F767" s="7" t="str">
        <f>IFERROR(VLOOKUP(tbEscolas[[#This Row],[COD ETPA]],tbEtapas[],3,FALSE),"")</f>
        <v>FUNDAMENTAL</v>
      </c>
      <c r="G767" s="7" t="s">
        <v>126</v>
      </c>
    </row>
    <row r="768" spans="1:7" x14ac:dyDescent="0.25">
      <c r="A768" s="31">
        <f>_xlfn.XLOOKUP(tbEscolas[[#This Row],[ESCOLA]],tbNucleo[ESCOLA],tbNucleo[COD ESCOLA],"")</f>
        <v>43</v>
      </c>
      <c r="B768" s="7" t="str" cm="1">
        <f t="array" ref="B768">IFERROR(INDEX(tbNucleo[ESCOLA],ROUNDUP(ROW(B767)/TotalEtapas,0)),"")</f>
        <v>EM SANTO ANTONIO DO CARAMUJO</v>
      </c>
      <c r="C768" s="7" t="s">
        <v>115</v>
      </c>
      <c r="D768" s="7" cm="1">
        <f t="array" ref="D768">IF(B768="","",INDEX(tbEtapas[Nº],MOD(ROW(B767)-1,TotalEtapas)+1))</f>
        <v>11</v>
      </c>
      <c r="E768" s="7" t="str">
        <f>IFERROR(VLOOKUP(tbEscolas[[#This Row],[COD ETPA]],tbEtapas[],2,FALSE),"")</f>
        <v>7º ANO</v>
      </c>
      <c r="F768" s="7" t="str">
        <f>IFERROR(VLOOKUP(tbEscolas[[#This Row],[COD ETPA]],tbEtapas[],3,FALSE),"")</f>
        <v>FUNDAMENTAL</v>
      </c>
      <c r="G768" s="7" t="s">
        <v>126</v>
      </c>
    </row>
    <row r="769" spans="1:7" x14ac:dyDescent="0.25">
      <c r="A769" s="31">
        <f>_xlfn.XLOOKUP(tbEscolas[[#This Row],[ESCOLA]],tbNucleo[ESCOLA],tbNucleo[COD ESCOLA],"")</f>
        <v>43</v>
      </c>
      <c r="B769" s="7" t="str" cm="1">
        <f t="array" ref="B769">IFERROR(INDEX(tbNucleo[ESCOLA],ROUNDUP(ROW(B768)/TotalEtapas,0)),"")</f>
        <v>EM SANTO ANTONIO DO CARAMUJO</v>
      </c>
      <c r="C769" s="7" t="s">
        <v>115</v>
      </c>
      <c r="D769" s="7" cm="1">
        <f t="array" ref="D769">IF(B769="","",INDEX(tbEtapas[Nº],MOD(ROW(B768)-1,TotalEtapas)+1))</f>
        <v>12</v>
      </c>
      <c r="E769" s="7" t="str">
        <f>IFERROR(VLOOKUP(tbEscolas[[#This Row],[COD ETPA]],tbEtapas[],2,FALSE),"")</f>
        <v>8º ANO</v>
      </c>
      <c r="F769" s="7" t="str">
        <f>IFERROR(VLOOKUP(tbEscolas[[#This Row],[COD ETPA]],tbEtapas[],3,FALSE),"")</f>
        <v>FUNDAMENTAL</v>
      </c>
      <c r="G769" s="7" t="s">
        <v>126</v>
      </c>
    </row>
    <row r="770" spans="1:7" x14ac:dyDescent="0.25">
      <c r="A770" s="31">
        <f>_xlfn.XLOOKUP(tbEscolas[[#This Row],[ESCOLA]],tbNucleo[ESCOLA],tbNucleo[COD ESCOLA],"")</f>
        <v>43</v>
      </c>
      <c r="B770" s="7" t="str" cm="1">
        <f t="array" ref="B770">IFERROR(INDEX(tbNucleo[ESCOLA],ROUNDUP(ROW(B769)/TotalEtapas,0)),"")</f>
        <v>EM SANTO ANTONIO DO CARAMUJO</v>
      </c>
      <c r="C770" s="7" t="s">
        <v>115</v>
      </c>
      <c r="D770" s="7" cm="1">
        <f t="array" ref="D770">IF(B770="","",INDEX(tbEtapas[Nº],MOD(ROW(B769)-1,TotalEtapas)+1))</f>
        <v>13</v>
      </c>
      <c r="E770" s="7" t="str">
        <f>IFERROR(VLOOKUP(tbEscolas[[#This Row],[COD ETPA]],tbEtapas[],2,FALSE),"")</f>
        <v>9º ANO</v>
      </c>
      <c r="F770" s="7" t="str">
        <f>IFERROR(VLOOKUP(tbEscolas[[#This Row],[COD ETPA]],tbEtapas[],3,FALSE),"")</f>
        <v>FUNDAMENTAL</v>
      </c>
      <c r="G770" s="7" t="s">
        <v>126</v>
      </c>
    </row>
    <row r="771" spans="1:7" x14ac:dyDescent="0.25">
      <c r="A771" s="31">
        <f>_xlfn.XLOOKUP(tbEscolas[[#This Row],[ESCOLA]],tbNucleo[ESCOLA],tbNucleo[COD ESCOLA],"")</f>
        <v>43</v>
      </c>
      <c r="B771" s="7" t="str" cm="1">
        <f t="array" ref="B771">IFERROR(INDEX(tbNucleo[ESCOLA],ROUNDUP(ROW(B770)/TotalEtapas,0)),"")</f>
        <v>EM SANTO ANTONIO DO CARAMUJO</v>
      </c>
      <c r="C771" s="7" t="s">
        <v>115</v>
      </c>
      <c r="D771" s="7">
        <v>14</v>
      </c>
      <c r="E771" s="7" t="str">
        <f>IFERROR(VLOOKUP(tbEscolas[[#This Row],[COD ETPA]],tbEtapas[],2,FALSE),"")</f>
        <v>1º ANO</v>
      </c>
      <c r="F771" s="7" t="str">
        <f>IFERROR(VLOOKUP(tbEscolas[[#This Row],[COD ETPA]],tbEtapas[],3,FALSE),"")</f>
        <v>ENSINO MÉDIO</v>
      </c>
      <c r="G771" s="7" t="s">
        <v>126</v>
      </c>
    </row>
    <row r="772" spans="1:7" x14ac:dyDescent="0.25">
      <c r="A772" s="31">
        <f>_xlfn.XLOOKUP(tbEscolas[[#This Row],[ESCOLA]],tbNucleo[ESCOLA],tbNucleo[COD ESCOLA],"")</f>
        <v>43</v>
      </c>
      <c r="B772" s="7" t="str" cm="1">
        <f t="array" ref="B772">IFERROR(INDEX(tbNucleo[ESCOLA],ROUNDUP(ROW(B771)/TotalEtapas,0)),"")</f>
        <v>EM SANTO ANTONIO DO CARAMUJO</v>
      </c>
      <c r="C772" s="7" t="s">
        <v>115</v>
      </c>
      <c r="D772" s="7">
        <v>15</v>
      </c>
      <c r="E772" s="7" t="str">
        <f>IFERROR(VLOOKUP(tbEscolas[[#This Row],[COD ETPA]],tbEtapas[],2,FALSE),"")</f>
        <v>2º ANO</v>
      </c>
      <c r="F772" s="7" t="str">
        <f>IFERROR(VLOOKUP(tbEscolas[[#This Row],[COD ETPA]],tbEtapas[],3,FALSE),"")</f>
        <v>ENSINO MÉDIO</v>
      </c>
      <c r="G772" s="7" t="s">
        <v>126</v>
      </c>
    </row>
    <row r="773" spans="1:7" x14ac:dyDescent="0.25">
      <c r="A773" s="31">
        <f>_xlfn.XLOOKUP(tbEscolas[[#This Row],[ESCOLA]],tbNucleo[ESCOLA],tbNucleo[COD ESCOLA],"")</f>
        <v>43</v>
      </c>
      <c r="B773" s="7" t="str" cm="1">
        <f t="array" ref="B773">IFERROR(INDEX(tbNucleo[ESCOLA],ROUNDUP(ROW(B772)/TotalEtapas,0)),"")</f>
        <v>EM SANTO ANTONIO DO CARAMUJO</v>
      </c>
      <c r="C773" s="7" t="s">
        <v>115</v>
      </c>
      <c r="D773" s="7">
        <v>16</v>
      </c>
      <c r="E773" s="7" t="str">
        <f>IFERROR(VLOOKUP(tbEscolas[[#This Row],[COD ETPA]],tbEtapas[],2,FALSE),"")</f>
        <v>3º ANO</v>
      </c>
      <c r="F773" s="7" t="str">
        <f>IFERROR(VLOOKUP(tbEscolas[[#This Row],[COD ETPA]],tbEtapas[],3,FALSE),"")</f>
        <v>ENSINO MÉDIO</v>
      </c>
      <c r="G773" s="7" t="s">
        <v>126</v>
      </c>
    </row>
    <row r="774" spans="1:7" x14ac:dyDescent="0.25">
      <c r="A774" s="31">
        <f>_xlfn.XLOOKUP(tbEscolas[[#This Row],[ESCOLA]],tbNucleo[ESCOLA],tbNucleo[COD ESCOLA],"")</f>
        <v>43</v>
      </c>
      <c r="B774" s="7" t="str" cm="1">
        <f t="array" ref="B774">IFERROR(INDEX(tbNucleo[ESCOLA],ROUNDUP(ROW(B773)/TotalEtapas,0)),"")</f>
        <v>EM SANTO ANTONIO DO CARAMUJO</v>
      </c>
      <c r="C774" s="7" t="s">
        <v>115</v>
      </c>
      <c r="D774" s="7">
        <v>17</v>
      </c>
      <c r="E774" s="7" t="str">
        <f>IFERROR(VLOOKUP(tbEscolas[[#This Row],[COD ETPA]],tbEtapas[],2,FALSE),"")</f>
        <v>EJA I</v>
      </c>
      <c r="F774" s="7" t="str">
        <f>IFERROR(VLOOKUP(tbEscolas[[#This Row],[COD ETPA]],tbEtapas[],3,FALSE),"")</f>
        <v>FUNDAMENTAL</v>
      </c>
      <c r="G774" s="7" t="s">
        <v>125</v>
      </c>
    </row>
    <row r="775" spans="1:7" x14ac:dyDescent="0.25">
      <c r="A775" s="31">
        <f>_xlfn.XLOOKUP(tbEscolas[[#This Row],[ESCOLA]],tbNucleo[ESCOLA],tbNucleo[COD ESCOLA],"")</f>
        <v>43</v>
      </c>
      <c r="B775" s="7" t="str" cm="1">
        <f t="array" ref="B775">IFERROR(INDEX(tbNucleo[ESCOLA],ROUNDUP(ROW(B774)/TotalEtapas,0)),"")</f>
        <v>EM SANTO ANTONIO DO CARAMUJO</v>
      </c>
      <c r="C775" s="7" t="s">
        <v>115</v>
      </c>
      <c r="D775" s="7">
        <v>18</v>
      </c>
      <c r="E775" s="7" t="str">
        <f>IFERROR(VLOOKUP(tbEscolas[[#This Row],[COD ETPA]],tbEtapas[],2,FALSE),"")</f>
        <v>EJA II</v>
      </c>
      <c r="F775" s="7" t="str">
        <f>IFERROR(VLOOKUP(tbEscolas[[#This Row],[COD ETPA]],tbEtapas[],3,FALSE),"")</f>
        <v>ENSINO MÉDIO</v>
      </c>
      <c r="G775" s="7" t="s">
        <v>125</v>
      </c>
    </row>
    <row r="776" spans="1:7" x14ac:dyDescent="0.25">
      <c r="A776" s="27">
        <f>_xlfn.XLOOKUP(tbEscolas[[#This Row],[ESCOLA]],tbNucleo[ESCOLA],tbNucleo[COD ESCOLA],"")</f>
        <v>44</v>
      </c>
      <c r="B776" s="3" t="str" cm="1">
        <f t="array" ref="B776">IFERROR(INDEX(tbNucleo[ESCOLA],ROUNDUP(ROW(B775)/TotalEtapas,0)),"")</f>
        <v>EM SANTOS DUMONT</v>
      </c>
      <c r="C776" s="3" t="s">
        <v>110</v>
      </c>
      <c r="D776" s="3" cm="1">
        <f t="array" ref="D776">IF(B776="","",INDEX(tbEtapas[Nº],MOD(ROW(B775)-1,TotalEtapas)+1))</f>
        <v>1</v>
      </c>
      <c r="E776" s="3" t="str">
        <f>IFERROR(VLOOKUP(tbEscolas[[#This Row],[COD ETPA]],tbEtapas[],2,FALSE),"")</f>
        <v>CRECHE I</v>
      </c>
      <c r="F776" s="3" t="str">
        <f>IFERROR(VLOOKUP(tbEscolas[[#This Row],[COD ETPA]],tbEtapas[],3,FALSE),"")</f>
        <v>EDUCAÇÃO INFANTIL</v>
      </c>
      <c r="G776" s="3" t="s">
        <v>125</v>
      </c>
    </row>
    <row r="777" spans="1:7" x14ac:dyDescent="0.25">
      <c r="A777" s="27">
        <f>_xlfn.XLOOKUP(tbEscolas[[#This Row],[ESCOLA]],tbNucleo[ESCOLA],tbNucleo[COD ESCOLA],"")</f>
        <v>44</v>
      </c>
      <c r="B777" s="3" t="str" cm="1">
        <f t="array" ref="B777">IFERROR(INDEX(tbNucleo[ESCOLA],ROUNDUP(ROW(B776)/TotalEtapas,0)),"")</f>
        <v>EM SANTOS DUMONT</v>
      </c>
      <c r="C777" s="3" t="s">
        <v>110</v>
      </c>
      <c r="D777" s="3" cm="1">
        <f t="array" ref="D777">IF(B777="","",INDEX(tbEtapas[Nº],MOD(ROW(B776)-1,TotalEtapas)+1))</f>
        <v>2</v>
      </c>
      <c r="E777" s="3" t="str">
        <f>IFERROR(VLOOKUP(tbEscolas[[#This Row],[COD ETPA]],tbEtapas[],2,FALSE),"")</f>
        <v>CRECHE II</v>
      </c>
      <c r="F777" s="3" t="str">
        <f>IFERROR(VLOOKUP(tbEscolas[[#This Row],[COD ETPA]],tbEtapas[],3,FALSE),"")</f>
        <v>EDUCAÇÃO INFANTIL</v>
      </c>
      <c r="G777" s="3" t="s">
        <v>125</v>
      </c>
    </row>
    <row r="778" spans="1:7" x14ac:dyDescent="0.25">
      <c r="A778" s="27">
        <f>_xlfn.XLOOKUP(tbEscolas[[#This Row],[ESCOLA]],tbNucleo[ESCOLA],tbNucleo[COD ESCOLA],"")</f>
        <v>44</v>
      </c>
      <c r="B778" s="3" t="str" cm="1">
        <f t="array" ref="B778">IFERROR(INDEX(tbNucleo[ESCOLA],ROUNDUP(ROW(B777)/TotalEtapas,0)),"")</f>
        <v>EM SANTOS DUMONT</v>
      </c>
      <c r="C778" s="3" t="s">
        <v>110</v>
      </c>
      <c r="D778" s="3" cm="1">
        <f t="array" ref="D778">IF(B778="","",INDEX(tbEtapas[Nº],MOD(ROW(B777)-1,TotalEtapas)+1))</f>
        <v>3</v>
      </c>
      <c r="E778" s="3" t="str">
        <f>IFERROR(VLOOKUP(tbEscolas[[#This Row],[COD ETPA]],tbEtapas[],2,FALSE),"")</f>
        <v>PRE I</v>
      </c>
      <c r="F778" s="3" t="str">
        <f>IFERROR(VLOOKUP(tbEscolas[[#This Row],[COD ETPA]],tbEtapas[],3,FALSE),"")</f>
        <v>EDUCAÇÃO INFANTIL</v>
      </c>
      <c r="G778" s="3" t="s">
        <v>125</v>
      </c>
    </row>
    <row r="779" spans="1:7" x14ac:dyDescent="0.25">
      <c r="A779" s="27">
        <f>_xlfn.XLOOKUP(tbEscolas[[#This Row],[ESCOLA]],tbNucleo[ESCOLA],tbNucleo[COD ESCOLA],"")</f>
        <v>44</v>
      </c>
      <c r="B779" s="3" t="str" cm="1">
        <f t="array" ref="B779">IFERROR(INDEX(tbNucleo[ESCOLA],ROUNDUP(ROW(B778)/TotalEtapas,0)),"")</f>
        <v>EM SANTOS DUMONT</v>
      </c>
      <c r="C779" s="3" t="s">
        <v>110</v>
      </c>
      <c r="D779" s="3" cm="1">
        <f t="array" ref="D779">IF(B779="","",INDEX(tbEtapas[Nº],MOD(ROW(B778)-1,TotalEtapas)+1))</f>
        <v>4</v>
      </c>
      <c r="E779" s="3" t="str">
        <f>IFERROR(VLOOKUP(tbEscolas[[#This Row],[COD ETPA]],tbEtapas[],2,FALSE),"")</f>
        <v>PRE II</v>
      </c>
      <c r="F779" s="3" t="str">
        <f>IFERROR(VLOOKUP(tbEscolas[[#This Row],[COD ETPA]],tbEtapas[],3,FALSE),"")</f>
        <v>EDUCAÇÃO INFANTIL</v>
      </c>
      <c r="G779" s="3" t="s">
        <v>125</v>
      </c>
    </row>
    <row r="780" spans="1:7" x14ac:dyDescent="0.25">
      <c r="A780" s="27">
        <f>_xlfn.XLOOKUP(tbEscolas[[#This Row],[ESCOLA]],tbNucleo[ESCOLA],tbNucleo[COD ESCOLA],"")</f>
        <v>44</v>
      </c>
      <c r="B780" s="3" t="str" cm="1">
        <f t="array" ref="B780">IFERROR(INDEX(tbNucleo[ESCOLA],ROUNDUP(ROW(B779)/TotalEtapas,0)),"")</f>
        <v>EM SANTOS DUMONT</v>
      </c>
      <c r="C780" s="3" t="s">
        <v>110</v>
      </c>
      <c r="D780" s="3" cm="1">
        <f t="array" ref="D780">IF(B780="","",INDEX(tbEtapas[Nº],MOD(ROW(B779)-1,TotalEtapas)+1))</f>
        <v>5</v>
      </c>
      <c r="E780" s="3" t="str">
        <f>IFERROR(VLOOKUP(tbEscolas[[#This Row],[COD ETPA]],tbEtapas[],2,FALSE),"")</f>
        <v>1º ANO</v>
      </c>
      <c r="F780" s="3" t="str">
        <f>IFERROR(VLOOKUP(tbEscolas[[#This Row],[COD ETPA]],tbEtapas[],3,FALSE),"")</f>
        <v>FUNDAMENTAL</v>
      </c>
      <c r="G780" s="3" t="s">
        <v>125</v>
      </c>
    </row>
    <row r="781" spans="1:7" x14ac:dyDescent="0.25">
      <c r="A781" s="27">
        <f>_xlfn.XLOOKUP(tbEscolas[[#This Row],[ESCOLA]],tbNucleo[ESCOLA],tbNucleo[COD ESCOLA],"")</f>
        <v>44</v>
      </c>
      <c r="B781" s="3" t="str" cm="1">
        <f t="array" ref="B781">IFERROR(INDEX(tbNucleo[ESCOLA],ROUNDUP(ROW(B780)/TotalEtapas,0)),"")</f>
        <v>EM SANTOS DUMONT</v>
      </c>
      <c r="C781" s="3" t="s">
        <v>110</v>
      </c>
      <c r="D781" s="3" cm="1">
        <f t="array" ref="D781">IF(B781="","",INDEX(tbEtapas[Nº],MOD(ROW(B780)-1,TotalEtapas)+1))</f>
        <v>6</v>
      </c>
      <c r="E781" s="3" t="str">
        <f>IFERROR(VLOOKUP(tbEscolas[[#This Row],[COD ETPA]],tbEtapas[],2,FALSE),"")</f>
        <v>2º ANO</v>
      </c>
      <c r="F781" s="3" t="str">
        <f>IFERROR(VLOOKUP(tbEscolas[[#This Row],[COD ETPA]],tbEtapas[],3,FALSE),"")</f>
        <v>FUNDAMENTAL</v>
      </c>
      <c r="G781" s="3" t="s">
        <v>125</v>
      </c>
    </row>
    <row r="782" spans="1:7" x14ac:dyDescent="0.25">
      <c r="A782" s="27">
        <f>_xlfn.XLOOKUP(tbEscolas[[#This Row],[ESCOLA]],tbNucleo[ESCOLA],tbNucleo[COD ESCOLA],"")</f>
        <v>44</v>
      </c>
      <c r="B782" s="3" t="str" cm="1">
        <f t="array" ref="B782">IFERROR(INDEX(tbNucleo[ESCOLA],ROUNDUP(ROW(B781)/TotalEtapas,0)),"")</f>
        <v>EM SANTOS DUMONT</v>
      </c>
      <c r="C782" s="3" t="s">
        <v>110</v>
      </c>
      <c r="D782" s="3" cm="1">
        <f t="array" ref="D782">IF(B782="","",INDEX(tbEtapas[Nº],MOD(ROW(B781)-1,TotalEtapas)+1))</f>
        <v>7</v>
      </c>
      <c r="E782" s="3" t="str">
        <f>IFERROR(VLOOKUP(tbEscolas[[#This Row],[COD ETPA]],tbEtapas[],2,FALSE),"")</f>
        <v>3º ANO</v>
      </c>
      <c r="F782" s="3" t="str">
        <f>IFERROR(VLOOKUP(tbEscolas[[#This Row],[COD ETPA]],tbEtapas[],3,FALSE),"")</f>
        <v>FUNDAMENTAL</v>
      </c>
      <c r="G782" s="3" t="s">
        <v>125</v>
      </c>
    </row>
    <row r="783" spans="1:7" x14ac:dyDescent="0.25">
      <c r="A783" s="27">
        <f>_xlfn.XLOOKUP(tbEscolas[[#This Row],[ESCOLA]],tbNucleo[ESCOLA],tbNucleo[COD ESCOLA],"")</f>
        <v>44</v>
      </c>
      <c r="B783" s="3" t="str" cm="1">
        <f t="array" ref="B783">IFERROR(INDEX(tbNucleo[ESCOLA],ROUNDUP(ROW(B782)/TotalEtapas,0)),"")</f>
        <v>EM SANTOS DUMONT</v>
      </c>
      <c r="C783" s="3" t="s">
        <v>110</v>
      </c>
      <c r="D783" s="3" cm="1">
        <f t="array" ref="D783">IF(B783="","",INDEX(tbEtapas[Nº],MOD(ROW(B782)-1,TotalEtapas)+1))</f>
        <v>8</v>
      </c>
      <c r="E783" s="3" t="str">
        <f>IFERROR(VLOOKUP(tbEscolas[[#This Row],[COD ETPA]],tbEtapas[],2,FALSE),"")</f>
        <v>4º ANO</v>
      </c>
      <c r="F783" s="3" t="str">
        <f>IFERROR(VLOOKUP(tbEscolas[[#This Row],[COD ETPA]],tbEtapas[],3,FALSE),"")</f>
        <v>FUNDAMENTAL</v>
      </c>
      <c r="G783" s="3" t="s">
        <v>125</v>
      </c>
    </row>
    <row r="784" spans="1:7" x14ac:dyDescent="0.25">
      <c r="A784" s="27">
        <f>_xlfn.XLOOKUP(tbEscolas[[#This Row],[ESCOLA]],tbNucleo[ESCOLA],tbNucleo[COD ESCOLA],"")</f>
        <v>44</v>
      </c>
      <c r="B784" s="3" t="str" cm="1">
        <f t="array" ref="B784">IFERROR(INDEX(tbNucleo[ESCOLA],ROUNDUP(ROW(B783)/TotalEtapas,0)),"")</f>
        <v>EM SANTOS DUMONT</v>
      </c>
      <c r="C784" s="3" t="s">
        <v>110</v>
      </c>
      <c r="D784" s="3" cm="1">
        <f t="array" ref="D784">IF(B784="","",INDEX(tbEtapas[Nº],MOD(ROW(B783)-1,TotalEtapas)+1))</f>
        <v>9</v>
      </c>
      <c r="E784" s="3" t="str">
        <f>IFERROR(VLOOKUP(tbEscolas[[#This Row],[COD ETPA]],tbEtapas[],2,FALSE),"")</f>
        <v>5º ANO</v>
      </c>
      <c r="F784" s="3" t="str">
        <f>IFERROR(VLOOKUP(tbEscolas[[#This Row],[COD ETPA]],tbEtapas[],3,FALSE),"")</f>
        <v>FUNDAMENTAL</v>
      </c>
      <c r="G784" s="3" t="s">
        <v>125</v>
      </c>
    </row>
    <row r="785" spans="1:7" x14ac:dyDescent="0.25">
      <c r="A785" s="27">
        <f>_xlfn.XLOOKUP(tbEscolas[[#This Row],[ESCOLA]],tbNucleo[ESCOLA],tbNucleo[COD ESCOLA],"")</f>
        <v>44</v>
      </c>
      <c r="B785" s="3" t="str" cm="1">
        <f t="array" ref="B785">IFERROR(INDEX(tbNucleo[ESCOLA],ROUNDUP(ROW(B784)/TotalEtapas,0)),"")</f>
        <v>EM SANTOS DUMONT</v>
      </c>
      <c r="C785" s="3" t="s">
        <v>110</v>
      </c>
      <c r="D785" s="3" cm="1">
        <f t="array" ref="D785">IF(B785="","",INDEX(tbEtapas[Nº],MOD(ROW(B784)-1,TotalEtapas)+1))</f>
        <v>10</v>
      </c>
      <c r="E785" s="3" t="str">
        <f>IFERROR(VLOOKUP(tbEscolas[[#This Row],[COD ETPA]],tbEtapas[],2,FALSE),"")</f>
        <v>6º ANO</v>
      </c>
      <c r="F785" s="3" t="str">
        <f>IFERROR(VLOOKUP(tbEscolas[[#This Row],[COD ETPA]],tbEtapas[],3,FALSE),"")</f>
        <v>FUNDAMENTAL</v>
      </c>
      <c r="G785" s="3" t="s">
        <v>126</v>
      </c>
    </row>
    <row r="786" spans="1:7" x14ac:dyDescent="0.25">
      <c r="A786" s="27">
        <f>_xlfn.XLOOKUP(tbEscolas[[#This Row],[ESCOLA]],tbNucleo[ESCOLA],tbNucleo[COD ESCOLA],"")</f>
        <v>44</v>
      </c>
      <c r="B786" s="3" t="str" cm="1">
        <f t="array" ref="B786">IFERROR(INDEX(tbNucleo[ESCOLA],ROUNDUP(ROW(B785)/TotalEtapas,0)),"")</f>
        <v>EM SANTOS DUMONT</v>
      </c>
      <c r="C786" s="3" t="s">
        <v>110</v>
      </c>
      <c r="D786" s="3" cm="1">
        <f t="array" ref="D786">IF(B786="","",INDEX(tbEtapas[Nº],MOD(ROW(B785)-1,TotalEtapas)+1))</f>
        <v>11</v>
      </c>
      <c r="E786" s="3" t="str">
        <f>IFERROR(VLOOKUP(tbEscolas[[#This Row],[COD ETPA]],tbEtapas[],2,FALSE),"")</f>
        <v>7º ANO</v>
      </c>
      <c r="F786" s="3" t="str">
        <f>IFERROR(VLOOKUP(tbEscolas[[#This Row],[COD ETPA]],tbEtapas[],3,FALSE),"")</f>
        <v>FUNDAMENTAL</v>
      </c>
      <c r="G786" s="3" t="s">
        <v>126</v>
      </c>
    </row>
    <row r="787" spans="1:7" x14ac:dyDescent="0.25">
      <c r="A787" s="27">
        <f>_xlfn.XLOOKUP(tbEscolas[[#This Row],[ESCOLA]],tbNucleo[ESCOLA],tbNucleo[COD ESCOLA],"")</f>
        <v>44</v>
      </c>
      <c r="B787" s="3" t="str" cm="1">
        <f t="array" ref="B787">IFERROR(INDEX(tbNucleo[ESCOLA],ROUNDUP(ROW(B786)/TotalEtapas,0)),"")</f>
        <v>EM SANTOS DUMONT</v>
      </c>
      <c r="C787" s="3" t="s">
        <v>110</v>
      </c>
      <c r="D787" s="3" cm="1">
        <f t="array" ref="D787">IF(B787="","",INDEX(tbEtapas[Nº],MOD(ROW(B786)-1,TotalEtapas)+1))</f>
        <v>12</v>
      </c>
      <c r="E787" s="3" t="str">
        <f>IFERROR(VLOOKUP(tbEscolas[[#This Row],[COD ETPA]],tbEtapas[],2,FALSE),"")</f>
        <v>8º ANO</v>
      </c>
      <c r="F787" s="3" t="str">
        <f>IFERROR(VLOOKUP(tbEscolas[[#This Row],[COD ETPA]],tbEtapas[],3,FALSE),"")</f>
        <v>FUNDAMENTAL</v>
      </c>
      <c r="G787" s="3" t="s">
        <v>126</v>
      </c>
    </row>
    <row r="788" spans="1:7" x14ac:dyDescent="0.25">
      <c r="A788" s="27">
        <f>_xlfn.XLOOKUP(tbEscolas[[#This Row],[ESCOLA]],tbNucleo[ESCOLA],tbNucleo[COD ESCOLA],"")</f>
        <v>44</v>
      </c>
      <c r="B788" s="3" t="str" cm="1">
        <f t="array" ref="B788">IFERROR(INDEX(tbNucleo[ESCOLA],ROUNDUP(ROW(B787)/TotalEtapas,0)),"")</f>
        <v>EM SANTOS DUMONT</v>
      </c>
      <c r="C788" s="3" t="s">
        <v>110</v>
      </c>
      <c r="D788" s="3" cm="1">
        <f t="array" ref="D788">IF(B788="","",INDEX(tbEtapas[Nº],MOD(ROW(B787)-1,TotalEtapas)+1))</f>
        <v>13</v>
      </c>
      <c r="E788" s="3" t="str">
        <f>IFERROR(VLOOKUP(tbEscolas[[#This Row],[COD ETPA]],tbEtapas[],2,FALSE),"")</f>
        <v>9º ANO</v>
      </c>
      <c r="F788" s="3" t="str">
        <f>IFERROR(VLOOKUP(tbEscolas[[#This Row],[COD ETPA]],tbEtapas[],3,FALSE),"")</f>
        <v>FUNDAMENTAL</v>
      </c>
      <c r="G788" s="3" t="s">
        <v>126</v>
      </c>
    </row>
    <row r="789" spans="1:7" x14ac:dyDescent="0.25">
      <c r="A789" s="27">
        <f>_xlfn.XLOOKUP(tbEscolas[[#This Row],[ESCOLA]],tbNucleo[ESCOLA],tbNucleo[COD ESCOLA],"")</f>
        <v>44</v>
      </c>
      <c r="B789" s="3" t="str" cm="1">
        <f t="array" ref="B789">IFERROR(INDEX(tbNucleo[ESCOLA],ROUNDUP(ROW(B788)/TotalEtapas,0)),"")</f>
        <v>EM SANTOS DUMONT</v>
      </c>
      <c r="C789" s="3" t="s">
        <v>110</v>
      </c>
      <c r="D789" s="3">
        <v>14</v>
      </c>
      <c r="E789" s="3" t="str">
        <f>IFERROR(VLOOKUP(tbEscolas[[#This Row],[COD ETPA]],tbEtapas[],2,FALSE),"")</f>
        <v>1º ANO</v>
      </c>
      <c r="F789" s="3" t="str">
        <f>IFERROR(VLOOKUP(tbEscolas[[#This Row],[COD ETPA]],tbEtapas[],3,FALSE),"")</f>
        <v>ENSINO MÉDIO</v>
      </c>
      <c r="G789" s="3" t="s">
        <v>126</v>
      </c>
    </row>
    <row r="790" spans="1:7" x14ac:dyDescent="0.25">
      <c r="A790" s="27">
        <f>_xlfn.XLOOKUP(tbEscolas[[#This Row],[ESCOLA]],tbNucleo[ESCOLA],tbNucleo[COD ESCOLA],"")</f>
        <v>44</v>
      </c>
      <c r="B790" s="3" t="str" cm="1">
        <f t="array" ref="B790">IFERROR(INDEX(tbNucleo[ESCOLA],ROUNDUP(ROW(B789)/TotalEtapas,0)),"")</f>
        <v>EM SANTOS DUMONT</v>
      </c>
      <c r="C790" s="3" t="s">
        <v>110</v>
      </c>
      <c r="D790" s="3">
        <v>15</v>
      </c>
      <c r="E790" s="3" t="str">
        <f>IFERROR(VLOOKUP(tbEscolas[[#This Row],[COD ETPA]],tbEtapas[],2,FALSE),"")</f>
        <v>2º ANO</v>
      </c>
      <c r="F790" s="3" t="str">
        <f>IFERROR(VLOOKUP(tbEscolas[[#This Row],[COD ETPA]],tbEtapas[],3,FALSE),"")</f>
        <v>ENSINO MÉDIO</v>
      </c>
      <c r="G790" s="3" t="s">
        <v>126</v>
      </c>
    </row>
    <row r="791" spans="1:7" x14ac:dyDescent="0.25">
      <c r="A791" s="27">
        <f>_xlfn.XLOOKUP(tbEscolas[[#This Row],[ESCOLA]],tbNucleo[ESCOLA],tbNucleo[COD ESCOLA],"")</f>
        <v>44</v>
      </c>
      <c r="B791" s="3" t="str" cm="1">
        <f t="array" ref="B791">IFERROR(INDEX(tbNucleo[ESCOLA],ROUNDUP(ROW(B790)/TotalEtapas,0)),"")</f>
        <v>EM SANTOS DUMONT</v>
      </c>
      <c r="C791" s="3" t="s">
        <v>110</v>
      </c>
      <c r="D791" s="3">
        <v>16</v>
      </c>
      <c r="E791" s="3" t="str">
        <f>IFERROR(VLOOKUP(tbEscolas[[#This Row],[COD ETPA]],tbEtapas[],2,FALSE),"")</f>
        <v>3º ANO</v>
      </c>
      <c r="F791" s="3" t="str">
        <f>IFERROR(VLOOKUP(tbEscolas[[#This Row],[COD ETPA]],tbEtapas[],3,FALSE),"")</f>
        <v>ENSINO MÉDIO</v>
      </c>
      <c r="G791" s="3" t="s">
        <v>126</v>
      </c>
    </row>
    <row r="792" spans="1:7" x14ac:dyDescent="0.25">
      <c r="A792" s="27">
        <f>_xlfn.XLOOKUP(tbEscolas[[#This Row],[ESCOLA]],tbNucleo[ESCOLA],tbNucleo[COD ESCOLA],"")</f>
        <v>44</v>
      </c>
      <c r="B792" s="3" t="str" cm="1">
        <f t="array" ref="B792">IFERROR(INDEX(tbNucleo[ESCOLA],ROUNDUP(ROW(B791)/TotalEtapas,0)),"")</f>
        <v>EM SANTOS DUMONT</v>
      </c>
      <c r="C792" s="3" t="s">
        <v>110</v>
      </c>
      <c r="D792" s="3">
        <v>17</v>
      </c>
      <c r="E792" s="3" t="str">
        <f>IFERROR(VLOOKUP(tbEscolas[[#This Row],[COD ETPA]],tbEtapas[],2,FALSE),"")</f>
        <v>EJA I</v>
      </c>
      <c r="F792" s="3" t="str">
        <f>IFERROR(VLOOKUP(tbEscolas[[#This Row],[COD ETPA]],tbEtapas[],3,FALSE),"")</f>
        <v>FUNDAMENTAL</v>
      </c>
      <c r="G792" s="3" t="s">
        <v>125</v>
      </c>
    </row>
    <row r="793" spans="1:7" x14ac:dyDescent="0.25">
      <c r="A793" s="27">
        <f>_xlfn.XLOOKUP(tbEscolas[[#This Row],[ESCOLA]],tbNucleo[ESCOLA],tbNucleo[COD ESCOLA],"")</f>
        <v>44</v>
      </c>
      <c r="B793" s="3" t="str" cm="1">
        <f t="array" ref="B793">IFERROR(INDEX(tbNucleo[ESCOLA],ROUNDUP(ROW(B792)/TotalEtapas,0)),"")</f>
        <v>EM SANTOS DUMONT</v>
      </c>
      <c r="C793" s="3" t="s">
        <v>110</v>
      </c>
      <c r="D793" s="3">
        <v>18</v>
      </c>
      <c r="E793" s="3" t="str">
        <f>IFERROR(VLOOKUP(tbEscolas[[#This Row],[COD ETPA]],tbEtapas[],2,FALSE),"")</f>
        <v>EJA II</v>
      </c>
      <c r="F793" s="3" t="str">
        <f>IFERROR(VLOOKUP(tbEscolas[[#This Row],[COD ETPA]],tbEtapas[],3,FALSE),"")</f>
        <v>ENSINO MÉDIO</v>
      </c>
      <c r="G793" s="3" t="s">
        <v>125</v>
      </c>
    </row>
    <row r="794" spans="1:7" x14ac:dyDescent="0.25">
      <c r="A794" s="29">
        <f>_xlfn.XLOOKUP(tbEscolas[[#This Row],[ESCOLA]],tbNucleo[ESCOLA],tbNucleo[COD ESCOLA],"")</f>
        <v>45</v>
      </c>
      <c r="B794" s="5" t="str" cm="1">
        <f t="array" ref="B794">IFERROR(INDEX(tbNucleo[ESCOLA],ROUNDUP(ROW(B793)/TotalEtapas,0)),"")</f>
        <v>EM SOTECO</v>
      </c>
      <c r="C794" s="5" t="s">
        <v>116</v>
      </c>
      <c r="D794" s="5" cm="1">
        <f t="array" ref="D794">IF(B794="","",INDEX(tbEtapas[Nº],MOD(ROW(B793)-1,TotalEtapas)+1))</f>
        <v>1</v>
      </c>
      <c r="E794" s="5" t="str">
        <f>IFERROR(VLOOKUP(tbEscolas[[#This Row],[COD ETPA]],tbEtapas[],2,FALSE),"")</f>
        <v>CRECHE I</v>
      </c>
      <c r="F794" s="5" t="str">
        <f>IFERROR(VLOOKUP(tbEscolas[[#This Row],[COD ETPA]],tbEtapas[],3,FALSE),"")</f>
        <v>EDUCAÇÃO INFANTIL</v>
      </c>
      <c r="G794" s="5" t="s">
        <v>125</v>
      </c>
    </row>
    <row r="795" spans="1:7" x14ac:dyDescent="0.25">
      <c r="A795" s="29">
        <f>_xlfn.XLOOKUP(tbEscolas[[#This Row],[ESCOLA]],tbNucleo[ESCOLA],tbNucleo[COD ESCOLA],"")</f>
        <v>45</v>
      </c>
      <c r="B795" s="5" t="str" cm="1">
        <f t="array" ref="B795">IFERROR(INDEX(tbNucleo[ESCOLA],ROUNDUP(ROW(B794)/TotalEtapas,0)),"")</f>
        <v>EM SOTECO</v>
      </c>
      <c r="C795" s="5" t="s">
        <v>116</v>
      </c>
      <c r="D795" s="5" cm="1">
        <f t="array" ref="D795">IF(B795="","",INDEX(tbEtapas[Nº],MOD(ROW(B794)-1,TotalEtapas)+1))</f>
        <v>2</v>
      </c>
      <c r="E795" s="5" t="str">
        <f>IFERROR(VLOOKUP(tbEscolas[[#This Row],[COD ETPA]],tbEtapas[],2,FALSE),"")</f>
        <v>CRECHE II</v>
      </c>
      <c r="F795" s="5" t="str">
        <f>IFERROR(VLOOKUP(tbEscolas[[#This Row],[COD ETPA]],tbEtapas[],3,FALSE),"")</f>
        <v>EDUCAÇÃO INFANTIL</v>
      </c>
      <c r="G795" s="5" t="s">
        <v>125</v>
      </c>
    </row>
    <row r="796" spans="1:7" x14ac:dyDescent="0.25">
      <c r="A796" s="29">
        <f>_xlfn.XLOOKUP(tbEscolas[[#This Row],[ESCOLA]],tbNucleo[ESCOLA],tbNucleo[COD ESCOLA],"")</f>
        <v>45</v>
      </c>
      <c r="B796" s="5" t="str" cm="1">
        <f t="array" ref="B796">IFERROR(INDEX(tbNucleo[ESCOLA],ROUNDUP(ROW(B795)/TotalEtapas,0)),"")</f>
        <v>EM SOTECO</v>
      </c>
      <c r="C796" s="5" t="s">
        <v>116</v>
      </c>
      <c r="D796" s="5" cm="1">
        <f t="array" ref="D796">IF(B796="","",INDEX(tbEtapas[Nº],MOD(ROW(B795)-1,TotalEtapas)+1))</f>
        <v>3</v>
      </c>
      <c r="E796" s="5" t="str">
        <f>IFERROR(VLOOKUP(tbEscolas[[#This Row],[COD ETPA]],tbEtapas[],2,FALSE),"")</f>
        <v>PRE I</v>
      </c>
      <c r="F796" s="5" t="str">
        <f>IFERROR(VLOOKUP(tbEscolas[[#This Row],[COD ETPA]],tbEtapas[],3,FALSE),"")</f>
        <v>EDUCAÇÃO INFANTIL</v>
      </c>
      <c r="G796" s="5" t="s">
        <v>125</v>
      </c>
    </row>
    <row r="797" spans="1:7" x14ac:dyDescent="0.25">
      <c r="A797" s="29">
        <f>_xlfn.XLOOKUP(tbEscolas[[#This Row],[ESCOLA]],tbNucleo[ESCOLA],tbNucleo[COD ESCOLA],"")</f>
        <v>45</v>
      </c>
      <c r="B797" s="5" t="str" cm="1">
        <f t="array" ref="B797">IFERROR(INDEX(tbNucleo[ESCOLA],ROUNDUP(ROW(B796)/TotalEtapas,0)),"")</f>
        <v>EM SOTECO</v>
      </c>
      <c r="C797" s="5" t="s">
        <v>116</v>
      </c>
      <c r="D797" s="5" cm="1">
        <f t="array" ref="D797">IF(B797="","",INDEX(tbEtapas[Nº],MOD(ROW(B796)-1,TotalEtapas)+1))</f>
        <v>4</v>
      </c>
      <c r="E797" s="5" t="str">
        <f>IFERROR(VLOOKUP(tbEscolas[[#This Row],[COD ETPA]],tbEtapas[],2,FALSE),"")</f>
        <v>PRE II</v>
      </c>
      <c r="F797" s="5" t="str">
        <f>IFERROR(VLOOKUP(tbEscolas[[#This Row],[COD ETPA]],tbEtapas[],3,FALSE),"")</f>
        <v>EDUCAÇÃO INFANTIL</v>
      </c>
      <c r="G797" s="5" t="s">
        <v>125</v>
      </c>
    </row>
    <row r="798" spans="1:7" x14ac:dyDescent="0.25">
      <c r="A798" s="29">
        <f>_xlfn.XLOOKUP(tbEscolas[[#This Row],[ESCOLA]],tbNucleo[ESCOLA],tbNucleo[COD ESCOLA],"")</f>
        <v>45</v>
      </c>
      <c r="B798" s="5" t="str" cm="1">
        <f t="array" ref="B798">IFERROR(INDEX(tbNucleo[ESCOLA],ROUNDUP(ROW(B797)/TotalEtapas,0)),"")</f>
        <v>EM SOTECO</v>
      </c>
      <c r="C798" s="5" t="s">
        <v>116</v>
      </c>
      <c r="D798" s="5" cm="1">
        <f t="array" ref="D798">IF(B798="","",INDEX(tbEtapas[Nº],MOD(ROW(B797)-1,TotalEtapas)+1))</f>
        <v>5</v>
      </c>
      <c r="E798" s="5" t="str">
        <f>IFERROR(VLOOKUP(tbEscolas[[#This Row],[COD ETPA]],tbEtapas[],2,FALSE),"")</f>
        <v>1º ANO</v>
      </c>
      <c r="F798" s="5" t="str">
        <f>IFERROR(VLOOKUP(tbEscolas[[#This Row],[COD ETPA]],tbEtapas[],3,FALSE),"")</f>
        <v>FUNDAMENTAL</v>
      </c>
      <c r="G798" s="5" t="s">
        <v>125</v>
      </c>
    </row>
    <row r="799" spans="1:7" x14ac:dyDescent="0.25">
      <c r="A799" s="29">
        <f>_xlfn.XLOOKUP(tbEscolas[[#This Row],[ESCOLA]],tbNucleo[ESCOLA],tbNucleo[COD ESCOLA],"")</f>
        <v>45</v>
      </c>
      <c r="B799" s="5" t="str" cm="1">
        <f t="array" ref="B799">IFERROR(INDEX(tbNucleo[ESCOLA],ROUNDUP(ROW(B798)/TotalEtapas,0)),"")</f>
        <v>EM SOTECO</v>
      </c>
      <c r="C799" s="5" t="s">
        <v>116</v>
      </c>
      <c r="D799" s="5" cm="1">
        <f t="array" ref="D799">IF(B799="","",INDEX(tbEtapas[Nº],MOD(ROW(B798)-1,TotalEtapas)+1))</f>
        <v>6</v>
      </c>
      <c r="E799" s="5" t="str">
        <f>IFERROR(VLOOKUP(tbEscolas[[#This Row],[COD ETPA]],tbEtapas[],2,FALSE),"")</f>
        <v>2º ANO</v>
      </c>
      <c r="F799" s="5" t="str">
        <f>IFERROR(VLOOKUP(tbEscolas[[#This Row],[COD ETPA]],tbEtapas[],3,FALSE),"")</f>
        <v>FUNDAMENTAL</v>
      </c>
      <c r="G799" s="5" t="s">
        <v>125</v>
      </c>
    </row>
    <row r="800" spans="1:7" x14ac:dyDescent="0.25">
      <c r="A800" s="29">
        <f>_xlfn.XLOOKUP(tbEscolas[[#This Row],[ESCOLA]],tbNucleo[ESCOLA],tbNucleo[COD ESCOLA],"")</f>
        <v>45</v>
      </c>
      <c r="B800" s="5" t="str" cm="1">
        <f t="array" ref="B800">IFERROR(INDEX(tbNucleo[ESCOLA],ROUNDUP(ROW(B799)/TotalEtapas,0)),"")</f>
        <v>EM SOTECO</v>
      </c>
      <c r="C800" s="5" t="s">
        <v>116</v>
      </c>
      <c r="D800" s="5" cm="1">
        <f t="array" ref="D800">IF(B800="","",INDEX(tbEtapas[Nº],MOD(ROW(B799)-1,TotalEtapas)+1))</f>
        <v>7</v>
      </c>
      <c r="E800" s="5" t="str">
        <f>IFERROR(VLOOKUP(tbEscolas[[#This Row],[COD ETPA]],tbEtapas[],2,FALSE),"")</f>
        <v>3º ANO</v>
      </c>
      <c r="F800" s="5" t="str">
        <f>IFERROR(VLOOKUP(tbEscolas[[#This Row],[COD ETPA]],tbEtapas[],3,FALSE),"")</f>
        <v>FUNDAMENTAL</v>
      </c>
      <c r="G800" s="5" t="s">
        <v>125</v>
      </c>
    </row>
    <row r="801" spans="1:7" x14ac:dyDescent="0.25">
      <c r="A801" s="29">
        <f>_xlfn.XLOOKUP(tbEscolas[[#This Row],[ESCOLA]],tbNucleo[ESCOLA],tbNucleo[COD ESCOLA],"")</f>
        <v>45</v>
      </c>
      <c r="B801" s="5" t="str" cm="1">
        <f t="array" ref="B801">IFERROR(INDEX(tbNucleo[ESCOLA],ROUNDUP(ROW(B800)/TotalEtapas,0)),"")</f>
        <v>EM SOTECO</v>
      </c>
      <c r="C801" s="5" t="s">
        <v>116</v>
      </c>
      <c r="D801" s="5" cm="1">
        <f t="array" ref="D801">IF(B801="","",INDEX(tbEtapas[Nº],MOD(ROW(B800)-1,TotalEtapas)+1))</f>
        <v>8</v>
      </c>
      <c r="E801" s="5" t="str">
        <f>IFERROR(VLOOKUP(tbEscolas[[#This Row],[COD ETPA]],tbEtapas[],2,FALSE),"")</f>
        <v>4º ANO</v>
      </c>
      <c r="F801" s="5" t="str">
        <f>IFERROR(VLOOKUP(tbEscolas[[#This Row],[COD ETPA]],tbEtapas[],3,FALSE),"")</f>
        <v>FUNDAMENTAL</v>
      </c>
      <c r="G801" s="5" t="s">
        <v>125</v>
      </c>
    </row>
    <row r="802" spans="1:7" x14ac:dyDescent="0.25">
      <c r="A802" s="29">
        <f>_xlfn.XLOOKUP(tbEscolas[[#This Row],[ESCOLA]],tbNucleo[ESCOLA],tbNucleo[COD ESCOLA],"")</f>
        <v>45</v>
      </c>
      <c r="B802" s="5" t="str" cm="1">
        <f t="array" ref="B802">IFERROR(INDEX(tbNucleo[ESCOLA],ROUNDUP(ROW(B801)/TotalEtapas,0)),"")</f>
        <v>EM SOTECO</v>
      </c>
      <c r="C802" s="5" t="s">
        <v>116</v>
      </c>
      <c r="D802" s="5" cm="1">
        <f t="array" ref="D802">IF(B802="","",INDEX(tbEtapas[Nº],MOD(ROW(B801)-1,TotalEtapas)+1))</f>
        <v>9</v>
      </c>
      <c r="E802" s="5" t="str">
        <f>IFERROR(VLOOKUP(tbEscolas[[#This Row],[COD ETPA]],tbEtapas[],2,FALSE),"")</f>
        <v>5º ANO</v>
      </c>
      <c r="F802" s="5" t="str">
        <f>IFERROR(VLOOKUP(tbEscolas[[#This Row],[COD ETPA]],tbEtapas[],3,FALSE),"")</f>
        <v>FUNDAMENTAL</v>
      </c>
      <c r="G802" s="5" t="s">
        <v>125</v>
      </c>
    </row>
    <row r="803" spans="1:7" x14ac:dyDescent="0.25">
      <c r="A803" s="29">
        <f>_xlfn.XLOOKUP(tbEscolas[[#This Row],[ESCOLA]],tbNucleo[ESCOLA],tbNucleo[COD ESCOLA],"")</f>
        <v>45</v>
      </c>
      <c r="B803" s="5" t="str" cm="1">
        <f t="array" ref="B803">IFERROR(INDEX(tbNucleo[ESCOLA],ROUNDUP(ROW(B802)/TotalEtapas,0)),"")</f>
        <v>EM SOTECO</v>
      </c>
      <c r="C803" s="5" t="s">
        <v>116</v>
      </c>
      <c r="D803" s="5" cm="1">
        <f t="array" ref="D803">IF(B803="","",INDEX(tbEtapas[Nº],MOD(ROW(B802)-1,TotalEtapas)+1))</f>
        <v>10</v>
      </c>
      <c r="E803" s="5" t="str">
        <f>IFERROR(VLOOKUP(tbEscolas[[#This Row],[COD ETPA]],tbEtapas[],2,FALSE),"")</f>
        <v>6º ANO</v>
      </c>
      <c r="F803" s="5" t="str">
        <f>IFERROR(VLOOKUP(tbEscolas[[#This Row],[COD ETPA]],tbEtapas[],3,FALSE),"")</f>
        <v>FUNDAMENTAL</v>
      </c>
      <c r="G803" s="5" t="s">
        <v>126</v>
      </c>
    </row>
    <row r="804" spans="1:7" x14ac:dyDescent="0.25">
      <c r="A804" s="29">
        <f>_xlfn.XLOOKUP(tbEscolas[[#This Row],[ESCOLA]],tbNucleo[ESCOLA],tbNucleo[COD ESCOLA],"")</f>
        <v>45</v>
      </c>
      <c r="B804" s="5" t="str" cm="1">
        <f t="array" ref="B804">IFERROR(INDEX(tbNucleo[ESCOLA],ROUNDUP(ROW(B803)/TotalEtapas,0)),"")</f>
        <v>EM SOTECO</v>
      </c>
      <c r="C804" s="5" t="s">
        <v>116</v>
      </c>
      <c r="D804" s="5" cm="1">
        <f t="array" ref="D804">IF(B804="","",INDEX(tbEtapas[Nº],MOD(ROW(B803)-1,TotalEtapas)+1))</f>
        <v>11</v>
      </c>
      <c r="E804" s="5" t="str">
        <f>IFERROR(VLOOKUP(tbEscolas[[#This Row],[COD ETPA]],tbEtapas[],2,FALSE),"")</f>
        <v>7º ANO</v>
      </c>
      <c r="F804" s="5" t="str">
        <f>IFERROR(VLOOKUP(tbEscolas[[#This Row],[COD ETPA]],tbEtapas[],3,FALSE),"")</f>
        <v>FUNDAMENTAL</v>
      </c>
      <c r="G804" s="5" t="s">
        <v>126</v>
      </c>
    </row>
    <row r="805" spans="1:7" x14ac:dyDescent="0.25">
      <c r="A805" s="29">
        <f>_xlfn.XLOOKUP(tbEscolas[[#This Row],[ESCOLA]],tbNucleo[ESCOLA],tbNucleo[COD ESCOLA],"")</f>
        <v>45</v>
      </c>
      <c r="B805" s="5" t="str" cm="1">
        <f t="array" ref="B805">IFERROR(INDEX(tbNucleo[ESCOLA],ROUNDUP(ROW(B804)/TotalEtapas,0)),"")</f>
        <v>EM SOTECO</v>
      </c>
      <c r="C805" s="5" t="s">
        <v>116</v>
      </c>
      <c r="D805" s="5" cm="1">
        <f t="array" ref="D805">IF(B805="","",INDEX(tbEtapas[Nº],MOD(ROW(B804)-1,TotalEtapas)+1))</f>
        <v>12</v>
      </c>
      <c r="E805" s="5" t="str">
        <f>IFERROR(VLOOKUP(tbEscolas[[#This Row],[COD ETPA]],tbEtapas[],2,FALSE),"")</f>
        <v>8º ANO</v>
      </c>
      <c r="F805" s="5" t="str">
        <f>IFERROR(VLOOKUP(tbEscolas[[#This Row],[COD ETPA]],tbEtapas[],3,FALSE),"")</f>
        <v>FUNDAMENTAL</v>
      </c>
      <c r="G805" s="5" t="s">
        <v>126</v>
      </c>
    </row>
    <row r="806" spans="1:7" x14ac:dyDescent="0.25">
      <c r="A806" s="29">
        <f>_xlfn.XLOOKUP(tbEscolas[[#This Row],[ESCOLA]],tbNucleo[ESCOLA],tbNucleo[COD ESCOLA],"")</f>
        <v>45</v>
      </c>
      <c r="B806" s="5" t="str" cm="1">
        <f t="array" ref="B806">IFERROR(INDEX(tbNucleo[ESCOLA],ROUNDUP(ROW(B805)/TotalEtapas,0)),"")</f>
        <v>EM SOTECO</v>
      </c>
      <c r="C806" s="5" t="s">
        <v>116</v>
      </c>
      <c r="D806" s="5" cm="1">
        <f t="array" ref="D806">IF(B806="","",INDEX(tbEtapas[Nº],MOD(ROW(B805)-1,TotalEtapas)+1))</f>
        <v>13</v>
      </c>
      <c r="E806" s="5" t="str">
        <f>IFERROR(VLOOKUP(tbEscolas[[#This Row],[COD ETPA]],tbEtapas[],2,FALSE),"")</f>
        <v>9º ANO</v>
      </c>
      <c r="F806" s="5" t="str">
        <f>IFERROR(VLOOKUP(tbEscolas[[#This Row],[COD ETPA]],tbEtapas[],3,FALSE),"")</f>
        <v>FUNDAMENTAL</v>
      </c>
      <c r="G806" s="5" t="s">
        <v>126</v>
      </c>
    </row>
    <row r="807" spans="1:7" x14ac:dyDescent="0.25">
      <c r="A807" s="29">
        <f>_xlfn.XLOOKUP(tbEscolas[[#This Row],[ESCOLA]],tbNucleo[ESCOLA],tbNucleo[COD ESCOLA],"")</f>
        <v>45</v>
      </c>
      <c r="B807" s="5" t="str" cm="1">
        <f t="array" ref="B807">IFERROR(INDEX(tbNucleo[ESCOLA],ROUNDUP(ROW(B806)/TotalEtapas,0)),"")</f>
        <v>EM SOTECO</v>
      </c>
      <c r="C807" s="5" t="s">
        <v>116</v>
      </c>
      <c r="D807" s="5">
        <v>14</v>
      </c>
      <c r="E807" s="5" t="str">
        <f>IFERROR(VLOOKUP(tbEscolas[[#This Row],[COD ETPA]],tbEtapas[],2,FALSE),"")</f>
        <v>1º ANO</v>
      </c>
      <c r="F807" s="5" t="str">
        <f>IFERROR(VLOOKUP(tbEscolas[[#This Row],[COD ETPA]],tbEtapas[],3,FALSE),"")</f>
        <v>ENSINO MÉDIO</v>
      </c>
      <c r="G807" s="5" t="s">
        <v>126</v>
      </c>
    </row>
    <row r="808" spans="1:7" x14ac:dyDescent="0.25">
      <c r="A808" s="29">
        <f>_xlfn.XLOOKUP(tbEscolas[[#This Row],[ESCOLA]],tbNucleo[ESCOLA],tbNucleo[COD ESCOLA],"")</f>
        <v>45</v>
      </c>
      <c r="B808" s="5" t="str" cm="1">
        <f t="array" ref="B808">IFERROR(INDEX(tbNucleo[ESCOLA],ROUNDUP(ROW(B807)/TotalEtapas,0)),"")</f>
        <v>EM SOTECO</v>
      </c>
      <c r="C808" s="5" t="s">
        <v>116</v>
      </c>
      <c r="D808" s="5">
        <v>15</v>
      </c>
      <c r="E808" s="5" t="str">
        <f>IFERROR(VLOOKUP(tbEscolas[[#This Row],[COD ETPA]],tbEtapas[],2,FALSE),"")</f>
        <v>2º ANO</v>
      </c>
      <c r="F808" s="5" t="str">
        <f>IFERROR(VLOOKUP(tbEscolas[[#This Row],[COD ETPA]],tbEtapas[],3,FALSE),"")</f>
        <v>ENSINO MÉDIO</v>
      </c>
      <c r="G808" s="5" t="s">
        <v>126</v>
      </c>
    </row>
    <row r="809" spans="1:7" x14ac:dyDescent="0.25">
      <c r="A809" s="29">
        <f>_xlfn.XLOOKUP(tbEscolas[[#This Row],[ESCOLA]],tbNucleo[ESCOLA],tbNucleo[COD ESCOLA],"")</f>
        <v>45</v>
      </c>
      <c r="B809" s="5" t="str" cm="1">
        <f t="array" ref="B809">IFERROR(INDEX(tbNucleo[ESCOLA],ROUNDUP(ROW(B808)/TotalEtapas,0)),"")</f>
        <v>EM SOTECO</v>
      </c>
      <c r="C809" s="5" t="s">
        <v>116</v>
      </c>
      <c r="D809" s="5">
        <v>16</v>
      </c>
      <c r="E809" s="5" t="str">
        <f>IFERROR(VLOOKUP(tbEscolas[[#This Row],[COD ETPA]],tbEtapas[],2,FALSE),"")</f>
        <v>3º ANO</v>
      </c>
      <c r="F809" s="5" t="str">
        <f>IFERROR(VLOOKUP(tbEscolas[[#This Row],[COD ETPA]],tbEtapas[],3,FALSE),"")</f>
        <v>ENSINO MÉDIO</v>
      </c>
      <c r="G809" s="5" t="s">
        <v>126</v>
      </c>
    </row>
    <row r="810" spans="1:7" x14ac:dyDescent="0.25">
      <c r="A810" s="29">
        <f>_xlfn.XLOOKUP(tbEscolas[[#This Row],[ESCOLA]],tbNucleo[ESCOLA],tbNucleo[COD ESCOLA],"")</f>
        <v>45</v>
      </c>
      <c r="B810" s="5" t="str" cm="1">
        <f t="array" ref="B810">IFERROR(INDEX(tbNucleo[ESCOLA],ROUNDUP(ROW(B809)/TotalEtapas,0)),"")</f>
        <v>EM SOTECO</v>
      </c>
      <c r="C810" s="5" t="s">
        <v>116</v>
      </c>
      <c r="D810" s="5">
        <v>17</v>
      </c>
      <c r="E810" s="5" t="str">
        <f>IFERROR(VLOOKUP(tbEscolas[[#This Row],[COD ETPA]],tbEtapas[],2,FALSE),"")</f>
        <v>EJA I</v>
      </c>
      <c r="F810" s="5" t="str">
        <f>IFERROR(VLOOKUP(tbEscolas[[#This Row],[COD ETPA]],tbEtapas[],3,FALSE),"")</f>
        <v>FUNDAMENTAL</v>
      </c>
      <c r="G810" s="5" t="s">
        <v>125</v>
      </c>
    </row>
    <row r="811" spans="1:7" x14ac:dyDescent="0.25">
      <c r="A811" s="29">
        <f>_xlfn.XLOOKUP(tbEscolas[[#This Row],[ESCOLA]],tbNucleo[ESCOLA],tbNucleo[COD ESCOLA],"")</f>
        <v>45</v>
      </c>
      <c r="B811" s="5" t="str" cm="1">
        <f t="array" ref="B811">IFERROR(INDEX(tbNucleo[ESCOLA],ROUNDUP(ROW(B810)/TotalEtapas,0)),"")</f>
        <v>EM SOTECO</v>
      </c>
      <c r="C811" s="5" t="s">
        <v>116</v>
      </c>
      <c r="D811" s="5">
        <v>18</v>
      </c>
      <c r="E811" s="5" t="str">
        <f>IFERROR(VLOOKUP(tbEscolas[[#This Row],[COD ETPA]],tbEtapas[],2,FALSE),"")</f>
        <v>EJA II</v>
      </c>
      <c r="F811" s="5" t="str">
        <f>IFERROR(VLOOKUP(tbEscolas[[#This Row],[COD ETPA]],tbEtapas[],3,FALSE),"")</f>
        <v>ENSINO MÉDIO</v>
      </c>
      <c r="G811" s="5" t="s">
        <v>125</v>
      </c>
    </row>
    <row r="812" spans="1:7" x14ac:dyDescent="0.25">
      <c r="A812" s="28">
        <f>_xlfn.XLOOKUP(tbEscolas[[#This Row],[ESCOLA]],tbNucleo[ESCOLA],tbNucleo[COD ESCOLA],"")</f>
        <v>46</v>
      </c>
      <c r="B812" s="4" t="str" cm="1">
        <f t="array" ref="B812">IFERROR(INDEX(tbNucleo[ESCOLA],ROUNDUP(ROW(B811)/TotalEtapas,0)),"")</f>
        <v>EM TANCREDO NEVES</v>
      </c>
      <c r="C812" s="4" t="s">
        <v>117</v>
      </c>
      <c r="D812" s="4" cm="1">
        <f t="array" ref="D812">IF(B812="","",INDEX(tbEtapas[Nº],MOD(ROW(B811)-1,TotalEtapas)+1))</f>
        <v>1</v>
      </c>
      <c r="E812" s="4" t="str">
        <f>IFERROR(VLOOKUP(tbEscolas[[#This Row],[COD ETPA]],tbEtapas[],2,FALSE),"")</f>
        <v>CRECHE I</v>
      </c>
      <c r="F812" s="4" t="str">
        <f>IFERROR(VLOOKUP(tbEscolas[[#This Row],[COD ETPA]],tbEtapas[],3,FALSE),"")</f>
        <v>EDUCAÇÃO INFANTIL</v>
      </c>
      <c r="G812" s="4" t="s">
        <v>125</v>
      </c>
    </row>
    <row r="813" spans="1:7" x14ac:dyDescent="0.25">
      <c r="A813" s="28">
        <f>_xlfn.XLOOKUP(tbEscolas[[#This Row],[ESCOLA]],tbNucleo[ESCOLA],tbNucleo[COD ESCOLA],"")</f>
        <v>46</v>
      </c>
      <c r="B813" s="4" t="str" cm="1">
        <f t="array" ref="B813">IFERROR(INDEX(tbNucleo[ESCOLA],ROUNDUP(ROW(B812)/TotalEtapas,0)),"")</f>
        <v>EM TANCREDO NEVES</v>
      </c>
      <c r="C813" s="4" t="s">
        <v>117</v>
      </c>
      <c r="D813" s="4" cm="1">
        <f t="array" ref="D813">IF(B813="","",INDEX(tbEtapas[Nº],MOD(ROW(B812)-1,TotalEtapas)+1))</f>
        <v>2</v>
      </c>
      <c r="E813" s="4" t="str">
        <f>IFERROR(VLOOKUP(tbEscolas[[#This Row],[COD ETPA]],tbEtapas[],2,FALSE),"")</f>
        <v>CRECHE II</v>
      </c>
      <c r="F813" s="4" t="str">
        <f>IFERROR(VLOOKUP(tbEscolas[[#This Row],[COD ETPA]],tbEtapas[],3,FALSE),"")</f>
        <v>EDUCAÇÃO INFANTIL</v>
      </c>
      <c r="G813" s="4" t="s">
        <v>125</v>
      </c>
    </row>
    <row r="814" spans="1:7" x14ac:dyDescent="0.25">
      <c r="A814" s="28">
        <f>_xlfn.XLOOKUP(tbEscolas[[#This Row],[ESCOLA]],tbNucleo[ESCOLA],tbNucleo[COD ESCOLA],"")</f>
        <v>46</v>
      </c>
      <c r="B814" s="4" t="str" cm="1">
        <f t="array" ref="B814">IFERROR(INDEX(tbNucleo[ESCOLA],ROUNDUP(ROW(B813)/TotalEtapas,0)),"")</f>
        <v>EM TANCREDO NEVES</v>
      </c>
      <c r="C814" s="4" t="s">
        <v>117</v>
      </c>
      <c r="D814" s="4" cm="1">
        <f t="array" ref="D814">IF(B814="","",INDEX(tbEtapas[Nº],MOD(ROW(B813)-1,TotalEtapas)+1))</f>
        <v>3</v>
      </c>
      <c r="E814" s="4" t="str">
        <f>IFERROR(VLOOKUP(tbEscolas[[#This Row],[COD ETPA]],tbEtapas[],2,FALSE),"")</f>
        <v>PRE I</v>
      </c>
      <c r="F814" s="4" t="str">
        <f>IFERROR(VLOOKUP(tbEscolas[[#This Row],[COD ETPA]],tbEtapas[],3,FALSE),"")</f>
        <v>EDUCAÇÃO INFANTIL</v>
      </c>
      <c r="G814" s="4" t="s">
        <v>125</v>
      </c>
    </row>
    <row r="815" spans="1:7" x14ac:dyDescent="0.25">
      <c r="A815" s="28">
        <f>_xlfn.XLOOKUP(tbEscolas[[#This Row],[ESCOLA]],tbNucleo[ESCOLA],tbNucleo[COD ESCOLA],"")</f>
        <v>46</v>
      </c>
      <c r="B815" s="4" t="str" cm="1">
        <f t="array" ref="B815">IFERROR(INDEX(tbNucleo[ESCOLA],ROUNDUP(ROW(B814)/TotalEtapas,0)),"")</f>
        <v>EM TANCREDO NEVES</v>
      </c>
      <c r="C815" s="4" t="s">
        <v>117</v>
      </c>
      <c r="D815" s="4" cm="1">
        <f t="array" ref="D815">IF(B815="","",INDEX(tbEtapas[Nº],MOD(ROW(B814)-1,TotalEtapas)+1))</f>
        <v>4</v>
      </c>
      <c r="E815" s="4" t="str">
        <f>IFERROR(VLOOKUP(tbEscolas[[#This Row],[COD ETPA]],tbEtapas[],2,FALSE),"")</f>
        <v>PRE II</v>
      </c>
      <c r="F815" s="4" t="str">
        <f>IFERROR(VLOOKUP(tbEscolas[[#This Row],[COD ETPA]],tbEtapas[],3,FALSE),"")</f>
        <v>EDUCAÇÃO INFANTIL</v>
      </c>
      <c r="G815" s="4" t="s">
        <v>125</v>
      </c>
    </row>
    <row r="816" spans="1:7" x14ac:dyDescent="0.25">
      <c r="A816" s="28">
        <f>_xlfn.XLOOKUP(tbEscolas[[#This Row],[ESCOLA]],tbNucleo[ESCOLA],tbNucleo[COD ESCOLA],"")</f>
        <v>46</v>
      </c>
      <c r="B816" s="4" t="str" cm="1">
        <f t="array" ref="B816">IFERROR(INDEX(tbNucleo[ESCOLA],ROUNDUP(ROW(B815)/TotalEtapas,0)),"")</f>
        <v>EM TANCREDO NEVES</v>
      </c>
      <c r="C816" s="4" t="s">
        <v>117</v>
      </c>
      <c r="D816" s="4" cm="1">
        <f t="array" ref="D816">IF(B816="","",INDEX(tbEtapas[Nº],MOD(ROW(B815)-1,TotalEtapas)+1))</f>
        <v>5</v>
      </c>
      <c r="E816" s="4" t="str">
        <f>IFERROR(VLOOKUP(tbEscolas[[#This Row],[COD ETPA]],tbEtapas[],2,FALSE),"")</f>
        <v>1º ANO</v>
      </c>
      <c r="F816" s="4" t="str">
        <f>IFERROR(VLOOKUP(tbEscolas[[#This Row],[COD ETPA]],tbEtapas[],3,FALSE),"")</f>
        <v>FUNDAMENTAL</v>
      </c>
      <c r="G816" s="4" t="s">
        <v>125</v>
      </c>
    </row>
    <row r="817" spans="1:7" x14ac:dyDescent="0.25">
      <c r="A817" s="28">
        <f>_xlfn.XLOOKUP(tbEscolas[[#This Row],[ESCOLA]],tbNucleo[ESCOLA],tbNucleo[COD ESCOLA],"")</f>
        <v>46</v>
      </c>
      <c r="B817" s="4" t="str" cm="1">
        <f t="array" ref="B817">IFERROR(INDEX(tbNucleo[ESCOLA],ROUNDUP(ROW(B816)/TotalEtapas,0)),"")</f>
        <v>EM TANCREDO NEVES</v>
      </c>
      <c r="C817" s="4" t="s">
        <v>117</v>
      </c>
      <c r="D817" s="4" cm="1">
        <f t="array" ref="D817">IF(B817="","",INDEX(tbEtapas[Nº],MOD(ROW(B816)-1,TotalEtapas)+1))</f>
        <v>6</v>
      </c>
      <c r="E817" s="4" t="str">
        <f>IFERROR(VLOOKUP(tbEscolas[[#This Row],[COD ETPA]],tbEtapas[],2,FALSE),"")</f>
        <v>2º ANO</v>
      </c>
      <c r="F817" s="4" t="str">
        <f>IFERROR(VLOOKUP(tbEscolas[[#This Row],[COD ETPA]],tbEtapas[],3,FALSE),"")</f>
        <v>FUNDAMENTAL</v>
      </c>
      <c r="G817" s="4" t="s">
        <v>125</v>
      </c>
    </row>
    <row r="818" spans="1:7" x14ac:dyDescent="0.25">
      <c r="A818" s="28">
        <f>_xlfn.XLOOKUP(tbEscolas[[#This Row],[ESCOLA]],tbNucleo[ESCOLA],tbNucleo[COD ESCOLA],"")</f>
        <v>46</v>
      </c>
      <c r="B818" s="4" t="str" cm="1">
        <f t="array" ref="B818">IFERROR(INDEX(tbNucleo[ESCOLA],ROUNDUP(ROW(B817)/TotalEtapas,0)),"")</f>
        <v>EM TANCREDO NEVES</v>
      </c>
      <c r="C818" s="4" t="s">
        <v>117</v>
      </c>
      <c r="D818" s="4" cm="1">
        <f t="array" ref="D818">IF(B818="","",INDEX(tbEtapas[Nº],MOD(ROW(B817)-1,TotalEtapas)+1))</f>
        <v>7</v>
      </c>
      <c r="E818" s="4" t="str">
        <f>IFERROR(VLOOKUP(tbEscolas[[#This Row],[COD ETPA]],tbEtapas[],2,FALSE),"")</f>
        <v>3º ANO</v>
      </c>
      <c r="F818" s="4" t="str">
        <f>IFERROR(VLOOKUP(tbEscolas[[#This Row],[COD ETPA]],tbEtapas[],3,FALSE),"")</f>
        <v>FUNDAMENTAL</v>
      </c>
      <c r="G818" s="4" t="s">
        <v>125</v>
      </c>
    </row>
    <row r="819" spans="1:7" x14ac:dyDescent="0.25">
      <c r="A819" s="28">
        <f>_xlfn.XLOOKUP(tbEscolas[[#This Row],[ESCOLA]],tbNucleo[ESCOLA],tbNucleo[COD ESCOLA],"")</f>
        <v>46</v>
      </c>
      <c r="B819" s="4" t="str" cm="1">
        <f t="array" ref="B819">IFERROR(INDEX(tbNucleo[ESCOLA],ROUNDUP(ROW(B818)/TotalEtapas,0)),"")</f>
        <v>EM TANCREDO NEVES</v>
      </c>
      <c r="C819" s="4" t="s">
        <v>117</v>
      </c>
      <c r="D819" s="4" cm="1">
        <f t="array" ref="D819">IF(B819="","",INDEX(tbEtapas[Nº],MOD(ROW(B818)-1,TotalEtapas)+1))</f>
        <v>8</v>
      </c>
      <c r="E819" s="4" t="str">
        <f>IFERROR(VLOOKUP(tbEscolas[[#This Row],[COD ETPA]],tbEtapas[],2,FALSE),"")</f>
        <v>4º ANO</v>
      </c>
      <c r="F819" s="4" t="str">
        <f>IFERROR(VLOOKUP(tbEscolas[[#This Row],[COD ETPA]],tbEtapas[],3,FALSE),"")</f>
        <v>FUNDAMENTAL</v>
      </c>
      <c r="G819" s="4" t="s">
        <v>125</v>
      </c>
    </row>
    <row r="820" spans="1:7" x14ac:dyDescent="0.25">
      <c r="A820" s="28">
        <f>_xlfn.XLOOKUP(tbEscolas[[#This Row],[ESCOLA]],tbNucleo[ESCOLA],tbNucleo[COD ESCOLA],"")</f>
        <v>46</v>
      </c>
      <c r="B820" s="4" t="str" cm="1">
        <f t="array" ref="B820">IFERROR(INDEX(tbNucleo[ESCOLA],ROUNDUP(ROW(B819)/TotalEtapas,0)),"")</f>
        <v>EM TANCREDO NEVES</v>
      </c>
      <c r="C820" s="4" t="s">
        <v>117</v>
      </c>
      <c r="D820" s="4" cm="1">
        <f t="array" ref="D820">IF(B820="","",INDEX(tbEtapas[Nº],MOD(ROW(B819)-1,TotalEtapas)+1))</f>
        <v>9</v>
      </c>
      <c r="E820" s="4" t="str">
        <f>IFERROR(VLOOKUP(tbEscolas[[#This Row],[COD ETPA]],tbEtapas[],2,FALSE),"")</f>
        <v>5º ANO</v>
      </c>
      <c r="F820" s="4" t="str">
        <f>IFERROR(VLOOKUP(tbEscolas[[#This Row],[COD ETPA]],tbEtapas[],3,FALSE),"")</f>
        <v>FUNDAMENTAL</v>
      </c>
      <c r="G820" s="4" t="s">
        <v>125</v>
      </c>
    </row>
    <row r="821" spans="1:7" x14ac:dyDescent="0.25">
      <c r="A821" s="28">
        <f>_xlfn.XLOOKUP(tbEscolas[[#This Row],[ESCOLA]],tbNucleo[ESCOLA],tbNucleo[COD ESCOLA],"")</f>
        <v>46</v>
      </c>
      <c r="B821" s="4" t="str" cm="1">
        <f t="array" ref="B821">IFERROR(INDEX(tbNucleo[ESCOLA],ROUNDUP(ROW(B820)/TotalEtapas,0)),"")</f>
        <v>EM TANCREDO NEVES</v>
      </c>
      <c r="C821" s="4" t="s">
        <v>117</v>
      </c>
      <c r="D821" s="4" cm="1">
        <f t="array" ref="D821">IF(B821="","",INDEX(tbEtapas[Nº],MOD(ROW(B820)-1,TotalEtapas)+1))</f>
        <v>10</v>
      </c>
      <c r="E821" s="4" t="str">
        <f>IFERROR(VLOOKUP(tbEscolas[[#This Row],[COD ETPA]],tbEtapas[],2,FALSE),"")</f>
        <v>6º ANO</v>
      </c>
      <c r="F821" s="4" t="str">
        <f>IFERROR(VLOOKUP(tbEscolas[[#This Row],[COD ETPA]],tbEtapas[],3,FALSE),"")</f>
        <v>FUNDAMENTAL</v>
      </c>
      <c r="G821" s="4" t="s">
        <v>126</v>
      </c>
    </row>
    <row r="822" spans="1:7" x14ac:dyDescent="0.25">
      <c r="A822" s="28">
        <f>_xlfn.XLOOKUP(tbEscolas[[#This Row],[ESCOLA]],tbNucleo[ESCOLA],tbNucleo[COD ESCOLA],"")</f>
        <v>46</v>
      </c>
      <c r="B822" s="4" t="str" cm="1">
        <f t="array" ref="B822">IFERROR(INDEX(tbNucleo[ESCOLA],ROUNDUP(ROW(B821)/TotalEtapas,0)),"")</f>
        <v>EM TANCREDO NEVES</v>
      </c>
      <c r="C822" s="4" t="s">
        <v>117</v>
      </c>
      <c r="D822" s="4" cm="1">
        <f t="array" ref="D822">IF(B822="","",INDEX(tbEtapas[Nº],MOD(ROW(B821)-1,TotalEtapas)+1))</f>
        <v>11</v>
      </c>
      <c r="E822" s="4" t="str">
        <f>IFERROR(VLOOKUP(tbEscolas[[#This Row],[COD ETPA]],tbEtapas[],2,FALSE),"")</f>
        <v>7º ANO</v>
      </c>
      <c r="F822" s="4" t="str">
        <f>IFERROR(VLOOKUP(tbEscolas[[#This Row],[COD ETPA]],tbEtapas[],3,FALSE),"")</f>
        <v>FUNDAMENTAL</v>
      </c>
      <c r="G822" s="4" t="s">
        <v>126</v>
      </c>
    </row>
    <row r="823" spans="1:7" x14ac:dyDescent="0.25">
      <c r="A823" s="28">
        <f>_xlfn.XLOOKUP(tbEscolas[[#This Row],[ESCOLA]],tbNucleo[ESCOLA],tbNucleo[COD ESCOLA],"")</f>
        <v>46</v>
      </c>
      <c r="B823" s="4" t="str" cm="1">
        <f t="array" ref="B823">IFERROR(INDEX(tbNucleo[ESCOLA],ROUNDUP(ROW(B822)/TotalEtapas,0)),"")</f>
        <v>EM TANCREDO NEVES</v>
      </c>
      <c r="C823" s="4" t="s">
        <v>117</v>
      </c>
      <c r="D823" s="4" cm="1">
        <f t="array" ref="D823">IF(B823="","",INDEX(tbEtapas[Nº],MOD(ROW(B822)-1,TotalEtapas)+1))</f>
        <v>12</v>
      </c>
      <c r="E823" s="4" t="str">
        <f>IFERROR(VLOOKUP(tbEscolas[[#This Row],[COD ETPA]],tbEtapas[],2,FALSE),"")</f>
        <v>8º ANO</v>
      </c>
      <c r="F823" s="4" t="str">
        <f>IFERROR(VLOOKUP(tbEscolas[[#This Row],[COD ETPA]],tbEtapas[],3,FALSE),"")</f>
        <v>FUNDAMENTAL</v>
      </c>
      <c r="G823" s="4" t="s">
        <v>126</v>
      </c>
    </row>
    <row r="824" spans="1:7" x14ac:dyDescent="0.25">
      <c r="A824" s="28">
        <f>_xlfn.XLOOKUP(tbEscolas[[#This Row],[ESCOLA]],tbNucleo[ESCOLA],tbNucleo[COD ESCOLA],"")</f>
        <v>46</v>
      </c>
      <c r="B824" s="4" t="str" cm="1">
        <f t="array" ref="B824">IFERROR(INDEX(tbNucleo[ESCOLA],ROUNDUP(ROW(B823)/TotalEtapas,0)),"")</f>
        <v>EM TANCREDO NEVES</v>
      </c>
      <c r="C824" s="4" t="s">
        <v>117</v>
      </c>
      <c r="D824" s="4" cm="1">
        <f t="array" ref="D824">IF(B824="","",INDEX(tbEtapas[Nº],MOD(ROW(B823)-1,TotalEtapas)+1))</f>
        <v>13</v>
      </c>
      <c r="E824" s="4" t="str">
        <f>IFERROR(VLOOKUP(tbEscolas[[#This Row],[COD ETPA]],tbEtapas[],2,FALSE),"")</f>
        <v>9º ANO</v>
      </c>
      <c r="F824" s="4" t="str">
        <f>IFERROR(VLOOKUP(tbEscolas[[#This Row],[COD ETPA]],tbEtapas[],3,FALSE),"")</f>
        <v>FUNDAMENTAL</v>
      </c>
      <c r="G824" s="4" t="s">
        <v>126</v>
      </c>
    </row>
    <row r="825" spans="1:7" x14ac:dyDescent="0.25">
      <c r="A825" s="28">
        <f>_xlfn.XLOOKUP(tbEscolas[[#This Row],[ESCOLA]],tbNucleo[ESCOLA],tbNucleo[COD ESCOLA],"")</f>
        <v>46</v>
      </c>
      <c r="B825" s="4" t="str" cm="1">
        <f t="array" ref="B825">IFERROR(INDEX(tbNucleo[ESCOLA],ROUNDUP(ROW(B824)/TotalEtapas,0)),"")</f>
        <v>EM TANCREDO NEVES</v>
      </c>
      <c r="C825" s="4" t="s">
        <v>117</v>
      </c>
      <c r="D825" s="4">
        <v>14</v>
      </c>
      <c r="E825" s="4" t="str">
        <f>IFERROR(VLOOKUP(tbEscolas[[#This Row],[COD ETPA]],tbEtapas[],2,FALSE),"")</f>
        <v>1º ANO</v>
      </c>
      <c r="F825" s="4" t="str">
        <f>IFERROR(VLOOKUP(tbEscolas[[#This Row],[COD ETPA]],tbEtapas[],3,FALSE),"")</f>
        <v>ENSINO MÉDIO</v>
      </c>
      <c r="G825" s="4" t="s">
        <v>126</v>
      </c>
    </row>
    <row r="826" spans="1:7" x14ac:dyDescent="0.25">
      <c r="A826" s="28">
        <f>_xlfn.XLOOKUP(tbEscolas[[#This Row],[ESCOLA]],tbNucleo[ESCOLA],tbNucleo[COD ESCOLA],"")</f>
        <v>46</v>
      </c>
      <c r="B826" s="4" t="str" cm="1">
        <f t="array" ref="B826">IFERROR(INDEX(tbNucleo[ESCOLA],ROUNDUP(ROW(B825)/TotalEtapas,0)),"")</f>
        <v>EM TANCREDO NEVES</v>
      </c>
      <c r="C826" s="4" t="s">
        <v>117</v>
      </c>
      <c r="D826" s="4">
        <v>15</v>
      </c>
      <c r="E826" s="4" t="str">
        <f>IFERROR(VLOOKUP(tbEscolas[[#This Row],[COD ETPA]],tbEtapas[],2,FALSE),"")</f>
        <v>2º ANO</v>
      </c>
      <c r="F826" s="4" t="str">
        <f>IFERROR(VLOOKUP(tbEscolas[[#This Row],[COD ETPA]],tbEtapas[],3,FALSE),"")</f>
        <v>ENSINO MÉDIO</v>
      </c>
      <c r="G826" s="4" t="s">
        <v>126</v>
      </c>
    </row>
    <row r="827" spans="1:7" x14ac:dyDescent="0.25">
      <c r="A827" s="28">
        <f>_xlfn.XLOOKUP(tbEscolas[[#This Row],[ESCOLA]],tbNucleo[ESCOLA],tbNucleo[COD ESCOLA],"")</f>
        <v>46</v>
      </c>
      <c r="B827" s="4" t="str" cm="1">
        <f t="array" ref="B827">IFERROR(INDEX(tbNucleo[ESCOLA],ROUNDUP(ROW(B826)/TotalEtapas,0)),"")</f>
        <v>EM TANCREDO NEVES</v>
      </c>
      <c r="C827" s="4" t="s">
        <v>117</v>
      </c>
      <c r="D827" s="4">
        <v>16</v>
      </c>
      <c r="E827" s="4" t="str">
        <f>IFERROR(VLOOKUP(tbEscolas[[#This Row],[COD ETPA]],tbEtapas[],2,FALSE),"")</f>
        <v>3º ANO</v>
      </c>
      <c r="F827" s="4" t="str">
        <f>IFERROR(VLOOKUP(tbEscolas[[#This Row],[COD ETPA]],tbEtapas[],3,FALSE),"")</f>
        <v>ENSINO MÉDIO</v>
      </c>
      <c r="G827" s="4" t="s">
        <v>126</v>
      </c>
    </row>
    <row r="828" spans="1:7" x14ac:dyDescent="0.25">
      <c r="A828" s="28">
        <f>_xlfn.XLOOKUP(tbEscolas[[#This Row],[ESCOLA]],tbNucleo[ESCOLA],tbNucleo[COD ESCOLA],"")</f>
        <v>46</v>
      </c>
      <c r="B828" s="4" t="str" cm="1">
        <f t="array" ref="B828">IFERROR(INDEX(tbNucleo[ESCOLA],ROUNDUP(ROW(B827)/TotalEtapas,0)),"")</f>
        <v>EM TANCREDO NEVES</v>
      </c>
      <c r="C828" s="4" t="s">
        <v>117</v>
      </c>
      <c r="D828" s="4">
        <v>17</v>
      </c>
      <c r="E828" s="4" t="str">
        <f>IFERROR(VLOOKUP(tbEscolas[[#This Row],[COD ETPA]],tbEtapas[],2,FALSE),"")</f>
        <v>EJA I</v>
      </c>
      <c r="F828" s="4" t="str">
        <f>IFERROR(VLOOKUP(tbEscolas[[#This Row],[COD ETPA]],tbEtapas[],3,FALSE),"")</f>
        <v>FUNDAMENTAL</v>
      </c>
      <c r="G828" s="4" t="s">
        <v>125</v>
      </c>
    </row>
    <row r="829" spans="1:7" x14ac:dyDescent="0.25">
      <c r="A829" s="28">
        <f>_xlfn.XLOOKUP(tbEscolas[[#This Row],[ESCOLA]],tbNucleo[ESCOLA],tbNucleo[COD ESCOLA],"")</f>
        <v>46</v>
      </c>
      <c r="B829" s="4" t="str" cm="1">
        <f t="array" ref="B829">IFERROR(INDEX(tbNucleo[ESCOLA],ROUNDUP(ROW(B828)/TotalEtapas,0)),"")</f>
        <v>EM TANCREDO NEVES</v>
      </c>
      <c r="C829" s="4" t="s">
        <v>117</v>
      </c>
      <c r="D829" s="4">
        <v>18</v>
      </c>
      <c r="E829" s="4" t="str">
        <f>IFERROR(VLOOKUP(tbEscolas[[#This Row],[COD ETPA]],tbEtapas[],2,FALSE),"")</f>
        <v>EJA II</v>
      </c>
      <c r="F829" s="4" t="str">
        <f>IFERROR(VLOOKUP(tbEscolas[[#This Row],[COD ETPA]],tbEtapas[],3,FALSE),"")</f>
        <v>ENSINO MÉDIO</v>
      </c>
      <c r="G829" s="4" t="s">
        <v>125</v>
      </c>
    </row>
    <row r="830" spans="1:7" x14ac:dyDescent="0.25">
      <c r="A830" s="33">
        <f>_xlfn.XLOOKUP(tbEscolas[[#This Row],[ESCOLA]],tbNucleo[ESCOLA],tbNucleo[COD ESCOLA],"")</f>
        <v>47</v>
      </c>
      <c r="B830" s="9" t="str" cm="1">
        <f t="array" ref="B830">IFERROR(INDEX(tbNucleo[ESCOLA],ROUNDUP(ROW(B829)/TotalEtapas,0)),"")</f>
        <v>EM UNIAO</v>
      </c>
      <c r="C830" s="9" t="s">
        <v>119</v>
      </c>
      <c r="D830" s="9">
        <v>1</v>
      </c>
      <c r="E830" s="9" t="s">
        <v>7</v>
      </c>
      <c r="F830" s="9" t="s">
        <v>23</v>
      </c>
      <c r="G830" s="9" t="s">
        <v>125</v>
      </c>
    </row>
    <row r="831" spans="1:7" x14ac:dyDescent="0.25">
      <c r="A831" s="33">
        <f>_xlfn.XLOOKUP(tbEscolas[[#This Row],[ESCOLA]],tbNucleo[ESCOLA],tbNucleo[COD ESCOLA],"")</f>
        <v>47</v>
      </c>
      <c r="B831" s="9" t="str" cm="1">
        <f t="array" ref="B831">IFERROR(INDEX(tbNucleo[ESCOLA],ROUNDUP(ROW(B830)/TotalEtapas,0)),"")</f>
        <v>EM UNIAO</v>
      </c>
      <c r="C831" s="9" t="s">
        <v>119</v>
      </c>
      <c r="D831" s="9">
        <v>2</v>
      </c>
      <c r="E831" s="9" t="s">
        <v>8</v>
      </c>
      <c r="F831" s="9" t="s">
        <v>23</v>
      </c>
      <c r="G831" s="9" t="s">
        <v>125</v>
      </c>
    </row>
    <row r="832" spans="1:7" x14ac:dyDescent="0.25">
      <c r="A832" s="33">
        <f>_xlfn.XLOOKUP(tbEscolas[[#This Row],[ESCOLA]],tbNucleo[ESCOLA],tbNucleo[COD ESCOLA],"")</f>
        <v>47</v>
      </c>
      <c r="B832" s="9" t="str" cm="1">
        <f t="array" ref="B832">IFERROR(INDEX(tbNucleo[ESCOLA],ROUNDUP(ROW(B831)/TotalEtapas,0)),"")</f>
        <v>EM UNIAO</v>
      </c>
      <c r="C832" s="9" t="s">
        <v>119</v>
      </c>
      <c r="D832" s="9">
        <v>3</v>
      </c>
      <c r="E832" s="9" t="s">
        <v>9</v>
      </c>
      <c r="F832" s="9" t="s">
        <v>23</v>
      </c>
      <c r="G832" s="9" t="s">
        <v>125</v>
      </c>
    </row>
    <row r="833" spans="1:7" x14ac:dyDescent="0.25">
      <c r="A833" s="33">
        <f>_xlfn.XLOOKUP(tbEscolas[[#This Row],[ESCOLA]],tbNucleo[ESCOLA],tbNucleo[COD ESCOLA],"")</f>
        <v>47</v>
      </c>
      <c r="B833" s="9" t="str" cm="1">
        <f t="array" ref="B833">IFERROR(INDEX(tbNucleo[ESCOLA],ROUNDUP(ROW(B832)/TotalEtapas,0)),"")</f>
        <v>EM UNIAO</v>
      </c>
      <c r="C833" s="9" t="s">
        <v>119</v>
      </c>
      <c r="D833" s="9">
        <v>4</v>
      </c>
      <c r="E833" s="9" t="s">
        <v>10</v>
      </c>
      <c r="F833" s="9" t="s">
        <v>23</v>
      </c>
      <c r="G833" s="9" t="s">
        <v>125</v>
      </c>
    </row>
    <row r="834" spans="1:7" x14ac:dyDescent="0.25">
      <c r="A834" s="33">
        <f>_xlfn.XLOOKUP(tbEscolas[[#This Row],[ESCOLA]],tbNucleo[ESCOLA],tbNucleo[COD ESCOLA],"")</f>
        <v>47</v>
      </c>
      <c r="B834" s="9" t="str" cm="1">
        <f t="array" ref="B834">IFERROR(INDEX(tbNucleo[ESCOLA],ROUNDUP(ROW(B833)/TotalEtapas,0)),"")</f>
        <v>EM UNIAO</v>
      </c>
      <c r="C834" s="9" t="s">
        <v>119</v>
      </c>
      <c r="D834" s="9">
        <v>5</v>
      </c>
      <c r="E834" s="9" t="s">
        <v>11</v>
      </c>
      <c r="F834" s="9" t="s">
        <v>20</v>
      </c>
      <c r="G834" s="9" t="s">
        <v>125</v>
      </c>
    </row>
    <row r="835" spans="1:7" x14ac:dyDescent="0.25">
      <c r="A835" s="33">
        <f>_xlfn.XLOOKUP(tbEscolas[[#This Row],[ESCOLA]],tbNucleo[ESCOLA],tbNucleo[COD ESCOLA],"")</f>
        <v>47</v>
      </c>
      <c r="B835" s="9" t="str" cm="1">
        <f t="array" ref="B835">IFERROR(INDEX(tbNucleo[ESCOLA],ROUNDUP(ROW(B834)/TotalEtapas,0)),"")</f>
        <v>EM UNIAO</v>
      </c>
      <c r="C835" s="9" t="s">
        <v>119</v>
      </c>
      <c r="D835" s="9">
        <v>6</v>
      </c>
      <c r="E835" s="9" t="s">
        <v>12</v>
      </c>
      <c r="F835" s="9" t="s">
        <v>20</v>
      </c>
      <c r="G835" s="9" t="s">
        <v>125</v>
      </c>
    </row>
    <row r="836" spans="1:7" x14ac:dyDescent="0.25">
      <c r="A836" s="33">
        <f>_xlfn.XLOOKUP(tbEscolas[[#This Row],[ESCOLA]],tbNucleo[ESCOLA],tbNucleo[COD ESCOLA],"")</f>
        <v>47</v>
      </c>
      <c r="B836" s="9" t="str" cm="1">
        <f t="array" ref="B836">IFERROR(INDEX(tbNucleo[ESCOLA],ROUNDUP(ROW(B835)/TotalEtapas,0)),"")</f>
        <v>EM UNIAO</v>
      </c>
      <c r="C836" s="9" t="s">
        <v>119</v>
      </c>
      <c r="D836" s="9">
        <v>7</v>
      </c>
      <c r="E836" s="9" t="s">
        <v>13</v>
      </c>
      <c r="F836" s="9" t="s">
        <v>20</v>
      </c>
      <c r="G836" s="9" t="s">
        <v>125</v>
      </c>
    </row>
    <row r="837" spans="1:7" x14ac:dyDescent="0.25">
      <c r="A837" s="33">
        <f>_xlfn.XLOOKUP(tbEscolas[[#This Row],[ESCOLA]],tbNucleo[ESCOLA],tbNucleo[COD ESCOLA],"")</f>
        <v>47</v>
      </c>
      <c r="B837" s="9" t="str" cm="1">
        <f t="array" ref="B837">IFERROR(INDEX(tbNucleo[ESCOLA],ROUNDUP(ROW(B836)/TotalEtapas,0)),"")</f>
        <v>EM UNIAO</v>
      </c>
      <c r="C837" s="9" t="s">
        <v>119</v>
      </c>
      <c r="D837" s="9">
        <v>8</v>
      </c>
      <c r="E837" s="9" t="s">
        <v>14</v>
      </c>
      <c r="F837" s="9" t="s">
        <v>20</v>
      </c>
      <c r="G837" s="9" t="s">
        <v>125</v>
      </c>
    </row>
    <row r="838" spans="1:7" x14ac:dyDescent="0.25">
      <c r="A838" s="33">
        <f>_xlfn.XLOOKUP(tbEscolas[[#This Row],[ESCOLA]],tbNucleo[ESCOLA],tbNucleo[COD ESCOLA],"")</f>
        <v>47</v>
      </c>
      <c r="B838" s="9" t="str" cm="1">
        <f t="array" ref="B838">IFERROR(INDEX(tbNucleo[ESCOLA],ROUNDUP(ROW(B837)/TotalEtapas,0)),"")</f>
        <v>EM UNIAO</v>
      </c>
      <c r="C838" s="9" t="s">
        <v>119</v>
      </c>
      <c r="D838" s="9">
        <v>9</v>
      </c>
      <c r="E838" s="9" t="s">
        <v>15</v>
      </c>
      <c r="F838" s="9" t="s">
        <v>20</v>
      </c>
      <c r="G838" s="9" t="s">
        <v>125</v>
      </c>
    </row>
    <row r="839" spans="1:7" x14ac:dyDescent="0.25">
      <c r="A839" s="33">
        <f>_xlfn.XLOOKUP(tbEscolas[[#This Row],[ESCOLA]],tbNucleo[ESCOLA],tbNucleo[COD ESCOLA],"")</f>
        <v>47</v>
      </c>
      <c r="B839" s="9" t="str" cm="1">
        <f t="array" ref="B839">IFERROR(INDEX(tbNucleo[ESCOLA],ROUNDUP(ROW(B838)/TotalEtapas,0)),"")</f>
        <v>EM UNIAO</v>
      </c>
      <c r="C839" s="9" t="s">
        <v>119</v>
      </c>
      <c r="D839" s="9">
        <v>10</v>
      </c>
      <c r="E839" s="9" t="s">
        <v>16</v>
      </c>
      <c r="F839" s="9" t="s">
        <v>20</v>
      </c>
      <c r="G839" s="9" t="s">
        <v>126</v>
      </c>
    </row>
    <row r="840" spans="1:7" x14ac:dyDescent="0.25">
      <c r="A840" s="33">
        <f>_xlfn.XLOOKUP(tbEscolas[[#This Row],[ESCOLA]],tbNucleo[ESCOLA],tbNucleo[COD ESCOLA],"")</f>
        <v>47</v>
      </c>
      <c r="B840" s="9" t="str" cm="1">
        <f t="array" ref="B840">IFERROR(INDEX(tbNucleo[ESCOLA],ROUNDUP(ROW(B839)/TotalEtapas,0)),"")</f>
        <v>EM UNIAO</v>
      </c>
      <c r="C840" s="9" t="s">
        <v>119</v>
      </c>
      <c r="D840" s="9">
        <v>11</v>
      </c>
      <c r="E840" s="9" t="s">
        <v>17</v>
      </c>
      <c r="F840" s="9" t="s">
        <v>20</v>
      </c>
      <c r="G840" s="9" t="s">
        <v>126</v>
      </c>
    </row>
    <row r="841" spans="1:7" x14ac:dyDescent="0.25">
      <c r="A841" s="33">
        <f>_xlfn.XLOOKUP(tbEscolas[[#This Row],[ESCOLA]],tbNucleo[ESCOLA],tbNucleo[COD ESCOLA],"")</f>
        <v>47</v>
      </c>
      <c r="B841" s="9" t="str" cm="1">
        <f t="array" ref="B841">IFERROR(INDEX(tbNucleo[ESCOLA],ROUNDUP(ROW(B840)/TotalEtapas,0)),"")</f>
        <v>EM UNIAO</v>
      </c>
      <c r="C841" s="9" t="s">
        <v>119</v>
      </c>
      <c r="D841" s="9">
        <v>12</v>
      </c>
      <c r="E841" s="9" t="s">
        <v>18</v>
      </c>
      <c r="F841" s="9" t="s">
        <v>20</v>
      </c>
      <c r="G841" s="9" t="s">
        <v>126</v>
      </c>
    </row>
    <row r="842" spans="1:7" x14ac:dyDescent="0.25">
      <c r="A842" s="33">
        <f>_xlfn.XLOOKUP(tbEscolas[[#This Row],[ESCOLA]],tbNucleo[ESCOLA],tbNucleo[COD ESCOLA],"")</f>
        <v>47</v>
      </c>
      <c r="B842" s="9" t="str" cm="1">
        <f t="array" ref="B842">IFERROR(INDEX(tbNucleo[ESCOLA],ROUNDUP(ROW(B841)/TotalEtapas,0)),"")</f>
        <v>EM UNIAO</v>
      </c>
      <c r="C842" s="9" t="s">
        <v>119</v>
      </c>
      <c r="D842" s="9">
        <v>13</v>
      </c>
      <c r="E842" s="9" t="s">
        <v>19</v>
      </c>
      <c r="F842" s="9" t="s">
        <v>20</v>
      </c>
      <c r="G842" s="9" t="s">
        <v>126</v>
      </c>
    </row>
    <row r="843" spans="1:7" x14ac:dyDescent="0.25">
      <c r="A843" s="33">
        <f>_xlfn.XLOOKUP(tbEscolas[[#This Row],[ESCOLA]],tbNucleo[ESCOLA],tbNucleo[COD ESCOLA],"")</f>
        <v>47</v>
      </c>
      <c r="B843" s="9" t="str" cm="1">
        <f t="array" ref="B843">IFERROR(INDEX(tbNucleo[ESCOLA],ROUNDUP(ROW(B842)/TotalEtapas,0)),"")</f>
        <v>EM UNIAO</v>
      </c>
      <c r="C843" s="9" t="s">
        <v>119</v>
      </c>
      <c r="D843" s="9">
        <v>14</v>
      </c>
      <c r="E843" s="9" t="s">
        <v>11</v>
      </c>
      <c r="F843" s="9" t="s">
        <v>24</v>
      </c>
      <c r="G843" s="9" t="s">
        <v>126</v>
      </c>
    </row>
    <row r="844" spans="1:7" x14ac:dyDescent="0.25">
      <c r="A844" s="33">
        <f>_xlfn.XLOOKUP(tbEscolas[[#This Row],[ESCOLA]],tbNucleo[ESCOLA],tbNucleo[COD ESCOLA],"")</f>
        <v>47</v>
      </c>
      <c r="B844" s="9" t="str" cm="1">
        <f t="array" ref="B844">IFERROR(INDEX(tbNucleo[ESCOLA],ROUNDUP(ROW(B843)/TotalEtapas,0)),"")</f>
        <v>EM UNIAO</v>
      </c>
      <c r="C844" s="9" t="s">
        <v>119</v>
      </c>
      <c r="D844" s="9">
        <v>15</v>
      </c>
      <c r="E844" s="9" t="s">
        <v>12</v>
      </c>
      <c r="F844" s="9" t="s">
        <v>24</v>
      </c>
      <c r="G844" s="9" t="s">
        <v>126</v>
      </c>
    </row>
    <row r="845" spans="1:7" x14ac:dyDescent="0.25">
      <c r="A845" s="33">
        <f>_xlfn.XLOOKUP(tbEscolas[[#This Row],[ESCOLA]],tbNucleo[ESCOLA],tbNucleo[COD ESCOLA],"")</f>
        <v>47</v>
      </c>
      <c r="B845" s="9" t="str" cm="1">
        <f t="array" ref="B845">IFERROR(INDEX(tbNucleo[ESCOLA],ROUNDUP(ROW(B844)/TotalEtapas,0)),"")</f>
        <v>EM UNIAO</v>
      </c>
      <c r="C845" s="9" t="s">
        <v>119</v>
      </c>
      <c r="D845" s="9">
        <v>16</v>
      </c>
      <c r="E845" s="9" t="s">
        <v>13</v>
      </c>
      <c r="F845" s="9" t="s">
        <v>24</v>
      </c>
      <c r="G845" s="9" t="s">
        <v>126</v>
      </c>
    </row>
    <row r="846" spans="1:7" x14ac:dyDescent="0.25">
      <c r="A846" s="33">
        <f>_xlfn.XLOOKUP(tbEscolas[[#This Row],[ESCOLA]],tbNucleo[ESCOLA],tbNucleo[COD ESCOLA],"")</f>
        <v>47</v>
      </c>
      <c r="B846" s="9" t="str" cm="1">
        <f t="array" ref="B846">IFERROR(INDEX(tbNucleo[ESCOLA],ROUNDUP(ROW(B845)/TotalEtapas,0)),"")</f>
        <v>EM UNIAO</v>
      </c>
      <c r="C846" s="9" t="s">
        <v>119</v>
      </c>
      <c r="D846" s="9">
        <v>17</v>
      </c>
      <c r="E846" s="9" t="s">
        <v>21</v>
      </c>
      <c r="F846" s="9" t="s">
        <v>20</v>
      </c>
      <c r="G846" s="9" t="s">
        <v>125</v>
      </c>
    </row>
    <row r="847" spans="1:7" x14ac:dyDescent="0.25">
      <c r="A847" s="33">
        <f>_xlfn.XLOOKUP(tbEscolas[[#This Row],[ESCOLA]],tbNucleo[ESCOLA],tbNucleo[COD ESCOLA],"")</f>
        <v>47</v>
      </c>
      <c r="B847" s="9" t="str" cm="1">
        <f t="array" ref="B847">IFERROR(INDEX(tbNucleo[ESCOLA],ROUNDUP(ROW(B846)/TotalEtapas,0)),"")</f>
        <v>EM UNIAO</v>
      </c>
      <c r="C847" s="9" t="s">
        <v>119</v>
      </c>
      <c r="D847" s="9">
        <v>18</v>
      </c>
      <c r="E847" s="9" t="s">
        <v>22</v>
      </c>
      <c r="F847" s="9" t="s">
        <v>24</v>
      </c>
      <c r="G847" s="9" t="s">
        <v>125</v>
      </c>
    </row>
    <row r="848" spans="1:7" x14ac:dyDescent="0.25">
      <c r="A848" s="34">
        <f>_xlfn.XLOOKUP(tbEscolas[[#This Row],[ESCOLA]],tbNucleo[ESCOLA],tbNucleo[COD ESCOLA],"")</f>
        <v>48</v>
      </c>
      <c r="B848" s="10" t="str" cm="1">
        <f t="array" ref="B848">IFERROR(INDEX(tbNucleo[ESCOLA],ROUNDUP(ROW(B847)/TotalEtapas,0)),"")</f>
        <v>EM VILA IRENE</v>
      </c>
      <c r="C848" s="10" t="s">
        <v>114</v>
      </c>
      <c r="D848" s="10" cm="1">
        <f t="array" ref="D848">IF(B848="","",INDEX(tbEtapas[Nº],MOD(ROW(B847)-1,TotalEtapas)+1))</f>
        <v>1</v>
      </c>
      <c r="E848" s="10" t="str">
        <f>IFERROR(VLOOKUP(tbEscolas[[#This Row],[COD ETPA]],tbEtapas[],2,FALSE),"")</f>
        <v>CRECHE I</v>
      </c>
      <c r="F848" s="10" t="str">
        <f>IFERROR(VLOOKUP(tbEscolas[[#This Row],[COD ETPA]],tbEtapas[],3,FALSE),"")</f>
        <v>EDUCAÇÃO INFANTIL</v>
      </c>
      <c r="G848" s="10" t="s">
        <v>125</v>
      </c>
    </row>
    <row r="849" spans="1:7" x14ac:dyDescent="0.25">
      <c r="A849" s="34">
        <f>_xlfn.XLOOKUP(tbEscolas[[#This Row],[ESCOLA]],tbNucleo[ESCOLA],tbNucleo[COD ESCOLA],"")</f>
        <v>48</v>
      </c>
      <c r="B849" s="10" t="str" cm="1">
        <f t="array" ref="B849">IFERROR(INDEX(tbNucleo[ESCOLA],ROUNDUP(ROW(B848)/TotalEtapas,0)),"")</f>
        <v>EM VILA IRENE</v>
      </c>
      <c r="C849" s="10" t="s">
        <v>114</v>
      </c>
      <c r="D849" s="10" cm="1">
        <f t="array" ref="D849">IF(B849="","",INDEX(tbEtapas[Nº],MOD(ROW(B848)-1,TotalEtapas)+1))</f>
        <v>2</v>
      </c>
      <c r="E849" s="10" t="str">
        <f>IFERROR(VLOOKUP(tbEscolas[[#This Row],[COD ETPA]],tbEtapas[],2,FALSE),"")</f>
        <v>CRECHE II</v>
      </c>
      <c r="F849" s="10" t="str">
        <f>IFERROR(VLOOKUP(tbEscolas[[#This Row],[COD ETPA]],tbEtapas[],3,FALSE),"")</f>
        <v>EDUCAÇÃO INFANTIL</v>
      </c>
      <c r="G849" s="10" t="s">
        <v>125</v>
      </c>
    </row>
    <row r="850" spans="1:7" x14ac:dyDescent="0.25">
      <c r="A850" s="34">
        <f>_xlfn.XLOOKUP(tbEscolas[[#This Row],[ESCOLA]],tbNucleo[ESCOLA],tbNucleo[COD ESCOLA],"")</f>
        <v>48</v>
      </c>
      <c r="B850" s="10" t="str" cm="1">
        <f t="array" ref="B850">IFERROR(INDEX(tbNucleo[ESCOLA],ROUNDUP(ROW(B849)/TotalEtapas,0)),"")</f>
        <v>EM VILA IRENE</v>
      </c>
      <c r="C850" s="10" t="s">
        <v>114</v>
      </c>
      <c r="D850" s="10" cm="1">
        <f t="array" ref="D850">IF(B850="","",INDEX(tbEtapas[Nº],MOD(ROW(B849)-1,TotalEtapas)+1))</f>
        <v>3</v>
      </c>
      <c r="E850" s="10" t="str">
        <f>IFERROR(VLOOKUP(tbEscolas[[#This Row],[COD ETPA]],tbEtapas[],2,FALSE),"")</f>
        <v>PRE I</v>
      </c>
      <c r="F850" s="10" t="str">
        <f>IFERROR(VLOOKUP(tbEscolas[[#This Row],[COD ETPA]],tbEtapas[],3,FALSE),"")</f>
        <v>EDUCAÇÃO INFANTIL</v>
      </c>
      <c r="G850" s="10" t="s">
        <v>125</v>
      </c>
    </row>
    <row r="851" spans="1:7" x14ac:dyDescent="0.25">
      <c r="A851" s="34">
        <f>_xlfn.XLOOKUP(tbEscolas[[#This Row],[ESCOLA]],tbNucleo[ESCOLA],tbNucleo[COD ESCOLA],"")</f>
        <v>48</v>
      </c>
      <c r="B851" s="10" t="str" cm="1">
        <f t="array" ref="B851">IFERROR(INDEX(tbNucleo[ESCOLA],ROUNDUP(ROW(B850)/TotalEtapas,0)),"")</f>
        <v>EM VILA IRENE</v>
      </c>
      <c r="C851" s="10" t="s">
        <v>114</v>
      </c>
      <c r="D851" s="10" cm="1">
        <f t="array" ref="D851">IF(B851="","",INDEX(tbEtapas[Nº],MOD(ROW(B850)-1,TotalEtapas)+1))</f>
        <v>4</v>
      </c>
      <c r="E851" s="10" t="str">
        <f>IFERROR(VLOOKUP(tbEscolas[[#This Row],[COD ETPA]],tbEtapas[],2,FALSE),"")</f>
        <v>PRE II</v>
      </c>
      <c r="F851" s="10" t="str">
        <f>IFERROR(VLOOKUP(tbEscolas[[#This Row],[COD ETPA]],tbEtapas[],3,FALSE),"")</f>
        <v>EDUCAÇÃO INFANTIL</v>
      </c>
      <c r="G851" s="10" t="s">
        <v>125</v>
      </c>
    </row>
    <row r="852" spans="1:7" x14ac:dyDescent="0.25">
      <c r="A852" s="34">
        <f>_xlfn.XLOOKUP(tbEscolas[[#This Row],[ESCOLA]],tbNucleo[ESCOLA],tbNucleo[COD ESCOLA],"")</f>
        <v>48</v>
      </c>
      <c r="B852" s="10" t="str" cm="1">
        <f t="array" ref="B852">IFERROR(INDEX(tbNucleo[ESCOLA],ROUNDUP(ROW(B851)/TotalEtapas,0)),"")</f>
        <v>EM VILA IRENE</v>
      </c>
      <c r="C852" s="10" t="s">
        <v>114</v>
      </c>
      <c r="D852" s="10" cm="1">
        <f t="array" ref="D852">IF(B852="","",INDEX(tbEtapas[Nº],MOD(ROW(B851)-1,TotalEtapas)+1))</f>
        <v>5</v>
      </c>
      <c r="E852" s="10" t="str">
        <f>IFERROR(VLOOKUP(tbEscolas[[#This Row],[COD ETPA]],tbEtapas[],2,FALSE),"")</f>
        <v>1º ANO</v>
      </c>
      <c r="F852" s="10" t="str">
        <f>IFERROR(VLOOKUP(tbEscolas[[#This Row],[COD ETPA]],tbEtapas[],3,FALSE),"")</f>
        <v>FUNDAMENTAL</v>
      </c>
      <c r="G852" s="10" t="s">
        <v>125</v>
      </c>
    </row>
    <row r="853" spans="1:7" x14ac:dyDescent="0.25">
      <c r="A853" s="34">
        <f>_xlfn.XLOOKUP(tbEscolas[[#This Row],[ESCOLA]],tbNucleo[ESCOLA],tbNucleo[COD ESCOLA],"")</f>
        <v>48</v>
      </c>
      <c r="B853" s="10" t="str" cm="1">
        <f t="array" ref="B853">IFERROR(INDEX(tbNucleo[ESCOLA],ROUNDUP(ROW(B852)/TotalEtapas,0)),"")</f>
        <v>EM VILA IRENE</v>
      </c>
      <c r="C853" s="10" t="s">
        <v>114</v>
      </c>
      <c r="D853" s="10" cm="1">
        <f t="array" ref="D853">IF(B853="","",INDEX(tbEtapas[Nº],MOD(ROW(B852)-1,TotalEtapas)+1))</f>
        <v>6</v>
      </c>
      <c r="E853" s="10" t="str">
        <f>IFERROR(VLOOKUP(tbEscolas[[#This Row],[COD ETPA]],tbEtapas[],2,FALSE),"")</f>
        <v>2º ANO</v>
      </c>
      <c r="F853" s="10" t="str">
        <f>IFERROR(VLOOKUP(tbEscolas[[#This Row],[COD ETPA]],tbEtapas[],3,FALSE),"")</f>
        <v>FUNDAMENTAL</v>
      </c>
      <c r="G853" s="10" t="s">
        <v>125</v>
      </c>
    </row>
    <row r="854" spans="1:7" x14ac:dyDescent="0.25">
      <c r="A854" s="34">
        <f>_xlfn.XLOOKUP(tbEscolas[[#This Row],[ESCOLA]],tbNucleo[ESCOLA],tbNucleo[COD ESCOLA],"")</f>
        <v>48</v>
      </c>
      <c r="B854" s="10" t="str" cm="1">
        <f t="array" ref="B854">IFERROR(INDEX(tbNucleo[ESCOLA],ROUNDUP(ROW(B853)/TotalEtapas,0)),"")</f>
        <v>EM VILA IRENE</v>
      </c>
      <c r="C854" s="10" t="s">
        <v>114</v>
      </c>
      <c r="D854" s="10" cm="1">
        <f t="array" ref="D854">IF(B854="","",INDEX(tbEtapas[Nº],MOD(ROW(B853)-1,TotalEtapas)+1))</f>
        <v>7</v>
      </c>
      <c r="E854" s="10" t="str">
        <f>IFERROR(VLOOKUP(tbEscolas[[#This Row],[COD ETPA]],tbEtapas[],2,FALSE),"")</f>
        <v>3º ANO</v>
      </c>
      <c r="F854" s="10" t="str">
        <f>IFERROR(VLOOKUP(tbEscolas[[#This Row],[COD ETPA]],tbEtapas[],3,FALSE),"")</f>
        <v>FUNDAMENTAL</v>
      </c>
      <c r="G854" s="10" t="s">
        <v>125</v>
      </c>
    </row>
    <row r="855" spans="1:7" x14ac:dyDescent="0.25">
      <c r="A855" s="34">
        <f>_xlfn.XLOOKUP(tbEscolas[[#This Row],[ESCOLA]],tbNucleo[ESCOLA],tbNucleo[COD ESCOLA],"")</f>
        <v>48</v>
      </c>
      <c r="B855" s="10" t="str" cm="1">
        <f t="array" ref="B855">IFERROR(INDEX(tbNucleo[ESCOLA],ROUNDUP(ROW(B854)/TotalEtapas,0)),"")</f>
        <v>EM VILA IRENE</v>
      </c>
      <c r="C855" s="10" t="s">
        <v>114</v>
      </c>
      <c r="D855" s="10" cm="1">
        <f t="array" ref="D855">IF(B855="","",INDEX(tbEtapas[Nº],MOD(ROW(B854)-1,TotalEtapas)+1))</f>
        <v>8</v>
      </c>
      <c r="E855" s="10" t="str">
        <f>IFERROR(VLOOKUP(tbEscolas[[#This Row],[COD ETPA]],tbEtapas[],2,FALSE),"")</f>
        <v>4º ANO</v>
      </c>
      <c r="F855" s="10" t="str">
        <f>IFERROR(VLOOKUP(tbEscolas[[#This Row],[COD ETPA]],tbEtapas[],3,FALSE),"")</f>
        <v>FUNDAMENTAL</v>
      </c>
      <c r="G855" s="10" t="s">
        <v>125</v>
      </c>
    </row>
    <row r="856" spans="1:7" x14ac:dyDescent="0.25">
      <c r="A856" s="34">
        <f>_xlfn.XLOOKUP(tbEscolas[[#This Row],[ESCOLA]],tbNucleo[ESCOLA],tbNucleo[COD ESCOLA],"")</f>
        <v>48</v>
      </c>
      <c r="B856" s="10" t="str" cm="1">
        <f t="array" ref="B856">IFERROR(INDEX(tbNucleo[ESCOLA],ROUNDUP(ROW(B855)/TotalEtapas,0)),"")</f>
        <v>EM VILA IRENE</v>
      </c>
      <c r="C856" s="10" t="s">
        <v>114</v>
      </c>
      <c r="D856" s="10" cm="1">
        <f t="array" ref="D856">IF(B856="","",INDEX(tbEtapas[Nº],MOD(ROW(B855)-1,TotalEtapas)+1))</f>
        <v>9</v>
      </c>
      <c r="E856" s="10" t="str">
        <f>IFERROR(VLOOKUP(tbEscolas[[#This Row],[COD ETPA]],tbEtapas[],2,FALSE),"")</f>
        <v>5º ANO</v>
      </c>
      <c r="F856" s="10" t="str">
        <f>IFERROR(VLOOKUP(tbEscolas[[#This Row],[COD ETPA]],tbEtapas[],3,FALSE),"")</f>
        <v>FUNDAMENTAL</v>
      </c>
      <c r="G856" s="10" t="s">
        <v>125</v>
      </c>
    </row>
    <row r="857" spans="1:7" x14ac:dyDescent="0.25">
      <c r="A857" s="34">
        <f>_xlfn.XLOOKUP(tbEscolas[[#This Row],[ESCOLA]],tbNucleo[ESCOLA],tbNucleo[COD ESCOLA],"")</f>
        <v>48</v>
      </c>
      <c r="B857" s="10" t="str" cm="1">
        <f t="array" ref="B857">IFERROR(INDEX(tbNucleo[ESCOLA],ROUNDUP(ROW(B856)/TotalEtapas,0)),"")</f>
        <v>EM VILA IRENE</v>
      </c>
      <c r="C857" s="10" t="s">
        <v>114</v>
      </c>
      <c r="D857" s="10" cm="1">
        <f t="array" ref="D857">IF(B857="","",INDEX(tbEtapas[Nº],MOD(ROW(B856)-1,TotalEtapas)+1))</f>
        <v>10</v>
      </c>
      <c r="E857" s="10" t="str">
        <f>IFERROR(VLOOKUP(tbEscolas[[#This Row],[COD ETPA]],tbEtapas[],2,FALSE),"")</f>
        <v>6º ANO</v>
      </c>
      <c r="F857" s="10" t="str">
        <f>IFERROR(VLOOKUP(tbEscolas[[#This Row],[COD ETPA]],tbEtapas[],3,FALSE),"")</f>
        <v>FUNDAMENTAL</v>
      </c>
      <c r="G857" s="10" t="s">
        <v>126</v>
      </c>
    </row>
    <row r="858" spans="1:7" x14ac:dyDescent="0.25">
      <c r="A858" s="34">
        <f>_xlfn.XLOOKUP(tbEscolas[[#This Row],[ESCOLA]],tbNucleo[ESCOLA],tbNucleo[COD ESCOLA],"")</f>
        <v>48</v>
      </c>
      <c r="B858" s="10" t="str" cm="1">
        <f t="array" ref="B858">IFERROR(INDEX(tbNucleo[ESCOLA],ROUNDUP(ROW(B857)/TotalEtapas,0)),"")</f>
        <v>EM VILA IRENE</v>
      </c>
      <c r="C858" s="10" t="s">
        <v>114</v>
      </c>
      <c r="D858" s="10" cm="1">
        <f t="array" ref="D858">IF(B858="","",INDEX(tbEtapas[Nº],MOD(ROW(B857)-1,TotalEtapas)+1))</f>
        <v>11</v>
      </c>
      <c r="E858" s="10" t="str">
        <f>IFERROR(VLOOKUP(tbEscolas[[#This Row],[COD ETPA]],tbEtapas[],2,FALSE),"")</f>
        <v>7º ANO</v>
      </c>
      <c r="F858" s="10" t="str">
        <f>IFERROR(VLOOKUP(tbEscolas[[#This Row],[COD ETPA]],tbEtapas[],3,FALSE),"")</f>
        <v>FUNDAMENTAL</v>
      </c>
      <c r="G858" s="10" t="s">
        <v>126</v>
      </c>
    </row>
    <row r="859" spans="1:7" x14ac:dyDescent="0.25">
      <c r="A859" s="34">
        <f>_xlfn.XLOOKUP(tbEscolas[[#This Row],[ESCOLA]],tbNucleo[ESCOLA],tbNucleo[COD ESCOLA],"")</f>
        <v>48</v>
      </c>
      <c r="B859" s="10" t="str" cm="1">
        <f t="array" ref="B859">IFERROR(INDEX(tbNucleo[ESCOLA],ROUNDUP(ROW(B858)/TotalEtapas,0)),"")</f>
        <v>EM VILA IRENE</v>
      </c>
      <c r="C859" s="10" t="s">
        <v>114</v>
      </c>
      <c r="D859" s="10" cm="1">
        <f t="array" ref="D859">IF(B859="","",INDEX(tbEtapas[Nº],MOD(ROW(B858)-1,TotalEtapas)+1))</f>
        <v>12</v>
      </c>
      <c r="E859" s="10" t="str">
        <f>IFERROR(VLOOKUP(tbEscolas[[#This Row],[COD ETPA]],tbEtapas[],2,FALSE),"")</f>
        <v>8º ANO</v>
      </c>
      <c r="F859" s="10" t="str">
        <f>IFERROR(VLOOKUP(tbEscolas[[#This Row],[COD ETPA]],tbEtapas[],3,FALSE),"")</f>
        <v>FUNDAMENTAL</v>
      </c>
      <c r="G859" s="10" t="s">
        <v>126</v>
      </c>
    </row>
    <row r="860" spans="1:7" x14ac:dyDescent="0.25">
      <c r="A860" s="34">
        <f>_xlfn.XLOOKUP(tbEscolas[[#This Row],[ESCOLA]],tbNucleo[ESCOLA],tbNucleo[COD ESCOLA],"")</f>
        <v>48</v>
      </c>
      <c r="B860" s="10" t="str" cm="1">
        <f t="array" ref="B860">IFERROR(INDEX(tbNucleo[ESCOLA],ROUNDUP(ROW(B859)/TotalEtapas,0)),"")</f>
        <v>EM VILA IRENE</v>
      </c>
      <c r="C860" s="10" t="s">
        <v>114</v>
      </c>
      <c r="D860" s="10" cm="1">
        <f t="array" ref="D860">IF(B860="","",INDEX(tbEtapas[Nº],MOD(ROW(B859)-1,TotalEtapas)+1))</f>
        <v>13</v>
      </c>
      <c r="E860" s="10" t="str">
        <f>IFERROR(VLOOKUP(tbEscolas[[#This Row],[COD ETPA]],tbEtapas[],2,FALSE),"")</f>
        <v>9º ANO</v>
      </c>
      <c r="F860" s="10" t="str">
        <f>IFERROR(VLOOKUP(tbEscolas[[#This Row],[COD ETPA]],tbEtapas[],3,FALSE),"")</f>
        <v>FUNDAMENTAL</v>
      </c>
      <c r="G860" s="10" t="s">
        <v>126</v>
      </c>
    </row>
    <row r="861" spans="1:7" x14ac:dyDescent="0.25">
      <c r="A861" s="34">
        <f>_xlfn.XLOOKUP(tbEscolas[[#This Row],[ESCOLA]],tbNucleo[ESCOLA],tbNucleo[COD ESCOLA],"")</f>
        <v>48</v>
      </c>
      <c r="B861" s="10" t="str" cm="1">
        <f t="array" ref="B861">IFERROR(INDEX(tbNucleo[ESCOLA],ROUNDUP(ROW(B860)/TotalEtapas,0)),"")</f>
        <v>EM VILA IRENE</v>
      </c>
      <c r="C861" s="10" t="s">
        <v>114</v>
      </c>
      <c r="D861" s="10">
        <v>14</v>
      </c>
      <c r="E861" s="10" t="str">
        <f>IFERROR(VLOOKUP(tbEscolas[[#This Row],[COD ETPA]],tbEtapas[],2,FALSE),"")</f>
        <v>1º ANO</v>
      </c>
      <c r="F861" s="10" t="str">
        <f>IFERROR(VLOOKUP(tbEscolas[[#This Row],[COD ETPA]],tbEtapas[],3,FALSE),"")</f>
        <v>ENSINO MÉDIO</v>
      </c>
      <c r="G861" s="10" t="s">
        <v>126</v>
      </c>
    </row>
    <row r="862" spans="1:7" x14ac:dyDescent="0.25">
      <c r="A862" s="34">
        <f>_xlfn.XLOOKUP(tbEscolas[[#This Row],[ESCOLA]],tbNucleo[ESCOLA],tbNucleo[COD ESCOLA],"")</f>
        <v>48</v>
      </c>
      <c r="B862" s="10" t="str" cm="1">
        <f t="array" ref="B862">IFERROR(INDEX(tbNucleo[ESCOLA],ROUNDUP(ROW(B861)/TotalEtapas,0)),"")</f>
        <v>EM VILA IRENE</v>
      </c>
      <c r="C862" s="10" t="s">
        <v>114</v>
      </c>
      <c r="D862" s="10">
        <v>15</v>
      </c>
      <c r="E862" s="10" t="str">
        <f>IFERROR(VLOOKUP(tbEscolas[[#This Row],[COD ETPA]],tbEtapas[],2,FALSE),"")</f>
        <v>2º ANO</v>
      </c>
      <c r="F862" s="10" t="str">
        <f>IFERROR(VLOOKUP(tbEscolas[[#This Row],[COD ETPA]],tbEtapas[],3,FALSE),"")</f>
        <v>ENSINO MÉDIO</v>
      </c>
      <c r="G862" s="10" t="s">
        <v>126</v>
      </c>
    </row>
    <row r="863" spans="1:7" x14ac:dyDescent="0.25">
      <c r="A863" s="34">
        <f>_xlfn.XLOOKUP(tbEscolas[[#This Row],[ESCOLA]],tbNucleo[ESCOLA],tbNucleo[COD ESCOLA],"")</f>
        <v>48</v>
      </c>
      <c r="B863" s="10" t="str" cm="1">
        <f t="array" ref="B863">IFERROR(INDEX(tbNucleo[ESCOLA],ROUNDUP(ROW(B862)/TotalEtapas,0)),"")</f>
        <v>EM VILA IRENE</v>
      </c>
      <c r="C863" s="10" t="s">
        <v>114</v>
      </c>
      <c r="D863" s="10">
        <v>16</v>
      </c>
      <c r="E863" s="10" t="str">
        <f>IFERROR(VLOOKUP(tbEscolas[[#This Row],[COD ETPA]],tbEtapas[],2,FALSE),"")</f>
        <v>3º ANO</v>
      </c>
      <c r="F863" s="10" t="str">
        <f>IFERROR(VLOOKUP(tbEscolas[[#This Row],[COD ETPA]],tbEtapas[],3,FALSE),"")</f>
        <v>ENSINO MÉDIO</v>
      </c>
      <c r="G863" s="10" t="s">
        <v>126</v>
      </c>
    </row>
    <row r="864" spans="1:7" x14ac:dyDescent="0.25">
      <c r="A864" s="34">
        <f>_xlfn.XLOOKUP(tbEscolas[[#This Row],[ESCOLA]],tbNucleo[ESCOLA],tbNucleo[COD ESCOLA],"")</f>
        <v>48</v>
      </c>
      <c r="B864" s="10" t="str" cm="1">
        <f t="array" ref="B864">IFERROR(INDEX(tbNucleo[ESCOLA],ROUNDUP(ROW(B863)/TotalEtapas,0)),"")</f>
        <v>EM VILA IRENE</v>
      </c>
      <c r="C864" s="10" t="s">
        <v>114</v>
      </c>
      <c r="D864" s="10">
        <v>17</v>
      </c>
      <c r="E864" s="10" t="str">
        <f>IFERROR(VLOOKUP(tbEscolas[[#This Row],[COD ETPA]],tbEtapas[],2,FALSE),"")</f>
        <v>EJA I</v>
      </c>
      <c r="F864" s="10" t="str">
        <f>IFERROR(VLOOKUP(tbEscolas[[#This Row],[COD ETPA]],tbEtapas[],3,FALSE),"")</f>
        <v>FUNDAMENTAL</v>
      </c>
      <c r="G864" s="10" t="s">
        <v>125</v>
      </c>
    </row>
    <row r="865" spans="1:7" x14ac:dyDescent="0.25">
      <c r="A865" s="34">
        <f>_xlfn.XLOOKUP(tbEscolas[[#This Row],[ESCOLA]],tbNucleo[ESCOLA],tbNucleo[COD ESCOLA],"")</f>
        <v>48</v>
      </c>
      <c r="B865" s="10" t="str" cm="1">
        <f t="array" ref="B865">IFERROR(INDEX(tbNucleo[ESCOLA],ROUNDUP(ROW(B864)/TotalEtapas,0)),"")</f>
        <v>EM VILA IRENE</v>
      </c>
      <c r="C865" s="10" t="s">
        <v>114</v>
      </c>
      <c r="D865" s="10">
        <v>18</v>
      </c>
      <c r="E865" s="10" t="str">
        <f>IFERROR(VLOOKUP(tbEscolas[[#This Row],[COD ETPA]],tbEtapas[],2,FALSE),"")</f>
        <v>EJA II</v>
      </c>
      <c r="F865" s="10" t="str">
        <f>IFERROR(VLOOKUP(tbEscolas[[#This Row],[COD ETPA]],tbEtapas[],3,FALSE),"")</f>
        <v>ENSINO MÉDIO</v>
      </c>
      <c r="G865" s="10" t="s">
        <v>125</v>
      </c>
    </row>
    <row r="866" spans="1:7" x14ac:dyDescent="0.25">
      <c r="A866" s="32">
        <f>_xlfn.XLOOKUP(tbEscolas[[#This Row],[ESCOLA]],tbNucleo[ESCOLA],tbNucleo[COD ESCOLA],"")</f>
        <v>49</v>
      </c>
      <c r="B866" s="8" t="str" cm="1">
        <f t="array" ref="B866">IFERROR(INDEX(tbNucleo[ESCOLA],ROUNDUP(ROW(B865)/TotalEtapas,0)),"")</f>
        <v>EM VILA REAL</v>
      </c>
      <c r="C866" s="8" t="s">
        <v>112</v>
      </c>
      <c r="D866" s="8">
        <v>1</v>
      </c>
      <c r="E866" s="8" t="s">
        <v>7</v>
      </c>
      <c r="F866" s="8" t="s">
        <v>23</v>
      </c>
      <c r="G866" s="8" t="s">
        <v>125</v>
      </c>
    </row>
    <row r="867" spans="1:7" x14ac:dyDescent="0.25">
      <c r="A867" s="32">
        <f>_xlfn.XLOOKUP(tbEscolas[[#This Row],[ESCOLA]],tbNucleo[ESCOLA],tbNucleo[COD ESCOLA],"")</f>
        <v>49</v>
      </c>
      <c r="B867" s="8" t="str" cm="1">
        <f t="array" ref="B867">IFERROR(INDEX(tbNucleo[ESCOLA],ROUNDUP(ROW(B866)/TotalEtapas,0)),"")</f>
        <v>EM VILA REAL</v>
      </c>
      <c r="C867" s="8" t="s">
        <v>112</v>
      </c>
      <c r="D867" s="8">
        <v>2</v>
      </c>
      <c r="E867" s="8" t="s">
        <v>8</v>
      </c>
      <c r="F867" s="8" t="s">
        <v>23</v>
      </c>
      <c r="G867" s="8" t="s">
        <v>125</v>
      </c>
    </row>
    <row r="868" spans="1:7" x14ac:dyDescent="0.25">
      <c r="A868" s="32">
        <f>_xlfn.XLOOKUP(tbEscolas[[#This Row],[ESCOLA]],tbNucleo[ESCOLA],tbNucleo[COD ESCOLA],"")</f>
        <v>49</v>
      </c>
      <c r="B868" s="8" t="str" cm="1">
        <f t="array" ref="B868">IFERROR(INDEX(tbNucleo[ESCOLA],ROUNDUP(ROW(B867)/TotalEtapas,0)),"")</f>
        <v>EM VILA REAL</v>
      </c>
      <c r="C868" s="8" t="s">
        <v>112</v>
      </c>
      <c r="D868" s="8">
        <v>3</v>
      </c>
      <c r="E868" s="8" t="s">
        <v>9</v>
      </c>
      <c r="F868" s="8" t="s">
        <v>23</v>
      </c>
      <c r="G868" s="8" t="s">
        <v>125</v>
      </c>
    </row>
    <row r="869" spans="1:7" x14ac:dyDescent="0.25">
      <c r="A869" s="32">
        <f>_xlfn.XLOOKUP(tbEscolas[[#This Row],[ESCOLA]],tbNucleo[ESCOLA],tbNucleo[COD ESCOLA],"")</f>
        <v>49</v>
      </c>
      <c r="B869" s="8" t="str" cm="1">
        <f t="array" ref="B869">IFERROR(INDEX(tbNucleo[ESCOLA],ROUNDUP(ROW(B868)/TotalEtapas,0)),"")</f>
        <v>EM VILA REAL</v>
      </c>
      <c r="C869" s="8" t="s">
        <v>112</v>
      </c>
      <c r="D869" s="8">
        <v>4</v>
      </c>
      <c r="E869" s="8" t="s">
        <v>10</v>
      </c>
      <c r="F869" s="8" t="s">
        <v>23</v>
      </c>
      <c r="G869" s="8" t="s">
        <v>125</v>
      </c>
    </row>
    <row r="870" spans="1:7" x14ac:dyDescent="0.25">
      <c r="A870" s="32">
        <f>_xlfn.XLOOKUP(tbEscolas[[#This Row],[ESCOLA]],tbNucleo[ESCOLA],tbNucleo[COD ESCOLA],"")</f>
        <v>49</v>
      </c>
      <c r="B870" s="8" t="str" cm="1">
        <f t="array" ref="B870">IFERROR(INDEX(tbNucleo[ESCOLA],ROUNDUP(ROW(B869)/TotalEtapas,0)),"")</f>
        <v>EM VILA REAL</v>
      </c>
      <c r="C870" s="8" t="s">
        <v>112</v>
      </c>
      <c r="D870" s="8">
        <v>5</v>
      </c>
      <c r="E870" s="8" t="s">
        <v>11</v>
      </c>
      <c r="F870" s="8" t="s">
        <v>20</v>
      </c>
      <c r="G870" s="8" t="s">
        <v>125</v>
      </c>
    </row>
    <row r="871" spans="1:7" x14ac:dyDescent="0.25">
      <c r="A871" s="32">
        <f>_xlfn.XLOOKUP(tbEscolas[[#This Row],[ESCOLA]],tbNucleo[ESCOLA],tbNucleo[COD ESCOLA],"")</f>
        <v>49</v>
      </c>
      <c r="B871" s="8" t="str" cm="1">
        <f t="array" ref="B871">IFERROR(INDEX(tbNucleo[ESCOLA],ROUNDUP(ROW(B870)/TotalEtapas,0)),"")</f>
        <v>EM VILA REAL</v>
      </c>
      <c r="C871" s="8" t="s">
        <v>112</v>
      </c>
      <c r="D871" s="8">
        <v>6</v>
      </c>
      <c r="E871" s="8" t="s">
        <v>12</v>
      </c>
      <c r="F871" s="8" t="s">
        <v>20</v>
      </c>
      <c r="G871" s="8" t="s">
        <v>125</v>
      </c>
    </row>
    <row r="872" spans="1:7" x14ac:dyDescent="0.25">
      <c r="A872" s="32">
        <f>_xlfn.XLOOKUP(tbEscolas[[#This Row],[ESCOLA]],tbNucleo[ESCOLA],tbNucleo[COD ESCOLA],"")</f>
        <v>49</v>
      </c>
      <c r="B872" s="8" t="str" cm="1">
        <f t="array" ref="B872">IFERROR(INDEX(tbNucleo[ESCOLA],ROUNDUP(ROW(B871)/TotalEtapas,0)),"")</f>
        <v>EM VILA REAL</v>
      </c>
      <c r="C872" s="8" t="s">
        <v>112</v>
      </c>
      <c r="D872" s="8">
        <v>7</v>
      </c>
      <c r="E872" s="8" t="s">
        <v>13</v>
      </c>
      <c r="F872" s="8" t="s">
        <v>20</v>
      </c>
      <c r="G872" s="8" t="s">
        <v>125</v>
      </c>
    </row>
    <row r="873" spans="1:7" x14ac:dyDescent="0.25">
      <c r="A873" s="32">
        <f>_xlfn.XLOOKUP(tbEscolas[[#This Row],[ESCOLA]],tbNucleo[ESCOLA],tbNucleo[COD ESCOLA],"")</f>
        <v>49</v>
      </c>
      <c r="B873" s="8" t="str" cm="1">
        <f t="array" ref="B873">IFERROR(INDEX(tbNucleo[ESCOLA],ROUNDUP(ROW(B872)/TotalEtapas,0)),"")</f>
        <v>EM VILA REAL</v>
      </c>
      <c r="C873" s="8" t="s">
        <v>112</v>
      </c>
      <c r="D873" s="8">
        <v>8</v>
      </c>
      <c r="E873" s="8" t="s">
        <v>14</v>
      </c>
      <c r="F873" s="8" t="s">
        <v>20</v>
      </c>
      <c r="G873" s="8" t="s">
        <v>125</v>
      </c>
    </row>
    <row r="874" spans="1:7" x14ac:dyDescent="0.25">
      <c r="A874" s="32">
        <f>_xlfn.XLOOKUP(tbEscolas[[#This Row],[ESCOLA]],tbNucleo[ESCOLA],tbNucleo[COD ESCOLA],"")</f>
        <v>49</v>
      </c>
      <c r="B874" s="8" t="str" cm="1">
        <f t="array" ref="B874">IFERROR(INDEX(tbNucleo[ESCOLA],ROUNDUP(ROW(B873)/TotalEtapas,0)),"")</f>
        <v>EM VILA REAL</v>
      </c>
      <c r="C874" s="8" t="s">
        <v>112</v>
      </c>
      <c r="D874" s="8">
        <v>9</v>
      </c>
      <c r="E874" s="8" t="s">
        <v>15</v>
      </c>
      <c r="F874" s="8" t="s">
        <v>20</v>
      </c>
      <c r="G874" s="8" t="s">
        <v>125</v>
      </c>
    </row>
    <row r="875" spans="1:7" x14ac:dyDescent="0.25">
      <c r="A875" s="32">
        <f>_xlfn.XLOOKUP(tbEscolas[[#This Row],[ESCOLA]],tbNucleo[ESCOLA],tbNucleo[COD ESCOLA],"")</f>
        <v>49</v>
      </c>
      <c r="B875" s="8" t="str" cm="1">
        <f t="array" ref="B875">IFERROR(INDEX(tbNucleo[ESCOLA],ROUNDUP(ROW(B874)/TotalEtapas,0)),"")</f>
        <v>EM VILA REAL</v>
      </c>
      <c r="C875" s="8" t="s">
        <v>112</v>
      </c>
      <c r="D875" s="8">
        <v>10</v>
      </c>
      <c r="E875" s="8" t="s">
        <v>16</v>
      </c>
      <c r="F875" s="8" t="s">
        <v>20</v>
      </c>
      <c r="G875" s="8" t="s">
        <v>126</v>
      </c>
    </row>
    <row r="876" spans="1:7" x14ac:dyDescent="0.25">
      <c r="A876" s="32">
        <f>_xlfn.XLOOKUP(tbEscolas[[#This Row],[ESCOLA]],tbNucleo[ESCOLA],tbNucleo[COD ESCOLA],"")</f>
        <v>49</v>
      </c>
      <c r="B876" s="8" t="str" cm="1">
        <f t="array" ref="B876">IFERROR(INDEX(tbNucleo[ESCOLA],ROUNDUP(ROW(B875)/TotalEtapas,0)),"")</f>
        <v>EM VILA REAL</v>
      </c>
      <c r="C876" s="8" t="s">
        <v>112</v>
      </c>
      <c r="D876" s="8">
        <v>11</v>
      </c>
      <c r="E876" s="8" t="s">
        <v>17</v>
      </c>
      <c r="F876" s="8" t="s">
        <v>20</v>
      </c>
      <c r="G876" s="8" t="s">
        <v>126</v>
      </c>
    </row>
    <row r="877" spans="1:7" x14ac:dyDescent="0.25">
      <c r="A877" s="32">
        <f>_xlfn.XLOOKUP(tbEscolas[[#This Row],[ESCOLA]],tbNucleo[ESCOLA],tbNucleo[COD ESCOLA],"")</f>
        <v>49</v>
      </c>
      <c r="B877" s="8" t="str" cm="1">
        <f t="array" ref="B877">IFERROR(INDEX(tbNucleo[ESCOLA],ROUNDUP(ROW(B876)/TotalEtapas,0)),"")</f>
        <v>EM VILA REAL</v>
      </c>
      <c r="C877" s="8" t="s">
        <v>112</v>
      </c>
      <c r="D877" s="8">
        <v>12</v>
      </c>
      <c r="E877" s="8" t="s">
        <v>18</v>
      </c>
      <c r="F877" s="8" t="s">
        <v>20</v>
      </c>
      <c r="G877" s="8" t="s">
        <v>126</v>
      </c>
    </row>
    <row r="878" spans="1:7" x14ac:dyDescent="0.25">
      <c r="A878" s="32">
        <f>_xlfn.XLOOKUP(tbEscolas[[#This Row],[ESCOLA]],tbNucleo[ESCOLA],tbNucleo[COD ESCOLA],"")</f>
        <v>49</v>
      </c>
      <c r="B878" s="8" t="str" cm="1">
        <f t="array" ref="B878">IFERROR(INDEX(tbNucleo[ESCOLA],ROUNDUP(ROW(B877)/TotalEtapas,0)),"")</f>
        <v>EM VILA REAL</v>
      </c>
      <c r="C878" s="8" t="s">
        <v>112</v>
      </c>
      <c r="D878" s="8">
        <v>13</v>
      </c>
      <c r="E878" s="8" t="s">
        <v>19</v>
      </c>
      <c r="F878" s="8" t="s">
        <v>20</v>
      </c>
      <c r="G878" s="8" t="s">
        <v>126</v>
      </c>
    </row>
    <row r="879" spans="1:7" x14ac:dyDescent="0.25">
      <c r="A879" s="32">
        <f>_xlfn.XLOOKUP(tbEscolas[[#This Row],[ESCOLA]],tbNucleo[ESCOLA],tbNucleo[COD ESCOLA],"")</f>
        <v>49</v>
      </c>
      <c r="B879" s="8" t="str" cm="1">
        <f t="array" ref="B879">IFERROR(INDEX(tbNucleo[ESCOLA],ROUNDUP(ROW(B878)/TotalEtapas,0)),"")</f>
        <v>EM VILA REAL</v>
      </c>
      <c r="C879" s="8" t="s">
        <v>112</v>
      </c>
      <c r="D879" s="8">
        <v>14</v>
      </c>
      <c r="E879" s="8" t="s">
        <v>11</v>
      </c>
      <c r="F879" s="8" t="s">
        <v>24</v>
      </c>
      <c r="G879" s="8" t="s">
        <v>126</v>
      </c>
    </row>
    <row r="880" spans="1:7" x14ac:dyDescent="0.25">
      <c r="A880" s="32">
        <f>_xlfn.XLOOKUP(tbEscolas[[#This Row],[ESCOLA]],tbNucleo[ESCOLA],tbNucleo[COD ESCOLA],"")</f>
        <v>49</v>
      </c>
      <c r="B880" s="8" t="str" cm="1">
        <f t="array" ref="B880">IFERROR(INDEX(tbNucleo[ESCOLA],ROUNDUP(ROW(B879)/TotalEtapas,0)),"")</f>
        <v>EM VILA REAL</v>
      </c>
      <c r="C880" s="8" t="s">
        <v>112</v>
      </c>
      <c r="D880" s="8">
        <v>15</v>
      </c>
      <c r="E880" s="8" t="s">
        <v>12</v>
      </c>
      <c r="F880" s="8" t="s">
        <v>24</v>
      </c>
      <c r="G880" s="8" t="s">
        <v>126</v>
      </c>
    </row>
    <row r="881" spans="1:7" x14ac:dyDescent="0.25">
      <c r="A881" s="32">
        <f>_xlfn.XLOOKUP(tbEscolas[[#This Row],[ESCOLA]],tbNucleo[ESCOLA],tbNucleo[COD ESCOLA],"")</f>
        <v>49</v>
      </c>
      <c r="B881" s="8" t="str" cm="1">
        <f t="array" ref="B881">IFERROR(INDEX(tbNucleo[ESCOLA],ROUNDUP(ROW(B880)/TotalEtapas,0)),"")</f>
        <v>EM VILA REAL</v>
      </c>
      <c r="C881" s="8" t="s">
        <v>112</v>
      </c>
      <c r="D881" s="8">
        <v>16</v>
      </c>
      <c r="E881" s="8" t="s">
        <v>13</v>
      </c>
      <c r="F881" s="8" t="s">
        <v>24</v>
      </c>
      <c r="G881" s="8" t="s">
        <v>126</v>
      </c>
    </row>
    <row r="882" spans="1:7" x14ac:dyDescent="0.25">
      <c r="A882" s="32">
        <f>_xlfn.XLOOKUP(tbEscolas[[#This Row],[ESCOLA]],tbNucleo[ESCOLA],tbNucleo[COD ESCOLA],"")</f>
        <v>49</v>
      </c>
      <c r="B882" s="8" t="str" cm="1">
        <f t="array" ref="B882">IFERROR(INDEX(tbNucleo[ESCOLA],ROUNDUP(ROW(B881)/TotalEtapas,0)),"")</f>
        <v>EM VILA REAL</v>
      </c>
      <c r="C882" s="8" t="s">
        <v>112</v>
      </c>
      <c r="D882" s="8">
        <v>17</v>
      </c>
      <c r="E882" s="8" t="s">
        <v>21</v>
      </c>
      <c r="F882" s="8" t="s">
        <v>20</v>
      </c>
      <c r="G882" s="8" t="s">
        <v>125</v>
      </c>
    </row>
    <row r="883" spans="1:7" x14ac:dyDescent="0.25">
      <c r="A883" s="32">
        <f>_xlfn.XLOOKUP(tbEscolas[[#This Row],[ESCOLA]],tbNucleo[ESCOLA],tbNucleo[COD ESCOLA],"")</f>
        <v>49</v>
      </c>
      <c r="B883" s="8" t="str" cm="1">
        <f t="array" ref="B883">IFERROR(INDEX(tbNucleo[ESCOLA],ROUNDUP(ROW(B882)/TotalEtapas,0)),"")</f>
        <v>EM VILA REAL</v>
      </c>
      <c r="C883" s="8" t="s">
        <v>112</v>
      </c>
      <c r="D883" s="8">
        <v>18</v>
      </c>
      <c r="E883" s="8" t="s">
        <v>22</v>
      </c>
      <c r="F883" s="8" t="s">
        <v>24</v>
      </c>
      <c r="G883" s="8" t="s">
        <v>125</v>
      </c>
    </row>
    <row r="884" spans="1:7" x14ac:dyDescent="0.25">
      <c r="A884" s="30">
        <f>_xlfn.XLOOKUP(tbEscolas[[#This Row],[ESCOLA]],tbNucleo[ESCOLA],tbNucleo[COD ESCOLA],"")</f>
        <v>50</v>
      </c>
      <c r="B884" s="6" t="str" cm="1">
        <f t="array" ref="B884">IFERROR(INDEX(tbNucleo[ESCOLA],ROUNDUP(ROW(B883)/TotalEtapas,0)),"")</f>
        <v>EMEI BRINCANDO E APRENDENDO</v>
      </c>
      <c r="C884" s="6" t="s">
        <v>134</v>
      </c>
      <c r="D884" s="6">
        <v>1</v>
      </c>
      <c r="E884" s="6" t="s">
        <v>7</v>
      </c>
      <c r="F884" s="6" t="s">
        <v>23</v>
      </c>
      <c r="G884" s="6" t="s">
        <v>125</v>
      </c>
    </row>
    <row r="885" spans="1:7" x14ac:dyDescent="0.25">
      <c r="A885" s="30">
        <f>_xlfn.XLOOKUP(tbEscolas[[#This Row],[ESCOLA]],tbNucleo[ESCOLA],tbNucleo[COD ESCOLA],"")</f>
        <v>50</v>
      </c>
      <c r="B885" s="6" t="str" cm="1">
        <f t="array" ref="B885">IFERROR(INDEX(tbNucleo[ESCOLA],ROUNDUP(ROW(B884)/TotalEtapas,0)),"")</f>
        <v>EMEI BRINCANDO E APRENDENDO</v>
      </c>
      <c r="C885" s="6" t="s">
        <v>134</v>
      </c>
      <c r="D885" s="6">
        <v>2</v>
      </c>
      <c r="E885" s="6" t="s">
        <v>8</v>
      </c>
      <c r="F885" s="6" t="s">
        <v>23</v>
      </c>
      <c r="G885" s="6" t="s">
        <v>125</v>
      </c>
    </row>
    <row r="886" spans="1:7" x14ac:dyDescent="0.25">
      <c r="A886" s="30">
        <f>_xlfn.XLOOKUP(tbEscolas[[#This Row],[ESCOLA]],tbNucleo[ESCOLA],tbNucleo[COD ESCOLA],"")</f>
        <v>50</v>
      </c>
      <c r="B886" s="6" t="str" cm="1">
        <f t="array" ref="B886">IFERROR(INDEX(tbNucleo[ESCOLA],ROUNDUP(ROW(B885)/TotalEtapas,0)),"")</f>
        <v>EMEI BRINCANDO E APRENDENDO</v>
      </c>
      <c r="C886" s="6" t="s">
        <v>134</v>
      </c>
      <c r="D886" s="6">
        <v>3</v>
      </c>
      <c r="E886" s="6" t="s">
        <v>9</v>
      </c>
      <c r="F886" s="6" t="s">
        <v>23</v>
      </c>
      <c r="G886" s="6" t="s">
        <v>125</v>
      </c>
    </row>
    <row r="887" spans="1:7" x14ac:dyDescent="0.25">
      <c r="A887" s="30">
        <f>_xlfn.XLOOKUP(tbEscolas[[#This Row],[ESCOLA]],tbNucleo[ESCOLA],tbNucleo[COD ESCOLA],"")</f>
        <v>50</v>
      </c>
      <c r="B887" s="6" t="str" cm="1">
        <f t="array" ref="B887">IFERROR(INDEX(tbNucleo[ESCOLA],ROUNDUP(ROW(B886)/TotalEtapas,0)),"")</f>
        <v>EMEI BRINCANDO E APRENDENDO</v>
      </c>
      <c r="C887" s="6" t="s">
        <v>134</v>
      </c>
      <c r="D887" s="6">
        <v>4</v>
      </c>
      <c r="E887" s="6" t="s">
        <v>10</v>
      </c>
      <c r="F887" s="6" t="s">
        <v>23</v>
      </c>
      <c r="G887" s="6" t="s">
        <v>125</v>
      </c>
    </row>
    <row r="888" spans="1:7" x14ac:dyDescent="0.25">
      <c r="A888" s="30">
        <f>_xlfn.XLOOKUP(tbEscolas[[#This Row],[ESCOLA]],tbNucleo[ESCOLA],tbNucleo[COD ESCOLA],"")</f>
        <v>50</v>
      </c>
      <c r="B888" s="6" t="str" cm="1">
        <f t="array" ref="B888">IFERROR(INDEX(tbNucleo[ESCOLA],ROUNDUP(ROW(B887)/TotalEtapas,0)),"")</f>
        <v>EMEI BRINCANDO E APRENDENDO</v>
      </c>
      <c r="C888" s="6" t="s">
        <v>134</v>
      </c>
      <c r="D888" s="6">
        <v>5</v>
      </c>
      <c r="E888" s="6" t="s">
        <v>11</v>
      </c>
      <c r="F888" s="6" t="s">
        <v>20</v>
      </c>
      <c r="G888" s="6" t="s">
        <v>125</v>
      </c>
    </row>
    <row r="889" spans="1:7" x14ac:dyDescent="0.25">
      <c r="A889" s="30">
        <f>_xlfn.XLOOKUP(tbEscolas[[#This Row],[ESCOLA]],tbNucleo[ESCOLA],tbNucleo[COD ESCOLA],"")</f>
        <v>50</v>
      </c>
      <c r="B889" s="6" t="str" cm="1">
        <f t="array" ref="B889">IFERROR(INDEX(tbNucleo[ESCOLA],ROUNDUP(ROW(B888)/TotalEtapas,0)),"")</f>
        <v>EMEI BRINCANDO E APRENDENDO</v>
      </c>
      <c r="C889" s="6" t="s">
        <v>134</v>
      </c>
      <c r="D889" s="6">
        <v>6</v>
      </c>
      <c r="E889" s="6" t="s">
        <v>12</v>
      </c>
      <c r="F889" s="6" t="s">
        <v>20</v>
      </c>
      <c r="G889" s="6" t="s">
        <v>125</v>
      </c>
    </row>
    <row r="890" spans="1:7" x14ac:dyDescent="0.25">
      <c r="A890" s="30">
        <f>_xlfn.XLOOKUP(tbEscolas[[#This Row],[ESCOLA]],tbNucleo[ESCOLA],tbNucleo[COD ESCOLA],"")</f>
        <v>50</v>
      </c>
      <c r="B890" s="6" t="str" cm="1">
        <f t="array" ref="B890">IFERROR(INDEX(tbNucleo[ESCOLA],ROUNDUP(ROW(B889)/TotalEtapas,0)),"")</f>
        <v>EMEI BRINCANDO E APRENDENDO</v>
      </c>
      <c r="C890" s="6" t="s">
        <v>134</v>
      </c>
      <c r="D890" s="6">
        <v>7</v>
      </c>
      <c r="E890" s="6" t="s">
        <v>13</v>
      </c>
      <c r="F890" s="6" t="s">
        <v>20</v>
      </c>
      <c r="G890" s="6" t="s">
        <v>125</v>
      </c>
    </row>
    <row r="891" spans="1:7" x14ac:dyDescent="0.25">
      <c r="A891" s="30">
        <f>_xlfn.XLOOKUP(tbEscolas[[#This Row],[ESCOLA]],tbNucleo[ESCOLA],tbNucleo[COD ESCOLA],"")</f>
        <v>50</v>
      </c>
      <c r="B891" s="6" t="str" cm="1">
        <f t="array" ref="B891">IFERROR(INDEX(tbNucleo[ESCOLA],ROUNDUP(ROW(B890)/TotalEtapas,0)),"")</f>
        <v>EMEI BRINCANDO E APRENDENDO</v>
      </c>
      <c r="C891" s="6" t="s">
        <v>134</v>
      </c>
      <c r="D891" s="6">
        <v>8</v>
      </c>
      <c r="E891" s="6" t="s">
        <v>14</v>
      </c>
      <c r="F891" s="6" t="s">
        <v>20</v>
      </c>
      <c r="G891" s="6" t="s">
        <v>125</v>
      </c>
    </row>
    <row r="892" spans="1:7" x14ac:dyDescent="0.25">
      <c r="A892" s="30">
        <f>_xlfn.XLOOKUP(tbEscolas[[#This Row],[ESCOLA]],tbNucleo[ESCOLA],tbNucleo[COD ESCOLA],"")</f>
        <v>50</v>
      </c>
      <c r="B892" s="6" t="str" cm="1">
        <f t="array" ref="B892">IFERROR(INDEX(tbNucleo[ESCOLA],ROUNDUP(ROW(B891)/TotalEtapas,0)),"")</f>
        <v>EMEI BRINCANDO E APRENDENDO</v>
      </c>
      <c r="C892" s="6" t="s">
        <v>134</v>
      </c>
      <c r="D892" s="6">
        <v>9</v>
      </c>
      <c r="E892" s="6" t="s">
        <v>15</v>
      </c>
      <c r="F892" s="6" t="s">
        <v>20</v>
      </c>
      <c r="G892" s="6" t="s">
        <v>125</v>
      </c>
    </row>
    <row r="893" spans="1:7" x14ac:dyDescent="0.25">
      <c r="A893" s="30">
        <f>_xlfn.XLOOKUP(tbEscolas[[#This Row],[ESCOLA]],tbNucleo[ESCOLA],tbNucleo[COD ESCOLA],"")</f>
        <v>50</v>
      </c>
      <c r="B893" s="6" t="str" cm="1">
        <f t="array" ref="B893">IFERROR(INDEX(tbNucleo[ESCOLA],ROUNDUP(ROW(B892)/TotalEtapas,0)),"")</f>
        <v>EMEI BRINCANDO E APRENDENDO</v>
      </c>
      <c r="C893" s="6" t="s">
        <v>134</v>
      </c>
      <c r="D893" s="6">
        <v>10</v>
      </c>
      <c r="E893" s="6" t="s">
        <v>16</v>
      </c>
      <c r="F893" s="6" t="s">
        <v>20</v>
      </c>
      <c r="G893" s="6" t="s">
        <v>126</v>
      </c>
    </row>
    <row r="894" spans="1:7" x14ac:dyDescent="0.25">
      <c r="A894" s="30">
        <f>_xlfn.XLOOKUP(tbEscolas[[#This Row],[ESCOLA]],tbNucleo[ESCOLA],tbNucleo[COD ESCOLA],"")</f>
        <v>50</v>
      </c>
      <c r="B894" s="6" t="str" cm="1">
        <f t="array" ref="B894">IFERROR(INDEX(tbNucleo[ESCOLA],ROUNDUP(ROW(B893)/TotalEtapas,0)),"")</f>
        <v>EMEI BRINCANDO E APRENDENDO</v>
      </c>
      <c r="C894" s="6" t="s">
        <v>134</v>
      </c>
      <c r="D894" s="6">
        <v>11</v>
      </c>
      <c r="E894" s="6" t="s">
        <v>17</v>
      </c>
      <c r="F894" s="6" t="s">
        <v>20</v>
      </c>
      <c r="G894" s="6" t="s">
        <v>126</v>
      </c>
    </row>
    <row r="895" spans="1:7" x14ac:dyDescent="0.25">
      <c r="A895" s="30">
        <f>_xlfn.XLOOKUP(tbEscolas[[#This Row],[ESCOLA]],tbNucleo[ESCOLA],tbNucleo[COD ESCOLA],"")</f>
        <v>50</v>
      </c>
      <c r="B895" s="6" t="str" cm="1">
        <f t="array" ref="B895">IFERROR(INDEX(tbNucleo[ESCOLA],ROUNDUP(ROW(B894)/TotalEtapas,0)),"")</f>
        <v>EMEI BRINCANDO E APRENDENDO</v>
      </c>
      <c r="C895" s="6" t="s">
        <v>134</v>
      </c>
      <c r="D895" s="6">
        <v>12</v>
      </c>
      <c r="E895" s="6" t="s">
        <v>18</v>
      </c>
      <c r="F895" s="6" t="s">
        <v>20</v>
      </c>
      <c r="G895" s="6" t="s">
        <v>126</v>
      </c>
    </row>
    <row r="896" spans="1:7" x14ac:dyDescent="0.25">
      <c r="A896" s="30">
        <f>_xlfn.XLOOKUP(tbEscolas[[#This Row],[ESCOLA]],tbNucleo[ESCOLA],tbNucleo[COD ESCOLA],"")</f>
        <v>50</v>
      </c>
      <c r="B896" s="6" t="str" cm="1">
        <f t="array" ref="B896">IFERROR(INDEX(tbNucleo[ESCOLA],ROUNDUP(ROW(B895)/TotalEtapas,0)),"")</f>
        <v>EMEI BRINCANDO E APRENDENDO</v>
      </c>
      <c r="C896" s="6" t="s">
        <v>134</v>
      </c>
      <c r="D896" s="6">
        <v>13</v>
      </c>
      <c r="E896" s="6" t="s">
        <v>19</v>
      </c>
      <c r="F896" s="6" t="s">
        <v>20</v>
      </c>
      <c r="G896" s="6" t="s">
        <v>126</v>
      </c>
    </row>
    <row r="897" spans="1:7" x14ac:dyDescent="0.25">
      <c r="A897" s="30">
        <f>_xlfn.XLOOKUP(tbEscolas[[#This Row],[ESCOLA]],tbNucleo[ESCOLA],tbNucleo[COD ESCOLA],"")</f>
        <v>50</v>
      </c>
      <c r="B897" s="6" t="str" cm="1">
        <f t="array" ref="B897">IFERROR(INDEX(tbNucleo[ESCOLA],ROUNDUP(ROW(B896)/TotalEtapas,0)),"")</f>
        <v>EMEI BRINCANDO E APRENDENDO</v>
      </c>
      <c r="C897" s="6" t="s">
        <v>134</v>
      </c>
      <c r="D897" s="6">
        <v>14</v>
      </c>
      <c r="E897" s="6" t="s">
        <v>11</v>
      </c>
      <c r="F897" s="6" t="s">
        <v>24</v>
      </c>
      <c r="G897" s="6" t="s">
        <v>126</v>
      </c>
    </row>
    <row r="898" spans="1:7" x14ac:dyDescent="0.25">
      <c r="A898" s="30">
        <f>_xlfn.XLOOKUP(tbEscolas[[#This Row],[ESCOLA]],tbNucleo[ESCOLA],tbNucleo[COD ESCOLA],"")</f>
        <v>50</v>
      </c>
      <c r="B898" s="6" t="str" cm="1">
        <f t="array" ref="B898">IFERROR(INDEX(tbNucleo[ESCOLA],ROUNDUP(ROW(B897)/TotalEtapas,0)),"")</f>
        <v>EMEI BRINCANDO E APRENDENDO</v>
      </c>
      <c r="C898" s="6" t="s">
        <v>134</v>
      </c>
      <c r="D898" s="6">
        <v>15</v>
      </c>
      <c r="E898" s="6" t="s">
        <v>12</v>
      </c>
      <c r="F898" s="6" t="s">
        <v>24</v>
      </c>
      <c r="G898" s="6" t="s">
        <v>126</v>
      </c>
    </row>
    <row r="899" spans="1:7" x14ac:dyDescent="0.25">
      <c r="A899" s="30">
        <f>_xlfn.XLOOKUP(tbEscolas[[#This Row],[ESCOLA]],tbNucleo[ESCOLA],tbNucleo[COD ESCOLA],"")</f>
        <v>50</v>
      </c>
      <c r="B899" s="6" t="str" cm="1">
        <f t="array" ref="B899">IFERROR(INDEX(tbNucleo[ESCOLA],ROUNDUP(ROW(B898)/TotalEtapas,0)),"")</f>
        <v>EMEI BRINCANDO E APRENDENDO</v>
      </c>
      <c r="C899" s="6" t="s">
        <v>134</v>
      </c>
      <c r="D899" s="6">
        <v>16</v>
      </c>
      <c r="E899" s="6" t="s">
        <v>13</v>
      </c>
      <c r="F899" s="6" t="s">
        <v>24</v>
      </c>
      <c r="G899" s="6" t="s">
        <v>126</v>
      </c>
    </row>
    <row r="900" spans="1:7" x14ac:dyDescent="0.25">
      <c r="A900" s="30">
        <f>_xlfn.XLOOKUP(tbEscolas[[#This Row],[ESCOLA]],tbNucleo[ESCOLA],tbNucleo[COD ESCOLA],"")</f>
        <v>50</v>
      </c>
      <c r="B900" s="6" t="str" cm="1">
        <f t="array" ref="B900">IFERROR(INDEX(tbNucleo[ESCOLA],ROUNDUP(ROW(B899)/TotalEtapas,0)),"")</f>
        <v>EMEI BRINCANDO E APRENDENDO</v>
      </c>
      <c r="C900" s="6" t="s">
        <v>134</v>
      </c>
      <c r="D900" s="6">
        <v>17</v>
      </c>
      <c r="E900" s="6" t="s">
        <v>21</v>
      </c>
      <c r="F900" s="6" t="s">
        <v>20</v>
      </c>
      <c r="G900" s="6" t="s">
        <v>125</v>
      </c>
    </row>
    <row r="901" spans="1:7" x14ac:dyDescent="0.25">
      <c r="A901" s="30">
        <f>_xlfn.XLOOKUP(tbEscolas[[#This Row],[ESCOLA]],tbNucleo[ESCOLA],tbNucleo[COD ESCOLA],"")</f>
        <v>50</v>
      </c>
      <c r="B901" s="6" t="str" cm="1">
        <f t="array" ref="B901">IFERROR(INDEX(tbNucleo[ESCOLA],ROUNDUP(ROW(B900)/TotalEtapas,0)),"")</f>
        <v>EMEI BRINCANDO E APRENDENDO</v>
      </c>
      <c r="C901" s="6" t="s">
        <v>134</v>
      </c>
      <c r="D901" s="6">
        <v>18</v>
      </c>
      <c r="E901" s="6" t="s">
        <v>22</v>
      </c>
      <c r="F901" s="6" t="s">
        <v>24</v>
      </c>
      <c r="G901" s="6" t="s">
        <v>125</v>
      </c>
    </row>
    <row r="902" spans="1:7" x14ac:dyDescent="0.25">
      <c r="A902" s="24">
        <f>_xlfn.XLOOKUP(tbEscolas[[#This Row],[ESCOLA]],tbNucleo[ESCOLA],tbNucleo[COD ESCOLA],"")</f>
        <v>51</v>
      </c>
      <c r="B902" t="str" cm="1">
        <f t="array" ref="B902">IFERROR(INDEX(tbNucleo[ESCOLA],ROUNDUP(ROW(B901)/TotalEtapas,0)),"")</f>
        <v>EMEI FREI GRIGNION</v>
      </c>
      <c r="C902" t="s">
        <v>118</v>
      </c>
      <c r="D902">
        <v>1</v>
      </c>
      <c r="E902" t="s">
        <v>7</v>
      </c>
      <c r="F902" t="s">
        <v>23</v>
      </c>
      <c r="G902" t="s">
        <v>125</v>
      </c>
    </row>
    <row r="903" spans="1:7" x14ac:dyDescent="0.25">
      <c r="A903" s="24">
        <f>_xlfn.XLOOKUP(tbEscolas[[#This Row],[ESCOLA]],tbNucleo[ESCOLA],tbNucleo[COD ESCOLA],"")</f>
        <v>51</v>
      </c>
      <c r="B903" t="str" cm="1">
        <f t="array" ref="B903">IFERROR(INDEX(tbNucleo[ESCOLA],ROUNDUP(ROW(B902)/TotalEtapas,0)),"")</f>
        <v>EMEI FREI GRIGNION</v>
      </c>
      <c r="C903" t="s">
        <v>118</v>
      </c>
      <c r="D903">
        <v>2</v>
      </c>
      <c r="E903" t="s">
        <v>8</v>
      </c>
      <c r="F903" t="s">
        <v>23</v>
      </c>
      <c r="G903" t="s">
        <v>125</v>
      </c>
    </row>
    <row r="904" spans="1:7" x14ac:dyDescent="0.25">
      <c r="A904" s="24">
        <f>_xlfn.XLOOKUP(tbEscolas[[#This Row],[ESCOLA]],tbNucleo[ESCOLA],tbNucleo[COD ESCOLA],"")</f>
        <v>51</v>
      </c>
      <c r="B904" t="str" cm="1">
        <f t="array" ref="B904">IFERROR(INDEX(tbNucleo[ESCOLA],ROUNDUP(ROW(B903)/TotalEtapas,0)),"")</f>
        <v>EMEI FREI GRIGNION</v>
      </c>
      <c r="C904" t="s">
        <v>118</v>
      </c>
      <c r="D904">
        <v>3</v>
      </c>
      <c r="E904" t="s">
        <v>9</v>
      </c>
      <c r="F904" t="s">
        <v>23</v>
      </c>
      <c r="G904" t="s">
        <v>125</v>
      </c>
    </row>
    <row r="905" spans="1:7" x14ac:dyDescent="0.25">
      <c r="A905" s="24">
        <f>_xlfn.XLOOKUP(tbEscolas[[#This Row],[ESCOLA]],tbNucleo[ESCOLA],tbNucleo[COD ESCOLA],"")</f>
        <v>51</v>
      </c>
      <c r="B905" t="str" cm="1">
        <f t="array" ref="B905">IFERROR(INDEX(tbNucleo[ESCOLA],ROUNDUP(ROW(B904)/TotalEtapas,0)),"")</f>
        <v>EMEI FREI GRIGNION</v>
      </c>
      <c r="C905" t="s">
        <v>118</v>
      </c>
      <c r="D905">
        <v>4</v>
      </c>
      <c r="E905" t="s">
        <v>10</v>
      </c>
      <c r="F905" t="s">
        <v>23</v>
      </c>
      <c r="G905" t="s">
        <v>125</v>
      </c>
    </row>
    <row r="906" spans="1:7" x14ac:dyDescent="0.25">
      <c r="A906" s="24">
        <f>_xlfn.XLOOKUP(tbEscolas[[#This Row],[ESCOLA]],tbNucleo[ESCOLA],tbNucleo[COD ESCOLA],"")</f>
        <v>51</v>
      </c>
      <c r="B906" t="str" cm="1">
        <f t="array" ref="B906">IFERROR(INDEX(tbNucleo[ESCOLA],ROUNDUP(ROW(B905)/TotalEtapas,0)),"")</f>
        <v>EMEI FREI GRIGNION</v>
      </c>
      <c r="C906" t="s">
        <v>118</v>
      </c>
      <c r="D906">
        <v>5</v>
      </c>
      <c r="E906" t="s">
        <v>11</v>
      </c>
      <c r="F906" t="s">
        <v>20</v>
      </c>
      <c r="G906" t="s">
        <v>125</v>
      </c>
    </row>
    <row r="907" spans="1:7" x14ac:dyDescent="0.25">
      <c r="A907" s="24">
        <f>_xlfn.XLOOKUP(tbEscolas[[#This Row],[ESCOLA]],tbNucleo[ESCOLA],tbNucleo[COD ESCOLA],"")</f>
        <v>51</v>
      </c>
      <c r="B907" t="str" cm="1">
        <f t="array" ref="B907">IFERROR(INDEX(tbNucleo[ESCOLA],ROUNDUP(ROW(B906)/TotalEtapas,0)),"")</f>
        <v>EMEI FREI GRIGNION</v>
      </c>
      <c r="C907" t="s">
        <v>118</v>
      </c>
      <c r="D907">
        <v>6</v>
      </c>
      <c r="E907" t="s">
        <v>12</v>
      </c>
      <c r="F907" t="s">
        <v>20</v>
      </c>
      <c r="G907" t="s">
        <v>125</v>
      </c>
    </row>
    <row r="908" spans="1:7" x14ac:dyDescent="0.25">
      <c r="A908" s="24">
        <f>_xlfn.XLOOKUP(tbEscolas[[#This Row],[ESCOLA]],tbNucleo[ESCOLA],tbNucleo[COD ESCOLA],"")</f>
        <v>51</v>
      </c>
      <c r="B908" t="str" cm="1">
        <f t="array" ref="B908">IFERROR(INDEX(tbNucleo[ESCOLA],ROUNDUP(ROW(B907)/TotalEtapas,0)),"")</f>
        <v>EMEI FREI GRIGNION</v>
      </c>
      <c r="C908" t="s">
        <v>118</v>
      </c>
      <c r="D908">
        <v>7</v>
      </c>
      <c r="E908" t="s">
        <v>13</v>
      </c>
      <c r="F908" t="s">
        <v>20</v>
      </c>
      <c r="G908" t="s">
        <v>125</v>
      </c>
    </row>
    <row r="909" spans="1:7" x14ac:dyDescent="0.25">
      <c r="A909" s="24">
        <f>_xlfn.XLOOKUP(tbEscolas[[#This Row],[ESCOLA]],tbNucleo[ESCOLA],tbNucleo[COD ESCOLA],"")</f>
        <v>51</v>
      </c>
      <c r="B909" t="str" cm="1">
        <f t="array" ref="B909">IFERROR(INDEX(tbNucleo[ESCOLA],ROUNDUP(ROW(B908)/TotalEtapas,0)),"")</f>
        <v>EMEI FREI GRIGNION</v>
      </c>
      <c r="C909" t="s">
        <v>118</v>
      </c>
      <c r="D909">
        <v>8</v>
      </c>
      <c r="E909" t="s">
        <v>14</v>
      </c>
      <c r="F909" t="s">
        <v>20</v>
      </c>
      <c r="G909" t="s">
        <v>125</v>
      </c>
    </row>
    <row r="910" spans="1:7" x14ac:dyDescent="0.25">
      <c r="A910" s="24">
        <f>_xlfn.XLOOKUP(tbEscolas[[#This Row],[ESCOLA]],tbNucleo[ESCOLA],tbNucleo[COD ESCOLA],"")</f>
        <v>51</v>
      </c>
      <c r="B910" t="str" cm="1">
        <f t="array" ref="B910">IFERROR(INDEX(tbNucleo[ESCOLA],ROUNDUP(ROW(B909)/TotalEtapas,0)),"")</f>
        <v>EMEI FREI GRIGNION</v>
      </c>
      <c r="C910" t="s">
        <v>118</v>
      </c>
      <c r="D910">
        <v>9</v>
      </c>
      <c r="E910" t="s">
        <v>15</v>
      </c>
      <c r="F910" t="s">
        <v>20</v>
      </c>
      <c r="G910" t="s">
        <v>125</v>
      </c>
    </row>
    <row r="911" spans="1:7" x14ac:dyDescent="0.25">
      <c r="A911" s="24">
        <f>_xlfn.XLOOKUP(tbEscolas[[#This Row],[ESCOLA]],tbNucleo[ESCOLA],tbNucleo[COD ESCOLA],"")</f>
        <v>51</v>
      </c>
      <c r="B911" t="str" cm="1">
        <f t="array" ref="B911">IFERROR(INDEX(tbNucleo[ESCOLA],ROUNDUP(ROW(B910)/TotalEtapas,0)),"")</f>
        <v>EMEI FREI GRIGNION</v>
      </c>
      <c r="C911" t="s">
        <v>118</v>
      </c>
      <c r="D911">
        <v>10</v>
      </c>
      <c r="E911" t="s">
        <v>16</v>
      </c>
      <c r="F911" t="s">
        <v>20</v>
      </c>
      <c r="G911" t="s">
        <v>126</v>
      </c>
    </row>
    <row r="912" spans="1:7" x14ac:dyDescent="0.25">
      <c r="A912" s="24">
        <f>_xlfn.XLOOKUP(tbEscolas[[#This Row],[ESCOLA]],tbNucleo[ESCOLA],tbNucleo[COD ESCOLA],"")</f>
        <v>51</v>
      </c>
      <c r="B912" t="str" cm="1">
        <f t="array" ref="B912">IFERROR(INDEX(tbNucleo[ESCOLA],ROUNDUP(ROW(B911)/TotalEtapas,0)),"")</f>
        <v>EMEI FREI GRIGNION</v>
      </c>
      <c r="C912" t="s">
        <v>118</v>
      </c>
      <c r="D912">
        <v>11</v>
      </c>
      <c r="E912" t="s">
        <v>17</v>
      </c>
      <c r="F912" t="s">
        <v>20</v>
      </c>
      <c r="G912" t="s">
        <v>126</v>
      </c>
    </row>
    <row r="913" spans="1:7" x14ac:dyDescent="0.25">
      <c r="A913" s="24">
        <f>_xlfn.XLOOKUP(tbEscolas[[#This Row],[ESCOLA]],tbNucleo[ESCOLA],tbNucleo[COD ESCOLA],"")</f>
        <v>51</v>
      </c>
      <c r="B913" t="str" cm="1">
        <f t="array" ref="B913">IFERROR(INDEX(tbNucleo[ESCOLA],ROUNDUP(ROW(B912)/TotalEtapas,0)),"")</f>
        <v>EMEI FREI GRIGNION</v>
      </c>
      <c r="C913" t="s">
        <v>118</v>
      </c>
      <c r="D913">
        <v>12</v>
      </c>
      <c r="E913" t="s">
        <v>18</v>
      </c>
      <c r="F913" t="s">
        <v>20</v>
      </c>
      <c r="G913" t="s">
        <v>126</v>
      </c>
    </row>
    <row r="914" spans="1:7" x14ac:dyDescent="0.25">
      <c r="A914" s="24">
        <f>_xlfn.XLOOKUP(tbEscolas[[#This Row],[ESCOLA]],tbNucleo[ESCOLA],tbNucleo[COD ESCOLA],"")</f>
        <v>51</v>
      </c>
      <c r="B914" t="str" cm="1">
        <f t="array" ref="B914">IFERROR(INDEX(tbNucleo[ESCOLA],ROUNDUP(ROW(B913)/TotalEtapas,0)),"")</f>
        <v>EMEI FREI GRIGNION</v>
      </c>
      <c r="C914" t="s">
        <v>118</v>
      </c>
      <c r="D914">
        <v>13</v>
      </c>
      <c r="E914" t="s">
        <v>19</v>
      </c>
      <c r="F914" t="s">
        <v>20</v>
      </c>
      <c r="G914" t="s">
        <v>126</v>
      </c>
    </row>
    <row r="915" spans="1:7" x14ac:dyDescent="0.25">
      <c r="A915" s="24">
        <f>_xlfn.XLOOKUP(tbEscolas[[#This Row],[ESCOLA]],tbNucleo[ESCOLA],tbNucleo[COD ESCOLA],"")</f>
        <v>51</v>
      </c>
      <c r="B915" t="str" cm="1">
        <f t="array" ref="B915">IFERROR(INDEX(tbNucleo[ESCOLA],ROUNDUP(ROW(B914)/TotalEtapas,0)),"")</f>
        <v>EMEI FREI GRIGNION</v>
      </c>
      <c r="C915" t="s">
        <v>118</v>
      </c>
      <c r="D915">
        <v>14</v>
      </c>
      <c r="E915" t="s">
        <v>11</v>
      </c>
      <c r="F915" t="s">
        <v>24</v>
      </c>
      <c r="G915" t="s">
        <v>126</v>
      </c>
    </row>
    <row r="916" spans="1:7" x14ac:dyDescent="0.25">
      <c r="A916" s="24">
        <f>_xlfn.XLOOKUP(tbEscolas[[#This Row],[ESCOLA]],tbNucleo[ESCOLA],tbNucleo[COD ESCOLA],"")</f>
        <v>51</v>
      </c>
      <c r="B916" t="str" cm="1">
        <f t="array" ref="B916">IFERROR(INDEX(tbNucleo[ESCOLA],ROUNDUP(ROW(B915)/TotalEtapas,0)),"")</f>
        <v>EMEI FREI GRIGNION</v>
      </c>
      <c r="C916" t="s">
        <v>118</v>
      </c>
      <c r="D916">
        <v>15</v>
      </c>
      <c r="E916" t="s">
        <v>12</v>
      </c>
      <c r="F916" t="s">
        <v>24</v>
      </c>
      <c r="G916" t="s">
        <v>126</v>
      </c>
    </row>
    <row r="917" spans="1:7" x14ac:dyDescent="0.25">
      <c r="A917" s="24">
        <f>_xlfn.XLOOKUP(tbEscolas[[#This Row],[ESCOLA]],tbNucleo[ESCOLA],tbNucleo[COD ESCOLA],"")</f>
        <v>51</v>
      </c>
      <c r="B917" t="str" cm="1">
        <f t="array" ref="B917">IFERROR(INDEX(tbNucleo[ESCOLA],ROUNDUP(ROW(B916)/TotalEtapas,0)),"")</f>
        <v>EMEI FREI GRIGNION</v>
      </c>
      <c r="C917" t="s">
        <v>118</v>
      </c>
      <c r="D917">
        <v>16</v>
      </c>
      <c r="E917" t="s">
        <v>13</v>
      </c>
      <c r="F917" t="s">
        <v>24</v>
      </c>
      <c r="G917" t="s">
        <v>126</v>
      </c>
    </row>
    <row r="918" spans="1:7" x14ac:dyDescent="0.25">
      <c r="A918" s="24">
        <f>_xlfn.XLOOKUP(tbEscolas[[#This Row],[ESCOLA]],tbNucleo[ESCOLA],tbNucleo[COD ESCOLA],"")</f>
        <v>51</v>
      </c>
      <c r="B918" t="str" cm="1">
        <f t="array" ref="B918">IFERROR(INDEX(tbNucleo[ESCOLA],ROUNDUP(ROW(B917)/TotalEtapas,0)),"")</f>
        <v>EMEI FREI GRIGNION</v>
      </c>
      <c r="C918" t="s">
        <v>118</v>
      </c>
      <c r="D918">
        <v>17</v>
      </c>
      <c r="E918" t="s">
        <v>21</v>
      </c>
      <c r="F918" t="s">
        <v>20</v>
      </c>
      <c r="G918" t="s">
        <v>125</v>
      </c>
    </row>
    <row r="919" spans="1:7" x14ac:dyDescent="0.25">
      <c r="A919" s="24">
        <f>_xlfn.XLOOKUP(tbEscolas[[#This Row],[ESCOLA]],tbNucleo[ESCOLA],tbNucleo[COD ESCOLA],"")</f>
        <v>51</v>
      </c>
      <c r="B919" t="str" cm="1">
        <f t="array" ref="B919">IFERROR(INDEX(tbNucleo[ESCOLA],ROUNDUP(ROW(B918)/TotalEtapas,0)),"")</f>
        <v>EMEI FREI GRIGNION</v>
      </c>
      <c r="C919" t="s">
        <v>118</v>
      </c>
      <c r="D919">
        <v>18</v>
      </c>
      <c r="E919" t="s">
        <v>22</v>
      </c>
      <c r="F919" t="s">
        <v>24</v>
      </c>
      <c r="G919" t="s">
        <v>125</v>
      </c>
    </row>
    <row r="920" spans="1:7" x14ac:dyDescent="0.25">
      <c r="A920" s="24" t="str">
        <f>_xlfn.XLOOKUP(tbEscolas[[#This Row],[ESCOLA]],tbNucleo[ESCOLA],tbNucleo[COD ESCOLA],"")</f>
        <v/>
      </c>
      <c r="B920" t="str" cm="1">
        <f t="array" ref="B920">IFERROR(INDEX(tbNucleo[ESCOLA],ROUNDUP(ROW(B919)/TotalEtapas,0)),"")</f>
        <v/>
      </c>
    </row>
    <row r="921" spans="1:7" x14ac:dyDescent="0.25">
      <c r="A921" s="24" t="str">
        <f>_xlfn.XLOOKUP(tbEscolas[[#This Row],[ESCOLA]],tbNucleo[ESCOLA],tbNucleo[COD ESCOLA],"")</f>
        <v/>
      </c>
      <c r="B921" t="str" cm="1">
        <f t="array" ref="B921">IFERROR(INDEX(tbNucleo[ESCOLA],ROUNDUP(ROW(B920)/TotalEtapas,0)),"")</f>
        <v/>
      </c>
    </row>
    <row r="922" spans="1:7" x14ac:dyDescent="0.25">
      <c r="A922" s="24" t="str">
        <f>_xlfn.XLOOKUP(tbEscolas[[#This Row],[ESCOLA]],tbNucleo[ESCOLA],tbNucleo[COD ESCOLA],"")</f>
        <v/>
      </c>
      <c r="B922" t="str" cm="1">
        <f t="array" ref="B922">IFERROR(INDEX(tbNucleo[ESCOLA],ROUNDUP(ROW(B921)/TotalEtapas,0)),"")</f>
        <v/>
      </c>
    </row>
    <row r="923" spans="1:7" x14ac:dyDescent="0.25">
      <c r="A923" s="24" t="str">
        <f>_xlfn.XLOOKUP(tbEscolas[[#This Row],[ESCOLA]],tbNucleo[ESCOLA],tbNucleo[COD ESCOLA],"")</f>
        <v/>
      </c>
      <c r="B923" t="str" cm="1">
        <f t="array" ref="B923">IFERROR(INDEX(tbNucleo[ESCOLA],ROUNDUP(ROW(B922)/TotalEtapas,0)),"")</f>
        <v/>
      </c>
    </row>
    <row r="924" spans="1:7" x14ac:dyDescent="0.25">
      <c r="A924" s="24" t="str">
        <f>_xlfn.XLOOKUP(tbEscolas[[#This Row],[ESCOLA]],tbNucleo[ESCOLA],tbNucleo[COD ESCOLA],"")</f>
        <v/>
      </c>
      <c r="B924" t="str" cm="1">
        <f t="array" ref="B924">IFERROR(INDEX(tbNucleo[ESCOLA],ROUNDUP(ROW(B923)/TotalEtapas,0)),"")</f>
        <v/>
      </c>
    </row>
    <row r="925" spans="1:7" x14ac:dyDescent="0.25">
      <c r="A925" s="24" t="str">
        <f>_xlfn.XLOOKUP(tbEscolas[[#This Row],[ESCOLA]],tbNucleo[ESCOLA],tbNucleo[COD ESCOLA],"")</f>
        <v/>
      </c>
      <c r="B925" t="str" cm="1">
        <f t="array" ref="B925">IFERROR(INDEX(tbNucleo[ESCOLA],ROUNDUP(ROW(B924)/TotalEtapas,0)),"")</f>
        <v/>
      </c>
    </row>
    <row r="926" spans="1:7" x14ac:dyDescent="0.25">
      <c r="A926" s="24" t="str">
        <f>_xlfn.XLOOKUP(tbEscolas[[#This Row],[ESCOLA]],tbNucleo[ESCOLA],tbNucleo[COD ESCOLA],"")</f>
        <v/>
      </c>
      <c r="B926" t="str" cm="1">
        <f t="array" ref="B926">IFERROR(INDEX(tbNucleo[ESCOLA],ROUNDUP(ROW(B925)/TotalEtapas,0)),"")</f>
        <v/>
      </c>
    </row>
    <row r="927" spans="1:7" x14ac:dyDescent="0.25">
      <c r="A927" s="24" t="str">
        <f>_xlfn.XLOOKUP(tbEscolas[[#This Row],[ESCOLA]],tbNucleo[ESCOLA],tbNucleo[COD ESCOLA],"")</f>
        <v/>
      </c>
      <c r="B927" t="str" cm="1">
        <f t="array" ref="B927">IFERROR(INDEX(tbNucleo[ESCOLA],ROUNDUP(ROW(B926)/TotalEtapas,0)),"")</f>
        <v/>
      </c>
    </row>
    <row r="928" spans="1:7" x14ac:dyDescent="0.25">
      <c r="A928" s="24" t="str">
        <f>_xlfn.XLOOKUP(tbEscolas[[#This Row],[ESCOLA]],tbNucleo[ESCOLA],tbNucleo[COD ESCOLA],"")</f>
        <v/>
      </c>
      <c r="B928" t="str" cm="1">
        <f t="array" ref="B928">IFERROR(INDEX(tbNucleo[ESCOLA],ROUNDUP(ROW(B927)/TotalEtapas,0)),"")</f>
        <v/>
      </c>
    </row>
    <row r="929" spans="1:2" x14ac:dyDescent="0.25">
      <c r="A929" s="24" t="str">
        <f>_xlfn.XLOOKUP(tbEscolas[[#This Row],[ESCOLA]],tbNucleo[ESCOLA],tbNucleo[COD ESCOLA],"")</f>
        <v/>
      </c>
      <c r="B929" t="str" cm="1">
        <f t="array" ref="B929">IFERROR(INDEX(tbNucleo[ESCOLA],ROUNDUP(ROW(B928)/TotalEtapas,0)),"")</f>
        <v/>
      </c>
    </row>
    <row r="930" spans="1:2" x14ac:dyDescent="0.25">
      <c r="A930" s="24" t="str">
        <f>_xlfn.XLOOKUP(tbEscolas[[#This Row],[ESCOLA]],tbNucleo[ESCOLA],tbNucleo[COD ESCOLA],"")</f>
        <v/>
      </c>
      <c r="B930" t="str" cm="1">
        <f t="array" ref="B930">IFERROR(INDEX(tbNucleo[ESCOLA],ROUNDUP(ROW(B929)/TotalEtapas,0)),"")</f>
        <v/>
      </c>
    </row>
    <row r="931" spans="1:2" x14ac:dyDescent="0.25">
      <c r="A931" s="24" t="str">
        <f>_xlfn.XLOOKUP(tbEscolas[[#This Row],[ESCOLA]],tbNucleo[ESCOLA],tbNucleo[COD ESCOLA],"")</f>
        <v/>
      </c>
      <c r="B931" t="str" cm="1">
        <f t="array" ref="B931">IFERROR(INDEX(tbNucleo[ESCOLA],ROUNDUP(ROW(B930)/TotalEtapas,0)),"")</f>
        <v/>
      </c>
    </row>
    <row r="932" spans="1:2" x14ac:dyDescent="0.25">
      <c r="A932" s="24" t="str">
        <f>_xlfn.XLOOKUP(tbEscolas[[#This Row],[ESCOLA]],tbNucleo[ESCOLA],tbNucleo[COD ESCOLA],"")</f>
        <v/>
      </c>
      <c r="B932" t="str" cm="1">
        <f t="array" ref="B932">IFERROR(INDEX(tbNucleo[ESCOLA],ROUNDUP(ROW(B931)/TotalEtapas,0)),"")</f>
        <v/>
      </c>
    </row>
    <row r="933" spans="1:2" x14ac:dyDescent="0.25">
      <c r="A933" s="24" t="str">
        <f>_xlfn.XLOOKUP(tbEscolas[[#This Row],[ESCOLA]],tbNucleo[ESCOLA],tbNucleo[COD ESCOLA],"")</f>
        <v/>
      </c>
      <c r="B933" t="str" cm="1">
        <f t="array" ref="B933">IFERROR(INDEX(tbNucleo[ESCOLA],ROUNDUP(ROW(B932)/TotalEtapas,0)),"")</f>
        <v/>
      </c>
    </row>
    <row r="934" spans="1:2" x14ac:dyDescent="0.25">
      <c r="A934" s="24" t="str">
        <f>_xlfn.XLOOKUP(tbEscolas[[#This Row],[ESCOLA]],tbNucleo[ESCOLA],tbNucleo[COD ESCOLA],"")</f>
        <v/>
      </c>
      <c r="B934" t="str" cm="1">
        <f t="array" ref="B934">IFERROR(INDEX(tbNucleo[ESCOLA],ROUNDUP(ROW(B933)/TotalEtapas,0)),"")</f>
        <v/>
      </c>
    </row>
    <row r="935" spans="1:2" x14ac:dyDescent="0.25">
      <c r="A935" s="24" t="str">
        <f>_xlfn.XLOOKUP(tbEscolas[[#This Row],[ESCOLA]],tbNucleo[ESCOLA],tbNucleo[COD ESCOLA],"")</f>
        <v/>
      </c>
      <c r="B935" t="str" cm="1">
        <f t="array" ref="B935">IFERROR(INDEX(tbNucleo[ESCOLA],ROUNDUP(ROW(B934)/TotalEtapas,0)),"")</f>
        <v/>
      </c>
    </row>
    <row r="936" spans="1:2" x14ac:dyDescent="0.25">
      <c r="A936" s="24" t="str">
        <f>_xlfn.XLOOKUP(tbEscolas[[#This Row],[ESCOLA]],tbNucleo[ESCOLA],tbNucleo[COD ESCOLA],"")</f>
        <v/>
      </c>
      <c r="B936" t="str" cm="1">
        <f t="array" ref="B936">IFERROR(INDEX(tbNucleo[ESCOLA],ROUNDUP(ROW(B935)/TotalEtapas,0)),"")</f>
        <v/>
      </c>
    </row>
    <row r="937" spans="1:2" x14ac:dyDescent="0.25">
      <c r="A937" s="24" t="str">
        <f>_xlfn.XLOOKUP(tbEscolas[[#This Row],[ESCOLA]],tbNucleo[ESCOLA],tbNucleo[COD ESCOLA],"")</f>
        <v/>
      </c>
      <c r="B937" t="str" cm="1">
        <f t="array" ref="B937">IFERROR(INDEX(tbNucleo[ESCOLA],ROUNDUP(ROW(B936)/TotalEtapas,0)),"")</f>
        <v/>
      </c>
    </row>
    <row r="938" spans="1:2" x14ac:dyDescent="0.25">
      <c r="A938" s="24" t="str">
        <f>_xlfn.XLOOKUP(tbEscolas[[#This Row],[ESCOLA]],tbNucleo[ESCOLA],tbNucleo[COD ESCOLA],"")</f>
        <v/>
      </c>
      <c r="B938" t="str" cm="1">
        <f t="array" ref="B938">IFERROR(INDEX(tbNucleo[ESCOLA],ROUNDUP(ROW(B937)/TotalEtapas,0)),"")</f>
        <v/>
      </c>
    </row>
    <row r="939" spans="1:2" x14ac:dyDescent="0.25">
      <c r="A939" s="24" t="str">
        <f>_xlfn.XLOOKUP(tbEscolas[[#This Row],[ESCOLA]],tbNucleo[ESCOLA],tbNucleo[COD ESCOLA],"")</f>
        <v/>
      </c>
      <c r="B939" t="str" cm="1">
        <f t="array" ref="B939">IFERROR(INDEX(tbNucleo[ESCOLA],ROUNDUP(ROW(B938)/TotalEtapas,0)),"")</f>
        <v/>
      </c>
    </row>
    <row r="940" spans="1:2" x14ac:dyDescent="0.25">
      <c r="A940" s="24" t="str">
        <f>_xlfn.XLOOKUP(tbEscolas[[#This Row],[ESCOLA]],tbNucleo[ESCOLA],tbNucleo[COD ESCOLA],"")</f>
        <v/>
      </c>
      <c r="B940" t="str" cm="1">
        <f t="array" ref="B940">IFERROR(INDEX(tbNucleo[ESCOLA],ROUNDUP(ROW(B939)/TotalEtapas,0)),"")</f>
        <v/>
      </c>
    </row>
    <row r="941" spans="1:2" x14ac:dyDescent="0.25">
      <c r="A941" s="24" t="str">
        <f>_xlfn.XLOOKUP(tbEscolas[[#This Row],[ESCOLA]],tbNucleo[ESCOLA],tbNucleo[COD ESCOLA],"")</f>
        <v/>
      </c>
      <c r="B941" t="str" cm="1">
        <f t="array" ref="B941">IFERROR(INDEX(tbNucleo[ESCOLA],ROUNDUP(ROW(B940)/TotalEtapas,0)),"")</f>
        <v/>
      </c>
    </row>
    <row r="942" spans="1:2" x14ac:dyDescent="0.25">
      <c r="A942" s="24" t="str">
        <f>_xlfn.XLOOKUP(tbEscolas[[#This Row],[ESCOLA]],tbNucleo[ESCOLA],tbNucleo[COD ESCOLA],"")</f>
        <v/>
      </c>
      <c r="B942" t="str" cm="1">
        <f t="array" ref="B942">IFERROR(INDEX(tbNucleo[ESCOLA],ROUNDUP(ROW(B941)/TotalEtapas,0)),"")</f>
        <v/>
      </c>
    </row>
    <row r="943" spans="1:2" x14ac:dyDescent="0.25">
      <c r="A943" s="24" t="str">
        <f>_xlfn.XLOOKUP(tbEscolas[[#This Row],[ESCOLA]],tbNucleo[ESCOLA],tbNucleo[COD ESCOLA],"")</f>
        <v/>
      </c>
      <c r="B943" t="str" cm="1">
        <f t="array" ref="B943">IFERROR(INDEX(tbNucleo[ESCOLA],ROUNDUP(ROW(B942)/TotalEtapas,0)),"")</f>
        <v/>
      </c>
    </row>
    <row r="944" spans="1:2" x14ac:dyDescent="0.25">
      <c r="A944" s="24" t="str">
        <f>_xlfn.XLOOKUP(tbEscolas[[#This Row],[ESCOLA]],tbNucleo[ESCOLA],tbNucleo[COD ESCOLA],"")</f>
        <v/>
      </c>
      <c r="B944" t="str" cm="1">
        <f t="array" ref="B944">IFERROR(INDEX(tbNucleo[ESCOLA],ROUNDUP(ROW(B943)/TotalEtapas,0)),"")</f>
        <v/>
      </c>
    </row>
    <row r="945" spans="1:2" x14ac:dyDescent="0.25">
      <c r="A945" s="24" t="str">
        <f>_xlfn.XLOOKUP(tbEscolas[[#This Row],[ESCOLA]],tbNucleo[ESCOLA],tbNucleo[COD ESCOLA],"")</f>
        <v/>
      </c>
      <c r="B945" t="str" cm="1">
        <f t="array" ref="B945">IFERROR(INDEX(tbNucleo[ESCOLA],ROUNDUP(ROW(B944)/TotalEtapas,0)),"")</f>
        <v/>
      </c>
    </row>
    <row r="946" spans="1:2" x14ac:dyDescent="0.25">
      <c r="A946" s="24" t="str">
        <f>_xlfn.XLOOKUP(tbEscolas[[#This Row],[ESCOLA]],tbNucleo[ESCOLA],tbNucleo[COD ESCOLA],"")</f>
        <v/>
      </c>
      <c r="B946" t="str" cm="1">
        <f t="array" ref="B946">IFERROR(INDEX(tbNucleo[ESCOLA],ROUNDUP(ROW(B945)/TotalEtapas,0)),"")</f>
        <v/>
      </c>
    </row>
    <row r="947" spans="1:2" x14ac:dyDescent="0.25">
      <c r="A947" s="24" t="str">
        <f>_xlfn.XLOOKUP(tbEscolas[[#This Row],[ESCOLA]],tbNucleo[ESCOLA],tbNucleo[COD ESCOLA],"")</f>
        <v/>
      </c>
      <c r="B947" t="str" cm="1">
        <f t="array" ref="B947">IFERROR(INDEX(tbNucleo[ESCOLA],ROUNDUP(ROW(B946)/TotalEtapas,0)),"")</f>
        <v/>
      </c>
    </row>
    <row r="948" spans="1:2" x14ac:dyDescent="0.25">
      <c r="A948" s="24" t="str">
        <f>_xlfn.XLOOKUP(tbEscolas[[#This Row],[ESCOLA]],tbNucleo[ESCOLA],tbNucleo[COD ESCOLA],"")</f>
        <v/>
      </c>
      <c r="B948" t="str" cm="1">
        <f t="array" ref="B948">IFERROR(INDEX(tbNucleo[ESCOLA],ROUNDUP(ROW(B947)/TotalEtapas,0)),"")</f>
        <v/>
      </c>
    </row>
    <row r="949" spans="1:2" x14ac:dyDescent="0.25">
      <c r="A949" s="24" t="str">
        <f>_xlfn.XLOOKUP(tbEscolas[[#This Row],[ESCOLA]],tbNucleo[ESCOLA],tbNucleo[COD ESCOLA],"")</f>
        <v/>
      </c>
      <c r="B949" t="str" cm="1">
        <f t="array" ref="B949">IFERROR(INDEX(tbNucleo[ESCOLA],ROUNDUP(ROW(B948)/TotalEtapas,0)),"")</f>
        <v/>
      </c>
    </row>
    <row r="950" spans="1:2" x14ac:dyDescent="0.25">
      <c r="A950" s="24" t="str">
        <f>_xlfn.XLOOKUP(tbEscolas[[#This Row],[ESCOLA]],tbNucleo[ESCOLA],tbNucleo[COD ESCOLA],"")</f>
        <v/>
      </c>
      <c r="B950" t="str" cm="1">
        <f t="array" ref="B950">IFERROR(INDEX(tbNucleo[ESCOLA],ROUNDUP(ROW(B949)/TotalEtapas,0)),"")</f>
        <v/>
      </c>
    </row>
    <row r="951" spans="1:2" x14ac:dyDescent="0.25">
      <c r="A951" s="24" t="str">
        <f>_xlfn.XLOOKUP(tbEscolas[[#This Row],[ESCOLA]],tbNucleo[ESCOLA],tbNucleo[COD ESCOLA],"")</f>
        <v/>
      </c>
      <c r="B951" t="str" cm="1">
        <f t="array" ref="B951">IFERROR(INDEX(tbNucleo[ESCOLA],ROUNDUP(ROW(B950)/TotalEtapas,0)),"")</f>
        <v/>
      </c>
    </row>
    <row r="952" spans="1:2" x14ac:dyDescent="0.25">
      <c r="A952" s="24" t="str">
        <f>_xlfn.XLOOKUP(tbEscolas[[#This Row],[ESCOLA]],tbNucleo[ESCOLA],tbNucleo[COD ESCOLA],"")</f>
        <v/>
      </c>
      <c r="B952" t="str" cm="1">
        <f t="array" ref="B952">IFERROR(INDEX(tbNucleo[ESCOLA],ROUNDUP(ROW(B951)/TotalEtapas,0)),"")</f>
        <v/>
      </c>
    </row>
    <row r="953" spans="1:2" x14ac:dyDescent="0.25">
      <c r="A953" s="24" t="str">
        <f>_xlfn.XLOOKUP(tbEscolas[[#This Row],[ESCOLA]],tbNucleo[ESCOLA],tbNucleo[COD ESCOLA],"")</f>
        <v/>
      </c>
      <c r="B953" t="str" cm="1">
        <f t="array" ref="B953">IFERROR(INDEX(tbNucleo[ESCOLA],ROUNDUP(ROW(B952)/TotalEtapas,0)),"")</f>
        <v/>
      </c>
    </row>
    <row r="954" spans="1:2" x14ac:dyDescent="0.25">
      <c r="A954" s="24" t="str">
        <f>_xlfn.XLOOKUP(tbEscolas[[#This Row],[ESCOLA]],tbNucleo[ESCOLA],tbNucleo[COD ESCOLA],"")</f>
        <v/>
      </c>
      <c r="B954" t="str" cm="1">
        <f t="array" ref="B954">IFERROR(INDEX(tbNucleo[ESCOLA],ROUNDUP(ROW(B953)/TotalEtapas,0)),"")</f>
        <v/>
      </c>
    </row>
    <row r="955" spans="1:2" x14ac:dyDescent="0.25">
      <c r="A955" s="24" t="str">
        <f>_xlfn.XLOOKUP(tbEscolas[[#This Row],[ESCOLA]],tbNucleo[ESCOLA],tbNucleo[COD ESCOLA],"")</f>
        <v/>
      </c>
      <c r="B955" t="str" cm="1">
        <f t="array" ref="B955">IFERROR(INDEX(tbNucleo[ESCOLA],ROUNDUP(ROW(B954)/TotalEtapas,0)),"")</f>
        <v/>
      </c>
    </row>
    <row r="956" spans="1:2" x14ac:dyDescent="0.25">
      <c r="A956" s="24" t="str">
        <f>_xlfn.XLOOKUP(tbEscolas[[#This Row],[ESCOLA]],tbNucleo[ESCOLA],tbNucleo[COD ESCOLA],"")</f>
        <v/>
      </c>
      <c r="B956" t="str" cm="1">
        <f t="array" ref="B956">IFERROR(INDEX(tbNucleo[ESCOLA],ROUNDUP(ROW(B955)/TotalEtapas,0)),"")</f>
        <v/>
      </c>
    </row>
    <row r="957" spans="1:2" x14ac:dyDescent="0.25">
      <c r="A957" s="24" t="str">
        <f>_xlfn.XLOOKUP(tbEscolas[[#This Row],[ESCOLA]],tbNucleo[ESCOLA],tbNucleo[COD ESCOLA],"")</f>
        <v/>
      </c>
      <c r="B957" t="str" cm="1">
        <f t="array" ref="B957">IFERROR(INDEX(tbNucleo[ESCOLA],ROUNDUP(ROW(B956)/TotalEtapas,0)),"")</f>
        <v/>
      </c>
    </row>
    <row r="958" spans="1:2" x14ac:dyDescent="0.25">
      <c r="A958" s="24" t="str">
        <f>_xlfn.XLOOKUP(tbEscolas[[#This Row],[ESCOLA]],tbNucleo[ESCOLA],tbNucleo[COD ESCOLA],"")</f>
        <v/>
      </c>
      <c r="B958" t="str" cm="1">
        <f t="array" ref="B958">IFERROR(INDEX(tbNucleo[ESCOLA],ROUNDUP(ROW(B957)/TotalEtapas,0)),"")</f>
        <v/>
      </c>
    </row>
    <row r="959" spans="1:2" x14ac:dyDescent="0.25">
      <c r="A959" s="24" t="str">
        <f>_xlfn.XLOOKUP(tbEscolas[[#This Row],[ESCOLA]],tbNucleo[ESCOLA],tbNucleo[COD ESCOLA],"")</f>
        <v/>
      </c>
      <c r="B959" t="str" cm="1">
        <f t="array" ref="B959">IFERROR(INDEX(tbNucleo[ESCOLA],ROUNDUP(ROW(B958)/TotalEtapas,0)),"")</f>
        <v/>
      </c>
    </row>
    <row r="960" spans="1:2" x14ac:dyDescent="0.25">
      <c r="A960" s="24" t="str">
        <f>_xlfn.XLOOKUP(tbEscolas[[#This Row],[ESCOLA]],tbNucleo[ESCOLA],tbNucleo[COD ESCOLA],"")</f>
        <v/>
      </c>
      <c r="B960" t="str" cm="1">
        <f t="array" ref="B960">IFERROR(INDEX(tbNucleo[ESCOLA],ROUNDUP(ROW(B959)/TotalEtapas,0)),"")</f>
        <v/>
      </c>
    </row>
    <row r="961" spans="1:2" x14ac:dyDescent="0.25">
      <c r="A961" s="24" t="str">
        <f>_xlfn.XLOOKUP(tbEscolas[[#This Row],[ESCOLA]],tbNucleo[ESCOLA],tbNucleo[COD ESCOLA],"")</f>
        <v/>
      </c>
      <c r="B961" t="str" cm="1">
        <f t="array" ref="B961">IFERROR(INDEX(tbNucleo[ESCOLA],ROUNDUP(ROW(B960)/TotalEtapas,0)),"")</f>
        <v/>
      </c>
    </row>
    <row r="962" spans="1:2" x14ac:dyDescent="0.25">
      <c r="A962" s="24" t="str">
        <f>_xlfn.XLOOKUP(tbEscolas[[#This Row],[ESCOLA]],tbNucleo[ESCOLA],tbNucleo[COD ESCOLA],"")</f>
        <v/>
      </c>
      <c r="B962" t="str" cm="1">
        <f t="array" ref="B962">IFERROR(INDEX(tbNucleo[ESCOLA],ROUNDUP(ROW(B961)/TotalEtapas,0)),"")</f>
        <v/>
      </c>
    </row>
    <row r="963" spans="1:2" x14ac:dyDescent="0.25">
      <c r="A963" s="24" t="str">
        <f>_xlfn.XLOOKUP(tbEscolas[[#This Row],[ESCOLA]],tbNucleo[ESCOLA],tbNucleo[COD ESCOLA],"")</f>
        <v/>
      </c>
      <c r="B963" t="str" cm="1">
        <f t="array" ref="B963">IFERROR(INDEX(tbNucleo[ESCOLA],ROUNDUP(ROW(B962)/TotalEtapas,0)),"")</f>
        <v/>
      </c>
    </row>
    <row r="964" spans="1:2" x14ac:dyDescent="0.25">
      <c r="A964" s="24" t="str">
        <f>_xlfn.XLOOKUP(tbEscolas[[#This Row],[ESCOLA]],tbNucleo[ESCOLA],tbNucleo[COD ESCOLA],"")</f>
        <v/>
      </c>
      <c r="B964" t="str" cm="1">
        <f t="array" ref="B964">IFERROR(INDEX(tbNucleo[ESCOLA],ROUNDUP(ROW(B963)/TotalEtapas,0)),"")</f>
        <v/>
      </c>
    </row>
    <row r="965" spans="1:2" x14ac:dyDescent="0.25">
      <c r="A965" s="24" t="str">
        <f>_xlfn.XLOOKUP(tbEscolas[[#This Row],[ESCOLA]],tbNucleo[ESCOLA],tbNucleo[COD ESCOLA],"")</f>
        <v/>
      </c>
      <c r="B965" t="str" cm="1">
        <f t="array" ref="B965">IFERROR(INDEX(tbNucleo[ESCOLA],ROUNDUP(ROW(B964)/TotalEtapas,0)),"")</f>
        <v/>
      </c>
    </row>
    <row r="966" spans="1:2" x14ac:dyDescent="0.25">
      <c r="A966" s="24" t="str">
        <f>_xlfn.XLOOKUP(tbEscolas[[#This Row],[ESCOLA]],tbNucleo[ESCOLA],tbNucleo[COD ESCOLA],"")</f>
        <v/>
      </c>
      <c r="B966" t="str" cm="1">
        <f t="array" ref="B966">IFERROR(INDEX(tbNucleo[ESCOLA],ROUNDUP(ROW(B965)/TotalEtapas,0)),"")</f>
        <v/>
      </c>
    </row>
    <row r="967" spans="1:2" x14ac:dyDescent="0.25">
      <c r="A967" s="24" t="str">
        <f>_xlfn.XLOOKUP(tbEscolas[[#This Row],[ESCOLA]],tbNucleo[ESCOLA],tbNucleo[COD ESCOLA],"")</f>
        <v/>
      </c>
      <c r="B967" t="str" cm="1">
        <f t="array" ref="B967">IFERROR(INDEX(tbNucleo[ESCOLA],ROUNDUP(ROW(B966)/TotalEtapas,0)),"")</f>
        <v/>
      </c>
    </row>
    <row r="968" spans="1:2" x14ac:dyDescent="0.25">
      <c r="A968" s="24" t="str">
        <f>_xlfn.XLOOKUP(tbEscolas[[#This Row],[ESCOLA]],tbNucleo[ESCOLA],tbNucleo[COD ESCOLA],"")</f>
        <v/>
      </c>
      <c r="B968" t="str" cm="1">
        <f t="array" ref="B968">IFERROR(INDEX(tbNucleo[ESCOLA],ROUNDUP(ROW(B967)/TotalEtapas,0)),"")</f>
        <v/>
      </c>
    </row>
    <row r="969" spans="1:2" x14ac:dyDescent="0.25">
      <c r="A969" s="24" t="str">
        <f>_xlfn.XLOOKUP(tbEscolas[[#This Row],[ESCOLA]],tbNucleo[ESCOLA],tbNucleo[COD ESCOLA],"")</f>
        <v/>
      </c>
      <c r="B969" t="str" cm="1">
        <f t="array" ref="B969">IFERROR(INDEX(tbNucleo[ESCOLA],ROUNDUP(ROW(B968)/TotalEtapas,0)),"")</f>
        <v/>
      </c>
    </row>
    <row r="970" spans="1:2" x14ac:dyDescent="0.25">
      <c r="A970" s="24" t="str">
        <f>_xlfn.XLOOKUP(tbEscolas[[#This Row],[ESCOLA]],tbNucleo[ESCOLA],tbNucleo[COD ESCOLA],"")</f>
        <v/>
      </c>
      <c r="B970" t="str" cm="1">
        <f t="array" ref="B970">IFERROR(INDEX(tbNucleo[ESCOLA],ROUNDUP(ROW(B969)/TotalEtapas,0)),"")</f>
        <v/>
      </c>
    </row>
    <row r="971" spans="1:2" x14ac:dyDescent="0.25">
      <c r="A971" s="24" t="str">
        <f>_xlfn.XLOOKUP(tbEscolas[[#This Row],[ESCOLA]],tbNucleo[ESCOLA],tbNucleo[COD ESCOLA],"")</f>
        <v/>
      </c>
      <c r="B971" t="str" cm="1">
        <f t="array" ref="B971">IFERROR(INDEX(tbNucleo[ESCOLA],ROUNDUP(ROW(B970)/TotalEtapas,0)),"")</f>
        <v/>
      </c>
    </row>
    <row r="972" spans="1:2" x14ac:dyDescent="0.25">
      <c r="A972" s="24" t="str">
        <f>_xlfn.XLOOKUP(tbEscolas[[#This Row],[ESCOLA]],tbNucleo[ESCOLA],tbNucleo[COD ESCOLA],"")</f>
        <v/>
      </c>
      <c r="B972" t="str" cm="1">
        <f t="array" ref="B972">IFERROR(INDEX(tbNucleo[ESCOLA],ROUNDUP(ROW(B971)/TotalEtapas,0)),"")</f>
        <v/>
      </c>
    </row>
    <row r="973" spans="1:2" x14ac:dyDescent="0.25">
      <c r="A973" s="24" t="str">
        <f>_xlfn.XLOOKUP(tbEscolas[[#This Row],[ESCOLA]],tbNucleo[ESCOLA],tbNucleo[COD ESCOLA],"")</f>
        <v/>
      </c>
      <c r="B973" t="str" cm="1">
        <f t="array" ref="B973">IFERROR(INDEX(tbNucleo[ESCOLA],ROUNDUP(ROW(B972)/TotalEtapas,0)),"")</f>
        <v/>
      </c>
    </row>
    <row r="974" spans="1:2" x14ac:dyDescent="0.25">
      <c r="A974" s="24" t="str">
        <f>_xlfn.XLOOKUP(tbEscolas[[#This Row],[ESCOLA]],tbNucleo[ESCOLA],tbNucleo[COD ESCOLA],"")</f>
        <v/>
      </c>
      <c r="B974" t="str" cm="1">
        <f t="array" ref="B974">IFERROR(INDEX(tbNucleo[ESCOLA],ROUNDUP(ROW(B973)/TotalEtapas,0)),"")</f>
        <v/>
      </c>
    </row>
    <row r="975" spans="1:2" x14ac:dyDescent="0.25">
      <c r="A975" s="24" t="str">
        <f>_xlfn.XLOOKUP(tbEscolas[[#This Row],[ESCOLA]],tbNucleo[ESCOLA],tbNucleo[COD ESCOLA],"")</f>
        <v/>
      </c>
      <c r="B975" t="str" cm="1">
        <f t="array" ref="B975">IFERROR(INDEX(tbNucleo[ESCOLA],ROUNDUP(ROW(B974)/TotalEtapas,0)),"")</f>
        <v/>
      </c>
    </row>
    <row r="976" spans="1:2" x14ac:dyDescent="0.25">
      <c r="A976" s="24" t="str">
        <f>_xlfn.XLOOKUP(tbEscolas[[#This Row],[ESCOLA]],tbNucleo[ESCOLA],tbNucleo[COD ESCOLA],"")</f>
        <v/>
      </c>
      <c r="B976" t="str" cm="1">
        <f t="array" ref="B976">IFERROR(INDEX(tbNucleo[ESCOLA],ROUNDUP(ROW(B975)/TotalEtapas,0)),"")</f>
        <v/>
      </c>
    </row>
    <row r="977" spans="1:2" x14ac:dyDescent="0.25">
      <c r="A977" s="24" t="str">
        <f>_xlfn.XLOOKUP(tbEscolas[[#This Row],[ESCOLA]],tbNucleo[ESCOLA],tbNucleo[COD ESCOLA],"")</f>
        <v/>
      </c>
      <c r="B977" t="str" cm="1">
        <f t="array" ref="B977">IFERROR(INDEX(tbNucleo[ESCOLA],ROUNDUP(ROW(B976)/TotalEtapas,0)),"")</f>
        <v/>
      </c>
    </row>
    <row r="978" spans="1:2" x14ac:dyDescent="0.25">
      <c r="A978" s="24" t="str">
        <f>_xlfn.XLOOKUP(tbEscolas[[#This Row],[ESCOLA]],tbNucleo[ESCOLA],tbNucleo[COD ESCOLA],"")</f>
        <v/>
      </c>
      <c r="B978" t="str" cm="1">
        <f t="array" ref="B978">IFERROR(INDEX(tbNucleo[ESCOLA],ROUNDUP(ROW(B977)/TotalEtapas,0)),"")</f>
        <v/>
      </c>
    </row>
    <row r="979" spans="1:2" x14ac:dyDescent="0.25">
      <c r="A979" s="24" t="str">
        <f>_xlfn.XLOOKUP(tbEscolas[[#This Row],[ESCOLA]],tbNucleo[ESCOLA],tbNucleo[COD ESCOLA],"")</f>
        <v/>
      </c>
      <c r="B979" t="str" cm="1">
        <f t="array" ref="B979">IFERROR(INDEX(tbNucleo[ESCOLA],ROUNDUP(ROW(B978)/TotalEtapas,0)),"")</f>
        <v/>
      </c>
    </row>
    <row r="980" spans="1:2" x14ac:dyDescent="0.25">
      <c r="A980" s="24" t="str">
        <f>_xlfn.XLOOKUP(tbEscolas[[#This Row],[ESCOLA]],tbNucleo[ESCOLA],tbNucleo[COD ESCOLA],"")</f>
        <v/>
      </c>
      <c r="B980" t="str" cm="1">
        <f t="array" ref="B980">IFERROR(INDEX(tbNucleo[ESCOLA],ROUNDUP(ROW(B979)/TotalEtapas,0)),"")</f>
        <v/>
      </c>
    </row>
    <row r="981" spans="1:2" x14ac:dyDescent="0.25">
      <c r="A981" s="24" t="str">
        <f>_xlfn.XLOOKUP(tbEscolas[[#This Row],[ESCOLA]],tbNucleo[ESCOLA],tbNucleo[COD ESCOLA],"")</f>
        <v/>
      </c>
      <c r="B981" t="str" cm="1">
        <f t="array" ref="B981">IFERROR(INDEX(tbNucleo[ESCOLA],ROUNDUP(ROW(B980)/TotalEtapas,0)),"")</f>
        <v/>
      </c>
    </row>
    <row r="982" spans="1:2" x14ac:dyDescent="0.25">
      <c r="A982" s="24" t="str">
        <f>_xlfn.XLOOKUP(tbEscolas[[#This Row],[ESCOLA]],tbNucleo[ESCOLA],tbNucleo[COD ESCOLA],"")</f>
        <v/>
      </c>
      <c r="B982" t="str" cm="1">
        <f t="array" ref="B982">IFERROR(INDEX(tbNucleo[ESCOLA],ROUNDUP(ROW(B981)/TotalEtapas,0)),"")</f>
        <v/>
      </c>
    </row>
    <row r="983" spans="1:2" x14ac:dyDescent="0.25">
      <c r="A983" s="24" t="str">
        <f>_xlfn.XLOOKUP(tbEscolas[[#This Row],[ESCOLA]],tbNucleo[ESCOLA],tbNucleo[COD ESCOLA],"")</f>
        <v/>
      </c>
      <c r="B983" t="str" cm="1">
        <f t="array" ref="B983">IFERROR(INDEX(tbNucleo[ESCOLA],ROUNDUP(ROW(B982)/TotalEtapas,0)),"")</f>
        <v/>
      </c>
    </row>
    <row r="984" spans="1:2" x14ac:dyDescent="0.25">
      <c r="A984" s="24" t="str">
        <f>_xlfn.XLOOKUP(tbEscolas[[#This Row],[ESCOLA]],tbNucleo[ESCOLA],tbNucleo[COD ESCOLA],"")</f>
        <v/>
      </c>
      <c r="B984" t="str" cm="1">
        <f t="array" ref="B984">IFERROR(INDEX(tbNucleo[ESCOLA],ROUNDUP(ROW(B983)/TotalEtapas,0)),"")</f>
        <v/>
      </c>
    </row>
    <row r="985" spans="1:2" x14ac:dyDescent="0.25">
      <c r="A985" s="24" t="str">
        <f>_xlfn.XLOOKUP(tbEscolas[[#This Row],[ESCOLA]],tbNucleo[ESCOLA],tbNucleo[COD ESCOLA],"")</f>
        <v/>
      </c>
      <c r="B985" t="str" cm="1">
        <f t="array" ref="B985">IFERROR(INDEX(tbNucleo[ESCOLA],ROUNDUP(ROW(B984)/TotalEtapas,0)),"")</f>
        <v/>
      </c>
    </row>
    <row r="986" spans="1:2" x14ac:dyDescent="0.25">
      <c r="A986" s="24" t="str">
        <f>_xlfn.XLOOKUP(tbEscolas[[#This Row],[ESCOLA]],tbNucleo[ESCOLA],tbNucleo[COD ESCOLA],"")</f>
        <v/>
      </c>
      <c r="B986" t="str" cm="1">
        <f t="array" ref="B986">IFERROR(INDEX(tbNucleo[ESCOLA],ROUNDUP(ROW(B985)/TotalEtapas,0)),"")</f>
        <v/>
      </c>
    </row>
    <row r="987" spans="1:2" x14ac:dyDescent="0.25">
      <c r="A987" s="24" t="str">
        <f>_xlfn.XLOOKUP(tbEscolas[[#This Row],[ESCOLA]],tbNucleo[ESCOLA],tbNucleo[COD ESCOLA],"")</f>
        <v/>
      </c>
      <c r="B987" t="str" cm="1">
        <f t="array" ref="B987">IFERROR(INDEX(tbNucleo[ESCOLA],ROUNDUP(ROW(B986)/TotalEtapas,0)),"")</f>
        <v/>
      </c>
    </row>
    <row r="988" spans="1:2" x14ac:dyDescent="0.25">
      <c r="A988" s="24" t="str">
        <f>_xlfn.XLOOKUP(tbEscolas[[#This Row],[ESCOLA]],tbNucleo[ESCOLA],tbNucleo[COD ESCOLA],"")</f>
        <v/>
      </c>
      <c r="B988" t="str" cm="1">
        <f t="array" ref="B988">IFERROR(INDEX(tbNucleo[ESCOLA],ROUNDUP(ROW(B987)/TotalEtapas,0)),"")</f>
        <v/>
      </c>
    </row>
    <row r="989" spans="1:2" x14ac:dyDescent="0.25">
      <c r="A989" s="24" t="str">
        <f>_xlfn.XLOOKUP(tbEscolas[[#This Row],[ESCOLA]],tbNucleo[ESCOLA],tbNucleo[COD ESCOLA],"")</f>
        <v/>
      </c>
      <c r="B989" t="str" cm="1">
        <f t="array" ref="B989">IFERROR(INDEX(tbNucleo[ESCOLA],ROUNDUP(ROW(B988)/TotalEtapas,0)),"")</f>
        <v/>
      </c>
    </row>
    <row r="990" spans="1:2" x14ac:dyDescent="0.25">
      <c r="A990" s="24" t="str">
        <f>_xlfn.XLOOKUP(tbEscolas[[#This Row],[ESCOLA]],tbNucleo[ESCOLA],tbNucleo[COD ESCOLA],"")</f>
        <v/>
      </c>
      <c r="B990" t="str" cm="1">
        <f t="array" ref="B990">IFERROR(INDEX(tbNucleo[ESCOLA],ROUNDUP(ROW(B989)/TotalEtapas,0)),"")</f>
        <v/>
      </c>
    </row>
    <row r="991" spans="1:2" x14ac:dyDescent="0.25">
      <c r="A991" s="24" t="str">
        <f>_xlfn.XLOOKUP(tbEscolas[[#This Row],[ESCOLA]],tbNucleo[ESCOLA],tbNucleo[COD ESCOLA],"")</f>
        <v/>
      </c>
      <c r="B991" t="str" cm="1">
        <f t="array" ref="B991">IFERROR(INDEX(tbNucleo[ESCOLA],ROUNDUP(ROW(B990)/TotalEtapas,0)),"")</f>
        <v/>
      </c>
    </row>
    <row r="992" spans="1:2" x14ac:dyDescent="0.25">
      <c r="A992" s="24" t="str">
        <f>_xlfn.XLOOKUP(tbEscolas[[#This Row],[ESCOLA]],tbNucleo[ESCOLA],tbNucleo[COD ESCOLA],"")</f>
        <v/>
      </c>
      <c r="B992" t="str" cm="1">
        <f t="array" ref="B992">IFERROR(INDEX(tbNucleo[ESCOLA],ROUNDUP(ROW(B991)/TotalEtapas,0)),"")</f>
        <v/>
      </c>
    </row>
    <row r="993" spans="1:2" x14ac:dyDescent="0.25">
      <c r="A993" s="24" t="str">
        <f>_xlfn.XLOOKUP(tbEscolas[[#This Row],[ESCOLA]],tbNucleo[ESCOLA],tbNucleo[COD ESCOLA],"")</f>
        <v/>
      </c>
      <c r="B993" t="str" cm="1">
        <f t="array" ref="B993">IFERROR(INDEX(tbNucleo[ESCOLA],ROUNDUP(ROW(B992)/TotalEtapas,0)),"")</f>
        <v/>
      </c>
    </row>
    <row r="994" spans="1:2" x14ac:dyDescent="0.25">
      <c r="A994" s="24" t="str">
        <f>_xlfn.XLOOKUP(tbEscolas[[#This Row],[ESCOLA]],tbNucleo[ESCOLA],tbNucleo[COD ESCOLA],"")</f>
        <v/>
      </c>
      <c r="B994" t="str" cm="1">
        <f t="array" ref="B994">IFERROR(INDEX(tbNucleo[ESCOLA],ROUNDUP(ROW(B993)/TotalEtapas,0)),"")</f>
        <v/>
      </c>
    </row>
    <row r="995" spans="1:2" x14ac:dyDescent="0.25">
      <c r="A995" s="24" t="str">
        <f>_xlfn.XLOOKUP(tbEscolas[[#This Row],[ESCOLA]],tbNucleo[ESCOLA],tbNucleo[COD ESCOLA],"")</f>
        <v/>
      </c>
      <c r="B995" t="str" cm="1">
        <f t="array" ref="B995">IFERROR(INDEX(tbNucleo[ESCOLA],ROUNDUP(ROW(B994)/TotalEtapas,0)),"")</f>
        <v/>
      </c>
    </row>
    <row r="996" spans="1:2" x14ac:dyDescent="0.25">
      <c r="A996" s="24" t="str">
        <f>_xlfn.XLOOKUP(tbEscolas[[#This Row],[ESCOLA]],tbNucleo[ESCOLA],tbNucleo[COD ESCOLA],"")</f>
        <v/>
      </c>
      <c r="B996" t="str" cm="1">
        <f t="array" ref="B996">IFERROR(INDEX(tbNucleo[ESCOLA],ROUNDUP(ROW(B995)/TotalEtapas,0)),"")</f>
        <v/>
      </c>
    </row>
    <row r="997" spans="1:2" x14ac:dyDescent="0.25">
      <c r="A997" s="24" t="str">
        <f>_xlfn.XLOOKUP(tbEscolas[[#This Row],[ESCOLA]],tbNucleo[ESCOLA],tbNucleo[COD ESCOLA],"")</f>
        <v/>
      </c>
      <c r="B997" t="str" cm="1">
        <f t="array" ref="B997">IFERROR(INDEX(tbNucleo[ESCOLA],ROUNDUP(ROW(B996)/TotalEtapas,0)),"")</f>
        <v/>
      </c>
    </row>
    <row r="998" spans="1:2" x14ac:dyDescent="0.25">
      <c r="A998" s="24" t="str">
        <f>_xlfn.XLOOKUP(tbEscolas[[#This Row],[ESCOLA]],tbNucleo[ESCOLA],tbNucleo[COD ESCOLA],"")</f>
        <v/>
      </c>
      <c r="B998" t="str" cm="1">
        <f t="array" ref="B998">IFERROR(INDEX(tbNucleo[ESCOLA],ROUNDUP(ROW(B997)/TotalEtapas,0)),"")</f>
        <v/>
      </c>
    </row>
    <row r="999" spans="1:2" x14ac:dyDescent="0.25">
      <c r="A999" s="24" t="str">
        <f>_xlfn.XLOOKUP(tbEscolas[[#This Row],[ESCOLA]],tbNucleo[ESCOLA],tbNucleo[COD ESCOLA],"")</f>
        <v/>
      </c>
      <c r="B999" t="str" cm="1">
        <f t="array" ref="B999">IFERROR(INDEX(tbNucleo[ESCOLA],ROUNDUP(ROW(B998)/TotalEtapas,0)),"")</f>
        <v/>
      </c>
    </row>
    <row r="1000" spans="1:2" x14ac:dyDescent="0.25">
      <c r="A1000" s="24" t="str">
        <f>_xlfn.XLOOKUP(tbEscolas[[#This Row],[ESCOLA]],tbNucleo[ESCOLA],tbNucleo[COD ESCOLA],"")</f>
        <v/>
      </c>
      <c r="B1000" t="str" cm="1">
        <f t="array" ref="B1000">IFERROR(INDEX(tbNucleo[ESCOLA],ROUNDUP(ROW(B999)/TotalEtapas,0)),"")</f>
        <v/>
      </c>
    </row>
    <row r="1001" spans="1:2" x14ac:dyDescent="0.25">
      <c r="A1001" s="24" t="str">
        <f>_xlfn.XLOOKUP(tbEscolas[[#This Row],[ESCOLA]],tbNucleo[ESCOLA],tbNucleo[COD ESCOLA],"")</f>
        <v/>
      </c>
      <c r="B1001" t="str" cm="1">
        <f t="array" ref="B1001">IFERROR(INDEX(tbNucleo[ESCOLA],ROUNDUP(ROW(B1000)/TotalEtapas,0)),"")</f>
        <v/>
      </c>
    </row>
    <row r="1002" spans="1:2" x14ac:dyDescent="0.25">
      <c r="A1002" s="24" t="str">
        <f>_xlfn.XLOOKUP(tbEscolas[[#This Row],[ESCOLA]],tbNucleo[ESCOLA],tbNucleo[COD ESCOLA],"")</f>
        <v/>
      </c>
      <c r="B1002" t="str" cm="1">
        <f t="array" ref="B1002">IFERROR(INDEX(tbNucleo[ESCOLA],ROUNDUP(ROW(B1001)/TotalEtapas,0)),"")</f>
        <v/>
      </c>
    </row>
    <row r="1003" spans="1:2" x14ac:dyDescent="0.25">
      <c r="A1003" s="24" t="str">
        <f>_xlfn.XLOOKUP(tbEscolas[[#This Row],[ESCOLA]],tbNucleo[ESCOLA],tbNucleo[COD ESCOLA],"")</f>
        <v/>
      </c>
      <c r="B1003" t="str" cm="1">
        <f t="array" ref="B1003">IFERROR(INDEX(tbNucleo[ESCOLA],ROUNDUP(ROW(B1002)/TotalEtapas,0)),"")</f>
        <v/>
      </c>
    </row>
    <row r="1004" spans="1:2" x14ac:dyDescent="0.25">
      <c r="A1004" s="24" t="str">
        <f>_xlfn.XLOOKUP(tbEscolas[[#This Row],[ESCOLA]],tbNucleo[ESCOLA],tbNucleo[COD ESCOLA],"")</f>
        <v/>
      </c>
      <c r="B1004" t="str" cm="1">
        <f t="array" ref="B1004">IFERROR(INDEX(tbNucleo[ESCOLA],ROUNDUP(ROW(B1003)/TotalEtapas,0)),"")</f>
        <v/>
      </c>
    </row>
    <row r="1005" spans="1:2" x14ac:dyDescent="0.25">
      <c r="A1005" s="24" t="str">
        <f>_xlfn.XLOOKUP(tbEscolas[[#This Row],[ESCOLA]],tbNucleo[ESCOLA],tbNucleo[COD ESCOLA],"")</f>
        <v/>
      </c>
      <c r="B1005" t="str" cm="1">
        <f t="array" ref="B1005">IFERROR(INDEX(tbNucleo[ESCOLA],ROUNDUP(ROW(B1004)/TotalEtapas,0)),"")</f>
        <v/>
      </c>
    </row>
    <row r="1006" spans="1:2" x14ac:dyDescent="0.25">
      <c r="A1006" s="24" t="str">
        <f>_xlfn.XLOOKUP(tbEscolas[[#This Row],[ESCOLA]],tbNucleo[ESCOLA],tbNucleo[COD ESCOLA],"")</f>
        <v/>
      </c>
      <c r="B1006" t="str" cm="1">
        <f t="array" ref="B1006">IFERROR(INDEX(tbNucleo[ESCOLA],ROUNDUP(ROW(B1005)/TotalEtapas,0)),"")</f>
        <v/>
      </c>
    </row>
    <row r="1007" spans="1:2" x14ac:dyDescent="0.25">
      <c r="A1007" s="24" t="str">
        <f>_xlfn.XLOOKUP(tbEscolas[[#This Row],[ESCOLA]],tbNucleo[ESCOLA],tbNucleo[COD ESCOLA],"")</f>
        <v/>
      </c>
      <c r="B1007" t="str" cm="1">
        <f t="array" ref="B1007">IFERROR(INDEX(tbNucleo[ESCOLA],ROUNDUP(ROW(B1006)/TotalEtapas,0)),"")</f>
        <v/>
      </c>
    </row>
    <row r="1008" spans="1:2" x14ac:dyDescent="0.25">
      <c r="A1008" s="24" t="str">
        <f>_xlfn.XLOOKUP(tbEscolas[[#This Row],[ESCOLA]],tbNucleo[ESCOLA],tbNucleo[COD ESCOLA],"")</f>
        <v/>
      </c>
      <c r="B1008" t="str" cm="1">
        <f t="array" ref="B1008">IFERROR(INDEX(tbNucleo[ESCOLA],ROUNDUP(ROW(B1007)/TotalEtapas,0)),"")</f>
        <v/>
      </c>
    </row>
    <row r="1009" spans="1:2" x14ac:dyDescent="0.25">
      <c r="A1009" s="24" t="str">
        <f>_xlfn.XLOOKUP(tbEscolas[[#This Row],[ESCOLA]],tbNucleo[ESCOLA],tbNucleo[COD ESCOLA],"")</f>
        <v/>
      </c>
      <c r="B1009" t="str" cm="1">
        <f t="array" ref="B1009">IFERROR(INDEX(tbNucleo[ESCOLA],ROUNDUP(ROW(B1008)/TotalEtapas,0)),"")</f>
        <v/>
      </c>
    </row>
    <row r="1010" spans="1:2" x14ac:dyDescent="0.25">
      <c r="A1010" s="24" t="str">
        <f>_xlfn.XLOOKUP(tbEscolas[[#This Row],[ESCOLA]],tbNucleo[ESCOLA],tbNucleo[COD ESCOLA],"")</f>
        <v/>
      </c>
      <c r="B1010" t="str" cm="1">
        <f t="array" ref="B1010">IFERROR(INDEX(tbNucleo[ESCOLA],ROUNDUP(ROW(B1009)/TotalEtapas,0)),"")</f>
        <v/>
      </c>
    </row>
    <row r="1011" spans="1:2" x14ac:dyDescent="0.25">
      <c r="A1011" s="24" t="str">
        <f>_xlfn.XLOOKUP(tbEscolas[[#This Row],[ESCOLA]],tbNucleo[ESCOLA],tbNucleo[COD ESCOLA],"")</f>
        <v/>
      </c>
      <c r="B1011" t="str" cm="1">
        <f t="array" ref="B1011">IFERROR(INDEX(tbNucleo[ESCOLA],ROUNDUP(ROW(B1010)/TotalEtapas,0)),"")</f>
        <v/>
      </c>
    </row>
    <row r="1012" spans="1:2" x14ac:dyDescent="0.25">
      <c r="A1012" s="24" t="str">
        <f>_xlfn.XLOOKUP(tbEscolas[[#This Row],[ESCOLA]],tbNucleo[ESCOLA],tbNucleo[COD ESCOLA],"")</f>
        <v/>
      </c>
      <c r="B1012" t="str" cm="1">
        <f t="array" ref="B1012">IFERROR(INDEX(tbNucleo[ESCOLA],ROUNDUP(ROW(B1011)/TotalEtapas,0)),"")</f>
        <v/>
      </c>
    </row>
    <row r="1013" spans="1:2" x14ac:dyDescent="0.25">
      <c r="A1013" s="24" t="str">
        <f>_xlfn.XLOOKUP(tbEscolas[[#This Row],[ESCOLA]],tbNucleo[ESCOLA],tbNucleo[COD ESCOLA],"")</f>
        <v/>
      </c>
      <c r="B1013" t="str" cm="1">
        <f t="array" ref="B1013">IFERROR(INDEX(tbNucleo[ESCOLA],ROUNDUP(ROW(B1012)/TotalEtapas,0)),"")</f>
        <v/>
      </c>
    </row>
    <row r="1014" spans="1:2" x14ac:dyDescent="0.25">
      <c r="A1014" s="24" t="str">
        <f>_xlfn.XLOOKUP(tbEscolas[[#This Row],[ESCOLA]],tbNucleo[ESCOLA],tbNucleo[COD ESCOLA],"")</f>
        <v/>
      </c>
      <c r="B1014" t="str" cm="1">
        <f t="array" ref="B1014">IFERROR(INDEX(tbNucleo[ESCOLA],ROUNDUP(ROW(B1013)/TotalEtapas,0)),"")</f>
        <v/>
      </c>
    </row>
    <row r="1015" spans="1:2" x14ac:dyDescent="0.25">
      <c r="A1015" s="24" t="str">
        <f>_xlfn.XLOOKUP(tbEscolas[[#This Row],[ESCOLA]],tbNucleo[ESCOLA],tbNucleo[COD ESCOLA],"")</f>
        <v/>
      </c>
      <c r="B1015" t="str" cm="1">
        <f t="array" ref="B1015">IFERROR(INDEX(tbNucleo[ESCOLA],ROUNDUP(ROW(B1014)/TotalEtapas,0)),"")</f>
        <v/>
      </c>
    </row>
    <row r="1016" spans="1:2" x14ac:dyDescent="0.25">
      <c r="A1016" s="24" t="str">
        <f>_xlfn.XLOOKUP(tbEscolas[[#This Row],[ESCOLA]],tbNucleo[ESCOLA],tbNucleo[COD ESCOLA],"")</f>
        <v/>
      </c>
      <c r="B1016" t="str" cm="1">
        <f t="array" ref="B1016">IFERROR(INDEX(tbNucleo[ESCOLA],ROUNDUP(ROW(B1015)/TotalEtapas,0)),"")</f>
        <v/>
      </c>
    </row>
    <row r="1017" spans="1:2" x14ac:dyDescent="0.25">
      <c r="A1017" s="24" t="str">
        <f>_xlfn.XLOOKUP(tbEscolas[[#This Row],[ESCOLA]],tbNucleo[ESCOLA],tbNucleo[COD ESCOLA],"")</f>
        <v/>
      </c>
      <c r="B1017" t="str" cm="1">
        <f t="array" ref="B1017">IFERROR(INDEX(tbNucleo[ESCOLA],ROUNDUP(ROW(B1016)/TotalEtapas,0)),"")</f>
        <v/>
      </c>
    </row>
    <row r="1018" spans="1:2" x14ac:dyDescent="0.25">
      <c r="A1018" s="24" t="str">
        <f>_xlfn.XLOOKUP(tbEscolas[[#This Row],[ESCOLA]],tbNucleo[ESCOLA],tbNucleo[COD ESCOLA],"")</f>
        <v/>
      </c>
      <c r="B1018" t="str" cm="1">
        <f t="array" ref="B1018">IFERROR(INDEX(tbNucleo[ESCOLA],ROUNDUP(ROW(B1017)/TotalEtapas,0)),"")</f>
        <v/>
      </c>
    </row>
    <row r="1019" spans="1:2" x14ac:dyDescent="0.25">
      <c r="A1019" s="24" t="str">
        <f>_xlfn.XLOOKUP(tbEscolas[[#This Row],[ESCOLA]],tbNucleo[ESCOLA],tbNucleo[COD ESCOLA],"")</f>
        <v/>
      </c>
      <c r="B1019" t="str" cm="1">
        <f t="array" ref="B1019">IFERROR(INDEX(tbNucleo[ESCOLA],ROUNDUP(ROW(B1018)/TotalEtapas,0)),"")</f>
        <v/>
      </c>
    </row>
    <row r="1020" spans="1:2" x14ac:dyDescent="0.25">
      <c r="A1020" s="24" t="str">
        <f>_xlfn.XLOOKUP(tbEscolas[[#This Row],[ESCOLA]],tbNucleo[ESCOLA],tbNucleo[COD ESCOLA],"")</f>
        <v/>
      </c>
      <c r="B1020" t="str" cm="1">
        <f t="array" ref="B1020">IFERROR(INDEX(tbNucleo[ESCOLA],ROUNDUP(ROW(B1019)/TotalEtapas,0)),"")</f>
        <v/>
      </c>
    </row>
    <row r="1021" spans="1:2" x14ac:dyDescent="0.25">
      <c r="A1021" s="24" t="str">
        <f>_xlfn.XLOOKUP(tbEscolas[[#This Row],[ESCOLA]],tbNucleo[ESCOLA],tbNucleo[COD ESCOLA],"")</f>
        <v/>
      </c>
      <c r="B1021" t="str" cm="1">
        <f t="array" ref="B1021">IFERROR(INDEX(tbNucleo[ESCOLA],ROUNDUP(ROW(B1020)/TotalEtapas,0)),"")</f>
        <v/>
      </c>
    </row>
    <row r="1022" spans="1:2" x14ac:dyDescent="0.25">
      <c r="A1022" s="24" t="str">
        <f>_xlfn.XLOOKUP(tbEscolas[[#This Row],[ESCOLA]],tbNucleo[ESCOLA],tbNucleo[COD ESCOLA],"")</f>
        <v/>
      </c>
      <c r="B1022" t="str" cm="1">
        <f t="array" ref="B1022">IFERROR(INDEX(tbNucleo[ESCOLA],ROUNDUP(ROW(B1021)/TotalEtapas,0)),"")</f>
        <v/>
      </c>
    </row>
    <row r="1023" spans="1:2" x14ac:dyDescent="0.25">
      <c r="A1023" s="24" t="str">
        <f>_xlfn.XLOOKUP(tbEscolas[[#This Row],[ESCOLA]],tbNucleo[ESCOLA],tbNucleo[COD ESCOLA],"")</f>
        <v/>
      </c>
      <c r="B1023" t="str" cm="1">
        <f t="array" ref="B1023">IFERROR(INDEX(tbNucleo[ESCOLA],ROUNDUP(ROW(B1022)/TotalEtapas,0)),"")</f>
        <v/>
      </c>
    </row>
    <row r="1024" spans="1:2" x14ac:dyDescent="0.25">
      <c r="A1024" s="24" t="str">
        <f>_xlfn.XLOOKUP(tbEscolas[[#This Row],[ESCOLA]],tbNucleo[ESCOLA],tbNucleo[COD ESCOLA],"")</f>
        <v/>
      </c>
      <c r="B1024" t="str" cm="1">
        <f t="array" ref="B1024">IFERROR(INDEX(tbNucleo[ESCOLA],ROUNDUP(ROW(B1023)/TotalEtapas,0)),"")</f>
        <v/>
      </c>
    </row>
    <row r="1025" spans="1:2" x14ac:dyDescent="0.25">
      <c r="A1025" s="24" t="str">
        <f>_xlfn.XLOOKUP(tbEscolas[[#This Row],[ESCOLA]],tbNucleo[ESCOLA],tbNucleo[COD ESCOLA],"")</f>
        <v/>
      </c>
      <c r="B1025" t="str" cm="1">
        <f t="array" ref="B1025">IFERROR(INDEX(tbNucleo[ESCOLA],ROUNDUP(ROW(B1024)/TotalEtapas,0)),"")</f>
        <v/>
      </c>
    </row>
    <row r="1026" spans="1:2" x14ac:dyDescent="0.25">
      <c r="A1026" s="24" t="str">
        <f>_xlfn.XLOOKUP(tbEscolas[[#This Row],[ESCOLA]],tbNucleo[ESCOLA],tbNucleo[COD ESCOLA],"")</f>
        <v/>
      </c>
      <c r="B1026" t="str" cm="1">
        <f t="array" ref="B1026">IFERROR(INDEX(tbNucleo[ESCOLA],ROUNDUP(ROW(B1025)/TotalEtapas,0)),"")</f>
        <v/>
      </c>
    </row>
    <row r="1027" spans="1:2" x14ac:dyDescent="0.25">
      <c r="A1027" s="24" t="str">
        <f>_xlfn.XLOOKUP(tbEscolas[[#This Row],[ESCOLA]],tbNucleo[ESCOLA],tbNucleo[COD ESCOLA],"")</f>
        <v/>
      </c>
      <c r="B1027" t="str" cm="1">
        <f t="array" ref="B1027">IFERROR(INDEX(tbNucleo[ESCOLA],ROUNDUP(ROW(B1026)/TotalEtapas,0)),"")</f>
        <v/>
      </c>
    </row>
    <row r="1028" spans="1:2" x14ac:dyDescent="0.25">
      <c r="A1028" s="24" t="str">
        <f>_xlfn.XLOOKUP(tbEscolas[[#This Row],[ESCOLA]],tbNucleo[ESCOLA],tbNucleo[COD ESCOLA],"")</f>
        <v/>
      </c>
      <c r="B1028" t="str" cm="1">
        <f t="array" ref="B1028">IFERROR(INDEX(tbNucleo[ESCOLA],ROUNDUP(ROW(B1027)/TotalEtapas,0)),"")</f>
        <v/>
      </c>
    </row>
    <row r="1029" spans="1:2" x14ac:dyDescent="0.25">
      <c r="A1029" s="24" t="str">
        <f>_xlfn.XLOOKUP(tbEscolas[[#This Row],[ESCOLA]],tbNucleo[ESCOLA],tbNucleo[COD ESCOLA],"")</f>
        <v/>
      </c>
      <c r="B1029" t="str" cm="1">
        <f t="array" ref="B1029">IFERROR(INDEX(tbNucleo[ESCOLA],ROUNDUP(ROW(B1028)/TotalEtapas,0)),"")</f>
        <v/>
      </c>
    </row>
    <row r="1030" spans="1:2" x14ac:dyDescent="0.25">
      <c r="A1030" s="24" t="str">
        <f>_xlfn.XLOOKUP(tbEscolas[[#This Row],[ESCOLA]],tbNucleo[ESCOLA],tbNucleo[COD ESCOLA],"")</f>
        <v/>
      </c>
      <c r="B1030" t="str" cm="1">
        <f t="array" ref="B1030">IFERROR(INDEX(tbNucleo[ESCOLA],ROUNDUP(ROW(B1029)/TotalEtapas,0)),"")</f>
        <v/>
      </c>
    </row>
    <row r="1031" spans="1:2" x14ac:dyDescent="0.25">
      <c r="A1031" s="24" t="str">
        <f>_xlfn.XLOOKUP(tbEscolas[[#This Row],[ESCOLA]],tbNucleo[ESCOLA],tbNucleo[COD ESCOLA],"")</f>
        <v/>
      </c>
      <c r="B1031" t="str" cm="1">
        <f t="array" ref="B1031">IFERROR(INDEX(tbNucleo[ESCOLA],ROUNDUP(ROW(B1030)/TotalEtapas,0)),"")</f>
        <v/>
      </c>
    </row>
    <row r="1032" spans="1:2" x14ac:dyDescent="0.25">
      <c r="A1032" s="24" t="str">
        <f>_xlfn.XLOOKUP(tbEscolas[[#This Row],[ESCOLA]],tbNucleo[ESCOLA],tbNucleo[COD ESCOLA],"")</f>
        <v/>
      </c>
      <c r="B1032" t="str" cm="1">
        <f t="array" ref="B1032">IFERROR(INDEX(tbNucleo[ESCOLA],ROUNDUP(ROW(B1031)/TotalEtapas,0)),"")</f>
        <v/>
      </c>
    </row>
    <row r="1033" spans="1:2" x14ac:dyDescent="0.25">
      <c r="A1033" s="24" t="str">
        <f>_xlfn.XLOOKUP(tbEscolas[[#This Row],[ESCOLA]],tbNucleo[ESCOLA],tbNucleo[COD ESCOLA],"")</f>
        <v/>
      </c>
      <c r="B1033" t="str" cm="1">
        <f t="array" ref="B1033">IFERROR(INDEX(tbNucleo[ESCOLA],ROUNDUP(ROW(B1032)/TotalEtapas,0)),"")</f>
        <v/>
      </c>
    </row>
    <row r="1034" spans="1:2" x14ac:dyDescent="0.25">
      <c r="A1034" s="24" t="str">
        <f>_xlfn.XLOOKUP(tbEscolas[[#This Row],[ESCOLA]],tbNucleo[ESCOLA],tbNucleo[COD ESCOLA],"")</f>
        <v/>
      </c>
      <c r="B1034" t="str" cm="1">
        <f t="array" ref="B1034">IFERROR(INDEX(tbNucleo[ESCOLA],ROUNDUP(ROW(B1033)/TotalEtapas,0)),"")</f>
        <v/>
      </c>
    </row>
    <row r="1035" spans="1:2" x14ac:dyDescent="0.25">
      <c r="A1035" s="24" t="str">
        <f>_xlfn.XLOOKUP(tbEscolas[[#This Row],[ESCOLA]],tbNucleo[ESCOLA],tbNucleo[COD ESCOLA],"")</f>
        <v/>
      </c>
      <c r="B1035" t="str" cm="1">
        <f t="array" ref="B1035">IFERROR(INDEX(tbNucleo[ESCOLA],ROUNDUP(ROW(B1034)/TotalEtapas,0)),"")</f>
        <v/>
      </c>
    </row>
    <row r="1036" spans="1:2" x14ac:dyDescent="0.25">
      <c r="A1036" s="24" t="str">
        <f>_xlfn.XLOOKUP(tbEscolas[[#This Row],[ESCOLA]],tbNucleo[ESCOLA],tbNucleo[COD ESCOLA],"")</f>
        <v/>
      </c>
      <c r="B1036" t="str" cm="1">
        <f t="array" ref="B1036">IFERROR(INDEX(tbNucleo[ESCOLA],ROUNDUP(ROW(B1035)/TotalEtapas,0)),"")</f>
        <v/>
      </c>
    </row>
    <row r="1037" spans="1:2" x14ac:dyDescent="0.25">
      <c r="A1037" s="24" t="str">
        <f>_xlfn.XLOOKUP(tbEscolas[[#This Row],[ESCOLA]],tbNucleo[ESCOLA],tbNucleo[COD ESCOLA],"")</f>
        <v/>
      </c>
      <c r="B1037" t="str" cm="1">
        <f t="array" ref="B1037">IFERROR(INDEX(tbNucleo[ESCOLA],ROUNDUP(ROW(B1036)/TotalEtapas,0)),"")</f>
        <v/>
      </c>
    </row>
    <row r="1038" spans="1:2" x14ac:dyDescent="0.25">
      <c r="A1038" s="24" t="str">
        <f>_xlfn.XLOOKUP(tbEscolas[[#This Row],[ESCOLA]],tbNucleo[ESCOLA],tbNucleo[COD ESCOLA],"")</f>
        <v/>
      </c>
      <c r="B1038" t="str" cm="1">
        <f t="array" ref="B1038">IFERROR(INDEX(tbNucleo[ESCOLA],ROUNDUP(ROW(B1037)/TotalEtapas,0)),"")</f>
        <v/>
      </c>
    </row>
    <row r="1039" spans="1:2" x14ac:dyDescent="0.25">
      <c r="A1039" s="24" t="str">
        <f>_xlfn.XLOOKUP(tbEscolas[[#This Row],[ESCOLA]],tbNucleo[ESCOLA],tbNucleo[COD ESCOLA],"")</f>
        <v/>
      </c>
      <c r="B1039" t="str" cm="1">
        <f t="array" ref="B1039">IFERROR(INDEX(tbNucleo[ESCOLA],ROUNDUP(ROW(B1038)/TotalEtapas,0)),"")</f>
        <v/>
      </c>
    </row>
    <row r="1040" spans="1:2" x14ac:dyDescent="0.25">
      <c r="A1040" s="24" t="str">
        <f>_xlfn.XLOOKUP(tbEscolas[[#This Row],[ESCOLA]],tbNucleo[ESCOLA],tbNucleo[COD ESCOLA],"")</f>
        <v/>
      </c>
      <c r="B1040" t="str" cm="1">
        <f t="array" ref="B1040">IFERROR(INDEX(tbNucleo[ESCOLA],ROUNDUP(ROW(B1039)/TotalEtapas,0)),"")</f>
        <v/>
      </c>
    </row>
    <row r="1041" spans="1:2" x14ac:dyDescent="0.25">
      <c r="A1041" s="24" t="str">
        <f>_xlfn.XLOOKUP(tbEscolas[[#This Row],[ESCOLA]],tbNucleo[ESCOLA],tbNucleo[COD ESCOLA],"")</f>
        <v/>
      </c>
      <c r="B1041" t="str" cm="1">
        <f t="array" ref="B1041">IFERROR(INDEX(tbNucleo[ESCOLA],ROUNDUP(ROW(B1040)/TotalEtapas,0)),"")</f>
        <v/>
      </c>
    </row>
    <row r="1042" spans="1:2" x14ac:dyDescent="0.25">
      <c r="A1042" s="24" t="str">
        <f>_xlfn.XLOOKUP(tbEscolas[[#This Row],[ESCOLA]],tbNucleo[ESCOLA],tbNucleo[COD ESCOLA],"")</f>
        <v/>
      </c>
      <c r="B1042" t="str" cm="1">
        <f t="array" ref="B1042">IFERROR(INDEX(tbNucleo[ESCOLA],ROUNDUP(ROW(B1041)/TotalEtapas,0)),"")</f>
        <v/>
      </c>
    </row>
    <row r="1043" spans="1:2" x14ac:dyDescent="0.25">
      <c r="A1043" s="24" t="str">
        <f>_xlfn.XLOOKUP(tbEscolas[[#This Row],[ESCOLA]],tbNucleo[ESCOLA],tbNucleo[COD ESCOLA],"")</f>
        <v/>
      </c>
      <c r="B1043" t="str" cm="1">
        <f t="array" ref="B1043">IFERROR(INDEX(tbNucleo[ESCOLA],ROUNDUP(ROW(B1042)/TotalEtapas,0)),"")</f>
        <v/>
      </c>
    </row>
    <row r="1044" spans="1:2" x14ac:dyDescent="0.25">
      <c r="A1044" s="24" t="str">
        <f>_xlfn.XLOOKUP(tbEscolas[[#This Row],[ESCOLA]],tbNucleo[ESCOLA],tbNucleo[COD ESCOLA],"")</f>
        <v/>
      </c>
      <c r="B1044" t="str" cm="1">
        <f t="array" ref="B1044">IFERROR(INDEX(tbNucleo[ESCOLA],ROUNDUP(ROW(B1043)/TotalEtapas,0)),"")</f>
        <v/>
      </c>
    </row>
    <row r="1045" spans="1:2" x14ac:dyDescent="0.25">
      <c r="A1045" s="24" t="str">
        <f>_xlfn.XLOOKUP(tbEscolas[[#This Row],[ESCOLA]],tbNucleo[ESCOLA],tbNucleo[COD ESCOLA],"")</f>
        <v/>
      </c>
      <c r="B1045" t="str" cm="1">
        <f t="array" ref="B1045">IFERROR(INDEX(tbNucleo[ESCOLA],ROUNDUP(ROW(B1044)/TotalEtapas,0)),"")</f>
        <v/>
      </c>
    </row>
    <row r="1046" spans="1:2" x14ac:dyDescent="0.25">
      <c r="A1046" s="24" t="str">
        <f>_xlfn.XLOOKUP(tbEscolas[[#This Row],[ESCOLA]],tbNucleo[ESCOLA],tbNucleo[COD ESCOLA],"")</f>
        <v/>
      </c>
      <c r="B1046" t="str" cm="1">
        <f t="array" ref="B1046">IFERROR(INDEX(tbNucleo[ESCOLA],ROUNDUP(ROW(B1045)/TotalEtapas,0)),"")</f>
        <v/>
      </c>
    </row>
    <row r="1047" spans="1:2" x14ac:dyDescent="0.25">
      <c r="A1047" s="24" t="str">
        <f>_xlfn.XLOOKUP(tbEscolas[[#This Row],[ESCOLA]],tbNucleo[ESCOLA],tbNucleo[COD ESCOLA],"")</f>
        <v/>
      </c>
      <c r="B1047" t="str" cm="1">
        <f t="array" ref="B1047">IFERROR(INDEX(tbNucleo[ESCOLA],ROUNDUP(ROW(B1046)/TotalEtapas,0)),"")</f>
        <v/>
      </c>
    </row>
    <row r="1048" spans="1:2" x14ac:dyDescent="0.25">
      <c r="A1048" s="24" t="str">
        <f>_xlfn.XLOOKUP(tbEscolas[[#This Row],[ESCOLA]],tbNucleo[ESCOLA],tbNucleo[COD ESCOLA],"")</f>
        <v/>
      </c>
      <c r="B1048" t="str" cm="1">
        <f t="array" ref="B1048">IFERROR(INDEX(tbNucleo[ESCOLA],ROUNDUP(ROW(B1047)/TotalEtapas,0)),"")</f>
        <v/>
      </c>
    </row>
    <row r="1049" spans="1:2" x14ac:dyDescent="0.25">
      <c r="A1049" s="24" t="str">
        <f>_xlfn.XLOOKUP(tbEscolas[[#This Row],[ESCOLA]],tbNucleo[ESCOLA],tbNucleo[COD ESCOLA],"")</f>
        <v/>
      </c>
      <c r="B1049" t="str" cm="1">
        <f t="array" ref="B1049">IFERROR(INDEX(tbNucleo[ESCOLA],ROUNDUP(ROW(B1048)/TotalEtapas,0)),"")</f>
        <v/>
      </c>
    </row>
    <row r="1050" spans="1:2" x14ac:dyDescent="0.25">
      <c r="A1050" s="24" t="str">
        <f>_xlfn.XLOOKUP(tbEscolas[[#This Row],[ESCOLA]],tbNucleo[ESCOLA],tbNucleo[COD ESCOLA],"")</f>
        <v/>
      </c>
      <c r="B1050" t="str" cm="1">
        <f t="array" ref="B1050">IFERROR(INDEX(tbNucleo[ESCOLA],ROUNDUP(ROW(B1049)/TotalEtapas,0)),"")</f>
        <v/>
      </c>
    </row>
    <row r="1051" spans="1:2" x14ac:dyDescent="0.25">
      <c r="A1051" s="24" t="str">
        <f>_xlfn.XLOOKUP(tbEscolas[[#This Row],[ESCOLA]],tbNucleo[ESCOLA],tbNucleo[COD ESCOLA],"")</f>
        <v/>
      </c>
      <c r="B1051" t="str" cm="1">
        <f t="array" ref="B1051">IFERROR(INDEX(tbNucleo[ESCOLA],ROUNDUP(ROW(B1050)/TotalEtapas,0)),"")</f>
        <v/>
      </c>
    </row>
    <row r="1052" spans="1:2" x14ac:dyDescent="0.25">
      <c r="A1052" s="24" t="str">
        <f>_xlfn.XLOOKUP(tbEscolas[[#This Row],[ESCOLA]],tbNucleo[ESCOLA],tbNucleo[COD ESCOLA],"")</f>
        <v/>
      </c>
      <c r="B1052" t="str" cm="1">
        <f t="array" ref="B1052">IFERROR(INDEX(tbNucleo[ESCOLA],ROUNDUP(ROW(B1051)/TotalEtapas,0)),"")</f>
        <v/>
      </c>
    </row>
    <row r="1053" spans="1:2" x14ac:dyDescent="0.25">
      <c r="A1053" s="24" t="str">
        <f>_xlfn.XLOOKUP(tbEscolas[[#This Row],[ESCOLA]],tbNucleo[ESCOLA],tbNucleo[COD ESCOLA],"")</f>
        <v/>
      </c>
      <c r="B1053" t="str" cm="1">
        <f t="array" ref="B1053">IFERROR(INDEX(tbNucleo[ESCOLA],ROUNDUP(ROW(B1052)/TotalEtapas,0)),"")</f>
        <v/>
      </c>
    </row>
    <row r="1054" spans="1:2" x14ac:dyDescent="0.25">
      <c r="A1054" s="24" t="str">
        <f>_xlfn.XLOOKUP(tbEscolas[[#This Row],[ESCOLA]],tbNucleo[ESCOLA],tbNucleo[COD ESCOLA],"")</f>
        <v/>
      </c>
      <c r="B1054" t="str" cm="1">
        <f t="array" ref="B1054">IFERROR(INDEX(tbNucleo[ESCOLA],ROUNDUP(ROW(B1053)/TotalEtapas,0)),"")</f>
        <v/>
      </c>
    </row>
    <row r="1055" spans="1:2" x14ac:dyDescent="0.25">
      <c r="A1055" s="24" t="str">
        <f>_xlfn.XLOOKUP(tbEscolas[[#This Row],[ESCOLA]],tbNucleo[ESCOLA],tbNucleo[COD ESCOLA],"")</f>
        <v/>
      </c>
      <c r="B1055" t="str" cm="1">
        <f t="array" ref="B1055">IFERROR(INDEX(tbNucleo[ESCOLA],ROUNDUP(ROW(B1054)/TotalEtapas,0)),"")</f>
        <v/>
      </c>
    </row>
    <row r="1056" spans="1:2" x14ac:dyDescent="0.25">
      <c r="A1056" s="24" t="str">
        <f>_xlfn.XLOOKUP(tbEscolas[[#This Row],[ESCOLA]],tbNucleo[ESCOLA],tbNucleo[COD ESCOLA],"")</f>
        <v/>
      </c>
      <c r="B1056" t="str" cm="1">
        <f t="array" ref="B1056">IFERROR(INDEX(tbNucleo[ESCOLA],ROUNDUP(ROW(B1055)/TotalEtapas,0)),"")</f>
        <v/>
      </c>
    </row>
    <row r="1057" spans="1:2" x14ac:dyDescent="0.25">
      <c r="A1057" s="24" t="str">
        <f>_xlfn.XLOOKUP(tbEscolas[[#This Row],[ESCOLA]],tbNucleo[ESCOLA],tbNucleo[COD ESCOLA],"")</f>
        <v/>
      </c>
      <c r="B1057" t="str" cm="1">
        <f t="array" ref="B1057">IFERROR(INDEX(tbNucleo[ESCOLA],ROUNDUP(ROW(B1056)/TotalEtapas,0)),"")</f>
        <v/>
      </c>
    </row>
    <row r="1058" spans="1:2" x14ac:dyDescent="0.25">
      <c r="A1058" s="24" t="str">
        <f>_xlfn.XLOOKUP(tbEscolas[[#This Row],[ESCOLA]],tbNucleo[ESCOLA],tbNucleo[COD ESCOLA],"")</f>
        <v/>
      </c>
      <c r="B1058" t="str" cm="1">
        <f t="array" ref="B1058">IFERROR(INDEX(tbNucleo[ESCOLA],ROUNDUP(ROW(B1057)/TotalEtapas,0)),"")</f>
        <v/>
      </c>
    </row>
    <row r="1059" spans="1:2" x14ac:dyDescent="0.25">
      <c r="A1059" s="24" t="str">
        <f>_xlfn.XLOOKUP(tbEscolas[[#This Row],[ESCOLA]],tbNucleo[ESCOLA],tbNucleo[COD ESCOLA],"")</f>
        <v/>
      </c>
      <c r="B1059" t="str" cm="1">
        <f t="array" ref="B1059">IFERROR(INDEX(tbNucleo[ESCOLA],ROUNDUP(ROW(B1058)/TotalEtapas,0)),"")</f>
        <v/>
      </c>
    </row>
    <row r="1060" spans="1:2" x14ac:dyDescent="0.25">
      <c r="A1060" s="24" t="str">
        <f>_xlfn.XLOOKUP(tbEscolas[[#This Row],[ESCOLA]],tbNucleo[ESCOLA],tbNucleo[COD ESCOLA],"")</f>
        <v/>
      </c>
      <c r="B1060" t="str" cm="1">
        <f t="array" ref="B1060">IFERROR(INDEX(tbNucleo[ESCOLA],ROUNDUP(ROW(B1059)/TotalEtapas,0)),"")</f>
        <v/>
      </c>
    </row>
    <row r="1061" spans="1:2" x14ac:dyDescent="0.25">
      <c r="A1061" s="24" t="str">
        <f>_xlfn.XLOOKUP(tbEscolas[[#This Row],[ESCOLA]],tbNucleo[ESCOLA],tbNucleo[COD ESCOLA],"")</f>
        <v/>
      </c>
      <c r="B1061" t="str" cm="1">
        <f t="array" ref="B1061">IFERROR(INDEX(tbNucleo[ESCOLA],ROUNDUP(ROW(B1060)/TotalEtapas,0)),"")</f>
        <v/>
      </c>
    </row>
    <row r="1062" spans="1:2" x14ac:dyDescent="0.25">
      <c r="A1062" s="24" t="str">
        <f>_xlfn.XLOOKUP(tbEscolas[[#This Row],[ESCOLA]],tbNucleo[ESCOLA],tbNucleo[COD ESCOLA],"")</f>
        <v/>
      </c>
      <c r="B1062" t="str" cm="1">
        <f t="array" ref="B1062">IFERROR(INDEX(tbNucleo[ESCOLA],ROUNDUP(ROW(B1061)/TotalEtapas,0)),"")</f>
        <v/>
      </c>
    </row>
    <row r="1063" spans="1:2" x14ac:dyDescent="0.25">
      <c r="A1063" s="24" t="str">
        <f>_xlfn.XLOOKUP(tbEscolas[[#This Row],[ESCOLA]],tbNucleo[ESCOLA],tbNucleo[COD ESCOLA],"")</f>
        <v/>
      </c>
      <c r="B1063" t="str" cm="1">
        <f t="array" ref="B1063">IFERROR(INDEX(tbNucleo[ESCOLA],ROUNDUP(ROW(B1062)/TotalEtapas,0)),"")</f>
        <v/>
      </c>
    </row>
    <row r="1064" spans="1:2" x14ac:dyDescent="0.25">
      <c r="A1064" s="24" t="str">
        <f>_xlfn.XLOOKUP(tbEscolas[[#This Row],[ESCOLA]],tbNucleo[ESCOLA],tbNucleo[COD ESCOLA],"")</f>
        <v/>
      </c>
      <c r="B1064" t="str" cm="1">
        <f t="array" ref="B1064">IFERROR(INDEX(tbNucleo[ESCOLA],ROUNDUP(ROW(B1063)/TotalEtapas,0)),"")</f>
        <v/>
      </c>
    </row>
    <row r="1065" spans="1:2" x14ac:dyDescent="0.25">
      <c r="A1065" s="24" t="str">
        <f>_xlfn.XLOOKUP(tbEscolas[[#This Row],[ESCOLA]],tbNucleo[ESCOLA],tbNucleo[COD ESCOLA],"")</f>
        <v/>
      </c>
      <c r="B1065" t="str" cm="1">
        <f t="array" ref="B1065">IFERROR(INDEX(tbNucleo[ESCOLA],ROUNDUP(ROW(B1064)/TotalEtapas,0)),"")</f>
        <v/>
      </c>
    </row>
    <row r="1066" spans="1:2" x14ac:dyDescent="0.25">
      <c r="A1066" s="24" t="str">
        <f>_xlfn.XLOOKUP(tbEscolas[[#This Row],[ESCOLA]],tbNucleo[ESCOLA],tbNucleo[COD ESCOLA],"")</f>
        <v/>
      </c>
      <c r="B1066" t="str" cm="1">
        <f t="array" ref="B1066">IFERROR(INDEX(tbNucleo[ESCOLA],ROUNDUP(ROW(B1065)/TotalEtapas,0)),"")</f>
        <v/>
      </c>
    </row>
    <row r="1067" spans="1:2" x14ac:dyDescent="0.25">
      <c r="A1067" s="24" t="str">
        <f>_xlfn.XLOOKUP(tbEscolas[[#This Row],[ESCOLA]],tbNucleo[ESCOLA],tbNucleo[COD ESCOLA],"")</f>
        <v/>
      </c>
      <c r="B1067" t="str" cm="1">
        <f t="array" ref="B1067">IFERROR(INDEX(tbNucleo[ESCOLA],ROUNDUP(ROW(B1066)/TotalEtapas,0)),"")</f>
        <v/>
      </c>
    </row>
    <row r="1068" spans="1:2" x14ac:dyDescent="0.25">
      <c r="A1068" s="24" t="str">
        <f>_xlfn.XLOOKUP(tbEscolas[[#This Row],[ESCOLA]],tbNucleo[ESCOLA],tbNucleo[COD ESCOLA],"")</f>
        <v/>
      </c>
      <c r="B1068" t="str" cm="1">
        <f t="array" ref="B1068">IFERROR(INDEX(tbNucleo[ESCOLA],ROUNDUP(ROW(B1067)/TotalEtapas,0)),"")</f>
        <v/>
      </c>
    </row>
    <row r="1069" spans="1:2" x14ac:dyDescent="0.25">
      <c r="A1069" s="24" t="str">
        <f>_xlfn.XLOOKUP(tbEscolas[[#This Row],[ESCOLA]],tbNucleo[ESCOLA],tbNucleo[COD ESCOLA],"")</f>
        <v/>
      </c>
      <c r="B1069" t="str" cm="1">
        <f t="array" ref="B1069">IFERROR(INDEX(tbNucleo[ESCOLA],ROUNDUP(ROW(B1068)/TotalEtapas,0)),"")</f>
        <v/>
      </c>
    </row>
    <row r="1070" spans="1:2" x14ac:dyDescent="0.25">
      <c r="A1070" s="24" t="str">
        <f>_xlfn.XLOOKUP(tbEscolas[[#This Row],[ESCOLA]],tbNucleo[ESCOLA],tbNucleo[COD ESCOLA],"")</f>
        <v/>
      </c>
      <c r="B1070" t="str" cm="1">
        <f t="array" ref="B1070">IFERROR(INDEX(tbNucleo[ESCOLA],ROUNDUP(ROW(B1069)/TotalEtapas,0)),"")</f>
        <v/>
      </c>
    </row>
    <row r="1071" spans="1:2" x14ac:dyDescent="0.25">
      <c r="A1071" s="24" t="str">
        <f>_xlfn.XLOOKUP(tbEscolas[[#This Row],[ESCOLA]],tbNucleo[ESCOLA],tbNucleo[COD ESCOLA],"")</f>
        <v/>
      </c>
      <c r="B1071" t="str" cm="1">
        <f t="array" ref="B1071">IFERROR(INDEX(tbNucleo[ESCOLA],ROUNDUP(ROW(B1070)/TotalEtapas,0)),"")</f>
        <v/>
      </c>
    </row>
    <row r="1072" spans="1:2" x14ac:dyDescent="0.25">
      <c r="A1072" s="24" t="str">
        <f>_xlfn.XLOOKUP(tbEscolas[[#This Row],[ESCOLA]],tbNucleo[ESCOLA],tbNucleo[COD ESCOLA],"")</f>
        <v/>
      </c>
      <c r="B1072" t="str" cm="1">
        <f t="array" ref="B1072">IFERROR(INDEX(tbNucleo[ESCOLA],ROUNDUP(ROW(B1071)/TotalEtapas,0)),"")</f>
        <v/>
      </c>
    </row>
    <row r="1073" spans="1:2" x14ac:dyDescent="0.25">
      <c r="A1073" s="24" t="str">
        <f>_xlfn.XLOOKUP(tbEscolas[[#This Row],[ESCOLA]],tbNucleo[ESCOLA],tbNucleo[COD ESCOLA],"")</f>
        <v/>
      </c>
      <c r="B1073" t="str" cm="1">
        <f t="array" ref="B1073">IFERROR(INDEX(tbNucleo[ESCOLA],ROUNDUP(ROW(B1072)/TotalEtapas,0)),"")</f>
        <v/>
      </c>
    </row>
    <row r="1074" spans="1:2" x14ac:dyDescent="0.25">
      <c r="A1074" s="24" t="str">
        <f>_xlfn.XLOOKUP(tbEscolas[[#This Row],[ESCOLA]],tbNucleo[ESCOLA],tbNucleo[COD ESCOLA],"")</f>
        <v/>
      </c>
      <c r="B1074" t="str" cm="1">
        <f t="array" ref="B1074">IFERROR(INDEX(tbNucleo[ESCOLA],ROUNDUP(ROW(B1073)/TotalEtapas,0)),"")</f>
        <v/>
      </c>
    </row>
    <row r="1075" spans="1:2" x14ac:dyDescent="0.25">
      <c r="A1075" s="24" t="str">
        <f>_xlfn.XLOOKUP(tbEscolas[[#This Row],[ESCOLA]],tbNucleo[ESCOLA],tbNucleo[COD ESCOLA],"")</f>
        <v/>
      </c>
      <c r="B1075" t="str" cm="1">
        <f t="array" ref="B1075">IFERROR(INDEX(tbNucleo[ESCOLA],ROUNDUP(ROW(B1074)/TotalEtapas,0)),"")</f>
        <v/>
      </c>
    </row>
    <row r="1076" spans="1:2" x14ac:dyDescent="0.25">
      <c r="A1076" s="24" t="str">
        <f>_xlfn.XLOOKUP(tbEscolas[[#This Row],[ESCOLA]],tbNucleo[ESCOLA],tbNucleo[COD ESCOLA],"")</f>
        <v/>
      </c>
      <c r="B1076" t="str" cm="1">
        <f t="array" ref="B1076">IFERROR(INDEX(tbNucleo[ESCOLA],ROUNDUP(ROW(B1075)/TotalEtapas,0)),"")</f>
        <v/>
      </c>
    </row>
    <row r="1077" spans="1:2" x14ac:dyDescent="0.25">
      <c r="A1077" s="24" t="str">
        <f>_xlfn.XLOOKUP(tbEscolas[[#This Row],[ESCOLA]],tbNucleo[ESCOLA],tbNucleo[COD ESCOLA],"")</f>
        <v/>
      </c>
      <c r="B1077" t="str" cm="1">
        <f t="array" ref="B1077">IFERROR(INDEX(tbNucleo[ESCOLA],ROUNDUP(ROW(B1076)/TotalEtapas,0)),"")</f>
        <v/>
      </c>
    </row>
    <row r="1078" spans="1:2" x14ac:dyDescent="0.25">
      <c r="A1078" s="24" t="str">
        <f>_xlfn.XLOOKUP(tbEscolas[[#This Row],[ESCOLA]],tbNucleo[ESCOLA],tbNucleo[COD ESCOLA],"")</f>
        <v/>
      </c>
      <c r="B1078" t="str" cm="1">
        <f t="array" ref="B1078">IFERROR(INDEX(tbNucleo[ESCOLA],ROUNDUP(ROW(B1077)/TotalEtapas,0)),"")</f>
        <v/>
      </c>
    </row>
    <row r="1079" spans="1:2" x14ac:dyDescent="0.25">
      <c r="A1079" s="24" t="str">
        <f>_xlfn.XLOOKUP(tbEscolas[[#This Row],[ESCOLA]],tbNucleo[ESCOLA],tbNucleo[COD ESCOLA],"")</f>
        <v/>
      </c>
      <c r="B1079" t="str" cm="1">
        <f t="array" ref="B1079">IFERROR(INDEX(tbNucleo[ESCOLA],ROUNDUP(ROW(B1078)/TotalEtapas,0)),"")</f>
        <v/>
      </c>
    </row>
    <row r="1080" spans="1:2" x14ac:dyDescent="0.25">
      <c r="A1080" s="24" t="str">
        <f>_xlfn.XLOOKUP(tbEscolas[[#This Row],[ESCOLA]],tbNucleo[ESCOLA],tbNucleo[COD ESCOLA],"")</f>
        <v/>
      </c>
      <c r="B1080" t="str" cm="1">
        <f t="array" ref="B1080">IFERROR(INDEX(tbNucleo[ESCOLA],ROUNDUP(ROW(B1079)/TotalEtapas,0)),"")</f>
        <v/>
      </c>
    </row>
    <row r="1081" spans="1:2" x14ac:dyDescent="0.25">
      <c r="A1081" s="24" t="str">
        <f>_xlfn.XLOOKUP(tbEscolas[[#This Row],[ESCOLA]],tbNucleo[ESCOLA],tbNucleo[COD ESCOLA],"")</f>
        <v/>
      </c>
      <c r="B1081" t="str" cm="1">
        <f t="array" ref="B1081">IFERROR(INDEX(tbNucleo[ESCOLA],ROUNDUP(ROW(B1080)/TotalEtapas,0)),"")</f>
        <v/>
      </c>
    </row>
    <row r="1082" spans="1:2" x14ac:dyDescent="0.25">
      <c r="A1082" s="24" t="str">
        <f>_xlfn.XLOOKUP(tbEscolas[[#This Row],[ESCOLA]],tbNucleo[ESCOLA],tbNucleo[COD ESCOLA],"")</f>
        <v/>
      </c>
      <c r="B1082" t="str" cm="1">
        <f t="array" ref="B1082">IFERROR(INDEX(tbNucleo[ESCOLA],ROUNDUP(ROW(B1081)/TotalEtapas,0)),"")</f>
        <v/>
      </c>
    </row>
    <row r="1083" spans="1:2" x14ac:dyDescent="0.25">
      <c r="A1083" s="24" t="str">
        <f>_xlfn.XLOOKUP(tbEscolas[[#This Row],[ESCOLA]],tbNucleo[ESCOLA],tbNucleo[COD ESCOLA],"")</f>
        <v/>
      </c>
      <c r="B1083" t="str" cm="1">
        <f t="array" ref="B1083">IFERROR(INDEX(tbNucleo[ESCOLA],ROUNDUP(ROW(B1082)/TotalEtapas,0)),"")</f>
        <v/>
      </c>
    </row>
    <row r="1084" spans="1:2" x14ac:dyDescent="0.25">
      <c r="A1084" s="24" t="str">
        <f>_xlfn.XLOOKUP(tbEscolas[[#This Row],[ESCOLA]],tbNucleo[ESCOLA],tbNucleo[COD ESCOLA],"")</f>
        <v/>
      </c>
      <c r="B1084" t="str" cm="1">
        <f t="array" ref="B1084">IFERROR(INDEX(tbNucleo[ESCOLA],ROUNDUP(ROW(B1083)/TotalEtapas,0)),"")</f>
        <v/>
      </c>
    </row>
    <row r="1085" spans="1:2" x14ac:dyDescent="0.25">
      <c r="A1085" s="24" t="str">
        <f>_xlfn.XLOOKUP(tbEscolas[[#This Row],[ESCOLA]],tbNucleo[ESCOLA],tbNucleo[COD ESCOLA],"")</f>
        <v/>
      </c>
      <c r="B1085" t="str" cm="1">
        <f t="array" ref="B1085">IFERROR(INDEX(tbNucleo[ESCOLA],ROUNDUP(ROW(B1084)/TotalEtapas,0)),"")</f>
        <v/>
      </c>
    </row>
    <row r="1086" spans="1:2" x14ac:dyDescent="0.25">
      <c r="A1086" s="24" t="str">
        <f>_xlfn.XLOOKUP(tbEscolas[[#This Row],[ESCOLA]],tbNucleo[ESCOLA],tbNucleo[COD ESCOLA],"")</f>
        <v/>
      </c>
      <c r="B1086" t="str" cm="1">
        <f t="array" ref="B1086">IFERROR(INDEX(tbNucleo[ESCOLA],ROUNDUP(ROW(B1085)/TotalEtapas,0)),"")</f>
        <v/>
      </c>
    </row>
    <row r="1087" spans="1:2" x14ac:dyDescent="0.25">
      <c r="A1087" s="24" t="str">
        <f>_xlfn.XLOOKUP(tbEscolas[[#This Row],[ESCOLA]],tbNucleo[ESCOLA],tbNucleo[COD ESCOLA],"")</f>
        <v/>
      </c>
      <c r="B1087" t="str" cm="1">
        <f t="array" ref="B1087">IFERROR(INDEX(tbNucleo[ESCOLA],ROUNDUP(ROW(B1086)/TotalEtapas,0)),"")</f>
        <v/>
      </c>
    </row>
    <row r="1088" spans="1:2" x14ac:dyDescent="0.25">
      <c r="A1088" s="24" t="str">
        <f>_xlfn.XLOOKUP(tbEscolas[[#This Row],[ESCOLA]],tbNucleo[ESCOLA],tbNucleo[COD ESCOLA],"")</f>
        <v/>
      </c>
      <c r="B1088" t="str" cm="1">
        <f t="array" ref="B1088">IFERROR(INDEX(tbNucleo[ESCOLA],ROUNDUP(ROW(B1087)/TotalEtapas,0)),"")</f>
        <v/>
      </c>
    </row>
    <row r="1089" spans="1:2" x14ac:dyDescent="0.25">
      <c r="A1089" s="24" t="str">
        <f>_xlfn.XLOOKUP(tbEscolas[[#This Row],[ESCOLA]],tbNucleo[ESCOLA],tbNucleo[COD ESCOLA],"")</f>
        <v/>
      </c>
      <c r="B1089" t="str" cm="1">
        <f t="array" ref="B1089">IFERROR(INDEX(tbNucleo[ESCOLA],ROUNDUP(ROW(B1088)/TotalEtapas,0)),"")</f>
        <v/>
      </c>
    </row>
    <row r="1090" spans="1:2" x14ac:dyDescent="0.25">
      <c r="A1090" s="24" t="str">
        <f>_xlfn.XLOOKUP(tbEscolas[[#This Row],[ESCOLA]],tbNucleo[ESCOLA],tbNucleo[COD ESCOLA],"")</f>
        <v/>
      </c>
      <c r="B1090" t="str" cm="1">
        <f t="array" ref="B1090">IFERROR(INDEX(tbNucleo[ESCOLA],ROUNDUP(ROW(B1089)/TotalEtapas,0)),"")</f>
        <v/>
      </c>
    </row>
    <row r="1091" spans="1:2" x14ac:dyDescent="0.25">
      <c r="A1091" s="24" t="str">
        <f>_xlfn.XLOOKUP(tbEscolas[[#This Row],[ESCOLA]],tbNucleo[ESCOLA],tbNucleo[COD ESCOLA],"")</f>
        <v/>
      </c>
      <c r="B1091" t="str" cm="1">
        <f t="array" ref="B1091">IFERROR(INDEX(tbNucleo[ESCOLA],ROUNDUP(ROW(B1090)/TotalEtapas,0)),"")</f>
        <v/>
      </c>
    </row>
    <row r="1092" spans="1:2" x14ac:dyDescent="0.25">
      <c r="A1092" s="24" t="str">
        <f>_xlfn.XLOOKUP(tbEscolas[[#This Row],[ESCOLA]],tbNucleo[ESCOLA],tbNucleo[COD ESCOLA],"")</f>
        <v/>
      </c>
      <c r="B1092" t="str" cm="1">
        <f t="array" ref="B1092">IFERROR(INDEX(tbNucleo[ESCOLA],ROUNDUP(ROW(B1091)/TotalEtapas,0)),"")</f>
        <v/>
      </c>
    </row>
    <row r="1093" spans="1:2" x14ac:dyDescent="0.25">
      <c r="A1093" s="24" t="str">
        <f>_xlfn.XLOOKUP(tbEscolas[[#This Row],[ESCOLA]],tbNucleo[ESCOLA],tbNucleo[COD ESCOLA],"")</f>
        <v/>
      </c>
      <c r="B1093" t="str" cm="1">
        <f t="array" ref="B1093">IFERROR(INDEX(tbNucleo[ESCOLA],ROUNDUP(ROW(B1092)/TotalEtapas,0)),"")</f>
        <v/>
      </c>
    </row>
    <row r="1094" spans="1:2" x14ac:dyDescent="0.25">
      <c r="A1094" s="24" t="str">
        <f>_xlfn.XLOOKUP(tbEscolas[[#This Row],[ESCOLA]],tbNucleo[ESCOLA],tbNucleo[COD ESCOLA],"")</f>
        <v/>
      </c>
      <c r="B1094" t="str" cm="1">
        <f t="array" ref="B1094">IFERROR(INDEX(tbNucleo[ESCOLA],ROUNDUP(ROW(B1093)/TotalEtapas,0)),"")</f>
        <v/>
      </c>
    </row>
    <row r="1095" spans="1:2" x14ac:dyDescent="0.25">
      <c r="A1095" s="24" t="str">
        <f>_xlfn.XLOOKUP(tbEscolas[[#This Row],[ESCOLA]],tbNucleo[ESCOLA],tbNucleo[COD ESCOLA],"")</f>
        <v/>
      </c>
      <c r="B1095" t="str" cm="1">
        <f t="array" ref="B1095">IFERROR(INDEX(tbNucleo[ESCOLA],ROUNDUP(ROW(B1094)/TotalEtapas,0)),"")</f>
        <v/>
      </c>
    </row>
    <row r="1096" spans="1:2" x14ac:dyDescent="0.25">
      <c r="A1096" s="24" t="str">
        <f>_xlfn.XLOOKUP(tbEscolas[[#This Row],[ESCOLA]],tbNucleo[ESCOLA],tbNucleo[COD ESCOLA],"")</f>
        <v/>
      </c>
      <c r="B1096" t="str" cm="1">
        <f t="array" ref="B1096">IFERROR(INDEX(tbNucleo[ESCOLA],ROUNDUP(ROW(B1095)/TotalEtapas,0)),"")</f>
        <v/>
      </c>
    </row>
    <row r="1097" spans="1:2" x14ac:dyDescent="0.25">
      <c r="A1097" s="24" t="str">
        <f>_xlfn.XLOOKUP(tbEscolas[[#This Row],[ESCOLA]],tbNucleo[ESCOLA],tbNucleo[COD ESCOLA],"")</f>
        <v/>
      </c>
      <c r="B1097" t="str" cm="1">
        <f t="array" ref="B1097">IFERROR(INDEX(tbNucleo[ESCOLA],ROUNDUP(ROW(B1096)/TotalEtapas,0)),"")</f>
        <v/>
      </c>
    </row>
    <row r="1098" spans="1:2" x14ac:dyDescent="0.25">
      <c r="A1098" s="24" t="str">
        <f>_xlfn.XLOOKUP(tbEscolas[[#This Row],[ESCOLA]],tbNucleo[ESCOLA],tbNucleo[COD ESCOLA],"")</f>
        <v/>
      </c>
      <c r="B1098" t="str" cm="1">
        <f t="array" ref="B1098">IFERROR(INDEX(tbNucleo[ESCOLA],ROUNDUP(ROW(B1097)/TotalEtapas,0)),"")</f>
        <v/>
      </c>
    </row>
    <row r="1099" spans="1:2" x14ac:dyDescent="0.25">
      <c r="A1099" s="24" t="str">
        <f>_xlfn.XLOOKUP(tbEscolas[[#This Row],[ESCOLA]],tbNucleo[ESCOLA],tbNucleo[COD ESCOLA],"")</f>
        <v/>
      </c>
      <c r="B1099" t="str" cm="1">
        <f t="array" ref="B1099">IFERROR(INDEX(tbNucleo[ESCOLA],ROUNDUP(ROW(B1098)/TotalEtapas,0)),"")</f>
        <v/>
      </c>
    </row>
    <row r="1100" spans="1:2" x14ac:dyDescent="0.25">
      <c r="A1100" s="24" t="str">
        <f>_xlfn.XLOOKUP(tbEscolas[[#This Row],[ESCOLA]],tbNucleo[ESCOLA],tbNucleo[COD ESCOLA],"")</f>
        <v/>
      </c>
      <c r="B1100" t="str" cm="1">
        <f t="array" ref="B1100">IFERROR(INDEX(tbNucleo[ESCOLA],ROUNDUP(ROW(B1099)/TotalEtapas,0)),"")</f>
        <v/>
      </c>
    </row>
    <row r="1101" spans="1:2" x14ac:dyDescent="0.25">
      <c r="A1101" s="24" t="str">
        <f>_xlfn.XLOOKUP(tbEscolas[[#This Row],[ESCOLA]],tbNucleo[ESCOLA],tbNucleo[COD ESCOLA],"")</f>
        <v/>
      </c>
      <c r="B1101" t="str" cm="1">
        <f t="array" ref="B1101">IFERROR(INDEX(tbNucleo[ESCOLA],ROUNDUP(ROW(B1100)/TotalEtapas,0)),"")</f>
        <v/>
      </c>
    </row>
    <row r="1102" spans="1:2" x14ac:dyDescent="0.25">
      <c r="A1102" s="24" t="str">
        <f>_xlfn.XLOOKUP(tbEscolas[[#This Row],[ESCOLA]],tbNucleo[ESCOLA],tbNucleo[COD ESCOLA],"")</f>
        <v/>
      </c>
      <c r="B1102" t="str" cm="1">
        <f t="array" ref="B1102">IFERROR(INDEX(tbNucleo[ESCOLA],ROUNDUP(ROW(B1101)/TotalEtapas,0)),"")</f>
        <v/>
      </c>
    </row>
    <row r="1103" spans="1:2" x14ac:dyDescent="0.25">
      <c r="A1103" s="24" t="str">
        <f>_xlfn.XLOOKUP(tbEscolas[[#This Row],[ESCOLA]],tbNucleo[ESCOLA],tbNucleo[COD ESCOLA],"")</f>
        <v/>
      </c>
      <c r="B1103" t="str" cm="1">
        <f t="array" ref="B1103">IFERROR(INDEX(tbNucleo[ESCOLA],ROUNDUP(ROW(B1102)/TotalEtapas,0)),"")</f>
        <v/>
      </c>
    </row>
    <row r="1104" spans="1:2" x14ac:dyDescent="0.25">
      <c r="A1104" s="24" t="str">
        <f>_xlfn.XLOOKUP(tbEscolas[[#This Row],[ESCOLA]],tbNucleo[ESCOLA],tbNucleo[COD ESCOLA],"")</f>
        <v/>
      </c>
      <c r="B1104" t="str" cm="1">
        <f t="array" ref="B1104">IFERROR(INDEX(tbNucleo[ESCOLA],ROUNDUP(ROW(B1103)/TotalEtapas,0)),"")</f>
        <v/>
      </c>
    </row>
    <row r="1105" spans="1:2" x14ac:dyDescent="0.25">
      <c r="A1105" s="24" t="str">
        <f>_xlfn.XLOOKUP(tbEscolas[[#This Row],[ESCOLA]],tbNucleo[ESCOLA],tbNucleo[COD ESCOLA],"")</f>
        <v/>
      </c>
      <c r="B1105" t="str" cm="1">
        <f t="array" ref="B1105">IFERROR(INDEX(tbNucleo[ESCOLA],ROUNDUP(ROW(B1104)/TotalEtapas,0)),"")</f>
        <v/>
      </c>
    </row>
    <row r="1106" spans="1:2" x14ac:dyDescent="0.25">
      <c r="A1106" s="24" t="str">
        <f>_xlfn.XLOOKUP(tbEscolas[[#This Row],[ESCOLA]],tbNucleo[ESCOLA],tbNucleo[COD ESCOLA],"")</f>
        <v/>
      </c>
      <c r="B1106" t="str" cm="1">
        <f t="array" ref="B1106">IFERROR(INDEX(tbNucleo[ESCOLA],ROUNDUP(ROW(B1105)/TotalEtapas,0)),"")</f>
        <v/>
      </c>
    </row>
    <row r="1107" spans="1:2" x14ac:dyDescent="0.25">
      <c r="A1107" s="24" t="str">
        <f>_xlfn.XLOOKUP(tbEscolas[[#This Row],[ESCOLA]],tbNucleo[ESCOLA],tbNucleo[COD ESCOLA],"")</f>
        <v/>
      </c>
      <c r="B1107" t="str" cm="1">
        <f t="array" ref="B1107">IFERROR(INDEX(tbNucleo[ESCOLA],ROUNDUP(ROW(B1106)/TotalEtapas,0)),"")</f>
        <v/>
      </c>
    </row>
    <row r="1108" spans="1:2" x14ac:dyDescent="0.25">
      <c r="A1108" s="24" t="str">
        <f>_xlfn.XLOOKUP(tbEscolas[[#This Row],[ESCOLA]],tbNucleo[ESCOLA],tbNucleo[COD ESCOLA],"")</f>
        <v/>
      </c>
      <c r="B1108" t="str" cm="1">
        <f t="array" ref="B1108">IFERROR(INDEX(tbNucleo[ESCOLA],ROUNDUP(ROW(B1107)/TotalEtapas,0)),"")</f>
        <v/>
      </c>
    </row>
    <row r="1109" spans="1:2" x14ac:dyDescent="0.25">
      <c r="A1109" s="24" t="str">
        <f>_xlfn.XLOOKUP(tbEscolas[[#This Row],[ESCOLA]],tbNucleo[ESCOLA],tbNucleo[COD ESCOLA],"")</f>
        <v/>
      </c>
      <c r="B1109" t="str" cm="1">
        <f t="array" ref="B1109">IFERROR(INDEX(tbNucleo[ESCOLA],ROUNDUP(ROW(B1108)/TotalEtapas,0)),"")</f>
        <v/>
      </c>
    </row>
    <row r="1110" spans="1:2" x14ac:dyDescent="0.25">
      <c r="A1110" s="24" t="str">
        <f>_xlfn.XLOOKUP(tbEscolas[[#This Row],[ESCOLA]],tbNucleo[ESCOLA],tbNucleo[COD ESCOLA],"")</f>
        <v/>
      </c>
      <c r="B1110" t="str" cm="1">
        <f t="array" ref="B1110">IFERROR(INDEX(tbNucleo[ESCOLA],ROUNDUP(ROW(B1109)/TotalEtapas,0)),"")</f>
        <v/>
      </c>
    </row>
    <row r="1111" spans="1:2" x14ac:dyDescent="0.25">
      <c r="A1111" s="24" t="str">
        <f>_xlfn.XLOOKUP(tbEscolas[[#This Row],[ESCOLA]],tbNucleo[ESCOLA],tbNucleo[COD ESCOLA],"")</f>
        <v/>
      </c>
      <c r="B1111" t="str" cm="1">
        <f t="array" ref="B1111">IFERROR(INDEX(tbNucleo[ESCOLA],ROUNDUP(ROW(B1110)/TotalEtapas,0)),"")</f>
        <v/>
      </c>
    </row>
    <row r="1112" spans="1:2" x14ac:dyDescent="0.25">
      <c r="A1112" s="24" t="str">
        <f>_xlfn.XLOOKUP(tbEscolas[[#This Row],[ESCOLA]],tbNucleo[ESCOLA],tbNucleo[COD ESCOLA],"")</f>
        <v/>
      </c>
      <c r="B1112" t="str" cm="1">
        <f t="array" ref="B1112">IFERROR(INDEX(tbNucleo[ESCOLA],ROUNDUP(ROW(B1111)/TotalEtapas,0)),"")</f>
        <v/>
      </c>
    </row>
    <row r="1113" spans="1:2" x14ac:dyDescent="0.25">
      <c r="A1113" s="24" t="str">
        <f>_xlfn.XLOOKUP(tbEscolas[[#This Row],[ESCOLA]],tbNucleo[ESCOLA],tbNucleo[COD ESCOLA],"")</f>
        <v/>
      </c>
      <c r="B1113" t="str" cm="1">
        <f t="array" ref="B1113">IFERROR(INDEX(tbNucleo[ESCOLA],ROUNDUP(ROW(B1112)/TotalEtapas,0)),"")</f>
        <v/>
      </c>
    </row>
    <row r="1114" spans="1:2" x14ac:dyDescent="0.25">
      <c r="A1114" s="24" t="str">
        <f>_xlfn.XLOOKUP(tbEscolas[[#This Row],[ESCOLA]],tbNucleo[ESCOLA],tbNucleo[COD ESCOLA],"")</f>
        <v/>
      </c>
      <c r="B1114" t="str" cm="1">
        <f t="array" ref="B1114">IFERROR(INDEX(tbNucleo[ESCOLA],ROUNDUP(ROW(B1113)/TotalEtapas,0)),"")</f>
        <v/>
      </c>
    </row>
    <row r="1115" spans="1:2" x14ac:dyDescent="0.25">
      <c r="A1115" s="24" t="str">
        <f>_xlfn.XLOOKUP(tbEscolas[[#This Row],[ESCOLA]],tbNucleo[ESCOLA],tbNucleo[COD ESCOLA],"")</f>
        <v/>
      </c>
      <c r="B1115" t="str" cm="1">
        <f t="array" ref="B1115">IFERROR(INDEX(tbNucleo[ESCOLA],ROUNDUP(ROW(B1114)/TotalEtapas,0)),"")</f>
        <v/>
      </c>
    </row>
    <row r="1116" spans="1:2" x14ac:dyDescent="0.25">
      <c r="A1116" s="24" t="str">
        <f>_xlfn.XLOOKUP(tbEscolas[[#This Row],[ESCOLA]],tbNucleo[ESCOLA],tbNucleo[COD ESCOLA],"")</f>
        <v/>
      </c>
      <c r="B1116" t="str" cm="1">
        <f t="array" ref="B1116">IFERROR(INDEX(tbNucleo[ESCOLA],ROUNDUP(ROW(B1115)/TotalEtapas,0)),"")</f>
        <v/>
      </c>
    </row>
    <row r="1117" spans="1:2" x14ac:dyDescent="0.25">
      <c r="A1117" s="24" t="str">
        <f>_xlfn.XLOOKUP(tbEscolas[[#This Row],[ESCOLA]],tbNucleo[ESCOLA],tbNucleo[COD ESCOLA],"")</f>
        <v/>
      </c>
      <c r="B1117" t="str" cm="1">
        <f t="array" ref="B1117">IFERROR(INDEX(tbNucleo[ESCOLA],ROUNDUP(ROW(B1116)/TotalEtapas,0)),"")</f>
        <v/>
      </c>
    </row>
    <row r="1118" spans="1:2" x14ac:dyDescent="0.25">
      <c r="A1118" s="24" t="str">
        <f>_xlfn.XLOOKUP(tbEscolas[[#This Row],[ESCOLA]],tbNucleo[ESCOLA],tbNucleo[COD ESCOLA],"")</f>
        <v/>
      </c>
      <c r="B1118" t="str" cm="1">
        <f t="array" ref="B1118">IFERROR(INDEX(tbNucleo[ESCOLA],ROUNDUP(ROW(B1117)/TotalEtapas,0)),"")</f>
        <v/>
      </c>
    </row>
    <row r="1119" spans="1:2" x14ac:dyDescent="0.25">
      <c r="A1119" s="24" t="str">
        <f>_xlfn.XLOOKUP(tbEscolas[[#This Row],[ESCOLA]],tbNucleo[ESCOLA],tbNucleo[COD ESCOLA],"")</f>
        <v/>
      </c>
      <c r="B1119" t="str" cm="1">
        <f t="array" ref="B1119">IFERROR(INDEX(tbNucleo[ESCOLA],ROUNDUP(ROW(B1118)/TotalEtapas,0)),"")</f>
        <v/>
      </c>
    </row>
    <row r="1120" spans="1:2" x14ac:dyDescent="0.25">
      <c r="A1120" s="24" t="str">
        <f>_xlfn.XLOOKUP(tbEscolas[[#This Row],[ESCOLA]],tbNucleo[ESCOLA],tbNucleo[COD ESCOLA],"")</f>
        <v/>
      </c>
      <c r="B1120" t="str" cm="1">
        <f t="array" ref="B1120">IFERROR(INDEX(tbNucleo[ESCOLA],ROUNDUP(ROW(B1119)/TotalEtapas,0)),"")</f>
        <v/>
      </c>
    </row>
    <row r="1121" spans="1:2" x14ac:dyDescent="0.25">
      <c r="A1121" s="24" t="str">
        <f>_xlfn.XLOOKUP(tbEscolas[[#This Row],[ESCOLA]],tbNucleo[ESCOLA],tbNucleo[COD ESCOLA],"")</f>
        <v/>
      </c>
      <c r="B1121" t="str" cm="1">
        <f t="array" ref="B1121">IFERROR(INDEX(tbNucleo[ESCOLA],ROUNDUP(ROW(B1120)/TotalEtapas,0)),"")</f>
        <v/>
      </c>
    </row>
    <row r="1122" spans="1:2" x14ac:dyDescent="0.25">
      <c r="A1122" s="24" t="str">
        <f>_xlfn.XLOOKUP(tbEscolas[[#This Row],[ESCOLA]],tbNucleo[ESCOLA],tbNucleo[COD ESCOLA],"")</f>
        <v/>
      </c>
      <c r="B1122" t="str" cm="1">
        <f t="array" ref="B1122">IFERROR(INDEX(tbNucleo[ESCOLA],ROUNDUP(ROW(B1121)/TotalEtapas,0)),"")</f>
        <v/>
      </c>
    </row>
    <row r="1123" spans="1:2" x14ac:dyDescent="0.25">
      <c r="A1123" s="24" t="str">
        <f>_xlfn.XLOOKUP(tbEscolas[[#This Row],[ESCOLA]],tbNucleo[ESCOLA],tbNucleo[COD ESCOLA],"")</f>
        <v/>
      </c>
      <c r="B1123" t="str" cm="1">
        <f t="array" ref="B1123">IFERROR(INDEX(tbNucleo[ESCOLA],ROUNDUP(ROW(B1122)/TotalEtapas,0)),"")</f>
        <v/>
      </c>
    </row>
    <row r="1124" spans="1:2" x14ac:dyDescent="0.25">
      <c r="A1124" s="24" t="str">
        <f>_xlfn.XLOOKUP(tbEscolas[[#This Row],[ESCOLA]],tbNucleo[ESCOLA],tbNucleo[COD ESCOLA],"")</f>
        <v/>
      </c>
      <c r="B1124" t="str" cm="1">
        <f t="array" ref="B1124">IFERROR(INDEX(tbNucleo[ESCOLA],ROUNDUP(ROW(B1123)/TotalEtapas,0)),"")</f>
        <v/>
      </c>
    </row>
    <row r="1125" spans="1:2" x14ac:dyDescent="0.25">
      <c r="A1125" s="24" t="str">
        <f>_xlfn.XLOOKUP(tbEscolas[[#This Row],[ESCOLA]],tbNucleo[ESCOLA],tbNucleo[COD ESCOLA],"")</f>
        <v/>
      </c>
      <c r="B1125" t="str" cm="1">
        <f t="array" ref="B1125">IFERROR(INDEX(tbNucleo[ESCOLA],ROUNDUP(ROW(B1124)/TotalEtapas,0)),"")</f>
        <v/>
      </c>
    </row>
    <row r="1126" spans="1:2" x14ac:dyDescent="0.25">
      <c r="A1126" s="24" t="str">
        <f>_xlfn.XLOOKUP(tbEscolas[[#This Row],[ESCOLA]],tbNucleo[ESCOLA],tbNucleo[COD ESCOLA],"")</f>
        <v/>
      </c>
      <c r="B1126" t="str" cm="1">
        <f t="array" ref="B1126">IFERROR(INDEX(tbNucleo[ESCOLA],ROUNDUP(ROW(B1125)/TotalEtapas,0)),"")</f>
        <v/>
      </c>
    </row>
    <row r="1127" spans="1:2" x14ac:dyDescent="0.25">
      <c r="A1127" s="24" t="str">
        <f>_xlfn.XLOOKUP(tbEscolas[[#This Row],[ESCOLA]],tbNucleo[ESCOLA],tbNucleo[COD ESCOLA],"")</f>
        <v/>
      </c>
      <c r="B1127" t="str" cm="1">
        <f t="array" ref="B1127">IFERROR(INDEX(tbNucleo[ESCOLA],ROUNDUP(ROW(B1126)/TotalEtapas,0)),"")</f>
        <v/>
      </c>
    </row>
    <row r="1128" spans="1:2" x14ac:dyDescent="0.25">
      <c r="A1128" s="24" t="str">
        <f>_xlfn.XLOOKUP(tbEscolas[[#This Row],[ESCOLA]],tbNucleo[ESCOLA],tbNucleo[COD ESCOLA],"")</f>
        <v/>
      </c>
      <c r="B1128" t="str" cm="1">
        <f t="array" ref="B1128">IFERROR(INDEX(tbNucleo[ESCOLA],ROUNDUP(ROW(B1127)/TotalEtapas,0)),"")</f>
        <v/>
      </c>
    </row>
    <row r="1129" spans="1:2" x14ac:dyDescent="0.25">
      <c r="A1129" s="24" t="str">
        <f>_xlfn.XLOOKUP(tbEscolas[[#This Row],[ESCOLA]],tbNucleo[ESCOLA],tbNucleo[COD ESCOLA],"")</f>
        <v/>
      </c>
      <c r="B1129" t="str" cm="1">
        <f t="array" ref="B1129">IFERROR(INDEX(tbNucleo[ESCOLA],ROUNDUP(ROW(B1128)/TotalEtapas,0)),"")</f>
        <v/>
      </c>
    </row>
    <row r="1130" spans="1:2" x14ac:dyDescent="0.25">
      <c r="A1130" s="24" t="str">
        <f>_xlfn.XLOOKUP(tbEscolas[[#This Row],[ESCOLA]],tbNucleo[ESCOLA],tbNucleo[COD ESCOLA],"")</f>
        <v/>
      </c>
      <c r="B1130" t="str" cm="1">
        <f t="array" ref="B1130">IFERROR(INDEX(tbNucleo[ESCOLA],ROUNDUP(ROW(B1129)/TotalEtapas,0)),"")</f>
        <v/>
      </c>
    </row>
    <row r="1131" spans="1:2" x14ac:dyDescent="0.25">
      <c r="A1131" s="24" t="str">
        <f>_xlfn.XLOOKUP(tbEscolas[[#This Row],[ESCOLA]],tbNucleo[ESCOLA],tbNucleo[COD ESCOLA],"")</f>
        <v/>
      </c>
      <c r="B1131" t="str" cm="1">
        <f t="array" ref="B1131">IFERROR(INDEX(tbNucleo[ESCOLA],ROUNDUP(ROW(B1130)/TotalEtapas,0)),"")</f>
        <v/>
      </c>
    </row>
    <row r="1132" spans="1:2" x14ac:dyDescent="0.25">
      <c r="A1132" s="24" t="str">
        <f>_xlfn.XLOOKUP(tbEscolas[[#This Row],[ESCOLA]],tbNucleo[ESCOLA],tbNucleo[COD ESCOLA],"")</f>
        <v/>
      </c>
      <c r="B1132" t="str" cm="1">
        <f t="array" ref="B1132">IFERROR(INDEX(tbNucleo[ESCOLA],ROUNDUP(ROW(B1131)/TotalEtapas,0)),"")</f>
        <v/>
      </c>
    </row>
    <row r="1133" spans="1:2" x14ac:dyDescent="0.25">
      <c r="A1133" s="24" t="str">
        <f>_xlfn.XLOOKUP(tbEscolas[[#This Row],[ESCOLA]],tbNucleo[ESCOLA],tbNucleo[COD ESCOLA],"")</f>
        <v/>
      </c>
      <c r="B1133" t="str" cm="1">
        <f t="array" ref="B1133">IFERROR(INDEX(tbNucleo[ESCOLA],ROUNDUP(ROW(B1132)/TotalEtapas,0)),"")</f>
        <v/>
      </c>
    </row>
    <row r="1134" spans="1:2" x14ac:dyDescent="0.25">
      <c r="A1134" s="24" t="str">
        <f>_xlfn.XLOOKUP(tbEscolas[[#This Row],[ESCOLA]],tbNucleo[ESCOLA],tbNucleo[COD ESCOLA],"")</f>
        <v/>
      </c>
      <c r="B1134" t="str" cm="1">
        <f t="array" ref="B1134">IFERROR(INDEX(tbNucleo[ESCOLA],ROUNDUP(ROW(B1133)/TotalEtapas,0)),"")</f>
        <v/>
      </c>
    </row>
    <row r="1135" spans="1:2" x14ac:dyDescent="0.25">
      <c r="A1135" s="24" t="str">
        <f>_xlfn.XLOOKUP(tbEscolas[[#This Row],[ESCOLA]],tbNucleo[ESCOLA],tbNucleo[COD ESCOLA],"")</f>
        <v/>
      </c>
      <c r="B1135" t="str" cm="1">
        <f t="array" ref="B1135">IFERROR(INDEX(tbNucleo[ESCOLA],ROUNDUP(ROW(B1134)/TotalEtapas,0)),"")</f>
        <v/>
      </c>
    </row>
    <row r="1136" spans="1:2" x14ac:dyDescent="0.25">
      <c r="A1136" s="24" t="str">
        <f>_xlfn.XLOOKUP(tbEscolas[[#This Row],[ESCOLA]],tbNucleo[ESCOLA],tbNucleo[COD ESCOLA],"")</f>
        <v/>
      </c>
      <c r="B1136" t="str" cm="1">
        <f t="array" ref="B1136">IFERROR(INDEX(tbNucleo[ESCOLA],ROUNDUP(ROW(B1135)/TotalEtapas,0)),"")</f>
        <v/>
      </c>
    </row>
    <row r="1137" spans="1:2" x14ac:dyDescent="0.25">
      <c r="A1137" s="24" t="str">
        <f>_xlfn.XLOOKUP(tbEscolas[[#This Row],[ESCOLA]],tbNucleo[ESCOLA],tbNucleo[COD ESCOLA],"")</f>
        <v/>
      </c>
      <c r="B1137" t="str" cm="1">
        <f t="array" ref="B1137">IFERROR(INDEX(tbNucleo[ESCOLA],ROUNDUP(ROW(B1136)/TotalEtapas,0)),"")</f>
        <v/>
      </c>
    </row>
    <row r="1138" spans="1:2" x14ac:dyDescent="0.25">
      <c r="A1138" s="24" t="str">
        <f>_xlfn.XLOOKUP(tbEscolas[[#This Row],[ESCOLA]],tbNucleo[ESCOLA],tbNucleo[COD ESCOLA],"")</f>
        <v/>
      </c>
      <c r="B1138" t="str" cm="1">
        <f t="array" ref="B1138">IFERROR(INDEX(tbNucleo[ESCOLA],ROUNDUP(ROW(B1137)/TotalEtapas,0)),"")</f>
        <v/>
      </c>
    </row>
    <row r="1139" spans="1:2" x14ac:dyDescent="0.25">
      <c r="A1139" s="24" t="str">
        <f>_xlfn.XLOOKUP(tbEscolas[[#This Row],[ESCOLA]],tbNucleo[ESCOLA],tbNucleo[COD ESCOLA],"")</f>
        <v/>
      </c>
      <c r="B1139" t="str" cm="1">
        <f t="array" ref="B1139">IFERROR(INDEX(tbNucleo[ESCOLA],ROUNDUP(ROW(B1138)/TotalEtapas,0)),"")</f>
        <v/>
      </c>
    </row>
    <row r="1140" spans="1:2" x14ac:dyDescent="0.25">
      <c r="A1140" s="24" t="str">
        <f>_xlfn.XLOOKUP(tbEscolas[[#This Row],[ESCOLA]],tbNucleo[ESCOLA],tbNucleo[COD ESCOLA],"")</f>
        <v/>
      </c>
      <c r="B1140" t="str" cm="1">
        <f t="array" ref="B1140">IFERROR(INDEX(tbNucleo[ESCOLA],ROUNDUP(ROW(B1139)/TotalEtapas,0)),"")</f>
        <v/>
      </c>
    </row>
    <row r="1141" spans="1:2" x14ac:dyDescent="0.25">
      <c r="A1141" s="24" t="str">
        <f>_xlfn.XLOOKUP(tbEscolas[[#This Row],[ESCOLA]],tbNucleo[ESCOLA],tbNucleo[COD ESCOLA],"")</f>
        <v/>
      </c>
      <c r="B1141" t="str" cm="1">
        <f t="array" ref="B1141">IFERROR(INDEX(tbNucleo[ESCOLA],ROUNDUP(ROW(B1140)/TotalEtapas,0)),"")</f>
        <v/>
      </c>
    </row>
    <row r="1142" spans="1:2" x14ac:dyDescent="0.25">
      <c r="A1142" s="24" t="str">
        <f>_xlfn.XLOOKUP(tbEscolas[[#This Row],[ESCOLA]],tbNucleo[ESCOLA],tbNucleo[COD ESCOLA],"")</f>
        <v/>
      </c>
      <c r="B1142" t="str" cm="1">
        <f t="array" ref="B1142">IFERROR(INDEX(tbNucleo[ESCOLA],ROUNDUP(ROW(B1141)/TotalEtapas,0)),"")</f>
        <v/>
      </c>
    </row>
    <row r="1143" spans="1:2" x14ac:dyDescent="0.25">
      <c r="A1143" s="24" t="str">
        <f>_xlfn.XLOOKUP(tbEscolas[[#This Row],[ESCOLA]],tbNucleo[ESCOLA],tbNucleo[COD ESCOLA],"")</f>
        <v/>
      </c>
      <c r="B1143" t="str" cm="1">
        <f t="array" ref="B1143">IFERROR(INDEX(tbNucleo[ESCOLA],ROUNDUP(ROW(B1142)/TotalEtapas,0)),"")</f>
        <v/>
      </c>
    </row>
    <row r="1144" spans="1:2" x14ac:dyDescent="0.25">
      <c r="A1144" s="24" t="str">
        <f>_xlfn.XLOOKUP(tbEscolas[[#This Row],[ESCOLA]],tbNucleo[ESCOLA],tbNucleo[COD ESCOLA],"")</f>
        <v/>
      </c>
      <c r="B1144" t="str" cm="1">
        <f t="array" ref="B1144">IFERROR(INDEX(tbNucleo[ESCOLA],ROUNDUP(ROW(B1143)/TotalEtapas,0)),"")</f>
        <v/>
      </c>
    </row>
    <row r="1145" spans="1:2" x14ac:dyDescent="0.25">
      <c r="A1145" s="24" t="str">
        <f>_xlfn.XLOOKUP(tbEscolas[[#This Row],[ESCOLA]],tbNucleo[ESCOLA],tbNucleo[COD ESCOLA],"")</f>
        <v/>
      </c>
      <c r="B1145" t="str" cm="1">
        <f t="array" ref="B1145">IFERROR(INDEX(tbNucleo[ESCOLA],ROUNDUP(ROW(B1144)/TotalEtapas,0)),"")</f>
        <v/>
      </c>
    </row>
    <row r="1146" spans="1:2" x14ac:dyDescent="0.25">
      <c r="A1146" s="24" t="str">
        <f>_xlfn.XLOOKUP(tbEscolas[[#This Row],[ESCOLA]],tbNucleo[ESCOLA],tbNucleo[COD ESCOLA],"")</f>
        <v/>
      </c>
      <c r="B1146" t="str" cm="1">
        <f t="array" ref="B1146">IFERROR(INDEX(tbNucleo[ESCOLA],ROUNDUP(ROW(B1145)/TotalEtapas,0)),"")</f>
        <v/>
      </c>
    </row>
    <row r="1147" spans="1:2" x14ac:dyDescent="0.25">
      <c r="A1147" s="24" t="str">
        <f>_xlfn.XLOOKUP(tbEscolas[[#This Row],[ESCOLA]],tbNucleo[ESCOLA],tbNucleo[COD ESCOLA],"")</f>
        <v/>
      </c>
      <c r="B1147" t="str" cm="1">
        <f t="array" ref="B1147">IFERROR(INDEX(tbNucleo[ESCOLA],ROUNDUP(ROW(B1146)/TotalEtapas,0)),"")</f>
        <v/>
      </c>
    </row>
    <row r="1148" spans="1:2" x14ac:dyDescent="0.25">
      <c r="A1148" s="24" t="str">
        <f>_xlfn.XLOOKUP(tbEscolas[[#This Row],[ESCOLA]],tbNucleo[ESCOLA],tbNucleo[COD ESCOLA],"")</f>
        <v/>
      </c>
      <c r="B1148" t="str" cm="1">
        <f t="array" ref="B1148">IFERROR(INDEX(tbNucleo[ESCOLA],ROUNDUP(ROW(B1147)/TotalEtapas,0)),"")</f>
        <v/>
      </c>
    </row>
    <row r="1149" spans="1:2" x14ac:dyDescent="0.25">
      <c r="A1149" s="24" t="str">
        <f>_xlfn.XLOOKUP(tbEscolas[[#This Row],[ESCOLA]],tbNucleo[ESCOLA],tbNucleo[COD ESCOLA],"")</f>
        <v/>
      </c>
      <c r="B1149" t="str" cm="1">
        <f t="array" ref="B1149">IFERROR(INDEX(tbNucleo[ESCOLA],ROUNDUP(ROW(B1148)/TotalEtapas,0)),"")</f>
        <v/>
      </c>
    </row>
    <row r="1150" spans="1:2" x14ac:dyDescent="0.25">
      <c r="A1150" s="24" t="str">
        <f>_xlfn.XLOOKUP(tbEscolas[[#This Row],[ESCOLA]],tbNucleo[ESCOLA],tbNucleo[COD ESCOLA],"")</f>
        <v/>
      </c>
      <c r="B1150" t="str" cm="1">
        <f t="array" ref="B1150">IFERROR(INDEX(tbNucleo[ESCOLA],ROUNDUP(ROW(B1149)/TotalEtapas,0)),"")</f>
        <v/>
      </c>
    </row>
    <row r="1151" spans="1:2" x14ac:dyDescent="0.25">
      <c r="A1151" s="24" t="str">
        <f>_xlfn.XLOOKUP(tbEscolas[[#This Row],[ESCOLA]],tbNucleo[ESCOLA],tbNucleo[COD ESCOLA],"")</f>
        <v/>
      </c>
      <c r="B1151" t="str" cm="1">
        <f t="array" ref="B1151">IFERROR(INDEX(tbNucleo[ESCOLA],ROUNDUP(ROW(B1150)/TotalEtapas,0)),"")</f>
        <v/>
      </c>
    </row>
    <row r="1152" spans="1:2" x14ac:dyDescent="0.25">
      <c r="A1152" s="24" t="str">
        <f>_xlfn.XLOOKUP(tbEscolas[[#This Row],[ESCOLA]],tbNucleo[ESCOLA],tbNucleo[COD ESCOLA],"")</f>
        <v/>
      </c>
      <c r="B1152" t="str" cm="1">
        <f t="array" ref="B1152">IFERROR(INDEX(tbNucleo[ESCOLA],ROUNDUP(ROW(B1151)/TotalEtapas,0)),"")</f>
        <v/>
      </c>
    </row>
    <row r="1153" spans="1:6" x14ac:dyDescent="0.25">
      <c r="A1153" s="24" t="str">
        <f>_xlfn.XLOOKUP(tbEscolas[[#This Row],[ESCOLA]],tbNucleo[ESCOLA],tbNucleo[COD ESCOLA],"")</f>
        <v/>
      </c>
      <c r="B1153" t="str" cm="1">
        <f t="array" ref="B1153">IFERROR(INDEX(tbNucleo[ESCOLA],ROUNDUP(ROW(B1152)/TotalEtapas,0)),"")</f>
        <v/>
      </c>
    </row>
    <row r="1154" spans="1:6" x14ac:dyDescent="0.25">
      <c r="A1154" s="24" t="str">
        <f>_xlfn.XLOOKUP(tbEscolas[[#This Row],[ESCOLA]],tbNucleo[ESCOLA],tbNucleo[COD ESCOLA],"")</f>
        <v/>
      </c>
      <c r="B1154" t="str" cm="1">
        <f t="array" ref="B1154">IFERROR(INDEX(tbNucleo[ESCOLA],ROUNDUP(ROW(B1153)/TotalEtapas,0)),"")</f>
        <v/>
      </c>
      <c r="E1154" t="str">
        <f>IFERROR(VLOOKUP(tbEscolas[[#This Row],[COD ETPA]],tbEtapas[],2,FALSE),"")</f>
        <v/>
      </c>
      <c r="F1154" t="str">
        <f>IFERROR(VLOOKUP(tbEscolas[[#This Row],[COD ETPA]],tbEtapas[],3,FALSE),"")</f>
        <v/>
      </c>
    </row>
    <row r="1155" spans="1:6" x14ac:dyDescent="0.25">
      <c r="A1155" s="24" t="str">
        <f>_xlfn.XLOOKUP(tbEscolas[[#This Row],[ESCOLA]],tbNucleo[ESCOLA],tbNucleo[COD ESCOLA],"")</f>
        <v/>
      </c>
      <c r="B1155" t="str" cm="1">
        <f t="array" ref="B1155">IFERROR(INDEX(tbNucleo[ESCOLA],ROUNDUP(ROW(B1154)/TotalEtapas,0)),"")</f>
        <v/>
      </c>
      <c r="E1155" t="str">
        <f>IFERROR(VLOOKUP(tbEscolas[[#This Row],[COD ETPA]],tbEtapas[],2,FALSE),"")</f>
        <v/>
      </c>
      <c r="F1155" t="str">
        <f>IFERROR(VLOOKUP(tbEscolas[[#This Row],[COD ETPA]],tbEtapas[],3,FALSE),"")</f>
        <v/>
      </c>
    </row>
    <row r="1156" spans="1:6" x14ac:dyDescent="0.25">
      <c r="A1156" s="24" t="str">
        <f>_xlfn.XLOOKUP(tbEscolas[[#This Row],[ESCOLA]],tbNucleo[ESCOLA],tbNucleo[COD ESCOLA],"")</f>
        <v/>
      </c>
      <c r="B1156" t="str" cm="1">
        <f t="array" ref="B1156">IFERROR(INDEX(tbNucleo[ESCOLA],ROUNDUP(ROW(B1155)/TotalEtapas,0)),"")</f>
        <v/>
      </c>
      <c r="E1156" t="str">
        <f>IFERROR(VLOOKUP(tbEscolas[[#This Row],[COD ETPA]],tbEtapas[],2,FALSE),"")</f>
        <v/>
      </c>
      <c r="F1156" t="str">
        <f>IFERROR(VLOOKUP(tbEscolas[[#This Row],[COD ETPA]],tbEtapas[],3,FALSE),"")</f>
        <v/>
      </c>
    </row>
    <row r="1157" spans="1:6" x14ac:dyDescent="0.25">
      <c r="A1157" s="24" t="str">
        <f>_xlfn.XLOOKUP(tbEscolas[[#This Row],[ESCOLA]],tbNucleo[ESCOLA],tbNucleo[COD ESCOLA],"")</f>
        <v/>
      </c>
      <c r="B1157" t="str" cm="1">
        <f t="array" ref="B1157">IFERROR(INDEX(tbNucleo[ESCOLA],ROUNDUP(ROW(B1156)/TotalEtapas,0)),"")</f>
        <v/>
      </c>
      <c r="E1157" t="str">
        <f>IFERROR(VLOOKUP(tbEscolas[[#This Row],[COD ETPA]],tbEtapas[],2,FALSE),"")</f>
        <v/>
      </c>
      <c r="F1157" t="str">
        <f>IFERROR(VLOOKUP(tbEscolas[[#This Row],[COD ETPA]],tbEtapas[],3,FALSE),"")</f>
        <v/>
      </c>
    </row>
    <row r="1158" spans="1:6" x14ac:dyDescent="0.25">
      <c r="A1158" s="24" t="str">
        <f>_xlfn.XLOOKUP(tbEscolas[[#This Row],[ESCOLA]],tbNucleo[ESCOLA],tbNucleo[COD ESCOLA],"")</f>
        <v/>
      </c>
      <c r="B1158" t="str" cm="1">
        <f t="array" ref="B1158">IFERROR(INDEX(tbNucleo[ESCOLA],ROUNDUP(ROW(B1157)/TotalEtapas,0)),"")</f>
        <v/>
      </c>
      <c r="E1158" t="str">
        <f>IFERROR(VLOOKUP(tbEscolas[[#This Row],[COD ETPA]],tbEtapas[],2,FALSE),"")</f>
        <v/>
      </c>
      <c r="F1158" t="str">
        <f>IFERROR(VLOOKUP(tbEscolas[[#This Row],[COD ETPA]],tbEtapas[],3,FALSE),"")</f>
        <v/>
      </c>
    </row>
    <row r="1159" spans="1:6" x14ac:dyDescent="0.25">
      <c r="A1159" s="24" t="str">
        <f>_xlfn.XLOOKUP(tbEscolas[[#This Row],[ESCOLA]],tbNucleo[ESCOLA],tbNucleo[COD ESCOLA],"")</f>
        <v/>
      </c>
      <c r="B1159" t="str" cm="1">
        <f t="array" ref="B1159">IFERROR(INDEX(tbNucleo[ESCOLA],ROUNDUP(ROW(B1158)/TotalEtapas,0)),"")</f>
        <v/>
      </c>
      <c r="E1159" t="str">
        <f>IFERROR(VLOOKUP(tbEscolas[[#This Row],[COD ETPA]],tbEtapas[],2,FALSE),"")</f>
        <v/>
      </c>
      <c r="F1159" t="str">
        <f>IFERROR(VLOOKUP(tbEscolas[[#This Row],[COD ETPA]],tbEtapas[],3,FALSE),"")</f>
        <v/>
      </c>
    </row>
    <row r="1160" spans="1:6" x14ac:dyDescent="0.25">
      <c r="A1160" s="24" t="str">
        <f>_xlfn.XLOOKUP(tbEscolas[[#This Row],[ESCOLA]],tbNucleo[ESCOLA],tbNucleo[COD ESCOLA],"")</f>
        <v/>
      </c>
      <c r="B1160" t="str" cm="1">
        <f t="array" ref="B1160">IFERROR(INDEX(tbNucleo[ESCOLA],ROUNDUP(ROW(B1159)/TotalEtapas,0)),"")</f>
        <v/>
      </c>
      <c r="E1160" t="str">
        <f>IFERROR(VLOOKUP(tbEscolas[[#This Row],[COD ETPA]],tbEtapas[],2,FALSE),"")</f>
        <v/>
      </c>
      <c r="F1160" t="str">
        <f>IFERROR(VLOOKUP(tbEscolas[[#This Row],[COD ETPA]],tbEtapas[],3,FALSE),"")</f>
        <v/>
      </c>
    </row>
    <row r="1161" spans="1:6" x14ac:dyDescent="0.25">
      <c r="A1161" s="24" t="str">
        <f>_xlfn.XLOOKUP(tbEscolas[[#This Row],[ESCOLA]],tbNucleo[ESCOLA],tbNucleo[COD ESCOLA],"")</f>
        <v/>
      </c>
      <c r="B1161" t="str" cm="1">
        <f t="array" ref="B1161">IFERROR(INDEX(tbNucleo[ESCOLA],ROUNDUP(ROW(B1160)/TotalEtapas,0)),"")</f>
        <v/>
      </c>
      <c r="E1161" t="str">
        <f>IFERROR(VLOOKUP(tbEscolas[[#This Row],[COD ETPA]],tbEtapas[],2,FALSE),"")</f>
        <v/>
      </c>
      <c r="F1161" t="str">
        <f>IFERROR(VLOOKUP(tbEscolas[[#This Row],[COD ETPA]],tbEtapas[],3,FALSE),"")</f>
        <v/>
      </c>
    </row>
    <row r="1162" spans="1:6" x14ac:dyDescent="0.25">
      <c r="A1162" s="24" t="str">
        <f>_xlfn.XLOOKUP(tbEscolas[[#This Row],[ESCOLA]],tbNucleo[ESCOLA],tbNucleo[COD ESCOLA],"")</f>
        <v/>
      </c>
      <c r="B1162" t="str" cm="1">
        <f t="array" ref="B1162">IFERROR(INDEX(tbNucleo[ESCOLA],ROUNDUP(ROW(B1161)/TotalEtapas,0)),"")</f>
        <v/>
      </c>
      <c r="E1162" t="str">
        <f>IFERROR(VLOOKUP(tbEscolas[[#This Row],[COD ETPA]],tbEtapas[],2,FALSE),"")</f>
        <v/>
      </c>
      <c r="F1162" t="str">
        <f>IFERROR(VLOOKUP(tbEscolas[[#This Row],[COD ETPA]],tbEtapas[],3,FALSE),"")</f>
        <v/>
      </c>
    </row>
    <row r="1163" spans="1:6" x14ac:dyDescent="0.25">
      <c r="A1163" s="24" t="str">
        <f>_xlfn.XLOOKUP(tbEscolas[[#This Row],[ESCOLA]],tbNucleo[ESCOLA],tbNucleo[COD ESCOLA],"")</f>
        <v/>
      </c>
      <c r="B1163" t="str" cm="1">
        <f t="array" ref="B1163">IFERROR(INDEX(tbNucleo[ESCOLA],ROUNDUP(ROW(B1162)/TotalEtapas,0)),"")</f>
        <v/>
      </c>
      <c r="E1163" t="str">
        <f>IFERROR(VLOOKUP(tbEscolas[[#This Row],[COD ETPA]],tbEtapas[],2,FALSE),"")</f>
        <v/>
      </c>
      <c r="F1163" t="str">
        <f>IFERROR(VLOOKUP(tbEscolas[[#This Row],[COD ETPA]],tbEtapas[],3,FALSE),"")</f>
        <v/>
      </c>
    </row>
    <row r="1164" spans="1:6" x14ac:dyDescent="0.25">
      <c r="A1164" s="24" t="str">
        <f>_xlfn.XLOOKUP(tbEscolas[[#This Row],[ESCOLA]],tbNucleo[ESCOLA],tbNucleo[COD ESCOLA],"")</f>
        <v/>
      </c>
      <c r="B1164" t="str" cm="1">
        <f t="array" ref="B1164">IFERROR(INDEX(tbNucleo[ESCOLA],ROUNDUP(ROW(B1163)/TotalEtapas,0)),"")</f>
        <v/>
      </c>
      <c r="E1164" t="str">
        <f>IFERROR(VLOOKUP(tbEscolas[[#This Row],[COD ETPA]],tbEtapas[],2,FALSE),"")</f>
        <v/>
      </c>
      <c r="F1164" t="str">
        <f>IFERROR(VLOOKUP(tbEscolas[[#This Row],[COD ETPA]],tbEtapas[],3,FALSE),"")</f>
        <v/>
      </c>
    </row>
    <row r="1165" spans="1:6" x14ac:dyDescent="0.25">
      <c r="A1165" s="24" t="str">
        <f>_xlfn.XLOOKUP(tbEscolas[[#This Row],[ESCOLA]],tbNucleo[ESCOLA],tbNucleo[COD ESCOLA],"")</f>
        <v/>
      </c>
      <c r="B1165" t="str" cm="1">
        <f t="array" ref="B1165">IFERROR(INDEX(tbNucleo[ESCOLA],ROUNDUP(ROW(B1164)/TotalEtapas,0)),"")</f>
        <v/>
      </c>
      <c r="E1165" t="str">
        <f>IFERROR(VLOOKUP(tbEscolas[[#This Row],[COD ETPA]],tbEtapas[],2,FALSE),"")</f>
        <v/>
      </c>
      <c r="F1165" t="str">
        <f>IFERROR(VLOOKUP(tbEscolas[[#This Row],[COD ETPA]],tbEtapas[],3,FALSE),"")</f>
        <v/>
      </c>
    </row>
    <row r="1166" spans="1:6" x14ac:dyDescent="0.25">
      <c r="A1166" s="24" t="str">
        <f>_xlfn.XLOOKUP(tbEscolas[[#This Row],[ESCOLA]],tbNucleo[ESCOLA],tbNucleo[COD ESCOLA],"")</f>
        <v/>
      </c>
      <c r="B1166" t="str" cm="1">
        <f t="array" ref="B1166">IFERROR(INDEX(tbNucleo[ESCOLA],ROUNDUP(ROW(B1165)/TotalEtapas,0)),"")</f>
        <v/>
      </c>
      <c r="E1166" t="str">
        <f>IFERROR(VLOOKUP(tbEscolas[[#This Row],[COD ETPA]],tbEtapas[],2,FALSE),"")</f>
        <v/>
      </c>
      <c r="F1166" t="str">
        <f>IFERROR(VLOOKUP(tbEscolas[[#This Row],[COD ETPA]],tbEtapas[],3,FALSE),"")</f>
        <v/>
      </c>
    </row>
    <row r="1167" spans="1:6" x14ac:dyDescent="0.25">
      <c r="A1167" s="24" t="str">
        <f>_xlfn.XLOOKUP(tbEscolas[[#This Row],[ESCOLA]],tbNucleo[ESCOLA],tbNucleo[COD ESCOLA],"")</f>
        <v/>
      </c>
      <c r="B1167" t="str" cm="1">
        <f t="array" ref="B1167">IFERROR(INDEX(tbNucleo[ESCOLA],ROUNDUP(ROW(B1166)/TotalEtapas,0)),"")</f>
        <v/>
      </c>
      <c r="E1167" t="str">
        <f>IFERROR(VLOOKUP(tbEscolas[[#This Row],[COD ETPA]],tbEtapas[],2,FALSE),"")</f>
        <v/>
      </c>
      <c r="F1167" t="str">
        <f>IFERROR(VLOOKUP(tbEscolas[[#This Row],[COD ETPA]],tbEtapas[],3,FALSE),"")</f>
        <v/>
      </c>
    </row>
    <row r="1168" spans="1:6" x14ac:dyDescent="0.25">
      <c r="A1168" s="24" t="str">
        <f>_xlfn.XLOOKUP(tbEscolas[[#This Row],[ESCOLA]],tbNucleo[ESCOLA],tbNucleo[COD ESCOLA],"")</f>
        <v/>
      </c>
      <c r="B1168" t="str" cm="1">
        <f t="array" ref="B1168">IFERROR(INDEX(tbNucleo[ESCOLA],ROUNDUP(ROW(B1167)/TotalEtapas,0)),"")</f>
        <v/>
      </c>
      <c r="E1168" t="str">
        <f>IFERROR(VLOOKUP(tbEscolas[[#This Row],[COD ETPA]],tbEtapas[],2,FALSE),"")</f>
        <v/>
      </c>
      <c r="F1168" t="str">
        <f>IFERROR(VLOOKUP(tbEscolas[[#This Row],[COD ETPA]],tbEtapas[],3,FALSE),"")</f>
        <v/>
      </c>
    </row>
    <row r="1169" spans="1:6" x14ac:dyDescent="0.25">
      <c r="A1169" s="24" t="str">
        <f>_xlfn.XLOOKUP(tbEscolas[[#This Row],[ESCOLA]],tbNucleo[ESCOLA],tbNucleo[COD ESCOLA],"")</f>
        <v/>
      </c>
      <c r="B1169" t="str" cm="1">
        <f t="array" ref="B1169">IFERROR(INDEX(tbNucleo[ESCOLA],ROUNDUP(ROW(B1168)/TotalEtapas,0)),"")</f>
        <v/>
      </c>
      <c r="E1169" t="str">
        <f>IFERROR(VLOOKUP(tbEscolas[[#This Row],[COD ETPA]],tbEtapas[],2,FALSE),"")</f>
        <v/>
      </c>
      <c r="F1169" t="str">
        <f>IFERROR(VLOOKUP(tbEscolas[[#This Row],[COD ETPA]],tbEtapas[],3,FALSE),"")</f>
        <v/>
      </c>
    </row>
    <row r="1170" spans="1:6" x14ac:dyDescent="0.25">
      <c r="A1170" s="24" t="str">
        <f>_xlfn.XLOOKUP(tbEscolas[[#This Row],[ESCOLA]],tbNucleo[ESCOLA],tbNucleo[COD ESCOLA],"")</f>
        <v/>
      </c>
      <c r="B1170" t="str" cm="1">
        <f t="array" ref="B1170">IFERROR(INDEX(tbNucleo[ESCOLA],ROUNDUP(ROW(B1169)/TotalEtapas,0)),"")</f>
        <v/>
      </c>
      <c r="E1170" t="str">
        <f>IFERROR(VLOOKUP(tbEscolas[[#This Row],[COD ETPA]],tbEtapas[],2,FALSE),"")</f>
        <v/>
      </c>
      <c r="F1170" t="str">
        <f>IFERROR(VLOOKUP(tbEscolas[[#This Row],[COD ETPA]],tbEtapas[],3,FALSE),"")</f>
        <v/>
      </c>
    </row>
    <row r="1171" spans="1:6" x14ac:dyDescent="0.25">
      <c r="A1171" s="24" t="str">
        <f>_xlfn.XLOOKUP(tbEscolas[[#This Row],[ESCOLA]],tbNucleo[ESCOLA],tbNucleo[COD ESCOLA],"")</f>
        <v/>
      </c>
      <c r="B1171" t="str" cm="1">
        <f t="array" ref="B1171">IFERROR(INDEX(tbNucleo[ESCOLA],ROUNDUP(ROW(B1170)/TotalEtapas,0)),"")</f>
        <v/>
      </c>
      <c r="E1171" t="str">
        <f>IFERROR(VLOOKUP(tbEscolas[[#This Row],[COD ETPA]],tbEtapas[],2,FALSE),"")</f>
        <v/>
      </c>
      <c r="F1171" t="str">
        <f>IFERROR(VLOOKUP(tbEscolas[[#This Row],[COD ETPA]],tbEtapas[],3,FALSE),"")</f>
        <v/>
      </c>
    </row>
    <row r="1172" spans="1:6" x14ac:dyDescent="0.25">
      <c r="A1172" s="24" t="str">
        <f>_xlfn.XLOOKUP(tbEscolas[[#This Row],[ESCOLA]],tbNucleo[ESCOLA],tbNucleo[COD ESCOLA],"")</f>
        <v/>
      </c>
      <c r="B1172" t="str" cm="1">
        <f t="array" ref="B1172">IFERROR(INDEX(tbNucleo[ESCOLA],ROUNDUP(ROW(B1171)/TotalEtapas,0)),"")</f>
        <v/>
      </c>
      <c r="E1172" t="str">
        <f>IFERROR(VLOOKUP(tbEscolas[[#This Row],[COD ETPA]],tbEtapas[],2,FALSE),"")</f>
        <v/>
      </c>
      <c r="F1172" t="str">
        <f>IFERROR(VLOOKUP(tbEscolas[[#This Row],[COD ETPA]],tbEtapas[],3,FALSE),"")</f>
        <v/>
      </c>
    </row>
    <row r="1173" spans="1:6" x14ac:dyDescent="0.25">
      <c r="A1173" s="24" t="str">
        <f>_xlfn.XLOOKUP(tbEscolas[[#This Row],[ESCOLA]],tbNucleo[ESCOLA],tbNucleo[COD ESCOLA],"")</f>
        <v/>
      </c>
      <c r="B1173" t="str" cm="1">
        <f t="array" ref="B1173">IFERROR(INDEX(tbNucleo[ESCOLA],ROUNDUP(ROW(B1172)/TotalEtapas,0)),"")</f>
        <v/>
      </c>
      <c r="E1173" t="str">
        <f>IFERROR(VLOOKUP(tbEscolas[[#This Row],[COD ETPA]],tbEtapas[],2,FALSE),"")</f>
        <v/>
      </c>
      <c r="F1173" t="str">
        <f>IFERROR(VLOOKUP(tbEscolas[[#This Row],[COD ETPA]],tbEtapas[],3,FALSE),"")</f>
        <v/>
      </c>
    </row>
    <row r="1174" spans="1:6" x14ac:dyDescent="0.25">
      <c r="A1174" s="24" t="str">
        <f>_xlfn.XLOOKUP(tbEscolas[[#This Row],[ESCOLA]],tbNucleo[ESCOLA],tbNucleo[COD ESCOLA],"")</f>
        <v/>
      </c>
      <c r="B1174" t="str" cm="1">
        <f t="array" ref="B1174">IFERROR(INDEX(tbNucleo[ESCOLA],ROUNDUP(ROW(B1173)/TotalEtapas,0)),"")</f>
        <v/>
      </c>
      <c r="E1174" t="str">
        <f>IFERROR(VLOOKUP(tbEscolas[[#This Row],[COD ETPA]],tbEtapas[],2,FALSE),"")</f>
        <v/>
      </c>
      <c r="F1174" t="str">
        <f>IFERROR(VLOOKUP(tbEscolas[[#This Row],[COD ETPA]],tbEtapas[],3,FALSE),"")</f>
        <v/>
      </c>
    </row>
    <row r="1175" spans="1:6" x14ac:dyDescent="0.25">
      <c r="A1175" s="24" t="str">
        <f>_xlfn.XLOOKUP(tbEscolas[[#This Row],[ESCOLA]],tbNucleo[ESCOLA],tbNucleo[COD ESCOLA],"")</f>
        <v/>
      </c>
      <c r="B1175" t="str" cm="1">
        <f t="array" ref="B1175">IFERROR(INDEX(tbNucleo[ESCOLA],ROUNDUP(ROW(B1174)/TotalEtapas,0)),"")</f>
        <v/>
      </c>
      <c r="E1175" t="str">
        <f>IFERROR(VLOOKUP(tbEscolas[[#This Row],[COD ETPA]],tbEtapas[],2,FALSE),"")</f>
        <v/>
      </c>
      <c r="F1175" t="str">
        <f>IFERROR(VLOOKUP(tbEscolas[[#This Row],[COD ETPA]],tbEtapas[],3,FALSE),"")</f>
        <v/>
      </c>
    </row>
    <row r="1176" spans="1:6" x14ac:dyDescent="0.25">
      <c r="A1176" s="24" t="str">
        <f>_xlfn.XLOOKUP(tbEscolas[[#This Row],[ESCOLA]],tbNucleo[ESCOLA],tbNucleo[COD ESCOLA],"")</f>
        <v/>
      </c>
      <c r="B1176" t="str" cm="1">
        <f t="array" ref="B1176">IFERROR(INDEX(tbNucleo[ESCOLA],ROUNDUP(ROW(B1175)/TotalEtapas,0)),"")</f>
        <v/>
      </c>
      <c r="E1176" t="str">
        <f>IFERROR(VLOOKUP(tbEscolas[[#This Row],[COD ETPA]],tbEtapas[],2,FALSE),"")</f>
        <v/>
      </c>
      <c r="F1176" t="str">
        <f>IFERROR(VLOOKUP(tbEscolas[[#This Row],[COD ETPA]],tbEtapas[],3,FALSE),"")</f>
        <v/>
      </c>
    </row>
    <row r="1177" spans="1:6" x14ac:dyDescent="0.25">
      <c r="A1177" s="24" t="str">
        <f>_xlfn.XLOOKUP(tbEscolas[[#This Row],[ESCOLA]],tbNucleo[ESCOLA],tbNucleo[COD ESCOLA],"")</f>
        <v/>
      </c>
      <c r="B1177" t="str" cm="1">
        <f t="array" ref="B1177">IFERROR(INDEX(tbNucleo[ESCOLA],ROUNDUP(ROW(B1176)/TotalEtapas,0)),"")</f>
        <v/>
      </c>
      <c r="E1177" t="str">
        <f>IFERROR(VLOOKUP(tbEscolas[[#This Row],[COD ETPA]],tbEtapas[],2,FALSE),"")</f>
        <v/>
      </c>
      <c r="F1177" t="str">
        <f>IFERROR(VLOOKUP(tbEscolas[[#This Row],[COD ETPA]],tbEtapas[],3,FALSE),"")</f>
        <v/>
      </c>
    </row>
    <row r="1178" spans="1:6" x14ac:dyDescent="0.25">
      <c r="A1178" s="24" t="str">
        <f>_xlfn.XLOOKUP(tbEscolas[[#This Row],[ESCOLA]],tbNucleo[ESCOLA],tbNucleo[COD ESCOLA],"")</f>
        <v/>
      </c>
      <c r="B1178" t="str" cm="1">
        <f t="array" ref="B1178">IFERROR(INDEX(tbNucleo[ESCOLA],ROUNDUP(ROW(B1177)/TotalEtapas,0)),"")</f>
        <v/>
      </c>
      <c r="E1178" t="str">
        <f>IFERROR(VLOOKUP(tbEscolas[[#This Row],[COD ETPA]],tbEtapas[],2,FALSE),"")</f>
        <v/>
      </c>
      <c r="F1178" t="str">
        <f>IFERROR(VLOOKUP(tbEscolas[[#This Row],[COD ETPA]],tbEtapas[],3,FALSE),"")</f>
        <v/>
      </c>
    </row>
    <row r="1179" spans="1:6" x14ac:dyDescent="0.25">
      <c r="A1179" s="24" t="str">
        <f>_xlfn.XLOOKUP(tbEscolas[[#This Row],[ESCOLA]],tbNucleo[ESCOLA],tbNucleo[COD ESCOLA],"")</f>
        <v/>
      </c>
      <c r="B1179" t="str" cm="1">
        <f t="array" ref="B1179">IFERROR(INDEX(tbNucleo[ESCOLA],ROUNDUP(ROW(B1178)/TotalEtapas,0)),"")</f>
        <v/>
      </c>
      <c r="E1179" t="str">
        <f>IFERROR(VLOOKUP(tbEscolas[[#This Row],[COD ETPA]],tbEtapas[],2,FALSE),"")</f>
        <v/>
      </c>
      <c r="F1179" t="str">
        <f>IFERROR(VLOOKUP(tbEscolas[[#This Row],[COD ETPA]],tbEtapas[],3,FALSE),"")</f>
        <v/>
      </c>
    </row>
    <row r="1180" spans="1:6" x14ac:dyDescent="0.25">
      <c r="A1180" s="24" t="str">
        <f>_xlfn.XLOOKUP(tbEscolas[[#This Row],[ESCOLA]],tbNucleo[ESCOLA],tbNucleo[COD ESCOLA],"")</f>
        <v/>
      </c>
      <c r="B1180" t="str" cm="1">
        <f t="array" ref="B1180">IFERROR(INDEX(tbNucleo[ESCOLA],ROUNDUP(ROW(B1179)/TotalEtapas,0)),"")</f>
        <v/>
      </c>
      <c r="E1180" t="str">
        <f>IFERROR(VLOOKUP(tbEscolas[[#This Row],[COD ETPA]],tbEtapas[],2,FALSE),"")</f>
        <v/>
      </c>
      <c r="F1180" t="str">
        <f>IFERROR(VLOOKUP(tbEscolas[[#This Row],[COD ETPA]],tbEtapas[],3,FALSE),"")</f>
        <v/>
      </c>
    </row>
    <row r="1181" spans="1:6" x14ac:dyDescent="0.25">
      <c r="A1181" s="24" t="str">
        <f>_xlfn.XLOOKUP(tbEscolas[[#This Row],[ESCOLA]],tbNucleo[ESCOLA],tbNucleo[COD ESCOLA],"")</f>
        <v/>
      </c>
      <c r="B1181" t="str" cm="1">
        <f t="array" ref="B1181">IFERROR(INDEX(tbNucleo[ESCOLA],ROUNDUP(ROW(B1180)/TotalEtapas,0)),"")</f>
        <v/>
      </c>
      <c r="E1181" t="str">
        <f>IFERROR(VLOOKUP(tbEscolas[[#This Row],[COD ETPA]],tbEtapas[],2,FALSE),"")</f>
        <v/>
      </c>
      <c r="F1181" t="str">
        <f>IFERROR(VLOOKUP(tbEscolas[[#This Row],[COD ETPA]],tbEtapas[],3,FALSE),"")</f>
        <v/>
      </c>
    </row>
    <row r="1182" spans="1:6" x14ac:dyDescent="0.25">
      <c r="A1182" s="24" t="str">
        <f>_xlfn.XLOOKUP(tbEscolas[[#This Row],[ESCOLA]],tbNucleo[ESCOLA],tbNucleo[COD ESCOLA],"")</f>
        <v/>
      </c>
      <c r="B1182" t="str" cm="1">
        <f t="array" ref="B1182">IFERROR(INDEX(tbNucleo[ESCOLA],ROUNDUP(ROW(B1181)/TotalEtapas,0)),"")</f>
        <v/>
      </c>
      <c r="E1182" t="str">
        <f>IFERROR(VLOOKUP(tbEscolas[[#This Row],[COD ETPA]],tbEtapas[],2,FALSE),"")</f>
        <v/>
      </c>
      <c r="F1182" t="str">
        <f>IFERROR(VLOOKUP(tbEscolas[[#This Row],[COD ETPA]],tbEtapas[],3,FALSE),"")</f>
        <v/>
      </c>
    </row>
    <row r="1183" spans="1:6" x14ac:dyDescent="0.25">
      <c r="A1183" s="24" t="str">
        <f>_xlfn.XLOOKUP(tbEscolas[[#This Row],[ESCOLA]],tbNucleo[ESCOLA],tbNucleo[COD ESCOLA],"")</f>
        <v/>
      </c>
      <c r="B1183" t="str" cm="1">
        <f t="array" ref="B1183">IFERROR(INDEX(tbNucleo[ESCOLA],ROUNDUP(ROW(B1182)/TotalEtapas,0)),"")</f>
        <v/>
      </c>
      <c r="E1183" t="str">
        <f>IFERROR(VLOOKUP(tbEscolas[[#This Row],[COD ETPA]],tbEtapas[],2,FALSE),"")</f>
        <v/>
      </c>
      <c r="F1183" t="str">
        <f>IFERROR(VLOOKUP(tbEscolas[[#This Row],[COD ETPA]],tbEtapas[],3,FALSE),"")</f>
        <v/>
      </c>
    </row>
    <row r="1184" spans="1:6" x14ac:dyDescent="0.25">
      <c r="A1184" s="24" t="str">
        <f>_xlfn.XLOOKUP(tbEscolas[[#This Row],[ESCOLA]],tbNucleo[ESCOLA],tbNucleo[COD ESCOLA],"")</f>
        <v/>
      </c>
      <c r="B1184" t="str" cm="1">
        <f t="array" ref="B1184">IFERROR(INDEX(tbNucleo[ESCOLA],ROUNDUP(ROW(B1183)/TotalEtapas,0)),"")</f>
        <v/>
      </c>
      <c r="E1184" t="str">
        <f>IFERROR(VLOOKUP(tbEscolas[[#This Row],[COD ETPA]],tbEtapas[],2,FALSE),"")</f>
        <v/>
      </c>
      <c r="F1184" t="str">
        <f>IFERROR(VLOOKUP(tbEscolas[[#This Row],[COD ETPA]],tbEtapas[],3,FALSE),"")</f>
        <v/>
      </c>
    </row>
    <row r="1185" spans="1:6" x14ac:dyDescent="0.25">
      <c r="A1185" s="24" t="str">
        <f>_xlfn.XLOOKUP(tbEscolas[[#This Row],[ESCOLA]],tbNucleo[ESCOLA],tbNucleo[COD ESCOLA],"")</f>
        <v/>
      </c>
      <c r="B1185" t="str" cm="1">
        <f t="array" ref="B1185">IFERROR(INDEX(tbNucleo[ESCOLA],ROUNDUP(ROW(B1184)/TotalEtapas,0)),"")</f>
        <v/>
      </c>
      <c r="E1185" t="str">
        <f>IFERROR(VLOOKUP(tbEscolas[[#This Row],[COD ETPA]],tbEtapas[],2,FALSE),"")</f>
        <v/>
      </c>
      <c r="F1185" t="str">
        <f>IFERROR(VLOOKUP(tbEscolas[[#This Row],[COD ETPA]],tbEtapas[],3,FALSE),"")</f>
        <v/>
      </c>
    </row>
    <row r="1186" spans="1:6" x14ac:dyDescent="0.25">
      <c r="A1186" s="24" t="str">
        <f>_xlfn.XLOOKUP(tbEscolas[[#This Row],[ESCOLA]],tbNucleo[ESCOLA],tbNucleo[COD ESCOLA],"")</f>
        <v/>
      </c>
      <c r="B1186" t="str" cm="1">
        <f t="array" ref="B1186">IFERROR(INDEX(tbNucleo[ESCOLA],ROUNDUP(ROW(B1185)/TotalEtapas,0)),"")</f>
        <v/>
      </c>
      <c r="E1186" t="str">
        <f>IFERROR(VLOOKUP(tbEscolas[[#This Row],[COD ETPA]],tbEtapas[],2,FALSE),"")</f>
        <v/>
      </c>
      <c r="F1186" t="str">
        <f>IFERROR(VLOOKUP(tbEscolas[[#This Row],[COD ETPA]],tbEtapas[],3,FALSE),"")</f>
        <v/>
      </c>
    </row>
    <row r="1187" spans="1:6" x14ac:dyDescent="0.25">
      <c r="A1187" s="24" t="str">
        <f>_xlfn.XLOOKUP(tbEscolas[[#This Row],[ESCOLA]],tbNucleo[ESCOLA],tbNucleo[COD ESCOLA],"")</f>
        <v/>
      </c>
      <c r="B1187" t="str" cm="1">
        <f t="array" ref="B1187">IFERROR(INDEX(tbNucleo[ESCOLA],ROUNDUP(ROW(B1186)/TotalEtapas,0)),"")</f>
        <v/>
      </c>
      <c r="E1187" t="str">
        <f>IFERROR(VLOOKUP(tbEscolas[[#This Row],[COD ETPA]],tbEtapas[],2,FALSE),"")</f>
        <v/>
      </c>
      <c r="F1187" t="str">
        <f>IFERROR(VLOOKUP(tbEscolas[[#This Row],[COD ETPA]],tbEtapas[],3,FALSE),"")</f>
        <v/>
      </c>
    </row>
    <row r="1188" spans="1:6" x14ac:dyDescent="0.25">
      <c r="A1188" s="24" t="str">
        <f>_xlfn.XLOOKUP(tbEscolas[[#This Row],[ESCOLA]],tbNucleo[ESCOLA],tbNucleo[COD ESCOLA],"")</f>
        <v/>
      </c>
      <c r="B1188" t="str" cm="1">
        <f t="array" ref="B1188">IFERROR(INDEX(tbNucleo[ESCOLA],ROUNDUP(ROW(B1187)/TotalEtapas,0)),"")</f>
        <v/>
      </c>
      <c r="E1188" t="str">
        <f>IFERROR(VLOOKUP(tbEscolas[[#This Row],[COD ETPA]],tbEtapas[],2,FALSE),"")</f>
        <v/>
      </c>
      <c r="F1188" t="str">
        <f>IFERROR(VLOOKUP(tbEscolas[[#This Row],[COD ETPA]],tbEtapas[],3,FALSE),"")</f>
        <v/>
      </c>
    </row>
    <row r="1189" spans="1:6" x14ac:dyDescent="0.25">
      <c r="A1189" s="24" t="str">
        <f>_xlfn.XLOOKUP(tbEscolas[[#This Row],[ESCOLA]],tbNucleo[ESCOLA],tbNucleo[COD ESCOLA],"")</f>
        <v/>
      </c>
      <c r="B1189" t="str" cm="1">
        <f t="array" ref="B1189">IFERROR(INDEX(tbNucleo[ESCOLA],ROUNDUP(ROW(B1188)/TotalEtapas,0)),"")</f>
        <v/>
      </c>
      <c r="E1189" t="str">
        <f>IFERROR(VLOOKUP(tbEscolas[[#This Row],[COD ETPA]],tbEtapas[],2,FALSE),"")</f>
        <v/>
      </c>
      <c r="F1189" t="str">
        <f>IFERROR(VLOOKUP(tbEscolas[[#This Row],[COD ETPA]],tbEtapas[],3,FALSE),"")</f>
        <v/>
      </c>
    </row>
    <row r="1190" spans="1:6" x14ac:dyDescent="0.25">
      <c r="A1190" s="24" t="str">
        <f>_xlfn.XLOOKUP(tbEscolas[[#This Row],[ESCOLA]],tbNucleo[ESCOLA],tbNucleo[COD ESCOLA],"")</f>
        <v/>
      </c>
      <c r="B1190" t="str" cm="1">
        <f t="array" ref="B1190">IFERROR(INDEX(tbNucleo[ESCOLA],ROUNDUP(ROW(B1189)/TotalEtapas,0)),"")</f>
        <v/>
      </c>
      <c r="E1190" t="str">
        <f>IFERROR(VLOOKUP(tbEscolas[[#This Row],[COD ETPA]],tbEtapas[],2,FALSE),"")</f>
        <v/>
      </c>
      <c r="F1190" t="str">
        <f>IFERROR(VLOOKUP(tbEscolas[[#This Row],[COD ETPA]],tbEtapas[],3,FALSE),"")</f>
        <v/>
      </c>
    </row>
    <row r="1191" spans="1:6" x14ac:dyDescent="0.25">
      <c r="A1191" s="24" t="str">
        <f>_xlfn.XLOOKUP(tbEscolas[[#This Row],[ESCOLA]],tbNucleo[ESCOLA],tbNucleo[COD ESCOLA],"")</f>
        <v/>
      </c>
      <c r="B1191" t="str" cm="1">
        <f t="array" ref="B1191">IFERROR(INDEX(tbNucleo[ESCOLA],ROUNDUP(ROW(B1190)/TotalEtapas,0)),"")</f>
        <v/>
      </c>
      <c r="E1191" t="str">
        <f>IFERROR(VLOOKUP(tbEscolas[[#This Row],[COD ETPA]],tbEtapas[],2,FALSE),"")</f>
        <v/>
      </c>
      <c r="F1191" t="str">
        <f>IFERROR(VLOOKUP(tbEscolas[[#This Row],[COD ETPA]],tbEtapas[],3,FALSE),"")</f>
        <v/>
      </c>
    </row>
    <row r="1192" spans="1:6" x14ac:dyDescent="0.25">
      <c r="A1192" s="24" t="str">
        <f>_xlfn.XLOOKUP(tbEscolas[[#This Row],[ESCOLA]],tbNucleo[ESCOLA],tbNucleo[COD ESCOLA],"")</f>
        <v/>
      </c>
      <c r="B1192" t="str" cm="1">
        <f t="array" ref="B1192">IFERROR(INDEX(tbNucleo[ESCOLA],ROUNDUP(ROW(B1191)/TotalEtapas,0)),"")</f>
        <v/>
      </c>
      <c r="E1192" t="str">
        <f>IFERROR(VLOOKUP(tbEscolas[[#This Row],[COD ETPA]],tbEtapas[],2,FALSE),"")</f>
        <v/>
      </c>
      <c r="F1192" t="str">
        <f>IFERROR(VLOOKUP(tbEscolas[[#This Row],[COD ETPA]],tbEtapas[],3,FALSE),"")</f>
        <v/>
      </c>
    </row>
    <row r="1193" spans="1:6" x14ac:dyDescent="0.25">
      <c r="A1193" s="24" t="str">
        <f>_xlfn.XLOOKUP(tbEscolas[[#This Row],[ESCOLA]],tbNucleo[ESCOLA],tbNucleo[COD ESCOLA],"")</f>
        <v/>
      </c>
      <c r="B1193" t="str" cm="1">
        <f t="array" ref="B1193">IFERROR(INDEX(tbNucleo[ESCOLA],ROUNDUP(ROW(B1192)/TotalEtapas,0)),"")</f>
        <v/>
      </c>
      <c r="E1193" t="str">
        <f>IFERROR(VLOOKUP(tbEscolas[[#This Row],[COD ETPA]],tbEtapas[],2,FALSE),"")</f>
        <v/>
      </c>
      <c r="F1193" t="str">
        <f>IFERROR(VLOOKUP(tbEscolas[[#This Row],[COD ETPA]],tbEtapas[],3,FALSE),"")</f>
        <v/>
      </c>
    </row>
    <row r="1194" spans="1:6" x14ac:dyDescent="0.25">
      <c r="A1194" s="24" t="str">
        <f>_xlfn.XLOOKUP(tbEscolas[[#This Row],[ESCOLA]],tbNucleo[ESCOLA],tbNucleo[COD ESCOLA],"")</f>
        <v/>
      </c>
      <c r="B1194" t="str" cm="1">
        <f t="array" ref="B1194">IFERROR(INDEX(tbNucleo[ESCOLA],ROUNDUP(ROW(B1193)/TotalEtapas,0)),"")</f>
        <v/>
      </c>
      <c r="E1194" t="str">
        <f>IFERROR(VLOOKUP(tbEscolas[[#This Row],[COD ETPA]],tbEtapas[],2,FALSE),"")</f>
        <v/>
      </c>
      <c r="F1194" t="str">
        <f>IFERROR(VLOOKUP(tbEscolas[[#This Row],[COD ETPA]],tbEtapas[],3,FALSE),"")</f>
        <v/>
      </c>
    </row>
    <row r="1195" spans="1:6" x14ac:dyDescent="0.25">
      <c r="A1195" s="24" t="str">
        <f>_xlfn.XLOOKUP(tbEscolas[[#This Row],[ESCOLA]],tbNucleo[ESCOLA],tbNucleo[COD ESCOLA],"")</f>
        <v/>
      </c>
      <c r="B1195" t="str" cm="1">
        <f t="array" ref="B1195">IFERROR(INDEX(tbNucleo[ESCOLA],ROUNDUP(ROW(B1194)/TotalEtapas,0)),"")</f>
        <v/>
      </c>
      <c r="E1195" t="str">
        <f>IFERROR(VLOOKUP(tbEscolas[[#This Row],[COD ETPA]],tbEtapas[],2,FALSE),"")</f>
        <v/>
      </c>
      <c r="F1195" t="str">
        <f>IFERROR(VLOOKUP(tbEscolas[[#This Row],[COD ETPA]],tbEtapas[],3,FALSE),"")</f>
        <v/>
      </c>
    </row>
    <row r="1196" spans="1:6" x14ac:dyDescent="0.25">
      <c r="A1196" s="24" t="str">
        <f>_xlfn.XLOOKUP(tbEscolas[[#This Row],[ESCOLA]],tbNucleo[ESCOLA],tbNucleo[COD ESCOLA],"")</f>
        <v/>
      </c>
      <c r="B1196" t="str" cm="1">
        <f t="array" ref="B1196">IFERROR(INDEX(tbNucleo[ESCOLA],ROUNDUP(ROW(B1195)/TotalEtapas,0)),"")</f>
        <v/>
      </c>
      <c r="E1196" t="str">
        <f>IFERROR(VLOOKUP(tbEscolas[[#This Row],[COD ETPA]],tbEtapas[],2,FALSE),"")</f>
        <v/>
      </c>
      <c r="F1196" t="str">
        <f>IFERROR(VLOOKUP(tbEscolas[[#This Row],[COD ETPA]],tbEtapas[],3,FALSE),"")</f>
        <v/>
      </c>
    </row>
    <row r="1197" spans="1:6" x14ac:dyDescent="0.25">
      <c r="A1197" s="24" t="str">
        <f>_xlfn.XLOOKUP(tbEscolas[[#This Row],[ESCOLA]],tbNucleo[ESCOLA],tbNucleo[COD ESCOLA],"")</f>
        <v/>
      </c>
      <c r="B1197" t="str" cm="1">
        <f t="array" ref="B1197">IFERROR(INDEX(tbNucleo[ESCOLA],ROUNDUP(ROW(B1196)/TotalEtapas,0)),"")</f>
        <v/>
      </c>
      <c r="E1197" t="str">
        <f>IFERROR(VLOOKUP(tbEscolas[[#This Row],[COD ETPA]],tbEtapas[],2,FALSE),"")</f>
        <v/>
      </c>
      <c r="F1197" t="str">
        <f>IFERROR(VLOOKUP(tbEscolas[[#This Row],[COD ETPA]],tbEtapas[],3,FALSE),"")</f>
        <v/>
      </c>
    </row>
    <row r="1198" spans="1:6" x14ac:dyDescent="0.25">
      <c r="A1198" s="24" t="str">
        <f>_xlfn.XLOOKUP(tbEscolas[[#This Row],[ESCOLA]],tbNucleo[ESCOLA],tbNucleo[COD ESCOLA],"")</f>
        <v/>
      </c>
      <c r="B1198" t="str" cm="1">
        <f t="array" ref="B1198">IFERROR(INDEX(tbNucleo[ESCOLA],ROUNDUP(ROW(B1197)/TotalEtapas,0)),"")</f>
        <v/>
      </c>
      <c r="E1198" t="str">
        <f>IFERROR(VLOOKUP(tbEscolas[[#This Row],[COD ETPA]],tbEtapas[],2,FALSE),"")</f>
        <v/>
      </c>
      <c r="F1198" t="str">
        <f>IFERROR(VLOOKUP(tbEscolas[[#This Row],[COD ETPA]],tbEtapas[],3,FALSE),"")</f>
        <v/>
      </c>
    </row>
    <row r="1199" spans="1:6" x14ac:dyDescent="0.25">
      <c r="A1199" s="24" t="str">
        <f>_xlfn.XLOOKUP(tbEscolas[[#This Row],[ESCOLA]],tbNucleo[ESCOLA],tbNucleo[COD ESCOLA],"")</f>
        <v/>
      </c>
      <c r="B1199" t="str" cm="1">
        <f t="array" ref="B1199">IFERROR(INDEX(tbNucleo[ESCOLA],ROUNDUP(ROW(B1198)/TotalEtapas,0)),"")</f>
        <v/>
      </c>
      <c r="E1199" t="str">
        <f>IFERROR(VLOOKUP(tbEscolas[[#This Row],[COD ETPA]],tbEtapas[],2,FALSE),"")</f>
        <v/>
      </c>
      <c r="F1199" t="str">
        <f>IFERROR(VLOOKUP(tbEscolas[[#This Row],[COD ETPA]],tbEtapas[],3,FALSE),"")</f>
        <v/>
      </c>
    </row>
    <row r="1200" spans="1:6" x14ac:dyDescent="0.25">
      <c r="A1200" s="24" t="str">
        <f>_xlfn.XLOOKUP(tbEscolas[[#This Row],[ESCOLA]],tbNucleo[ESCOLA],tbNucleo[COD ESCOLA],"")</f>
        <v/>
      </c>
      <c r="B1200" t="str" cm="1">
        <f t="array" ref="B1200">IFERROR(INDEX(tbNucleo[ESCOLA],ROUNDUP(ROW(B1199)/TotalEtapas,0)),"")</f>
        <v/>
      </c>
      <c r="E1200" t="str">
        <f>IFERROR(VLOOKUP(tbEscolas[[#This Row],[COD ETPA]],tbEtapas[],2,FALSE),"")</f>
        <v/>
      </c>
      <c r="F1200" t="str">
        <f>IFERROR(VLOOKUP(tbEscolas[[#This Row],[COD ETPA]],tbEtapas[],3,FALSE),"")</f>
        <v/>
      </c>
    </row>
    <row r="1201" spans="1:6" x14ac:dyDescent="0.25">
      <c r="A1201" s="24" t="str">
        <f>_xlfn.XLOOKUP(tbEscolas[[#This Row],[ESCOLA]],tbNucleo[ESCOLA],tbNucleo[COD ESCOLA],"")</f>
        <v/>
      </c>
      <c r="B1201" t="str" cm="1">
        <f t="array" ref="B1201">IFERROR(INDEX(tbNucleo[ESCOLA],ROUNDUP(ROW(B1200)/TotalEtapas,0)),"")</f>
        <v/>
      </c>
      <c r="E1201" t="str">
        <f>IFERROR(VLOOKUP(tbEscolas[[#This Row],[COD ETPA]],tbEtapas[],2,FALSE),"")</f>
        <v/>
      </c>
      <c r="F1201" t="str">
        <f>IFERROR(VLOOKUP(tbEscolas[[#This Row],[COD ETPA]],tbEtapas[],3,FALSE),"")</f>
        <v/>
      </c>
    </row>
    <row r="1202" spans="1:6" x14ac:dyDescent="0.25">
      <c r="A1202" s="24" t="str">
        <f>_xlfn.XLOOKUP(tbEscolas[[#This Row],[ESCOLA]],tbNucleo[ESCOLA],tbNucleo[COD ESCOLA],"")</f>
        <v/>
      </c>
      <c r="B1202" t="str" cm="1">
        <f t="array" ref="B1202">IFERROR(INDEX(tbNucleo[ESCOLA],ROUNDUP(ROW(B1201)/TotalEtapas,0)),"")</f>
        <v/>
      </c>
      <c r="E1202" t="str">
        <f>IFERROR(VLOOKUP(tbEscolas[[#This Row],[COD ETPA]],tbEtapas[],2,FALSE),"")</f>
        <v/>
      </c>
      <c r="F1202" t="str">
        <f>IFERROR(VLOOKUP(tbEscolas[[#This Row],[COD ETPA]],tbEtapas[],3,FALSE),"")</f>
        <v/>
      </c>
    </row>
    <row r="1203" spans="1:6" x14ac:dyDescent="0.25">
      <c r="A1203" s="24" t="str">
        <f>_xlfn.XLOOKUP(tbEscolas[[#This Row],[ESCOLA]],tbNucleo[ESCOLA],tbNucleo[COD ESCOLA],"")</f>
        <v/>
      </c>
      <c r="B1203" t="str" cm="1">
        <f t="array" ref="B1203">IFERROR(INDEX(tbNucleo[ESCOLA],ROUNDUP(ROW(B1202)/TotalEtapas,0)),"")</f>
        <v/>
      </c>
      <c r="E1203" t="str">
        <f>IFERROR(VLOOKUP(tbEscolas[[#This Row],[COD ETPA]],tbEtapas[],2,FALSE),"")</f>
        <v/>
      </c>
      <c r="F1203" t="str">
        <f>IFERROR(VLOOKUP(tbEscolas[[#This Row],[COD ETPA]],tbEtapas[],3,FALSE),"")</f>
        <v/>
      </c>
    </row>
    <row r="1204" spans="1:6" x14ac:dyDescent="0.25">
      <c r="A1204" s="24" t="str">
        <f>_xlfn.XLOOKUP(tbEscolas[[#This Row],[ESCOLA]],tbNucleo[ESCOLA],tbNucleo[COD ESCOLA],"")</f>
        <v/>
      </c>
      <c r="B1204" t="str" cm="1">
        <f t="array" ref="B1204">IFERROR(INDEX(tbNucleo[ESCOLA],ROUNDUP(ROW(B1203)/TotalEtapas,0)),"")</f>
        <v/>
      </c>
      <c r="E1204" t="str">
        <f>IFERROR(VLOOKUP(tbEscolas[[#This Row],[COD ETPA]],tbEtapas[],2,FALSE),"")</f>
        <v/>
      </c>
      <c r="F1204" t="str">
        <f>IFERROR(VLOOKUP(tbEscolas[[#This Row],[COD ETPA]],tbEtapas[],3,FALSE),"")</f>
        <v/>
      </c>
    </row>
    <row r="1205" spans="1:6" x14ac:dyDescent="0.25">
      <c r="A1205" s="24" t="str">
        <f>_xlfn.XLOOKUP(tbEscolas[[#This Row],[ESCOLA]],tbNucleo[ESCOLA],tbNucleo[COD ESCOLA],"")</f>
        <v/>
      </c>
      <c r="B1205" t="str" cm="1">
        <f t="array" ref="B1205">IFERROR(INDEX(tbNucleo[ESCOLA],ROUNDUP(ROW(B1204)/TotalEtapas,0)),"")</f>
        <v/>
      </c>
      <c r="E1205" t="str">
        <f>IFERROR(VLOOKUP(tbEscolas[[#This Row],[COD ETPA]],tbEtapas[],2,FALSE),"")</f>
        <v/>
      </c>
      <c r="F1205" t="str">
        <f>IFERROR(VLOOKUP(tbEscolas[[#This Row],[COD ETPA]],tbEtapas[],3,FALSE),"")</f>
        <v/>
      </c>
    </row>
    <row r="1206" spans="1:6" x14ac:dyDescent="0.25">
      <c r="A1206" s="24" t="str">
        <f>_xlfn.XLOOKUP(tbEscolas[[#This Row],[ESCOLA]],tbNucleo[ESCOLA],tbNucleo[COD ESCOLA],"")</f>
        <v/>
      </c>
      <c r="B1206" t="str" cm="1">
        <f t="array" ref="B1206">IFERROR(INDEX(tbNucleo[ESCOLA],ROUNDUP(ROW(B1205)/TotalEtapas,0)),"")</f>
        <v/>
      </c>
      <c r="E1206" t="str">
        <f>IFERROR(VLOOKUP(tbEscolas[[#This Row],[COD ETPA]],tbEtapas[],2,FALSE),"")</f>
        <v/>
      </c>
      <c r="F1206" t="str">
        <f>IFERROR(VLOOKUP(tbEscolas[[#This Row],[COD ETPA]],tbEtapas[],3,FALSE),"")</f>
        <v/>
      </c>
    </row>
    <row r="1207" spans="1:6" x14ac:dyDescent="0.25">
      <c r="A1207" s="24" t="str">
        <f>_xlfn.XLOOKUP(tbEscolas[[#This Row],[ESCOLA]],tbNucleo[ESCOLA],tbNucleo[COD ESCOLA],"")</f>
        <v/>
      </c>
      <c r="B1207" t="str" cm="1">
        <f t="array" ref="B1207">IFERROR(INDEX(tbNucleo[ESCOLA],ROUNDUP(ROW(B1206)/TotalEtapas,0)),"")</f>
        <v/>
      </c>
      <c r="E1207" t="str">
        <f>IFERROR(VLOOKUP(tbEscolas[[#This Row],[COD ETPA]],tbEtapas[],2,FALSE),"")</f>
        <v/>
      </c>
      <c r="F1207" t="str">
        <f>IFERROR(VLOOKUP(tbEscolas[[#This Row],[COD ETPA]],tbEtapas[],3,FALSE),"")</f>
        <v/>
      </c>
    </row>
    <row r="1208" spans="1:6" x14ac:dyDescent="0.25">
      <c r="A1208" s="24" t="str">
        <f>_xlfn.XLOOKUP(tbEscolas[[#This Row],[ESCOLA]],tbNucleo[ESCOLA],tbNucleo[COD ESCOLA],"")</f>
        <v/>
      </c>
      <c r="B1208" t="str" cm="1">
        <f t="array" ref="B1208">IFERROR(INDEX(tbNucleo[ESCOLA],ROUNDUP(ROW(B1207)/TotalEtapas,0)),"")</f>
        <v/>
      </c>
      <c r="E1208" t="str">
        <f>IFERROR(VLOOKUP(tbEscolas[[#This Row],[COD ETPA]],tbEtapas[],2,FALSE),"")</f>
        <v/>
      </c>
      <c r="F1208" t="str">
        <f>IFERROR(VLOOKUP(tbEscolas[[#This Row],[COD ETPA]],tbEtapas[],3,FALSE),"")</f>
        <v/>
      </c>
    </row>
    <row r="1209" spans="1:6" x14ac:dyDescent="0.25">
      <c r="A1209" s="24" t="str">
        <f>_xlfn.XLOOKUP(tbEscolas[[#This Row],[ESCOLA]],tbNucleo[ESCOLA],tbNucleo[COD ESCOLA],"")</f>
        <v/>
      </c>
      <c r="B1209" t="str" cm="1">
        <f t="array" ref="B1209">IFERROR(INDEX(tbNucleo[ESCOLA],ROUNDUP(ROW(B1208)/TotalEtapas,0)),"")</f>
        <v/>
      </c>
      <c r="E1209" t="str">
        <f>IFERROR(VLOOKUP(tbEscolas[[#This Row],[COD ETPA]],tbEtapas[],2,FALSE),"")</f>
        <v/>
      </c>
      <c r="F1209" t="str">
        <f>IFERROR(VLOOKUP(tbEscolas[[#This Row],[COD ETPA]],tbEtapas[],3,FALSE),"")</f>
        <v/>
      </c>
    </row>
    <row r="1210" spans="1:6" x14ac:dyDescent="0.25">
      <c r="A1210" s="24" t="str">
        <f>_xlfn.XLOOKUP(tbEscolas[[#This Row],[ESCOLA]],tbNucleo[ESCOLA],tbNucleo[COD ESCOLA],"")</f>
        <v/>
      </c>
      <c r="B1210" t="str" cm="1">
        <f t="array" ref="B1210">IFERROR(INDEX(tbNucleo[ESCOLA],ROUNDUP(ROW(B1209)/TotalEtapas,0)),"")</f>
        <v/>
      </c>
      <c r="E1210" t="str">
        <f>IFERROR(VLOOKUP(tbEscolas[[#This Row],[COD ETPA]],tbEtapas[],2,FALSE),"")</f>
        <v/>
      </c>
      <c r="F1210" t="str">
        <f>IFERROR(VLOOKUP(tbEscolas[[#This Row],[COD ETPA]],tbEtapas[],3,FALSE),"")</f>
        <v/>
      </c>
    </row>
    <row r="1211" spans="1:6" x14ac:dyDescent="0.25">
      <c r="A1211" s="24" t="str">
        <f>_xlfn.XLOOKUP(tbEscolas[[#This Row],[ESCOLA]],tbNucleo[ESCOLA],tbNucleo[COD ESCOLA],"")</f>
        <v/>
      </c>
      <c r="B1211" t="str" cm="1">
        <f t="array" ref="B1211">IFERROR(INDEX(tbNucleo[ESCOLA],ROUNDUP(ROW(B1210)/TotalEtapas,0)),"")</f>
        <v/>
      </c>
      <c r="E1211" t="str">
        <f>IFERROR(VLOOKUP(tbEscolas[[#This Row],[COD ETPA]],tbEtapas[],2,FALSE),"")</f>
        <v/>
      </c>
      <c r="F1211" t="str">
        <f>IFERROR(VLOOKUP(tbEscolas[[#This Row],[COD ETPA]],tbEtapas[],3,FALSE),"")</f>
        <v/>
      </c>
    </row>
    <row r="1212" spans="1:6" x14ac:dyDescent="0.25">
      <c r="A1212" s="24" t="str">
        <f>_xlfn.XLOOKUP(tbEscolas[[#This Row],[ESCOLA]],tbNucleo[ESCOLA],tbNucleo[COD ESCOLA],"")</f>
        <v/>
      </c>
      <c r="B1212" t="str" cm="1">
        <f t="array" ref="B1212">IFERROR(INDEX(tbNucleo[ESCOLA],ROUNDUP(ROW(B1211)/TotalEtapas,0)),"")</f>
        <v/>
      </c>
      <c r="E1212" t="str">
        <f>IFERROR(VLOOKUP(tbEscolas[[#This Row],[COD ETPA]],tbEtapas[],2,FALSE),"")</f>
        <v/>
      </c>
      <c r="F1212" t="str">
        <f>IFERROR(VLOOKUP(tbEscolas[[#This Row],[COD ETPA]],tbEtapas[],3,FALSE),"")</f>
        <v/>
      </c>
    </row>
    <row r="1213" spans="1:6" x14ac:dyDescent="0.25">
      <c r="A1213" s="24" t="str">
        <f>_xlfn.XLOOKUP(tbEscolas[[#This Row],[ESCOLA]],tbNucleo[ESCOLA],tbNucleo[COD ESCOLA],"")</f>
        <v/>
      </c>
      <c r="B1213" t="str" cm="1">
        <f t="array" ref="B1213">IFERROR(INDEX(tbNucleo[ESCOLA],ROUNDUP(ROW(B1212)/TotalEtapas,0)),"")</f>
        <v/>
      </c>
      <c r="E1213" t="str">
        <f>IFERROR(VLOOKUP(tbEscolas[[#This Row],[COD ETPA]],tbEtapas[],2,FALSE),"")</f>
        <v/>
      </c>
      <c r="F1213" t="str">
        <f>IFERROR(VLOOKUP(tbEscolas[[#This Row],[COD ETPA]],tbEtapas[],3,FALSE),"")</f>
        <v/>
      </c>
    </row>
    <row r="1214" spans="1:6" x14ac:dyDescent="0.25">
      <c r="A1214" s="24" t="str">
        <f>_xlfn.XLOOKUP(tbEscolas[[#This Row],[ESCOLA]],tbNucleo[ESCOLA],tbNucleo[COD ESCOLA],"")</f>
        <v/>
      </c>
      <c r="B1214" t="str" cm="1">
        <f t="array" ref="B1214">IFERROR(INDEX(tbNucleo[ESCOLA],ROUNDUP(ROW(B1213)/TotalEtapas,0)),"")</f>
        <v/>
      </c>
      <c r="E1214" t="str">
        <f>IFERROR(VLOOKUP(tbEscolas[[#This Row],[COD ETPA]],tbEtapas[],2,FALSE),"")</f>
        <v/>
      </c>
      <c r="F1214" t="str">
        <f>IFERROR(VLOOKUP(tbEscolas[[#This Row],[COD ETPA]],tbEtapas[],3,FALSE),"")</f>
        <v/>
      </c>
    </row>
    <row r="1215" spans="1:6" x14ac:dyDescent="0.25">
      <c r="A1215" s="24" t="str">
        <f>_xlfn.XLOOKUP(tbEscolas[[#This Row],[ESCOLA]],tbNucleo[ESCOLA],tbNucleo[COD ESCOLA],"")</f>
        <v/>
      </c>
      <c r="B1215" t="str" cm="1">
        <f t="array" ref="B1215">IFERROR(INDEX(tbNucleo[ESCOLA],ROUNDUP(ROW(B1214)/TotalEtapas,0)),"")</f>
        <v/>
      </c>
      <c r="E1215" t="str">
        <f>IFERROR(VLOOKUP(tbEscolas[[#This Row],[COD ETPA]],tbEtapas[],2,FALSE),"")</f>
        <v/>
      </c>
      <c r="F1215" t="str">
        <f>IFERROR(VLOOKUP(tbEscolas[[#This Row],[COD ETPA]],tbEtapas[],3,FALSE),"")</f>
        <v/>
      </c>
    </row>
    <row r="1216" spans="1:6" x14ac:dyDescent="0.25">
      <c r="A1216" s="24" t="str">
        <f>_xlfn.XLOOKUP(tbEscolas[[#This Row],[ESCOLA]],tbNucleo[ESCOLA],tbNucleo[COD ESCOLA],"")</f>
        <v/>
      </c>
      <c r="B1216" t="str" cm="1">
        <f t="array" ref="B1216">IFERROR(INDEX(tbNucleo[ESCOLA],ROUNDUP(ROW(B1215)/TotalEtapas,0)),"")</f>
        <v/>
      </c>
      <c r="E1216" t="str">
        <f>IFERROR(VLOOKUP(tbEscolas[[#This Row],[COD ETPA]],tbEtapas[],2,FALSE),"")</f>
        <v/>
      </c>
      <c r="F1216" t="str">
        <f>IFERROR(VLOOKUP(tbEscolas[[#This Row],[COD ETPA]],tbEtapas[],3,FALSE),"")</f>
        <v/>
      </c>
    </row>
    <row r="1217" spans="1:6" x14ac:dyDescent="0.25">
      <c r="A1217" s="24" t="str">
        <f>_xlfn.XLOOKUP(tbEscolas[[#This Row],[ESCOLA]],tbNucleo[ESCOLA],tbNucleo[COD ESCOLA],"")</f>
        <v/>
      </c>
      <c r="B1217" t="str" cm="1">
        <f t="array" ref="B1217">IFERROR(INDEX(tbNucleo[ESCOLA],ROUNDUP(ROW(B1216)/TotalEtapas,0)),"")</f>
        <v/>
      </c>
      <c r="E1217" t="str">
        <f>IFERROR(VLOOKUP(tbEscolas[[#This Row],[COD ETPA]],tbEtapas[],2,FALSE),"")</f>
        <v/>
      </c>
      <c r="F1217" t="str">
        <f>IFERROR(VLOOKUP(tbEscolas[[#This Row],[COD ETPA]],tbEtapas[],3,FALSE),"")</f>
        <v/>
      </c>
    </row>
    <row r="1218" spans="1:6" x14ac:dyDescent="0.25">
      <c r="A1218" s="24" t="str">
        <f>_xlfn.XLOOKUP(tbEscolas[[#This Row],[ESCOLA]],tbNucleo[ESCOLA],tbNucleo[COD ESCOLA],"")</f>
        <v/>
      </c>
      <c r="B1218" t="str" cm="1">
        <f t="array" ref="B1218">IFERROR(INDEX(tbNucleo[ESCOLA],ROUNDUP(ROW(B1217)/TotalEtapas,0)),"")</f>
        <v/>
      </c>
      <c r="E1218" t="str">
        <f>IFERROR(VLOOKUP(tbEscolas[[#This Row],[COD ETPA]],tbEtapas[],2,FALSE),"")</f>
        <v/>
      </c>
      <c r="F1218" t="str">
        <f>IFERROR(VLOOKUP(tbEscolas[[#This Row],[COD ETPA]],tbEtapas[],3,FALSE),"")</f>
        <v/>
      </c>
    </row>
    <row r="1219" spans="1:6" x14ac:dyDescent="0.25">
      <c r="A1219" s="24" t="str">
        <f>_xlfn.XLOOKUP(tbEscolas[[#This Row],[ESCOLA]],tbNucleo[ESCOLA],tbNucleo[COD ESCOLA],"")</f>
        <v/>
      </c>
      <c r="B1219" t="str" cm="1">
        <f t="array" ref="B1219">IFERROR(INDEX(tbNucleo[ESCOLA],ROUNDUP(ROW(B1218)/TotalEtapas,0)),"")</f>
        <v/>
      </c>
      <c r="E1219" t="str">
        <f>IFERROR(VLOOKUP(tbEscolas[[#This Row],[COD ETPA]],tbEtapas[],2,FALSE),"")</f>
        <v/>
      </c>
      <c r="F1219" t="str">
        <f>IFERROR(VLOOKUP(tbEscolas[[#This Row],[COD ETPA]],tbEtapas[],3,FALSE),"")</f>
        <v/>
      </c>
    </row>
    <row r="1220" spans="1:6" x14ac:dyDescent="0.25">
      <c r="A1220" s="24" t="str">
        <f>_xlfn.XLOOKUP(tbEscolas[[#This Row],[ESCOLA]],tbNucleo[ESCOLA],tbNucleo[COD ESCOLA],"")</f>
        <v/>
      </c>
      <c r="B1220" t="str" cm="1">
        <f t="array" ref="B1220">IFERROR(INDEX(tbNucleo[ESCOLA],ROUNDUP(ROW(B1219)/TotalEtapas,0)),"")</f>
        <v/>
      </c>
      <c r="E1220" t="str">
        <f>IFERROR(VLOOKUP(tbEscolas[[#This Row],[COD ETPA]],tbEtapas[],2,FALSE),"")</f>
        <v/>
      </c>
      <c r="F1220" t="str">
        <f>IFERROR(VLOOKUP(tbEscolas[[#This Row],[COD ETPA]],tbEtapas[],3,FALSE),"")</f>
        <v/>
      </c>
    </row>
    <row r="1221" spans="1:6" x14ac:dyDescent="0.25">
      <c r="A1221" s="24" t="str">
        <f>_xlfn.XLOOKUP(tbEscolas[[#This Row],[ESCOLA]],tbNucleo[ESCOLA],tbNucleo[COD ESCOLA],"")</f>
        <v/>
      </c>
      <c r="B1221" t="str" cm="1">
        <f t="array" ref="B1221">IFERROR(INDEX(tbNucleo[ESCOLA],ROUNDUP(ROW(B1220)/TotalEtapas,0)),"")</f>
        <v/>
      </c>
      <c r="E1221" t="str">
        <f>IFERROR(VLOOKUP(tbEscolas[[#This Row],[COD ETPA]],tbEtapas[],2,FALSE),"")</f>
        <v/>
      </c>
      <c r="F1221" t="str">
        <f>IFERROR(VLOOKUP(tbEscolas[[#This Row],[COD ETPA]],tbEtapas[],3,FALSE),"")</f>
        <v/>
      </c>
    </row>
    <row r="1222" spans="1:6" x14ac:dyDescent="0.25">
      <c r="A1222" s="24" t="str">
        <f>_xlfn.XLOOKUP(tbEscolas[[#This Row],[ESCOLA]],tbNucleo[ESCOLA],tbNucleo[COD ESCOLA],"")</f>
        <v/>
      </c>
      <c r="B1222" t="str" cm="1">
        <f t="array" ref="B1222">IFERROR(INDEX(tbNucleo[ESCOLA],ROUNDUP(ROW(B1221)/TotalEtapas,0)),"")</f>
        <v/>
      </c>
      <c r="E1222" t="str">
        <f>IFERROR(VLOOKUP(tbEscolas[[#This Row],[COD ETPA]],tbEtapas[],2,FALSE),"")</f>
        <v/>
      </c>
      <c r="F1222" t="str">
        <f>IFERROR(VLOOKUP(tbEscolas[[#This Row],[COD ETPA]],tbEtapas[],3,FALSE),"")</f>
        <v/>
      </c>
    </row>
    <row r="1223" spans="1:6" x14ac:dyDescent="0.25">
      <c r="A1223" s="24" t="str">
        <f>_xlfn.XLOOKUP(tbEscolas[[#This Row],[ESCOLA]],tbNucleo[ESCOLA],tbNucleo[COD ESCOLA],"")</f>
        <v/>
      </c>
      <c r="B1223" t="str" cm="1">
        <f t="array" ref="B1223">IFERROR(INDEX(tbNucleo[ESCOLA],ROUNDUP(ROW(B1222)/TotalEtapas,0)),"")</f>
        <v/>
      </c>
      <c r="E1223" t="str">
        <f>IFERROR(VLOOKUP(tbEscolas[[#This Row],[COD ETPA]],tbEtapas[],2,FALSE),"")</f>
        <v/>
      </c>
      <c r="F1223" t="str">
        <f>IFERROR(VLOOKUP(tbEscolas[[#This Row],[COD ETPA]],tbEtapas[],3,FALSE),"")</f>
        <v/>
      </c>
    </row>
    <row r="1224" spans="1:6" x14ac:dyDescent="0.25">
      <c r="A1224" s="24" t="str">
        <f>_xlfn.XLOOKUP(tbEscolas[[#This Row],[ESCOLA]],tbNucleo[ESCOLA],tbNucleo[COD ESCOLA],"")</f>
        <v/>
      </c>
      <c r="B1224" t="str" cm="1">
        <f t="array" ref="B1224">IFERROR(INDEX(tbNucleo[ESCOLA],ROUNDUP(ROW(B1223)/TotalEtapas,0)),"")</f>
        <v/>
      </c>
      <c r="E1224" t="str">
        <f>IFERROR(VLOOKUP(tbEscolas[[#This Row],[COD ETPA]],tbEtapas[],2,FALSE),"")</f>
        <v/>
      </c>
      <c r="F1224" t="str">
        <f>IFERROR(VLOOKUP(tbEscolas[[#This Row],[COD ETPA]],tbEtapas[],3,FALSE),"")</f>
        <v/>
      </c>
    </row>
    <row r="1225" spans="1:6" x14ac:dyDescent="0.25">
      <c r="A1225" s="24" t="str">
        <f>_xlfn.XLOOKUP(tbEscolas[[#This Row],[ESCOLA]],tbNucleo[ESCOLA],tbNucleo[COD ESCOLA],"")</f>
        <v/>
      </c>
      <c r="B1225" t="str" cm="1">
        <f t="array" ref="B1225">IFERROR(INDEX(tbNucleo[ESCOLA],ROUNDUP(ROW(B1224)/TotalEtapas,0)),"")</f>
        <v/>
      </c>
      <c r="E1225" t="str">
        <f>IFERROR(VLOOKUP(tbEscolas[[#This Row],[COD ETPA]],tbEtapas[],2,FALSE),"")</f>
        <v/>
      </c>
      <c r="F1225" t="str">
        <f>IFERROR(VLOOKUP(tbEscolas[[#This Row],[COD ETPA]],tbEtapas[],3,FALSE),"")</f>
        <v/>
      </c>
    </row>
    <row r="1226" spans="1:6" x14ac:dyDescent="0.25">
      <c r="A1226" s="24" t="str">
        <f>_xlfn.XLOOKUP(tbEscolas[[#This Row],[ESCOLA]],tbNucleo[ESCOLA],tbNucleo[COD ESCOLA],"")</f>
        <v/>
      </c>
      <c r="B1226" t="str" cm="1">
        <f t="array" ref="B1226">IFERROR(INDEX(tbNucleo[ESCOLA],ROUNDUP(ROW(B1225)/TotalEtapas,0)),"")</f>
        <v/>
      </c>
      <c r="E1226" t="str">
        <f>IFERROR(VLOOKUP(tbEscolas[[#This Row],[COD ETPA]],tbEtapas[],2,FALSE),"")</f>
        <v/>
      </c>
      <c r="F1226" t="str">
        <f>IFERROR(VLOOKUP(tbEscolas[[#This Row],[COD ETPA]],tbEtapas[],3,FALSE),"")</f>
        <v/>
      </c>
    </row>
    <row r="1227" spans="1:6" x14ac:dyDescent="0.25">
      <c r="A1227" s="24" t="str">
        <f>_xlfn.XLOOKUP(tbEscolas[[#This Row],[ESCOLA]],tbNucleo[ESCOLA],tbNucleo[COD ESCOLA],"")</f>
        <v/>
      </c>
      <c r="B1227" t="str" cm="1">
        <f t="array" ref="B1227">IFERROR(INDEX(tbNucleo[ESCOLA],ROUNDUP(ROW(B1226)/TotalEtapas,0)),"")</f>
        <v/>
      </c>
      <c r="E1227" t="str">
        <f>IFERROR(VLOOKUP(tbEscolas[[#This Row],[COD ETPA]],tbEtapas[],2,FALSE),"")</f>
        <v/>
      </c>
      <c r="F1227" t="str">
        <f>IFERROR(VLOOKUP(tbEscolas[[#This Row],[COD ETPA]],tbEtapas[],3,FALSE),"")</f>
        <v/>
      </c>
    </row>
    <row r="1228" spans="1:6" x14ac:dyDescent="0.25">
      <c r="A1228" s="24" t="str">
        <f>_xlfn.XLOOKUP(tbEscolas[[#This Row],[ESCOLA]],tbNucleo[ESCOLA],tbNucleo[COD ESCOLA],"")</f>
        <v/>
      </c>
      <c r="B1228" t="str" cm="1">
        <f t="array" ref="B1228">IFERROR(INDEX(tbNucleo[ESCOLA],ROUNDUP(ROW(B1227)/TotalEtapas,0)),"")</f>
        <v/>
      </c>
      <c r="E1228" t="str">
        <f>IFERROR(VLOOKUP(tbEscolas[[#This Row],[COD ETPA]],tbEtapas[],2,FALSE),"")</f>
        <v/>
      </c>
      <c r="F1228" t="str">
        <f>IFERROR(VLOOKUP(tbEscolas[[#This Row],[COD ETPA]],tbEtapas[],3,FALSE),"")</f>
        <v/>
      </c>
    </row>
    <row r="1229" spans="1:6" x14ac:dyDescent="0.25">
      <c r="A1229" s="24" t="str">
        <f>_xlfn.XLOOKUP(tbEscolas[[#This Row],[ESCOLA]],tbNucleo[ESCOLA],tbNucleo[COD ESCOLA],"")</f>
        <v/>
      </c>
      <c r="B1229" t="str" cm="1">
        <f t="array" ref="B1229">IFERROR(INDEX(tbNucleo[ESCOLA],ROUNDUP(ROW(B1228)/TotalEtapas,0)),"")</f>
        <v/>
      </c>
      <c r="E1229" t="str">
        <f>IFERROR(VLOOKUP(tbEscolas[[#This Row],[COD ETPA]],tbEtapas[],2,FALSE),"")</f>
        <v/>
      </c>
      <c r="F1229" t="str">
        <f>IFERROR(VLOOKUP(tbEscolas[[#This Row],[COD ETPA]],tbEtapas[],3,FALSE),"")</f>
        <v/>
      </c>
    </row>
    <row r="1230" spans="1:6" x14ac:dyDescent="0.25">
      <c r="A1230" s="24" t="str">
        <f>_xlfn.XLOOKUP(tbEscolas[[#This Row],[ESCOLA]],tbNucleo[ESCOLA],tbNucleo[COD ESCOLA],"")</f>
        <v/>
      </c>
      <c r="B1230" t="str" cm="1">
        <f t="array" ref="B1230">IFERROR(INDEX(tbNucleo[ESCOLA],ROUNDUP(ROW(B1229)/TotalEtapas,0)),"")</f>
        <v/>
      </c>
      <c r="E1230" t="str">
        <f>IFERROR(VLOOKUP(tbEscolas[[#This Row],[COD ETPA]],tbEtapas[],2,FALSE),"")</f>
        <v/>
      </c>
      <c r="F1230" t="str">
        <f>IFERROR(VLOOKUP(tbEscolas[[#This Row],[COD ETPA]],tbEtapas[],3,FALSE),"")</f>
        <v/>
      </c>
    </row>
    <row r="1231" spans="1:6" x14ac:dyDescent="0.25">
      <c r="A1231" s="24" t="str">
        <f>_xlfn.XLOOKUP(tbEscolas[[#This Row],[ESCOLA]],tbNucleo[ESCOLA],tbNucleo[COD ESCOLA],"")</f>
        <v/>
      </c>
      <c r="B1231" t="str" cm="1">
        <f t="array" ref="B1231">IFERROR(INDEX(tbNucleo[ESCOLA],ROUNDUP(ROW(B1230)/TotalEtapas,0)),"")</f>
        <v/>
      </c>
      <c r="E1231" t="str">
        <f>IFERROR(VLOOKUP(tbEscolas[[#This Row],[COD ETPA]],tbEtapas[],2,FALSE),"")</f>
        <v/>
      </c>
      <c r="F1231" t="str">
        <f>IFERROR(VLOOKUP(tbEscolas[[#This Row],[COD ETPA]],tbEtapas[],3,FALSE),"")</f>
        <v/>
      </c>
    </row>
    <row r="1232" spans="1:6" x14ac:dyDescent="0.25">
      <c r="A1232" s="24" t="str">
        <f>_xlfn.XLOOKUP(tbEscolas[[#This Row],[ESCOLA]],tbNucleo[ESCOLA],tbNucleo[COD ESCOLA],"")</f>
        <v/>
      </c>
      <c r="B1232" t="str" cm="1">
        <f t="array" ref="B1232">IFERROR(INDEX(tbNucleo[ESCOLA],ROUNDUP(ROW(B1231)/TotalEtapas,0)),"")</f>
        <v/>
      </c>
      <c r="E1232" t="str">
        <f>IFERROR(VLOOKUP(tbEscolas[[#This Row],[COD ETPA]],tbEtapas[],2,FALSE),"")</f>
        <v/>
      </c>
      <c r="F1232" t="str">
        <f>IFERROR(VLOOKUP(tbEscolas[[#This Row],[COD ETPA]],tbEtapas[],3,FALSE),"")</f>
        <v/>
      </c>
    </row>
    <row r="1233" spans="1:6" x14ac:dyDescent="0.25">
      <c r="A1233" s="24" t="str">
        <f>_xlfn.XLOOKUP(tbEscolas[[#This Row],[ESCOLA]],tbNucleo[ESCOLA],tbNucleo[COD ESCOLA],"")</f>
        <v/>
      </c>
      <c r="B1233" t="str" cm="1">
        <f t="array" ref="B1233">IFERROR(INDEX(tbNucleo[ESCOLA],ROUNDUP(ROW(B1232)/TotalEtapas,0)),"")</f>
        <v/>
      </c>
      <c r="E1233" t="str">
        <f>IFERROR(VLOOKUP(tbEscolas[[#This Row],[COD ETPA]],tbEtapas[],2,FALSE),"")</f>
        <v/>
      </c>
      <c r="F1233" t="str">
        <f>IFERROR(VLOOKUP(tbEscolas[[#This Row],[COD ETPA]],tbEtapas[],3,FALSE),"")</f>
        <v/>
      </c>
    </row>
    <row r="1234" spans="1:6" x14ac:dyDescent="0.25">
      <c r="A1234" s="24" t="str">
        <f>_xlfn.XLOOKUP(tbEscolas[[#This Row],[ESCOLA]],tbNucleo[ESCOLA],tbNucleo[COD ESCOLA],"")</f>
        <v/>
      </c>
      <c r="B1234" t="str" cm="1">
        <f t="array" ref="B1234">IFERROR(INDEX(tbNucleo[ESCOLA],ROUNDUP(ROW(B1233)/TotalEtapas,0)),"")</f>
        <v/>
      </c>
      <c r="E1234" t="str">
        <f>IFERROR(VLOOKUP(tbEscolas[[#This Row],[COD ETPA]],tbEtapas[],2,FALSE),"")</f>
        <v/>
      </c>
      <c r="F1234" t="str">
        <f>IFERROR(VLOOKUP(tbEscolas[[#This Row],[COD ETPA]],tbEtapas[],3,FALSE),"")</f>
        <v/>
      </c>
    </row>
    <row r="1235" spans="1:6" x14ac:dyDescent="0.25">
      <c r="A1235" s="24" t="str">
        <f>_xlfn.XLOOKUP(tbEscolas[[#This Row],[ESCOLA]],tbNucleo[ESCOLA],tbNucleo[COD ESCOLA],"")</f>
        <v/>
      </c>
      <c r="B1235" t="str" cm="1">
        <f t="array" ref="B1235">IFERROR(INDEX(tbNucleo[ESCOLA],ROUNDUP(ROW(B1234)/TotalEtapas,0)),"")</f>
        <v/>
      </c>
      <c r="E1235" t="str">
        <f>IFERROR(VLOOKUP(tbEscolas[[#This Row],[COD ETPA]],tbEtapas[],2,FALSE),"")</f>
        <v/>
      </c>
      <c r="F1235" t="str">
        <f>IFERROR(VLOOKUP(tbEscolas[[#This Row],[COD ETPA]],tbEtapas[],3,FALSE),"")</f>
        <v/>
      </c>
    </row>
    <row r="1236" spans="1:6" x14ac:dyDescent="0.25">
      <c r="A1236" s="24" t="str">
        <f>_xlfn.XLOOKUP(tbEscolas[[#This Row],[ESCOLA]],tbNucleo[ESCOLA],tbNucleo[COD ESCOLA],"")</f>
        <v/>
      </c>
      <c r="B1236" t="str" cm="1">
        <f t="array" ref="B1236">IFERROR(INDEX(tbNucleo[ESCOLA],ROUNDUP(ROW(B1235)/TotalEtapas,0)),"")</f>
        <v/>
      </c>
      <c r="E1236" t="str">
        <f>IFERROR(VLOOKUP(tbEscolas[[#This Row],[COD ETPA]],tbEtapas[],2,FALSE),"")</f>
        <v/>
      </c>
      <c r="F1236" t="str">
        <f>IFERROR(VLOOKUP(tbEscolas[[#This Row],[COD ETPA]],tbEtapas[],3,FALSE),"")</f>
        <v/>
      </c>
    </row>
    <row r="1237" spans="1:6" x14ac:dyDescent="0.25">
      <c r="A1237" s="24" t="str">
        <f>_xlfn.XLOOKUP(tbEscolas[[#This Row],[ESCOLA]],tbNucleo[ESCOLA],tbNucleo[COD ESCOLA],"")</f>
        <v/>
      </c>
      <c r="B1237" t="str" cm="1">
        <f t="array" ref="B1237">IFERROR(INDEX(tbNucleo[ESCOLA],ROUNDUP(ROW(B1236)/TotalEtapas,0)),"")</f>
        <v/>
      </c>
      <c r="E1237" t="str">
        <f>IFERROR(VLOOKUP(tbEscolas[[#This Row],[COD ETPA]],tbEtapas[],2,FALSE),"")</f>
        <v/>
      </c>
      <c r="F1237" t="str">
        <f>IFERROR(VLOOKUP(tbEscolas[[#This Row],[COD ETPA]],tbEtapas[],3,FALSE),"")</f>
        <v/>
      </c>
    </row>
    <row r="1238" spans="1:6" x14ac:dyDescent="0.25">
      <c r="A1238" s="24" t="str">
        <f>_xlfn.XLOOKUP(tbEscolas[[#This Row],[ESCOLA]],tbNucleo[ESCOLA],tbNucleo[COD ESCOLA],"")</f>
        <v/>
      </c>
      <c r="B1238" t="str" cm="1">
        <f t="array" ref="B1238">IFERROR(INDEX(tbNucleo[ESCOLA],ROUNDUP(ROW(B1237)/TotalEtapas,0)),"")</f>
        <v/>
      </c>
      <c r="E1238" t="str">
        <f>IFERROR(VLOOKUP(tbEscolas[[#This Row],[COD ETPA]],tbEtapas[],2,FALSE),"")</f>
        <v/>
      </c>
      <c r="F1238" t="str">
        <f>IFERROR(VLOOKUP(tbEscolas[[#This Row],[COD ETPA]],tbEtapas[],3,FALSE),"")</f>
        <v/>
      </c>
    </row>
    <row r="1239" spans="1:6" x14ac:dyDescent="0.25">
      <c r="A1239" s="24" t="str">
        <f>_xlfn.XLOOKUP(tbEscolas[[#This Row],[ESCOLA]],tbNucleo[ESCOLA],tbNucleo[COD ESCOLA],"")</f>
        <v/>
      </c>
      <c r="B1239" t="str" cm="1">
        <f t="array" ref="B1239">IFERROR(INDEX(tbNucleo[ESCOLA],ROUNDUP(ROW(B1238)/TotalEtapas,0)),"")</f>
        <v/>
      </c>
      <c r="E1239" t="str">
        <f>IFERROR(VLOOKUP(tbEscolas[[#This Row],[COD ETPA]],tbEtapas[],2,FALSE),"")</f>
        <v/>
      </c>
      <c r="F1239" t="str">
        <f>IFERROR(VLOOKUP(tbEscolas[[#This Row],[COD ETPA]],tbEtapas[],3,FALSE),"")</f>
        <v/>
      </c>
    </row>
    <row r="1240" spans="1:6" x14ac:dyDescent="0.25">
      <c r="A1240" s="24" t="str">
        <f>_xlfn.XLOOKUP(tbEscolas[[#This Row],[ESCOLA]],tbNucleo[ESCOLA],tbNucleo[COD ESCOLA],"")</f>
        <v/>
      </c>
      <c r="B1240" t="str" cm="1">
        <f t="array" ref="B1240">IFERROR(INDEX(tbNucleo[ESCOLA],ROUNDUP(ROW(B1239)/TotalEtapas,0)),"")</f>
        <v/>
      </c>
      <c r="E1240" t="str">
        <f>IFERROR(VLOOKUP(tbEscolas[[#This Row],[COD ETPA]],tbEtapas[],2,FALSE),"")</f>
        <v/>
      </c>
      <c r="F1240" t="str">
        <f>IFERROR(VLOOKUP(tbEscolas[[#This Row],[COD ETPA]],tbEtapas[],3,FALSE),"")</f>
        <v/>
      </c>
    </row>
    <row r="1241" spans="1:6" x14ac:dyDescent="0.25">
      <c r="A1241" s="24" t="str">
        <f>_xlfn.XLOOKUP(tbEscolas[[#This Row],[ESCOLA]],tbNucleo[ESCOLA],tbNucleo[COD ESCOLA],"")</f>
        <v/>
      </c>
      <c r="B1241" t="str" cm="1">
        <f t="array" ref="B1241">IFERROR(INDEX(tbNucleo[ESCOLA],ROUNDUP(ROW(B1240)/TotalEtapas,0)),"")</f>
        <v/>
      </c>
      <c r="E1241" t="str">
        <f>IFERROR(VLOOKUP(tbEscolas[[#This Row],[COD ETPA]],tbEtapas[],2,FALSE),"")</f>
        <v/>
      </c>
      <c r="F1241" t="str">
        <f>IFERROR(VLOOKUP(tbEscolas[[#This Row],[COD ETPA]],tbEtapas[],3,FALSE),"")</f>
        <v/>
      </c>
    </row>
    <row r="1242" spans="1:6" x14ac:dyDescent="0.25">
      <c r="A1242" s="24" t="str">
        <f>_xlfn.XLOOKUP(tbEscolas[[#This Row],[ESCOLA]],tbNucleo[ESCOLA],tbNucleo[COD ESCOLA],"")</f>
        <v/>
      </c>
      <c r="B1242" t="str" cm="1">
        <f t="array" ref="B1242">IFERROR(INDEX(tbNucleo[ESCOLA],ROUNDUP(ROW(B1241)/TotalEtapas,0)),"")</f>
        <v/>
      </c>
      <c r="E1242" t="str">
        <f>IFERROR(VLOOKUP(tbEscolas[[#This Row],[COD ETPA]],tbEtapas[],2,FALSE),"")</f>
        <v/>
      </c>
      <c r="F1242" t="str">
        <f>IFERROR(VLOOKUP(tbEscolas[[#This Row],[COD ETPA]],tbEtapas[],3,FALSE),"")</f>
        <v/>
      </c>
    </row>
    <row r="1243" spans="1:6" x14ac:dyDescent="0.25">
      <c r="A1243" s="24" t="str">
        <f>_xlfn.XLOOKUP(tbEscolas[[#This Row],[ESCOLA]],tbNucleo[ESCOLA],tbNucleo[COD ESCOLA],"")</f>
        <v/>
      </c>
      <c r="B1243" t="str" cm="1">
        <f t="array" ref="B1243">IFERROR(INDEX(tbNucleo[ESCOLA],ROUNDUP(ROW(B1242)/TotalEtapas,0)),"")</f>
        <v/>
      </c>
      <c r="E1243" t="str">
        <f>IFERROR(VLOOKUP(tbEscolas[[#This Row],[COD ETPA]],tbEtapas[],2,FALSE),"")</f>
        <v/>
      </c>
      <c r="F1243" t="str">
        <f>IFERROR(VLOOKUP(tbEscolas[[#This Row],[COD ETPA]],tbEtapas[],3,FALSE),"")</f>
        <v/>
      </c>
    </row>
    <row r="1244" spans="1:6" x14ac:dyDescent="0.25">
      <c r="A1244" s="24" t="str">
        <f>_xlfn.XLOOKUP(tbEscolas[[#This Row],[ESCOLA]],tbNucleo[ESCOLA],tbNucleo[COD ESCOLA],"")</f>
        <v/>
      </c>
      <c r="B1244" t="str" cm="1">
        <f t="array" ref="B1244">IFERROR(INDEX(tbNucleo[ESCOLA],ROUNDUP(ROW(B1243)/TotalEtapas,0)),"")</f>
        <v/>
      </c>
      <c r="E1244" t="str">
        <f>IFERROR(VLOOKUP(tbEscolas[[#This Row],[COD ETPA]],tbEtapas[],2,FALSE),"")</f>
        <v/>
      </c>
      <c r="F1244" t="str">
        <f>IFERROR(VLOOKUP(tbEscolas[[#This Row],[COD ETPA]],tbEtapas[],3,FALSE),"")</f>
        <v/>
      </c>
    </row>
    <row r="1245" spans="1:6" x14ac:dyDescent="0.25">
      <c r="A1245" s="24" t="str">
        <f>_xlfn.XLOOKUP(tbEscolas[[#This Row],[ESCOLA]],tbNucleo[ESCOLA],tbNucleo[COD ESCOLA],"")</f>
        <v/>
      </c>
      <c r="B1245" t="str" cm="1">
        <f t="array" ref="B1245">IFERROR(INDEX(tbNucleo[ESCOLA],ROUNDUP(ROW(B1244)/TotalEtapas,0)),"")</f>
        <v/>
      </c>
      <c r="E1245" t="str">
        <f>IFERROR(VLOOKUP(tbEscolas[[#This Row],[COD ETPA]],tbEtapas[],2,FALSE),"")</f>
        <v/>
      </c>
      <c r="F1245" t="str">
        <f>IFERROR(VLOOKUP(tbEscolas[[#This Row],[COD ETPA]],tbEtapas[],3,FALSE),"")</f>
        <v/>
      </c>
    </row>
    <row r="1246" spans="1:6" x14ac:dyDescent="0.25">
      <c r="A1246" s="24" t="str">
        <f>_xlfn.XLOOKUP(tbEscolas[[#This Row],[ESCOLA]],tbNucleo[ESCOLA],tbNucleo[COD ESCOLA],"")</f>
        <v/>
      </c>
      <c r="B1246" t="str" cm="1">
        <f t="array" ref="B1246">IFERROR(INDEX(tbNucleo[ESCOLA],ROUNDUP(ROW(B1245)/TotalEtapas,0)),"")</f>
        <v/>
      </c>
      <c r="E1246" t="str">
        <f>IFERROR(VLOOKUP(tbEscolas[[#This Row],[COD ETPA]],tbEtapas[],2,FALSE),"")</f>
        <v/>
      </c>
      <c r="F1246" t="str">
        <f>IFERROR(VLOOKUP(tbEscolas[[#This Row],[COD ETPA]],tbEtapas[],3,FALSE),"")</f>
        <v/>
      </c>
    </row>
    <row r="1247" spans="1:6" x14ac:dyDescent="0.25">
      <c r="A1247" s="24" t="str">
        <f>_xlfn.XLOOKUP(tbEscolas[[#This Row],[ESCOLA]],tbNucleo[ESCOLA],tbNucleo[COD ESCOLA],"")</f>
        <v/>
      </c>
      <c r="B1247" t="str" cm="1">
        <f t="array" ref="B1247">IFERROR(INDEX(tbNucleo[ESCOLA],ROUNDUP(ROW(B1246)/TotalEtapas,0)),"")</f>
        <v/>
      </c>
      <c r="E1247" t="str">
        <f>IFERROR(VLOOKUP(tbEscolas[[#This Row],[COD ETPA]],tbEtapas[],2,FALSE),"")</f>
        <v/>
      </c>
      <c r="F1247" t="str">
        <f>IFERROR(VLOOKUP(tbEscolas[[#This Row],[COD ETPA]],tbEtapas[],3,FALSE),"")</f>
        <v/>
      </c>
    </row>
    <row r="1248" spans="1:6" x14ac:dyDescent="0.25">
      <c r="A1248" s="24" t="str">
        <f>_xlfn.XLOOKUP(tbEscolas[[#This Row],[ESCOLA]],tbNucleo[ESCOLA],tbNucleo[COD ESCOLA],"")</f>
        <v/>
      </c>
      <c r="B1248" t="str" cm="1">
        <f t="array" ref="B1248">IFERROR(INDEX(tbNucleo[ESCOLA],ROUNDUP(ROW(B1247)/TotalEtapas,0)),"")</f>
        <v/>
      </c>
      <c r="E1248" t="str">
        <f>IFERROR(VLOOKUP(tbEscolas[[#This Row],[COD ETPA]],tbEtapas[],2,FALSE),"")</f>
        <v/>
      </c>
      <c r="F1248" t="str">
        <f>IFERROR(VLOOKUP(tbEscolas[[#This Row],[COD ETPA]],tbEtapas[],3,FALSE),"")</f>
        <v/>
      </c>
    </row>
    <row r="1249" spans="1:6" x14ac:dyDescent="0.25">
      <c r="A1249" s="24" t="str">
        <f>_xlfn.XLOOKUP(tbEscolas[[#This Row],[ESCOLA]],tbNucleo[ESCOLA],tbNucleo[COD ESCOLA],"")</f>
        <v/>
      </c>
      <c r="B1249" t="str" cm="1">
        <f t="array" ref="B1249">IFERROR(INDEX(tbNucleo[ESCOLA],ROUNDUP(ROW(B1248)/TotalEtapas,0)),"")</f>
        <v/>
      </c>
      <c r="E1249" t="str">
        <f>IFERROR(VLOOKUP(tbEscolas[[#This Row],[COD ETPA]],tbEtapas[],2,FALSE),"")</f>
        <v/>
      </c>
      <c r="F1249" t="str">
        <f>IFERROR(VLOOKUP(tbEscolas[[#This Row],[COD ETPA]],tbEtapas[],3,FALSE),"")</f>
        <v/>
      </c>
    </row>
    <row r="1250" spans="1:6" x14ac:dyDescent="0.25">
      <c r="A1250" s="24" t="str">
        <f>_xlfn.XLOOKUP(tbEscolas[[#This Row],[ESCOLA]],tbNucleo[ESCOLA],tbNucleo[COD ESCOLA],"")</f>
        <v/>
      </c>
      <c r="B1250" t="str" cm="1">
        <f t="array" ref="B1250">IFERROR(INDEX(tbNucleo[ESCOLA],ROUNDUP(ROW(B1249)/TotalEtapas,0)),"")</f>
        <v/>
      </c>
      <c r="E1250" t="str">
        <f>IFERROR(VLOOKUP(tbEscolas[[#This Row],[COD ETPA]],tbEtapas[],2,FALSE),"")</f>
        <v/>
      </c>
      <c r="F1250" t="str">
        <f>IFERROR(VLOOKUP(tbEscolas[[#This Row],[COD ETPA]],tbEtapas[],3,FALSE),"")</f>
        <v/>
      </c>
    </row>
    <row r="1251" spans="1:6" x14ac:dyDescent="0.25">
      <c r="A1251" s="24" t="str">
        <f>_xlfn.XLOOKUP(tbEscolas[[#This Row],[ESCOLA]],tbNucleo[ESCOLA],tbNucleo[COD ESCOLA],"")</f>
        <v/>
      </c>
      <c r="B1251" t="str" cm="1">
        <f t="array" ref="B1251">IFERROR(INDEX(tbNucleo[ESCOLA],ROUNDUP(ROW(B1250)/TotalEtapas,0)),"")</f>
        <v/>
      </c>
      <c r="E1251" t="str">
        <f>IFERROR(VLOOKUP(tbEscolas[[#This Row],[COD ETPA]],tbEtapas[],2,FALSE),"")</f>
        <v/>
      </c>
      <c r="F1251" t="str">
        <f>IFERROR(VLOOKUP(tbEscolas[[#This Row],[COD ETPA]],tbEtapas[],3,FALSE),"")</f>
        <v/>
      </c>
    </row>
    <row r="1252" spans="1:6" x14ac:dyDescent="0.25">
      <c r="A1252" s="24" t="str">
        <f>_xlfn.XLOOKUP(tbEscolas[[#This Row],[ESCOLA]],tbNucleo[ESCOLA],tbNucleo[COD ESCOLA],"")</f>
        <v/>
      </c>
      <c r="B1252" t="str" cm="1">
        <f t="array" ref="B1252">IFERROR(INDEX(tbNucleo[ESCOLA],ROUNDUP(ROW(B1251)/TotalEtapas,0)),"")</f>
        <v/>
      </c>
      <c r="E1252" t="str">
        <f>IFERROR(VLOOKUP(tbEscolas[[#This Row],[COD ETPA]],tbEtapas[],2,FALSE),"")</f>
        <v/>
      </c>
      <c r="F1252" t="str">
        <f>IFERROR(VLOOKUP(tbEscolas[[#This Row],[COD ETPA]],tbEtapas[],3,FALSE),"")</f>
        <v/>
      </c>
    </row>
    <row r="1253" spans="1:6" x14ac:dyDescent="0.25">
      <c r="A1253" s="24" t="str">
        <f>_xlfn.XLOOKUP(tbEscolas[[#This Row],[ESCOLA]],tbNucleo[ESCOLA],tbNucleo[COD ESCOLA],"")</f>
        <v/>
      </c>
      <c r="B1253" t="str" cm="1">
        <f t="array" ref="B1253">IFERROR(INDEX(tbNucleo[ESCOLA],ROUNDUP(ROW(B1252)/TotalEtapas,0)),"")</f>
        <v/>
      </c>
      <c r="E1253" t="str">
        <f>IFERROR(VLOOKUP(tbEscolas[[#This Row],[COD ETPA]],tbEtapas[],2,FALSE),"")</f>
        <v/>
      </c>
      <c r="F1253" t="str">
        <f>IFERROR(VLOOKUP(tbEscolas[[#This Row],[COD ETPA]],tbEtapas[],3,FALSE),"")</f>
        <v/>
      </c>
    </row>
    <row r="1254" spans="1:6" x14ac:dyDescent="0.25">
      <c r="A1254" s="24" t="str">
        <f>_xlfn.XLOOKUP(tbEscolas[[#This Row],[ESCOLA]],tbNucleo[ESCOLA],tbNucleo[COD ESCOLA],"")</f>
        <v/>
      </c>
      <c r="B1254" t="str" cm="1">
        <f t="array" ref="B1254">IFERROR(INDEX(tbNucleo[ESCOLA],ROUNDUP(ROW(B1253)/TotalEtapas,0)),"")</f>
        <v/>
      </c>
      <c r="E1254" t="str">
        <f>IFERROR(VLOOKUP(tbEscolas[[#This Row],[COD ETPA]],tbEtapas[],2,FALSE),"")</f>
        <v/>
      </c>
      <c r="F1254" t="str">
        <f>IFERROR(VLOOKUP(tbEscolas[[#This Row],[COD ETPA]],tbEtapas[],3,FALSE),"")</f>
        <v/>
      </c>
    </row>
    <row r="1255" spans="1:6" x14ac:dyDescent="0.25">
      <c r="A1255" s="24" t="str">
        <f>_xlfn.XLOOKUP(tbEscolas[[#This Row],[ESCOLA]],tbNucleo[ESCOLA],tbNucleo[COD ESCOLA],"")</f>
        <v/>
      </c>
      <c r="B1255" t="str" cm="1">
        <f t="array" ref="B1255">IFERROR(INDEX(tbNucleo[ESCOLA],ROUNDUP(ROW(B1254)/TotalEtapas,0)),"")</f>
        <v/>
      </c>
      <c r="E1255" t="str">
        <f>IFERROR(VLOOKUP(tbEscolas[[#This Row],[COD ETPA]],tbEtapas[],2,FALSE),"")</f>
        <v/>
      </c>
      <c r="F1255" t="str">
        <f>IFERROR(VLOOKUP(tbEscolas[[#This Row],[COD ETPA]],tbEtapas[],3,FALSE),"")</f>
        <v/>
      </c>
    </row>
    <row r="1256" spans="1:6" x14ac:dyDescent="0.25">
      <c r="A1256" s="24" t="str">
        <f>_xlfn.XLOOKUP(tbEscolas[[#This Row],[ESCOLA]],tbNucleo[ESCOLA],tbNucleo[COD ESCOLA],"")</f>
        <v/>
      </c>
      <c r="B1256" t="str" cm="1">
        <f t="array" ref="B1256">IFERROR(INDEX(tbNucleo[ESCOLA],ROUNDUP(ROW(B1255)/TotalEtapas,0)),"")</f>
        <v/>
      </c>
      <c r="E1256" t="str">
        <f>IFERROR(VLOOKUP(tbEscolas[[#This Row],[COD ETPA]],tbEtapas[],2,FALSE),"")</f>
        <v/>
      </c>
      <c r="F1256" t="str">
        <f>IFERROR(VLOOKUP(tbEscolas[[#This Row],[COD ETPA]],tbEtapas[],3,FALSE),"")</f>
        <v/>
      </c>
    </row>
    <row r="1257" spans="1:6" x14ac:dyDescent="0.25">
      <c r="A1257" s="24" t="str">
        <f>_xlfn.XLOOKUP(tbEscolas[[#This Row],[ESCOLA]],tbNucleo[ESCOLA],tbNucleo[COD ESCOLA],"")</f>
        <v/>
      </c>
      <c r="B1257" t="str" cm="1">
        <f t="array" ref="B1257">IFERROR(INDEX(tbNucleo[ESCOLA],ROUNDUP(ROW(B1256)/TotalEtapas,0)),"")</f>
        <v/>
      </c>
      <c r="E1257" t="str">
        <f>IFERROR(VLOOKUP(tbEscolas[[#This Row],[COD ETPA]],tbEtapas[],2,FALSE),"")</f>
        <v/>
      </c>
      <c r="F1257" t="str">
        <f>IFERROR(VLOOKUP(tbEscolas[[#This Row],[COD ETPA]],tbEtapas[],3,FALSE),"")</f>
        <v/>
      </c>
    </row>
    <row r="1258" spans="1:6" x14ac:dyDescent="0.25">
      <c r="A1258" s="24" t="str">
        <f>_xlfn.XLOOKUP(tbEscolas[[#This Row],[ESCOLA]],tbNucleo[ESCOLA],tbNucleo[COD ESCOLA],"")</f>
        <v/>
      </c>
      <c r="B1258" t="str" cm="1">
        <f t="array" ref="B1258">IFERROR(INDEX(tbNucleo[ESCOLA],ROUNDUP(ROW(B1257)/TotalEtapas,0)),"")</f>
        <v/>
      </c>
      <c r="E1258" t="str">
        <f>IFERROR(VLOOKUP(tbEscolas[[#This Row],[COD ETPA]],tbEtapas[],2,FALSE),"")</f>
        <v/>
      </c>
      <c r="F1258" t="str">
        <f>IFERROR(VLOOKUP(tbEscolas[[#This Row],[COD ETPA]],tbEtapas[],3,FALSE),"")</f>
        <v/>
      </c>
    </row>
    <row r="1259" spans="1:6" x14ac:dyDescent="0.25">
      <c r="A1259" s="24" t="str">
        <f>_xlfn.XLOOKUP(tbEscolas[[#This Row],[ESCOLA]],tbNucleo[ESCOLA],tbNucleo[COD ESCOLA],"")</f>
        <v/>
      </c>
      <c r="B1259" t="str" cm="1">
        <f t="array" ref="B1259">IFERROR(INDEX(tbNucleo[ESCOLA],ROUNDUP(ROW(B1258)/TotalEtapas,0)),"")</f>
        <v/>
      </c>
      <c r="E1259" t="str">
        <f>IFERROR(VLOOKUP(tbEscolas[[#This Row],[COD ETPA]],tbEtapas[],2,FALSE),"")</f>
        <v/>
      </c>
      <c r="F1259" t="str">
        <f>IFERROR(VLOOKUP(tbEscolas[[#This Row],[COD ETPA]],tbEtapas[],3,FALSE),"")</f>
        <v/>
      </c>
    </row>
    <row r="1260" spans="1:6" x14ac:dyDescent="0.25">
      <c r="A1260" s="24" t="str">
        <f>_xlfn.XLOOKUP(tbEscolas[[#This Row],[ESCOLA]],tbNucleo[ESCOLA],tbNucleo[COD ESCOLA],"")</f>
        <v/>
      </c>
      <c r="B1260" t="str" cm="1">
        <f t="array" ref="B1260">IFERROR(INDEX(tbNucleo[ESCOLA],ROUNDUP(ROW(B1259)/TotalEtapas,0)),"")</f>
        <v/>
      </c>
      <c r="E1260" t="str">
        <f>IFERROR(VLOOKUP(tbEscolas[[#This Row],[COD ETPA]],tbEtapas[],2,FALSE),"")</f>
        <v/>
      </c>
      <c r="F1260" t="str">
        <f>IFERROR(VLOOKUP(tbEscolas[[#This Row],[COD ETPA]],tbEtapas[],3,FALSE),"")</f>
        <v/>
      </c>
    </row>
    <row r="1261" spans="1:6" x14ac:dyDescent="0.25">
      <c r="A1261" s="24" t="str">
        <f>_xlfn.XLOOKUP(tbEscolas[[#This Row],[ESCOLA]],tbNucleo[ESCOLA],tbNucleo[COD ESCOLA],"")</f>
        <v/>
      </c>
      <c r="B1261" t="str" cm="1">
        <f t="array" ref="B1261">IFERROR(INDEX(tbNucleo[ESCOLA],ROUNDUP(ROW(B1260)/TotalEtapas,0)),"")</f>
        <v/>
      </c>
      <c r="E1261" t="str">
        <f>IFERROR(VLOOKUP(tbEscolas[[#This Row],[COD ETPA]],tbEtapas[],2,FALSE),"")</f>
        <v/>
      </c>
      <c r="F1261" t="str">
        <f>IFERROR(VLOOKUP(tbEscolas[[#This Row],[COD ETPA]],tbEtapas[],3,FALSE),"")</f>
        <v/>
      </c>
    </row>
    <row r="1262" spans="1:6" x14ac:dyDescent="0.25">
      <c r="A1262" s="24" t="str">
        <f>_xlfn.XLOOKUP(tbEscolas[[#This Row],[ESCOLA]],tbNucleo[ESCOLA],tbNucleo[COD ESCOLA],"")</f>
        <v/>
      </c>
      <c r="B1262" t="str" cm="1">
        <f t="array" ref="B1262">IFERROR(INDEX(tbNucleo[ESCOLA],ROUNDUP(ROW(B1261)/TotalEtapas,0)),"")</f>
        <v/>
      </c>
      <c r="E1262" t="str">
        <f>IFERROR(VLOOKUP(tbEscolas[[#This Row],[COD ETPA]],tbEtapas[],2,FALSE),"")</f>
        <v/>
      </c>
      <c r="F1262" t="str">
        <f>IFERROR(VLOOKUP(tbEscolas[[#This Row],[COD ETPA]],tbEtapas[],3,FALSE),"")</f>
        <v/>
      </c>
    </row>
    <row r="1263" spans="1:6" x14ac:dyDescent="0.25">
      <c r="A1263" s="24" t="str">
        <f>_xlfn.XLOOKUP(tbEscolas[[#This Row],[ESCOLA]],tbNucleo[ESCOLA],tbNucleo[COD ESCOLA],"")</f>
        <v/>
      </c>
      <c r="B1263" t="str" cm="1">
        <f t="array" ref="B1263">IFERROR(INDEX(tbNucleo[ESCOLA],ROUNDUP(ROW(B1262)/TotalEtapas,0)),"")</f>
        <v/>
      </c>
      <c r="E1263" t="str">
        <f>IFERROR(VLOOKUP(tbEscolas[[#This Row],[COD ETPA]],tbEtapas[],2,FALSE),"")</f>
        <v/>
      </c>
      <c r="F1263" t="str">
        <f>IFERROR(VLOOKUP(tbEscolas[[#This Row],[COD ETPA]],tbEtapas[],3,FALSE),"")</f>
        <v/>
      </c>
    </row>
    <row r="1264" spans="1:6" x14ac:dyDescent="0.25">
      <c r="A1264" s="24" t="str">
        <f>_xlfn.XLOOKUP(tbEscolas[[#This Row],[ESCOLA]],tbNucleo[ESCOLA],tbNucleo[COD ESCOLA],"")</f>
        <v/>
      </c>
      <c r="B1264" t="str" cm="1">
        <f t="array" ref="B1264">IFERROR(INDEX(tbNucleo[ESCOLA],ROUNDUP(ROW(B1263)/TotalEtapas,0)),"")</f>
        <v/>
      </c>
      <c r="E1264" t="str">
        <f>IFERROR(VLOOKUP(tbEscolas[[#This Row],[COD ETPA]],tbEtapas[],2,FALSE),"")</f>
        <v/>
      </c>
      <c r="F1264" t="str">
        <f>IFERROR(VLOOKUP(tbEscolas[[#This Row],[COD ETPA]],tbEtapas[],3,FALSE),"")</f>
        <v/>
      </c>
    </row>
    <row r="1265" spans="1:6" x14ac:dyDescent="0.25">
      <c r="A1265" s="24" t="str">
        <f>_xlfn.XLOOKUP(tbEscolas[[#This Row],[ESCOLA]],tbNucleo[ESCOLA],tbNucleo[COD ESCOLA],"")</f>
        <v/>
      </c>
      <c r="B1265" t="str" cm="1">
        <f t="array" ref="B1265">IFERROR(INDEX(tbNucleo[ESCOLA],ROUNDUP(ROW(B1264)/TotalEtapas,0)),"")</f>
        <v/>
      </c>
      <c r="E1265" t="str">
        <f>IFERROR(VLOOKUP(tbEscolas[[#This Row],[COD ETPA]],tbEtapas[],2,FALSE),"")</f>
        <v/>
      </c>
      <c r="F1265" t="str">
        <f>IFERROR(VLOOKUP(tbEscolas[[#This Row],[COD ETPA]],tbEtapas[],3,FALSE),"")</f>
        <v/>
      </c>
    </row>
    <row r="1266" spans="1:6" x14ac:dyDescent="0.25">
      <c r="A1266" s="24" t="str">
        <f>_xlfn.XLOOKUP(tbEscolas[[#This Row],[ESCOLA]],tbNucleo[ESCOLA],tbNucleo[COD ESCOLA],"")</f>
        <v/>
      </c>
      <c r="B1266" t="str" cm="1">
        <f t="array" ref="B1266">IFERROR(INDEX(tbNucleo[ESCOLA],ROUNDUP(ROW(B1265)/TotalEtapas,0)),"")</f>
        <v/>
      </c>
      <c r="E1266" t="str">
        <f>IFERROR(VLOOKUP(tbEscolas[[#This Row],[COD ETPA]],tbEtapas[],2,FALSE),"")</f>
        <v/>
      </c>
      <c r="F1266" t="str">
        <f>IFERROR(VLOOKUP(tbEscolas[[#This Row],[COD ETPA]],tbEtapas[],3,FALSE),"")</f>
        <v/>
      </c>
    </row>
    <row r="1267" spans="1:6" x14ac:dyDescent="0.25">
      <c r="A1267" s="24" t="str">
        <f>_xlfn.XLOOKUP(tbEscolas[[#This Row],[ESCOLA]],tbNucleo[ESCOLA],tbNucleo[COD ESCOLA],"")</f>
        <v/>
      </c>
      <c r="B1267" t="str" cm="1">
        <f t="array" ref="B1267">IFERROR(INDEX(tbNucleo[ESCOLA],ROUNDUP(ROW(B1266)/TotalEtapas,0)),"")</f>
        <v/>
      </c>
      <c r="E1267" t="str">
        <f>IFERROR(VLOOKUP(tbEscolas[[#This Row],[COD ETPA]],tbEtapas[],2,FALSE),"")</f>
        <v/>
      </c>
      <c r="F1267" t="str">
        <f>IFERROR(VLOOKUP(tbEscolas[[#This Row],[COD ETPA]],tbEtapas[],3,FALSE),"")</f>
        <v/>
      </c>
    </row>
    <row r="1268" spans="1:6" x14ac:dyDescent="0.25">
      <c r="A1268" s="24" t="str">
        <f>_xlfn.XLOOKUP(tbEscolas[[#This Row],[ESCOLA]],tbNucleo[ESCOLA],tbNucleo[COD ESCOLA],"")</f>
        <v/>
      </c>
      <c r="B1268" t="str" cm="1">
        <f t="array" ref="B1268">IFERROR(INDEX(tbNucleo[ESCOLA],ROUNDUP(ROW(B1267)/TotalEtapas,0)),"")</f>
        <v/>
      </c>
      <c r="E1268" t="str">
        <f>IFERROR(VLOOKUP(tbEscolas[[#This Row],[COD ETPA]],tbEtapas[],2,FALSE),"")</f>
        <v/>
      </c>
      <c r="F1268" t="str">
        <f>IFERROR(VLOOKUP(tbEscolas[[#This Row],[COD ETPA]],tbEtapas[],3,FALSE),"")</f>
        <v/>
      </c>
    </row>
    <row r="1269" spans="1:6" x14ac:dyDescent="0.25">
      <c r="A1269" s="24" t="str">
        <f>_xlfn.XLOOKUP(tbEscolas[[#This Row],[ESCOLA]],tbNucleo[ESCOLA],tbNucleo[COD ESCOLA],"")</f>
        <v/>
      </c>
      <c r="B1269" t="str" cm="1">
        <f t="array" ref="B1269">IFERROR(INDEX(tbNucleo[ESCOLA],ROUNDUP(ROW(B1268)/TotalEtapas,0)),"")</f>
        <v/>
      </c>
      <c r="E1269" t="str">
        <f>IFERROR(VLOOKUP(tbEscolas[[#This Row],[COD ETPA]],tbEtapas[],2,FALSE),"")</f>
        <v/>
      </c>
      <c r="F1269" t="str">
        <f>IFERROR(VLOOKUP(tbEscolas[[#This Row],[COD ETPA]],tbEtapas[],3,FALSE),"")</f>
        <v/>
      </c>
    </row>
    <row r="1270" spans="1:6" x14ac:dyDescent="0.25">
      <c r="A1270" s="24" t="str">
        <f>_xlfn.XLOOKUP(tbEscolas[[#This Row],[ESCOLA]],tbNucleo[ESCOLA],tbNucleo[COD ESCOLA],"")</f>
        <v/>
      </c>
      <c r="B1270" t="str" cm="1">
        <f t="array" ref="B1270">IFERROR(INDEX(tbNucleo[ESCOLA],ROUNDUP(ROW(B1269)/TotalEtapas,0)),"")</f>
        <v/>
      </c>
      <c r="E1270" t="str">
        <f>IFERROR(VLOOKUP(tbEscolas[[#This Row],[COD ETPA]],tbEtapas[],2,FALSE),"")</f>
        <v/>
      </c>
      <c r="F1270" t="str">
        <f>IFERROR(VLOOKUP(tbEscolas[[#This Row],[COD ETPA]],tbEtapas[],3,FALSE),"")</f>
        <v/>
      </c>
    </row>
    <row r="1271" spans="1:6" x14ac:dyDescent="0.25">
      <c r="A1271" s="24" t="str">
        <f>_xlfn.XLOOKUP(tbEscolas[[#This Row],[ESCOLA]],tbNucleo[ESCOLA],tbNucleo[COD ESCOLA],"")</f>
        <v/>
      </c>
      <c r="B1271" t="str" cm="1">
        <f t="array" ref="B1271">IFERROR(INDEX(tbNucleo[ESCOLA],ROUNDUP(ROW(B1270)/TotalEtapas,0)),"")</f>
        <v/>
      </c>
      <c r="E1271" t="str">
        <f>IFERROR(VLOOKUP(tbEscolas[[#This Row],[COD ETPA]],tbEtapas[],2,FALSE),"")</f>
        <v/>
      </c>
      <c r="F1271" t="str">
        <f>IFERROR(VLOOKUP(tbEscolas[[#This Row],[COD ETPA]],tbEtapas[],3,FALSE),"")</f>
        <v/>
      </c>
    </row>
    <row r="1272" spans="1:6" x14ac:dyDescent="0.25">
      <c r="A1272" s="24" t="str">
        <f>_xlfn.XLOOKUP(tbEscolas[[#This Row],[ESCOLA]],tbNucleo[ESCOLA],tbNucleo[COD ESCOLA],"")</f>
        <v/>
      </c>
      <c r="B1272" t="str" cm="1">
        <f t="array" ref="B1272">IFERROR(INDEX(tbNucleo[ESCOLA],ROUNDUP(ROW(B1271)/TotalEtapas,0)),"")</f>
        <v/>
      </c>
      <c r="E1272" t="str">
        <f>IFERROR(VLOOKUP(tbEscolas[[#This Row],[COD ETPA]],tbEtapas[],2,FALSE),"")</f>
        <v/>
      </c>
      <c r="F1272" t="str">
        <f>IFERROR(VLOOKUP(tbEscolas[[#This Row],[COD ETPA]],tbEtapas[],3,FALSE),"")</f>
        <v/>
      </c>
    </row>
    <row r="1273" spans="1:6" x14ac:dyDescent="0.25">
      <c r="A1273" s="24" t="str">
        <f>_xlfn.XLOOKUP(tbEscolas[[#This Row],[ESCOLA]],tbNucleo[ESCOLA],tbNucleo[COD ESCOLA],"")</f>
        <v/>
      </c>
      <c r="B1273" t="str" cm="1">
        <f t="array" ref="B1273">IFERROR(INDEX(tbNucleo[ESCOLA],ROUNDUP(ROW(B1272)/TotalEtapas,0)),"")</f>
        <v/>
      </c>
      <c r="E1273" t="str">
        <f>IFERROR(VLOOKUP(tbEscolas[[#This Row],[COD ETPA]],tbEtapas[],2,FALSE),"")</f>
        <v/>
      </c>
      <c r="F1273" t="str">
        <f>IFERROR(VLOOKUP(tbEscolas[[#This Row],[COD ETPA]],tbEtapas[],3,FALSE),"")</f>
        <v/>
      </c>
    </row>
    <row r="1274" spans="1:6" x14ac:dyDescent="0.25">
      <c r="A1274" s="24" t="str">
        <f>_xlfn.XLOOKUP(tbEscolas[[#This Row],[ESCOLA]],tbNucleo[ESCOLA],tbNucleo[COD ESCOLA],"")</f>
        <v/>
      </c>
      <c r="B1274" t="str" cm="1">
        <f t="array" ref="B1274">IFERROR(INDEX(tbNucleo[ESCOLA],ROUNDUP(ROW(B1273)/TotalEtapas,0)),"")</f>
        <v/>
      </c>
      <c r="E1274" t="str">
        <f>IFERROR(VLOOKUP(tbEscolas[[#This Row],[COD ETPA]],tbEtapas[],2,FALSE),"")</f>
        <v/>
      </c>
      <c r="F1274" t="str">
        <f>IFERROR(VLOOKUP(tbEscolas[[#This Row],[COD ETPA]],tbEtapas[],3,FALSE),"")</f>
        <v/>
      </c>
    </row>
    <row r="1275" spans="1:6" x14ac:dyDescent="0.25">
      <c r="A1275" s="24" t="str">
        <f>_xlfn.XLOOKUP(tbEscolas[[#This Row],[ESCOLA]],tbNucleo[ESCOLA],tbNucleo[COD ESCOLA],"")</f>
        <v/>
      </c>
      <c r="B1275" t="str" cm="1">
        <f t="array" ref="B1275">IFERROR(INDEX(tbNucleo[ESCOLA],ROUNDUP(ROW(B1274)/TotalEtapas,0)),"")</f>
        <v/>
      </c>
      <c r="E1275" t="str">
        <f>IFERROR(VLOOKUP(tbEscolas[[#This Row],[COD ETPA]],tbEtapas[],2,FALSE),"")</f>
        <v/>
      </c>
      <c r="F1275" t="str">
        <f>IFERROR(VLOOKUP(tbEscolas[[#This Row],[COD ETPA]],tbEtapas[],3,FALSE),"")</f>
        <v/>
      </c>
    </row>
    <row r="1276" spans="1:6" x14ac:dyDescent="0.25">
      <c r="A1276" s="24" t="str">
        <f>_xlfn.XLOOKUP(tbEscolas[[#This Row],[ESCOLA]],tbNucleo[ESCOLA],tbNucleo[COD ESCOLA],"")</f>
        <v/>
      </c>
      <c r="B1276" t="str" cm="1">
        <f t="array" ref="B1276">IFERROR(INDEX(tbNucleo[ESCOLA],ROUNDUP(ROW(B1275)/TotalEtapas,0)),"")</f>
        <v/>
      </c>
      <c r="E1276" t="str">
        <f>IFERROR(VLOOKUP(tbEscolas[[#This Row],[COD ETPA]],tbEtapas[],2,FALSE),"")</f>
        <v/>
      </c>
      <c r="F1276" t="str">
        <f>IFERROR(VLOOKUP(tbEscolas[[#This Row],[COD ETPA]],tbEtapas[],3,FALSE),"")</f>
        <v/>
      </c>
    </row>
    <row r="1277" spans="1:6" x14ac:dyDescent="0.25">
      <c r="A1277" s="24" t="str">
        <f>_xlfn.XLOOKUP(tbEscolas[[#This Row],[ESCOLA]],tbNucleo[ESCOLA],tbNucleo[COD ESCOLA],"")</f>
        <v/>
      </c>
      <c r="B1277" t="str" cm="1">
        <f t="array" ref="B1277">IFERROR(INDEX(tbNucleo[ESCOLA],ROUNDUP(ROW(B1276)/TotalEtapas,0)),"")</f>
        <v/>
      </c>
      <c r="E1277" t="str">
        <f>IFERROR(VLOOKUP(tbEscolas[[#This Row],[COD ETPA]],tbEtapas[],2,FALSE),"")</f>
        <v/>
      </c>
      <c r="F1277" t="str">
        <f>IFERROR(VLOOKUP(tbEscolas[[#This Row],[COD ETPA]],tbEtapas[],3,FALSE),"")</f>
        <v/>
      </c>
    </row>
    <row r="1278" spans="1:6" x14ac:dyDescent="0.25">
      <c r="A1278" s="24" t="str">
        <f>_xlfn.XLOOKUP(tbEscolas[[#This Row],[ESCOLA]],tbNucleo[ESCOLA],tbNucleo[COD ESCOLA],"")</f>
        <v/>
      </c>
      <c r="B1278" t="str" cm="1">
        <f t="array" ref="B1278">IFERROR(INDEX(tbNucleo[ESCOLA],ROUNDUP(ROW(B1277)/TotalEtapas,0)),"")</f>
        <v/>
      </c>
      <c r="E1278" t="str">
        <f>IFERROR(VLOOKUP(tbEscolas[[#This Row],[COD ETPA]],tbEtapas[],2,FALSE),"")</f>
        <v/>
      </c>
      <c r="F1278" t="str">
        <f>IFERROR(VLOOKUP(tbEscolas[[#This Row],[COD ETPA]],tbEtapas[],3,FALSE),"")</f>
        <v/>
      </c>
    </row>
    <row r="1279" spans="1:6" x14ac:dyDescent="0.25">
      <c r="A1279" s="24" t="str">
        <f>_xlfn.XLOOKUP(tbEscolas[[#This Row],[ESCOLA]],tbNucleo[ESCOLA],tbNucleo[COD ESCOLA],"")</f>
        <v/>
      </c>
      <c r="B1279" t="str" cm="1">
        <f t="array" ref="B1279">IFERROR(INDEX(tbNucleo[ESCOLA],ROUNDUP(ROW(B1278)/TotalEtapas,0)),"")</f>
        <v/>
      </c>
      <c r="E1279" t="str">
        <f>IFERROR(VLOOKUP(tbEscolas[[#This Row],[COD ETPA]],tbEtapas[],2,FALSE),"")</f>
        <v/>
      </c>
      <c r="F1279" t="str">
        <f>IFERROR(VLOOKUP(tbEscolas[[#This Row],[COD ETPA]],tbEtapas[],3,FALSE),"")</f>
        <v/>
      </c>
    </row>
    <row r="1280" spans="1:6" x14ac:dyDescent="0.25">
      <c r="A1280" s="24" t="str">
        <f>_xlfn.XLOOKUP(tbEscolas[[#This Row],[ESCOLA]],tbNucleo[ESCOLA],tbNucleo[COD ESCOLA],"")</f>
        <v/>
      </c>
      <c r="B1280" t="str" cm="1">
        <f t="array" ref="B1280">IFERROR(INDEX(tbNucleo[ESCOLA],ROUNDUP(ROW(B1279)/TotalEtapas,0)),"")</f>
        <v/>
      </c>
      <c r="E1280" t="str">
        <f>IFERROR(VLOOKUP(tbEscolas[[#This Row],[COD ETPA]],tbEtapas[],2,FALSE),"")</f>
        <v/>
      </c>
      <c r="F1280" t="str">
        <f>IFERROR(VLOOKUP(tbEscolas[[#This Row],[COD ETPA]],tbEtapas[],3,FALSE),"")</f>
        <v/>
      </c>
    </row>
    <row r="1281" spans="1:6" x14ac:dyDescent="0.25">
      <c r="A1281" s="24" t="str">
        <f>_xlfn.XLOOKUP(tbEscolas[[#This Row],[ESCOLA]],tbNucleo[ESCOLA],tbNucleo[COD ESCOLA],"")</f>
        <v/>
      </c>
      <c r="B1281" t="str" cm="1">
        <f t="array" ref="B1281">IFERROR(INDEX(tbNucleo[ESCOLA],ROUNDUP(ROW(B1280)/TotalEtapas,0)),"")</f>
        <v/>
      </c>
      <c r="E1281" t="str">
        <f>IFERROR(VLOOKUP(tbEscolas[[#This Row],[COD ETPA]],tbEtapas[],2,FALSE),"")</f>
        <v/>
      </c>
      <c r="F1281" t="str">
        <f>IFERROR(VLOOKUP(tbEscolas[[#This Row],[COD ETPA]],tbEtapas[],3,FALSE),"")</f>
        <v/>
      </c>
    </row>
    <row r="1282" spans="1:6" x14ac:dyDescent="0.25">
      <c r="A1282" s="24" t="str">
        <f>_xlfn.XLOOKUP(tbEscolas[[#This Row],[ESCOLA]],tbNucleo[ESCOLA],tbNucleo[COD ESCOLA],"")</f>
        <v/>
      </c>
      <c r="B1282" t="str" cm="1">
        <f t="array" ref="B1282">IFERROR(INDEX(tbNucleo[ESCOLA],ROUNDUP(ROW(B1281)/TotalEtapas,0)),"")</f>
        <v/>
      </c>
      <c r="E1282" t="str">
        <f>IFERROR(VLOOKUP(tbEscolas[[#This Row],[COD ETPA]],tbEtapas[],2,FALSE),"")</f>
        <v/>
      </c>
      <c r="F1282" t="str">
        <f>IFERROR(VLOOKUP(tbEscolas[[#This Row],[COD ETPA]],tbEtapas[],3,FALSE),"")</f>
        <v/>
      </c>
    </row>
    <row r="1283" spans="1:6" x14ac:dyDescent="0.25">
      <c r="A1283" s="24" t="str">
        <f>_xlfn.XLOOKUP(tbEscolas[[#This Row],[ESCOLA]],tbNucleo[ESCOLA],tbNucleo[COD ESCOLA],"")</f>
        <v/>
      </c>
      <c r="B1283" t="str" cm="1">
        <f t="array" ref="B1283">IFERROR(INDEX(tbNucleo[ESCOLA],ROUNDUP(ROW(B1282)/TotalEtapas,0)),"")</f>
        <v/>
      </c>
      <c r="E1283" t="str">
        <f>IFERROR(VLOOKUP(tbEscolas[[#This Row],[COD ETPA]],tbEtapas[],2,FALSE),"")</f>
        <v/>
      </c>
      <c r="F1283" t="str">
        <f>IFERROR(VLOOKUP(tbEscolas[[#This Row],[COD ETPA]],tbEtapas[],3,FALSE),"")</f>
        <v/>
      </c>
    </row>
    <row r="1284" spans="1:6" x14ac:dyDescent="0.25">
      <c r="A1284" s="24" t="str">
        <f>_xlfn.XLOOKUP(tbEscolas[[#This Row],[ESCOLA]],tbNucleo[ESCOLA],tbNucleo[COD ESCOLA],"")</f>
        <v/>
      </c>
      <c r="B1284" t="str" cm="1">
        <f t="array" ref="B1284">IFERROR(INDEX(tbNucleo[ESCOLA],ROUNDUP(ROW(B1283)/TotalEtapas,0)),"")</f>
        <v/>
      </c>
      <c r="E1284" t="str">
        <f>IFERROR(VLOOKUP(tbEscolas[[#This Row],[COD ETPA]],tbEtapas[],2,FALSE),"")</f>
        <v/>
      </c>
      <c r="F1284" t="str">
        <f>IFERROR(VLOOKUP(tbEscolas[[#This Row],[COD ETPA]],tbEtapas[],3,FALSE),"")</f>
        <v/>
      </c>
    </row>
    <row r="1285" spans="1:6" x14ac:dyDescent="0.25">
      <c r="A1285" s="24" t="str">
        <f>_xlfn.XLOOKUP(tbEscolas[[#This Row],[ESCOLA]],tbNucleo[ESCOLA],tbNucleo[COD ESCOLA],"")</f>
        <v/>
      </c>
      <c r="B1285" t="str" cm="1">
        <f t="array" ref="B1285">IFERROR(INDEX(tbNucleo[ESCOLA],ROUNDUP(ROW(B1284)/TotalEtapas,0)),"")</f>
        <v/>
      </c>
      <c r="E1285" t="str">
        <f>IFERROR(VLOOKUP(tbEscolas[[#This Row],[COD ETPA]],tbEtapas[],2,FALSE),"")</f>
        <v/>
      </c>
      <c r="F1285" t="str">
        <f>IFERROR(VLOOKUP(tbEscolas[[#This Row],[COD ETPA]],tbEtapas[],3,FALSE),"")</f>
        <v/>
      </c>
    </row>
    <row r="1286" spans="1:6" x14ac:dyDescent="0.25">
      <c r="A1286" s="24" t="str">
        <f>_xlfn.XLOOKUP(tbEscolas[[#This Row],[ESCOLA]],tbNucleo[ESCOLA],tbNucleo[COD ESCOLA],"")</f>
        <v/>
      </c>
      <c r="B1286" t="str" cm="1">
        <f t="array" ref="B1286">IFERROR(INDEX(tbNucleo[ESCOLA],ROUNDUP(ROW(B1285)/TotalEtapas,0)),"")</f>
        <v/>
      </c>
      <c r="E1286" t="str">
        <f>IFERROR(VLOOKUP(tbEscolas[[#This Row],[COD ETPA]],tbEtapas[],2,FALSE),"")</f>
        <v/>
      </c>
      <c r="F1286" t="str">
        <f>IFERROR(VLOOKUP(tbEscolas[[#This Row],[COD ETPA]],tbEtapas[],3,FALSE),"")</f>
        <v/>
      </c>
    </row>
    <row r="1287" spans="1:6" x14ac:dyDescent="0.25">
      <c r="A1287" s="24" t="str">
        <f>_xlfn.XLOOKUP(tbEscolas[[#This Row],[ESCOLA]],tbNucleo[ESCOLA],tbNucleo[COD ESCOLA],"")</f>
        <v/>
      </c>
      <c r="B1287" t="str" cm="1">
        <f t="array" ref="B1287">IFERROR(INDEX(tbNucleo[ESCOLA],ROUNDUP(ROW(B1286)/TotalEtapas,0)),"")</f>
        <v/>
      </c>
      <c r="E1287" t="str">
        <f>IFERROR(VLOOKUP(tbEscolas[[#This Row],[COD ETPA]],tbEtapas[],2,FALSE),"")</f>
        <v/>
      </c>
      <c r="F1287" t="str">
        <f>IFERROR(VLOOKUP(tbEscolas[[#This Row],[COD ETPA]],tbEtapas[],3,FALSE),"")</f>
        <v/>
      </c>
    </row>
    <row r="1288" spans="1:6" x14ac:dyDescent="0.25">
      <c r="A1288" s="24" t="str">
        <f>_xlfn.XLOOKUP(tbEscolas[[#This Row],[ESCOLA]],tbNucleo[ESCOLA],tbNucleo[COD ESCOLA],"")</f>
        <v/>
      </c>
      <c r="B1288" t="str" cm="1">
        <f t="array" ref="B1288">IFERROR(INDEX(tbNucleo[ESCOLA],ROUNDUP(ROW(B1287)/TotalEtapas,0)),"")</f>
        <v/>
      </c>
      <c r="E1288" t="str">
        <f>IFERROR(VLOOKUP(tbEscolas[[#This Row],[COD ETPA]],tbEtapas[],2,FALSE),"")</f>
        <v/>
      </c>
      <c r="F1288" t="str">
        <f>IFERROR(VLOOKUP(tbEscolas[[#This Row],[COD ETPA]],tbEtapas[],3,FALSE),"")</f>
        <v/>
      </c>
    </row>
    <row r="1289" spans="1:6" x14ac:dyDescent="0.25">
      <c r="A1289" s="24" t="str">
        <f>_xlfn.XLOOKUP(tbEscolas[[#This Row],[ESCOLA]],tbNucleo[ESCOLA],tbNucleo[COD ESCOLA],"")</f>
        <v/>
      </c>
      <c r="B1289" t="str" cm="1">
        <f t="array" ref="B1289">IFERROR(INDEX(tbNucleo[ESCOLA],ROUNDUP(ROW(B1288)/TotalEtapas,0)),"")</f>
        <v/>
      </c>
      <c r="E1289" t="str">
        <f>IFERROR(VLOOKUP(tbEscolas[[#This Row],[COD ETPA]],tbEtapas[],2,FALSE),"")</f>
        <v/>
      </c>
      <c r="F1289" t="str">
        <f>IFERROR(VLOOKUP(tbEscolas[[#This Row],[COD ETPA]],tbEtapas[],3,FALSE),"")</f>
        <v/>
      </c>
    </row>
    <row r="1290" spans="1:6" x14ac:dyDescent="0.25">
      <c r="A1290" s="24" t="str">
        <f>_xlfn.XLOOKUP(tbEscolas[[#This Row],[ESCOLA]],tbNucleo[ESCOLA],tbNucleo[COD ESCOLA],"")</f>
        <v/>
      </c>
      <c r="B1290" t="str" cm="1">
        <f t="array" ref="B1290">IFERROR(INDEX(tbNucleo[ESCOLA],ROUNDUP(ROW(B1289)/TotalEtapas,0)),"")</f>
        <v/>
      </c>
      <c r="E1290" t="str">
        <f>IFERROR(VLOOKUP(tbEscolas[[#This Row],[COD ETPA]],tbEtapas[],2,FALSE),"")</f>
        <v/>
      </c>
      <c r="F1290" t="str">
        <f>IFERROR(VLOOKUP(tbEscolas[[#This Row],[COD ETPA]],tbEtapas[],3,FALSE),"")</f>
        <v/>
      </c>
    </row>
    <row r="1291" spans="1:6" x14ac:dyDescent="0.25">
      <c r="A1291" s="24" t="str">
        <f>_xlfn.XLOOKUP(tbEscolas[[#This Row],[ESCOLA]],tbNucleo[ESCOLA],tbNucleo[COD ESCOLA],"")</f>
        <v/>
      </c>
      <c r="B1291" t="str" cm="1">
        <f t="array" ref="B1291">IFERROR(INDEX(tbNucleo[ESCOLA],ROUNDUP(ROW(B1290)/TotalEtapas,0)),"")</f>
        <v/>
      </c>
      <c r="E1291" t="str">
        <f>IFERROR(VLOOKUP(tbEscolas[[#This Row],[COD ETPA]],tbEtapas[],2,FALSE),"")</f>
        <v/>
      </c>
      <c r="F1291" t="str">
        <f>IFERROR(VLOOKUP(tbEscolas[[#This Row],[COD ETPA]],tbEtapas[],3,FALSE),"")</f>
        <v/>
      </c>
    </row>
    <row r="1292" spans="1:6" x14ac:dyDescent="0.25">
      <c r="A1292" s="24" t="str">
        <f>_xlfn.XLOOKUP(tbEscolas[[#This Row],[ESCOLA]],tbNucleo[ESCOLA],tbNucleo[COD ESCOLA],"")</f>
        <v/>
      </c>
      <c r="B1292" t="str" cm="1">
        <f t="array" ref="B1292">IFERROR(INDEX(tbNucleo[ESCOLA],ROUNDUP(ROW(B1291)/TotalEtapas,0)),"")</f>
        <v/>
      </c>
      <c r="E1292" t="str">
        <f>IFERROR(VLOOKUP(tbEscolas[[#This Row],[COD ETPA]],tbEtapas[],2,FALSE),"")</f>
        <v/>
      </c>
      <c r="F1292" t="str">
        <f>IFERROR(VLOOKUP(tbEscolas[[#This Row],[COD ETPA]],tbEtapas[],3,FALSE),"")</f>
        <v/>
      </c>
    </row>
    <row r="1293" spans="1:6" x14ac:dyDescent="0.25">
      <c r="A1293" s="24" t="str">
        <f>_xlfn.XLOOKUP(tbEscolas[[#This Row],[ESCOLA]],tbNucleo[ESCOLA],tbNucleo[COD ESCOLA],"")</f>
        <v/>
      </c>
      <c r="B1293" t="str" cm="1">
        <f t="array" ref="B1293">IFERROR(INDEX(tbNucleo[ESCOLA],ROUNDUP(ROW(B1292)/TotalEtapas,0)),"")</f>
        <v/>
      </c>
      <c r="E1293" t="str">
        <f>IFERROR(VLOOKUP(tbEscolas[[#This Row],[COD ETPA]],tbEtapas[],2,FALSE),"")</f>
        <v/>
      </c>
      <c r="F1293" t="str">
        <f>IFERROR(VLOOKUP(tbEscolas[[#This Row],[COD ETPA]],tbEtapas[],3,FALSE),"")</f>
        <v/>
      </c>
    </row>
    <row r="1294" spans="1:6" x14ac:dyDescent="0.25">
      <c r="A1294" s="24" t="str">
        <f>_xlfn.XLOOKUP(tbEscolas[[#This Row],[ESCOLA]],tbNucleo[ESCOLA],tbNucleo[COD ESCOLA],"")</f>
        <v/>
      </c>
      <c r="B1294" t="str" cm="1">
        <f t="array" ref="B1294">IFERROR(INDEX(tbNucleo[ESCOLA],ROUNDUP(ROW(B1293)/TotalEtapas,0)),"")</f>
        <v/>
      </c>
      <c r="E1294" t="str">
        <f>IFERROR(VLOOKUP(tbEscolas[[#This Row],[COD ETPA]],tbEtapas[],2,FALSE),"")</f>
        <v/>
      </c>
      <c r="F1294" t="str">
        <f>IFERROR(VLOOKUP(tbEscolas[[#This Row],[COD ETPA]],tbEtapas[],3,FALSE),"")</f>
        <v/>
      </c>
    </row>
    <row r="1295" spans="1:6" x14ac:dyDescent="0.25">
      <c r="A1295" s="24" t="str">
        <f>_xlfn.XLOOKUP(tbEscolas[[#This Row],[ESCOLA]],tbNucleo[ESCOLA],tbNucleo[COD ESCOLA],"")</f>
        <v/>
      </c>
      <c r="B1295" t="str" cm="1">
        <f t="array" ref="B1295">IFERROR(INDEX(tbNucleo[ESCOLA],ROUNDUP(ROW(B1294)/TotalEtapas,0)),"")</f>
        <v/>
      </c>
      <c r="E1295" t="str">
        <f>IFERROR(VLOOKUP(tbEscolas[[#This Row],[COD ETPA]],tbEtapas[],2,FALSE),"")</f>
        <v/>
      </c>
      <c r="F1295" t="str">
        <f>IFERROR(VLOOKUP(tbEscolas[[#This Row],[COD ETPA]],tbEtapas[],3,FALSE),"")</f>
        <v/>
      </c>
    </row>
    <row r="1296" spans="1:6" x14ac:dyDescent="0.25">
      <c r="A1296" s="24" t="str">
        <f>_xlfn.XLOOKUP(tbEscolas[[#This Row],[ESCOLA]],tbNucleo[ESCOLA],tbNucleo[COD ESCOLA],"")</f>
        <v/>
      </c>
      <c r="B1296" t="str" cm="1">
        <f t="array" ref="B1296">IFERROR(INDEX(tbNucleo[ESCOLA],ROUNDUP(ROW(B1295)/TotalEtapas,0)),"")</f>
        <v/>
      </c>
      <c r="E1296" t="str">
        <f>IFERROR(VLOOKUP(tbEscolas[[#This Row],[COD ETPA]],tbEtapas[],2,FALSE),"")</f>
        <v/>
      </c>
      <c r="F1296" t="str">
        <f>IFERROR(VLOOKUP(tbEscolas[[#This Row],[COD ETPA]],tbEtapas[],3,FALSE),"")</f>
        <v/>
      </c>
    </row>
    <row r="1297" spans="1:6" x14ac:dyDescent="0.25">
      <c r="A1297" s="24" t="str">
        <f>_xlfn.XLOOKUP(tbEscolas[[#This Row],[ESCOLA]],tbNucleo[ESCOLA],tbNucleo[COD ESCOLA],"")</f>
        <v/>
      </c>
      <c r="B1297" t="str" cm="1">
        <f t="array" ref="B1297">IFERROR(INDEX(tbNucleo[ESCOLA],ROUNDUP(ROW(B1296)/TotalEtapas,0)),"")</f>
        <v/>
      </c>
      <c r="E1297" t="str">
        <f>IFERROR(VLOOKUP(tbEscolas[[#This Row],[COD ETPA]],tbEtapas[],2,FALSE),"")</f>
        <v/>
      </c>
      <c r="F1297" t="str">
        <f>IFERROR(VLOOKUP(tbEscolas[[#This Row],[COD ETPA]],tbEtapas[],3,FALSE),"")</f>
        <v/>
      </c>
    </row>
    <row r="1298" spans="1:6" x14ac:dyDescent="0.25">
      <c r="A1298" s="24" t="str">
        <f>_xlfn.XLOOKUP(tbEscolas[[#This Row],[ESCOLA]],tbNucleo[ESCOLA],tbNucleo[COD ESCOLA],"")</f>
        <v/>
      </c>
      <c r="B1298" t="str" cm="1">
        <f t="array" ref="B1298">IFERROR(INDEX(tbNucleo[ESCOLA],ROUNDUP(ROW(B1297)/TotalEtapas,0)),"")</f>
        <v/>
      </c>
      <c r="E1298" t="str">
        <f>IFERROR(VLOOKUP(tbEscolas[[#This Row],[COD ETPA]],tbEtapas[],2,FALSE),"")</f>
        <v/>
      </c>
      <c r="F1298" t="str">
        <f>IFERROR(VLOOKUP(tbEscolas[[#This Row],[COD ETPA]],tbEtapas[],3,FALSE),"")</f>
        <v/>
      </c>
    </row>
    <row r="1299" spans="1:6" x14ac:dyDescent="0.25">
      <c r="A1299" s="24" t="str">
        <f>_xlfn.XLOOKUP(tbEscolas[[#This Row],[ESCOLA]],tbNucleo[ESCOLA],tbNucleo[COD ESCOLA],"")</f>
        <v/>
      </c>
      <c r="B1299" t="str" cm="1">
        <f t="array" ref="B1299">IFERROR(INDEX(tbNucleo[ESCOLA],ROUNDUP(ROW(B1298)/TotalEtapas,0)),"")</f>
        <v/>
      </c>
      <c r="E1299" t="str">
        <f>IFERROR(VLOOKUP(tbEscolas[[#This Row],[COD ETPA]],tbEtapas[],2,FALSE),"")</f>
        <v/>
      </c>
      <c r="F1299" t="str">
        <f>IFERROR(VLOOKUP(tbEscolas[[#This Row],[COD ETPA]],tbEtapas[],3,FALSE),"")</f>
        <v/>
      </c>
    </row>
    <row r="1300" spans="1:6" x14ac:dyDescent="0.25">
      <c r="A1300" s="24" t="str">
        <f>_xlfn.XLOOKUP(tbEscolas[[#This Row],[ESCOLA]],tbNucleo[ESCOLA],tbNucleo[COD ESCOLA],"")</f>
        <v/>
      </c>
      <c r="B1300" t="str" cm="1">
        <f t="array" ref="B1300">IFERROR(INDEX(tbNucleo[ESCOLA],ROUNDUP(ROW(B1299)/TotalEtapas,0)),"")</f>
        <v/>
      </c>
      <c r="E1300" t="str">
        <f>IFERROR(VLOOKUP(tbEscolas[[#This Row],[COD ETPA]],tbEtapas[],2,FALSE),"")</f>
        <v/>
      </c>
      <c r="F1300" t="str">
        <f>IFERROR(VLOOKUP(tbEscolas[[#This Row],[COD ETPA]],tbEtapas[],3,FALSE),"")</f>
        <v/>
      </c>
    </row>
    <row r="1301" spans="1:6" x14ac:dyDescent="0.25">
      <c r="A1301" s="24" t="str">
        <f>_xlfn.XLOOKUP(tbEscolas[[#This Row],[ESCOLA]],tbNucleo[ESCOLA],tbNucleo[COD ESCOLA],"")</f>
        <v/>
      </c>
      <c r="B1301" t="str" cm="1">
        <f t="array" ref="B1301">IFERROR(INDEX(tbNucleo[ESCOLA],ROUNDUP(ROW(B1300)/TotalEtapas,0)),"")</f>
        <v/>
      </c>
      <c r="E1301" t="str">
        <f>IFERROR(VLOOKUP(tbEscolas[[#This Row],[COD ETPA]],tbEtapas[],2,FALSE),"")</f>
        <v/>
      </c>
      <c r="F1301" t="str">
        <f>IFERROR(VLOOKUP(tbEscolas[[#This Row],[COD ETPA]],tbEtapas[],3,FALSE),"")</f>
        <v/>
      </c>
    </row>
    <row r="1302" spans="1:6" x14ac:dyDescent="0.25">
      <c r="A1302" s="24" t="str">
        <f>_xlfn.XLOOKUP(tbEscolas[[#This Row],[ESCOLA]],tbNucleo[ESCOLA],tbNucleo[COD ESCOLA],"")</f>
        <v/>
      </c>
      <c r="B1302" t="str" cm="1">
        <f t="array" ref="B1302">IFERROR(INDEX(tbNucleo[ESCOLA],ROUNDUP(ROW(B1301)/TotalEtapas,0)),"")</f>
        <v/>
      </c>
      <c r="E1302" t="str">
        <f>IFERROR(VLOOKUP(tbEscolas[[#This Row],[COD ETPA]],tbEtapas[],2,FALSE),"")</f>
        <v/>
      </c>
      <c r="F1302" t="str">
        <f>IFERROR(VLOOKUP(tbEscolas[[#This Row],[COD ETPA]],tbEtapas[],3,FALSE),"")</f>
        <v/>
      </c>
    </row>
    <row r="1303" spans="1:6" x14ac:dyDescent="0.25">
      <c r="A1303" s="24" t="str">
        <f>_xlfn.XLOOKUP(tbEscolas[[#This Row],[ESCOLA]],tbNucleo[ESCOLA],tbNucleo[COD ESCOLA],"")</f>
        <v/>
      </c>
      <c r="B1303" t="str" cm="1">
        <f t="array" ref="B1303">IFERROR(INDEX(tbNucleo[ESCOLA],ROUNDUP(ROW(B1302)/TotalEtapas,0)),"")</f>
        <v/>
      </c>
      <c r="E1303" t="str">
        <f>IFERROR(VLOOKUP(tbEscolas[[#This Row],[COD ETPA]],tbEtapas[],2,FALSE),"")</f>
        <v/>
      </c>
      <c r="F1303" t="str">
        <f>IFERROR(VLOOKUP(tbEscolas[[#This Row],[COD ETPA]],tbEtapas[],3,FALSE),"")</f>
        <v/>
      </c>
    </row>
    <row r="1304" spans="1:6" x14ac:dyDescent="0.25">
      <c r="A1304" s="24" t="str">
        <f>_xlfn.XLOOKUP(tbEscolas[[#This Row],[ESCOLA]],tbNucleo[ESCOLA],tbNucleo[COD ESCOLA],"")</f>
        <v/>
      </c>
      <c r="B1304" t="str" cm="1">
        <f t="array" ref="B1304">IFERROR(INDEX(tbNucleo[ESCOLA],ROUNDUP(ROW(B1303)/TotalEtapas,0)),"")</f>
        <v/>
      </c>
      <c r="E1304" t="str">
        <f>IFERROR(VLOOKUP(tbEscolas[[#This Row],[COD ETPA]],tbEtapas[],2,FALSE),"")</f>
        <v/>
      </c>
      <c r="F1304" t="str">
        <f>IFERROR(VLOOKUP(tbEscolas[[#This Row],[COD ETPA]],tbEtapas[],3,FALSE),"")</f>
        <v/>
      </c>
    </row>
    <row r="1305" spans="1:6" x14ac:dyDescent="0.25">
      <c r="A1305" s="24" t="str">
        <f>_xlfn.XLOOKUP(tbEscolas[[#This Row],[ESCOLA]],tbNucleo[ESCOLA],tbNucleo[COD ESCOLA],"")</f>
        <v/>
      </c>
      <c r="B1305" t="str" cm="1">
        <f t="array" ref="B1305">IFERROR(INDEX(tbNucleo[ESCOLA],ROUNDUP(ROW(B1304)/TotalEtapas,0)),"")</f>
        <v/>
      </c>
      <c r="E1305" t="str">
        <f>IFERROR(VLOOKUP(tbEscolas[[#This Row],[COD ETPA]],tbEtapas[],2,FALSE),"")</f>
        <v/>
      </c>
      <c r="F1305" t="str">
        <f>IFERROR(VLOOKUP(tbEscolas[[#This Row],[COD ETPA]],tbEtapas[],3,FALSE),"")</f>
        <v/>
      </c>
    </row>
    <row r="1306" spans="1:6" x14ac:dyDescent="0.25">
      <c r="A1306" s="24" t="str">
        <f>_xlfn.XLOOKUP(tbEscolas[[#This Row],[ESCOLA]],tbNucleo[ESCOLA],tbNucleo[COD ESCOLA],"")</f>
        <v/>
      </c>
      <c r="B1306" t="str" cm="1">
        <f t="array" ref="B1306">IFERROR(INDEX(tbNucleo[ESCOLA],ROUNDUP(ROW(B1305)/TotalEtapas,0)),"")</f>
        <v/>
      </c>
      <c r="E1306" t="str">
        <f>IFERROR(VLOOKUP(tbEscolas[[#This Row],[COD ETPA]],tbEtapas[],2,FALSE),"")</f>
        <v/>
      </c>
      <c r="F1306" t="str">
        <f>IFERROR(VLOOKUP(tbEscolas[[#This Row],[COD ETPA]],tbEtapas[],3,FALSE),"")</f>
        <v/>
      </c>
    </row>
    <row r="1307" spans="1:6" x14ac:dyDescent="0.25">
      <c r="A1307" s="24" t="str">
        <f>_xlfn.XLOOKUP(tbEscolas[[#This Row],[ESCOLA]],tbNucleo[ESCOLA],tbNucleo[COD ESCOLA],"")</f>
        <v/>
      </c>
      <c r="B1307" t="str" cm="1">
        <f t="array" ref="B1307">IFERROR(INDEX(tbNucleo[ESCOLA],ROUNDUP(ROW(B1306)/TotalEtapas,0)),"")</f>
        <v/>
      </c>
      <c r="E1307" t="str">
        <f>IFERROR(VLOOKUP(tbEscolas[[#This Row],[COD ETPA]],tbEtapas[],2,FALSE),"")</f>
        <v/>
      </c>
      <c r="F1307" t="str">
        <f>IFERROR(VLOOKUP(tbEscolas[[#This Row],[COD ETPA]],tbEtapas[],3,FALSE),"")</f>
        <v/>
      </c>
    </row>
    <row r="1308" spans="1:6" x14ac:dyDescent="0.25">
      <c r="A1308" s="24" t="str">
        <f>_xlfn.XLOOKUP(tbEscolas[[#This Row],[ESCOLA]],tbNucleo[ESCOLA],tbNucleo[COD ESCOLA],"")</f>
        <v/>
      </c>
      <c r="B1308" t="str" cm="1">
        <f t="array" ref="B1308">IFERROR(INDEX(tbNucleo[ESCOLA],ROUNDUP(ROW(B1307)/TotalEtapas,0)),"")</f>
        <v/>
      </c>
      <c r="E1308" t="str">
        <f>IFERROR(VLOOKUP(tbEscolas[[#This Row],[COD ETPA]],tbEtapas[],2,FALSE),"")</f>
        <v/>
      </c>
      <c r="F1308" t="str">
        <f>IFERROR(VLOOKUP(tbEscolas[[#This Row],[COD ETPA]],tbEtapas[],3,FALSE),"")</f>
        <v/>
      </c>
    </row>
    <row r="1309" spans="1:6" x14ac:dyDescent="0.25">
      <c r="A1309" s="24" t="str">
        <f>_xlfn.XLOOKUP(tbEscolas[[#This Row],[ESCOLA]],tbNucleo[ESCOLA],tbNucleo[COD ESCOLA],"")</f>
        <v/>
      </c>
      <c r="B1309" t="str" cm="1">
        <f t="array" ref="B1309">IFERROR(INDEX(tbNucleo[ESCOLA],ROUNDUP(ROW(B1308)/TotalEtapas,0)),"")</f>
        <v/>
      </c>
      <c r="E1309" t="str">
        <f>IFERROR(VLOOKUP(tbEscolas[[#This Row],[COD ETPA]],tbEtapas[],2,FALSE),"")</f>
        <v/>
      </c>
      <c r="F1309" t="str">
        <f>IFERROR(VLOOKUP(tbEscolas[[#This Row],[COD ETPA]],tbEtapas[],3,FALSE),"")</f>
        <v/>
      </c>
    </row>
    <row r="1310" spans="1:6" x14ac:dyDescent="0.25">
      <c r="A1310" s="24" t="str">
        <f>_xlfn.XLOOKUP(tbEscolas[[#This Row],[ESCOLA]],tbNucleo[ESCOLA],tbNucleo[COD ESCOLA],"")</f>
        <v/>
      </c>
      <c r="B1310" t="str" cm="1">
        <f t="array" ref="B1310">IFERROR(INDEX(tbNucleo[ESCOLA],ROUNDUP(ROW(B1309)/TotalEtapas,0)),"")</f>
        <v/>
      </c>
      <c r="E1310" t="str">
        <f>IFERROR(VLOOKUP(tbEscolas[[#This Row],[COD ETPA]],tbEtapas[],2,FALSE),"")</f>
        <v/>
      </c>
      <c r="F1310" t="str">
        <f>IFERROR(VLOOKUP(tbEscolas[[#This Row],[COD ETPA]],tbEtapas[],3,FALSE),"")</f>
        <v/>
      </c>
    </row>
    <row r="1311" spans="1:6" x14ac:dyDescent="0.25">
      <c r="A1311" s="24" t="str">
        <f>_xlfn.XLOOKUP(tbEscolas[[#This Row],[ESCOLA]],tbNucleo[ESCOLA],tbNucleo[COD ESCOLA],"")</f>
        <v/>
      </c>
      <c r="B1311" t="str" cm="1">
        <f t="array" ref="B1311">IFERROR(INDEX(tbNucleo[ESCOLA],ROUNDUP(ROW(B1310)/TotalEtapas,0)),"")</f>
        <v/>
      </c>
      <c r="E1311" t="str">
        <f>IFERROR(VLOOKUP(tbEscolas[[#This Row],[COD ETPA]],tbEtapas[],2,FALSE),"")</f>
        <v/>
      </c>
      <c r="F1311" t="str">
        <f>IFERROR(VLOOKUP(tbEscolas[[#This Row],[COD ETPA]],tbEtapas[],3,FALSE),"")</f>
        <v/>
      </c>
    </row>
    <row r="1312" spans="1:6" x14ac:dyDescent="0.25">
      <c r="A1312" s="24" t="str">
        <f>_xlfn.XLOOKUP(tbEscolas[[#This Row],[ESCOLA]],tbNucleo[ESCOLA],tbNucleo[COD ESCOLA],"")</f>
        <v/>
      </c>
      <c r="B1312" t="str" cm="1">
        <f t="array" ref="B1312">IFERROR(INDEX(tbNucleo[ESCOLA],ROUNDUP(ROW(B1311)/TotalEtapas,0)),"")</f>
        <v/>
      </c>
      <c r="E1312" t="str">
        <f>IFERROR(VLOOKUP(tbEscolas[[#This Row],[COD ETPA]],tbEtapas[],2,FALSE),"")</f>
        <v/>
      </c>
      <c r="F1312" t="str">
        <f>IFERROR(VLOOKUP(tbEscolas[[#This Row],[COD ETPA]],tbEtapas[],3,FALSE),"")</f>
        <v/>
      </c>
    </row>
    <row r="1313" spans="1:6" x14ac:dyDescent="0.25">
      <c r="A1313" s="24" t="str">
        <f>_xlfn.XLOOKUP(tbEscolas[[#This Row],[ESCOLA]],tbNucleo[ESCOLA],tbNucleo[COD ESCOLA],"")</f>
        <v/>
      </c>
      <c r="B1313" t="str" cm="1">
        <f t="array" ref="B1313">IFERROR(INDEX(tbNucleo[ESCOLA],ROUNDUP(ROW(B1312)/TotalEtapas,0)),"")</f>
        <v/>
      </c>
      <c r="E1313" t="str">
        <f>IFERROR(VLOOKUP(tbEscolas[[#This Row],[COD ETPA]],tbEtapas[],2,FALSE),"")</f>
        <v/>
      </c>
      <c r="F1313" t="str">
        <f>IFERROR(VLOOKUP(tbEscolas[[#This Row],[COD ETPA]],tbEtapas[],3,FALSE),"")</f>
        <v/>
      </c>
    </row>
    <row r="1314" spans="1:6" x14ac:dyDescent="0.25">
      <c r="A1314" s="24" t="str">
        <f>_xlfn.XLOOKUP(tbEscolas[[#This Row],[ESCOLA]],tbNucleo[ESCOLA],tbNucleo[COD ESCOLA],"")</f>
        <v/>
      </c>
      <c r="B1314" t="str" cm="1">
        <f t="array" ref="B1314">IFERROR(INDEX(tbNucleo[ESCOLA],ROUNDUP(ROW(B1313)/TotalEtapas,0)),"")</f>
        <v/>
      </c>
      <c r="E1314" t="str">
        <f>IFERROR(VLOOKUP(tbEscolas[[#This Row],[COD ETPA]],tbEtapas[],2,FALSE),"")</f>
        <v/>
      </c>
      <c r="F1314" t="str">
        <f>IFERROR(VLOOKUP(tbEscolas[[#This Row],[COD ETPA]],tbEtapas[],3,FALSE),"")</f>
        <v/>
      </c>
    </row>
    <row r="1315" spans="1:6" x14ac:dyDescent="0.25">
      <c r="A1315" s="24" t="str">
        <f>_xlfn.XLOOKUP(tbEscolas[[#This Row],[ESCOLA]],tbNucleo[ESCOLA],tbNucleo[COD ESCOLA],"")</f>
        <v/>
      </c>
      <c r="B1315" t="str" cm="1">
        <f t="array" ref="B1315">IFERROR(INDEX(tbNucleo[ESCOLA],ROUNDUP(ROW(B1314)/TotalEtapas,0)),"")</f>
        <v/>
      </c>
      <c r="E1315" t="str">
        <f>IFERROR(VLOOKUP(tbEscolas[[#This Row],[COD ETPA]],tbEtapas[],2,FALSE),"")</f>
        <v/>
      </c>
      <c r="F1315" t="str">
        <f>IFERROR(VLOOKUP(tbEscolas[[#This Row],[COD ETPA]],tbEtapas[],3,FALSE),"")</f>
        <v/>
      </c>
    </row>
    <row r="1316" spans="1:6" x14ac:dyDescent="0.25">
      <c r="A1316" s="24" t="str">
        <f>_xlfn.XLOOKUP(tbEscolas[[#This Row],[ESCOLA]],tbNucleo[ESCOLA],tbNucleo[COD ESCOLA],"")</f>
        <v/>
      </c>
      <c r="B1316" t="str" cm="1">
        <f t="array" ref="B1316">IFERROR(INDEX(tbNucleo[ESCOLA],ROUNDUP(ROW(B1315)/TotalEtapas,0)),"")</f>
        <v/>
      </c>
      <c r="E1316" t="str">
        <f>IFERROR(VLOOKUP(tbEscolas[[#This Row],[COD ETPA]],tbEtapas[],2,FALSE),"")</f>
        <v/>
      </c>
      <c r="F1316" t="str">
        <f>IFERROR(VLOOKUP(tbEscolas[[#This Row],[COD ETPA]],tbEtapas[],3,FALSE),"")</f>
        <v/>
      </c>
    </row>
    <row r="1317" spans="1:6" x14ac:dyDescent="0.25">
      <c r="A1317" s="24" t="str">
        <f>_xlfn.XLOOKUP(tbEscolas[[#This Row],[ESCOLA]],tbNucleo[ESCOLA],tbNucleo[COD ESCOLA],"")</f>
        <v/>
      </c>
      <c r="B1317" t="str" cm="1">
        <f t="array" ref="B1317">IFERROR(INDEX(tbNucleo[ESCOLA],ROUNDUP(ROW(B1316)/TotalEtapas,0)),"")</f>
        <v/>
      </c>
      <c r="E1317" t="str">
        <f>IFERROR(VLOOKUP(tbEscolas[[#This Row],[COD ETPA]],tbEtapas[],2,FALSE),"")</f>
        <v/>
      </c>
      <c r="F1317" t="str">
        <f>IFERROR(VLOOKUP(tbEscolas[[#This Row],[COD ETPA]],tbEtapas[],3,FALSE),"")</f>
        <v/>
      </c>
    </row>
    <row r="1318" spans="1:6" x14ac:dyDescent="0.25">
      <c r="A1318" s="24" t="str">
        <f>_xlfn.XLOOKUP(tbEscolas[[#This Row],[ESCOLA]],tbNucleo[ESCOLA],tbNucleo[COD ESCOLA],"")</f>
        <v/>
      </c>
      <c r="B1318" t="str" cm="1">
        <f t="array" ref="B1318">IFERROR(INDEX(tbNucleo[ESCOLA],ROUNDUP(ROW(B1317)/TotalEtapas,0)),"")</f>
        <v/>
      </c>
      <c r="E1318" t="str">
        <f>IFERROR(VLOOKUP(tbEscolas[[#This Row],[COD ETPA]],tbEtapas[],2,FALSE),"")</f>
        <v/>
      </c>
      <c r="F1318" t="str">
        <f>IFERROR(VLOOKUP(tbEscolas[[#This Row],[COD ETPA]],tbEtapas[],3,FALSE),"")</f>
        <v/>
      </c>
    </row>
    <row r="1319" spans="1:6" x14ac:dyDescent="0.25">
      <c r="A1319" s="24" t="str">
        <f>_xlfn.XLOOKUP(tbEscolas[[#This Row],[ESCOLA]],tbNucleo[ESCOLA],tbNucleo[COD ESCOLA],"")</f>
        <v/>
      </c>
      <c r="B1319" t="str" cm="1">
        <f t="array" ref="B1319">IFERROR(INDEX(tbNucleo[ESCOLA],ROUNDUP(ROW(B1318)/TotalEtapas,0)),"")</f>
        <v/>
      </c>
      <c r="E1319" t="str">
        <f>IFERROR(VLOOKUP(tbEscolas[[#This Row],[COD ETPA]],tbEtapas[],2,FALSE),"")</f>
        <v/>
      </c>
      <c r="F1319" t="str">
        <f>IFERROR(VLOOKUP(tbEscolas[[#This Row],[COD ETPA]],tbEtapas[],3,FALSE),"")</f>
        <v/>
      </c>
    </row>
    <row r="1320" spans="1:6" x14ac:dyDescent="0.25">
      <c r="A1320" s="24" t="str">
        <f>_xlfn.XLOOKUP(tbEscolas[[#This Row],[ESCOLA]],tbNucleo[ESCOLA],tbNucleo[COD ESCOLA],"")</f>
        <v/>
      </c>
      <c r="B1320" t="str" cm="1">
        <f t="array" ref="B1320">IFERROR(INDEX(tbNucleo[ESCOLA],ROUNDUP(ROW(B1319)/TotalEtapas,0)),"")</f>
        <v/>
      </c>
      <c r="E1320" t="str">
        <f>IFERROR(VLOOKUP(tbEscolas[[#This Row],[COD ETPA]],tbEtapas[],2,FALSE),"")</f>
        <v/>
      </c>
      <c r="F1320" t="str">
        <f>IFERROR(VLOOKUP(tbEscolas[[#This Row],[COD ETPA]],tbEtapas[],3,FALSE),"")</f>
        <v/>
      </c>
    </row>
    <row r="1321" spans="1:6" x14ac:dyDescent="0.25">
      <c r="A1321" s="24" t="str">
        <f>_xlfn.XLOOKUP(tbEscolas[[#This Row],[ESCOLA]],tbNucleo[ESCOLA],tbNucleo[COD ESCOLA],"")</f>
        <v/>
      </c>
      <c r="B1321" t="str" cm="1">
        <f t="array" ref="B1321">IFERROR(INDEX(tbNucleo[ESCOLA],ROUNDUP(ROW(B1320)/TotalEtapas,0)),"")</f>
        <v/>
      </c>
      <c r="E1321" t="str">
        <f>IFERROR(VLOOKUP(tbEscolas[[#This Row],[COD ETPA]],tbEtapas[],2,FALSE),"")</f>
        <v/>
      </c>
      <c r="F1321" t="str">
        <f>IFERROR(VLOOKUP(tbEscolas[[#This Row],[COD ETPA]],tbEtapas[],3,FALSE),"")</f>
        <v/>
      </c>
    </row>
    <row r="1322" spans="1:6" x14ac:dyDescent="0.25">
      <c r="A1322" s="24" t="str">
        <f>_xlfn.XLOOKUP(tbEscolas[[#This Row],[ESCOLA]],tbNucleo[ESCOLA],tbNucleo[COD ESCOLA],"")</f>
        <v/>
      </c>
      <c r="B1322" t="str" cm="1">
        <f t="array" ref="B1322">IFERROR(INDEX(tbNucleo[ESCOLA],ROUNDUP(ROW(B1321)/TotalEtapas,0)),"")</f>
        <v/>
      </c>
      <c r="E1322" t="str">
        <f>IFERROR(VLOOKUP(tbEscolas[[#This Row],[COD ETPA]],tbEtapas[],2,FALSE),"")</f>
        <v/>
      </c>
      <c r="F1322" t="str">
        <f>IFERROR(VLOOKUP(tbEscolas[[#This Row],[COD ETPA]],tbEtapas[],3,FALSE),"")</f>
        <v/>
      </c>
    </row>
    <row r="1323" spans="1:6" x14ac:dyDescent="0.25">
      <c r="A1323" s="24" t="str">
        <f>_xlfn.XLOOKUP(tbEscolas[[#This Row],[ESCOLA]],tbNucleo[ESCOLA],tbNucleo[COD ESCOLA],"")</f>
        <v/>
      </c>
      <c r="B1323" t="str" cm="1">
        <f t="array" ref="B1323">IFERROR(INDEX(tbNucleo[ESCOLA],ROUNDUP(ROW(B1322)/TotalEtapas,0)),"")</f>
        <v/>
      </c>
      <c r="E1323" t="str">
        <f>IFERROR(VLOOKUP(tbEscolas[[#This Row],[COD ETPA]],tbEtapas[],2,FALSE),"")</f>
        <v/>
      </c>
      <c r="F1323" t="str">
        <f>IFERROR(VLOOKUP(tbEscolas[[#This Row],[COD ETPA]],tbEtapas[],3,FALSE),"")</f>
        <v/>
      </c>
    </row>
    <row r="1324" spans="1:6" x14ac:dyDescent="0.25">
      <c r="A1324" s="24" t="str">
        <f>_xlfn.XLOOKUP(tbEscolas[[#This Row],[ESCOLA]],tbNucleo[ESCOLA],tbNucleo[COD ESCOLA],"")</f>
        <v/>
      </c>
      <c r="B1324" t="str" cm="1">
        <f t="array" ref="B1324">IFERROR(INDEX(tbNucleo[ESCOLA],ROUNDUP(ROW(B1323)/TotalEtapas,0)),"")</f>
        <v/>
      </c>
      <c r="E1324" t="str">
        <f>IFERROR(VLOOKUP(tbEscolas[[#This Row],[COD ETPA]],tbEtapas[],2,FALSE),"")</f>
        <v/>
      </c>
      <c r="F1324" t="str">
        <f>IFERROR(VLOOKUP(tbEscolas[[#This Row],[COD ETPA]],tbEtapas[],3,FALSE),"")</f>
        <v/>
      </c>
    </row>
    <row r="1325" spans="1:6" x14ac:dyDescent="0.25">
      <c r="A1325" s="24" t="str">
        <f>_xlfn.XLOOKUP(tbEscolas[[#This Row],[ESCOLA]],tbNucleo[ESCOLA],tbNucleo[COD ESCOLA],"")</f>
        <v/>
      </c>
      <c r="B1325" t="str" cm="1">
        <f t="array" ref="B1325">IFERROR(INDEX(tbNucleo[ESCOLA],ROUNDUP(ROW(B1324)/TotalEtapas,0)),"")</f>
        <v/>
      </c>
      <c r="E1325" t="str">
        <f>IFERROR(VLOOKUP(tbEscolas[[#This Row],[COD ETPA]],tbEtapas[],2,FALSE),"")</f>
        <v/>
      </c>
      <c r="F1325" t="str">
        <f>IFERROR(VLOOKUP(tbEscolas[[#This Row],[COD ETPA]],tbEtapas[],3,FALSE),"")</f>
        <v/>
      </c>
    </row>
    <row r="1326" spans="1:6" x14ac:dyDescent="0.25">
      <c r="A1326" s="24" t="str">
        <f>_xlfn.XLOOKUP(tbEscolas[[#This Row],[ESCOLA]],tbNucleo[ESCOLA],tbNucleo[COD ESCOLA],"")</f>
        <v/>
      </c>
      <c r="B1326" t="str" cm="1">
        <f t="array" ref="B1326">IFERROR(INDEX(tbNucleo[ESCOLA],ROUNDUP(ROW(B1325)/TotalEtapas,0)),"")</f>
        <v/>
      </c>
      <c r="E1326" t="str">
        <f>IFERROR(VLOOKUP(tbEscolas[[#This Row],[COD ETPA]],tbEtapas[],2,FALSE),"")</f>
        <v/>
      </c>
      <c r="F1326" t="str">
        <f>IFERROR(VLOOKUP(tbEscolas[[#This Row],[COD ETPA]],tbEtapas[],3,FALSE),"")</f>
        <v/>
      </c>
    </row>
    <row r="1327" spans="1:6" x14ac:dyDescent="0.25">
      <c r="A1327" s="24" t="str">
        <f>_xlfn.XLOOKUP(tbEscolas[[#This Row],[ESCOLA]],tbNucleo[ESCOLA],tbNucleo[COD ESCOLA],"")</f>
        <v/>
      </c>
      <c r="B1327" t="str" cm="1">
        <f t="array" ref="B1327">IFERROR(INDEX(tbNucleo[ESCOLA],ROUNDUP(ROW(B1326)/TotalEtapas,0)),"")</f>
        <v/>
      </c>
      <c r="E1327" t="str">
        <f>IFERROR(VLOOKUP(tbEscolas[[#This Row],[COD ETPA]],tbEtapas[],2,FALSE),"")</f>
        <v/>
      </c>
      <c r="F1327" t="str">
        <f>IFERROR(VLOOKUP(tbEscolas[[#This Row],[COD ETPA]],tbEtapas[],3,FALSE),"")</f>
        <v/>
      </c>
    </row>
    <row r="1328" spans="1:6" x14ac:dyDescent="0.25">
      <c r="A1328" s="24" t="str">
        <f>_xlfn.XLOOKUP(tbEscolas[[#This Row],[ESCOLA]],tbNucleo[ESCOLA],tbNucleo[COD ESCOLA],"")</f>
        <v/>
      </c>
      <c r="B1328" t="str" cm="1">
        <f t="array" ref="B1328">IFERROR(INDEX(tbNucleo[ESCOLA],ROUNDUP(ROW(B1327)/TotalEtapas,0)),"")</f>
        <v/>
      </c>
      <c r="E1328" t="str">
        <f>IFERROR(VLOOKUP(tbEscolas[[#This Row],[COD ETPA]],tbEtapas[],2,FALSE),"")</f>
        <v/>
      </c>
      <c r="F1328" t="str">
        <f>IFERROR(VLOOKUP(tbEscolas[[#This Row],[COD ETPA]],tbEtapas[],3,FALSE),"")</f>
        <v/>
      </c>
    </row>
    <row r="1329" spans="1:6" x14ac:dyDescent="0.25">
      <c r="A1329" s="24" t="str">
        <f>_xlfn.XLOOKUP(tbEscolas[[#This Row],[ESCOLA]],tbNucleo[ESCOLA],tbNucleo[COD ESCOLA],"")</f>
        <v/>
      </c>
      <c r="B1329" t="str" cm="1">
        <f t="array" ref="B1329">IFERROR(INDEX(tbNucleo[ESCOLA],ROUNDUP(ROW(B1328)/TotalEtapas,0)),"")</f>
        <v/>
      </c>
      <c r="E1329" t="str">
        <f>IFERROR(VLOOKUP(tbEscolas[[#This Row],[COD ETPA]],tbEtapas[],2,FALSE),"")</f>
        <v/>
      </c>
      <c r="F1329" t="str">
        <f>IFERROR(VLOOKUP(tbEscolas[[#This Row],[COD ETPA]],tbEtapas[],3,FALSE),"")</f>
        <v/>
      </c>
    </row>
    <row r="1330" spans="1:6" x14ac:dyDescent="0.25">
      <c r="A1330" s="24" t="str">
        <f>_xlfn.XLOOKUP(tbEscolas[[#This Row],[ESCOLA]],tbNucleo[ESCOLA],tbNucleo[COD ESCOLA],"")</f>
        <v/>
      </c>
      <c r="B1330" t="str" cm="1">
        <f t="array" ref="B1330">IFERROR(INDEX(tbNucleo[ESCOLA],ROUNDUP(ROW(B1329)/TotalEtapas,0)),"")</f>
        <v/>
      </c>
      <c r="E1330" t="str">
        <f>IFERROR(VLOOKUP(tbEscolas[[#This Row],[COD ETPA]],tbEtapas[],2,FALSE),"")</f>
        <v/>
      </c>
      <c r="F1330" t="str">
        <f>IFERROR(VLOOKUP(tbEscolas[[#This Row],[COD ETPA]],tbEtapas[],3,FALSE),"")</f>
        <v/>
      </c>
    </row>
    <row r="1331" spans="1:6" x14ac:dyDescent="0.25">
      <c r="A1331" s="24" t="str">
        <f>_xlfn.XLOOKUP(tbEscolas[[#This Row],[ESCOLA]],tbNucleo[ESCOLA],tbNucleo[COD ESCOLA],"")</f>
        <v/>
      </c>
      <c r="B1331" t="str" cm="1">
        <f t="array" ref="B1331">IFERROR(INDEX(tbNucleo[ESCOLA],ROUNDUP(ROW(B1330)/TotalEtapas,0)),"")</f>
        <v/>
      </c>
      <c r="E1331" t="str">
        <f>IFERROR(VLOOKUP(tbEscolas[[#This Row],[COD ETPA]],tbEtapas[],2,FALSE),"")</f>
        <v/>
      </c>
      <c r="F1331" t="str">
        <f>IFERROR(VLOOKUP(tbEscolas[[#This Row],[COD ETPA]],tbEtapas[],3,FALSE),"")</f>
        <v/>
      </c>
    </row>
    <row r="1332" spans="1:6" x14ac:dyDescent="0.25">
      <c r="A1332" s="24" t="str">
        <f>_xlfn.XLOOKUP(tbEscolas[[#This Row],[ESCOLA]],tbNucleo[ESCOLA],tbNucleo[COD ESCOLA],"")</f>
        <v/>
      </c>
      <c r="B1332" t="str" cm="1">
        <f t="array" ref="B1332">IFERROR(INDEX(tbNucleo[ESCOLA],ROUNDUP(ROW(B1331)/TotalEtapas,0)),"")</f>
        <v/>
      </c>
      <c r="E1332" t="str">
        <f>IFERROR(VLOOKUP(tbEscolas[[#This Row],[COD ETPA]],tbEtapas[],2,FALSE),"")</f>
        <v/>
      </c>
      <c r="F1332" t="str">
        <f>IFERROR(VLOOKUP(tbEscolas[[#This Row],[COD ETPA]],tbEtapas[],3,FALSE),"")</f>
        <v/>
      </c>
    </row>
    <row r="1333" spans="1:6" x14ac:dyDescent="0.25">
      <c r="A1333" s="24" t="str">
        <f>_xlfn.XLOOKUP(tbEscolas[[#This Row],[ESCOLA]],tbNucleo[ESCOLA],tbNucleo[COD ESCOLA],"")</f>
        <v/>
      </c>
      <c r="B1333" t="str" cm="1">
        <f t="array" ref="B1333">IFERROR(INDEX(tbNucleo[ESCOLA],ROUNDUP(ROW(B1332)/TotalEtapas,0)),"")</f>
        <v/>
      </c>
      <c r="E1333" t="str">
        <f>IFERROR(VLOOKUP(tbEscolas[[#This Row],[COD ETPA]],tbEtapas[],2,FALSE),"")</f>
        <v/>
      </c>
      <c r="F1333" t="str">
        <f>IFERROR(VLOOKUP(tbEscolas[[#This Row],[COD ETPA]],tbEtapas[],3,FALSE),"")</f>
        <v/>
      </c>
    </row>
    <row r="1334" spans="1:6" x14ac:dyDescent="0.25">
      <c r="A1334" s="24" t="str">
        <f>_xlfn.XLOOKUP(tbEscolas[[#This Row],[ESCOLA]],tbNucleo[ESCOLA],tbNucleo[COD ESCOLA],"")</f>
        <v/>
      </c>
      <c r="B1334" t="str" cm="1">
        <f t="array" ref="B1334">IFERROR(INDEX(tbNucleo[ESCOLA],ROUNDUP(ROW(B1333)/TotalEtapas,0)),"")</f>
        <v/>
      </c>
      <c r="E1334" t="str">
        <f>IFERROR(VLOOKUP(tbEscolas[[#This Row],[COD ETPA]],tbEtapas[],2,FALSE),"")</f>
        <v/>
      </c>
      <c r="F1334" t="str">
        <f>IFERROR(VLOOKUP(tbEscolas[[#This Row],[COD ETPA]],tbEtapas[],3,FALSE),"")</f>
        <v/>
      </c>
    </row>
    <row r="1335" spans="1:6" x14ac:dyDescent="0.25">
      <c r="A1335" s="24" t="str">
        <f>_xlfn.XLOOKUP(tbEscolas[[#This Row],[ESCOLA]],tbNucleo[ESCOLA],tbNucleo[COD ESCOLA],"")</f>
        <v/>
      </c>
      <c r="B1335" t="str" cm="1">
        <f t="array" ref="B1335">IFERROR(INDEX(tbNucleo[ESCOLA],ROUNDUP(ROW(B1334)/TotalEtapas,0)),"")</f>
        <v/>
      </c>
      <c r="E1335" t="str">
        <f>IFERROR(VLOOKUP(tbEscolas[[#This Row],[COD ETPA]],tbEtapas[],2,FALSE),"")</f>
        <v/>
      </c>
      <c r="F1335" t="str">
        <f>IFERROR(VLOOKUP(tbEscolas[[#This Row],[COD ETPA]],tbEtapas[],3,FALSE),"")</f>
        <v/>
      </c>
    </row>
    <row r="1336" spans="1:6" x14ac:dyDescent="0.25">
      <c r="A1336" s="24" t="str">
        <f>_xlfn.XLOOKUP(tbEscolas[[#This Row],[ESCOLA]],tbNucleo[ESCOLA],tbNucleo[COD ESCOLA],"")</f>
        <v/>
      </c>
      <c r="B1336" t="str" cm="1">
        <f t="array" ref="B1336">IFERROR(INDEX(tbNucleo[ESCOLA],ROUNDUP(ROW(B1335)/TotalEtapas,0)),"")</f>
        <v/>
      </c>
      <c r="E1336" t="str">
        <f>IFERROR(VLOOKUP(tbEscolas[[#This Row],[COD ETPA]],tbEtapas[],2,FALSE),"")</f>
        <v/>
      </c>
      <c r="F1336" t="str">
        <f>IFERROR(VLOOKUP(tbEscolas[[#This Row],[COD ETPA]],tbEtapas[],3,FALSE),"")</f>
        <v/>
      </c>
    </row>
    <row r="1337" spans="1:6" x14ac:dyDescent="0.25">
      <c r="A1337" s="24" t="str">
        <f>_xlfn.XLOOKUP(tbEscolas[[#This Row],[ESCOLA]],tbNucleo[ESCOLA],tbNucleo[COD ESCOLA],"")</f>
        <v/>
      </c>
      <c r="B1337" t="str" cm="1">
        <f t="array" ref="B1337">IFERROR(INDEX(tbNucleo[ESCOLA],ROUNDUP(ROW(B1336)/TotalEtapas,0)),"")</f>
        <v/>
      </c>
      <c r="E1337" t="str">
        <f>IFERROR(VLOOKUP(tbEscolas[[#This Row],[COD ETPA]],tbEtapas[],2,FALSE),"")</f>
        <v/>
      </c>
      <c r="F1337" t="str">
        <f>IFERROR(VLOOKUP(tbEscolas[[#This Row],[COD ETPA]],tbEtapas[],3,FALSE),"")</f>
        <v/>
      </c>
    </row>
    <row r="1338" spans="1:6" x14ac:dyDescent="0.25">
      <c r="A1338" s="24" t="str">
        <f>_xlfn.XLOOKUP(tbEscolas[[#This Row],[ESCOLA]],tbNucleo[ESCOLA],tbNucleo[COD ESCOLA],"")</f>
        <v/>
      </c>
      <c r="B1338" t="str" cm="1">
        <f t="array" ref="B1338">IFERROR(INDEX(tbNucleo[ESCOLA],ROUNDUP(ROW(B1337)/TotalEtapas,0)),"")</f>
        <v/>
      </c>
      <c r="E1338" t="str">
        <f>IFERROR(VLOOKUP(tbEscolas[[#This Row],[COD ETPA]],tbEtapas[],2,FALSE),"")</f>
        <v/>
      </c>
      <c r="F1338" t="str">
        <f>IFERROR(VLOOKUP(tbEscolas[[#This Row],[COD ETPA]],tbEtapas[],3,FALSE),"")</f>
        <v/>
      </c>
    </row>
    <row r="1339" spans="1:6" x14ac:dyDescent="0.25">
      <c r="A1339" s="24" t="str">
        <f>_xlfn.XLOOKUP(tbEscolas[[#This Row],[ESCOLA]],tbNucleo[ESCOLA],tbNucleo[COD ESCOLA],"")</f>
        <v/>
      </c>
      <c r="B1339" t="str" cm="1">
        <f t="array" ref="B1339">IFERROR(INDEX(tbNucleo[ESCOLA],ROUNDUP(ROW(B1338)/TotalEtapas,0)),"")</f>
        <v/>
      </c>
      <c r="E1339" t="str">
        <f>IFERROR(VLOOKUP(tbEscolas[[#This Row],[COD ETPA]],tbEtapas[],2,FALSE),"")</f>
        <v/>
      </c>
      <c r="F1339" t="str">
        <f>IFERROR(VLOOKUP(tbEscolas[[#This Row],[COD ETPA]],tbEtapas[],3,FALSE),"")</f>
        <v/>
      </c>
    </row>
    <row r="1340" spans="1:6" x14ac:dyDescent="0.25">
      <c r="A1340" s="24" t="str">
        <f>_xlfn.XLOOKUP(tbEscolas[[#This Row],[ESCOLA]],tbNucleo[ESCOLA],tbNucleo[COD ESCOLA],"")</f>
        <v/>
      </c>
      <c r="B1340" t="str" cm="1">
        <f t="array" ref="B1340">IFERROR(INDEX(tbNucleo[ESCOLA],ROUNDUP(ROW(B1339)/TotalEtapas,0)),"")</f>
        <v/>
      </c>
      <c r="E1340" t="str">
        <f>IFERROR(VLOOKUP(tbEscolas[[#This Row],[COD ETPA]],tbEtapas[],2,FALSE),"")</f>
        <v/>
      </c>
      <c r="F1340" t="str">
        <f>IFERROR(VLOOKUP(tbEscolas[[#This Row],[COD ETPA]],tbEtapas[],3,FALSE),"")</f>
        <v/>
      </c>
    </row>
    <row r="1341" spans="1:6" x14ac:dyDescent="0.25">
      <c r="A1341" s="24" t="str">
        <f>_xlfn.XLOOKUP(tbEscolas[[#This Row],[ESCOLA]],tbNucleo[ESCOLA],tbNucleo[COD ESCOLA],"")</f>
        <v/>
      </c>
      <c r="B1341" t="str" cm="1">
        <f t="array" ref="B1341">IFERROR(INDEX(tbNucleo[ESCOLA],ROUNDUP(ROW(B1340)/TotalEtapas,0)),"")</f>
        <v/>
      </c>
      <c r="E1341" t="str">
        <f>IFERROR(VLOOKUP(tbEscolas[[#This Row],[COD ETPA]],tbEtapas[],2,FALSE),"")</f>
        <v/>
      </c>
      <c r="F1341" t="str">
        <f>IFERROR(VLOOKUP(tbEscolas[[#This Row],[COD ETPA]],tbEtapas[],3,FALSE),"")</f>
        <v/>
      </c>
    </row>
    <row r="1342" spans="1:6" x14ac:dyDescent="0.25">
      <c r="A1342" s="24" t="str">
        <f>_xlfn.XLOOKUP(tbEscolas[[#This Row],[ESCOLA]],tbNucleo[ESCOLA],tbNucleo[COD ESCOLA],"")</f>
        <v/>
      </c>
      <c r="B1342" t="str" cm="1">
        <f t="array" ref="B1342">IFERROR(INDEX(tbNucleo[ESCOLA],ROUNDUP(ROW(B1341)/TotalEtapas,0)),"")</f>
        <v/>
      </c>
      <c r="E1342" t="str">
        <f>IFERROR(VLOOKUP(tbEscolas[[#This Row],[COD ETPA]],tbEtapas[],2,FALSE),"")</f>
        <v/>
      </c>
      <c r="F1342" t="str">
        <f>IFERROR(VLOOKUP(tbEscolas[[#This Row],[COD ETPA]],tbEtapas[],3,FALSE),"")</f>
        <v/>
      </c>
    </row>
    <row r="1343" spans="1:6" x14ac:dyDescent="0.25">
      <c r="A1343" s="24" t="str">
        <f>_xlfn.XLOOKUP(tbEscolas[[#This Row],[ESCOLA]],tbNucleo[ESCOLA],tbNucleo[COD ESCOLA],"")</f>
        <v/>
      </c>
      <c r="B1343" t="str" cm="1">
        <f t="array" ref="B1343">IFERROR(INDEX(tbNucleo[ESCOLA],ROUNDUP(ROW(B1342)/TotalEtapas,0)),"")</f>
        <v/>
      </c>
      <c r="E1343" t="str">
        <f>IFERROR(VLOOKUP(tbEscolas[[#This Row],[COD ETPA]],tbEtapas[],2,FALSE),"")</f>
        <v/>
      </c>
      <c r="F1343" t="str">
        <f>IFERROR(VLOOKUP(tbEscolas[[#This Row],[COD ETPA]],tbEtapas[],3,FALSE),"")</f>
        <v/>
      </c>
    </row>
    <row r="1344" spans="1:6" x14ac:dyDescent="0.25">
      <c r="A1344" s="24" t="str">
        <f>_xlfn.XLOOKUP(tbEscolas[[#This Row],[ESCOLA]],tbNucleo[ESCOLA],tbNucleo[COD ESCOLA],"")</f>
        <v/>
      </c>
      <c r="B1344" t="str" cm="1">
        <f t="array" ref="B1344">IFERROR(INDEX(tbNucleo[ESCOLA],ROUNDUP(ROW(B1343)/TotalEtapas,0)),"")</f>
        <v/>
      </c>
      <c r="E1344" t="str">
        <f>IFERROR(VLOOKUP(tbEscolas[[#This Row],[COD ETPA]],tbEtapas[],2,FALSE),"")</f>
        <v/>
      </c>
      <c r="F1344" t="str">
        <f>IFERROR(VLOOKUP(tbEscolas[[#This Row],[COD ETPA]],tbEtapas[],3,FALSE),"")</f>
        <v/>
      </c>
    </row>
    <row r="1345" spans="1:6" x14ac:dyDescent="0.25">
      <c r="A1345" s="24" t="str">
        <f>_xlfn.XLOOKUP(tbEscolas[[#This Row],[ESCOLA]],tbNucleo[ESCOLA],tbNucleo[COD ESCOLA],"")</f>
        <v/>
      </c>
      <c r="B1345" t="str" cm="1">
        <f t="array" ref="B1345">IFERROR(INDEX(tbNucleo[ESCOLA],ROUNDUP(ROW(B1344)/TotalEtapas,0)),"")</f>
        <v/>
      </c>
      <c r="E1345" t="str">
        <f>IFERROR(VLOOKUP(tbEscolas[[#This Row],[COD ETPA]],tbEtapas[],2,FALSE),"")</f>
        <v/>
      </c>
      <c r="F1345" t="str">
        <f>IFERROR(VLOOKUP(tbEscolas[[#This Row],[COD ETPA]],tbEtapas[],3,FALSE),"")</f>
        <v/>
      </c>
    </row>
    <row r="1346" spans="1:6" x14ac:dyDescent="0.25">
      <c r="A1346" s="24" t="str">
        <f>_xlfn.XLOOKUP(tbEscolas[[#This Row],[ESCOLA]],tbNucleo[ESCOLA],tbNucleo[COD ESCOLA],"")</f>
        <v/>
      </c>
      <c r="B1346" t="str" cm="1">
        <f t="array" ref="B1346">IFERROR(INDEX(tbNucleo[ESCOLA],ROUNDUP(ROW(B1345)/TotalEtapas,0)),"")</f>
        <v/>
      </c>
      <c r="E1346" t="str">
        <f>IFERROR(VLOOKUP(tbEscolas[[#This Row],[COD ETPA]],tbEtapas[],2,FALSE),"")</f>
        <v/>
      </c>
      <c r="F1346" t="str">
        <f>IFERROR(VLOOKUP(tbEscolas[[#This Row],[COD ETPA]],tbEtapas[],3,FALSE),"")</f>
        <v/>
      </c>
    </row>
    <row r="1347" spans="1:6" x14ac:dyDescent="0.25">
      <c r="A1347" s="24" t="str">
        <f>_xlfn.XLOOKUP(tbEscolas[[#This Row],[ESCOLA]],tbNucleo[ESCOLA],tbNucleo[COD ESCOLA],"")</f>
        <v/>
      </c>
      <c r="B1347" t="str" cm="1">
        <f t="array" ref="B1347">IFERROR(INDEX(tbNucleo[ESCOLA],ROUNDUP(ROW(B1346)/TotalEtapas,0)),"")</f>
        <v/>
      </c>
      <c r="E1347" t="str">
        <f>IFERROR(VLOOKUP(tbEscolas[[#This Row],[COD ETPA]],tbEtapas[],2,FALSE),"")</f>
        <v/>
      </c>
      <c r="F1347" t="str">
        <f>IFERROR(VLOOKUP(tbEscolas[[#This Row],[COD ETPA]],tbEtapas[],3,FALSE),"")</f>
        <v/>
      </c>
    </row>
    <row r="1348" spans="1:6" x14ac:dyDescent="0.25">
      <c r="A1348" s="24" t="str">
        <f>_xlfn.XLOOKUP(tbEscolas[[#This Row],[ESCOLA]],tbNucleo[ESCOLA],tbNucleo[COD ESCOLA],"")</f>
        <v/>
      </c>
      <c r="B1348" t="str" cm="1">
        <f t="array" ref="B1348">IFERROR(INDEX(tbNucleo[ESCOLA],ROUNDUP(ROW(B1347)/TotalEtapas,0)),"")</f>
        <v/>
      </c>
      <c r="E1348" t="str">
        <f>IFERROR(VLOOKUP(tbEscolas[[#This Row],[COD ETPA]],tbEtapas[],2,FALSE),"")</f>
        <v/>
      </c>
      <c r="F1348" t="str">
        <f>IFERROR(VLOOKUP(tbEscolas[[#This Row],[COD ETPA]],tbEtapas[],3,FALSE),"")</f>
        <v/>
      </c>
    </row>
    <row r="1349" spans="1:6" x14ac:dyDescent="0.25">
      <c r="A1349" s="24" t="str">
        <f>_xlfn.XLOOKUP(tbEscolas[[#This Row],[ESCOLA]],tbNucleo[ESCOLA],tbNucleo[COD ESCOLA],"")</f>
        <v/>
      </c>
      <c r="B1349" t="str" cm="1">
        <f t="array" ref="B1349">IFERROR(INDEX(tbNucleo[ESCOLA],ROUNDUP(ROW(B1348)/TotalEtapas,0)),"")</f>
        <v/>
      </c>
      <c r="E1349" t="str">
        <f>IFERROR(VLOOKUP(tbEscolas[[#This Row],[COD ETPA]],tbEtapas[],2,FALSE),"")</f>
        <v/>
      </c>
      <c r="F1349" t="str">
        <f>IFERROR(VLOOKUP(tbEscolas[[#This Row],[COD ETPA]],tbEtapas[],3,FALSE),"")</f>
        <v/>
      </c>
    </row>
    <row r="1350" spans="1:6" x14ac:dyDescent="0.25">
      <c r="A1350" s="24" t="str">
        <f>_xlfn.XLOOKUP(tbEscolas[[#This Row],[ESCOLA]],tbNucleo[ESCOLA],tbNucleo[COD ESCOLA],"")</f>
        <v/>
      </c>
      <c r="B1350" t="str" cm="1">
        <f t="array" ref="B1350">IFERROR(INDEX(tbNucleo[ESCOLA],ROUNDUP(ROW(B1349)/TotalEtapas,0)),"")</f>
        <v/>
      </c>
      <c r="E1350" t="str">
        <f>IFERROR(VLOOKUP(tbEscolas[[#This Row],[COD ETPA]],tbEtapas[],2,FALSE),"")</f>
        <v/>
      </c>
      <c r="F1350" t="str">
        <f>IFERROR(VLOOKUP(tbEscolas[[#This Row],[COD ETPA]],tbEtapas[],3,FALSE),"")</f>
        <v/>
      </c>
    </row>
    <row r="1351" spans="1:6" x14ac:dyDescent="0.25">
      <c r="A1351" s="24" t="str">
        <f>_xlfn.XLOOKUP(tbEscolas[[#This Row],[ESCOLA]],tbNucleo[ESCOLA],tbNucleo[COD ESCOLA],"")</f>
        <v/>
      </c>
      <c r="B1351" t="str" cm="1">
        <f t="array" ref="B1351">IFERROR(INDEX(tbNucleo[ESCOLA],ROUNDUP(ROW(B1350)/TotalEtapas,0)),"")</f>
        <v/>
      </c>
      <c r="E1351" t="str">
        <f>IFERROR(VLOOKUP(tbEscolas[[#This Row],[COD ETPA]],tbEtapas[],2,FALSE),"")</f>
        <v/>
      </c>
      <c r="F1351" t="str">
        <f>IFERROR(VLOOKUP(tbEscolas[[#This Row],[COD ETPA]],tbEtapas[],3,FALSE),"")</f>
        <v/>
      </c>
    </row>
    <row r="1352" spans="1:6" x14ac:dyDescent="0.25">
      <c r="A1352" s="24" t="str">
        <f>_xlfn.XLOOKUP(tbEscolas[[#This Row],[ESCOLA]],tbNucleo[ESCOLA],tbNucleo[COD ESCOLA],"")</f>
        <v/>
      </c>
      <c r="B1352" t="str" cm="1">
        <f t="array" ref="B1352">IFERROR(INDEX(tbNucleo[ESCOLA],ROUNDUP(ROW(B1351)/TotalEtapas,0)),"")</f>
        <v/>
      </c>
      <c r="E1352" t="str">
        <f>IFERROR(VLOOKUP(tbEscolas[[#This Row],[COD ETPA]],tbEtapas[],2,FALSE),"")</f>
        <v/>
      </c>
      <c r="F1352" t="str">
        <f>IFERROR(VLOOKUP(tbEscolas[[#This Row],[COD ETPA]],tbEtapas[],3,FALSE),"")</f>
        <v/>
      </c>
    </row>
    <row r="1353" spans="1:6" x14ac:dyDescent="0.25">
      <c r="A1353" s="24" t="str">
        <f>_xlfn.XLOOKUP(tbEscolas[[#This Row],[ESCOLA]],tbNucleo[ESCOLA],tbNucleo[COD ESCOLA],"")</f>
        <v/>
      </c>
      <c r="B1353" t="str" cm="1">
        <f t="array" ref="B1353">IFERROR(INDEX(tbNucleo[ESCOLA],ROUNDUP(ROW(B1352)/TotalEtapas,0)),"")</f>
        <v/>
      </c>
      <c r="E1353" t="str">
        <f>IFERROR(VLOOKUP(tbEscolas[[#This Row],[COD ETPA]],tbEtapas[],2,FALSE),"")</f>
        <v/>
      </c>
      <c r="F1353" t="str">
        <f>IFERROR(VLOOKUP(tbEscolas[[#This Row],[COD ETPA]],tbEtapas[],3,FALSE),"")</f>
        <v/>
      </c>
    </row>
    <row r="1354" spans="1:6" x14ac:dyDescent="0.25">
      <c r="A1354" s="24" t="str">
        <f>_xlfn.XLOOKUP(tbEscolas[[#This Row],[ESCOLA]],tbNucleo[ESCOLA],tbNucleo[COD ESCOLA],"")</f>
        <v/>
      </c>
      <c r="B1354" t="str" cm="1">
        <f t="array" ref="B1354">IFERROR(INDEX(tbNucleo[ESCOLA],ROUNDUP(ROW(B1353)/TotalEtapas,0)),"")</f>
        <v/>
      </c>
      <c r="E1354" t="str">
        <f>IFERROR(VLOOKUP(tbEscolas[[#This Row],[COD ETPA]],tbEtapas[],2,FALSE),"")</f>
        <v/>
      </c>
      <c r="F1354" t="str">
        <f>IFERROR(VLOOKUP(tbEscolas[[#This Row],[COD ETPA]],tbEtapas[],3,FALSE),"")</f>
        <v/>
      </c>
    </row>
    <row r="1355" spans="1:6" x14ac:dyDescent="0.25">
      <c r="A1355" s="24" t="str">
        <f>_xlfn.XLOOKUP(tbEscolas[[#This Row],[ESCOLA]],tbNucleo[ESCOLA],tbNucleo[COD ESCOLA],"")</f>
        <v/>
      </c>
      <c r="B1355" t="str" cm="1">
        <f t="array" ref="B1355">IFERROR(INDEX(tbNucleo[ESCOLA],ROUNDUP(ROW(B1354)/TotalEtapas,0)),"")</f>
        <v/>
      </c>
      <c r="E1355" t="str">
        <f>IFERROR(VLOOKUP(tbEscolas[[#This Row],[COD ETPA]],tbEtapas[],2,FALSE),"")</f>
        <v/>
      </c>
      <c r="F1355" t="str">
        <f>IFERROR(VLOOKUP(tbEscolas[[#This Row],[COD ETPA]],tbEtapas[],3,FALSE),"")</f>
        <v/>
      </c>
    </row>
    <row r="1356" spans="1:6" x14ac:dyDescent="0.25">
      <c r="A1356" s="24" t="str">
        <f>_xlfn.XLOOKUP(tbEscolas[[#This Row],[ESCOLA]],tbNucleo[ESCOLA],tbNucleo[COD ESCOLA],"")</f>
        <v/>
      </c>
      <c r="B1356" t="str" cm="1">
        <f t="array" ref="B1356">IFERROR(INDEX(tbNucleo[ESCOLA],ROUNDUP(ROW(B1355)/TotalEtapas,0)),"")</f>
        <v/>
      </c>
      <c r="E1356" t="str">
        <f>IFERROR(VLOOKUP(tbEscolas[[#This Row],[COD ETPA]],tbEtapas[],2,FALSE),"")</f>
        <v/>
      </c>
      <c r="F1356" t="str">
        <f>IFERROR(VLOOKUP(tbEscolas[[#This Row],[COD ETPA]],tbEtapas[],3,FALSE),"")</f>
        <v/>
      </c>
    </row>
    <row r="1357" spans="1:6" x14ac:dyDescent="0.25">
      <c r="A1357" s="24" t="str">
        <f>_xlfn.XLOOKUP(tbEscolas[[#This Row],[ESCOLA]],tbNucleo[ESCOLA],tbNucleo[COD ESCOLA],"")</f>
        <v/>
      </c>
      <c r="B1357" t="str" cm="1">
        <f t="array" ref="B1357">IFERROR(INDEX(tbNucleo[ESCOLA],ROUNDUP(ROW(B1356)/TotalEtapas,0)),"")</f>
        <v/>
      </c>
      <c r="E1357" t="str">
        <f>IFERROR(VLOOKUP(tbEscolas[[#This Row],[COD ETPA]],tbEtapas[],2,FALSE),"")</f>
        <v/>
      </c>
      <c r="F1357" t="str">
        <f>IFERROR(VLOOKUP(tbEscolas[[#This Row],[COD ETPA]],tbEtapas[],3,FALSE),"")</f>
        <v/>
      </c>
    </row>
    <row r="1358" spans="1:6" x14ac:dyDescent="0.25">
      <c r="A1358" s="24" t="str">
        <f>_xlfn.XLOOKUP(tbEscolas[[#This Row],[ESCOLA]],tbNucleo[ESCOLA],tbNucleo[COD ESCOLA],"")</f>
        <v/>
      </c>
      <c r="B1358" t="str" cm="1">
        <f t="array" ref="B1358">IFERROR(INDEX(tbNucleo[ESCOLA],ROUNDUP(ROW(B1357)/TotalEtapas,0)),"")</f>
        <v/>
      </c>
      <c r="E1358" t="str">
        <f>IFERROR(VLOOKUP(tbEscolas[[#This Row],[COD ETPA]],tbEtapas[],2,FALSE),"")</f>
        <v/>
      </c>
      <c r="F1358" t="str">
        <f>IFERROR(VLOOKUP(tbEscolas[[#This Row],[COD ETPA]],tbEtapas[],3,FALSE),"")</f>
        <v/>
      </c>
    </row>
    <row r="1359" spans="1:6" x14ac:dyDescent="0.25">
      <c r="A1359" s="24" t="str">
        <f>_xlfn.XLOOKUP(tbEscolas[[#This Row],[ESCOLA]],tbNucleo[ESCOLA],tbNucleo[COD ESCOLA],"")</f>
        <v/>
      </c>
      <c r="B1359" t="str" cm="1">
        <f t="array" ref="B1359">IFERROR(INDEX(tbNucleo[ESCOLA],ROUNDUP(ROW(B1358)/TotalEtapas,0)),"")</f>
        <v/>
      </c>
      <c r="E1359" t="str">
        <f>IFERROR(VLOOKUP(tbEscolas[[#This Row],[COD ETPA]],tbEtapas[],2,FALSE),"")</f>
        <v/>
      </c>
      <c r="F1359" t="str">
        <f>IFERROR(VLOOKUP(tbEscolas[[#This Row],[COD ETPA]],tbEtapas[],3,FALSE),"")</f>
        <v/>
      </c>
    </row>
    <row r="1360" spans="1:6" x14ac:dyDescent="0.25">
      <c r="A1360" s="24" t="str">
        <f>_xlfn.XLOOKUP(tbEscolas[[#This Row],[ESCOLA]],tbNucleo[ESCOLA],tbNucleo[COD ESCOLA],"")</f>
        <v/>
      </c>
      <c r="B1360" t="str" cm="1">
        <f t="array" ref="B1360">IFERROR(INDEX(tbNucleo[ESCOLA],ROUNDUP(ROW(B1359)/TotalEtapas,0)),"")</f>
        <v/>
      </c>
      <c r="E1360" t="str">
        <f>IFERROR(VLOOKUP(tbEscolas[[#This Row],[COD ETPA]],tbEtapas[],2,FALSE),"")</f>
        <v/>
      </c>
      <c r="F1360" t="str">
        <f>IFERROR(VLOOKUP(tbEscolas[[#This Row],[COD ETPA]],tbEtapas[],3,FALSE),"")</f>
        <v/>
      </c>
    </row>
    <row r="1361" spans="1:6" x14ac:dyDescent="0.25">
      <c r="A1361" s="24" t="str">
        <f>_xlfn.XLOOKUP(tbEscolas[[#This Row],[ESCOLA]],tbNucleo[ESCOLA],tbNucleo[COD ESCOLA],"")</f>
        <v/>
      </c>
      <c r="B1361" t="str" cm="1">
        <f t="array" ref="B1361">IFERROR(INDEX(tbNucleo[ESCOLA],ROUNDUP(ROW(B1360)/TotalEtapas,0)),"")</f>
        <v/>
      </c>
      <c r="E1361" t="str">
        <f>IFERROR(VLOOKUP(tbEscolas[[#This Row],[COD ETPA]],tbEtapas[],2,FALSE),"")</f>
        <v/>
      </c>
      <c r="F1361" t="str">
        <f>IFERROR(VLOOKUP(tbEscolas[[#This Row],[COD ETPA]],tbEtapas[],3,FALSE),"")</f>
        <v/>
      </c>
    </row>
    <row r="1362" spans="1:6" x14ac:dyDescent="0.25">
      <c r="A1362" s="24" t="str">
        <f>_xlfn.XLOOKUP(tbEscolas[[#This Row],[ESCOLA]],tbNucleo[ESCOLA],tbNucleo[COD ESCOLA],"")</f>
        <v/>
      </c>
      <c r="B1362" t="str" cm="1">
        <f t="array" ref="B1362">IFERROR(INDEX(tbNucleo[ESCOLA],ROUNDUP(ROW(B1361)/TotalEtapas,0)),"")</f>
        <v/>
      </c>
      <c r="E1362" t="str">
        <f>IFERROR(VLOOKUP(tbEscolas[[#This Row],[COD ETPA]],tbEtapas[],2,FALSE),"")</f>
        <v/>
      </c>
      <c r="F1362" t="str">
        <f>IFERROR(VLOOKUP(tbEscolas[[#This Row],[COD ETPA]],tbEtapas[],3,FALSE),"")</f>
        <v/>
      </c>
    </row>
    <row r="1363" spans="1:6" x14ac:dyDescent="0.25">
      <c r="A1363" s="24" t="str">
        <f>_xlfn.XLOOKUP(tbEscolas[[#This Row],[ESCOLA]],tbNucleo[ESCOLA],tbNucleo[COD ESCOLA],"")</f>
        <v/>
      </c>
      <c r="B1363" t="str" cm="1">
        <f t="array" ref="B1363">IFERROR(INDEX(tbNucleo[ESCOLA],ROUNDUP(ROW(B1362)/TotalEtapas,0)),"")</f>
        <v/>
      </c>
      <c r="E1363" t="str">
        <f>IFERROR(VLOOKUP(tbEscolas[[#This Row],[COD ETPA]],tbEtapas[],2,FALSE),"")</f>
        <v/>
      </c>
      <c r="F1363" t="str">
        <f>IFERROR(VLOOKUP(tbEscolas[[#This Row],[COD ETPA]],tbEtapas[],3,FALSE),"")</f>
        <v/>
      </c>
    </row>
    <row r="1364" spans="1:6" x14ac:dyDescent="0.25">
      <c r="A1364" s="24" t="str">
        <f>_xlfn.XLOOKUP(tbEscolas[[#This Row],[ESCOLA]],tbNucleo[ESCOLA],tbNucleo[COD ESCOLA],"")</f>
        <v/>
      </c>
      <c r="B1364" t="str" cm="1">
        <f t="array" ref="B1364">IFERROR(INDEX(tbNucleo[ESCOLA],ROUNDUP(ROW(B1363)/TotalEtapas,0)),"")</f>
        <v/>
      </c>
      <c r="E1364" t="str">
        <f>IFERROR(VLOOKUP(tbEscolas[[#This Row],[COD ETPA]],tbEtapas[],2,FALSE),"")</f>
        <v/>
      </c>
      <c r="F1364" t="str">
        <f>IFERROR(VLOOKUP(tbEscolas[[#This Row],[COD ETPA]],tbEtapas[],3,FALSE),"")</f>
        <v/>
      </c>
    </row>
    <row r="1365" spans="1:6" x14ac:dyDescent="0.25">
      <c r="A1365" s="24" t="str">
        <f>_xlfn.XLOOKUP(tbEscolas[[#This Row],[ESCOLA]],tbNucleo[ESCOLA],tbNucleo[COD ESCOLA],"")</f>
        <v/>
      </c>
      <c r="B1365" t="str" cm="1">
        <f t="array" ref="B1365">IFERROR(INDEX(tbNucleo[ESCOLA],ROUNDUP(ROW(B1364)/TotalEtapas,0)),"")</f>
        <v/>
      </c>
      <c r="E1365" t="str">
        <f>IFERROR(VLOOKUP(tbEscolas[[#This Row],[COD ETPA]],tbEtapas[],2,FALSE),"")</f>
        <v/>
      </c>
      <c r="F1365" t="str">
        <f>IFERROR(VLOOKUP(tbEscolas[[#This Row],[COD ETPA]],tbEtapas[],3,FALSE),"")</f>
        <v/>
      </c>
    </row>
    <row r="1366" spans="1:6" x14ac:dyDescent="0.25">
      <c r="A1366" s="24" t="str">
        <f>_xlfn.XLOOKUP(tbEscolas[[#This Row],[ESCOLA]],tbNucleo[ESCOLA],tbNucleo[COD ESCOLA],"")</f>
        <v/>
      </c>
      <c r="B1366" t="str" cm="1">
        <f t="array" ref="B1366">IFERROR(INDEX(tbNucleo[ESCOLA],ROUNDUP(ROW(B1365)/TotalEtapas,0)),"")</f>
        <v/>
      </c>
      <c r="E1366" t="str">
        <f>IFERROR(VLOOKUP(tbEscolas[[#This Row],[COD ETPA]],tbEtapas[],2,FALSE),"")</f>
        <v/>
      </c>
      <c r="F1366" t="str">
        <f>IFERROR(VLOOKUP(tbEscolas[[#This Row],[COD ETPA]],tbEtapas[],3,FALSE),"")</f>
        <v/>
      </c>
    </row>
    <row r="1367" spans="1:6" x14ac:dyDescent="0.25">
      <c r="A1367" s="24" t="str">
        <f>_xlfn.XLOOKUP(tbEscolas[[#This Row],[ESCOLA]],tbNucleo[ESCOLA],tbNucleo[COD ESCOLA],"")</f>
        <v/>
      </c>
      <c r="B1367" t="str" cm="1">
        <f t="array" ref="B1367">IFERROR(INDEX(tbNucleo[ESCOLA],ROUNDUP(ROW(B1366)/TotalEtapas,0)),"")</f>
        <v/>
      </c>
      <c r="E1367" t="str">
        <f>IFERROR(VLOOKUP(tbEscolas[[#This Row],[COD ETPA]],tbEtapas[],2,FALSE),"")</f>
        <v/>
      </c>
      <c r="F1367" t="str">
        <f>IFERROR(VLOOKUP(tbEscolas[[#This Row],[COD ETPA]],tbEtapas[],3,FALSE),"")</f>
        <v/>
      </c>
    </row>
    <row r="1368" spans="1:6" x14ac:dyDescent="0.25">
      <c r="A1368" s="24" t="str">
        <f>_xlfn.XLOOKUP(tbEscolas[[#This Row],[ESCOLA]],tbNucleo[ESCOLA],tbNucleo[COD ESCOLA],"")</f>
        <v/>
      </c>
      <c r="B1368" t="str" cm="1">
        <f t="array" ref="B1368">IFERROR(INDEX(tbNucleo[ESCOLA],ROUNDUP(ROW(B1367)/TotalEtapas,0)),"")</f>
        <v/>
      </c>
      <c r="E1368" t="str">
        <f>IFERROR(VLOOKUP(tbEscolas[[#This Row],[COD ETPA]],tbEtapas[],2,FALSE),"")</f>
        <v/>
      </c>
      <c r="F1368" t="str">
        <f>IFERROR(VLOOKUP(tbEscolas[[#This Row],[COD ETPA]],tbEtapas[],3,FALSE),"")</f>
        <v/>
      </c>
    </row>
    <row r="1369" spans="1:6" x14ac:dyDescent="0.25">
      <c r="A1369" s="24" t="str">
        <f>_xlfn.XLOOKUP(tbEscolas[[#This Row],[ESCOLA]],tbNucleo[ESCOLA],tbNucleo[COD ESCOLA],"")</f>
        <v/>
      </c>
      <c r="B1369" t="str" cm="1">
        <f t="array" ref="B1369">IFERROR(INDEX(tbNucleo[ESCOLA],ROUNDUP(ROW(B1368)/TotalEtapas,0)),"")</f>
        <v/>
      </c>
      <c r="E1369" t="str">
        <f>IFERROR(VLOOKUP(tbEscolas[[#This Row],[COD ETPA]],tbEtapas[],2,FALSE),"")</f>
        <v/>
      </c>
      <c r="F1369" t="str">
        <f>IFERROR(VLOOKUP(tbEscolas[[#This Row],[COD ETPA]],tbEtapas[],3,FALSE),"")</f>
        <v/>
      </c>
    </row>
    <row r="1370" spans="1:6" x14ac:dyDescent="0.25">
      <c r="A1370" s="24" t="str">
        <f>_xlfn.XLOOKUP(tbEscolas[[#This Row],[ESCOLA]],tbNucleo[ESCOLA],tbNucleo[COD ESCOLA],"")</f>
        <v/>
      </c>
      <c r="B1370" t="str" cm="1">
        <f t="array" ref="B1370">IFERROR(INDEX(tbNucleo[ESCOLA],ROUNDUP(ROW(B1369)/TotalEtapas,0)),"")</f>
        <v/>
      </c>
      <c r="E1370" t="str">
        <f>IFERROR(VLOOKUP(tbEscolas[[#This Row],[COD ETPA]],tbEtapas[],2,FALSE),"")</f>
        <v/>
      </c>
      <c r="F1370" t="str">
        <f>IFERROR(VLOOKUP(tbEscolas[[#This Row],[COD ETPA]],tbEtapas[],3,FALSE),"")</f>
        <v/>
      </c>
    </row>
    <row r="1371" spans="1:6" x14ac:dyDescent="0.25">
      <c r="A1371" s="24" t="str">
        <f>_xlfn.XLOOKUP(tbEscolas[[#This Row],[ESCOLA]],tbNucleo[ESCOLA],tbNucleo[COD ESCOLA],"")</f>
        <v/>
      </c>
      <c r="B1371" t="str" cm="1">
        <f t="array" ref="B1371">IFERROR(INDEX(tbNucleo[ESCOLA],ROUNDUP(ROW(B1370)/TotalEtapas,0)),"")</f>
        <v/>
      </c>
      <c r="E1371" t="str">
        <f>IFERROR(VLOOKUP(tbEscolas[[#This Row],[COD ETPA]],tbEtapas[],2,FALSE),"")</f>
        <v/>
      </c>
      <c r="F1371" t="str">
        <f>IFERROR(VLOOKUP(tbEscolas[[#This Row],[COD ETPA]],tbEtapas[],3,FALSE),"")</f>
        <v/>
      </c>
    </row>
    <row r="1372" spans="1:6" x14ac:dyDescent="0.25">
      <c r="A1372" s="24" t="str">
        <f>_xlfn.XLOOKUP(tbEscolas[[#This Row],[ESCOLA]],tbNucleo[ESCOLA],tbNucleo[COD ESCOLA],"")</f>
        <v/>
      </c>
      <c r="B1372" t="str" cm="1">
        <f t="array" ref="B1372">IFERROR(INDEX(tbNucleo[ESCOLA],ROUNDUP(ROW(B1371)/TotalEtapas,0)),"")</f>
        <v/>
      </c>
      <c r="E1372" t="str">
        <f>IFERROR(VLOOKUP(tbEscolas[[#This Row],[COD ETPA]],tbEtapas[],2,FALSE),"")</f>
        <v/>
      </c>
      <c r="F1372" t="str">
        <f>IFERROR(VLOOKUP(tbEscolas[[#This Row],[COD ETPA]],tbEtapas[],3,FALSE),"")</f>
        <v/>
      </c>
    </row>
    <row r="1373" spans="1:6" x14ac:dyDescent="0.25">
      <c r="A1373" s="24" t="str">
        <f>_xlfn.XLOOKUP(tbEscolas[[#This Row],[ESCOLA]],tbNucleo[ESCOLA],tbNucleo[COD ESCOLA],"")</f>
        <v/>
      </c>
      <c r="B1373" t="str" cm="1">
        <f t="array" ref="B1373">IFERROR(INDEX(tbNucleo[ESCOLA],ROUNDUP(ROW(B1372)/TotalEtapas,0)),"")</f>
        <v/>
      </c>
      <c r="E1373" t="str">
        <f>IFERROR(VLOOKUP(tbEscolas[[#This Row],[COD ETPA]],tbEtapas[],2,FALSE),"")</f>
        <v/>
      </c>
      <c r="F1373" t="str">
        <f>IFERROR(VLOOKUP(tbEscolas[[#This Row],[COD ETPA]],tbEtapas[],3,FALSE),"")</f>
        <v/>
      </c>
    </row>
    <row r="1374" spans="1:6" x14ac:dyDescent="0.25">
      <c r="A1374" s="24" t="str">
        <f>_xlfn.XLOOKUP(tbEscolas[[#This Row],[ESCOLA]],tbNucleo[ESCOLA],tbNucleo[COD ESCOLA],"")</f>
        <v/>
      </c>
      <c r="B1374" t="str" cm="1">
        <f t="array" ref="B1374">IFERROR(INDEX(tbNucleo[ESCOLA],ROUNDUP(ROW(B1373)/TotalEtapas,0)),"")</f>
        <v/>
      </c>
      <c r="E1374" t="str">
        <f>IFERROR(VLOOKUP(tbEscolas[[#This Row],[COD ETPA]],tbEtapas[],2,FALSE),"")</f>
        <v/>
      </c>
      <c r="F1374" t="str">
        <f>IFERROR(VLOOKUP(tbEscolas[[#This Row],[COD ETPA]],tbEtapas[],3,FALSE),"")</f>
        <v/>
      </c>
    </row>
    <row r="1375" spans="1:6" x14ac:dyDescent="0.25">
      <c r="A1375" s="24" t="str">
        <f>_xlfn.XLOOKUP(tbEscolas[[#This Row],[ESCOLA]],tbNucleo[ESCOLA],tbNucleo[COD ESCOLA],"")</f>
        <v/>
      </c>
      <c r="B1375" t="str" cm="1">
        <f t="array" ref="B1375">IFERROR(INDEX(tbNucleo[ESCOLA],ROUNDUP(ROW(B1374)/TotalEtapas,0)),"")</f>
        <v/>
      </c>
      <c r="E1375" t="str">
        <f>IFERROR(VLOOKUP(tbEscolas[[#This Row],[COD ETPA]],tbEtapas[],2,FALSE),"")</f>
        <v/>
      </c>
      <c r="F1375" t="str">
        <f>IFERROR(VLOOKUP(tbEscolas[[#This Row],[COD ETPA]],tbEtapas[],3,FALSE),"")</f>
        <v/>
      </c>
    </row>
    <row r="1376" spans="1:6" x14ac:dyDescent="0.25">
      <c r="A1376" s="24" t="str">
        <f>_xlfn.XLOOKUP(tbEscolas[[#This Row],[ESCOLA]],tbNucleo[ESCOLA],tbNucleo[COD ESCOLA],"")</f>
        <v/>
      </c>
      <c r="B1376" t="str" cm="1">
        <f t="array" ref="B1376">IFERROR(INDEX(tbNucleo[ESCOLA],ROUNDUP(ROW(B1375)/TotalEtapas,0)),"")</f>
        <v/>
      </c>
      <c r="E1376" t="str">
        <f>IFERROR(VLOOKUP(tbEscolas[[#This Row],[COD ETPA]],tbEtapas[],2,FALSE),"")</f>
        <v/>
      </c>
      <c r="F1376" t="str">
        <f>IFERROR(VLOOKUP(tbEscolas[[#This Row],[COD ETPA]],tbEtapas[],3,FALSE),"")</f>
        <v/>
      </c>
    </row>
    <row r="1377" spans="1:6" x14ac:dyDescent="0.25">
      <c r="A1377" s="24" t="str">
        <f>_xlfn.XLOOKUP(tbEscolas[[#This Row],[ESCOLA]],tbNucleo[ESCOLA],tbNucleo[COD ESCOLA],"")</f>
        <v/>
      </c>
      <c r="B1377" t="str" cm="1">
        <f t="array" ref="B1377">IFERROR(INDEX(tbNucleo[ESCOLA],ROUNDUP(ROW(B1376)/TotalEtapas,0)),"")</f>
        <v/>
      </c>
      <c r="E1377" t="str">
        <f>IFERROR(VLOOKUP(tbEscolas[[#This Row],[COD ETPA]],tbEtapas[],2,FALSE),"")</f>
        <v/>
      </c>
      <c r="F1377" t="str">
        <f>IFERROR(VLOOKUP(tbEscolas[[#This Row],[COD ETPA]],tbEtapas[],3,FALSE),"")</f>
        <v/>
      </c>
    </row>
    <row r="1378" spans="1:6" x14ac:dyDescent="0.25">
      <c r="A1378" s="24" t="str">
        <f>_xlfn.XLOOKUP(tbEscolas[[#This Row],[ESCOLA]],tbNucleo[ESCOLA],tbNucleo[COD ESCOLA],"")</f>
        <v/>
      </c>
      <c r="B1378" t="str" cm="1">
        <f t="array" ref="B1378">IFERROR(INDEX(tbNucleo[ESCOLA],ROUNDUP(ROW(B1377)/TotalEtapas,0)),"")</f>
        <v/>
      </c>
      <c r="E1378" t="str">
        <f>IFERROR(VLOOKUP(tbEscolas[[#This Row],[COD ETPA]],tbEtapas[],2,FALSE),"")</f>
        <v/>
      </c>
      <c r="F1378" t="str">
        <f>IFERROR(VLOOKUP(tbEscolas[[#This Row],[COD ETPA]],tbEtapas[],3,FALSE),"")</f>
        <v/>
      </c>
    </row>
    <row r="1379" spans="1:6" x14ac:dyDescent="0.25">
      <c r="A1379" s="24" t="str">
        <f>_xlfn.XLOOKUP(tbEscolas[[#This Row],[ESCOLA]],tbNucleo[ESCOLA],tbNucleo[COD ESCOLA],"")</f>
        <v/>
      </c>
      <c r="B1379" t="str" cm="1">
        <f t="array" ref="B1379">IFERROR(INDEX(tbNucleo[ESCOLA],ROUNDUP(ROW(B1378)/TotalEtapas,0)),"")</f>
        <v/>
      </c>
      <c r="E1379" t="str">
        <f>IFERROR(VLOOKUP(tbEscolas[[#This Row],[COD ETPA]],tbEtapas[],2,FALSE),"")</f>
        <v/>
      </c>
      <c r="F1379" t="str">
        <f>IFERROR(VLOOKUP(tbEscolas[[#This Row],[COD ETPA]],tbEtapas[],3,FALSE),"")</f>
        <v/>
      </c>
    </row>
    <row r="1380" spans="1:6" x14ac:dyDescent="0.25">
      <c r="A1380" s="24" t="str">
        <f>_xlfn.XLOOKUP(tbEscolas[[#This Row],[ESCOLA]],tbNucleo[ESCOLA],tbNucleo[COD ESCOLA],"")</f>
        <v/>
      </c>
      <c r="B1380" t="str" cm="1">
        <f t="array" ref="B1380">IFERROR(INDEX(tbNucleo[ESCOLA],ROUNDUP(ROW(B1379)/TotalEtapas,0)),"")</f>
        <v/>
      </c>
      <c r="E1380" t="str">
        <f>IFERROR(VLOOKUP(tbEscolas[[#This Row],[COD ETPA]],tbEtapas[],2,FALSE),"")</f>
        <v/>
      </c>
      <c r="F1380" t="str">
        <f>IFERROR(VLOOKUP(tbEscolas[[#This Row],[COD ETPA]],tbEtapas[],3,FALSE),"")</f>
        <v/>
      </c>
    </row>
    <row r="1381" spans="1:6" x14ac:dyDescent="0.25">
      <c r="A1381" s="24" t="str">
        <f>_xlfn.XLOOKUP(tbEscolas[[#This Row],[ESCOLA]],tbNucleo[ESCOLA],tbNucleo[COD ESCOLA],"")</f>
        <v/>
      </c>
      <c r="B1381" t="str" cm="1">
        <f t="array" ref="B1381">IFERROR(INDEX(tbNucleo[ESCOLA],ROUNDUP(ROW(B1380)/TotalEtapas,0)),"")</f>
        <v/>
      </c>
      <c r="E1381" t="str">
        <f>IFERROR(VLOOKUP(tbEscolas[[#This Row],[COD ETPA]],tbEtapas[],2,FALSE),"")</f>
        <v/>
      </c>
      <c r="F1381" t="str">
        <f>IFERROR(VLOOKUP(tbEscolas[[#This Row],[COD ETPA]],tbEtapas[],3,FALSE),"")</f>
        <v/>
      </c>
    </row>
    <row r="1382" spans="1:6" x14ac:dyDescent="0.25">
      <c r="A1382" s="24" t="str">
        <f>_xlfn.XLOOKUP(tbEscolas[[#This Row],[ESCOLA]],tbNucleo[ESCOLA],tbNucleo[COD ESCOLA],"")</f>
        <v/>
      </c>
      <c r="B1382" t="str" cm="1">
        <f t="array" ref="B1382">IFERROR(INDEX(tbNucleo[ESCOLA],ROUNDUP(ROW(B1381)/TotalEtapas,0)),"")</f>
        <v/>
      </c>
      <c r="E1382" t="str">
        <f>IFERROR(VLOOKUP(tbEscolas[[#This Row],[COD ETPA]],tbEtapas[],2,FALSE),"")</f>
        <v/>
      </c>
      <c r="F1382" t="str">
        <f>IFERROR(VLOOKUP(tbEscolas[[#This Row],[COD ETPA]],tbEtapas[],3,FALSE),"")</f>
        <v/>
      </c>
    </row>
    <row r="1383" spans="1:6" x14ac:dyDescent="0.25">
      <c r="A1383" s="24" t="str">
        <f>_xlfn.XLOOKUP(tbEscolas[[#This Row],[ESCOLA]],tbNucleo[ESCOLA],tbNucleo[COD ESCOLA],"")</f>
        <v/>
      </c>
      <c r="B1383" t="str" cm="1">
        <f t="array" ref="B1383">IFERROR(INDEX(tbNucleo[ESCOLA],ROUNDUP(ROW(B1382)/TotalEtapas,0)),"")</f>
        <v/>
      </c>
      <c r="E1383" t="str">
        <f>IFERROR(VLOOKUP(tbEscolas[[#This Row],[COD ETPA]],tbEtapas[],2,FALSE),"")</f>
        <v/>
      </c>
      <c r="F1383" t="str">
        <f>IFERROR(VLOOKUP(tbEscolas[[#This Row],[COD ETPA]],tbEtapas[],3,FALSE),"")</f>
        <v/>
      </c>
    </row>
    <row r="1384" spans="1:6" x14ac:dyDescent="0.25">
      <c r="A1384" s="24" t="str">
        <f>_xlfn.XLOOKUP(tbEscolas[[#This Row],[ESCOLA]],tbNucleo[ESCOLA],tbNucleo[COD ESCOLA],"")</f>
        <v/>
      </c>
      <c r="B1384" t="str" cm="1">
        <f t="array" ref="B1384">IFERROR(INDEX(tbNucleo[ESCOLA],ROUNDUP(ROW(B1383)/TotalEtapas,0)),"")</f>
        <v/>
      </c>
      <c r="E1384" t="str">
        <f>IFERROR(VLOOKUP(tbEscolas[[#This Row],[COD ETPA]],tbEtapas[],2,FALSE),"")</f>
        <v/>
      </c>
      <c r="F1384" t="str">
        <f>IFERROR(VLOOKUP(tbEscolas[[#This Row],[COD ETPA]],tbEtapas[],3,FALSE),"")</f>
        <v/>
      </c>
    </row>
    <row r="1385" spans="1:6" x14ac:dyDescent="0.25">
      <c r="A1385" s="24" t="str">
        <f>_xlfn.XLOOKUP(tbEscolas[[#This Row],[ESCOLA]],tbNucleo[ESCOLA],tbNucleo[COD ESCOLA],"")</f>
        <v/>
      </c>
      <c r="B1385" t="str" cm="1">
        <f t="array" ref="B1385">IFERROR(INDEX(tbNucleo[ESCOLA],ROUNDUP(ROW(B1384)/TotalEtapas,0)),"")</f>
        <v/>
      </c>
      <c r="E1385" t="str">
        <f>IFERROR(VLOOKUP(tbEscolas[[#This Row],[COD ETPA]],tbEtapas[],2,FALSE),"")</f>
        <v/>
      </c>
      <c r="F1385" t="str">
        <f>IFERROR(VLOOKUP(tbEscolas[[#This Row],[COD ETPA]],tbEtapas[],3,FALSE),"")</f>
        <v/>
      </c>
    </row>
    <row r="1386" spans="1:6" x14ac:dyDescent="0.25">
      <c r="A1386" s="24" t="str">
        <f>_xlfn.XLOOKUP(tbEscolas[[#This Row],[ESCOLA]],tbNucleo[ESCOLA],tbNucleo[COD ESCOLA],"")</f>
        <v/>
      </c>
      <c r="B1386" t="str" cm="1">
        <f t="array" ref="B1386">IFERROR(INDEX(tbNucleo[ESCOLA],ROUNDUP(ROW(B1385)/TotalEtapas,0)),"")</f>
        <v/>
      </c>
      <c r="E1386" t="str">
        <f>IFERROR(VLOOKUP(tbEscolas[[#This Row],[COD ETPA]],tbEtapas[],2,FALSE),"")</f>
        <v/>
      </c>
      <c r="F1386" t="str">
        <f>IFERROR(VLOOKUP(tbEscolas[[#This Row],[COD ETPA]],tbEtapas[],3,FALSE),"")</f>
        <v/>
      </c>
    </row>
    <row r="1387" spans="1:6" x14ac:dyDescent="0.25">
      <c r="A1387" s="24" t="str">
        <f>_xlfn.XLOOKUP(tbEscolas[[#This Row],[ESCOLA]],tbNucleo[ESCOLA],tbNucleo[COD ESCOLA],"")</f>
        <v/>
      </c>
      <c r="B1387" t="str" cm="1">
        <f t="array" ref="B1387">IFERROR(INDEX(tbNucleo[ESCOLA],ROUNDUP(ROW(B1386)/TotalEtapas,0)),"")</f>
        <v/>
      </c>
      <c r="E1387" t="str">
        <f>IFERROR(VLOOKUP(tbEscolas[[#This Row],[COD ETPA]],tbEtapas[],2,FALSE),"")</f>
        <v/>
      </c>
      <c r="F1387" t="str">
        <f>IFERROR(VLOOKUP(tbEscolas[[#This Row],[COD ETPA]],tbEtapas[],3,FALSE),"")</f>
        <v/>
      </c>
    </row>
    <row r="1388" spans="1:6" x14ac:dyDescent="0.25">
      <c r="A1388" s="24" t="str">
        <f>_xlfn.XLOOKUP(tbEscolas[[#This Row],[ESCOLA]],tbNucleo[ESCOLA],tbNucleo[COD ESCOLA],"")</f>
        <v/>
      </c>
      <c r="B1388" t="str" cm="1">
        <f t="array" ref="B1388">IFERROR(INDEX(tbNucleo[ESCOLA],ROUNDUP(ROW(B1387)/TotalEtapas,0)),"")</f>
        <v/>
      </c>
      <c r="E1388" t="str">
        <f>IFERROR(VLOOKUP(tbEscolas[[#This Row],[COD ETPA]],tbEtapas[],2,FALSE),"")</f>
        <v/>
      </c>
      <c r="F1388" t="str">
        <f>IFERROR(VLOOKUP(tbEscolas[[#This Row],[COD ETPA]],tbEtapas[],3,FALSE),"")</f>
        <v/>
      </c>
    </row>
    <row r="1389" spans="1:6" x14ac:dyDescent="0.25">
      <c r="A1389" s="24" t="str">
        <f>_xlfn.XLOOKUP(tbEscolas[[#This Row],[ESCOLA]],tbNucleo[ESCOLA],tbNucleo[COD ESCOLA],"")</f>
        <v/>
      </c>
      <c r="B1389" t="str" cm="1">
        <f t="array" ref="B1389">IFERROR(INDEX(tbNucleo[ESCOLA],ROUNDUP(ROW(B1388)/TotalEtapas,0)),"")</f>
        <v/>
      </c>
      <c r="E1389" t="str">
        <f>IFERROR(VLOOKUP(tbEscolas[[#This Row],[COD ETPA]],tbEtapas[],2,FALSE),"")</f>
        <v/>
      </c>
      <c r="F1389" t="str">
        <f>IFERROR(VLOOKUP(tbEscolas[[#This Row],[COD ETPA]],tbEtapas[],3,FALSE),"")</f>
        <v/>
      </c>
    </row>
    <row r="1390" spans="1:6" x14ac:dyDescent="0.25">
      <c r="A1390" s="24" t="str">
        <f>_xlfn.XLOOKUP(tbEscolas[[#This Row],[ESCOLA]],tbNucleo[ESCOLA],tbNucleo[COD ESCOLA],"")</f>
        <v/>
      </c>
      <c r="B1390" t="str" cm="1">
        <f t="array" ref="B1390">IFERROR(INDEX(tbNucleo[ESCOLA],ROUNDUP(ROW(B1389)/TotalEtapas,0)),"")</f>
        <v/>
      </c>
      <c r="E1390" t="str">
        <f>IFERROR(VLOOKUP(tbEscolas[[#This Row],[COD ETPA]],tbEtapas[],2,FALSE),"")</f>
        <v/>
      </c>
      <c r="F1390" t="str">
        <f>IFERROR(VLOOKUP(tbEscolas[[#This Row],[COD ETPA]],tbEtapas[],3,FALSE),"")</f>
        <v/>
      </c>
    </row>
    <row r="1391" spans="1:6" x14ac:dyDescent="0.25">
      <c r="A1391" s="24" t="str">
        <f>_xlfn.XLOOKUP(tbEscolas[[#This Row],[ESCOLA]],tbNucleo[ESCOLA],tbNucleo[COD ESCOLA],"")</f>
        <v/>
      </c>
      <c r="B1391" t="str" cm="1">
        <f t="array" ref="B1391">IFERROR(INDEX(tbNucleo[ESCOLA],ROUNDUP(ROW(B1390)/TotalEtapas,0)),"")</f>
        <v/>
      </c>
      <c r="E1391" t="str">
        <f>IFERROR(VLOOKUP(tbEscolas[[#This Row],[COD ETPA]],tbEtapas[],2,FALSE),"")</f>
        <v/>
      </c>
      <c r="F1391" t="str">
        <f>IFERROR(VLOOKUP(tbEscolas[[#This Row],[COD ETPA]],tbEtapas[],3,FALSE),"")</f>
        <v/>
      </c>
    </row>
    <row r="1392" spans="1:6" x14ac:dyDescent="0.25">
      <c r="A1392" s="24" t="str">
        <f>_xlfn.XLOOKUP(tbEscolas[[#This Row],[ESCOLA]],tbNucleo[ESCOLA],tbNucleo[COD ESCOLA],"")</f>
        <v/>
      </c>
      <c r="B1392" t="str" cm="1">
        <f t="array" ref="B1392">IFERROR(INDEX(tbNucleo[ESCOLA],ROUNDUP(ROW(B1391)/TotalEtapas,0)),"")</f>
        <v/>
      </c>
      <c r="E1392" t="str">
        <f>IFERROR(VLOOKUP(tbEscolas[[#This Row],[COD ETPA]],tbEtapas[],2,FALSE),"")</f>
        <v/>
      </c>
      <c r="F1392" t="str">
        <f>IFERROR(VLOOKUP(tbEscolas[[#This Row],[COD ETPA]],tbEtapas[],3,FALSE),"")</f>
        <v/>
      </c>
    </row>
    <row r="1393" spans="1:6" x14ac:dyDescent="0.25">
      <c r="A1393" s="24" t="str">
        <f>_xlfn.XLOOKUP(tbEscolas[[#This Row],[ESCOLA]],tbNucleo[ESCOLA],tbNucleo[COD ESCOLA],"")</f>
        <v/>
      </c>
      <c r="B1393" t="str" cm="1">
        <f t="array" ref="B1393">IFERROR(INDEX(tbNucleo[ESCOLA],ROUNDUP(ROW(B1392)/TotalEtapas,0)),"")</f>
        <v/>
      </c>
      <c r="E1393" t="str">
        <f>IFERROR(VLOOKUP(tbEscolas[[#This Row],[COD ETPA]],tbEtapas[],2,FALSE),"")</f>
        <v/>
      </c>
      <c r="F1393" t="str">
        <f>IFERROR(VLOOKUP(tbEscolas[[#This Row],[COD ETPA]],tbEtapas[],3,FALSE),"")</f>
        <v/>
      </c>
    </row>
    <row r="1394" spans="1:6" x14ac:dyDescent="0.25">
      <c r="A1394" s="24" t="str">
        <f>_xlfn.XLOOKUP(tbEscolas[[#This Row],[ESCOLA]],tbNucleo[ESCOLA],tbNucleo[COD ESCOLA],"")</f>
        <v/>
      </c>
      <c r="B1394" t="str" cm="1">
        <f t="array" ref="B1394">IFERROR(INDEX(tbNucleo[ESCOLA],ROUNDUP(ROW(B1393)/TotalEtapas,0)),"")</f>
        <v/>
      </c>
      <c r="E1394" t="str">
        <f>IFERROR(VLOOKUP(tbEscolas[[#This Row],[COD ETPA]],tbEtapas[],2,FALSE),"")</f>
        <v/>
      </c>
      <c r="F1394" t="str">
        <f>IFERROR(VLOOKUP(tbEscolas[[#This Row],[COD ETPA]],tbEtapas[],3,FALSE),"")</f>
        <v/>
      </c>
    </row>
    <row r="1395" spans="1:6" x14ac:dyDescent="0.25">
      <c r="A1395" s="24" t="str">
        <f>_xlfn.XLOOKUP(tbEscolas[[#This Row],[ESCOLA]],tbNucleo[ESCOLA],tbNucleo[COD ESCOLA],"")</f>
        <v/>
      </c>
      <c r="B1395" t="str" cm="1">
        <f t="array" ref="B1395">IFERROR(INDEX(tbNucleo[ESCOLA],ROUNDUP(ROW(B1394)/TotalEtapas,0)),"")</f>
        <v/>
      </c>
      <c r="E1395" t="str">
        <f>IFERROR(VLOOKUP(tbEscolas[[#This Row],[COD ETPA]],tbEtapas[],2,FALSE),"")</f>
        <v/>
      </c>
      <c r="F1395" t="str">
        <f>IFERROR(VLOOKUP(tbEscolas[[#This Row],[COD ETPA]],tbEtapas[],3,FALSE),"")</f>
        <v/>
      </c>
    </row>
    <row r="1396" spans="1:6" x14ac:dyDescent="0.25">
      <c r="A1396" s="24" t="str">
        <f>_xlfn.XLOOKUP(tbEscolas[[#This Row],[ESCOLA]],tbNucleo[ESCOLA],tbNucleo[COD ESCOLA],"")</f>
        <v/>
      </c>
      <c r="B1396" t="str" cm="1">
        <f t="array" ref="B1396">IFERROR(INDEX(tbNucleo[ESCOLA],ROUNDUP(ROW(B1395)/TotalEtapas,0)),"")</f>
        <v/>
      </c>
      <c r="E1396" t="str">
        <f>IFERROR(VLOOKUP(tbEscolas[[#This Row],[COD ETPA]],tbEtapas[],2,FALSE),"")</f>
        <v/>
      </c>
      <c r="F1396" t="str">
        <f>IFERROR(VLOOKUP(tbEscolas[[#This Row],[COD ETPA]],tbEtapas[],3,FALSE),"")</f>
        <v/>
      </c>
    </row>
    <row r="1397" spans="1:6" x14ac:dyDescent="0.25">
      <c r="A1397" s="24" t="str">
        <f>_xlfn.XLOOKUP(tbEscolas[[#This Row],[ESCOLA]],tbNucleo[ESCOLA],tbNucleo[COD ESCOLA],"")</f>
        <v/>
      </c>
      <c r="B1397" t="str" cm="1">
        <f t="array" ref="B1397">IFERROR(INDEX(tbNucleo[ESCOLA],ROUNDUP(ROW(B1396)/TotalEtapas,0)),"")</f>
        <v/>
      </c>
      <c r="E1397" t="str">
        <f>IFERROR(VLOOKUP(tbEscolas[[#This Row],[COD ETPA]],tbEtapas[],2,FALSE),"")</f>
        <v/>
      </c>
      <c r="F1397" t="str">
        <f>IFERROR(VLOOKUP(tbEscolas[[#This Row],[COD ETPA]],tbEtapas[],3,FALSE),"")</f>
        <v/>
      </c>
    </row>
    <row r="1398" spans="1:6" x14ac:dyDescent="0.25">
      <c r="A1398" s="24" t="str">
        <f>_xlfn.XLOOKUP(tbEscolas[[#This Row],[ESCOLA]],tbNucleo[ESCOLA],tbNucleo[COD ESCOLA],"")</f>
        <v/>
      </c>
      <c r="B1398" t="str" cm="1">
        <f t="array" ref="B1398">IFERROR(INDEX(tbNucleo[ESCOLA],ROUNDUP(ROW(B1397)/TotalEtapas,0)),"")</f>
        <v/>
      </c>
      <c r="E1398" t="str">
        <f>IFERROR(VLOOKUP(tbEscolas[[#This Row],[COD ETPA]],tbEtapas[],2,FALSE),"")</f>
        <v/>
      </c>
      <c r="F1398" t="str">
        <f>IFERROR(VLOOKUP(tbEscolas[[#This Row],[COD ETPA]],tbEtapas[],3,FALSE),"")</f>
        <v/>
      </c>
    </row>
    <row r="1399" spans="1:6" x14ac:dyDescent="0.25">
      <c r="A1399" s="24" t="str">
        <f>_xlfn.XLOOKUP(tbEscolas[[#This Row],[ESCOLA]],tbNucleo[ESCOLA],tbNucleo[COD ESCOLA],"")</f>
        <v/>
      </c>
      <c r="B1399" t="str" cm="1">
        <f t="array" ref="B1399">IFERROR(INDEX(tbNucleo[ESCOLA],ROUNDUP(ROW(B1398)/TotalEtapas,0)),"")</f>
        <v/>
      </c>
      <c r="E1399" t="str">
        <f>IFERROR(VLOOKUP(tbEscolas[[#This Row],[COD ETPA]],tbEtapas[],2,FALSE),"")</f>
        <v/>
      </c>
      <c r="F1399" t="str">
        <f>IFERROR(VLOOKUP(tbEscolas[[#This Row],[COD ETPA]],tbEtapas[],3,FALSE),"")</f>
        <v/>
      </c>
    </row>
    <row r="1400" spans="1:6" x14ac:dyDescent="0.25">
      <c r="A1400" s="24" t="str">
        <f>_xlfn.XLOOKUP(tbEscolas[[#This Row],[ESCOLA]],tbNucleo[ESCOLA],tbNucleo[COD ESCOLA],"")</f>
        <v/>
      </c>
      <c r="B1400" t="str" cm="1">
        <f t="array" ref="B1400">IFERROR(INDEX(tbNucleo[ESCOLA],ROUNDUP(ROW(B1399)/TotalEtapas,0)),"")</f>
        <v/>
      </c>
      <c r="E1400" t="str">
        <f>IFERROR(VLOOKUP(tbEscolas[[#This Row],[COD ETPA]],tbEtapas[],2,FALSE),"")</f>
        <v/>
      </c>
      <c r="F1400" t="str">
        <f>IFERROR(VLOOKUP(tbEscolas[[#This Row],[COD ETPA]],tbEtapas[],3,FALSE),"")</f>
        <v/>
      </c>
    </row>
    <row r="1401" spans="1:6" x14ac:dyDescent="0.25">
      <c r="A1401" s="24" t="str">
        <f>_xlfn.XLOOKUP(tbEscolas[[#This Row],[ESCOLA]],tbNucleo[ESCOLA],tbNucleo[COD ESCOLA],"")</f>
        <v/>
      </c>
      <c r="B1401" t="str" cm="1">
        <f t="array" ref="B1401">IFERROR(INDEX(tbNucleo[ESCOLA],ROUNDUP(ROW(B1400)/TotalEtapas,0)),"")</f>
        <v/>
      </c>
      <c r="E1401" t="str">
        <f>IFERROR(VLOOKUP(tbEscolas[[#This Row],[COD ETPA]],tbEtapas[],2,FALSE),"")</f>
        <v/>
      </c>
      <c r="F1401" t="str">
        <f>IFERROR(VLOOKUP(tbEscolas[[#This Row],[COD ETPA]],tbEtapas[],3,FALSE),"")</f>
        <v/>
      </c>
    </row>
    <row r="1402" spans="1:6" x14ac:dyDescent="0.25">
      <c r="A1402" s="24" t="str">
        <f>_xlfn.XLOOKUP(tbEscolas[[#This Row],[ESCOLA]],tbNucleo[ESCOLA],tbNucleo[COD ESCOLA],"")</f>
        <v/>
      </c>
      <c r="B1402" t="str" cm="1">
        <f t="array" ref="B1402">IFERROR(INDEX(tbNucleo[ESCOLA],ROUNDUP(ROW(B1401)/TotalEtapas,0)),"")</f>
        <v/>
      </c>
      <c r="E1402" t="str">
        <f>IFERROR(VLOOKUP(tbEscolas[[#This Row],[COD ETPA]],tbEtapas[],2,FALSE),"")</f>
        <v/>
      </c>
      <c r="F1402" t="str">
        <f>IFERROR(VLOOKUP(tbEscolas[[#This Row],[COD ETPA]],tbEtapas[],3,FALSE),"")</f>
        <v/>
      </c>
    </row>
    <row r="1403" spans="1:6" x14ac:dyDescent="0.25">
      <c r="A1403" s="24" t="str">
        <f>_xlfn.XLOOKUP(tbEscolas[[#This Row],[ESCOLA]],tbNucleo[ESCOLA],tbNucleo[COD ESCOLA],"")</f>
        <v/>
      </c>
      <c r="B1403" t="str" cm="1">
        <f t="array" ref="B1403">IFERROR(INDEX(tbNucleo[ESCOLA],ROUNDUP(ROW(B1402)/TotalEtapas,0)),"")</f>
        <v/>
      </c>
      <c r="E1403" t="str">
        <f>IFERROR(VLOOKUP(tbEscolas[[#This Row],[COD ETPA]],tbEtapas[],2,FALSE),"")</f>
        <v/>
      </c>
      <c r="F1403" t="str">
        <f>IFERROR(VLOOKUP(tbEscolas[[#This Row],[COD ETPA]],tbEtapas[],3,FALSE),"")</f>
        <v/>
      </c>
    </row>
    <row r="1404" spans="1:6" x14ac:dyDescent="0.25">
      <c r="A1404" s="24" t="str">
        <f>_xlfn.XLOOKUP(tbEscolas[[#This Row],[ESCOLA]],tbNucleo[ESCOLA],tbNucleo[COD ESCOLA],"")</f>
        <v/>
      </c>
      <c r="B1404" t="str" cm="1">
        <f t="array" ref="B1404">IFERROR(INDEX(tbNucleo[ESCOLA],ROUNDUP(ROW(B1403)/TotalEtapas,0)),"")</f>
        <v/>
      </c>
      <c r="E1404" t="str">
        <f>IFERROR(VLOOKUP(tbEscolas[[#This Row],[COD ETPA]],tbEtapas[],2,FALSE),"")</f>
        <v/>
      </c>
      <c r="F1404" t="str">
        <f>IFERROR(VLOOKUP(tbEscolas[[#This Row],[COD ETPA]],tbEtapas[],3,FALSE),"")</f>
        <v/>
      </c>
    </row>
    <row r="1405" spans="1:6" x14ac:dyDescent="0.25">
      <c r="A1405" s="24" t="str">
        <f>_xlfn.XLOOKUP(tbEscolas[[#This Row],[ESCOLA]],tbNucleo[ESCOLA],tbNucleo[COD ESCOLA],"")</f>
        <v/>
      </c>
      <c r="B1405" t="str" cm="1">
        <f t="array" ref="B1405">IFERROR(INDEX(tbNucleo[ESCOLA],ROUNDUP(ROW(B1404)/TotalEtapas,0)),"")</f>
        <v/>
      </c>
      <c r="E1405" t="str">
        <f>IFERROR(VLOOKUP(tbEscolas[[#This Row],[COD ETPA]],tbEtapas[],2,FALSE),"")</f>
        <v/>
      </c>
      <c r="F1405" t="str">
        <f>IFERROR(VLOOKUP(tbEscolas[[#This Row],[COD ETPA]],tbEtapas[],3,FALSE),"")</f>
        <v/>
      </c>
    </row>
    <row r="1406" spans="1:6" x14ac:dyDescent="0.25">
      <c r="A1406" s="24" t="str">
        <f>_xlfn.XLOOKUP(tbEscolas[[#This Row],[ESCOLA]],tbNucleo[ESCOLA],tbNucleo[COD ESCOLA],"")</f>
        <v/>
      </c>
      <c r="B1406" t="str" cm="1">
        <f t="array" ref="B1406">IFERROR(INDEX(tbNucleo[ESCOLA],ROUNDUP(ROW(B1405)/TotalEtapas,0)),"")</f>
        <v/>
      </c>
      <c r="E1406" t="str">
        <f>IFERROR(VLOOKUP(tbEscolas[[#This Row],[COD ETPA]],tbEtapas[],2,FALSE),"")</f>
        <v/>
      </c>
      <c r="F1406" t="str">
        <f>IFERROR(VLOOKUP(tbEscolas[[#This Row],[COD ETPA]],tbEtapas[],3,FALSE),"")</f>
        <v/>
      </c>
    </row>
    <row r="1407" spans="1:6" x14ac:dyDescent="0.25">
      <c r="A1407" s="24" t="str">
        <f>_xlfn.XLOOKUP(tbEscolas[[#This Row],[ESCOLA]],tbNucleo[ESCOLA],tbNucleo[COD ESCOLA],"")</f>
        <v/>
      </c>
      <c r="B1407" t="str" cm="1">
        <f t="array" ref="B1407">IFERROR(INDEX(tbNucleo[ESCOLA],ROUNDUP(ROW(B1406)/TotalEtapas,0)),"")</f>
        <v/>
      </c>
      <c r="E1407" t="str">
        <f>IFERROR(VLOOKUP(tbEscolas[[#This Row],[COD ETPA]],tbEtapas[],2,FALSE),"")</f>
        <v/>
      </c>
      <c r="F1407" t="str">
        <f>IFERROR(VLOOKUP(tbEscolas[[#This Row],[COD ETPA]],tbEtapas[],3,FALSE),"")</f>
        <v/>
      </c>
    </row>
    <row r="1408" spans="1:6" x14ac:dyDescent="0.25">
      <c r="A1408" s="24" t="str">
        <f>_xlfn.XLOOKUP(tbEscolas[[#This Row],[ESCOLA]],tbNucleo[ESCOLA],tbNucleo[COD ESCOLA],"")</f>
        <v/>
      </c>
      <c r="B1408" t="str" cm="1">
        <f t="array" ref="B1408">IFERROR(INDEX(tbNucleo[ESCOLA],ROUNDUP(ROW(B1407)/TotalEtapas,0)),"")</f>
        <v/>
      </c>
      <c r="E1408" t="str">
        <f>IFERROR(VLOOKUP(tbEscolas[[#This Row],[COD ETPA]],tbEtapas[],2,FALSE),"")</f>
        <v/>
      </c>
      <c r="F1408" t="str">
        <f>IFERROR(VLOOKUP(tbEscolas[[#This Row],[COD ETPA]],tbEtapas[],3,FALSE),"")</f>
        <v/>
      </c>
    </row>
    <row r="1409" spans="1:6" x14ac:dyDescent="0.25">
      <c r="A1409" s="24" t="str">
        <f>_xlfn.XLOOKUP(tbEscolas[[#This Row],[ESCOLA]],tbNucleo[ESCOLA],tbNucleo[COD ESCOLA],"")</f>
        <v/>
      </c>
      <c r="B1409" t="str" cm="1">
        <f t="array" ref="B1409">IFERROR(INDEX(tbNucleo[ESCOLA],ROUNDUP(ROW(B1408)/TotalEtapas,0)),"")</f>
        <v/>
      </c>
      <c r="E1409" t="str">
        <f>IFERROR(VLOOKUP(tbEscolas[[#This Row],[COD ETPA]],tbEtapas[],2,FALSE),"")</f>
        <v/>
      </c>
      <c r="F1409" t="str">
        <f>IFERROR(VLOOKUP(tbEscolas[[#This Row],[COD ETPA]],tbEtapas[],3,FALSE),"")</f>
        <v/>
      </c>
    </row>
    <row r="1410" spans="1:6" x14ac:dyDescent="0.25">
      <c r="A1410" s="24" t="str">
        <f>_xlfn.XLOOKUP(tbEscolas[[#This Row],[ESCOLA]],tbNucleo[ESCOLA],tbNucleo[COD ESCOLA],"")</f>
        <v/>
      </c>
      <c r="B1410" t="str" cm="1">
        <f t="array" ref="B1410">IFERROR(INDEX(tbNucleo[ESCOLA],ROUNDUP(ROW(B1409)/TotalEtapas,0)),"")</f>
        <v/>
      </c>
      <c r="E1410" t="str">
        <f>IFERROR(VLOOKUP(tbEscolas[[#This Row],[COD ETPA]],tbEtapas[],2,FALSE),"")</f>
        <v/>
      </c>
      <c r="F1410" t="str">
        <f>IFERROR(VLOOKUP(tbEscolas[[#This Row],[COD ETPA]],tbEtapas[],3,FALSE),"")</f>
        <v/>
      </c>
    </row>
    <row r="1411" spans="1:6" x14ac:dyDescent="0.25">
      <c r="A1411" s="24" t="str">
        <f>_xlfn.XLOOKUP(tbEscolas[[#This Row],[ESCOLA]],tbNucleo[ESCOLA],tbNucleo[COD ESCOLA],"")</f>
        <v/>
      </c>
      <c r="B1411" t="str" cm="1">
        <f t="array" ref="B1411">IFERROR(INDEX(tbNucleo[ESCOLA],ROUNDUP(ROW(B1410)/TotalEtapas,0)),"")</f>
        <v/>
      </c>
      <c r="E1411" t="str">
        <f>IFERROR(VLOOKUP(tbEscolas[[#This Row],[COD ETPA]],tbEtapas[],2,FALSE),"")</f>
        <v/>
      </c>
      <c r="F1411" t="str">
        <f>IFERROR(VLOOKUP(tbEscolas[[#This Row],[COD ETPA]],tbEtapas[],3,FALSE),"")</f>
        <v/>
      </c>
    </row>
    <row r="1412" spans="1:6" x14ac:dyDescent="0.25">
      <c r="A1412" s="24" t="str">
        <f>_xlfn.XLOOKUP(tbEscolas[[#This Row],[ESCOLA]],tbNucleo[ESCOLA],tbNucleo[COD ESCOLA],"")</f>
        <v/>
      </c>
      <c r="B1412" t="str" cm="1">
        <f t="array" ref="B1412">IFERROR(INDEX(tbNucleo[ESCOLA],ROUNDUP(ROW(B1411)/TotalEtapas,0)),"")</f>
        <v/>
      </c>
      <c r="E1412" t="str">
        <f>IFERROR(VLOOKUP(tbEscolas[[#This Row],[COD ETPA]],tbEtapas[],2,FALSE),"")</f>
        <v/>
      </c>
      <c r="F1412" t="str">
        <f>IFERROR(VLOOKUP(tbEscolas[[#This Row],[COD ETPA]],tbEtapas[],3,FALSE),"")</f>
        <v/>
      </c>
    </row>
    <row r="1413" spans="1:6" x14ac:dyDescent="0.25">
      <c r="A1413" s="24" t="str">
        <f>_xlfn.XLOOKUP(tbEscolas[[#This Row],[ESCOLA]],tbNucleo[ESCOLA],tbNucleo[COD ESCOLA],"")</f>
        <v/>
      </c>
      <c r="B1413" t="str" cm="1">
        <f t="array" ref="B1413">IFERROR(INDEX(tbNucleo[ESCOLA],ROUNDUP(ROW(B1412)/TotalEtapas,0)),"")</f>
        <v/>
      </c>
      <c r="E1413" t="str">
        <f>IFERROR(VLOOKUP(tbEscolas[[#This Row],[COD ETPA]],tbEtapas[],2,FALSE),"")</f>
        <v/>
      </c>
      <c r="F1413" t="str">
        <f>IFERROR(VLOOKUP(tbEscolas[[#This Row],[COD ETPA]],tbEtapas[],3,FALSE),"")</f>
        <v/>
      </c>
    </row>
    <row r="1414" spans="1:6" x14ac:dyDescent="0.25">
      <c r="A1414" s="24" t="str">
        <f>_xlfn.XLOOKUP(tbEscolas[[#This Row],[ESCOLA]],tbNucleo[ESCOLA],tbNucleo[COD ESCOLA],"")</f>
        <v/>
      </c>
      <c r="B1414" t="str" cm="1">
        <f t="array" ref="B1414">IFERROR(INDEX(tbNucleo[ESCOLA],ROUNDUP(ROW(B1413)/TotalEtapas,0)),"")</f>
        <v/>
      </c>
      <c r="E1414" t="str">
        <f>IFERROR(VLOOKUP(tbEscolas[[#This Row],[COD ETPA]],tbEtapas[],2,FALSE),"")</f>
        <v/>
      </c>
      <c r="F1414" t="str">
        <f>IFERROR(VLOOKUP(tbEscolas[[#This Row],[COD ETPA]],tbEtapas[],3,FALSE),"")</f>
        <v/>
      </c>
    </row>
    <row r="1415" spans="1:6" x14ac:dyDescent="0.25">
      <c r="A1415" s="24" t="str">
        <f>_xlfn.XLOOKUP(tbEscolas[[#This Row],[ESCOLA]],tbNucleo[ESCOLA],tbNucleo[COD ESCOLA],"")</f>
        <v/>
      </c>
      <c r="B1415" t="str" cm="1">
        <f t="array" ref="B1415">IFERROR(INDEX(tbNucleo[ESCOLA],ROUNDUP(ROW(B1414)/TotalEtapas,0)),"")</f>
        <v/>
      </c>
      <c r="E1415" t="str">
        <f>IFERROR(VLOOKUP(tbEscolas[[#This Row],[COD ETPA]],tbEtapas[],2,FALSE),"")</f>
        <v/>
      </c>
      <c r="F1415" t="str">
        <f>IFERROR(VLOOKUP(tbEscolas[[#This Row],[COD ETPA]],tbEtapas[],3,FALSE),"")</f>
        <v/>
      </c>
    </row>
    <row r="1416" spans="1:6" x14ac:dyDescent="0.25">
      <c r="A1416" s="24" t="str">
        <f>_xlfn.XLOOKUP(tbEscolas[[#This Row],[ESCOLA]],tbNucleo[ESCOLA],tbNucleo[COD ESCOLA],"")</f>
        <v/>
      </c>
      <c r="B1416" t="str" cm="1">
        <f t="array" ref="B1416">IFERROR(INDEX(tbNucleo[ESCOLA],ROUNDUP(ROW(B1415)/TotalEtapas,0)),"")</f>
        <v/>
      </c>
      <c r="E1416" t="str">
        <f>IFERROR(VLOOKUP(tbEscolas[[#This Row],[COD ETPA]],tbEtapas[],2,FALSE),"")</f>
        <v/>
      </c>
      <c r="F1416" t="str">
        <f>IFERROR(VLOOKUP(tbEscolas[[#This Row],[COD ETPA]],tbEtapas[],3,FALSE),"")</f>
        <v/>
      </c>
    </row>
    <row r="1417" spans="1:6" x14ac:dyDescent="0.25">
      <c r="A1417" s="24" t="str">
        <f>_xlfn.XLOOKUP(tbEscolas[[#This Row],[ESCOLA]],tbNucleo[ESCOLA],tbNucleo[COD ESCOLA],"")</f>
        <v/>
      </c>
      <c r="B1417" t="str" cm="1">
        <f t="array" ref="B1417">IFERROR(INDEX(tbNucleo[ESCOLA],ROUNDUP(ROW(B1416)/TotalEtapas,0)),"")</f>
        <v/>
      </c>
      <c r="E1417" t="str">
        <f>IFERROR(VLOOKUP(tbEscolas[[#This Row],[COD ETPA]],tbEtapas[],2,FALSE),"")</f>
        <v/>
      </c>
      <c r="F1417" t="str">
        <f>IFERROR(VLOOKUP(tbEscolas[[#This Row],[COD ETPA]],tbEtapas[],3,FALSE),"")</f>
        <v/>
      </c>
    </row>
    <row r="1418" spans="1:6" x14ac:dyDescent="0.25">
      <c r="A1418" s="24" t="str">
        <f>_xlfn.XLOOKUP(tbEscolas[[#This Row],[ESCOLA]],tbNucleo[ESCOLA],tbNucleo[COD ESCOLA],"")</f>
        <v/>
      </c>
      <c r="B1418" t="str" cm="1">
        <f t="array" ref="B1418">IFERROR(INDEX(tbNucleo[ESCOLA],ROUNDUP(ROW(B1417)/TotalEtapas,0)),"")</f>
        <v/>
      </c>
      <c r="E1418" t="str">
        <f>IFERROR(VLOOKUP(tbEscolas[[#This Row],[COD ETPA]],tbEtapas[],2,FALSE),"")</f>
        <v/>
      </c>
      <c r="F1418" t="str">
        <f>IFERROR(VLOOKUP(tbEscolas[[#This Row],[COD ETPA]],tbEtapas[],3,FALSE),"")</f>
        <v/>
      </c>
    </row>
    <row r="1419" spans="1:6" x14ac:dyDescent="0.25">
      <c r="A1419" s="24" t="str">
        <f>_xlfn.XLOOKUP(tbEscolas[[#This Row],[ESCOLA]],tbNucleo[ESCOLA],tbNucleo[COD ESCOLA],"")</f>
        <v/>
      </c>
      <c r="B1419" t="str" cm="1">
        <f t="array" ref="B1419">IFERROR(INDEX(tbNucleo[ESCOLA],ROUNDUP(ROW(B1418)/TotalEtapas,0)),"")</f>
        <v/>
      </c>
      <c r="E1419" t="str">
        <f>IFERROR(VLOOKUP(tbEscolas[[#This Row],[COD ETPA]],tbEtapas[],2,FALSE),"")</f>
        <v/>
      </c>
      <c r="F1419" t="str">
        <f>IFERROR(VLOOKUP(tbEscolas[[#This Row],[COD ETPA]],tbEtapas[],3,FALSE),"")</f>
        <v/>
      </c>
    </row>
    <row r="1420" spans="1:6" x14ac:dyDescent="0.25">
      <c r="A1420" s="24" t="str">
        <f>_xlfn.XLOOKUP(tbEscolas[[#This Row],[ESCOLA]],tbNucleo[ESCOLA],tbNucleo[COD ESCOLA],"")</f>
        <v/>
      </c>
      <c r="B1420" t="str" cm="1">
        <f t="array" ref="B1420">IFERROR(INDEX(tbNucleo[ESCOLA],ROUNDUP(ROW(B1419)/TotalEtapas,0)),"")</f>
        <v/>
      </c>
      <c r="E1420" t="str">
        <f>IFERROR(VLOOKUP(tbEscolas[[#This Row],[COD ETPA]],tbEtapas[],2,FALSE),"")</f>
        <v/>
      </c>
      <c r="F1420" t="str">
        <f>IFERROR(VLOOKUP(tbEscolas[[#This Row],[COD ETPA]],tbEtapas[],3,FALSE),"")</f>
        <v/>
      </c>
    </row>
    <row r="1421" spans="1:6" x14ac:dyDescent="0.25">
      <c r="A1421" s="24" t="str">
        <f>_xlfn.XLOOKUP(tbEscolas[[#This Row],[ESCOLA]],tbNucleo[ESCOLA],tbNucleo[COD ESCOLA],"")</f>
        <v/>
      </c>
      <c r="B1421" t="str" cm="1">
        <f t="array" ref="B1421">IFERROR(INDEX(tbNucleo[ESCOLA],ROUNDUP(ROW(B1420)/TotalEtapas,0)),"")</f>
        <v/>
      </c>
      <c r="E1421" t="str">
        <f>IFERROR(VLOOKUP(tbEscolas[[#This Row],[COD ETPA]],tbEtapas[],2,FALSE),"")</f>
        <v/>
      </c>
      <c r="F1421" t="str">
        <f>IFERROR(VLOOKUP(tbEscolas[[#This Row],[COD ETPA]],tbEtapas[],3,FALSE),"")</f>
        <v/>
      </c>
    </row>
    <row r="1422" spans="1:6" x14ac:dyDescent="0.25">
      <c r="A1422" s="24" t="str">
        <f>_xlfn.XLOOKUP(tbEscolas[[#This Row],[ESCOLA]],tbNucleo[ESCOLA],tbNucleo[COD ESCOLA],"")</f>
        <v/>
      </c>
      <c r="B1422" t="str" cm="1">
        <f t="array" ref="B1422">IFERROR(INDEX(tbNucleo[ESCOLA],ROUNDUP(ROW(B1421)/TotalEtapas,0)),"")</f>
        <v/>
      </c>
      <c r="E1422" t="str">
        <f>IFERROR(VLOOKUP(tbEscolas[[#This Row],[COD ETPA]],tbEtapas[],2,FALSE),"")</f>
        <v/>
      </c>
      <c r="F1422" t="str">
        <f>IFERROR(VLOOKUP(tbEscolas[[#This Row],[COD ETPA]],tbEtapas[],3,FALSE),"")</f>
        <v/>
      </c>
    </row>
    <row r="1423" spans="1:6" x14ac:dyDescent="0.25">
      <c r="A1423" s="24" t="str">
        <f>_xlfn.XLOOKUP(tbEscolas[[#This Row],[ESCOLA]],tbNucleo[ESCOLA],tbNucleo[COD ESCOLA],"")</f>
        <v/>
      </c>
      <c r="B1423" t="str" cm="1">
        <f t="array" ref="B1423">IFERROR(INDEX(tbNucleo[ESCOLA],ROUNDUP(ROW(B1422)/TotalEtapas,0)),"")</f>
        <v/>
      </c>
      <c r="E1423" t="str">
        <f>IFERROR(VLOOKUP(tbEscolas[[#This Row],[COD ETPA]],tbEtapas[],2,FALSE),"")</f>
        <v/>
      </c>
      <c r="F1423" t="str">
        <f>IFERROR(VLOOKUP(tbEscolas[[#This Row],[COD ETPA]],tbEtapas[],3,FALSE),"")</f>
        <v/>
      </c>
    </row>
    <row r="1424" spans="1:6" x14ac:dyDescent="0.25">
      <c r="A1424" s="24" t="str">
        <f>_xlfn.XLOOKUP(tbEscolas[[#This Row],[ESCOLA]],tbNucleo[ESCOLA],tbNucleo[COD ESCOLA],"")</f>
        <v/>
      </c>
      <c r="B1424" t="str" cm="1">
        <f t="array" ref="B1424">IFERROR(INDEX(tbNucleo[ESCOLA],ROUNDUP(ROW(B1423)/TotalEtapas,0)),"")</f>
        <v/>
      </c>
      <c r="E1424" t="str">
        <f>IFERROR(VLOOKUP(tbEscolas[[#This Row],[COD ETPA]],tbEtapas[],2,FALSE),"")</f>
        <v/>
      </c>
      <c r="F1424" t="str">
        <f>IFERROR(VLOOKUP(tbEscolas[[#This Row],[COD ETPA]],tbEtapas[],3,FALSE),"")</f>
        <v/>
      </c>
    </row>
    <row r="1425" spans="1:6" x14ac:dyDescent="0.25">
      <c r="A1425" s="24" t="str">
        <f>_xlfn.XLOOKUP(tbEscolas[[#This Row],[ESCOLA]],tbNucleo[ESCOLA],tbNucleo[COD ESCOLA],"")</f>
        <v/>
      </c>
      <c r="B1425" t="str" cm="1">
        <f t="array" ref="B1425">IFERROR(INDEX(tbNucleo[ESCOLA],ROUNDUP(ROW(B1424)/TotalEtapas,0)),"")</f>
        <v/>
      </c>
      <c r="E1425" t="str">
        <f>IFERROR(VLOOKUP(tbEscolas[[#This Row],[COD ETPA]],tbEtapas[],2,FALSE),"")</f>
        <v/>
      </c>
      <c r="F1425" t="str">
        <f>IFERROR(VLOOKUP(tbEscolas[[#This Row],[COD ETPA]],tbEtapas[],3,FALSE),"")</f>
        <v/>
      </c>
    </row>
    <row r="1426" spans="1:6" x14ac:dyDescent="0.25">
      <c r="A1426" s="24" t="str">
        <f>_xlfn.XLOOKUP(tbEscolas[[#This Row],[ESCOLA]],tbNucleo[ESCOLA],tbNucleo[COD ESCOLA],"")</f>
        <v/>
      </c>
      <c r="B1426" t="str" cm="1">
        <f t="array" ref="B1426">IFERROR(INDEX(tbNucleo[ESCOLA],ROUNDUP(ROW(B1425)/TotalEtapas,0)),"")</f>
        <v/>
      </c>
      <c r="E1426" t="str">
        <f>IFERROR(VLOOKUP(tbEscolas[[#This Row],[COD ETPA]],tbEtapas[],2,FALSE),"")</f>
        <v/>
      </c>
      <c r="F1426" t="str">
        <f>IFERROR(VLOOKUP(tbEscolas[[#This Row],[COD ETPA]],tbEtapas[],3,FALSE),"")</f>
        <v/>
      </c>
    </row>
    <row r="1427" spans="1:6" x14ac:dyDescent="0.25">
      <c r="A1427" s="24" t="str">
        <f>_xlfn.XLOOKUP(tbEscolas[[#This Row],[ESCOLA]],tbNucleo[ESCOLA],tbNucleo[COD ESCOLA],"")</f>
        <v/>
      </c>
      <c r="B1427" t="str" cm="1">
        <f t="array" ref="B1427">IFERROR(INDEX(tbNucleo[ESCOLA],ROUNDUP(ROW(B1426)/TotalEtapas,0)),"")</f>
        <v/>
      </c>
      <c r="E1427" t="str">
        <f>IFERROR(VLOOKUP(tbEscolas[[#This Row],[COD ETPA]],tbEtapas[],2,FALSE),"")</f>
        <v/>
      </c>
      <c r="F1427" t="str">
        <f>IFERROR(VLOOKUP(tbEscolas[[#This Row],[COD ETPA]],tbEtapas[],3,FALSE),"")</f>
        <v/>
      </c>
    </row>
    <row r="1428" spans="1:6" x14ac:dyDescent="0.25">
      <c r="A1428" s="24" t="str">
        <f>_xlfn.XLOOKUP(tbEscolas[[#This Row],[ESCOLA]],tbNucleo[ESCOLA],tbNucleo[COD ESCOLA],"")</f>
        <v/>
      </c>
      <c r="B1428" t="str" cm="1">
        <f t="array" ref="B1428">IFERROR(INDEX(tbNucleo[ESCOLA],ROUNDUP(ROW(B1427)/TotalEtapas,0)),"")</f>
        <v/>
      </c>
      <c r="E1428" t="str">
        <f>IFERROR(VLOOKUP(tbEscolas[[#This Row],[COD ETPA]],tbEtapas[],2,FALSE),"")</f>
        <v/>
      </c>
      <c r="F1428" t="str">
        <f>IFERROR(VLOOKUP(tbEscolas[[#This Row],[COD ETPA]],tbEtapas[],3,FALSE),"")</f>
        <v/>
      </c>
    </row>
    <row r="1429" spans="1:6" x14ac:dyDescent="0.25">
      <c r="A1429" s="24" t="str">
        <f>_xlfn.XLOOKUP(tbEscolas[[#This Row],[ESCOLA]],tbNucleo[ESCOLA],tbNucleo[COD ESCOLA],"")</f>
        <v/>
      </c>
      <c r="B1429" t="str" cm="1">
        <f t="array" ref="B1429">IFERROR(INDEX(tbNucleo[ESCOLA],ROUNDUP(ROW(B1428)/TotalEtapas,0)),"")</f>
        <v/>
      </c>
      <c r="E1429" t="str">
        <f>IFERROR(VLOOKUP(tbEscolas[[#This Row],[COD ETPA]],tbEtapas[],2,FALSE),"")</f>
        <v/>
      </c>
      <c r="F1429" t="str">
        <f>IFERROR(VLOOKUP(tbEscolas[[#This Row],[COD ETPA]],tbEtapas[],3,FALSE),"")</f>
        <v/>
      </c>
    </row>
    <row r="1430" spans="1:6" x14ac:dyDescent="0.25">
      <c r="A1430" s="24" t="str">
        <f>_xlfn.XLOOKUP(tbEscolas[[#This Row],[ESCOLA]],tbNucleo[ESCOLA],tbNucleo[COD ESCOLA],"")</f>
        <v/>
      </c>
      <c r="B1430" t="str" cm="1">
        <f t="array" ref="B1430">IFERROR(INDEX(tbNucleo[ESCOLA],ROUNDUP(ROW(B1429)/TotalEtapas,0)),"")</f>
        <v/>
      </c>
      <c r="E1430" t="str">
        <f>IFERROR(VLOOKUP(tbEscolas[[#This Row],[COD ETPA]],tbEtapas[],2,FALSE),"")</f>
        <v/>
      </c>
      <c r="F1430" t="str">
        <f>IFERROR(VLOOKUP(tbEscolas[[#This Row],[COD ETPA]],tbEtapas[],3,FALSE),"")</f>
        <v/>
      </c>
    </row>
    <row r="1431" spans="1:6" x14ac:dyDescent="0.25">
      <c r="A1431" s="24" t="str">
        <f>_xlfn.XLOOKUP(tbEscolas[[#This Row],[ESCOLA]],tbNucleo[ESCOLA],tbNucleo[COD ESCOLA],"")</f>
        <v/>
      </c>
      <c r="B1431" t="str" cm="1">
        <f t="array" ref="B1431">IFERROR(INDEX(tbNucleo[ESCOLA],ROUNDUP(ROW(B1430)/TotalEtapas,0)),"")</f>
        <v/>
      </c>
      <c r="E1431" t="str">
        <f>IFERROR(VLOOKUP(tbEscolas[[#This Row],[COD ETPA]],tbEtapas[],2,FALSE),"")</f>
        <v/>
      </c>
      <c r="F1431" t="str">
        <f>IFERROR(VLOOKUP(tbEscolas[[#This Row],[COD ETPA]],tbEtapas[],3,FALSE),"")</f>
        <v/>
      </c>
    </row>
    <row r="1432" spans="1:6" x14ac:dyDescent="0.25">
      <c r="A1432" s="24" t="str">
        <f>_xlfn.XLOOKUP(tbEscolas[[#This Row],[ESCOLA]],tbNucleo[ESCOLA],tbNucleo[COD ESCOLA],"")</f>
        <v/>
      </c>
      <c r="B1432" t="str" cm="1">
        <f t="array" ref="B1432">IFERROR(INDEX(tbNucleo[ESCOLA],ROUNDUP(ROW(B1431)/TotalEtapas,0)),"")</f>
        <v/>
      </c>
      <c r="E1432" t="str">
        <f>IFERROR(VLOOKUP(tbEscolas[[#This Row],[COD ETPA]],tbEtapas[],2,FALSE),"")</f>
        <v/>
      </c>
      <c r="F1432" t="str">
        <f>IFERROR(VLOOKUP(tbEscolas[[#This Row],[COD ETPA]],tbEtapas[],3,FALSE),"")</f>
        <v/>
      </c>
    </row>
    <row r="1433" spans="1:6" x14ac:dyDescent="0.25">
      <c r="A1433" s="24" t="str">
        <f>_xlfn.XLOOKUP(tbEscolas[[#This Row],[ESCOLA]],tbNucleo[ESCOLA],tbNucleo[COD ESCOLA],"")</f>
        <v/>
      </c>
      <c r="B1433" t="str" cm="1">
        <f t="array" ref="B1433">IFERROR(INDEX(tbNucleo[ESCOLA],ROUNDUP(ROW(B1432)/TotalEtapas,0)),"")</f>
        <v/>
      </c>
      <c r="E1433" t="str">
        <f>IFERROR(VLOOKUP(tbEscolas[[#This Row],[COD ETPA]],tbEtapas[],2,FALSE),"")</f>
        <v/>
      </c>
      <c r="F1433" t="str">
        <f>IFERROR(VLOOKUP(tbEscolas[[#This Row],[COD ETPA]],tbEtapas[],3,FALSE),"")</f>
        <v/>
      </c>
    </row>
    <row r="1434" spans="1:6" x14ac:dyDescent="0.25">
      <c r="A1434" s="24" t="str">
        <f>_xlfn.XLOOKUP(tbEscolas[[#This Row],[ESCOLA]],tbNucleo[ESCOLA],tbNucleo[COD ESCOLA],"")</f>
        <v/>
      </c>
      <c r="B1434" t="str" cm="1">
        <f t="array" ref="B1434">IFERROR(INDEX(tbNucleo[ESCOLA],ROUNDUP(ROW(B1433)/TotalEtapas,0)),"")</f>
        <v/>
      </c>
      <c r="E1434" t="str">
        <f>IFERROR(VLOOKUP(tbEscolas[[#This Row],[COD ETPA]],tbEtapas[],2,FALSE),"")</f>
        <v/>
      </c>
      <c r="F1434" t="str">
        <f>IFERROR(VLOOKUP(tbEscolas[[#This Row],[COD ETPA]],tbEtapas[],3,FALSE),"")</f>
        <v/>
      </c>
    </row>
    <row r="1435" spans="1:6" x14ac:dyDescent="0.25">
      <c r="A1435" s="24" t="str">
        <f>_xlfn.XLOOKUP(tbEscolas[[#This Row],[ESCOLA]],tbNucleo[ESCOLA],tbNucleo[COD ESCOLA],"")</f>
        <v/>
      </c>
      <c r="B1435" t="str" cm="1">
        <f t="array" ref="B1435">IFERROR(INDEX(tbNucleo[ESCOLA],ROUNDUP(ROW(B1434)/TotalEtapas,0)),"")</f>
        <v/>
      </c>
      <c r="E1435" t="str">
        <f>IFERROR(VLOOKUP(tbEscolas[[#This Row],[COD ETPA]],tbEtapas[],2,FALSE),"")</f>
        <v/>
      </c>
      <c r="F1435" t="str">
        <f>IFERROR(VLOOKUP(tbEscolas[[#This Row],[COD ETPA]],tbEtapas[],3,FALSE),"")</f>
        <v/>
      </c>
    </row>
    <row r="1436" spans="1:6" x14ac:dyDescent="0.25">
      <c r="A1436" s="24" t="str">
        <f>_xlfn.XLOOKUP(tbEscolas[[#This Row],[ESCOLA]],tbNucleo[ESCOLA],tbNucleo[COD ESCOLA],"")</f>
        <v/>
      </c>
      <c r="B1436" t="str" cm="1">
        <f t="array" ref="B1436">IFERROR(INDEX(tbNucleo[ESCOLA],ROUNDUP(ROW(B1435)/TotalEtapas,0)),"")</f>
        <v/>
      </c>
      <c r="E1436" t="str">
        <f>IFERROR(VLOOKUP(tbEscolas[[#This Row],[COD ETPA]],tbEtapas[],2,FALSE),"")</f>
        <v/>
      </c>
      <c r="F1436" t="str">
        <f>IFERROR(VLOOKUP(tbEscolas[[#This Row],[COD ETPA]],tbEtapas[],3,FALSE),"")</f>
        <v/>
      </c>
    </row>
    <row r="1437" spans="1:6" x14ac:dyDescent="0.25">
      <c r="A1437" s="24" t="str">
        <f>_xlfn.XLOOKUP(tbEscolas[[#This Row],[ESCOLA]],tbNucleo[ESCOLA],tbNucleo[COD ESCOLA],"")</f>
        <v/>
      </c>
      <c r="B1437" t="str" cm="1">
        <f t="array" ref="B1437">IFERROR(INDEX(tbNucleo[ESCOLA],ROUNDUP(ROW(B1436)/TotalEtapas,0)),"")</f>
        <v/>
      </c>
      <c r="E1437" t="str">
        <f>IFERROR(VLOOKUP(tbEscolas[[#This Row],[COD ETPA]],tbEtapas[],2,FALSE),"")</f>
        <v/>
      </c>
      <c r="F1437" t="str">
        <f>IFERROR(VLOOKUP(tbEscolas[[#This Row],[COD ETPA]],tbEtapas[],3,FALSE),"")</f>
        <v/>
      </c>
    </row>
    <row r="1438" spans="1:6" x14ac:dyDescent="0.25">
      <c r="A1438" s="24" t="str">
        <f>_xlfn.XLOOKUP(tbEscolas[[#This Row],[ESCOLA]],tbNucleo[ESCOLA],tbNucleo[COD ESCOLA],"")</f>
        <v/>
      </c>
      <c r="B1438" t="str" cm="1">
        <f t="array" ref="B1438">IFERROR(INDEX(tbNucleo[ESCOLA],ROUNDUP(ROW(B1437)/TotalEtapas,0)),"")</f>
        <v/>
      </c>
      <c r="E1438" t="str">
        <f>IFERROR(VLOOKUP(tbEscolas[[#This Row],[COD ETPA]],tbEtapas[],2,FALSE),"")</f>
        <v/>
      </c>
      <c r="F1438" t="str">
        <f>IFERROR(VLOOKUP(tbEscolas[[#This Row],[COD ETPA]],tbEtapas[],3,FALSE),"")</f>
        <v/>
      </c>
    </row>
    <row r="1439" spans="1:6" x14ac:dyDescent="0.25">
      <c r="A1439" s="24" t="str">
        <f>_xlfn.XLOOKUP(tbEscolas[[#This Row],[ESCOLA]],tbNucleo[ESCOLA],tbNucleo[COD ESCOLA],"")</f>
        <v/>
      </c>
      <c r="B1439" t="str" cm="1">
        <f t="array" ref="B1439">IFERROR(INDEX(tbNucleo[ESCOLA],ROUNDUP(ROW(B1438)/TotalEtapas,0)),"")</f>
        <v/>
      </c>
      <c r="E1439" t="str">
        <f>IFERROR(VLOOKUP(tbEscolas[[#This Row],[COD ETPA]],tbEtapas[],2,FALSE),"")</f>
        <v/>
      </c>
      <c r="F1439" t="str">
        <f>IFERROR(VLOOKUP(tbEscolas[[#This Row],[COD ETPA]],tbEtapas[],3,FALSE),"")</f>
        <v/>
      </c>
    </row>
    <row r="1440" spans="1:6" x14ac:dyDescent="0.25">
      <c r="A1440" s="24" t="str">
        <f>_xlfn.XLOOKUP(tbEscolas[[#This Row],[ESCOLA]],tbNucleo[ESCOLA],tbNucleo[COD ESCOLA],"")</f>
        <v/>
      </c>
      <c r="B1440" t="str" cm="1">
        <f t="array" ref="B1440">IFERROR(INDEX(tbNucleo[ESCOLA],ROUNDUP(ROW(B1439)/TotalEtapas,0)),"")</f>
        <v/>
      </c>
      <c r="E1440" t="str">
        <f>IFERROR(VLOOKUP(tbEscolas[[#This Row],[COD ETPA]],tbEtapas[],2,FALSE),"")</f>
        <v/>
      </c>
      <c r="F1440" t="str">
        <f>IFERROR(VLOOKUP(tbEscolas[[#This Row],[COD ETPA]],tbEtapas[],3,FALSE),"")</f>
        <v/>
      </c>
    </row>
    <row r="1441" spans="1:6" x14ac:dyDescent="0.25">
      <c r="A1441" s="24" t="str">
        <f>_xlfn.XLOOKUP(tbEscolas[[#This Row],[ESCOLA]],tbNucleo[ESCOLA],tbNucleo[COD ESCOLA],"")</f>
        <v/>
      </c>
      <c r="B1441" t="str" cm="1">
        <f t="array" ref="B1441">IFERROR(INDEX(tbNucleo[ESCOLA],ROUNDUP(ROW(B1440)/TotalEtapas,0)),"")</f>
        <v/>
      </c>
      <c r="E1441" t="str">
        <f>IFERROR(VLOOKUP(tbEscolas[[#This Row],[COD ETPA]],tbEtapas[],2,FALSE),"")</f>
        <v/>
      </c>
      <c r="F1441" t="str">
        <f>IFERROR(VLOOKUP(tbEscolas[[#This Row],[COD ETPA]],tbEtapas[],3,FALSE),"")</f>
        <v/>
      </c>
    </row>
    <row r="1442" spans="1:6" x14ac:dyDescent="0.25">
      <c r="A1442" s="24" t="str">
        <f>_xlfn.XLOOKUP(tbEscolas[[#This Row],[ESCOLA]],tbNucleo[ESCOLA],tbNucleo[COD ESCOLA],"")</f>
        <v/>
      </c>
      <c r="B1442" t="str" cm="1">
        <f t="array" ref="B1442">IFERROR(INDEX(tbNucleo[ESCOLA],ROUNDUP(ROW(B1441)/TotalEtapas,0)),"")</f>
        <v/>
      </c>
      <c r="E1442" t="str">
        <f>IFERROR(VLOOKUP(tbEscolas[[#This Row],[COD ETPA]],tbEtapas[],2,FALSE),"")</f>
        <v/>
      </c>
      <c r="F1442" t="str">
        <f>IFERROR(VLOOKUP(tbEscolas[[#This Row],[COD ETPA]],tbEtapas[],3,FALSE),"")</f>
        <v/>
      </c>
    </row>
    <row r="1443" spans="1:6" x14ac:dyDescent="0.25">
      <c r="A1443" s="24" t="str">
        <f>_xlfn.XLOOKUP(tbEscolas[[#This Row],[ESCOLA]],tbNucleo[ESCOLA],tbNucleo[COD ESCOLA],"")</f>
        <v/>
      </c>
      <c r="B1443" t="str" cm="1">
        <f t="array" ref="B1443">IFERROR(INDEX(tbNucleo[ESCOLA],ROUNDUP(ROW(B1442)/TotalEtapas,0)),"")</f>
        <v/>
      </c>
      <c r="E1443" t="str">
        <f>IFERROR(VLOOKUP(tbEscolas[[#This Row],[COD ETPA]],tbEtapas[],2,FALSE),"")</f>
        <v/>
      </c>
      <c r="F1443" t="str">
        <f>IFERROR(VLOOKUP(tbEscolas[[#This Row],[COD ETPA]],tbEtapas[],3,FALSE),"")</f>
        <v/>
      </c>
    </row>
    <row r="1444" spans="1:6" x14ac:dyDescent="0.25">
      <c r="A1444" s="24" t="str">
        <f>_xlfn.XLOOKUP(tbEscolas[[#This Row],[ESCOLA]],tbNucleo[ESCOLA],tbNucleo[COD ESCOLA],"")</f>
        <v/>
      </c>
      <c r="B1444" t="str" cm="1">
        <f t="array" ref="B1444">IFERROR(INDEX(tbNucleo[ESCOLA],ROUNDUP(ROW(B1443)/TotalEtapas,0)),"")</f>
        <v/>
      </c>
      <c r="E1444" t="str">
        <f>IFERROR(VLOOKUP(tbEscolas[[#This Row],[COD ETPA]],tbEtapas[],2,FALSE),"")</f>
        <v/>
      </c>
      <c r="F1444" t="str">
        <f>IFERROR(VLOOKUP(tbEscolas[[#This Row],[COD ETPA]],tbEtapas[],3,FALSE),"")</f>
        <v/>
      </c>
    </row>
    <row r="1445" spans="1:6" x14ac:dyDescent="0.25">
      <c r="A1445" s="24" t="str">
        <f>_xlfn.XLOOKUP(tbEscolas[[#This Row],[ESCOLA]],tbNucleo[ESCOLA],tbNucleo[COD ESCOLA],"")</f>
        <v/>
      </c>
      <c r="B1445" t="str" cm="1">
        <f t="array" ref="B1445">IFERROR(INDEX(tbNucleo[ESCOLA],ROUNDUP(ROW(B1444)/TotalEtapas,0)),"")</f>
        <v/>
      </c>
      <c r="E1445" t="str">
        <f>IFERROR(VLOOKUP(tbEscolas[[#This Row],[COD ETPA]],tbEtapas[],2,FALSE),"")</f>
        <v/>
      </c>
      <c r="F1445" t="str">
        <f>IFERROR(VLOOKUP(tbEscolas[[#This Row],[COD ETPA]],tbEtapas[],3,FALSE),"")</f>
        <v/>
      </c>
    </row>
    <row r="1446" spans="1:6" x14ac:dyDescent="0.25">
      <c r="A1446" s="24" t="str">
        <f>_xlfn.XLOOKUP(tbEscolas[[#This Row],[ESCOLA]],tbNucleo[ESCOLA],tbNucleo[COD ESCOLA],"")</f>
        <v/>
      </c>
      <c r="B1446" t="str" cm="1">
        <f t="array" ref="B1446">IFERROR(INDEX(tbNucleo[ESCOLA],ROUNDUP(ROW(B1445)/TotalEtapas,0)),"")</f>
        <v/>
      </c>
      <c r="E1446" t="str">
        <f>IFERROR(VLOOKUP(tbEscolas[[#This Row],[COD ETPA]],tbEtapas[],2,FALSE),"")</f>
        <v/>
      </c>
      <c r="F1446" t="str">
        <f>IFERROR(VLOOKUP(tbEscolas[[#This Row],[COD ETPA]],tbEtapas[],3,FALSE),"")</f>
        <v/>
      </c>
    </row>
    <row r="1447" spans="1:6" x14ac:dyDescent="0.25">
      <c r="A1447" s="24" t="str">
        <f>_xlfn.XLOOKUP(tbEscolas[[#This Row],[ESCOLA]],tbNucleo[ESCOLA],tbNucleo[COD ESCOLA],"")</f>
        <v/>
      </c>
      <c r="B1447" t="str" cm="1">
        <f t="array" ref="B1447">IFERROR(INDEX(tbNucleo[ESCOLA],ROUNDUP(ROW(B1446)/TotalEtapas,0)),"")</f>
        <v/>
      </c>
      <c r="E1447" t="str">
        <f>IFERROR(VLOOKUP(tbEscolas[[#This Row],[COD ETPA]],tbEtapas[],2,FALSE),"")</f>
        <v/>
      </c>
      <c r="F1447" t="str">
        <f>IFERROR(VLOOKUP(tbEscolas[[#This Row],[COD ETPA]],tbEtapas[],3,FALSE),"")</f>
        <v/>
      </c>
    </row>
    <row r="1448" spans="1:6" x14ac:dyDescent="0.25">
      <c r="A1448" s="24" t="str">
        <f>_xlfn.XLOOKUP(tbEscolas[[#This Row],[ESCOLA]],tbNucleo[ESCOLA],tbNucleo[COD ESCOLA],"")</f>
        <v/>
      </c>
      <c r="B1448" t="str" cm="1">
        <f t="array" ref="B1448">IFERROR(INDEX(tbNucleo[ESCOLA],ROUNDUP(ROW(B1447)/TotalEtapas,0)),"")</f>
        <v/>
      </c>
      <c r="E1448" t="str">
        <f>IFERROR(VLOOKUP(tbEscolas[[#This Row],[COD ETPA]],tbEtapas[],2,FALSE),"")</f>
        <v/>
      </c>
      <c r="F1448" t="str">
        <f>IFERROR(VLOOKUP(tbEscolas[[#This Row],[COD ETPA]],tbEtapas[],3,FALSE),"")</f>
        <v/>
      </c>
    </row>
    <row r="1449" spans="1:6" x14ac:dyDescent="0.25">
      <c r="A1449" s="24" t="str">
        <f>_xlfn.XLOOKUP(tbEscolas[[#This Row],[ESCOLA]],tbNucleo[ESCOLA],tbNucleo[COD ESCOLA],"")</f>
        <v/>
      </c>
      <c r="B1449" t="str" cm="1">
        <f t="array" ref="B1449">IFERROR(INDEX(tbNucleo[ESCOLA],ROUNDUP(ROW(B1448)/TotalEtapas,0)),"")</f>
        <v/>
      </c>
      <c r="E1449" t="str">
        <f>IFERROR(VLOOKUP(tbEscolas[[#This Row],[COD ETPA]],tbEtapas[],2,FALSE),"")</f>
        <v/>
      </c>
      <c r="F1449" t="str">
        <f>IFERROR(VLOOKUP(tbEscolas[[#This Row],[COD ETPA]],tbEtapas[],3,FALSE),"")</f>
        <v/>
      </c>
    </row>
    <row r="1450" spans="1:6" x14ac:dyDescent="0.25">
      <c r="A1450" s="24" t="str">
        <f>_xlfn.XLOOKUP(tbEscolas[[#This Row],[ESCOLA]],tbNucleo[ESCOLA],tbNucleo[COD ESCOLA],"")</f>
        <v/>
      </c>
      <c r="B1450" t="str" cm="1">
        <f t="array" ref="B1450">IFERROR(INDEX(tbNucleo[ESCOLA],ROUNDUP(ROW(B1449)/TotalEtapas,0)),"")</f>
        <v/>
      </c>
      <c r="E1450" t="str">
        <f>IFERROR(VLOOKUP(tbEscolas[[#This Row],[COD ETPA]],tbEtapas[],2,FALSE),"")</f>
        <v/>
      </c>
      <c r="F1450" t="str">
        <f>IFERROR(VLOOKUP(tbEscolas[[#This Row],[COD ETPA]],tbEtapas[],3,FALSE),"")</f>
        <v/>
      </c>
    </row>
    <row r="1451" spans="1:6" x14ac:dyDescent="0.25">
      <c r="A1451" s="24" t="str">
        <f>_xlfn.XLOOKUP(tbEscolas[[#This Row],[ESCOLA]],tbNucleo[ESCOLA],tbNucleo[COD ESCOLA],"")</f>
        <v/>
      </c>
      <c r="B1451" t="str" cm="1">
        <f t="array" ref="B1451">IFERROR(INDEX(tbNucleo[ESCOLA],ROUNDUP(ROW(B1450)/TotalEtapas,0)),"")</f>
        <v/>
      </c>
      <c r="E1451" t="str">
        <f>IFERROR(VLOOKUP(tbEscolas[[#This Row],[COD ETPA]],tbEtapas[],2,FALSE),"")</f>
        <v/>
      </c>
      <c r="F1451" t="str">
        <f>IFERROR(VLOOKUP(tbEscolas[[#This Row],[COD ETPA]],tbEtapas[],3,FALSE),"")</f>
        <v/>
      </c>
    </row>
    <row r="1452" spans="1:6" x14ac:dyDescent="0.25">
      <c r="A1452" s="24" t="str">
        <f>_xlfn.XLOOKUP(tbEscolas[[#This Row],[ESCOLA]],tbNucleo[ESCOLA],tbNucleo[COD ESCOLA],"")</f>
        <v/>
      </c>
      <c r="B1452" t="str" cm="1">
        <f t="array" ref="B1452">IFERROR(INDEX(tbNucleo[ESCOLA],ROUNDUP(ROW(B1451)/TotalEtapas,0)),"")</f>
        <v/>
      </c>
      <c r="E1452" t="str">
        <f>IFERROR(VLOOKUP(tbEscolas[[#This Row],[COD ETPA]],tbEtapas[],2,FALSE),"")</f>
        <v/>
      </c>
      <c r="F1452" t="str">
        <f>IFERROR(VLOOKUP(tbEscolas[[#This Row],[COD ETPA]],tbEtapas[],3,FALSE),"")</f>
        <v/>
      </c>
    </row>
    <row r="1453" spans="1:6" x14ac:dyDescent="0.25">
      <c r="A1453" s="24" t="str">
        <f>_xlfn.XLOOKUP(tbEscolas[[#This Row],[ESCOLA]],tbNucleo[ESCOLA],tbNucleo[COD ESCOLA],"")</f>
        <v/>
      </c>
      <c r="B1453" t="str" cm="1">
        <f t="array" ref="B1453">IFERROR(INDEX(tbNucleo[ESCOLA],ROUNDUP(ROW(B1452)/TotalEtapas,0)),"")</f>
        <v/>
      </c>
      <c r="E1453" t="str">
        <f>IFERROR(VLOOKUP(tbEscolas[[#This Row],[COD ETPA]],tbEtapas[],2,FALSE),"")</f>
        <v/>
      </c>
      <c r="F1453" t="str">
        <f>IFERROR(VLOOKUP(tbEscolas[[#This Row],[COD ETPA]],tbEtapas[],3,FALSE),"")</f>
        <v/>
      </c>
    </row>
    <row r="1454" spans="1:6" x14ac:dyDescent="0.25">
      <c r="A1454" s="24" t="str">
        <f>_xlfn.XLOOKUP(tbEscolas[[#This Row],[ESCOLA]],tbNucleo[ESCOLA],tbNucleo[COD ESCOLA],"")</f>
        <v/>
      </c>
      <c r="B1454" t="str" cm="1">
        <f t="array" ref="B1454">IFERROR(INDEX(tbNucleo[ESCOLA],ROUNDUP(ROW(B1453)/TotalEtapas,0)),"")</f>
        <v/>
      </c>
      <c r="E1454" t="str">
        <f>IFERROR(VLOOKUP(tbEscolas[[#This Row],[COD ETPA]],tbEtapas[],2,FALSE),"")</f>
        <v/>
      </c>
      <c r="F1454" t="str">
        <f>IFERROR(VLOOKUP(tbEscolas[[#This Row],[COD ETPA]],tbEtapas[],3,FALSE),"")</f>
        <v/>
      </c>
    </row>
    <row r="1455" spans="1:6" x14ac:dyDescent="0.25">
      <c r="A1455" s="24" t="str">
        <f>_xlfn.XLOOKUP(tbEscolas[[#This Row],[ESCOLA]],tbNucleo[ESCOLA],tbNucleo[COD ESCOLA],"")</f>
        <v/>
      </c>
      <c r="B1455" t="str" cm="1">
        <f t="array" ref="B1455">IFERROR(INDEX(tbNucleo[ESCOLA],ROUNDUP(ROW(B1454)/TotalEtapas,0)),"")</f>
        <v/>
      </c>
      <c r="E1455" t="str">
        <f>IFERROR(VLOOKUP(tbEscolas[[#This Row],[COD ETPA]],tbEtapas[],2,FALSE),"")</f>
        <v/>
      </c>
      <c r="F1455" t="str">
        <f>IFERROR(VLOOKUP(tbEscolas[[#This Row],[COD ETPA]],tbEtapas[],3,FALSE),"")</f>
        <v/>
      </c>
    </row>
    <row r="1456" spans="1:6" x14ac:dyDescent="0.25">
      <c r="A1456" s="24" t="str">
        <f>_xlfn.XLOOKUP(tbEscolas[[#This Row],[ESCOLA]],tbNucleo[ESCOLA],tbNucleo[COD ESCOLA],"")</f>
        <v/>
      </c>
      <c r="B1456" t="str" cm="1">
        <f t="array" ref="B1456">IFERROR(INDEX(tbNucleo[ESCOLA],ROUNDUP(ROW(B1455)/TotalEtapas,0)),"")</f>
        <v/>
      </c>
      <c r="E1456" t="str">
        <f>IFERROR(VLOOKUP(tbEscolas[[#This Row],[COD ETPA]],tbEtapas[],2,FALSE),"")</f>
        <v/>
      </c>
      <c r="F1456" t="str">
        <f>IFERROR(VLOOKUP(tbEscolas[[#This Row],[COD ETPA]],tbEtapas[],3,FALSE),"")</f>
        <v/>
      </c>
    </row>
    <row r="1457" spans="1:6" x14ac:dyDescent="0.25">
      <c r="A1457" s="24" t="str">
        <f>_xlfn.XLOOKUP(tbEscolas[[#This Row],[ESCOLA]],tbNucleo[ESCOLA],tbNucleo[COD ESCOLA],"")</f>
        <v/>
      </c>
      <c r="B1457" t="str" cm="1">
        <f t="array" ref="B1457">IFERROR(INDEX(tbNucleo[ESCOLA],ROUNDUP(ROW(B1456)/TotalEtapas,0)),"")</f>
        <v/>
      </c>
      <c r="E1457" t="str">
        <f>IFERROR(VLOOKUP(tbEscolas[[#This Row],[COD ETPA]],tbEtapas[],2,FALSE),"")</f>
        <v/>
      </c>
      <c r="F1457" t="str">
        <f>IFERROR(VLOOKUP(tbEscolas[[#This Row],[COD ETPA]],tbEtapas[],3,FALSE),"")</f>
        <v/>
      </c>
    </row>
    <row r="1458" spans="1:6" x14ac:dyDescent="0.25">
      <c r="A1458" s="24" t="str">
        <f>_xlfn.XLOOKUP(tbEscolas[[#This Row],[ESCOLA]],tbNucleo[ESCOLA],tbNucleo[COD ESCOLA],"")</f>
        <v/>
      </c>
      <c r="B1458" t="str" cm="1">
        <f t="array" ref="B1458">IFERROR(INDEX(tbNucleo[ESCOLA],ROUNDUP(ROW(B1457)/TotalEtapas,0)),"")</f>
        <v/>
      </c>
      <c r="E1458" t="str">
        <f>IFERROR(VLOOKUP(tbEscolas[[#This Row],[COD ETPA]],tbEtapas[],2,FALSE),"")</f>
        <v/>
      </c>
      <c r="F1458" t="str">
        <f>IFERROR(VLOOKUP(tbEscolas[[#This Row],[COD ETPA]],tbEtapas[],3,FALSE),"")</f>
        <v/>
      </c>
    </row>
    <row r="1459" spans="1:6" x14ac:dyDescent="0.25">
      <c r="A1459" s="24" t="str">
        <f>_xlfn.XLOOKUP(tbEscolas[[#This Row],[ESCOLA]],tbNucleo[ESCOLA],tbNucleo[COD ESCOLA],"")</f>
        <v/>
      </c>
      <c r="B1459" t="str" cm="1">
        <f t="array" ref="B1459">IFERROR(INDEX(tbNucleo[ESCOLA],ROUNDUP(ROW(B1458)/TotalEtapas,0)),"")</f>
        <v/>
      </c>
      <c r="E1459" t="str">
        <f>IFERROR(VLOOKUP(tbEscolas[[#This Row],[COD ETPA]],tbEtapas[],2,FALSE),"")</f>
        <v/>
      </c>
      <c r="F1459" t="str">
        <f>IFERROR(VLOOKUP(tbEscolas[[#This Row],[COD ETPA]],tbEtapas[],3,FALSE),"")</f>
        <v/>
      </c>
    </row>
    <row r="1460" spans="1:6" x14ac:dyDescent="0.25">
      <c r="A1460" s="24" t="str">
        <f>_xlfn.XLOOKUP(tbEscolas[[#This Row],[ESCOLA]],tbNucleo[ESCOLA],tbNucleo[COD ESCOLA],"")</f>
        <v/>
      </c>
      <c r="B1460" t="str" cm="1">
        <f t="array" ref="B1460">IFERROR(INDEX(tbNucleo[ESCOLA],ROUNDUP(ROW(B1459)/TotalEtapas,0)),"")</f>
        <v/>
      </c>
      <c r="E1460" t="str">
        <f>IFERROR(VLOOKUP(tbEscolas[[#This Row],[COD ETPA]],tbEtapas[],2,FALSE),"")</f>
        <v/>
      </c>
      <c r="F1460" t="str">
        <f>IFERROR(VLOOKUP(tbEscolas[[#This Row],[COD ETPA]],tbEtapas[],3,FALSE),"")</f>
        <v/>
      </c>
    </row>
    <row r="1461" spans="1:6" x14ac:dyDescent="0.25">
      <c r="A1461" s="24" t="str">
        <f>_xlfn.XLOOKUP(tbEscolas[[#This Row],[ESCOLA]],tbNucleo[ESCOLA],tbNucleo[COD ESCOLA],"")</f>
        <v/>
      </c>
      <c r="B1461" t="str" cm="1">
        <f t="array" ref="B1461">IFERROR(INDEX(tbNucleo[ESCOLA],ROUNDUP(ROW(B1460)/TotalEtapas,0)),"")</f>
        <v/>
      </c>
      <c r="E1461" t="str">
        <f>IFERROR(VLOOKUP(tbEscolas[[#This Row],[COD ETPA]],tbEtapas[],2,FALSE),"")</f>
        <v/>
      </c>
      <c r="F1461" t="str">
        <f>IFERROR(VLOOKUP(tbEscolas[[#This Row],[COD ETPA]],tbEtapas[],3,FALSE),"")</f>
        <v/>
      </c>
    </row>
    <row r="1462" spans="1:6" x14ac:dyDescent="0.25">
      <c r="A1462" s="24" t="str">
        <f>_xlfn.XLOOKUP(tbEscolas[[#This Row],[ESCOLA]],tbNucleo[ESCOLA],tbNucleo[COD ESCOLA],"")</f>
        <v/>
      </c>
      <c r="B1462" t="str" cm="1">
        <f t="array" ref="B1462">IFERROR(INDEX(tbNucleo[ESCOLA],ROUNDUP(ROW(B1461)/TotalEtapas,0)),"")</f>
        <v/>
      </c>
      <c r="E1462" t="str">
        <f>IFERROR(VLOOKUP(tbEscolas[[#This Row],[COD ETPA]],tbEtapas[],2,FALSE),"")</f>
        <v/>
      </c>
      <c r="F1462" t="str">
        <f>IFERROR(VLOOKUP(tbEscolas[[#This Row],[COD ETPA]],tbEtapas[],3,FALSE),"")</f>
        <v/>
      </c>
    </row>
    <row r="1463" spans="1:6" x14ac:dyDescent="0.25">
      <c r="A1463" s="24" t="str">
        <f>_xlfn.XLOOKUP(tbEscolas[[#This Row],[ESCOLA]],tbNucleo[ESCOLA],tbNucleo[COD ESCOLA],"")</f>
        <v/>
      </c>
      <c r="B1463" t="str" cm="1">
        <f t="array" ref="B1463">IFERROR(INDEX(tbNucleo[ESCOLA],ROUNDUP(ROW(B1462)/TotalEtapas,0)),"")</f>
        <v/>
      </c>
      <c r="E1463" t="str">
        <f>IFERROR(VLOOKUP(tbEscolas[[#This Row],[COD ETPA]],tbEtapas[],2,FALSE),"")</f>
        <v/>
      </c>
      <c r="F1463" t="str">
        <f>IFERROR(VLOOKUP(tbEscolas[[#This Row],[COD ETPA]],tbEtapas[],3,FALSE),"")</f>
        <v/>
      </c>
    </row>
    <row r="1464" spans="1:6" x14ac:dyDescent="0.25">
      <c r="A1464" s="24" t="str">
        <f>_xlfn.XLOOKUP(tbEscolas[[#This Row],[ESCOLA]],tbNucleo[ESCOLA],tbNucleo[COD ESCOLA],"")</f>
        <v/>
      </c>
      <c r="B1464" t="str" cm="1">
        <f t="array" ref="B1464">IFERROR(INDEX(tbNucleo[ESCOLA],ROUNDUP(ROW(B1463)/TotalEtapas,0)),"")</f>
        <v/>
      </c>
      <c r="E1464" t="str">
        <f>IFERROR(VLOOKUP(tbEscolas[[#This Row],[COD ETPA]],tbEtapas[],2,FALSE),"")</f>
        <v/>
      </c>
      <c r="F1464" t="str">
        <f>IFERROR(VLOOKUP(tbEscolas[[#This Row],[COD ETPA]],tbEtapas[],3,FALSE),"")</f>
        <v/>
      </c>
    </row>
    <row r="1465" spans="1:6" x14ac:dyDescent="0.25">
      <c r="A1465" s="24" t="str">
        <f>_xlfn.XLOOKUP(tbEscolas[[#This Row],[ESCOLA]],tbNucleo[ESCOLA],tbNucleo[COD ESCOLA],"")</f>
        <v/>
      </c>
      <c r="B1465" t="str" cm="1">
        <f t="array" ref="B1465">IFERROR(INDEX(tbNucleo[ESCOLA],ROUNDUP(ROW(B1464)/TotalEtapas,0)),"")</f>
        <v/>
      </c>
      <c r="E1465" t="str">
        <f>IFERROR(VLOOKUP(tbEscolas[[#This Row],[COD ETPA]],tbEtapas[],2,FALSE),"")</f>
        <v/>
      </c>
      <c r="F1465" t="str">
        <f>IFERROR(VLOOKUP(tbEscolas[[#This Row],[COD ETPA]],tbEtapas[],3,FALSE),"")</f>
        <v/>
      </c>
    </row>
    <row r="1466" spans="1:6" x14ac:dyDescent="0.25">
      <c r="A1466" s="24" t="str">
        <f>_xlfn.XLOOKUP(tbEscolas[[#This Row],[ESCOLA]],tbNucleo[ESCOLA],tbNucleo[COD ESCOLA],"")</f>
        <v/>
      </c>
      <c r="B1466" t="str" cm="1">
        <f t="array" ref="B1466">IFERROR(INDEX(tbNucleo[ESCOLA],ROUNDUP(ROW(B1465)/TotalEtapas,0)),"")</f>
        <v/>
      </c>
      <c r="E1466" t="str">
        <f>IFERROR(VLOOKUP(tbEscolas[[#This Row],[COD ETPA]],tbEtapas[],2,FALSE),"")</f>
        <v/>
      </c>
      <c r="F1466" t="str">
        <f>IFERROR(VLOOKUP(tbEscolas[[#This Row],[COD ETPA]],tbEtapas[],3,FALSE),"")</f>
        <v/>
      </c>
    </row>
    <row r="1467" spans="1:6" x14ac:dyDescent="0.25">
      <c r="A1467" s="24" t="str">
        <f>_xlfn.XLOOKUP(tbEscolas[[#This Row],[ESCOLA]],tbNucleo[ESCOLA],tbNucleo[COD ESCOLA],"")</f>
        <v/>
      </c>
      <c r="B1467" t="str" cm="1">
        <f t="array" ref="B1467">IFERROR(INDEX(tbNucleo[ESCOLA],ROUNDUP(ROW(B1466)/TotalEtapas,0)),"")</f>
        <v/>
      </c>
      <c r="E1467" t="str">
        <f>IFERROR(VLOOKUP(tbEscolas[[#This Row],[COD ETPA]],tbEtapas[],2,FALSE),"")</f>
        <v/>
      </c>
      <c r="F1467" t="str">
        <f>IFERROR(VLOOKUP(tbEscolas[[#This Row],[COD ETPA]],tbEtapas[],3,FALSE),"")</f>
        <v/>
      </c>
    </row>
    <row r="1468" spans="1:6" x14ac:dyDescent="0.25">
      <c r="A1468" s="24" t="str">
        <f>_xlfn.XLOOKUP(tbEscolas[[#This Row],[ESCOLA]],tbNucleo[ESCOLA],tbNucleo[COD ESCOLA],"")</f>
        <v/>
      </c>
      <c r="B1468" t="str" cm="1">
        <f t="array" ref="B1468">IFERROR(INDEX(tbNucleo[ESCOLA],ROUNDUP(ROW(B1467)/TotalEtapas,0)),"")</f>
        <v/>
      </c>
      <c r="E1468" t="str">
        <f>IFERROR(VLOOKUP(tbEscolas[[#This Row],[COD ETPA]],tbEtapas[],2,FALSE),"")</f>
        <v/>
      </c>
      <c r="F1468" t="str">
        <f>IFERROR(VLOOKUP(tbEscolas[[#This Row],[COD ETPA]],tbEtapas[],3,FALSE),"")</f>
        <v/>
      </c>
    </row>
    <row r="1469" spans="1:6" x14ac:dyDescent="0.25">
      <c r="A1469" s="24" t="str">
        <f>_xlfn.XLOOKUP(tbEscolas[[#This Row],[ESCOLA]],tbNucleo[ESCOLA],tbNucleo[COD ESCOLA],"")</f>
        <v/>
      </c>
      <c r="B1469" t="str" cm="1">
        <f t="array" ref="B1469">IFERROR(INDEX(tbNucleo[ESCOLA],ROUNDUP(ROW(B1468)/TotalEtapas,0)),"")</f>
        <v/>
      </c>
      <c r="E1469" t="str">
        <f>IFERROR(VLOOKUP(tbEscolas[[#This Row],[COD ETPA]],tbEtapas[],2,FALSE),"")</f>
        <v/>
      </c>
      <c r="F1469" t="str">
        <f>IFERROR(VLOOKUP(tbEscolas[[#This Row],[COD ETPA]],tbEtapas[],3,FALSE),"")</f>
        <v/>
      </c>
    </row>
    <row r="1470" spans="1:6" x14ac:dyDescent="0.25">
      <c r="A1470" s="24" t="str">
        <f>_xlfn.XLOOKUP(tbEscolas[[#This Row],[ESCOLA]],tbNucleo[ESCOLA],tbNucleo[COD ESCOLA],"")</f>
        <v/>
      </c>
      <c r="B1470" t="str" cm="1">
        <f t="array" ref="B1470">IFERROR(INDEX(tbNucleo[ESCOLA],ROUNDUP(ROW(B1469)/TotalEtapas,0)),"")</f>
        <v/>
      </c>
      <c r="E1470" t="str">
        <f>IFERROR(VLOOKUP(tbEscolas[[#This Row],[COD ETPA]],tbEtapas[],2,FALSE),"")</f>
        <v/>
      </c>
      <c r="F1470" t="str">
        <f>IFERROR(VLOOKUP(tbEscolas[[#This Row],[COD ETPA]],tbEtapas[],3,FALSE),"")</f>
        <v/>
      </c>
    </row>
    <row r="1471" spans="1:6" x14ac:dyDescent="0.25">
      <c r="A1471" s="24" t="str">
        <f>_xlfn.XLOOKUP(tbEscolas[[#This Row],[ESCOLA]],tbNucleo[ESCOLA],tbNucleo[COD ESCOLA],"")</f>
        <v/>
      </c>
      <c r="B1471" t="str" cm="1">
        <f t="array" ref="B1471">IFERROR(INDEX(tbNucleo[ESCOLA],ROUNDUP(ROW(B1470)/TotalEtapas,0)),"")</f>
        <v/>
      </c>
      <c r="E1471" t="str">
        <f>IFERROR(VLOOKUP(tbEscolas[[#This Row],[COD ETPA]],tbEtapas[],2,FALSE),"")</f>
        <v/>
      </c>
      <c r="F1471" t="str">
        <f>IFERROR(VLOOKUP(tbEscolas[[#This Row],[COD ETPA]],tbEtapas[],3,FALSE),"")</f>
        <v/>
      </c>
    </row>
    <row r="1472" spans="1:6" x14ac:dyDescent="0.25">
      <c r="A1472" s="24" t="str">
        <f>_xlfn.XLOOKUP(tbEscolas[[#This Row],[ESCOLA]],tbNucleo[ESCOLA],tbNucleo[COD ESCOLA],"")</f>
        <v/>
      </c>
      <c r="B1472" t="str" cm="1">
        <f t="array" ref="B1472">IFERROR(INDEX(tbNucleo[ESCOLA],ROUNDUP(ROW(B1471)/TotalEtapas,0)),"")</f>
        <v/>
      </c>
      <c r="E1472" t="str">
        <f>IFERROR(VLOOKUP(tbEscolas[[#This Row],[COD ETPA]],tbEtapas[],2,FALSE),"")</f>
        <v/>
      </c>
      <c r="F1472" t="str">
        <f>IFERROR(VLOOKUP(tbEscolas[[#This Row],[COD ETPA]],tbEtapas[],3,FALSE),"")</f>
        <v/>
      </c>
    </row>
    <row r="1473" spans="1:6" x14ac:dyDescent="0.25">
      <c r="A1473" s="24" t="str">
        <f>_xlfn.XLOOKUP(tbEscolas[[#This Row],[ESCOLA]],tbNucleo[ESCOLA],tbNucleo[COD ESCOLA],"")</f>
        <v/>
      </c>
      <c r="B1473" t="str" cm="1">
        <f t="array" ref="B1473">IFERROR(INDEX(tbNucleo[ESCOLA],ROUNDUP(ROW(B1472)/TotalEtapas,0)),"")</f>
        <v/>
      </c>
      <c r="E1473" t="str">
        <f>IFERROR(VLOOKUP(tbEscolas[[#This Row],[COD ETPA]],tbEtapas[],2,FALSE),"")</f>
        <v/>
      </c>
      <c r="F1473" t="str">
        <f>IFERROR(VLOOKUP(tbEscolas[[#This Row],[COD ETPA]],tbEtapas[],3,FALSE),"")</f>
        <v/>
      </c>
    </row>
    <row r="1474" spans="1:6" x14ac:dyDescent="0.25">
      <c r="A1474" s="24" t="str">
        <f>_xlfn.XLOOKUP(tbEscolas[[#This Row],[ESCOLA]],tbNucleo[ESCOLA],tbNucleo[COD ESCOLA],"")</f>
        <v/>
      </c>
      <c r="B1474" t="str" cm="1">
        <f t="array" ref="B1474">IFERROR(INDEX(tbNucleo[ESCOLA],ROUNDUP(ROW(B1473)/TotalEtapas,0)),"")</f>
        <v/>
      </c>
      <c r="E1474" t="str">
        <f>IFERROR(VLOOKUP(tbEscolas[[#This Row],[COD ETPA]],tbEtapas[],2,FALSE),"")</f>
        <v/>
      </c>
      <c r="F1474" t="str">
        <f>IFERROR(VLOOKUP(tbEscolas[[#This Row],[COD ETPA]],tbEtapas[],3,FALSE),"")</f>
        <v/>
      </c>
    </row>
    <row r="1475" spans="1:6" x14ac:dyDescent="0.25">
      <c r="A1475" s="24" t="str">
        <f>_xlfn.XLOOKUP(tbEscolas[[#This Row],[ESCOLA]],tbNucleo[ESCOLA],tbNucleo[COD ESCOLA],"")</f>
        <v/>
      </c>
      <c r="B1475" t="str" cm="1">
        <f t="array" ref="B1475">IFERROR(INDEX(tbNucleo[ESCOLA],ROUNDUP(ROW(B1474)/TotalEtapas,0)),"")</f>
        <v/>
      </c>
      <c r="E1475" t="str">
        <f>IFERROR(VLOOKUP(tbEscolas[[#This Row],[COD ETPA]],tbEtapas[],2,FALSE),"")</f>
        <v/>
      </c>
      <c r="F1475" t="str">
        <f>IFERROR(VLOOKUP(tbEscolas[[#This Row],[COD ETPA]],tbEtapas[],3,FALSE),"")</f>
        <v/>
      </c>
    </row>
    <row r="1476" spans="1:6" x14ac:dyDescent="0.25">
      <c r="A1476" s="24" t="str">
        <f>_xlfn.XLOOKUP(tbEscolas[[#This Row],[ESCOLA]],tbNucleo[ESCOLA],tbNucleo[COD ESCOLA],"")</f>
        <v/>
      </c>
      <c r="B1476" t="str" cm="1">
        <f t="array" ref="B1476">IFERROR(INDEX(tbNucleo[ESCOLA],ROUNDUP(ROW(B1475)/TotalEtapas,0)),"")</f>
        <v/>
      </c>
      <c r="E1476" t="str">
        <f>IFERROR(VLOOKUP(tbEscolas[[#This Row],[COD ETPA]],tbEtapas[],2,FALSE),"")</f>
        <v/>
      </c>
      <c r="F1476" t="str">
        <f>IFERROR(VLOOKUP(tbEscolas[[#This Row],[COD ETPA]],tbEtapas[],3,FALSE),"")</f>
        <v/>
      </c>
    </row>
    <row r="1477" spans="1:6" x14ac:dyDescent="0.25">
      <c r="A1477" s="24" t="str">
        <f>_xlfn.XLOOKUP(tbEscolas[[#This Row],[ESCOLA]],tbNucleo[ESCOLA],tbNucleo[COD ESCOLA],"")</f>
        <v/>
      </c>
      <c r="B1477" t="str" cm="1">
        <f t="array" ref="B1477">IFERROR(INDEX(tbNucleo[ESCOLA],ROUNDUP(ROW(B1476)/TotalEtapas,0)),"")</f>
        <v/>
      </c>
      <c r="E1477" t="str">
        <f>IFERROR(VLOOKUP(tbEscolas[[#This Row],[COD ETPA]],tbEtapas[],2,FALSE),"")</f>
        <v/>
      </c>
      <c r="F1477" t="str">
        <f>IFERROR(VLOOKUP(tbEscolas[[#This Row],[COD ETPA]],tbEtapas[],3,FALSE),"")</f>
        <v/>
      </c>
    </row>
    <row r="1478" spans="1:6" x14ac:dyDescent="0.25">
      <c r="A1478" s="24" t="str">
        <f>_xlfn.XLOOKUP(tbEscolas[[#This Row],[ESCOLA]],tbNucleo[ESCOLA],tbNucleo[COD ESCOLA],"")</f>
        <v/>
      </c>
      <c r="B1478" t="str" cm="1">
        <f t="array" ref="B1478">IFERROR(INDEX(tbNucleo[ESCOLA],ROUNDUP(ROW(B1477)/TotalEtapas,0)),"")</f>
        <v/>
      </c>
      <c r="E1478" t="str">
        <f>IFERROR(VLOOKUP(tbEscolas[[#This Row],[COD ETPA]],tbEtapas[],2,FALSE),"")</f>
        <v/>
      </c>
      <c r="F1478" t="str">
        <f>IFERROR(VLOOKUP(tbEscolas[[#This Row],[COD ETPA]],tbEtapas[],3,FALSE),"")</f>
        <v/>
      </c>
    </row>
    <row r="1479" spans="1:6" x14ac:dyDescent="0.25">
      <c r="A1479" s="24" t="str">
        <f>_xlfn.XLOOKUP(tbEscolas[[#This Row],[ESCOLA]],tbNucleo[ESCOLA],tbNucleo[COD ESCOLA],"")</f>
        <v/>
      </c>
      <c r="B1479" t="str" cm="1">
        <f t="array" ref="B1479">IFERROR(INDEX(tbNucleo[ESCOLA],ROUNDUP(ROW(B1478)/TotalEtapas,0)),"")</f>
        <v/>
      </c>
      <c r="E1479" t="str">
        <f>IFERROR(VLOOKUP(tbEscolas[[#This Row],[COD ETPA]],tbEtapas[],2,FALSE),"")</f>
        <v/>
      </c>
      <c r="F1479" t="str">
        <f>IFERROR(VLOOKUP(tbEscolas[[#This Row],[COD ETPA]],tbEtapas[],3,FALSE),"")</f>
        <v/>
      </c>
    </row>
    <row r="1480" spans="1:6" x14ac:dyDescent="0.25">
      <c r="A1480" s="24" t="str">
        <f>_xlfn.XLOOKUP(tbEscolas[[#This Row],[ESCOLA]],tbNucleo[ESCOLA],tbNucleo[COD ESCOLA],"")</f>
        <v/>
      </c>
      <c r="B1480" t="str" cm="1">
        <f t="array" ref="B1480">IFERROR(INDEX(tbNucleo[ESCOLA],ROUNDUP(ROW(B1479)/TotalEtapas,0)),"")</f>
        <v/>
      </c>
      <c r="E1480" t="str">
        <f>IFERROR(VLOOKUP(tbEscolas[[#This Row],[COD ETPA]],tbEtapas[],2,FALSE),"")</f>
        <v/>
      </c>
      <c r="F1480" t="str">
        <f>IFERROR(VLOOKUP(tbEscolas[[#This Row],[COD ETPA]],tbEtapas[],3,FALSE),"")</f>
        <v/>
      </c>
    </row>
    <row r="1481" spans="1:6" x14ac:dyDescent="0.25">
      <c r="A1481" s="24" t="str">
        <f>_xlfn.XLOOKUP(tbEscolas[[#This Row],[ESCOLA]],tbNucleo[ESCOLA],tbNucleo[COD ESCOLA],"")</f>
        <v/>
      </c>
      <c r="B1481" t="str" cm="1">
        <f t="array" ref="B1481">IFERROR(INDEX(tbNucleo[ESCOLA],ROUNDUP(ROW(B1480)/TotalEtapas,0)),"")</f>
        <v/>
      </c>
      <c r="E1481" t="str">
        <f>IFERROR(VLOOKUP(tbEscolas[[#This Row],[COD ETPA]],tbEtapas[],2,FALSE),"")</f>
        <v/>
      </c>
      <c r="F1481" t="str">
        <f>IFERROR(VLOOKUP(tbEscolas[[#This Row],[COD ETPA]],tbEtapas[],3,FALSE),"")</f>
        <v/>
      </c>
    </row>
    <row r="1482" spans="1:6" x14ac:dyDescent="0.25">
      <c r="A1482" s="24" t="str">
        <f>_xlfn.XLOOKUP(tbEscolas[[#This Row],[ESCOLA]],tbNucleo[ESCOLA],tbNucleo[COD ESCOLA],"")</f>
        <v/>
      </c>
      <c r="B1482" t="str" cm="1">
        <f t="array" ref="B1482">IFERROR(INDEX(tbNucleo[ESCOLA],ROUNDUP(ROW(B1481)/TotalEtapas,0)),"")</f>
        <v/>
      </c>
      <c r="E1482" t="str">
        <f>IFERROR(VLOOKUP(tbEscolas[[#This Row],[COD ETPA]],tbEtapas[],2,FALSE),"")</f>
        <v/>
      </c>
      <c r="F1482" t="str">
        <f>IFERROR(VLOOKUP(tbEscolas[[#This Row],[COD ETPA]],tbEtapas[],3,FALSE),"")</f>
        <v/>
      </c>
    </row>
    <row r="1483" spans="1:6" x14ac:dyDescent="0.25">
      <c r="A1483" s="24" t="str">
        <f>_xlfn.XLOOKUP(tbEscolas[[#This Row],[ESCOLA]],tbNucleo[ESCOLA],tbNucleo[COD ESCOLA],"")</f>
        <v/>
      </c>
      <c r="B1483" t="str" cm="1">
        <f t="array" ref="B1483">IFERROR(INDEX(tbNucleo[ESCOLA],ROUNDUP(ROW(B1482)/TotalEtapas,0)),"")</f>
        <v/>
      </c>
      <c r="E1483" t="str">
        <f>IFERROR(VLOOKUP(tbEscolas[[#This Row],[COD ETPA]],tbEtapas[],2,FALSE),"")</f>
        <v/>
      </c>
      <c r="F1483" t="str">
        <f>IFERROR(VLOOKUP(tbEscolas[[#This Row],[COD ETPA]],tbEtapas[],3,FALSE),"")</f>
        <v/>
      </c>
    </row>
    <row r="1484" spans="1:6" x14ac:dyDescent="0.25">
      <c r="A1484" s="24" t="str">
        <f>_xlfn.XLOOKUP(tbEscolas[[#This Row],[ESCOLA]],tbNucleo[ESCOLA],tbNucleo[COD ESCOLA],"")</f>
        <v/>
      </c>
      <c r="B1484" t="str" cm="1">
        <f t="array" ref="B1484">IFERROR(INDEX(tbNucleo[ESCOLA],ROUNDUP(ROW(B1483)/TotalEtapas,0)),"")</f>
        <v/>
      </c>
      <c r="E1484" t="str">
        <f>IFERROR(VLOOKUP(tbEscolas[[#This Row],[COD ETPA]],tbEtapas[],2,FALSE),"")</f>
        <v/>
      </c>
      <c r="F1484" t="str">
        <f>IFERROR(VLOOKUP(tbEscolas[[#This Row],[COD ETPA]],tbEtapas[],3,FALSE),"")</f>
        <v/>
      </c>
    </row>
    <row r="1485" spans="1:6" x14ac:dyDescent="0.25">
      <c r="A1485" s="24" t="str">
        <f>_xlfn.XLOOKUP(tbEscolas[[#This Row],[ESCOLA]],tbNucleo[ESCOLA],tbNucleo[COD ESCOLA],"")</f>
        <v/>
      </c>
      <c r="B1485" t="str" cm="1">
        <f t="array" ref="B1485">IFERROR(INDEX(tbNucleo[ESCOLA],ROUNDUP(ROW(B1484)/TotalEtapas,0)),"")</f>
        <v/>
      </c>
      <c r="E1485" t="str">
        <f>IFERROR(VLOOKUP(tbEscolas[[#This Row],[COD ETPA]],tbEtapas[],2,FALSE),"")</f>
        <v/>
      </c>
      <c r="F1485" t="str">
        <f>IFERROR(VLOOKUP(tbEscolas[[#This Row],[COD ETPA]],tbEtapas[],3,FALSE),"")</f>
        <v/>
      </c>
    </row>
    <row r="1486" spans="1:6" x14ac:dyDescent="0.25">
      <c r="A1486" s="24" t="str">
        <f>_xlfn.XLOOKUP(tbEscolas[[#This Row],[ESCOLA]],tbNucleo[ESCOLA],tbNucleo[COD ESCOLA],"")</f>
        <v/>
      </c>
      <c r="B1486" t="str" cm="1">
        <f t="array" ref="B1486">IFERROR(INDEX(tbNucleo[ESCOLA],ROUNDUP(ROW(B1485)/TotalEtapas,0)),"")</f>
        <v/>
      </c>
      <c r="E1486" t="str">
        <f>IFERROR(VLOOKUP(tbEscolas[[#This Row],[COD ETPA]],tbEtapas[],2,FALSE),"")</f>
        <v/>
      </c>
      <c r="F1486" t="str">
        <f>IFERROR(VLOOKUP(tbEscolas[[#This Row],[COD ETPA]],tbEtapas[],3,FALSE),"")</f>
        <v/>
      </c>
    </row>
    <row r="1487" spans="1:6" x14ac:dyDescent="0.25">
      <c r="A1487" s="24" t="str">
        <f>_xlfn.XLOOKUP(tbEscolas[[#This Row],[ESCOLA]],tbNucleo[ESCOLA],tbNucleo[COD ESCOLA],"")</f>
        <v/>
      </c>
      <c r="B1487" t="str" cm="1">
        <f t="array" ref="B1487">IFERROR(INDEX(tbNucleo[ESCOLA],ROUNDUP(ROW(B1486)/TotalEtapas,0)),"")</f>
        <v/>
      </c>
      <c r="E1487" t="str">
        <f>IFERROR(VLOOKUP(tbEscolas[[#This Row],[COD ETPA]],tbEtapas[],2,FALSE),"")</f>
        <v/>
      </c>
      <c r="F1487" t="str">
        <f>IFERROR(VLOOKUP(tbEscolas[[#This Row],[COD ETPA]],tbEtapas[],3,FALSE),"")</f>
        <v/>
      </c>
    </row>
    <row r="1488" spans="1:6" x14ac:dyDescent="0.25">
      <c r="A1488" s="24" t="str">
        <f>_xlfn.XLOOKUP(tbEscolas[[#This Row],[ESCOLA]],tbNucleo[ESCOLA],tbNucleo[COD ESCOLA],"")</f>
        <v/>
      </c>
      <c r="B1488" t="str" cm="1">
        <f t="array" ref="B1488">IFERROR(INDEX(tbNucleo[ESCOLA],ROUNDUP(ROW(B1487)/TotalEtapas,0)),"")</f>
        <v/>
      </c>
      <c r="E1488" t="str">
        <f>IFERROR(VLOOKUP(tbEscolas[[#This Row],[COD ETPA]],tbEtapas[],2,FALSE),"")</f>
        <v/>
      </c>
      <c r="F1488" t="str">
        <f>IFERROR(VLOOKUP(tbEscolas[[#This Row],[COD ETPA]],tbEtapas[],3,FALSE),"")</f>
        <v/>
      </c>
    </row>
    <row r="1489" spans="1:6" x14ac:dyDescent="0.25">
      <c r="A1489" s="24" t="str">
        <f>_xlfn.XLOOKUP(tbEscolas[[#This Row],[ESCOLA]],tbNucleo[ESCOLA],tbNucleo[COD ESCOLA],"")</f>
        <v/>
      </c>
      <c r="B1489" t="str" cm="1">
        <f t="array" ref="B1489">IFERROR(INDEX(tbNucleo[ESCOLA],ROUNDUP(ROW(B1488)/TotalEtapas,0)),"")</f>
        <v/>
      </c>
      <c r="E1489" t="str">
        <f>IFERROR(VLOOKUP(tbEscolas[[#This Row],[COD ETPA]],tbEtapas[],2,FALSE),"")</f>
        <v/>
      </c>
      <c r="F1489" t="str">
        <f>IFERROR(VLOOKUP(tbEscolas[[#This Row],[COD ETPA]],tbEtapas[],3,FALSE),"")</f>
        <v/>
      </c>
    </row>
    <row r="1490" spans="1:6" x14ac:dyDescent="0.25">
      <c r="A1490" s="24" t="str">
        <f>_xlfn.XLOOKUP(tbEscolas[[#This Row],[ESCOLA]],tbNucleo[ESCOLA],tbNucleo[COD ESCOLA],"")</f>
        <v/>
      </c>
      <c r="B1490" t="str" cm="1">
        <f t="array" ref="B1490">IFERROR(INDEX(tbNucleo[ESCOLA],ROUNDUP(ROW(B1489)/TotalEtapas,0)),"")</f>
        <v/>
      </c>
      <c r="E1490" t="str">
        <f>IFERROR(VLOOKUP(tbEscolas[[#This Row],[COD ETPA]],tbEtapas[],2,FALSE),"")</f>
        <v/>
      </c>
      <c r="F1490" t="str">
        <f>IFERROR(VLOOKUP(tbEscolas[[#This Row],[COD ETPA]],tbEtapas[],3,FALSE),"")</f>
        <v/>
      </c>
    </row>
    <row r="1491" spans="1:6" x14ac:dyDescent="0.25">
      <c r="A1491" s="24" t="str">
        <f>_xlfn.XLOOKUP(tbEscolas[[#This Row],[ESCOLA]],tbNucleo[ESCOLA],tbNucleo[COD ESCOLA],"")</f>
        <v/>
      </c>
      <c r="B1491" t="str" cm="1">
        <f t="array" ref="B1491">IFERROR(INDEX(tbNucleo[ESCOLA],ROUNDUP(ROW(B1490)/TotalEtapas,0)),"")</f>
        <v/>
      </c>
      <c r="E1491" t="str">
        <f>IFERROR(VLOOKUP(tbEscolas[[#This Row],[COD ETPA]],tbEtapas[],2,FALSE),"")</f>
        <v/>
      </c>
      <c r="F1491" t="str">
        <f>IFERROR(VLOOKUP(tbEscolas[[#This Row],[COD ETPA]],tbEtapas[],3,FALSE),"")</f>
        <v/>
      </c>
    </row>
    <row r="1492" spans="1:6" x14ac:dyDescent="0.25">
      <c r="A1492" s="24" t="str">
        <f>_xlfn.XLOOKUP(tbEscolas[[#This Row],[ESCOLA]],tbNucleo[ESCOLA],tbNucleo[COD ESCOLA],"")</f>
        <v/>
      </c>
      <c r="B1492" t="str" cm="1">
        <f t="array" ref="B1492">IFERROR(INDEX(tbNucleo[ESCOLA],ROUNDUP(ROW(B1491)/TotalEtapas,0)),"")</f>
        <v/>
      </c>
      <c r="E1492" t="str">
        <f>IFERROR(VLOOKUP(tbEscolas[[#This Row],[COD ETPA]],tbEtapas[],2,FALSE),"")</f>
        <v/>
      </c>
      <c r="F1492" t="str">
        <f>IFERROR(VLOOKUP(tbEscolas[[#This Row],[COD ETPA]],tbEtapas[],3,FALSE),"")</f>
        <v/>
      </c>
    </row>
    <row r="1493" spans="1:6" x14ac:dyDescent="0.25">
      <c r="A1493" s="24" t="str">
        <f>_xlfn.XLOOKUP(tbEscolas[[#This Row],[ESCOLA]],tbNucleo[ESCOLA],tbNucleo[COD ESCOLA],"")</f>
        <v/>
      </c>
      <c r="B1493" t="str" cm="1">
        <f t="array" ref="B1493">IFERROR(INDEX(tbNucleo[ESCOLA],ROUNDUP(ROW(B1492)/TotalEtapas,0)),"")</f>
        <v/>
      </c>
      <c r="E1493" t="str">
        <f>IFERROR(VLOOKUP(tbEscolas[[#This Row],[COD ETPA]],tbEtapas[],2,FALSE),"")</f>
        <v/>
      </c>
      <c r="F1493" t="str">
        <f>IFERROR(VLOOKUP(tbEscolas[[#This Row],[COD ETPA]],tbEtapas[],3,FALSE),"")</f>
        <v/>
      </c>
    </row>
    <row r="1494" spans="1:6" x14ac:dyDescent="0.25">
      <c r="A1494" s="24" t="str">
        <f>_xlfn.XLOOKUP(tbEscolas[[#This Row],[ESCOLA]],tbNucleo[ESCOLA],tbNucleo[COD ESCOLA],"")</f>
        <v/>
      </c>
      <c r="B1494" t="str" cm="1">
        <f t="array" ref="B1494">IFERROR(INDEX(tbNucleo[ESCOLA],ROUNDUP(ROW(B1493)/TotalEtapas,0)),"")</f>
        <v/>
      </c>
      <c r="E1494" t="str">
        <f>IFERROR(VLOOKUP(tbEscolas[[#This Row],[COD ETPA]],tbEtapas[],2,FALSE),"")</f>
        <v/>
      </c>
      <c r="F1494" t="str">
        <f>IFERROR(VLOOKUP(tbEscolas[[#This Row],[COD ETPA]],tbEtapas[],3,FALSE),"")</f>
        <v/>
      </c>
    </row>
    <row r="1495" spans="1:6" x14ac:dyDescent="0.25">
      <c r="A1495" s="24" t="str">
        <f>_xlfn.XLOOKUP(tbEscolas[[#This Row],[ESCOLA]],tbNucleo[ESCOLA],tbNucleo[COD ESCOLA],"")</f>
        <v/>
      </c>
      <c r="B1495" t="str" cm="1">
        <f t="array" ref="B1495">IFERROR(INDEX(tbNucleo[ESCOLA],ROUNDUP(ROW(B1494)/TotalEtapas,0)),"")</f>
        <v/>
      </c>
      <c r="E1495" t="str">
        <f>IFERROR(VLOOKUP(tbEscolas[[#This Row],[COD ETPA]],tbEtapas[],2,FALSE),"")</f>
        <v/>
      </c>
      <c r="F1495" t="str">
        <f>IFERROR(VLOOKUP(tbEscolas[[#This Row],[COD ETPA]],tbEtapas[],3,FALSE),"")</f>
        <v/>
      </c>
    </row>
    <row r="1496" spans="1:6" x14ac:dyDescent="0.25">
      <c r="A1496" s="24" t="str">
        <f>_xlfn.XLOOKUP(tbEscolas[[#This Row],[ESCOLA]],tbNucleo[ESCOLA],tbNucleo[COD ESCOLA],"")</f>
        <v/>
      </c>
      <c r="B1496" t="str" cm="1">
        <f t="array" ref="B1496">IFERROR(INDEX(tbNucleo[ESCOLA],ROUNDUP(ROW(B1495)/TotalEtapas,0)),"")</f>
        <v/>
      </c>
      <c r="E1496" t="str">
        <f>IFERROR(VLOOKUP(tbEscolas[[#This Row],[COD ETPA]],tbEtapas[],2,FALSE),"")</f>
        <v/>
      </c>
      <c r="F1496" t="str">
        <f>IFERROR(VLOOKUP(tbEscolas[[#This Row],[COD ETPA]],tbEtapas[],3,FALSE),"")</f>
        <v/>
      </c>
    </row>
    <row r="1497" spans="1:6" x14ac:dyDescent="0.25">
      <c r="A1497" s="24" t="str">
        <f>_xlfn.XLOOKUP(tbEscolas[[#This Row],[ESCOLA]],tbNucleo[ESCOLA],tbNucleo[COD ESCOLA],"")</f>
        <v/>
      </c>
      <c r="B1497" t="str" cm="1">
        <f t="array" ref="B1497">IFERROR(INDEX(tbNucleo[ESCOLA],ROUNDUP(ROW(B1496)/TotalEtapas,0)),"")</f>
        <v/>
      </c>
      <c r="E1497" t="str">
        <f>IFERROR(VLOOKUP(tbEscolas[[#This Row],[COD ETPA]],tbEtapas[],2,FALSE),"")</f>
        <v/>
      </c>
      <c r="F1497" t="str">
        <f>IFERROR(VLOOKUP(tbEscolas[[#This Row],[COD ETPA]],tbEtapas[],3,FALSE),"")</f>
        <v/>
      </c>
    </row>
    <row r="1498" spans="1:6" x14ac:dyDescent="0.25">
      <c r="A1498" s="24" t="str">
        <f>_xlfn.XLOOKUP(tbEscolas[[#This Row],[ESCOLA]],tbNucleo[ESCOLA],tbNucleo[COD ESCOLA],"")</f>
        <v/>
      </c>
      <c r="B1498" t="str" cm="1">
        <f t="array" ref="B1498">IFERROR(INDEX(tbNucleo[ESCOLA],ROUNDUP(ROW(B1497)/TotalEtapas,0)),"")</f>
        <v/>
      </c>
      <c r="E1498" t="str">
        <f>IFERROR(VLOOKUP(tbEscolas[[#This Row],[COD ETPA]],tbEtapas[],2,FALSE),"")</f>
        <v/>
      </c>
      <c r="F1498" t="str">
        <f>IFERROR(VLOOKUP(tbEscolas[[#This Row],[COD ETPA]],tbEtapas[],3,FALSE),"")</f>
        <v/>
      </c>
    </row>
    <row r="1499" spans="1:6" x14ac:dyDescent="0.25">
      <c r="A1499" s="24" t="str">
        <f>_xlfn.XLOOKUP(tbEscolas[[#This Row],[ESCOLA]],tbNucleo[ESCOLA],tbNucleo[COD ESCOLA],"")</f>
        <v/>
      </c>
      <c r="B1499" t="str" cm="1">
        <f t="array" ref="B1499">IFERROR(INDEX(tbNucleo[ESCOLA],ROUNDUP(ROW(B1498)/TotalEtapas,0)),"")</f>
        <v/>
      </c>
      <c r="E1499" t="str">
        <f>IFERROR(VLOOKUP(tbEscolas[[#This Row],[COD ETPA]],tbEtapas[],2,FALSE),"")</f>
        <v/>
      </c>
      <c r="F1499" t="str">
        <f>IFERROR(VLOOKUP(tbEscolas[[#This Row],[COD ETPA]],tbEtapas[],3,FALSE),"")</f>
        <v/>
      </c>
    </row>
    <row r="1500" spans="1:6" x14ac:dyDescent="0.25">
      <c r="A1500" s="24" t="str">
        <f>_xlfn.XLOOKUP(tbEscolas[[#This Row],[ESCOLA]],tbNucleo[ESCOLA],tbNucleo[COD ESCOLA],"")</f>
        <v/>
      </c>
      <c r="B1500" t="str" cm="1">
        <f t="array" ref="B1500">IFERROR(INDEX(tbNucleo[ESCOLA],ROUNDUP(ROW(B1499)/TotalEtapas,0)),"")</f>
        <v/>
      </c>
      <c r="E1500" t="str">
        <f>IFERROR(VLOOKUP(tbEscolas[[#This Row],[COD ETPA]],tbEtapas[],2,FALSE),"")</f>
        <v/>
      </c>
      <c r="F1500" t="str">
        <f>IFERROR(VLOOKUP(tbEscolas[[#This Row],[COD ETPA]],tbEtapas[],3,FALSE),"")</f>
        <v/>
      </c>
    </row>
    <row r="1501" spans="1:6" x14ac:dyDescent="0.25">
      <c r="A1501" s="24" t="str">
        <f>_xlfn.XLOOKUP(tbEscolas[[#This Row],[ESCOLA]],tbNucleo[ESCOLA],tbNucleo[COD ESCOLA],"")</f>
        <v/>
      </c>
      <c r="B1501" t="str" cm="1">
        <f t="array" ref="B1501">IFERROR(INDEX(tbNucleo[ESCOLA],ROUNDUP(ROW(B1500)/TotalEtapas,0)),"")</f>
        <v/>
      </c>
      <c r="E1501" t="str">
        <f>IFERROR(VLOOKUP(tbEscolas[[#This Row],[COD ETPA]],tbEtapas[],2,FALSE),"")</f>
        <v/>
      </c>
      <c r="F1501" t="str">
        <f>IFERROR(VLOOKUP(tbEscolas[[#This Row],[COD ETPA]],tbEtapas[],3,FALSE),"")</f>
        <v/>
      </c>
    </row>
    <row r="1502" spans="1:6" x14ac:dyDescent="0.25">
      <c r="A1502" s="24" t="str">
        <f>_xlfn.XLOOKUP(tbEscolas[[#This Row],[ESCOLA]],tbNucleo[ESCOLA],tbNucleo[COD ESCOLA],"")</f>
        <v/>
      </c>
      <c r="B1502" t="str" cm="1">
        <f t="array" ref="B1502">IFERROR(INDEX(tbNucleo[ESCOLA],ROUNDUP(ROW(B1501)/TotalEtapas,0)),"")</f>
        <v/>
      </c>
      <c r="E1502" t="str">
        <f>IFERROR(VLOOKUP(tbEscolas[[#This Row],[COD ETPA]],tbEtapas[],2,FALSE),"")</f>
        <v/>
      </c>
      <c r="F1502" t="str">
        <f>IFERROR(VLOOKUP(tbEscolas[[#This Row],[COD ETPA]],tbEtapas[],3,FALSE),"")</f>
        <v/>
      </c>
    </row>
    <row r="1503" spans="1:6" x14ac:dyDescent="0.25">
      <c r="A1503" s="24" t="str">
        <f>_xlfn.XLOOKUP(tbEscolas[[#This Row],[ESCOLA]],tbNucleo[ESCOLA],tbNucleo[COD ESCOLA],"")</f>
        <v/>
      </c>
      <c r="B1503" t="str" cm="1">
        <f t="array" ref="B1503">IFERROR(INDEX(tbNucleo[ESCOLA],ROUNDUP(ROW(B1502)/TotalEtapas,0)),"")</f>
        <v/>
      </c>
      <c r="E1503" t="str">
        <f>IFERROR(VLOOKUP(tbEscolas[[#This Row],[COD ETPA]],tbEtapas[],2,FALSE),"")</f>
        <v/>
      </c>
      <c r="F1503" t="str">
        <f>IFERROR(VLOOKUP(tbEscolas[[#This Row],[COD ETPA]],tbEtapas[],3,FALSE),"")</f>
        <v/>
      </c>
    </row>
    <row r="1504" spans="1:6" x14ac:dyDescent="0.25">
      <c r="A1504" s="24" t="str">
        <f>_xlfn.XLOOKUP(tbEscolas[[#This Row],[ESCOLA]],tbNucleo[ESCOLA],tbNucleo[COD ESCOLA],"")</f>
        <v/>
      </c>
      <c r="B1504" t="str" cm="1">
        <f t="array" ref="B1504">IFERROR(INDEX(tbNucleo[ESCOLA],ROUNDUP(ROW(B1503)/TotalEtapas,0)),"")</f>
        <v/>
      </c>
      <c r="E1504" t="str">
        <f>IFERROR(VLOOKUP(tbEscolas[[#This Row],[COD ETPA]],tbEtapas[],2,FALSE),"")</f>
        <v/>
      </c>
      <c r="F1504" t="str">
        <f>IFERROR(VLOOKUP(tbEscolas[[#This Row],[COD ETPA]],tbEtapas[],3,FALSE),"")</f>
        <v/>
      </c>
    </row>
    <row r="1505" spans="1:6" x14ac:dyDescent="0.25">
      <c r="A1505" s="24" t="str">
        <f>_xlfn.XLOOKUP(tbEscolas[[#This Row],[ESCOLA]],tbNucleo[ESCOLA],tbNucleo[COD ESCOLA],"")</f>
        <v/>
      </c>
      <c r="B1505" t="str" cm="1">
        <f t="array" ref="B1505">IFERROR(INDEX(tbNucleo[ESCOLA],ROUNDUP(ROW(B1504)/TotalEtapas,0)),"")</f>
        <v/>
      </c>
      <c r="E1505" t="str">
        <f>IFERROR(VLOOKUP(tbEscolas[[#This Row],[COD ETPA]],tbEtapas[],2,FALSE),"")</f>
        <v/>
      </c>
      <c r="F1505" t="str">
        <f>IFERROR(VLOOKUP(tbEscolas[[#This Row],[COD ETPA]],tbEtapas[],3,FALSE),"")</f>
        <v/>
      </c>
    </row>
    <row r="1506" spans="1:6" x14ac:dyDescent="0.25">
      <c r="A1506" s="24" t="str">
        <f>_xlfn.XLOOKUP(tbEscolas[[#This Row],[ESCOLA]],tbNucleo[ESCOLA],tbNucleo[COD ESCOLA],"")</f>
        <v/>
      </c>
      <c r="B1506" t="str" cm="1">
        <f t="array" ref="B1506">IFERROR(INDEX(tbNucleo[ESCOLA],ROUNDUP(ROW(B1505)/TotalEtapas,0)),"")</f>
        <v/>
      </c>
      <c r="E1506" t="str">
        <f>IFERROR(VLOOKUP(tbEscolas[[#This Row],[COD ETPA]],tbEtapas[],2,FALSE),"")</f>
        <v/>
      </c>
      <c r="F1506" t="str">
        <f>IFERROR(VLOOKUP(tbEscolas[[#This Row],[COD ETPA]],tbEtapas[],3,FALSE),"")</f>
        <v/>
      </c>
    </row>
    <row r="1507" spans="1:6" x14ac:dyDescent="0.25">
      <c r="A1507" s="24" t="str">
        <f>_xlfn.XLOOKUP(tbEscolas[[#This Row],[ESCOLA]],tbNucleo[ESCOLA],tbNucleo[COD ESCOLA],"")</f>
        <v/>
      </c>
      <c r="B1507" t="str" cm="1">
        <f t="array" ref="B1507">IFERROR(INDEX(tbNucleo[ESCOLA],ROUNDUP(ROW(B1506)/TotalEtapas,0)),"")</f>
        <v/>
      </c>
      <c r="E1507" t="str">
        <f>IFERROR(VLOOKUP(tbEscolas[[#This Row],[COD ETPA]],tbEtapas[],2,FALSE),"")</f>
        <v/>
      </c>
      <c r="F1507" t="str">
        <f>IFERROR(VLOOKUP(tbEscolas[[#This Row],[COD ETPA]],tbEtapas[],3,FALSE),"")</f>
        <v/>
      </c>
    </row>
    <row r="1508" spans="1:6" x14ac:dyDescent="0.25">
      <c r="A1508" s="24" t="str">
        <f>_xlfn.XLOOKUP(tbEscolas[[#This Row],[ESCOLA]],tbNucleo[ESCOLA],tbNucleo[COD ESCOLA],"")</f>
        <v/>
      </c>
      <c r="B1508" t="str" cm="1">
        <f t="array" ref="B1508">IFERROR(INDEX(tbNucleo[ESCOLA],ROUNDUP(ROW(B1507)/TotalEtapas,0)),"")</f>
        <v/>
      </c>
      <c r="E1508" t="str">
        <f>IFERROR(VLOOKUP(tbEscolas[[#This Row],[COD ETPA]],tbEtapas[],2,FALSE),"")</f>
        <v/>
      </c>
      <c r="F1508" t="str">
        <f>IFERROR(VLOOKUP(tbEscolas[[#This Row],[COD ETPA]],tbEtapas[],3,FALSE),"")</f>
        <v/>
      </c>
    </row>
    <row r="1509" spans="1:6" x14ac:dyDescent="0.25">
      <c r="A1509" s="24" t="str">
        <f>_xlfn.XLOOKUP(tbEscolas[[#This Row],[ESCOLA]],tbNucleo[ESCOLA],tbNucleo[COD ESCOLA],"")</f>
        <v/>
      </c>
      <c r="B1509" t="str" cm="1">
        <f t="array" ref="B1509">IFERROR(INDEX(tbNucleo[ESCOLA],ROUNDUP(ROW(B1508)/TotalEtapas,0)),"")</f>
        <v/>
      </c>
      <c r="E1509" t="str">
        <f>IFERROR(VLOOKUP(tbEscolas[[#This Row],[COD ETPA]],tbEtapas[],2,FALSE),"")</f>
        <v/>
      </c>
      <c r="F1509" t="str">
        <f>IFERROR(VLOOKUP(tbEscolas[[#This Row],[COD ETPA]],tbEtapas[],3,FALSE),"")</f>
        <v/>
      </c>
    </row>
    <row r="1510" spans="1:6" x14ac:dyDescent="0.25">
      <c r="A1510" s="24" t="str">
        <f>_xlfn.XLOOKUP(tbEscolas[[#This Row],[ESCOLA]],tbNucleo[ESCOLA],tbNucleo[COD ESCOLA],"")</f>
        <v/>
      </c>
      <c r="B1510" t="str" cm="1">
        <f t="array" ref="B1510">IFERROR(INDEX(tbNucleo[ESCOLA],ROUNDUP(ROW(B1509)/TotalEtapas,0)),"")</f>
        <v/>
      </c>
      <c r="E1510" t="str">
        <f>IFERROR(VLOOKUP(tbEscolas[[#This Row],[COD ETPA]],tbEtapas[],2,FALSE),"")</f>
        <v/>
      </c>
      <c r="F1510" t="str">
        <f>IFERROR(VLOOKUP(tbEscolas[[#This Row],[COD ETPA]],tbEtapas[],3,FALSE),"")</f>
        <v/>
      </c>
    </row>
    <row r="1511" spans="1:6" x14ac:dyDescent="0.25">
      <c r="A1511" s="24" t="str">
        <f>_xlfn.XLOOKUP(tbEscolas[[#This Row],[ESCOLA]],tbNucleo[ESCOLA],tbNucleo[COD ESCOLA],"")</f>
        <v/>
      </c>
      <c r="B1511" t="str" cm="1">
        <f t="array" ref="B1511">IFERROR(INDEX(tbNucleo[ESCOLA],ROUNDUP(ROW(B1510)/TotalEtapas,0)),"")</f>
        <v/>
      </c>
      <c r="E1511" t="str">
        <f>IFERROR(VLOOKUP(tbEscolas[[#This Row],[COD ETPA]],tbEtapas[],2,FALSE),"")</f>
        <v/>
      </c>
      <c r="F1511" t="str">
        <f>IFERROR(VLOOKUP(tbEscolas[[#This Row],[COD ETPA]],tbEtapas[],3,FALSE),"")</f>
        <v/>
      </c>
    </row>
    <row r="1512" spans="1:6" x14ac:dyDescent="0.25">
      <c r="A1512" s="24" t="str">
        <f>_xlfn.XLOOKUP(tbEscolas[[#This Row],[ESCOLA]],tbNucleo[ESCOLA],tbNucleo[COD ESCOLA],"")</f>
        <v/>
      </c>
      <c r="B1512" t="str" cm="1">
        <f t="array" ref="B1512">IFERROR(INDEX(tbNucleo[ESCOLA],ROUNDUP(ROW(B1511)/TotalEtapas,0)),"")</f>
        <v/>
      </c>
      <c r="E1512" t="str">
        <f>IFERROR(VLOOKUP(tbEscolas[[#This Row],[COD ETPA]],tbEtapas[],2,FALSE),"")</f>
        <v/>
      </c>
      <c r="F1512" t="str">
        <f>IFERROR(VLOOKUP(tbEscolas[[#This Row],[COD ETPA]],tbEtapas[],3,FALSE),"")</f>
        <v/>
      </c>
    </row>
    <row r="1513" spans="1:6" x14ac:dyDescent="0.25">
      <c r="A1513" s="24" t="str">
        <f>_xlfn.XLOOKUP(tbEscolas[[#This Row],[ESCOLA]],tbNucleo[ESCOLA],tbNucleo[COD ESCOLA],"")</f>
        <v/>
      </c>
      <c r="B1513" t="str" cm="1">
        <f t="array" ref="B1513">IFERROR(INDEX(tbNucleo[ESCOLA],ROUNDUP(ROW(B1512)/TotalEtapas,0)),"")</f>
        <v/>
      </c>
      <c r="E1513" t="str">
        <f>IFERROR(VLOOKUP(tbEscolas[[#This Row],[COD ETPA]],tbEtapas[],2,FALSE),"")</f>
        <v/>
      </c>
      <c r="F1513" t="str">
        <f>IFERROR(VLOOKUP(tbEscolas[[#This Row],[COD ETPA]],tbEtapas[],3,FALSE),"")</f>
        <v/>
      </c>
    </row>
    <row r="1514" spans="1:6" x14ac:dyDescent="0.25">
      <c r="A1514" s="24" t="str">
        <f>_xlfn.XLOOKUP(tbEscolas[[#This Row],[ESCOLA]],tbNucleo[ESCOLA],tbNucleo[COD ESCOLA],"")</f>
        <v/>
      </c>
      <c r="B1514" t="str" cm="1">
        <f t="array" ref="B1514">IFERROR(INDEX(tbNucleo[ESCOLA],ROUNDUP(ROW(B1513)/TotalEtapas,0)),"")</f>
        <v/>
      </c>
      <c r="E1514" t="str">
        <f>IFERROR(VLOOKUP(tbEscolas[[#This Row],[COD ETPA]],tbEtapas[],2,FALSE),"")</f>
        <v/>
      </c>
      <c r="F1514" t="str">
        <f>IFERROR(VLOOKUP(tbEscolas[[#This Row],[COD ETPA]],tbEtapas[],3,FALSE),"")</f>
        <v/>
      </c>
    </row>
    <row r="1515" spans="1:6" x14ac:dyDescent="0.25">
      <c r="A1515" s="24" t="str">
        <f>_xlfn.XLOOKUP(tbEscolas[[#This Row],[ESCOLA]],tbNucleo[ESCOLA],tbNucleo[COD ESCOLA],"")</f>
        <v/>
      </c>
      <c r="B1515" t="str" cm="1">
        <f t="array" ref="B1515">IFERROR(INDEX(tbNucleo[ESCOLA],ROUNDUP(ROW(B1514)/TotalEtapas,0)),"")</f>
        <v/>
      </c>
      <c r="E1515" t="str">
        <f>IFERROR(VLOOKUP(tbEscolas[[#This Row],[COD ETPA]],tbEtapas[],2,FALSE),"")</f>
        <v/>
      </c>
      <c r="F1515" t="str">
        <f>IFERROR(VLOOKUP(tbEscolas[[#This Row],[COD ETPA]],tbEtapas[],3,FALSE),"")</f>
        <v/>
      </c>
    </row>
    <row r="1516" spans="1:6" x14ac:dyDescent="0.25">
      <c r="A1516" s="24" t="str">
        <f>_xlfn.XLOOKUP(tbEscolas[[#This Row],[ESCOLA]],tbNucleo[ESCOLA],tbNucleo[COD ESCOLA],"")</f>
        <v/>
      </c>
      <c r="B1516" t="str" cm="1">
        <f t="array" ref="B1516">IFERROR(INDEX(tbNucleo[ESCOLA],ROUNDUP(ROW(B1515)/TotalEtapas,0)),"")</f>
        <v/>
      </c>
      <c r="E1516" t="str">
        <f>IFERROR(VLOOKUP(tbEscolas[[#This Row],[COD ETPA]],tbEtapas[],2,FALSE),"")</f>
        <v/>
      </c>
      <c r="F1516" t="str">
        <f>IFERROR(VLOOKUP(tbEscolas[[#This Row],[COD ETPA]],tbEtapas[],3,FALSE),"")</f>
        <v/>
      </c>
    </row>
    <row r="1517" spans="1:6" x14ac:dyDescent="0.25">
      <c r="A1517" s="24" t="str">
        <f>_xlfn.XLOOKUP(tbEscolas[[#This Row],[ESCOLA]],tbNucleo[ESCOLA],tbNucleo[COD ESCOLA],"")</f>
        <v/>
      </c>
      <c r="B1517" t="str" cm="1">
        <f t="array" ref="B1517">IFERROR(INDEX(tbNucleo[ESCOLA],ROUNDUP(ROW(B1516)/TotalEtapas,0)),"")</f>
        <v/>
      </c>
      <c r="E1517" t="str">
        <f>IFERROR(VLOOKUP(tbEscolas[[#This Row],[COD ETPA]],tbEtapas[],2,FALSE),"")</f>
        <v/>
      </c>
      <c r="F1517" t="str">
        <f>IFERROR(VLOOKUP(tbEscolas[[#This Row],[COD ETPA]],tbEtapas[],3,FALSE),"")</f>
        <v/>
      </c>
    </row>
    <row r="1518" spans="1:6" x14ac:dyDescent="0.25">
      <c r="A1518" s="24" t="str">
        <f>_xlfn.XLOOKUP(tbEscolas[[#This Row],[ESCOLA]],tbNucleo[ESCOLA],tbNucleo[COD ESCOLA],"")</f>
        <v/>
      </c>
      <c r="B1518" t="str" cm="1">
        <f t="array" ref="B1518">IFERROR(INDEX(tbNucleo[ESCOLA],ROUNDUP(ROW(B1517)/TotalEtapas,0)),"")</f>
        <v/>
      </c>
      <c r="E1518" t="str">
        <f>IFERROR(VLOOKUP(tbEscolas[[#This Row],[COD ETPA]],tbEtapas[],2,FALSE),"")</f>
        <v/>
      </c>
      <c r="F1518" t="str">
        <f>IFERROR(VLOOKUP(tbEscolas[[#This Row],[COD ETPA]],tbEtapas[],3,FALSE),"")</f>
        <v/>
      </c>
    </row>
    <row r="1519" spans="1:6" x14ac:dyDescent="0.25">
      <c r="A1519" s="24" t="str">
        <f>_xlfn.XLOOKUP(tbEscolas[[#This Row],[ESCOLA]],tbNucleo[ESCOLA],tbNucleo[COD ESCOLA],"")</f>
        <v/>
      </c>
      <c r="B1519" t="str" cm="1">
        <f t="array" ref="B1519">IFERROR(INDEX(tbNucleo[ESCOLA],ROUNDUP(ROW(B1518)/TotalEtapas,0)),"")</f>
        <v/>
      </c>
      <c r="E1519" t="str">
        <f>IFERROR(VLOOKUP(tbEscolas[[#This Row],[COD ETPA]],tbEtapas[],2,FALSE),"")</f>
        <v/>
      </c>
      <c r="F1519" t="str">
        <f>IFERROR(VLOOKUP(tbEscolas[[#This Row],[COD ETPA]],tbEtapas[],3,FALSE),"")</f>
        <v/>
      </c>
    </row>
    <row r="1520" spans="1:6" x14ac:dyDescent="0.25">
      <c r="A1520" s="24" t="str">
        <f>_xlfn.XLOOKUP(tbEscolas[[#This Row],[ESCOLA]],tbNucleo[ESCOLA],tbNucleo[COD ESCOLA],"")</f>
        <v/>
      </c>
      <c r="B1520" t="str" cm="1">
        <f t="array" ref="B1520">IFERROR(INDEX(tbNucleo[ESCOLA],ROUNDUP(ROW(B1519)/TotalEtapas,0)),"")</f>
        <v/>
      </c>
      <c r="E1520" t="str">
        <f>IFERROR(VLOOKUP(tbEscolas[[#This Row],[COD ETPA]],tbEtapas[],2,FALSE),"")</f>
        <v/>
      </c>
      <c r="F1520" t="str">
        <f>IFERROR(VLOOKUP(tbEscolas[[#This Row],[COD ETPA]],tbEtapas[],3,FALSE),"")</f>
        <v/>
      </c>
    </row>
    <row r="1521" spans="1:6" x14ac:dyDescent="0.25">
      <c r="A1521" s="24" t="str">
        <f>_xlfn.XLOOKUP(tbEscolas[[#This Row],[ESCOLA]],tbNucleo[ESCOLA],tbNucleo[COD ESCOLA],"")</f>
        <v/>
      </c>
      <c r="B1521" t="str" cm="1">
        <f t="array" ref="B1521">IFERROR(INDEX(tbNucleo[ESCOLA],ROUNDUP(ROW(B1520)/TotalEtapas,0)),"")</f>
        <v/>
      </c>
      <c r="E1521" t="str">
        <f>IFERROR(VLOOKUP(tbEscolas[[#This Row],[COD ETPA]],tbEtapas[],2,FALSE),"")</f>
        <v/>
      </c>
      <c r="F1521" t="str">
        <f>IFERROR(VLOOKUP(tbEscolas[[#This Row],[COD ETPA]],tbEtapas[],3,FALSE),"")</f>
        <v/>
      </c>
    </row>
    <row r="1522" spans="1:6" x14ac:dyDescent="0.25">
      <c r="A1522" s="24" t="str">
        <f>_xlfn.XLOOKUP(tbEscolas[[#This Row],[ESCOLA]],tbNucleo[ESCOLA],tbNucleo[COD ESCOLA],"")</f>
        <v/>
      </c>
      <c r="B1522" t="str" cm="1">
        <f t="array" ref="B1522">IFERROR(INDEX(tbNucleo[ESCOLA],ROUNDUP(ROW(B1521)/TotalEtapas,0)),"")</f>
        <v/>
      </c>
      <c r="E1522" t="str">
        <f>IFERROR(VLOOKUP(tbEscolas[[#This Row],[COD ETPA]],tbEtapas[],2,FALSE),"")</f>
        <v/>
      </c>
      <c r="F1522" t="str">
        <f>IFERROR(VLOOKUP(tbEscolas[[#This Row],[COD ETPA]],tbEtapas[],3,FALSE),"")</f>
        <v/>
      </c>
    </row>
    <row r="1523" spans="1:6" x14ac:dyDescent="0.25">
      <c r="A1523" s="24" t="str">
        <f>_xlfn.XLOOKUP(tbEscolas[[#This Row],[ESCOLA]],tbNucleo[ESCOLA],tbNucleo[COD ESCOLA],"")</f>
        <v/>
      </c>
      <c r="B1523" t="str" cm="1">
        <f t="array" ref="B1523">IFERROR(INDEX(tbNucleo[ESCOLA],ROUNDUP(ROW(B1522)/TotalEtapas,0)),"")</f>
        <v/>
      </c>
      <c r="E1523" t="str">
        <f>IFERROR(VLOOKUP(tbEscolas[[#This Row],[COD ETPA]],tbEtapas[],2,FALSE),"")</f>
        <v/>
      </c>
      <c r="F1523" t="str">
        <f>IFERROR(VLOOKUP(tbEscolas[[#This Row],[COD ETPA]],tbEtapas[],3,FALSE),"")</f>
        <v/>
      </c>
    </row>
    <row r="1524" spans="1:6" x14ac:dyDescent="0.25">
      <c r="A1524" s="24" t="str">
        <f>_xlfn.XLOOKUP(tbEscolas[[#This Row],[ESCOLA]],tbNucleo[ESCOLA],tbNucleo[COD ESCOLA],"")</f>
        <v/>
      </c>
      <c r="B1524" t="str" cm="1">
        <f t="array" ref="B1524">IFERROR(INDEX(tbNucleo[ESCOLA],ROUNDUP(ROW(B1523)/TotalEtapas,0)),"")</f>
        <v/>
      </c>
      <c r="E1524" t="str">
        <f>IFERROR(VLOOKUP(tbEscolas[[#This Row],[COD ETPA]],tbEtapas[],2,FALSE),"")</f>
        <v/>
      </c>
      <c r="F1524" t="str">
        <f>IFERROR(VLOOKUP(tbEscolas[[#This Row],[COD ETPA]],tbEtapas[],3,FALSE),"")</f>
        <v/>
      </c>
    </row>
    <row r="1525" spans="1:6" x14ac:dyDescent="0.25">
      <c r="A1525" s="24" t="str">
        <f>_xlfn.XLOOKUP(tbEscolas[[#This Row],[ESCOLA]],tbNucleo[ESCOLA],tbNucleo[COD ESCOLA],"")</f>
        <v/>
      </c>
      <c r="B1525" t="str" cm="1">
        <f t="array" ref="B1525">IFERROR(INDEX(tbNucleo[ESCOLA],ROUNDUP(ROW(B1524)/TotalEtapas,0)),"")</f>
        <v/>
      </c>
      <c r="E1525" t="str">
        <f>IFERROR(VLOOKUP(tbEscolas[[#This Row],[COD ETPA]],tbEtapas[],2,FALSE),"")</f>
        <v/>
      </c>
      <c r="F1525" t="str">
        <f>IFERROR(VLOOKUP(tbEscolas[[#This Row],[COD ETPA]],tbEtapas[],3,FALSE),"")</f>
        <v/>
      </c>
    </row>
    <row r="1526" spans="1:6" x14ac:dyDescent="0.25">
      <c r="A1526" s="24" t="str">
        <f>_xlfn.XLOOKUP(tbEscolas[[#This Row],[ESCOLA]],tbNucleo[ESCOLA],tbNucleo[COD ESCOLA],"")</f>
        <v/>
      </c>
      <c r="B1526" t="str" cm="1">
        <f t="array" ref="B1526">IFERROR(INDEX(tbNucleo[ESCOLA],ROUNDUP(ROW(B1525)/TotalEtapas,0)),"")</f>
        <v/>
      </c>
      <c r="E1526" t="str">
        <f>IFERROR(VLOOKUP(tbEscolas[[#This Row],[COD ETPA]],tbEtapas[],2,FALSE),"")</f>
        <v/>
      </c>
      <c r="F1526" t="str">
        <f>IFERROR(VLOOKUP(tbEscolas[[#This Row],[COD ETPA]],tbEtapas[],3,FALSE),"")</f>
        <v/>
      </c>
    </row>
    <row r="1527" spans="1:6" x14ac:dyDescent="0.25">
      <c r="A1527" s="24" t="str">
        <f>_xlfn.XLOOKUP(tbEscolas[[#This Row],[ESCOLA]],tbNucleo[ESCOLA],tbNucleo[COD ESCOLA],"")</f>
        <v/>
      </c>
      <c r="B1527" t="str" cm="1">
        <f t="array" ref="B1527">IFERROR(INDEX(tbNucleo[ESCOLA],ROUNDUP(ROW(B1526)/TotalEtapas,0)),"")</f>
        <v/>
      </c>
      <c r="E1527" t="str">
        <f>IFERROR(VLOOKUP(tbEscolas[[#This Row],[COD ETPA]],tbEtapas[],2,FALSE),"")</f>
        <v/>
      </c>
      <c r="F1527" t="str">
        <f>IFERROR(VLOOKUP(tbEscolas[[#This Row],[COD ETPA]],tbEtapas[],3,FALSE),"")</f>
        <v/>
      </c>
    </row>
    <row r="1528" spans="1:6" x14ac:dyDescent="0.25">
      <c r="A1528" s="24" t="str">
        <f>_xlfn.XLOOKUP(tbEscolas[[#This Row],[ESCOLA]],tbNucleo[ESCOLA],tbNucleo[COD ESCOLA],"")</f>
        <v/>
      </c>
      <c r="B1528" t="str" cm="1">
        <f t="array" ref="B1528">IFERROR(INDEX(tbNucleo[ESCOLA],ROUNDUP(ROW(B1527)/TotalEtapas,0)),"")</f>
        <v/>
      </c>
      <c r="E1528" t="str">
        <f>IFERROR(VLOOKUP(tbEscolas[[#This Row],[COD ETPA]],tbEtapas[],2,FALSE),"")</f>
        <v/>
      </c>
      <c r="F1528" t="str">
        <f>IFERROR(VLOOKUP(tbEscolas[[#This Row],[COD ETPA]],tbEtapas[],3,FALSE),"")</f>
        <v/>
      </c>
    </row>
    <row r="1529" spans="1:6" x14ac:dyDescent="0.25">
      <c r="A1529" s="24" t="str">
        <f>_xlfn.XLOOKUP(tbEscolas[[#This Row],[ESCOLA]],tbNucleo[ESCOLA],tbNucleo[COD ESCOLA],"")</f>
        <v/>
      </c>
      <c r="B1529" t="str" cm="1">
        <f t="array" ref="B1529">IFERROR(INDEX(tbNucleo[ESCOLA],ROUNDUP(ROW(B1528)/TotalEtapas,0)),"")</f>
        <v/>
      </c>
      <c r="E1529" t="str">
        <f>IFERROR(VLOOKUP(tbEscolas[[#This Row],[COD ETPA]],tbEtapas[],2,FALSE),"")</f>
        <v/>
      </c>
      <c r="F1529" t="str">
        <f>IFERROR(VLOOKUP(tbEscolas[[#This Row],[COD ETPA]],tbEtapas[],3,FALSE),"")</f>
        <v/>
      </c>
    </row>
    <row r="1530" spans="1:6" x14ac:dyDescent="0.25">
      <c r="A1530" s="24" t="str">
        <f>_xlfn.XLOOKUP(tbEscolas[[#This Row],[ESCOLA]],tbNucleo[ESCOLA],tbNucleo[COD ESCOLA],"")</f>
        <v/>
      </c>
      <c r="B1530" t="str" cm="1">
        <f t="array" ref="B1530">IFERROR(INDEX(tbNucleo[ESCOLA],ROUNDUP(ROW(B1529)/TotalEtapas,0)),"")</f>
        <v/>
      </c>
      <c r="E1530" t="str">
        <f>IFERROR(VLOOKUP(tbEscolas[[#This Row],[COD ETPA]],tbEtapas[],2,FALSE),"")</f>
        <v/>
      </c>
      <c r="F1530" t="str">
        <f>IFERROR(VLOOKUP(tbEscolas[[#This Row],[COD ETPA]],tbEtapas[],3,FALSE),"")</f>
        <v/>
      </c>
    </row>
    <row r="1531" spans="1:6" x14ac:dyDescent="0.25">
      <c r="A1531" s="24" t="str">
        <f>_xlfn.XLOOKUP(tbEscolas[[#This Row],[ESCOLA]],tbNucleo[ESCOLA],tbNucleo[COD ESCOLA],"")</f>
        <v/>
      </c>
      <c r="B1531" t="str" cm="1">
        <f t="array" ref="B1531">IFERROR(INDEX(tbNucleo[ESCOLA],ROUNDUP(ROW(B1530)/TotalEtapas,0)),"")</f>
        <v/>
      </c>
      <c r="E1531" t="str">
        <f>IFERROR(VLOOKUP(tbEscolas[[#This Row],[COD ETPA]],tbEtapas[],2,FALSE),"")</f>
        <v/>
      </c>
      <c r="F1531" t="str">
        <f>IFERROR(VLOOKUP(tbEscolas[[#This Row],[COD ETPA]],tbEtapas[],3,FALSE),"")</f>
        <v/>
      </c>
    </row>
    <row r="1532" spans="1:6" x14ac:dyDescent="0.25">
      <c r="A1532" s="24" t="str">
        <f>_xlfn.XLOOKUP(tbEscolas[[#This Row],[ESCOLA]],tbNucleo[ESCOLA],tbNucleo[COD ESCOLA],"")</f>
        <v/>
      </c>
      <c r="B1532" t="str" cm="1">
        <f t="array" ref="B1532">IFERROR(INDEX(tbNucleo[ESCOLA],ROUNDUP(ROW(B1531)/TotalEtapas,0)),"")</f>
        <v/>
      </c>
      <c r="E1532" t="str">
        <f>IFERROR(VLOOKUP(tbEscolas[[#This Row],[COD ETPA]],tbEtapas[],2,FALSE),"")</f>
        <v/>
      </c>
      <c r="F1532" t="str">
        <f>IFERROR(VLOOKUP(tbEscolas[[#This Row],[COD ETPA]],tbEtapas[],3,FALSE),"")</f>
        <v/>
      </c>
    </row>
    <row r="1533" spans="1:6" x14ac:dyDescent="0.25">
      <c r="A1533" s="24" t="str">
        <f>_xlfn.XLOOKUP(tbEscolas[[#This Row],[ESCOLA]],tbNucleo[ESCOLA],tbNucleo[COD ESCOLA],"")</f>
        <v/>
      </c>
      <c r="B1533" t="str" cm="1">
        <f t="array" ref="B1533">IFERROR(INDEX(tbNucleo[ESCOLA],ROUNDUP(ROW(B1532)/TotalEtapas,0)),"")</f>
        <v/>
      </c>
      <c r="E1533" t="str">
        <f>IFERROR(VLOOKUP(tbEscolas[[#This Row],[COD ETPA]],tbEtapas[],2,FALSE),"")</f>
        <v/>
      </c>
      <c r="F1533" t="str">
        <f>IFERROR(VLOOKUP(tbEscolas[[#This Row],[COD ETPA]],tbEtapas[],3,FALSE),"")</f>
        <v/>
      </c>
    </row>
    <row r="1534" spans="1:6" x14ac:dyDescent="0.25">
      <c r="A1534" s="24" t="str">
        <f>_xlfn.XLOOKUP(tbEscolas[[#This Row],[ESCOLA]],tbNucleo[ESCOLA],tbNucleo[COD ESCOLA],"")</f>
        <v/>
      </c>
      <c r="B1534" t="str" cm="1">
        <f t="array" ref="B1534">IFERROR(INDEX(tbNucleo[ESCOLA],ROUNDUP(ROW(B1533)/TotalEtapas,0)),"")</f>
        <v/>
      </c>
      <c r="E1534" t="str">
        <f>IFERROR(VLOOKUP(tbEscolas[[#This Row],[COD ETPA]],tbEtapas[],2,FALSE),"")</f>
        <v/>
      </c>
      <c r="F1534" t="str">
        <f>IFERROR(VLOOKUP(tbEscolas[[#This Row],[COD ETPA]],tbEtapas[],3,FALSE),"")</f>
        <v/>
      </c>
    </row>
    <row r="1535" spans="1:6" x14ac:dyDescent="0.25">
      <c r="A1535" s="24" t="str">
        <f>_xlfn.XLOOKUP(tbEscolas[[#This Row],[ESCOLA]],tbNucleo[ESCOLA],tbNucleo[COD ESCOLA],"")</f>
        <v/>
      </c>
      <c r="B1535" t="str" cm="1">
        <f t="array" ref="B1535">IFERROR(INDEX(tbNucleo[ESCOLA],ROUNDUP(ROW(B1534)/TotalEtapas,0)),"")</f>
        <v/>
      </c>
      <c r="E1535" t="str">
        <f>IFERROR(VLOOKUP(tbEscolas[[#This Row],[COD ETPA]],tbEtapas[],2,FALSE),"")</f>
        <v/>
      </c>
      <c r="F1535" t="str">
        <f>IFERROR(VLOOKUP(tbEscolas[[#This Row],[COD ETPA]],tbEtapas[],3,FALSE),"")</f>
        <v/>
      </c>
    </row>
    <row r="1536" spans="1:6" x14ac:dyDescent="0.25">
      <c r="A1536" s="24" t="str">
        <f>_xlfn.XLOOKUP(tbEscolas[[#This Row],[ESCOLA]],tbNucleo[ESCOLA],tbNucleo[COD ESCOLA],"")</f>
        <v/>
      </c>
      <c r="B1536" t="str" cm="1">
        <f t="array" ref="B1536">IFERROR(INDEX(tbNucleo[ESCOLA],ROUNDUP(ROW(B1535)/TotalEtapas,0)),"")</f>
        <v/>
      </c>
      <c r="E1536" t="str">
        <f>IFERROR(VLOOKUP(tbEscolas[[#This Row],[COD ETPA]],tbEtapas[],2,FALSE),"")</f>
        <v/>
      </c>
      <c r="F1536" t="str">
        <f>IFERROR(VLOOKUP(tbEscolas[[#This Row],[COD ETPA]],tbEtapas[],3,FALSE),"")</f>
        <v/>
      </c>
    </row>
    <row r="1537" spans="1:6" x14ac:dyDescent="0.25">
      <c r="A1537" s="24" t="str">
        <f>_xlfn.XLOOKUP(tbEscolas[[#This Row],[ESCOLA]],tbNucleo[ESCOLA],tbNucleo[COD ESCOLA],"")</f>
        <v/>
      </c>
      <c r="B1537" t="str" cm="1">
        <f t="array" ref="B1537">IFERROR(INDEX(tbNucleo[ESCOLA],ROUNDUP(ROW(B1536)/TotalEtapas,0)),"")</f>
        <v/>
      </c>
      <c r="E1537" t="str">
        <f>IFERROR(VLOOKUP(tbEscolas[[#This Row],[COD ETPA]],tbEtapas[],2,FALSE),"")</f>
        <v/>
      </c>
      <c r="F1537" t="str">
        <f>IFERROR(VLOOKUP(tbEscolas[[#This Row],[COD ETPA]],tbEtapas[],3,FALSE),"")</f>
        <v/>
      </c>
    </row>
    <row r="1538" spans="1:6" x14ac:dyDescent="0.25">
      <c r="A1538" s="24" t="str">
        <f>_xlfn.XLOOKUP(tbEscolas[[#This Row],[ESCOLA]],tbNucleo[ESCOLA],tbNucleo[COD ESCOLA],"")</f>
        <v/>
      </c>
      <c r="B1538" t="str" cm="1">
        <f t="array" ref="B1538">IFERROR(INDEX(tbNucleo[ESCOLA],ROUNDUP(ROW(B1537)/TotalEtapas,0)),"")</f>
        <v/>
      </c>
      <c r="E1538" t="str">
        <f>IFERROR(VLOOKUP(tbEscolas[[#This Row],[COD ETPA]],tbEtapas[],2,FALSE),"")</f>
        <v/>
      </c>
      <c r="F1538" t="str">
        <f>IFERROR(VLOOKUP(tbEscolas[[#This Row],[COD ETPA]],tbEtapas[],3,FALSE),"")</f>
        <v/>
      </c>
    </row>
    <row r="1539" spans="1:6" x14ac:dyDescent="0.25">
      <c r="A1539" s="24" t="str">
        <f>_xlfn.XLOOKUP(tbEscolas[[#This Row],[ESCOLA]],tbNucleo[ESCOLA],tbNucleo[COD ESCOLA],"")</f>
        <v/>
      </c>
      <c r="B1539" t="str" cm="1">
        <f t="array" ref="B1539">IFERROR(INDEX(tbNucleo[ESCOLA],ROUNDUP(ROW(B1538)/TotalEtapas,0)),"")</f>
        <v/>
      </c>
      <c r="E1539" t="str">
        <f>IFERROR(VLOOKUP(tbEscolas[[#This Row],[COD ETPA]],tbEtapas[],2,FALSE),"")</f>
        <v/>
      </c>
      <c r="F1539" t="str">
        <f>IFERROR(VLOOKUP(tbEscolas[[#This Row],[COD ETPA]],tbEtapas[],3,FALSE),"")</f>
        <v/>
      </c>
    </row>
    <row r="1540" spans="1:6" x14ac:dyDescent="0.25">
      <c r="A1540" s="24" t="str">
        <f>_xlfn.XLOOKUP(tbEscolas[[#This Row],[ESCOLA]],tbNucleo[ESCOLA],tbNucleo[COD ESCOLA],"")</f>
        <v/>
      </c>
      <c r="B1540" t="str" cm="1">
        <f t="array" ref="B1540">IFERROR(INDEX(tbNucleo[ESCOLA],ROUNDUP(ROW(B1539)/TotalEtapas,0)),"")</f>
        <v/>
      </c>
      <c r="E1540" t="str">
        <f>IFERROR(VLOOKUP(tbEscolas[[#This Row],[COD ETPA]],tbEtapas[],2,FALSE),"")</f>
        <v/>
      </c>
      <c r="F1540" t="str">
        <f>IFERROR(VLOOKUP(tbEscolas[[#This Row],[COD ETPA]],tbEtapas[],3,FALSE),"")</f>
        <v/>
      </c>
    </row>
    <row r="1541" spans="1:6" x14ac:dyDescent="0.25">
      <c r="A1541" s="24" t="str">
        <f>_xlfn.XLOOKUP(tbEscolas[[#This Row],[ESCOLA]],tbNucleo[ESCOLA],tbNucleo[COD ESCOLA],"")</f>
        <v/>
      </c>
      <c r="B1541" t="str" cm="1">
        <f t="array" ref="B1541">IFERROR(INDEX(tbNucleo[ESCOLA],ROUNDUP(ROW(B1540)/TotalEtapas,0)),"")</f>
        <v/>
      </c>
      <c r="E1541" t="str">
        <f>IFERROR(VLOOKUP(tbEscolas[[#This Row],[COD ETPA]],tbEtapas[],2,FALSE),"")</f>
        <v/>
      </c>
      <c r="F1541" t="str">
        <f>IFERROR(VLOOKUP(tbEscolas[[#This Row],[COD ETPA]],tbEtapas[],3,FALSE),"")</f>
        <v/>
      </c>
    </row>
    <row r="1542" spans="1:6" x14ac:dyDescent="0.25">
      <c r="A1542" s="24" t="str">
        <f>_xlfn.XLOOKUP(tbEscolas[[#This Row],[ESCOLA]],tbNucleo[ESCOLA],tbNucleo[COD ESCOLA],"")</f>
        <v/>
      </c>
      <c r="B1542" t="str" cm="1">
        <f t="array" ref="B1542">IFERROR(INDEX(tbNucleo[ESCOLA],ROUNDUP(ROW(B1541)/TotalEtapas,0)),"")</f>
        <v/>
      </c>
      <c r="E1542" t="str">
        <f>IFERROR(VLOOKUP(tbEscolas[[#This Row],[COD ETPA]],tbEtapas[],2,FALSE),"")</f>
        <v/>
      </c>
      <c r="F1542" t="str">
        <f>IFERROR(VLOOKUP(tbEscolas[[#This Row],[COD ETPA]],tbEtapas[],3,FALSE),"")</f>
        <v/>
      </c>
    </row>
    <row r="1543" spans="1:6" x14ac:dyDescent="0.25">
      <c r="A1543" s="24" t="str">
        <f>_xlfn.XLOOKUP(tbEscolas[[#This Row],[ESCOLA]],tbNucleo[ESCOLA],tbNucleo[COD ESCOLA],"")</f>
        <v/>
      </c>
      <c r="B1543" t="str" cm="1">
        <f t="array" ref="B1543">IFERROR(INDEX(tbNucleo[ESCOLA],ROUNDUP(ROW(B1542)/TotalEtapas,0)),"")</f>
        <v/>
      </c>
      <c r="E1543" t="str">
        <f>IFERROR(VLOOKUP(tbEscolas[[#This Row],[COD ETPA]],tbEtapas[],2,FALSE),"")</f>
        <v/>
      </c>
      <c r="F1543" t="str">
        <f>IFERROR(VLOOKUP(tbEscolas[[#This Row],[COD ETPA]],tbEtapas[],3,FALSE),"")</f>
        <v/>
      </c>
    </row>
    <row r="1544" spans="1:6" x14ac:dyDescent="0.25">
      <c r="A1544" s="24" t="str">
        <f>_xlfn.XLOOKUP(tbEscolas[[#This Row],[ESCOLA]],tbNucleo[ESCOLA],tbNucleo[COD ESCOLA],"")</f>
        <v/>
      </c>
      <c r="B1544" t="str" cm="1">
        <f t="array" ref="B1544">IFERROR(INDEX(tbNucleo[ESCOLA],ROUNDUP(ROW(B1543)/TotalEtapas,0)),"")</f>
        <v/>
      </c>
      <c r="E1544" t="str">
        <f>IFERROR(VLOOKUP(tbEscolas[[#This Row],[COD ETPA]],tbEtapas[],2,FALSE),"")</f>
        <v/>
      </c>
      <c r="F1544" t="str">
        <f>IFERROR(VLOOKUP(tbEscolas[[#This Row],[COD ETPA]],tbEtapas[],3,FALSE),"")</f>
        <v/>
      </c>
    </row>
    <row r="1545" spans="1:6" x14ac:dyDescent="0.25">
      <c r="A1545" s="24" t="str">
        <f>_xlfn.XLOOKUP(tbEscolas[[#This Row],[ESCOLA]],tbNucleo[ESCOLA],tbNucleo[COD ESCOLA],"")</f>
        <v/>
      </c>
      <c r="B1545" t="str" cm="1">
        <f t="array" ref="B1545">IFERROR(INDEX(tbNucleo[ESCOLA],ROUNDUP(ROW(B1544)/TotalEtapas,0)),"")</f>
        <v/>
      </c>
      <c r="E1545" t="str">
        <f>IFERROR(VLOOKUP(tbEscolas[[#This Row],[COD ETPA]],tbEtapas[],2,FALSE),"")</f>
        <v/>
      </c>
      <c r="F1545" t="str">
        <f>IFERROR(VLOOKUP(tbEscolas[[#This Row],[COD ETPA]],tbEtapas[],3,FALSE),"")</f>
        <v/>
      </c>
    </row>
    <row r="1546" spans="1:6" x14ac:dyDescent="0.25">
      <c r="A1546" s="24" t="str">
        <f>_xlfn.XLOOKUP(tbEscolas[[#This Row],[ESCOLA]],tbNucleo[ESCOLA],tbNucleo[COD ESCOLA],"")</f>
        <v/>
      </c>
      <c r="B1546" t="str" cm="1">
        <f t="array" ref="B1546">IFERROR(INDEX(tbNucleo[ESCOLA],ROUNDUP(ROW(B1545)/TotalEtapas,0)),"")</f>
        <v/>
      </c>
      <c r="E1546" t="str">
        <f>IFERROR(VLOOKUP(tbEscolas[[#This Row],[COD ETPA]],tbEtapas[],2,FALSE),"")</f>
        <v/>
      </c>
      <c r="F1546" t="str">
        <f>IFERROR(VLOOKUP(tbEscolas[[#This Row],[COD ETPA]],tbEtapas[],3,FALSE),"")</f>
        <v/>
      </c>
    </row>
    <row r="1547" spans="1:6" x14ac:dyDescent="0.25">
      <c r="A1547" s="24" t="str">
        <f>_xlfn.XLOOKUP(tbEscolas[[#This Row],[ESCOLA]],tbNucleo[ESCOLA],tbNucleo[COD ESCOLA],"")</f>
        <v/>
      </c>
      <c r="B1547" t="str" cm="1">
        <f t="array" ref="B1547">IFERROR(INDEX(tbNucleo[ESCOLA],ROUNDUP(ROW(B1546)/TotalEtapas,0)),"")</f>
        <v/>
      </c>
      <c r="E1547" t="str">
        <f>IFERROR(VLOOKUP(tbEscolas[[#This Row],[COD ETPA]],tbEtapas[],2,FALSE),"")</f>
        <v/>
      </c>
      <c r="F1547" t="str">
        <f>IFERROR(VLOOKUP(tbEscolas[[#This Row],[COD ETPA]],tbEtapas[],3,FALSE),"")</f>
        <v/>
      </c>
    </row>
    <row r="1548" spans="1:6" x14ac:dyDescent="0.25">
      <c r="A1548" s="24" t="str">
        <f>_xlfn.XLOOKUP(tbEscolas[[#This Row],[ESCOLA]],tbNucleo[ESCOLA],tbNucleo[COD ESCOLA],"")</f>
        <v/>
      </c>
      <c r="B1548" t="str" cm="1">
        <f t="array" ref="B1548">IFERROR(INDEX(tbNucleo[ESCOLA],ROUNDUP(ROW(B1547)/TotalEtapas,0)),"")</f>
        <v/>
      </c>
      <c r="E1548" t="str">
        <f>IFERROR(VLOOKUP(tbEscolas[[#This Row],[COD ETPA]],tbEtapas[],2,FALSE),"")</f>
        <v/>
      </c>
      <c r="F1548" t="str">
        <f>IFERROR(VLOOKUP(tbEscolas[[#This Row],[COD ETPA]],tbEtapas[],3,FALSE),"")</f>
        <v/>
      </c>
    </row>
    <row r="1549" spans="1:6" x14ac:dyDescent="0.25">
      <c r="A1549" s="24" t="str">
        <f>_xlfn.XLOOKUP(tbEscolas[[#This Row],[ESCOLA]],tbNucleo[ESCOLA],tbNucleo[COD ESCOLA],"")</f>
        <v/>
      </c>
      <c r="B1549" t="str" cm="1">
        <f t="array" ref="B1549">IFERROR(INDEX(tbNucleo[ESCOLA],ROUNDUP(ROW(B1548)/TotalEtapas,0)),"")</f>
        <v/>
      </c>
      <c r="E1549" t="str">
        <f>IFERROR(VLOOKUP(tbEscolas[[#This Row],[COD ETPA]],tbEtapas[],2,FALSE),"")</f>
        <v/>
      </c>
      <c r="F1549" t="str">
        <f>IFERROR(VLOOKUP(tbEscolas[[#This Row],[COD ETPA]],tbEtapas[],3,FALSE),"")</f>
        <v/>
      </c>
    </row>
    <row r="1550" spans="1:6" x14ac:dyDescent="0.25">
      <c r="A1550" s="24" t="str">
        <f>_xlfn.XLOOKUP(tbEscolas[[#This Row],[ESCOLA]],tbNucleo[ESCOLA],tbNucleo[COD ESCOLA],"")</f>
        <v/>
      </c>
      <c r="B1550" t="str" cm="1">
        <f t="array" ref="B1550">IFERROR(INDEX(tbNucleo[ESCOLA],ROUNDUP(ROW(B1549)/TotalEtapas,0)),"")</f>
        <v/>
      </c>
      <c r="E1550" t="str">
        <f>IFERROR(VLOOKUP(tbEscolas[[#This Row],[COD ETPA]],tbEtapas[],2,FALSE),"")</f>
        <v/>
      </c>
      <c r="F1550" t="str">
        <f>IFERROR(VLOOKUP(tbEscolas[[#This Row],[COD ETPA]],tbEtapas[],3,FALSE),"")</f>
        <v/>
      </c>
    </row>
    <row r="1551" spans="1:6" x14ac:dyDescent="0.25">
      <c r="A1551" s="24" t="str">
        <f>_xlfn.XLOOKUP(tbEscolas[[#This Row],[ESCOLA]],tbNucleo[ESCOLA],tbNucleo[COD ESCOLA],"")</f>
        <v/>
      </c>
      <c r="B1551" t="str" cm="1">
        <f t="array" ref="B1551">IFERROR(INDEX(tbNucleo[ESCOLA],ROUNDUP(ROW(B1550)/TotalEtapas,0)),"")</f>
        <v/>
      </c>
      <c r="E1551" t="str">
        <f>IFERROR(VLOOKUP(tbEscolas[[#This Row],[COD ETPA]],tbEtapas[],2,FALSE),"")</f>
        <v/>
      </c>
      <c r="F1551" t="str">
        <f>IFERROR(VLOOKUP(tbEscolas[[#This Row],[COD ETPA]],tbEtapas[],3,FALSE),"")</f>
        <v/>
      </c>
    </row>
    <row r="1552" spans="1:6" x14ac:dyDescent="0.25">
      <c r="A1552" s="24" t="str">
        <f>_xlfn.XLOOKUP(tbEscolas[[#This Row],[ESCOLA]],tbNucleo[ESCOLA],tbNucleo[COD ESCOLA],"")</f>
        <v/>
      </c>
      <c r="B1552" t="str" cm="1">
        <f t="array" ref="B1552">IFERROR(INDEX(tbNucleo[ESCOLA],ROUNDUP(ROW(B1551)/TotalEtapas,0)),"")</f>
        <v/>
      </c>
      <c r="E1552" t="str">
        <f>IFERROR(VLOOKUP(tbEscolas[[#This Row],[COD ETPA]],tbEtapas[],2,FALSE),"")</f>
        <v/>
      </c>
      <c r="F1552" t="str">
        <f>IFERROR(VLOOKUP(tbEscolas[[#This Row],[COD ETPA]],tbEtapas[],3,FALSE),"")</f>
        <v/>
      </c>
    </row>
    <row r="1553" spans="1:6" x14ac:dyDescent="0.25">
      <c r="A1553" s="24" t="str">
        <f>_xlfn.XLOOKUP(tbEscolas[[#This Row],[ESCOLA]],tbNucleo[ESCOLA],tbNucleo[COD ESCOLA],"")</f>
        <v/>
      </c>
      <c r="B1553" t="str" cm="1">
        <f t="array" ref="B1553">IFERROR(INDEX(tbNucleo[ESCOLA],ROUNDUP(ROW(B1552)/TotalEtapas,0)),"")</f>
        <v/>
      </c>
      <c r="E1553" t="str">
        <f>IFERROR(VLOOKUP(tbEscolas[[#This Row],[COD ETPA]],tbEtapas[],2,FALSE),"")</f>
        <v/>
      </c>
      <c r="F1553" t="str">
        <f>IFERROR(VLOOKUP(tbEscolas[[#This Row],[COD ETPA]],tbEtapas[],3,FALSE),"")</f>
        <v/>
      </c>
    </row>
    <row r="1554" spans="1:6" x14ac:dyDescent="0.25">
      <c r="A1554" s="24" t="str">
        <f>_xlfn.XLOOKUP(tbEscolas[[#This Row],[ESCOLA]],tbNucleo[ESCOLA],tbNucleo[COD ESCOLA],"")</f>
        <v/>
      </c>
      <c r="B1554" t="str" cm="1">
        <f t="array" ref="B1554">IFERROR(INDEX(tbNucleo[ESCOLA],ROUNDUP(ROW(B1553)/TotalEtapas,0)),"")</f>
        <v/>
      </c>
      <c r="E1554" t="str">
        <f>IFERROR(VLOOKUP(tbEscolas[[#This Row],[COD ETPA]],tbEtapas[],2,FALSE),"")</f>
        <v/>
      </c>
      <c r="F1554" t="str">
        <f>IFERROR(VLOOKUP(tbEscolas[[#This Row],[COD ETPA]],tbEtapas[],3,FALSE),"")</f>
        <v/>
      </c>
    </row>
    <row r="1555" spans="1:6" x14ac:dyDescent="0.25">
      <c r="A1555" s="24" t="str">
        <f>_xlfn.XLOOKUP(tbEscolas[[#This Row],[ESCOLA]],tbNucleo[ESCOLA],tbNucleo[COD ESCOLA],"")</f>
        <v/>
      </c>
      <c r="B1555" t="str" cm="1">
        <f t="array" ref="B1555">IFERROR(INDEX(tbNucleo[ESCOLA],ROUNDUP(ROW(B1554)/TotalEtapas,0)),"")</f>
        <v/>
      </c>
      <c r="E1555" t="str">
        <f>IFERROR(VLOOKUP(tbEscolas[[#This Row],[COD ETPA]],tbEtapas[],2,FALSE),"")</f>
        <v/>
      </c>
      <c r="F1555" t="str">
        <f>IFERROR(VLOOKUP(tbEscolas[[#This Row],[COD ETPA]],tbEtapas[],3,FALSE),"")</f>
        <v/>
      </c>
    </row>
    <row r="1556" spans="1:6" x14ac:dyDescent="0.25">
      <c r="A1556" s="24" t="str">
        <f>_xlfn.XLOOKUP(tbEscolas[[#This Row],[ESCOLA]],tbNucleo[ESCOLA],tbNucleo[COD ESCOLA],"")</f>
        <v/>
      </c>
      <c r="B1556" t="str" cm="1">
        <f t="array" ref="B1556">IFERROR(INDEX(tbNucleo[ESCOLA],ROUNDUP(ROW(B1555)/TotalEtapas,0)),"")</f>
        <v/>
      </c>
      <c r="E1556" t="str">
        <f>IFERROR(VLOOKUP(tbEscolas[[#This Row],[COD ETPA]],tbEtapas[],2,FALSE),"")</f>
        <v/>
      </c>
      <c r="F1556" t="str">
        <f>IFERROR(VLOOKUP(tbEscolas[[#This Row],[COD ETPA]],tbEtapas[],3,FALSE),"")</f>
        <v/>
      </c>
    </row>
    <row r="1557" spans="1:6" x14ac:dyDescent="0.25">
      <c r="A1557" s="24" t="str">
        <f>_xlfn.XLOOKUP(tbEscolas[[#This Row],[ESCOLA]],tbNucleo[ESCOLA],tbNucleo[COD ESCOLA],"")</f>
        <v/>
      </c>
      <c r="B1557" t="str" cm="1">
        <f t="array" ref="B1557">IFERROR(INDEX(tbNucleo[ESCOLA],ROUNDUP(ROW(B1556)/TotalEtapas,0)),"")</f>
        <v/>
      </c>
      <c r="E1557" t="str">
        <f>IFERROR(VLOOKUP(tbEscolas[[#This Row],[COD ETPA]],tbEtapas[],2,FALSE),"")</f>
        <v/>
      </c>
      <c r="F1557" t="str">
        <f>IFERROR(VLOOKUP(tbEscolas[[#This Row],[COD ETPA]],tbEtapas[],3,FALSE),"")</f>
        <v/>
      </c>
    </row>
    <row r="1558" spans="1:6" x14ac:dyDescent="0.25">
      <c r="A1558" s="24" t="str">
        <f>_xlfn.XLOOKUP(tbEscolas[[#This Row],[ESCOLA]],tbNucleo[ESCOLA],tbNucleo[COD ESCOLA],"")</f>
        <v/>
      </c>
      <c r="B1558" t="str" cm="1">
        <f t="array" ref="B1558">IFERROR(INDEX(tbNucleo[ESCOLA],ROUNDUP(ROW(B1557)/TotalEtapas,0)),"")</f>
        <v/>
      </c>
      <c r="E1558" t="str">
        <f>IFERROR(VLOOKUP(tbEscolas[[#This Row],[COD ETPA]],tbEtapas[],2,FALSE),"")</f>
        <v/>
      </c>
      <c r="F1558" t="str">
        <f>IFERROR(VLOOKUP(tbEscolas[[#This Row],[COD ETPA]],tbEtapas[],3,FALSE),"")</f>
        <v/>
      </c>
    </row>
    <row r="1559" spans="1:6" x14ac:dyDescent="0.25">
      <c r="A1559" s="24" t="str">
        <f>_xlfn.XLOOKUP(tbEscolas[[#This Row],[ESCOLA]],tbNucleo[ESCOLA],tbNucleo[COD ESCOLA],"")</f>
        <v/>
      </c>
      <c r="B1559" t="str" cm="1">
        <f t="array" ref="B1559">IFERROR(INDEX(tbNucleo[ESCOLA],ROUNDUP(ROW(B1558)/TotalEtapas,0)),"")</f>
        <v/>
      </c>
      <c r="E1559" t="str">
        <f>IFERROR(VLOOKUP(tbEscolas[[#This Row],[COD ETPA]],tbEtapas[],2,FALSE),"")</f>
        <v/>
      </c>
      <c r="F1559" t="str">
        <f>IFERROR(VLOOKUP(tbEscolas[[#This Row],[COD ETPA]],tbEtapas[],3,FALSE),"")</f>
        <v/>
      </c>
    </row>
    <row r="1560" spans="1:6" x14ac:dyDescent="0.25">
      <c r="A1560" s="24" t="str">
        <f>_xlfn.XLOOKUP(tbEscolas[[#This Row],[ESCOLA]],tbNucleo[ESCOLA],tbNucleo[COD ESCOLA],"")</f>
        <v/>
      </c>
      <c r="B1560" t="str" cm="1">
        <f t="array" ref="B1560">IFERROR(INDEX(tbNucleo[ESCOLA],ROUNDUP(ROW(B1559)/TotalEtapas,0)),"")</f>
        <v/>
      </c>
      <c r="E1560" t="str">
        <f>IFERROR(VLOOKUP(tbEscolas[[#This Row],[COD ETPA]],tbEtapas[],2,FALSE),"")</f>
        <v/>
      </c>
      <c r="F1560" t="str">
        <f>IFERROR(VLOOKUP(tbEscolas[[#This Row],[COD ETPA]],tbEtapas[],3,FALSE),"")</f>
        <v/>
      </c>
    </row>
    <row r="1561" spans="1:6" x14ac:dyDescent="0.25">
      <c r="A1561" s="24" t="str">
        <f>_xlfn.XLOOKUP(tbEscolas[[#This Row],[ESCOLA]],tbNucleo[ESCOLA],tbNucleo[COD ESCOLA],"")</f>
        <v/>
      </c>
      <c r="B1561" t="str" cm="1">
        <f t="array" ref="B1561">IFERROR(INDEX(tbNucleo[ESCOLA],ROUNDUP(ROW(B1560)/TotalEtapas,0)),"")</f>
        <v/>
      </c>
      <c r="E1561" t="str">
        <f>IFERROR(VLOOKUP(tbEscolas[[#This Row],[COD ETPA]],tbEtapas[],2,FALSE),"")</f>
        <v/>
      </c>
      <c r="F1561" t="str">
        <f>IFERROR(VLOOKUP(tbEscolas[[#This Row],[COD ETPA]],tbEtapas[],3,FALSE),"")</f>
        <v/>
      </c>
    </row>
    <row r="1562" spans="1:6" x14ac:dyDescent="0.25">
      <c r="A1562" s="24" t="str">
        <f>_xlfn.XLOOKUP(tbEscolas[[#This Row],[ESCOLA]],tbNucleo[ESCOLA],tbNucleo[COD ESCOLA],"")</f>
        <v/>
      </c>
      <c r="B1562" t="str" cm="1">
        <f t="array" ref="B1562">IFERROR(INDEX(tbNucleo[ESCOLA],ROUNDUP(ROW(B1561)/TotalEtapas,0)),"")</f>
        <v/>
      </c>
      <c r="E1562" t="str">
        <f>IFERROR(VLOOKUP(tbEscolas[[#This Row],[COD ETPA]],tbEtapas[],2,FALSE),"")</f>
        <v/>
      </c>
      <c r="F1562" t="str">
        <f>IFERROR(VLOOKUP(tbEscolas[[#This Row],[COD ETPA]],tbEtapas[],3,FALSE),"")</f>
        <v/>
      </c>
    </row>
    <row r="1563" spans="1:6" x14ac:dyDescent="0.25">
      <c r="A1563" s="24" t="str">
        <f>_xlfn.XLOOKUP(tbEscolas[[#This Row],[ESCOLA]],tbNucleo[ESCOLA],tbNucleo[COD ESCOLA],"")</f>
        <v/>
      </c>
      <c r="B1563" t="str" cm="1">
        <f t="array" ref="B1563">IFERROR(INDEX(tbNucleo[ESCOLA],ROUNDUP(ROW(B1562)/TotalEtapas,0)),"")</f>
        <v/>
      </c>
      <c r="E1563" t="str">
        <f>IFERROR(VLOOKUP(tbEscolas[[#This Row],[COD ETPA]],tbEtapas[],2,FALSE),"")</f>
        <v/>
      </c>
      <c r="F1563" t="str">
        <f>IFERROR(VLOOKUP(tbEscolas[[#This Row],[COD ETPA]],tbEtapas[],3,FALSE),"")</f>
        <v/>
      </c>
    </row>
    <row r="1564" spans="1:6" x14ac:dyDescent="0.25">
      <c r="A1564" s="24" t="str">
        <f>_xlfn.XLOOKUP(tbEscolas[[#This Row],[ESCOLA]],tbNucleo[ESCOLA],tbNucleo[COD ESCOLA],"")</f>
        <v/>
      </c>
      <c r="B1564" t="str" cm="1">
        <f t="array" ref="B1564">IFERROR(INDEX(tbNucleo[ESCOLA],ROUNDUP(ROW(B1563)/TotalEtapas,0)),"")</f>
        <v/>
      </c>
      <c r="E1564" t="str">
        <f>IFERROR(VLOOKUP(tbEscolas[[#This Row],[COD ETPA]],tbEtapas[],2,FALSE),"")</f>
        <v/>
      </c>
      <c r="F1564" t="str">
        <f>IFERROR(VLOOKUP(tbEscolas[[#This Row],[COD ETPA]],tbEtapas[],3,FALSE),"")</f>
        <v/>
      </c>
    </row>
    <row r="1565" spans="1:6" x14ac:dyDescent="0.25">
      <c r="A1565" s="24" t="str">
        <f>_xlfn.XLOOKUP(tbEscolas[[#This Row],[ESCOLA]],tbNucleo[ESCOLA],tbNucleo[COD ESCOLA],"")</f>
        <v/>
      </c>
      <c r="B1565" t="str" cm="1">
        <f t="array" ref="B1565">IFERROR(INDEX(tbNucleo[ESCOLA],ROUNDUP(ROW(B1564)/TotalEtapas,0)),"")</f>
        <v/>
      </c>
      <c r="E1565" t="str">
        <f>IFERROR(VLOOKUP(tbEscolas[[#This Row],[COD ETPA]],tbEtapas[],2,FALSE),"")</f>
        <v/>
      </c>
      <c r="F1565" t="str">
        <f>IFERROR(VLOOKUP(tbEscolas[[#This Row],[COD ETPA]],tbEtapas[],3,FALSE),"")</f>
        <v/>
      </c>
    </row>
    <row r="1566" spans="1:6" x14ac:dyDescent="0.25">
      <c r="A1566" s="24" t="str">
        <f>_xlfn.XLOOKUP(tbEscolas[[#This Row],[ESCOLA]],tbNucleo[ESCOLA],tbNucleo[COD ESCOLA],"")</f>
        <v/>
      </c>
      <c r="B1566" t="str" cm="1">
        <f t="array" ref="B1566">IFERROR(INDEX(tbNucleo[ESCOLA],ROUNDUP(ROW(B1565)/TotalEtapas,0)),"")</f>
        <v/>
      </c>
      <c r="E1566" t="str">
        <f>IFERROR(VLOOKUP(tbEscolas[[#This Row],[COD ETPA]],tbEtapas[],2,FALSE),"")</f>
        <v/>
      </c>
      <c r="F1566" t="str">
        <f>IFERROR(VLOOKUP(tbEscolas[[#This Row],[COD ETPA]],tbEtapas[],3,FALSE),"")</f>
        <v/>
      </c>
    </row>
    <row r="1567" spans="1:6" x14ac:dyDescent="0.25">
      <c r="A1567" s="24" t="str">
        <f>_xlfn.XLOOKUP(tbEscolas[[#This Row],[ESCOLA]],tbNucleo[ESCOLA],tbNucleo[COD ESCOLA],"")</f>
        <v/>
      </c>
      <c r="B1567" t="str" cm="1">
        <f t="array" ref="B1567">IFERROR(INDEX(tbNucleo[ESCOLA],ROUNDUP(ROW(B1566)/TotalEtapas,0)),"")</f>
        <v/>
      </c>
      <c r="E1567" t="str">
        <f>IFERROR(VLOOKUP(tbEscolas[[#This Row],[COD ETPA]],tbEtapas[],2,FALSE),"")</f>
        <v/>
      </c>
      <c r="F1567" t="str">
        <f>IFERROR(VLOOKUP(tbEscolas[[#This Row],[COD ETPA]],tbEtapas[],3,FALSE),"")</f>
        <v/>
      </c>
    </row>
    <row r="1568" spans="1:6" x14ac:dyDescent="0.25">
      <c r="A1568" s="24" t="str">
        <f>_xlfn.XLOOKUP(tbEscolas[[#This Row],[ESCOLA]],tbNucleo[ESCOLA],tbNucleo[COD ESCOLA],"")</f>
        <v/>
      </c>
      <c r="B1568" t="str" cm="1">
        <f t="array" ref="B1568">IFERROR(INDEX(tbNucleo[ESCOLA],ROUNDUP(ROW(B1567)/TotalEtapas,0)),"")</f>
        <v/>
      </c>
      <c r="E1568" t="str">
        <f>IFERROR(VLOOKUP(tbEscolas[[#This Row],[COD ETPA]],tbEtapas[],2,FALSE),"")</f>
        <v/>
      </c>
      <c r="F1568" t="str">
        <f>IFERROR(VLOOKUP(tbEscolas[[#This Row],[COD ETPA]],tbEtapas[],3,FALSE),"")</f>
        <v/>
      </c>
    </row>
    <row r="1569" spans="1:6" x14ac:dyDescent="0.25">
      <c r="A1569" s="24" t="str">
        <f>_xlfn.XLOOKUP(tbEscolas[[#This Row],[ESCOLA]],tbNucleo[ESCOLA],tbNucleo[COD ESCOLA],"")</f>
        <v/>
      </c>
      <c r="B1569" t="str" cm="1">
        <f t="array" ref="B1569">IFERROR(INDEX(tbNucleo[ESCOLA],ROUNDUP(ROW(B1568)/TotalEtapas,0)),"")</f>
        <v/>
      </c>
      <c r="E1569" t="str">
        <f>IFERROR(VLOOKUP(tbEscolas[[#This Row],[COD ETPA]],tbEtapas[],2,FALSE),"")</f>
        <v/>
      </c>
      <c r="F1569" t="str">
        <f>IFERROR(VLOOKUP(tbEscolas[[#This Row],[COD ETPA]],tbEtapas[],3,FALSE),"")</f>
        <v/>
      </c>
    </row>
    <row r="1570" spans="1:6" x14ac:dyDescent="0.25">
      <c r="A1570" s="24" t="str">
        <f>_xlfn.XLOOKUP(tbEscolas[[#This Row],[ESCOLA]],tbNucleo[ESCOLA],tbNucleo[COD ESCOLA],"")</f>
        <v/>
      </c>
      <c r="B1570" t="str" cm="1">
        <f t="array" ref="B1570">IFERROR(INDEX(tbNucleo[ESCOLA],ROUNDUP(ROW(B1569)/TotalEtapas,0)),"")</f>
        <v/>
      </c>
      <c r="E1570" t="str">
        <f>IFERROR(VLOOKUP(tbEscolas[[#This Row],[COD ETPA]],tbEtapas[],2,FALSE),"")</f>
        <v/>
      </c>
      <c r="F1570" t="str">
        <f>IFERROR(VLOOKUP(tbEscolas[[#This Row],[COD ETPA]],tbEtapas[],3,FALSE),"")</f>
        <v/>
      </c>
    </row>
    <row r="1571" spans="1:6" x14ac:dyDescent="0.25">
      <c r="A1571" s="24" t="str">
        <f>_xlfn.XLOOKUP(tbEscolas[[#This Row],[ESCOLA]],tbNucleo[ESCOLA],tbNucleo[COD ESCOLA],"")</f>
        <v/>
      </c>
      <c r="B1571" t="str" cm="1">
        <f t="array" ref="B1571">IFERROR(INDEX(tbNucleo[ESCOLA],ROUNDUP(ROW(B1570)/TotalEtapas,0)),"")</f>
        <v/>
      </c>
      <c r="E1571" t="str">
        <f>IFERROR(VLOOKUP(tbEscolas[[#This Row],[COD ETPA]],tbEtapas[],2,FALSE),"")</f>
        <v/>
      </c>
      <c r="F1571" t="str">
        <f>IFERROR(VLOOKUP(tbEscolas[[#This Row],[COD ETPA]],tbEtapas[],3,FALSE),"")</f>
        <v/>
      </c>
    </row>
    <row r="1572" spans="1:6" x14ac:dyDescent="0.25">
      <c r="A1572" s="24" t="str">
        <f>_xlfn.XLOOKUP(tbEscolas[[#This Row],[ESCOLA]],tbNucleo[ESCOLA],tbNucleo[COD ESCOLA],"")</f>
        <v/>
      </c>
      <c r="B1572" t="str" cm="1">
        <f t="array" ref="B1572">IFERROR(INDEX(tbNucleo[ESCOLA],ROUNDUP(ROW(B1571)/TotalEtapas,0)),"")</f>
        <v/>
      </c>
      <c r="E1572" t="str">
        <f>IFERROR(VLOOKUP(tbEscolas[[#This Row],[COD ETPA]],tbEtapas[],2,FALSE),"")</f>
        <v/>
      </c>
      <c r="F1572" t="str">
        <f>IFERROR(VLOOKUP(tbEscolas[[#This Row],[COD ETPA]],tbEtapas[],3,FALSE),"")</f>
        <v/>
      </c>
    </row>
    <row r="1573" spans="1:6" x14ac:dyDescent="0.25">
      <c r="A1573" s="24" t="str">
        <f>_xlfn.XLOOKUP(tbEscolas[[#This Row],[ESCOLA]],tbNucleo[ESCOLA],tbNucleo[COD ESCOLA],"")</f>
        <v/>
      </c>
      <c r="B1573" t="str" cm="1">
        <f t="array" ref="B1573">IFERROR(INDEX(tbNucleo[ESCOLA],ROUNDUP(ROW(B1572)/TotalEtapas,0)),"")</f>
        <v/>
      </c>
      <c r="E1573" t="str">
        <f>IFERROR(VLOOKUP(tbEscolas[[#This Row],[COD ETPA]],tbEtapas[],2,FALSE),"")</f>
        <v/>
      </c>
      <c r="F1573" t="str">
        <f>IFERROR(VLOOKUP(tbEscolas[[#This Row],[COD ETPA]],tbEtapas[],3,FALSE),"")</f>
        <v/>
      </c>
    </row>
    <row r="1574" spans="1:6" x14ac:dyDescent="0.25">
      <c r="A1574" s="24" t="str">
        <f>_xlfn.XLOOKUP(tbEscolas[[#This Row],[ESCOLA]],tbNucleo[ESCOLA],tbNucleo[COD ESCOLA],"")</f>
        <v/>
      </c>
      <c r="B1574" t="str" cm="1">
        <f t="array" ref="B1574">IFERROR(INDEX(tbNucleo[ESCOLA],ROUNDUP(ROW(B1573)/TotalEtapas,0)),"")</f>
        <v/>
      </c>
      <c r="E1574" t="str">
        <f>IFERROR(VLOOKUP(tbEscolas[[#This Row],[COD ETPA]],tbEtapas[],2,FALSE),"")</f>
        <v/>
      </c>
      <c r="F1574" t="str">
        <f>IFERROR(VLOOKUP(tbEscolas[[#This Row],[COD ETPA]],tbEtapas[],3,FALSE),"")</f>
        <v/>
      </c>
    </row>
    <row r="1575" spans="1:6" x14ac:dyDescent="0.25">
      <c r="A1575" s="24" t="str">
        <f>_xlfn.XLOOKUP(tbEscolas[[#This Row],[ESCOLA]],tbNucleo[ESCOLA],tbNucleo[COD ESCOLA],"")</f>
        <v/>
      </c>
      <c r="B1575" t="str" cm="1">
        <f t="array" ref="B1575">IFERROR(INDEX(tbNucleo[ESCOLA],ROUNDUP(ROW(B1574)/TotalEtapas,0)),"")</f>
        <v/>
      </c>
      <c r="E1575" t="str">
        <f>IFERROR(VLOOKUP(tbEscolas[[#This Row],[COD ETPA]],tbEtapas[],2,FALSE),"")</f>
        <v/>
      </c>
      <c r="F1575" t="str">
        <f>IFERROR(VLOOKUP(tbEscolas[[#This Row],[COD ETPA]],tbEtapas[],3,FALSE),"")</f>
        <v/>
      </c>
    </row>
    <row r="1576" spans="1:6" x14ac:dyDescent="0.25">
      <c r="A1576" s="24" t="str">
        <f>_xlfn.XLOOKUP(tbEscolas[[#This Row],[ESCOLA]],tbNucleo[ESCOLA],tbNucleo[COD ESCOLA],"")</f>
        <v/>
      </c>
      <c r="B1576" t="str" cm="1">
        <f t="array" ref="B1576">IFERROR(INDEX(tbNucleo[ESCOLA],ROUNDUP(ROW(B1575)/TotalEtapas,0)),"")</f>
        <v/>
      </c>
      <c r="E1576" t="str">
        <f>IFERROR(VLOOKUP(tbEscolas[[#This Row],[COD ETPA]],tbEtapas[],2,FALSE),"")</f>
        <v/>
      </c>
      <c r="F1576" t="str">
        <f>IFERROR(VLOOKUP(tbEscolas[[#This Row],[COD ETPA]],tbEtapas[],3,FALSE),"")</f>
        <v/>
      </c>
    </row>
    <row r="1577" spans="1:6" x14ac:dyDescent="0.25">
      <c r="A1577" s="24" t="str">
        <f>_xlfn.XLOOKUP(tbEscolas[[#This Row],[ESCOLA]],tbNucleo[ESCOLA],tbNucleo[COD ESCOLA],"")</f>
        <v/>
      </c>
      <c r="B1577" t="str" cm="1">
        <f t="array" ref="B1577">IFERROR(INDEX(tbNucleo[ESCOLA],ROUNDUP(ROW(B1576)/TotalEtapas,0)),"")</f>
        <v/>
      </c>
      <c r="E1577" t="str">
        <f>IFERROR(VLOOKUP(tbEscolas[[#This Row],[COD ETPA]],tbEtapas[],2,FALSE),"")</f>
        <v/>
      </c>
      <c r="F1577" t="str">
        <f>IFERROR(VLOOKUP(tbEscolas[[#This Row],[COD ETPA]],tbEtapas[],3,FALSE),"")</f>
        <v/>
      </c>
    </row>
    <row r="1578" spans="1:6" x14ac:dyDescent="0.25">
      <c r="A1578" s="24" t="str">
        <f>_xlfn.XLOOKUP(tbEscolas[[#This Row],[ESCOLA]],tbNucleo[ESCOLA],tbNucleo[COD ESCOLA],"")</f>
        <v/>
      </c>
      <c r="B1578" t="str" cm="1">
        <f t="array" ref="B1578">IFERROR(INDEX(tbNucleo[ESCOLA],ROUNDUP(ROW(B1577)/TotalEtapas,0)),"")</f>
        <v/>
      </c>
      <c r="E1578" t="str">
        <f>IFERROR(VLOOKUP(tbEscolas[[#This Row],[COD ETPA]],tbEtapas[],2,FALSE),"")</f>
        <v/>
      </c>
      <c r="F1578" t="str">
        <f>IFERROR(VLOOKUP(tbEscolas[[#This Row],[COD ETPA]],tbEtapas[],3,FALSE),"")</f>
        <v/>
      </c>
    </row>
    <row r="1579" spans="1:6" x14ac:dyDescent="0.25">
      <c r="A1579" s="24" t="str">
        <f>_xlfn.XLOOKUP(tbEscolas[[#This Row],[ESCOLA]],tbNucleo[ESCOLA],tbNucleo[COD ESCOLA],"")</f>
        <v/>
      </c>
      <c r="B1579" t="str" cm="1">
        <f t="array" ref="B1579">IFERROR(INDEX(tbNucleo[ESCOLA],ROUNDUP(ROW(B1578)/TotalEtapas,0)),"")</f>
        <v/>
      </c>
      <c r="E1579" t="str">
        <f>IFERROR(VLOOKUP(tbEscolas[[#This Row],[COD ETPA]],tbEtapas[],2,FALSE),"")</f>
        <v/>
      </c>
      <c r="F1579" t="str">
        <f>IFERROR(VLOOKUP(tbEscolas[[#This Row],[COD ETPA]],tbEtapas[],3,FALSE),"")</f>
        <v/>
      </c>
    </row>
    <row r="1580" spans="1:6" x14ac:dyDescent="0.25">
      <c r="A1580" s="24" t="str">
        <f>_xlfn.XLOOKUP(tbEscolas[[#This Row],[ESCOLA]],tbNucleo[ESCOLA],tbNucleo[COD ESCOLA],"")</f>
        <v/>
      </c>
      <c r="B1580" t="str" cm="1">
        <f t="array" ref="B1580">IFERROR(INDEX(tbNucleo[ESCOLA],ROUNDUP(ROW(B1579)/TotalEtapas,0)),"")</f>
        <v/>
      </c>
      <c r="E1580" t="str">
        <f>IFERROR(VLOOKUP(tbEscolas[[#This Row],[COD ETPA]],tbEtapas[],2,FALSE),"")</f>
        <v/>
      </c>
      <c r="F1580" t="str">
        <f>IFERROR(VLOOKUP(tbEscolas[[#This Row],[COD ETPA]],tbEtapas[],3,FALSE),"")</f>
        <v/>
      </c>
    </row>
    <row r="1581" spans="1:6" x14ac:dyDescent="0.25">
      <c r="A1581" s="24" t="str">
        <f>_xlfn.XLOOKUP(tbEscolas[[#This Row],[ESCOLA]],tbNucleo[ESCOLA],tbNucleo[COD ESCOLA],"")</f>
        <v/>
      </c>
      <c r="B1581" t="str" cm="1">
        <f t="array" ref="B1581">IFERROR(INDEX(tbNucleo[ESCOLA],ROUNDUP(ROW(B1580)/TotalEtapas,0)),"")</f>
        <v/>
      </c>
      <c r="E1581" t="str">
        <f>IFERROR(VLOOKUP(tbEscolas[[#This Row],[COD ETPA]],tbEtapas[],2,FALSE),"")</f>
        <v/>
      </c>
      <c r="F1581" t="str">
        <f>IFERROR(VLOOKUP(tbEscolas[[#This Row],[COD ETPA]],tbEtapas[],3,FALSE),"")</f>
        <v/>
      </c>
    </row>
    <row r="1582" spans="1:6" x14ac:dyDescent="0.25">
      <c r="A1582" s="24" t="str">
        <f>_xlfn.XLOOKUP(tbEscolas[[#This Row],[ESCOLA]],tbNucleo[ESCOLA],tbNucleo[COD ESCOLA],"")</f>
        <v/>
      </c>
      <c r="B1582" t="str" cm="1">
        <f t="array" ref="B1582">IFERROR(INDEX(tbNucleo[ESCOLA],ROUNDUP(ROW(B1581)/TotalEtapas,0)),"")</f>
        <v/>
      </c>
      <c r="E1582" t="str">
        <f>IFERROR(VLOOKUP(tbEscolas[[#This Row],[COD ETPA]],tbEtapas[],2,FALSE),"")</f>
        <v/>
      </c>
      <c r="F1582" t="str">
        <f>IFERROR(VLOOKUP(tbEscolas[[#This Row],[COD ETPA]],tbEtapas[],3,FALSE),"")</f>
        <v/>
      </c>
    </row>
    <row r="1583" spans="1:6" x14ac:dyDescent="0.25">
      <c r="A1583" s="24" t="str">
        <f>_xlfn.XLOOKUP(tbEscolas[[#This Row],[ESCOLA]],tbNucleo[ESCOLA],tbNucleo[COD ESCOLA],"")</f>
        <v/>
      </c>
      <c r="B1583" t="str" cm="1">
        <f t="array" ref="B1583">IFERROR(INDEX(tbNucleo[ESCOLA],ROUNDUP(ROW(B1582)/TotalEtapas,0)),"")</f>
        <v/>
      </c>
      <c r="E1583" t="str">
        <f>IFERROR(VLOOKUP(tbEscolas[[#This Row],[COD ETPA]],tbEtapas[],2,FALSE),"")</f>
        <v/>
      </c>
      <c r="F1583" t="str">
        <f>IFERROR(VLOOKUP(tbEscolas[[#This Row],[COD ETPA]],tbEtapas[],3,FALSE),"")</f>
        <v/>
      </c>
    </row>
    <row r="1584" spans="1:6" x14ac:dyDescent="0.25">
      <c r="A1584" s="24" t="str">
        <f>_xlfn.XLOOKUP(tbEscolas[[#This Row],[ESCOLA]],tbNucleo[ESCOLA],tbNucleo[COD ESCOLA],"")</f>
        <v/>
      </c>
      <c r="B1584" t="str" cm="1">
        <f t="array" ref="B1584">IFERROR(INDEX(tbNucleo[ESCOLA],ROUNDUP(ROW(B1583)/TotalEtapas,0)),"")</f>
        <v/>
      </c>
      <c r="E1584" t="str">
        <f>IFERROR(VLOOKUP(tbEscolas[[#This Row],[COD ETPA]],tbEtapas[],2,FALSE),"")</f>
        <v/>
      </c>
      <c r="F1584" t="str">
        <f>IFERROR(VLOOKUP(tbEscolas[[#This Row],[COD ETPA]],tbEtapas[],3,FALSE),"")</f>
        <v/>
      </c>
    </row>
    <row r="1585" spans="1:6" x14ac:dyDescent="0.25">
      <c r="A1585" s="24" t="str">
        <f>_xlfn.XLOOKUP(tbEscolas[[#This Row],[ESCOLA]],tbNucleo[ESCOLA],tbNucleo[COD ESCOLA],"")</f>
        <v/>
      </c>
      <c r="B1585" t="str" cm="1">
        <f t="array" ref="B1585">IFERROR(INDEX(tbNucleo[ESCOLA],ROUNDUP(ROW(B1584)/TotalEtapas,0)),"")</f>
        <v/>
      </c>
      <c r="E1585" t="str">
        <f>IFERROR(VLOOKUP(tbEscolas[[#This Row],[COD ETPA]],tbEtapas[],2,FALSE),"")</f>
        <v/>
      </c>
      <c r="F1585" t="str">
        <f>IFERROR(VLOOKUP(tbEscolas[[#This Row],[COD ETPA]],tbEtapas[],3,FALSE),"")</f>
        <v/>
      </c>
    </row>
    <row r="1586" spans="1:6" x14ac:dyDescent="0.25">
      <c r="A1586" s="24" t="str">
        <f>_xlfn.XLOOKUP(tbEscolas[[#This Row],[ESCOLA]],tbNucleo[ESCOLA],tbNucleo[COD ESCOLA],"")</f>
        <v/>
      </c>
      <c r="B1586" t="str" cm="1">
        <f t="array" ref="B1586">IFERROR(INDEX(tbNucleo[ESCOLA],ROUNDUP(ROW(B1585)/TotalEtapas,0)),"")</f>
        <v/>
      </c>
      <c r="E1586" t="str">
        <f>IFERROR(VLOOKUP(tbEscolas[[#This Row],[COD ETPA]],tbEtapas[],2,FALSE),"")</f>
        <v/>
      </c>
      <c r="F1586" t="str">
        <f>IFERROR(VLOOKUP(tbEscolas[[#This Row],[COD ETPA]],tbEtapas[],3,FALSE),"")</f>
        <v/>
      </c>
    </row>
    <row r="1587" spans="1:6" x14ac:dyDescent="0.25">
      <c r="A1587" s="24" t="str">
        <f>_xlfn.XLOOKUP(tbEscolas[[#This Row],[ESCOLA]],tbNucleo[ESCOLA],tbNucleo[COD ESCOLA],"")</f>
        <v/>
      </c>
      <c r="B1587" t="str" cm="1">
        <f t="array" ref="B1587">IFERROR(INDEX(tbNucleo[ESCOLA],ROUNDUP(ROW(B1586)/TotalEtapas,0)),"")</f>
        <v/>
      </c>
      <c r="E1587" t="str">
        <f>IFERROR(VLOOKUP(tbEscolas[[#This Row],[COD ETPA]],tbEtapas[],2,FALSE),"")</f>
        <v/>
      </c>
      <c r="F1587" t="str">
        <f>IFERROR(VLOOKUP(tbEscolas[[#This Row],[COD ETPA]],tbEtapas[],3,FALSE),"")</f>
        <v/>
      </c>
    </row>
    <row r="1588" spans="1:6" x14ac:dyDescent="0.25">
      <c r="A1588" s="24" t="str">
        <f>_xlfn.XLOOKUP(tbEscolas[[#This Row],[ESCOLA]],tbNucleo[ESCOLA],tbNucleo[COD ESCOLA],"")</f>
        <v/>
      </c>
      <c r="B1588" t="str" cm="1">
        <f t="array" ref="B1588">IFERROR(INDEX(tbNucleo[ESCOLA],ROUNDUP(ROW(B1587)/TotalEtapas,0)),"")</f>
        <v/>
      </c>
      <c r="E1588" t="str">
        <f>IFERROR(VLOOKUP(tbEscolas[[#This Row],[COD ETPA]],tbEtapas[],2,FALSE),"")</f>
        <v/>
      </c>
      <c r="F1588" t="str">
        <f>IFERROR(VLOOKUP(tbEscolas[[#This Row],[COD ETPA]],tbEtapas[],3,FALSE),"")</f>
        <v/>
      </c>
    </row>
    <row r="1589" spans="1:6" x14ac:dyDescent="0.25">
      <c r="A1589" s="24" t="str">
        <f>_xlfn.XLOOKUP(tbEscolas[[#This Row],[ESCOLA]],tbNucleo[ESCOLA],tbNucleo[COD ESCOLA],"")</f>
        <v/>
      </c>
      <c r="B1589" t="str" cm="1">
        <f t="array" ref="B1589">IFERROR(INDEX(tbNucleo[ESCOLA],ROUNDUP(ROW(B1588)/TotalEtapas,0)),"")</f>
        <v/>
      </c>
      <c r="E1589" t="str">
        <f>IFERROR(VLOOKUP(tbEscolas[[#This Row],[COD ETPA]],tbEtapas[],2,FALSE),"")</f>
        <v/>
      </c>
      <c r="F1589" t="str">
        <f>IFERROR(VLOOKUP(tbEscolas[[#This Row],[COD ETPA]],tbEtapas[],3,FALSE),"")</f>
        <v/>
      </c>
    </row>
    <row r="1590" spans="1:6" x14ac:dyDescent="0.25">
      <c r="A1590" s="24" t="str">
        <f>_xlfn.XLOOKUP(tbEscolas[[#This Row],[ESCOLA]],tbNucleo[ESCOLA],tbNucleo[COD ESCOLA],"")</f>
        <v/>
      </c>
      <c r="B1590" t="str" cm="1">
        <f t="array" ref="B1590">IFERROR(INDEX(tbNucleo[ESCOLA],ROUNDUP(ROW(B1589)/TotalEtapas,0)),"")</f>
        <v/>
      </c>
      <c r="E1590" t="str">
        <f>IFERROR(VLOOKUP(tbEscolas[[#This Row],[COD ETPA]],tbEtapas[],2,FALSE),"")</f>
        <v/>
      </c>
      <c r="F1590" t="str">
        <f>IFERROR(VLOOKUP(tbEscolas[[#This Row],[COD ETPA]],tbEtapas[],3,FALSE),"")</f>
        <v/>
      </c>
    </row>
    <row r="1591" spans="1:6" x14ac:dyDescent="0.25">
      <c r="A1591" s="24" t="str">
        <f>_xlfn.XLOOKUP(tbEscolas[[#This Row],[ESCOLA]],tbNucleo[ESCOLA],tbNucleo[COD ESCOLA],"")</f>
        <v/>
      </c>
      <c r="B1591" t="str" cm="1">
        <f t="array" ref="B1591">IFERROR(INDEX(tbNucleo[ESCOLA],ROUNDUP(ROW(B1590)/TotalEtapas,0)),"")</f>
        <v/>
      </c>
      <c r="E1591" t="str">
        <f>IFERROR(VLOOKUP(tbEscolas[[#This Row],[COD ETPA]],tbEtapas[],2,FALSE),"")</f>
        <v/>
      </c>
      <c r="F1591" t="str">
        <f>IFERROR(VLOOKUP(tbEscolas[[#This Row],[COD ETPA]],tbEtapas[],3,FALSE),"")</f>
        <v/>
      </c>
    </row>
    <row r="1592" spans="1:6" x14ac:dyDescent="0.25">
      <c r="A1592" s="24" t="str">
        <f>_xlfn.XLOOKUP(tbEscolas[[#This Row],[ESCOLA]],tbNucleo[ESCOLA],tbNucleo[COD ESCOLA],"")</f>
        <v/>
      </c>
      <c r="B1592" t="str" cm="1">
        <f t="array" ref="B1592">IFERROR(INDEX(tbNucleo[ESCOLA],ROUNDUP(ROW(B1591)/TotalEtapas,0)),"")</f>
        <v/>
      </c>
      <c r="E1592" t="str">
        <f>IFERROR(VLOOKUP(tbEscolas[[#This Row],[COD ETPA]],tbEtapas[],2,FALSE),"")</f>
        <v/>
      </c>
      <c r="F1592" t="str">
        <f>IFERROR(VLOOKUP(tbEscolas[[#This Row],[COD ETPA]],tbEtapas[],3,FALSE),"")</f>
        <v/>
      </c>
    </row>
    <row r="1593" spans="1:6" x14ac:dyDescent="0.25">
      <c r="A1593" s="24" t="str">
        <f>_xlfn.XLOOKUP(tbEscolas[[#This Row],[ESCOLA]],tbNucleo[ESCOLA],tbNucleo[COD ESCOLA],"")</f>
        <v/>
      </c>
      <c r="B1593" t="str" cm="1">
        <f t="array" ref="B1593">IFERROR(INDEX(tbNucleo[ESCOLA],ROUNDUP(ROW(B1592)/TotalEtapas,0)),"")</f>
        <v/>
      </c>
      <c r="E1593" t="str">
        <f>IFERROR(VLOOKUP(tbEscolas[[#This Row],[COD ETPA]],tbEtapas[],2,FALSE),"")</f>
        <v/>
      </c>
      <c r="F1593" t="str">
        <f>IFERROR(VLOOKUP(tbEscolas[[#This Row],[COD ETPA]],tbEtapas[],3,FALSE),"")</f>
        <v/>
      </c>
    </row>
    <row r="1594" spans="1:6" x14ac:dyDescent="0.25">
      <c r="A1594" s="24" t="str">
        <f>_xlfn.XLOOKUP(tbEscolas[[#This Row],[ESCOLA]],tbNucleo[ESCOLA],tbNucleo[COD ESCOLA],"")</f>
        <v/>
      </c>
      <c r="B1594" t="str" cm="1">
        <f t="array" ref="B1594">IFERROR(INDEX(tbNucleo[ESCOLA],ROUNDUP(ROW(B1593)/TotalEtapas,0)),"")</f>
        <v/>
      </c>
      <c r="E1594" t="str">
        <f>IFERROR(VLOOKUP(tbEscolas[[#This Row],[COD ETPA]],tbEtapas[],2,FALSE),"")</f>
        <v/>
      </c>
      <c r="F1594" t="str">
        <f>IFERROR(VLOOKUP(tbEscolas[[#This Row],[COD ETPA]],tbEtapas[],3,FALSE),"")</f>
        <v/>
      </c>
    </row>
    <row r="1595" spans="1:6" x14ac:dyDescent="0.25">
      <c r="A1595" s="24" t="str">
        <f>_xlfn.XLOOKUP(tbEscolas[[#This Row],[ESCOLA]],tbNucleo[ESCOLA],tbNucleo[COD ESCOLA],"")</f>
        <v/>
      </c>
      <c r="B1595" t="str" cm="1">
        <f t="array" ref="B1595">IFERROR(INDEX(tbNucleo[ESCOLA],ROUNDUP(ROW(B1594)/TotalEtapas,0)),"")</f>
        <v/>
      </c>
      <c r="E1595" t="str">
        <f>IFERROR(VLOOKUP(tbEscolas[[#This Row],[COD ETPA]],tbEtapas[],2,FALSE),"")</f>
        <v/>
      </c>
      <c r="F1595" t="str">
        <f>IFERROR(VLOOKUP(tbEscolas[[#This Row],[COD ETPA]],tbEtapas[],3,FALSE),"")</f>
        <v/>
      </c>
    </row>
    <row r="1596" spans="1:6" x14ac:dyDescent="0.25">
      <c r="A1596" s="24" t="str">
        <f>_xlfn.XLOOKUP(tbEscolas[[#This Row],[ESCOLA]],tbNucleo[ESCOLA],tbNucleo[COD ESCOLA],"")</f>
        <v/>
      </c>
      <c r="B1596" t="str" cm="1">
        <f t="array" ref="B1596">IFERROR(INDEX(tbNucleo[ESCOLA],ROUNDUP(ROW(B1595)/TotalEtapas,0)),"")</f>
        <v/>
      </c>
      <c r="E1596" t="str">
        <f>IFERROR(VLOOKUP(tbEscolas[[#This Row],[COD ETPA]],tbEtapas[],2,FALSE),"")</f>
        <v/>
      </c>
      <c r="F1596" t="str">
        <f>IFERROR(VLOOKUP(tbEscolas[[#This Row],[COD ETPA]],tbEtapas[],3,FALSE),"")</f>
        <v/>
      </c>
    </row>
    <row r="1597" spans="1:6" x14ac:dyDescent="0.25">
      <c r="A1597" s="24" t="str">
        <f>_xlfn.XLOOKUP(tbEscolas[[#This Row],[ESCOLA]],tbNucleo[ESCOLA],tbNucleo[COD ESCOLA],"")</f>
        <v/>
      </c>
      <c r="B1597" t="str" cm="1">
        <f t="array" ref="B1597">IFERROR(INDEX(tbNucleo[ESCOLA],ROUNDUP(ROW(B1596)/TotalEtapas,0)),"")</f>
        <v/>
      </c>
      <c r="E1597" t="str">
        <f>IFERROR(VLOOKUP(tbEscolas[[#This Row],[COD ETPA]],tbEtapas[],2,FALSE),"")</f>
        <v/>
      </c>
      <c r="F1597" t="str">
        <f>IFERROR(VLOOKUP(tbEscolas[[#This Row],[COD ETPA]],tbEtapas[],3,FALSE),"")</f>
        <v/>
      </c>
    </row>
    <row r="1598" spans="1:6" x14ac:dyDescent="0.25">
      <c r="A1598" s="24" t="str">
        <f>_xlfn.XLOOKUP(tbEscolas[[#This Row],[ESCOLA]],tbNucleo[ESCOLA],tbNucleo[COD ESCOLA],"")</f>
        <v/>
      </c>
      <c r="B1598" t="str" cm="1">
        <f t="array" ref="B1598">IFERROR(INDEX(tbNucleo[ESCOLA],ROUNDUP(ROW(B1597)/TotalEtapas,0)),"")</f>
        <v/>
      </c>
      <c r="E1598" t="str">
        <f>IFERROR(VLOOKUP(tbEscolas[[#This Row],[COD ETPA]],tbEtapas[],2,FALSE),"")</f>
        <v/>
      </c>
      <c r="F1598" t="str">
        <f>IFERROR(VLOOKUP(tbEscolas[[#This Row],[COD ETPA]],tbEtapas[],3,FALSE),"")</f>
        <v/>
      </c>
    </row>
    <row r="1599" spans="1:6" x14ac:dyDescent="0.25">
      <c r="A1599" s="24" t="str">
        <f>_xlfn.XLOOKUP(tbEscolas[[#This Row],[ESCOLA]],tbNucleo[ESCOLA],tbNucleo[COD ESCOLA],"")</f>
        <v/>
      </c>
      <c r="B1599" t="str" cm="1">
        <f t="array" ref="B1599">IFERROR(INDEX(tbNucleo[ESCOLA],ROUNDUP(ROW(B1598)/TotalEtapas,0)),"")</f>
        <v/>
      </c>
      <c r="E1599" t="str">
        <f>IFERROR(VLOOKUP(tbEscolas[[#This Row],[COD ETPA]],tbEtapas[],2,FALSE),"")</f>
        <v/>
      </c>
      <c r="F1599" t="str">
        <f>IFERROR(VLOOKUP(tbEscolas[[#This Row],[COD ETPA]],tbEtapas[],3,FALSE),"")</f>
        <v/>
      </c>
    </row>
    <row r="1600" spans="1:6" x14ac:dyDescent="0.25">
      <c r="A1600" s="24" t="str">
        <f>_xlfn.XLOOKUP(tbEscolas[[#This Row],[ESCOLA]],tbNucleo[ESCOLA],tbNucleo[COD ESCOLA],"")</f>
        <v/>
      </c>
      <c r="B1600" t="str" cm="1">
        <f t="array" ref="B1600">IFERROR(INDEX(tbNucleo[ESCOLA],ROUNDUP(ROW(B1599)/TotalEtapas,0)),"")</f>
        <v/>
      </c>
      <c r="E1600" t="str">
        <f>IFERROR(VLOOKUP(tbEscolas[[#This Row],[COD ETPA]],tbEtapas[],2,FALSE),"")</f>
        <v/>
      </c>
      <c r="F1600" t="str">
        <f>IFERROR(VLOOKUP(tbEscolas[[#This Row],[COD ETPA]],tbEtapas[],3,FALSE),"")</f>
        <v/>
      </c>
    </row>
    <row r="1601" spans="1:6" x14ac:dyDescent="0.25">
      <c r="A1601" s="24" t="str">
        <f>_xlfn.XLOOKUP(tbEscolas[[#This Row],[ESCOLA]],tbNucleo[ESCOLA],tbNucleo[COD ESCOLA],"")</f>
        <v/>
      </c>
      <c r="B1601" t="str" cm="1">
        <f t="array" ref="B1601">IFERROR(INDEX(tbNucleo[ESCOLA],ROUNDUP(ROW(B1600)/TotalEtapas,0)),"")</f>
        <v/>
      </c>
      <c r="E1601" t="str">
        <f>IFERROR(VLOOKUP(tbEscolas[[#This Row],[COD ETPA]],tbEtapas[],2,FALSE),"")</f>
        <v/>
      </c>
      <c r="F1601" t="str">
        <f>IFERROR(VLOOKUP(tbEscolas[[#This Row],[COD ETPA]],tbEtapas[],3,FALSE),"")</f>
        <v/>
      </c>
    </row>
    <row r="1602" spans="1:6" x14ac:dyDescent="0.25">
      <c r="A1602" s="24" t="str">
        <f>_xlfn.XLOOKUP(tbEscolas[[#This Row],[ESCOLA]],tbNucleo[ESCOLA],tbNucleo[COD ESCOLA],"")</f>
        <v/>
      </c>
      <c r="B1602" t="str" cm="1">
        <f t="array" ref="B1602">IFERROR(INDEX(tbNucleo[ESCOLA],ROUNDUP(ROW(B1601)/TotalEtapas,0)),"")</f>
        <v/>
      </c>
      <c r="E1602" t="str">
        <f>IFERROR(VLOOKUP(tbEscolas[[#This Row],[COD ETPA]],tbEtapas[],2,FALSE),"")</f>
        <v/>
      </c>
      <c r="F1602" t="str">
        <f>IFERROR(VLOOKUP(tbEscolas[[#This Row],[COD ETPA]],tbEtapas[],3,FALSE),"")</f>
        <v/>
      </c>
    </row>
    <row r="1603" spans="1:6" x14ac:dyDescent="0.25">
      <c r="A1603" s="24" t="str">
        <f>_xlfn.XLOOKUP(tbEscolas[[#This Row],[ESCOLA]],tbNucleo[ESCOLA],tbNucleo[COD ESCOLA],"")</f>
        <v/>
      </c>
      <c r="B1603" t="str" cm="1">
        <f t="array" ref="B1603">IFERROR(INDEX(tbNucleo[ESCOLA],ROUNDUP(ROW(B1602)/TotalEtapas,0)),"")</f>
        <v/>
      </c>
      <c r="E1603" t="str">
        <f>IFERROR(VLOOKUP(tbEscolas[[#This Row],[COD ETPA]],tbEtapas[],2,FALSE),"")</f>
        <v/>
      </c>
      <c r="F1603" t="str">
        <f>IFERROR(VLOOKUP(tbEscolas[[#This Row],[COD ETPA]],tbEtapas[],3,FALSE),"")</f>
        <v/>
      </c>
    </row>
    <row r="1604" spans="1:6" x14ac:dyDescent="0.25">
      <c r="A1604" s="24" t="str">
        <f>_xlfn.XLOOKUP(tbEscolas[[#This Row],[ESCOLA]],tbNucleo[ESCOLA],tbNucleo[COD ESCOLA],"")</f>
        <v/>
      </c>
      <c r="B1604" t="str" cm="1">
        <f t="array" ref="B1604">IFERROR(INDEX(tbNucleo[ESCOLA],ROUNDUP(ROW(B1603)/TotalEtapas,0)),"")</f>
        <v/>
      </c>
      <c r="E1604" t="str">
        <f>IFERROR(VLOOKUP(tbEscolas[[#This Row],[COD ETPA]],tbEtapas[],2,FALSE),"")</f>
        <v/>
      </c>
      <c r="F1604" t="str">
        <f>IFERROR(VLOOKUP(tbEscolas[[#This Row],[COD ETPA]],tbEtapas[],3,FALSE),"")</f>
        <v/>
      </c>
    </row>
    <row r="1605" spans="1:6" x14ac:dyDescent="0.25">
      <c r="A1605" s="24" t="str">
        <f>_xlfn.XLOOKUP(tbEscolas[[#This Row],[ESCOLA]],tbNucleo[ESCOLA],tbNucleo[COD ESCOLA],"")</f>
        <v/>
      </c>
      <c r="B1605" t="str" cm="1">
        <f t="array" ref="B1605">IFERROR(INDEX(tbNucleo[ESCOLA],ROUNDUP(ROW(B1604)/TotalEtapas,0)),"")</f>
        <v/>
      </c>
      <c r="E1605" t="str">
        <f>IFERROR(VLOOKUP(tbEscolas[[#This Row],[COD ETPA]],tbEtapas[],2,FALSE),"")</f>
        <v/>
      </c>
      <c r="F1605" t="str">
        <f>IFERROR(VLOOKUP(tbEscolas[[#This Row],[COD ETPA]],tbEtapas[],3,FALSE),"")</f>
        <v/>
      </c>
    </row>
    <row r="1606" spans="1:6" x14ac:dyDescent="0.25">
      <c r="A1606" s="24" t="str">
        <f>_xlfn.XLOOKUP(tbEscolas[[#This Row],[ESCOLA]],tbNucleo[ESCOLA],tbNucleo[COD ESCOLA],"")</f>
        <v/>
      </c>
      <c r="B1606" t="str" cm="1">
        <f t="array" ref="B1606">IFERROR(INDEX(tbNucleo[ESCOLA],ROUNDUP(ROW(B1605)/TotalEtapas,0)),"")</f>
        <v/>
      </c>
      <c r="E1606" t="str">
        <f>IFERROR(VLOOKUP(tbEscolas[[#This Row],[COD ETPA]],tbEtapas[],2,FALSE),"")</f>
        <v/>
      </c>
      <c r="F1606" t="str">
        <f>IFERROR(VLOOKUP(tbEscolas[[#This Row],[COD ETPA]],tbEtapas[],3,FALSE),"")</f>
        <v/>
      </c>
    </row>
    <row r="1607" spans="1:6" x14ac:dyDescent="0.25">
      <c r="A1607" s="24" t="str">
        <f>_xlfn.XLOOKUP(tbEscolas[[#This Row],[ESCOLA]],tbNucleo[ESCOLA],tbNucleo[COD ESCOLA],"")</f>
        <v/>
      </c>
      <c r="B1607" t="str" cm="1">
        <f t="array" ref="B1607">IFERROR(INDEX(tbNucleo[ESCOLA],ROUNDUP(ROW(B1606)/TotalEtapas,0)),"")</f>
        <v/>
      </c>
      <c r="E1607" t="str">
        <f>IFERROR(VLOOKUP(tbEscolas[[#This Row],[COD ETPA]],tbEtapas[],2,FALSE),"")</f>
        <v/>
      </c>
      <c r="F1607" t="str">
        <f>IFERROR(VLOOKUP(tbEscolas[[#This Row],[COD ETPA]],tbEtapas[],3,FALSE),"")</f>
        <v/>
      </c>
    </row>
    <row r="1608" spans="1:6" x14ac:dyDescent="0.25">
      <c r="A1608" s="24" t="str">
        <f>_xlfn.XLOOKUP(tbEscolas[[#This Row],[ESCOLA]],tbNucleo[ESCOLA],tbNucleo[COD ESCOLA],"")</f>
        <v/>
      </c>
      <c r="B1608" t="str" cm="1">
        <f t="array" ref="B1608">IFERROR(INDEX(tbNucleo[ESCOLA],ROUNDUP(ROW(B1607)/TotalEtapas,0)),"")</f>
        <v/>
      </c>
      <c r="E1608" t="str">
        <f>IFERROR(VLOOKUP(tbEscolas[[#This Row],[COD ETPA]],tbEtapas[],2,FALSE),"")</f>
        <v/>
      </c>
      <c r="F1608" t="str">
        <f>IFERROR(VLOOKUP(tbEscolas[[#This Row],[COD ETPA]],tbEtapas[],3,FALSE),"")</f>
        <v/>
      </c>
    </row>
    <row r="1609" spans="1:6" x14ac:dyDescent="0.25">
      <c r="A1609" s="24" t="str">
        <f>_xlfn.XLOOKUP(tbEscolas[[#This Row],[ESCOLA]],tbNucleo[ESCOLA],tbNucleo[COD ESCOLA],"")</f>
        <v/>
      </c>
      <c r="B1609" t="str" cm="1">
        <f t="array" ref="B1609">IFERROR(INDEX(tbNucleo[ESCOLA],ROUNDUP(ROW(B1608)/TotalEtapas,0)),"")</f>
        <v/>
      </c>
      <c r="E1609" t="str">
        <f>IFERROR(VLOOKUP(tbEscolas[[#This Row],[COD ETPA]],tbEtapas[],2,FALSE),"")</f>
        <v/>
      </c>
      <c r="F1609" t="str">
        <f>IFERROR(VLOOKUP(tbEscolas[[#This Row],[COD ETPA]],tbEtapas[],3,FALSE),"")</f>
        <v/>
      </c>
    </row>
    <row r="1610" spans="1:6" x14ac:dyDescent="0.25">
      <c r="A1610" s="24" t="str">
        <f>_xlfn.XLOOKUP(tbEscolas[[#This Row],[ESCOLA]],tbNucleo[ESCOLA],tbNucleo[COD ESCOLA],"")</f>
        <v/>
      </c>
      <c r="B1610" t="str" cm="1">
        <f t="array" ref="B1610">IFERROR(INDEX(tbNucleo[ESCOLA],ROUNDUP(ROW(B1609)/TotalEtapas,0)),"")</f>
        <v/>
      </c>
      <c r="E1610" t="str">
        <f>IFERROR(VLOOKUP(tbEscolas[[#This Row],[COD ETPA]],tbEtapas[],2,FALSE),"")</f>
        <v/>
      </c>
      <c r="F1610" t="str">
        <f>IFERROR(VLOOKUP(tbEscolas[[#This Row],[COD ETPA]],tbEtapas[],3,FALSE),"")</f>
        <v/>
      </c>
    </row>
    <row r="1611" spans="1:6" x14ac:dyDescent="0.25">
      <c r="A1611" s="24" t="str">
        <f>_xlfn.XLOOKUP(tbEscolas[[#This Row],[ESCOLA]],tbNucleo[ESCOLA],tbNucleo[COD ESCOLA],"")</f>
        <v/>
      </c>
      <c r="B1611" t="str" cm="1">
        <f t="array" ref="B1611">IFERROR(INDEX(tbNucleo[ESCOLA],ROUNDUP(ROW(B1610)/TotalEtapas,0)),"")</f>
        <v/>
      </c>
      <c r="E1611" t="str">
        <f>IFERROR(VLOOKUP(tbEscolas[[#This Row],[COD ETPA]],tbEtapas[],2,FALSE),"")</f>
        <v/>
      </c>
      <c r="F1611" t="str">
        <f>IFERROR(VLOOKUP(tbEscolas[[#This Row],[COD ETPA]],tbEtapas[],3,FALSE),"")</f>
        <v/>
      </c>
    </row>
    <row r="1612" spans="1:6" x14ac:dyDescent="0.25">
      <c r="A1612" s="24" t="str">
        <f>_xlfn.XLOOKUP(tbEscolas[[#This Row],[ESCOLA]],tbNucleo[ESCOLA],tbNucleo[COD ESCOLA],"")</f>
        <v/>
      </c>
      <c r="B1612" t="str" cm="1">
        <f t="array" ref="B1612">IFERROR(INDEX(tbNucleo[ESCOLA],ROUNDUP(ROW(B1611)/TotalEtapas,0)),"")</f>
        <v/>
      </c>
      <c r="E1612" t="str">
        <f>IFERROR(VLOOKUP(tbEscolas[[#This Row],[COD ETPA]],tbEtapas[],2,FALSE),"")</f>
        <v/>
      </c>
      <c r="F1612" t="str">
        <f>IFERROR(VLOOKUP(tbEscolas[[#This Row],[COD ETPA]],tbEtapas[],3,FALSE),"")</f>
        <v/>
      </c>
    </row>
    <row r="1613" spans="1:6" x14ac:dyDescent="0.25">
      <c r="A1613" s="24" t="str">
        <f>_xlfn.XLOOKUP(tbEscolas[[#This Row],[ESCOLA]],tbNucleo[ESCOLA],tbNucleo[COD ESCOLA],"")</f>
        <v/>
      </c>
      <c r="B1613" t="str" cm="1">
        <f t="array" ref="B1613">IFERROR(INDEX(tbNucleo[ESCOLA],ROUNDUP(ROW(B1612)/TotalEtapas,0)),"")</f>
        <v/>
      </c>
      <c r="E1613" t="str">
        <f>IFERROR(VLOOKUP(tbEscolas[[#This Row],[COD ETPA]],tbEtapas[],2,FALSE),"")</f>
        <v/>
      </c>
      <c r="F1613" t="str">
        <f>IFERROR(VLOOKUP(tbEscolas[[#This Row],[COD ETPA]],tbEtapas[],3,FALSE),"")</f>
        <v/>
      </c>
    </row>
    <row r="1614" spans="1:6" x14ac:dyDescent="0.25">
      <c r="A1614" s="24" t="str">
        <f>_xlfn.XLOOKUP(tbEscolas[[#This Row],[ESCOLA]],tbNucleo[ESCOLA],tbNucleo[COD ESCOLA],"")</f>
        <v/>
      </c>
      <c r="B1614" t="str" cm="1">
        <f t="array" ref="B1614">IFERROR(INDEX(tbNucleo[ESCOLA],ROUNDUP(ROW(B1613)/TotalEtapas,0)),"")</f>
        <v/>
      </c>
      <c r="E1614" t="str">
        <f>IFERROR(VLOOKUP(tbEscolas[[#This Row],[COD ETPA]],tbEtapas[],2,FALSE),"")</f>
        <v/>
      </c>
      <c r="F1614" t="str">
        <f>IFERROR(VLOOKUP(tbEscolas[[#This Row],[COD ETPA]],tbEtapas[],3,FALSE),"")</f>
        <v/>
      </c>
    </row>
    <row r="1615" spans="1:6" x14ac:dyDescent="0.25">
      <c r="A1615" s="24" t="str">
        <f>_xlfn.XLOOKUP(tbEscolas[[#This Row],[ESCOLA]],tbNucleo[ESCOLA],tbNucleo[COD ESCOLA],"")</f>
        <v/>
      </c>
      <c r="B1615" t="str" cm="1">
        <f t="array" ref="B1615">IFERROR(INDEX(tbNucleo[ESCOLA],ROUNDUP(ROW(B1614)/TotalEtapas,0)),"")</f>
        <v/>
      </c>
      <c r="E1615" t="str">
        <f>IFERROR(VLOOKUP(tbEscolas[[#This Row],[COD ETPA]],tbEtapas[],2,FALSE),"")</f>
        <v/>
      </c>
      <c r="F1615" t="str">
        <f>IFERROR(VLOOKUP(tbEscolas[[#This Row],[COD ETPA]],tbEtapas[],3,FALSE),"")</f>
        <v/>
      </c>
    </row>
    <row r="1616" spans="1:6" x14ac:dyDescent="0.25">
      <c r="A1616" s="24" t="str">
        <f>_xlfn.XLOOKUP(tbEscolas[[#This Row],[ESCOLA]],tbNucleo[ESCOLA],tbNucleo[COD ESCOLA],"")</f>
        <v/>
      </c>
      <c r="B1616" t="str" cm="1">
        <f t="array" ref="B1616">IFERROR(INDEX(tbNucleo[ESCOLA],ROUNDUP(ROW(B1615)/TotalEtapas,0)),"")</f>
        <v/>
      </c>
      <c r="E1616" t="str">
        <f>IFERROR(VLOOKUP(tbEscolas[[#This Row],[COD ETPA]],tbEtapas[],2,FALSE),"")</f>
        <v/>
      </c>
      <c r="F1616" t="str">
        <f>IFERROR(VLOOKUP(tbEscolas[[#This Row],[COD ETPA]],tbEtapas[],3,FALSE),"")</f>
        <v/>
      </c>
    </row>
    <row r="1617" spans="1:6" x14ac:dyDescent="0.25">
      <c r="A1617" s="24" t="str">
        <f>_xlfn.XLOOKUP(tbEscolas[[#This Row],[ESCOLA]],tbNucleo[ESCOLA],tbNucleo[COD ESCOLA],"")</f>
        <v/>
      </c>
      <c r="B1617" t="str" cm="1">
        <f t="array" ref="B1617">IFERROR(INDEX(tbNucleo[ESCOLA],ROUNDUP(ROW(B1616)/TotalEtapas,0)),"")</f>
        <v/>
      </c>
      <c r="E1617" t="str">
        <f>IFERROR(VLOOKUP(tbEscolas[[#This Row],[COD ETPA]],tbEtapas[],2,FALSE),"")</f>
        <v/>
      </c>
      <c r="F1617" t="str">
        <f>IFERROR(VLOOKUP(tbEscolas[[#This Row],[COD ETPA]],tbEtapas[],3,FALSE),"")</f>
        <v/>
      </c>
    </row>
    <row r="1618" spans="1:6" x14ac:dyDescent="0.25">
      <c r="A1618" s="24" t="str">
        <f>_xlfn.XLOOKUP(tbEscolas[[#This Row],[ESCOLA]],tbNucleo[ESCOLA],tbNucleo[COD ESCOLA],"")</f>
        <v/>
      </c>
      <c r="B1618" t="str" cm="1">
        <f t="array" ref="B1618">IFERROR(INDEX(tbNucleo[ESCOLA],ROUNDUP(ROW(B1617)/TotalEtapas,0)),"")</f>
        <v/>
      </c>
      <c r="E1618" t="str">
        <f>IFERROR(VLOOKUP(tbEscolas[[#This Row],[COD ETPA]],tbEtapas[],2,FALSE),"")</f>
        <v/>
      </c>
      <c r="F1618" t="str">
        <f>IFERROR(VLOOKUP(tbEscolas[[#This Row],[COD ETPA]],tbEtapas[],3,FALSE),"")</f>
        <v/>
      </c>
    </row>
    <row r="1619" spans="1:6" x14ac:dyDescent="0.25">
      <c r="A1619" s="24" t="str">
        <f>_xlfn.XLOOKUP(tbEscolas[[#This Row],[ESCOLA]],tbNucleo[ESCOLA],tbNucleo[COD ESCOLA],"")</f>
        <v/>
      </c>
      <c r="B1619" t="str" cm="1">
        <f t="array" ref="B1619">IFERROR(INDEX(tbNucleo[ESCOLA],ROUNDUP(ROW(B1618)/TotalEtapas,0)),"")</f>
        <v/>
      </c>
      <c r="E1619" t="str">
        <f>IFERROR(VLOOKUP(tbEscolas[[#This Row],[COD ETPA]],tbEtapas[],2,FALSE),"")</f>
        <v/>
      </c>
      <c r="F1619" t="str">
        <f>IFERROR(VLOOKUP(tbEscolas[[#This Row],[COD ETPA]],tbEtapas[],3,FALSE),"")</f>
        <v/>
      </c>
    </row>
    <row r="1620" spans="1:6" x14ac:dyDescent="0.25">
      <c r="A1620" s="24" t="str">
        <f>_xlfn.XLOOKUP(tbEscolas[[#This Row],[ESCOLA]],tbNucleo[ESCOLA],tbNucleo[COD ESCOLA],"")</f>
        <v/>
      </c>
      <c r="B1620" t="str" cm="1">
        <f t="array" ref="B1620">IFERROR(INDEX(tbNucleo[ESCOLA],ROUNDUP(ROW(B1619)/TotalEtapas,0)),"")</f>
        <v/>
      </c>
      <c r="E1620" t="str">
        <f>IFERROR(VLOOKUP(tbEscolas[[#This Row],[COD ETPA]],tbEtapas[],2,FALSE),"")</f>
        <v/>
      </c>
      <c r="F1620" t="str">
        <f>IFERROR(VLOOKUP(tbEscolas[[#This Row],[COD ETPA]],tbEtapas[],3,FALSE),"")</f>
        <v/>
      </c>
    </row>
    <row r="1621" spans="1:6" x14ac:dyDescent="0.25">
      <c r="A1621" s="24" t="str">
        <f>_xlfn.XLOOKUP(tbEscolas[[#This Row],[ESCOLA]],tbNucleo[ESCOLA],tbNucleo[COD ESCOLA],"")</f>
        <v/>
      </c>
      <c r="B1621" t="str" cm="1">
        <f t="array" ref="B1621">IFERROR(INDEX(tbNucleo[ESCOLA],ROUNDUP(ROW(B1620)/TotalEtapas,0)),"")</f>
        <v/>
      </c>
      <c r="E1621" t="str">
        <f>IFERROR(VLOOKUP(tbEscolas[[#This Row],[COD ETPA]],tbEtapas[],2,FALSE),"")</f>
        <v/>
      </c>
      <c r="F1621" t="str">
        <f>IFERROR(VLOOKUP(tbEscolas[[#This Row],[COD ETPA]],tbEtapas[],3,FALSE),"")</f>
        <v/>
      </c>
    </row>
    <row r="1622" spans="1:6" x14ac:dyDescent="0.25">
      <c r="A1622" s="24" t="str">
        <f>_xlfn.XLOOKUP(tbEscolas[[#This Row],[ESCOLA]],tbNucleo[ESCOLA],tbNucleo[COD ESCOLA],"")</f>
        <v/>
      </c>
      <c r="B1622" t="str" cm="1">
        <f t="array" ref="B1622">IFERROR(INDEX(tbNucleo[ESCOLA],ROUNDUP(ROW(B1621)/TotalEtapas,0)),"")</f>
        <v/>
      </c>
      <c r="E1622" t="str">
        <f>IFERROR(VLOOKUP(tbEscolas[[#This Row],[COD ETPA]],tbEtapas[],2,FALSE),"")</f>
        <v/>
      </c>
      <c r="F1622" t="str">
        <f>IFERROR(VLOOKUP(tbEscolas[[#This Row],[COD ETPA]],tbEtapas[],3,FALSE),"")</f>
        <v/>
      </c>
    </row>
    <row r="1623" spans="1:6" x14ac:dyDescent="0.25">
      <c r="A1623" s="24" t="str">
        <f>_xlfn.XLOOKUP(tbEscolas[[#This Row],[ESCOLA]],tbNucleo[ESCOLA],tbNucleo[COD ESCOLA],"")</f>
        <v/>
      </c>
      <c r="B1623" t="str" cm="1">
        <f t="array" ref="B1623">IFERROR(INDEX(tbNucleo[ESCOLA],ROUNDUP(ROW(B1622)/TotalEtapas,0)),"")</f>
        <v/>
      </c>
      <c r="E1623" t="str">
        <f>IFERROR(VLOOKUP(tbEscolas[[#This Row],[COD ETPA]],tbEtapas[],2,FALSE),"")</f>
        <v/>
      </c>
      <c r="F1623" t="str">
        <f>IFERROR(VLOOKUP(tbEscolas[[#This Row],[COD ETPA]],tbEtapas[],3,FALSE),"")</f>
        <v/>
      </c>
    </row>
    <row r="1624" spans="1:6" x14ac:dyDescent="0.25">
      <c r="A1624" s="24" t="str">
        <f>_xlfn.XLOOKUP(tbEscolas[[#This Row],[ESCOLA]],tbNucleo[ESCOLA],tbNucleo[COD ESCOLA],"")</f>
        <v/>
      </c>
      <c r="B1624" t="str" cm="1">
        <f t="array" ref="B1624">IFERROR(INDEX(tbNucleo[ESCOLA],ROUNDUP(ROW(B1623)/TotalEtapas,0)),"")</f>
        <v/>
      </c>
      <c r="E1624" t="str">
        <f>IFERROR(VLOOKUP(tbEscolas[[#This Row],[COD ETPA]],tbEtapas[],2,FALSE),"")</f>
        <v/>
      </c>
      <c r="F1624" t="str">
        <f>IFERROR(VLOOKUP(tbEscolas[[#This Row],[COD ETPA]],tbEtapas[],3,FALSE),"")</f>
        <v/>
      </c>
    </row>
    <row r="1625" spans="1:6" x14ac:dyDescent="0.25">
      <c r="A1625" s="24" t="str">
        <f>_xlfn.XLOOKUP(tbEscolas[[#This Row],[ESCOLA]],tbNucleo[ESCOLA],tbNucleo[COD ESCOLA],"")</f>
        <v/>
      </c>
      <c r="B1625" t="str" cm="1">
        <f t="array" ref="B1625">IFERROR(INDEX(tbNucleo[ESCOLA],ROUNDUP(ROW(B1624)/TotalEtapas,0)),"")</f>
        <v/>
      </c>
      <c r="E1625" t="str">
        <f>IFERROR(VLOOKUP(tbEscolas[[#This Row],[COD ETPA]],tbEtapas[],2,FALSE),"")</f>
        <v/>
      </c>
      <c r="F1625" t="str">
        <f>IFERROR(VLOOKUP(tbEscolas[[#This Row],[COD ETPA]],tbEtapas[],3,FALSE),"")</f>
        <v/>
      </c>
    </row>
    <row r="1626" spans="1:6" x14ac:dyDescent="0.25">
      <c r="A1626" s="24" t="str">
        <f>_xlfn.XLOOKUP(tbEscolas[[#This Row],[ESCOLA]],tbNucleo[ESCOLA],tbNucleo[COD ESCOLA],"")</f>
        <v/>
      </c>
      <c r="B1626" t="str" cm="1">
        <f t="array" ref="B1626">IFERROR(INDEX(tbNucleo[ESCOLA],ROUNDUP(ROW(B1625)/TotalEtapas,0)),"")</f>
        <v/>
      </c>
      <c r="E1626" t="str">
        <f>IFERROR(VLOOKUP(tbEscolas[[#This Row],[COD ETPA]],tbEtapas[],2,FALSE),"")</f>
        <v/>
      </c>
      <c r="F1626" t="str">
        <f>IFERROR(VLOOKUP(tbEscolas[[#This Row],[COD ETPA]],tbEtapas[],3,FALSE),"")</f>
        <v/>
      </c>
    </row>
    <row r="1627" spans="1:6" x14ac:dyDescent="0.25">
      <c r="A1627" s="24" t="str">
        <f>_xlfn.XLOOKUP(tbEscolas[[#This Row],[ESCOLA]],tbNucleo[ESCOLA],tbNucleo[COD ESCOLA],"")</f>
        <v/>
      </c>
      <c r="B1627" t="str" cm="1">
        <f t="array" ref="B1627">IFERROR(INDEX(tbNucleo[ESCOLA],ROUNDUP(ROW(B1626)/TotalEtapas,0)),"")</f>
        <v/>
      </c>
      <c r="E1627" t="str">
        <f>IFERROR(VLOOKUP(tbEscolas[[#This Row],[COD ETPA]],tbEtapas[],2,FALSE),"")</f>
        <v/>
      </c>
      <c r="F1627" t="str">
        <f>IFERROR(VLOOKUP(tbEscolas[[#This Row],[COD ETPA]],tbEtapas[],3,FALSE),"")</f>
        <v/>
      </c>
    </row>
    <row r="1628" spans="1:6" x14ac:dyDescent="0.25">
      <c r="A1628" s="24" t="str">
        <f>_xlfn.XLOOKUP(tbEscolas[[#This Row],[ESCOLA]],tbNucleo[ESCOLA],tbNucleo[COD ESCOLA],"")</f>
        <v/>
      </c>
      <c r="B1628" t="str" cm="1">
        <f t="array" ref="B1628">IFERROR(INDEX(tbNucleo[ESCOLA],ROUNDUP(ROW(B1627)/TotalEtapas,0)),"")</f>
        <v/>
      </c>
      <c r="E1628" t="str">
        <f>IFERROR(VLOOKUP(tbEscolas[[#This Row],[COD ETPA]],tbEtapas[],2,FALSE),"")</f>
        <v/>
      </c>
      <c r="F1628" t="str">
        <f>IFERROR(VLOOKUP(tbEscolas[[#This Row],[COD ETPA]],tbEtapas[],3,FALSE),"")</f>
        <v/>
      </c>
    </row>
    <row r="1629" spans="1:6" x14ac:dyDescent="0.25">
      <c r="A1629" s="24" t="str">
        <f>_xlfn.XLOOKUP(tbEscolas[[#This Row],[ESCOLA]],tbNucleo[ESCOLA],tbNucleo[COD ESCOLA],"")</f>
        <v/>
      </c>
      <c r="B1629" t="str" cm="1">
        <f t="array" ref="B1629">IFERROR(INDEX(tbNucleo[ESCOLA],ROUNDUP(ROW(B1628)/TotalEtapas,0)),"")</f>
        <v/>
      </c>
      <c r="E1629" t="str">
        <f>IFERROR(VLOOKUP(tbEscolas[[#This Row],[COD ETPA]],tbEtapas[],2,FALSE),"")</f>
        <v/>
      </c>
      <c r="F1629" t="str">
        <f>IFERROR(VLOOKUP(tbEscolas[[#This Row],[COD ETPA]],tbEtapas[],3,FALSE),"")</f>
        <v/>
      </c>
    </row>
    <row r="1630" spans="1:6" x14ac:dyDescent="0.25">
      <c r="A1630" s="24" t="str">
        <f>_xlfn.XLOOKUP(tbEscolas[[#This Row],[ESCOLA]],tbNucleo[ESCOLA],tbNucleo[COD ESCOLA],"")</f>
        <v/>
      </c>
      <c r="B1630" t="str" cm="1">
        <f t="array" ref="B1630">IFERROR(INDEX(tbNucleo[ESCOLA],ROUNDUP(ROW(B1629)/TotalEtapas,0)),"")</f>
        <v/>
      </c>
      <c r="E1630" t="str">
        <f>IFERROR(VLOOKUP(tbEscolas[[#This Row],[COD ETPA]],tbEtapas[],2,FALSE),"")</f>
        <v/>
      </c>
      <c r="F1630" t="str">
        <f>IFERROR(VLOOKUP(tbEscolas[[#This Row],[COD ETPA]],tbEtapas[],3,FALSE),"")</f>
        <v/>
      </c>
    </row>
    <row r="1631" spans="1:6" x14ac:dyDescent="0.25">
      <c r="A1631" s="24" t="str">
        <f>_xlfn.XLOOKUP(tbEscolas[[#This Row],[ESCOLA]],tbNucleo[ESCOLA],tbNucleo[COD ESCOLA],"")</f>
        <v/>
      </c>
      <c r="B1631" t="str" cm="1">
        <f t="array" ref="B1631">IFERROR(INDEX(tbNucleo[ESCOLA],ROUNDUP(ROW(B1630)/TotalEtapas,0)),"")</f>
        <v/>
      </c>
      <c r="E1631" t="str">
        <f>IFERROR(VLOOKUP(tbEscolas[[#This Row],[COD ETPA]],tbEtapas[],2,FALSE),"")</f>
        <v/>
      </c>
      <c r="F1631" t="str">
        <f>IFERROR(VLOOKUP(tbEscolas[[#This Row],[COD ETPA]],tbEtapas[],3,FALSE),"")</f>
        <v/>
      </c>
    </row>
    <row r="1632" spans="1:6" x14ac:dyDescent="0.25">
      <c r="A1632" s="24" t="str">
        <f>_xlfn.XLOOKUP(tbEscolas[[#This Row],[ESCOLA]],tbNucleo[ESCOLA],tbNucleo[COD ESCOLA],"")</f>
        <v/>
      </c>
      <c r="B1632" t="str" cm="1">
        <f t="array" ref="B1632">IFERROR(INDEX(tbNucleo[ESCOLA],ROUNDUP(ROW(B1631)/TotalEtapas,0)),"")</f>
        <v/>
      </c>
      <c r="E1632" t="str">
        <f>IFERROR(VLOOKUP(tbEscolas[[#This Row],[COD ETPA]],tbEtapas[],2,FALSE),"")</f>
        <v/>
      </c>
      <c r="F1632" t="str">
        <f>IFERROR(VLOOKUP(tbEscolas[[#This Row],[COD ETPA]],tbEtapas[],3,FALSE),"")</f>
        <v/>
      </c>
    </row>
    <row r="1633" spans="1:6" x14ac:dyDescent="0.25">
      <c r="A1633" s="24" t="str">
        <f>_xlfn.XLOOKUP(tbEscolas[[#This Row],[ESCOLA]],tbNucleo[ESCOLA],tbNucleo[COD ESCOLA],"")</f>
        <v/>
      </c>
      <c r="B1633" t="str" cm="1">
        <f t="array" ref="B1633">IFERROR(INDEX(tbNucleo[ESCOLA],ROUNDUP(ROW(B1632)/TotalEtapas,0)),"")</f>
        <v/>
      </c>
      <c r="E1633" t="str">
        <f>IFERROR(VLOOKUP(tbEscolas[[#This Row],[COD ETPA]],tbEtapas[],2,FALSE),"")</f>
        <v/>
      </c>
      <c r="F1633" t="str">
        <f>IFERROR(VLOOKUP(tbEscolas[[#This Row],[COD ETPA]],tbEtapas[],3,FALSE),"")</f>
        <v/>
      </c>
    </row>
    <row r="1634" spans="1:6" x14ac:dyDescent="0.25">
      <c r="A1634" s="24" t="str">
        <f>_xlfn.XLOOKUP(tbEscolas[[#This Row],[ESCOLA]],tbNucleo[ESCOLA],tbNucleo[COD ESCOLA],"")</f>
        <v/>
      </c>
      <c r="B1634" t="str" cm="1">
        <f t="array" ref="B1634">IFERROR(INDEX(tbNucleo[ESCOLA],ROUNDUP(ROW(B1633)/TotalEtapas,0)),"")</f>
        <v/>
      </c>
      <c r="E1634" t="str">
        <f>IFERROR(VLOOKUP(tbEscolas[[#This Row],[COD ETPA]],tbEtapas[],2,FALSE),"")</f>
        <v/>
      </c>
      <c r="F1634" t="str">
        <f>IFERROR(VLOOKUP(tbEscolas[[#This Row],[COD ETPA]],tbEtapas[],3,FALSE),"")</f>
        <v/>
      </c>
    </row>
    <row r="1635" spans="1:6" x14ac:dyDescent="0.25">
      <c r="A1635" s="24" t="str">
        <f>_xlfn.XLOOKUP(tbEscolas[[#This Row],[ESCOLA]],tbNucleo[ESCOLA],tbNucleo[COD ESCOLA],"")</f>
        <v/>
      </c>
      <c r="B1635" t="str" cm="1">
        <f t="array" ref="B1635">IFERROR(INDEX(tbNucleo[ESCOLA],ROUNDUP(ROW(B1634)/TotalEtapas,0)),"")</f>
        <v/>
      </c>
      <c r="E1635" t="str">
        <f>IFERROR(VLOOKUP(tbEscolas[[#This Row],[COD ETPA]],tbEtapas[],2,FALSE),"")</f>
        <v/>
      </c>
      <c r="F1635" t="str">
        <f>IFERROR(VLOOKUP(tbEscolas[[#This Row],[COD ETPA]],tbEtapas[],3,FALSE),"")</f>
        <v/>
      </c>
    </row>
    <row r="1636" spans="1:6" x14ac:dyDescent="0.25">
      <c r="A1636" s="24" t="str">
        <f>_xlfn.XLOOKUP(tbEscolas[[#This Row],[ESCOLA]],tbNucleo[ESCOLA],tbNucleo[COD ESCOLA],"")</f>
        <v/>
      </c>
      <c r="B1636" t="str" cm="1">
        <f t="array" ref="B1636">IFERROR(INDEX(tbNucleo[ESCOLA],ROUNDUP(ROW(B1635)/TotalEtapas,0)),"")</f>
        <v/>
      </c>
      <c r="E1636" t="str">
        <f>IFERROR(VLOOKUP(tbEscolas[[#This Row],[COD ETPA]],tbEtapas[],2,FALSE),"")</f>
        <v/>
      </c>
      <c r="F1636" t="str">
        <f>IFERROR(VLOOKUP(tbEscolas[[#This Row],[COD ETPA]],tbEtapas[],3,FALSE),"")</f>
        <v/>
      </c>
    </row>
    <row r="1637" spans="1:6" x14ac:dyDescent="0.25">
      <c r="A1637" s="24" t="str">
        <f>_xlfn.XLOOKUP(tbEscolas[[#This Row],[ESCOLA]],tbNucleo[ESCOLA],tbNucleo[COD ESCOLA],"")</f>
        <v/>
      </c>
      <c r="B1637" t="str" cm="1">
        <f t="array" ref="B1637">IFERROR(INDEX(tbNucleo[ESCOLA],ROUNDUP(ROW(B1636)/TotalEtapas,0)),"")</f>
        <v/>
      </c>
      <c r="E1637" t="str">
        <f>IFERROR(VLOOKUP(tbEscolas[[#This Row],[COD ETPA]],tbEtapas[],2,FALSE),"")</f>
        <v/>
      </c>
      <c r="F1637" t="str">
        <f>IFERROR(VLOOKUP(tbEscolas[[#This Row],[COD ETPA]],tbEtapas[],3,FALSE),"")</f>
        <v/>
      </c>
    </row>
    <row r="1638" spans="1:6" x14ac:dyDescent="0.25">
      <c r="A1638" s="24" t="str">
        <f>_xlfn.XLOOKUP(tbEscolas[[#This Row],[ESCOLA]],tbNucleo[ESCOLA],tbNucleo[COD ESCOLA],"")</f>
        <v/>
      </c>
      <c r="B1638" t="str" cm="1">
        <f t="array" ref="B1638">IFERROR(INDEX(tbNucleo[ESCOLA],ROUNDUP(ROW(B1637)/TotalEtapas,0)),"")</f>
        <v/>
      </c>
      <c r="E1638" t="str">
        <f>IFERROR(VLOOKUP(tbEscolas[[#This Row],[COD ETPA]],tbEtapas[],2,FALSE),"")</f>
        <v/>
      </c>
      <c r="F1638" t="str">
        <f>IFERROR(VLOOKUP(tbEscolas[[#This Row],[COD ETPA]],tbEtapas[],3,FALSE),"")</f>
        <v/>
      </c>
    </row>
    <row r="1639" spans="1:6" x14ac:dyDescent="0.25">
      <c r="A1639" s="24" t="str">
        <f>_xlfn.XLOOKUP(tbEscolas[[#This Row],[ESCOLA]],tbNucleo[ESCOLA],tbNucleo[COD ESCOLA],"")</f>
        <v/>
      </c>
      <c r="B1639" t="str" cm="1">
        <f t="array" ref="B1639">IFERROR(INDEX(tbNucleo[ESCOLA],ROUNDUP(ROW(B1638)/TotalEtapas,0)),"")</f>
        <v/>
      </c>
      <c r="E1639" t="str">
        <f>IFERROR(VLOOKUP(tbEscolas[[#This Row],[COD ETPA]],tbEtapas[],2,FALSE),"")</f>
        <v/>
      </c>
      <c r="F1639" t="str">
        <f>IFERROR(VLOOKUP(tbEscolas[[#This Row],[COD ETPA]],tbEtapas[],3,FALSE),"")</f>
        <v/>
      </c>
    </row>
    <row r="1640" spans="1:6" x14ac:dyDescent="0.25">
      <c r="A1640" s="24" t="str">
        <f>_xlfn.XLOOKUP(tbEscolas[[#This Row],[ESCOLA]],tbNucleo[ESCOLA],tbNucleo[COD ESCOLA],"")</f>
        <v/>
      </c>
      <c r="B1640" t="str" cm="1">
        <f t="array" ref="B1640">IFERROR(INDEX(tbNucleo[ESCOLA],ROUNDUP(ROW(B1639)/TotalEtapas,0)),"")</f>
        <v/>
      </c>
      <c r="E1640" t="str">
        <f>IFERROR(VLOOKUP(tbEscolas[[#This Row],[COD ETPA]],tbEtapas[],2,FALSE),"")</f>
        <v/>
      </c>
      <c r="F1640" t="str">
        <f>IFERROR(VLOOKUP(tbEscolas[[#This Row],[COD ETPA]],tbEtapas[],3,FALSE),"")</f>
        <v/>
      </c>
    </row>
    <row r="1641" spans="1:6" x14ac:dyDescent="0.25">
      <c r="A1641" s="24" t="str">
        <f>_xlfn.XLOOKUP(tbEscolas[[#This Row],[ESCOLA]],tbNucleo[ESCOLA],tbNucleo[COD ESCOLA],"")</f>
        <v/>
      </c>
      <c r="B1641" t="str" cm="1">
        <f t="array" ref="B1641">IFERROR(INDEX(tbNucleo[ESCOLA],ROUNDUP(ROW(B1640)/TotalEtapas,0)),"")</f>
        <v/>
      </c>
      <c r="E1641" t="str">
        <f>IFERROR(VLOOKUP(tbEscolas[[#This Row],[COD ETPA]],tbEtapas[],2,FALSE),"")</f>
        <v/>
      </c>
      <c r="F1641" t="str">
        <f>IFERROR(VLOOKUP(tbEscolas[[#This Row],[COD ETPA]],tbEtapas[],3,FALSE),"")</f>
        <v/>
      </c>
    </row>
    <row r="1642" spans="1:6" x14ac:dyDescent="0.25">
      <c r="A1642" s="24" t="str">
        <f>_xlfn.XLOOKUP(tbEscolas[[#This Row],[ESCOLA]],tbNucleo[ESCOLA],tbNucleo[COD ESCOLA],"")</f>
        <v/>
      </c>
      <c r="B1642" t="str" cm="1">
        <f t="array" ref="B1642">IFERROR(INDEX(tbNucleo[ESCOLA],ROUNDUP(ROW(B1641)/TotalEtapas,0)),"")</f>
        <v/>
      </c>
      <c r="E1642" t="str">
        <f>IFERROR(VLOOKUP(tbEscolas[[#This Row],[COD ETPA]],tbEtapas[],2,FALSE),"")</f>
        <v/>
      </c>
      <c r="F1642" t="str">
        <f>IFERROR(VLOOKUP(tbEscolas[[#This Row],[COD ETPA]],tbEtapas[],3,FALSE),"")</f>
        <v/>
      </c>
    </row>
    <row r="1643" spans="1:6" x14ac:dyDescent="0.25">
      <c r="A1643" s="24" t="str">
        <f>_xlfn.XLOOKUP(tbEscolas[[#This Row],[ESCOLA]],tbNucleo[ESCOLA],tbNucleo[COD ESCOLA],"")</f>
        <v/>
      </c>
      <c r="B1643" t="str" cm="1">
        <f t="array" ref="B1643">IFERROR(INDEX(tbNucleo[ESCOLA],ROUNDUP(ROW(B1642)/TotalEtapas,0)),"")</f>
        <v/>
      </c>
      <c r="E1643" t="str">
        <f>IFERROR(VLOOKUP(tbEscolas[[#This Row],[COD ETPA]],tbEtapas[],2,FALSE),"")</f>
        <v/>
      </c>
      <c r="F1643" t="str">
        <f>IFERROR(VLOOKUP(tbEscolas[[#This Row],[COD ETPA]],tbEtapas[],3,FALSE),"")</f>
        <v/>
      </c>
    </row>
    <row r="1644" spans="1:6" x14ac:dyDescent="0.25">
      <c r="A1644" s="24" t="str">
        <f>_xlfn.XLOOKUP(tbEscolas[[#This Row],[ESCOLA]],tbNucleo[ESCOLA],tbNucleo[COD ESCOLA],"")</f>
        <v/>
      </c>
      <c r="B1644" t="str" cm="1">
        <f t="array" ref="B1644">IFERROR(INDEX(tbNucleo[ESCOLA],ROUNDUP(ROW(B1643)/TotalEtapas,0)),"")</f>
        <v/>
      </c>
      <c r="E1644" t="str">
        <f>IFERROR(VLOOKUP(tbEscolas[[#This Row],[COD ETPA]],tbEtapas[],2,FALSE),"")</f>
        <v/>
      </c>
      <c r="F1644" t="str">
        <f>IFERROR(VLOOKUP(tbEscolas[[#This Row],[COD ETPA]],tbEtapas[],3,FALSE),"")</f>
        <v/>
      </c>
    </row>
    <row r="1645" spans="1:6" x14ac:dyDescent="0.25">
      <c r="A1645" s="24" t="str">
        <f>_xlfn.XLOOKUP(tbEscolas[[#This Row],[ESCOLA]],tbNucleo[ESCOLA],tbNucleo[COD ESCOLA],"")</f>
        <v/>
      </c>
      <c r="B1645" t="str" cm="1">
        <f t="array" ref="B1645">IFERROR(INDEX(tbNucleo[ESCOLA],ROUNDUP(ROW(B1644)/TotalEtapas,0)),"")</f>
        <v/>
      </c>
      <c r="E1645" t="str">
        <f>IFERROR(VLOOKUP(tbEscolas[[#This Row],[COD ETPA]],tbEtapas[],2,FALSE),"")</f>
        <v/>
      </c>
      <c r="F1645" t="str">
        <f>IFERROR(VLOOKUP(tbEscolas[[#This Row],[COD ETPA]],tbEtapas[],3,FALSE),"")</f>
        <v/>
      </c>
    </row>
    <row r="1646" spans="1:6" x14ac:dyDescent="0.25">
      <c r="A1646" s="24" t="str">
        <f>_xlfn.XLOOKUP(tbEscolas[[#This Row],[ESCOLA]],tbNucleo[ESCOLA],tbNucleo[COD ESCOLA],"")</f>
        <v/>
      </c>
      <c r="B1646" t="str" cm="1">
        <f t="array" ref="B1646">IFERROR(INDEX(tbNucleo[ESCOLA],ROUNDUP(ROW(B1645)/TotalEtapas,0)),"")</f>
        <v/>
      </c>
      <c r="E1646" t="str">
        <f>IFERROR(VLOOKUP(tbEscolas[[#This Row],[COD ETPA]],tbEtapas[],2,FALSE),"")</f>
        <v/>
      </c>
      <c r="F1646" t="str">
        <f>IFERROR(VLOOKUP(tbEscolas[[#This Row],[COD ETPA]],tbEtapas[],3,FALSE),"")</f>
        <v/>
      </c>
    </row>
    <row r="1647" spans="1:6" x14ac:dyDescent="0.25">
      <c r="A1647" s="24" t="str">
        <f>_xlfn.XLOOKUP(tbEscolas[[#This Row],[ESCOLA]],tbNucleo[ESCOLA],tbNucleo[COD ESCOLA],"")</f>
        <v/>
      </c>
      <c r="B1647" t="str" cm="1">
        <f t="array" ref="B1647">IFERROR(INDEX(tbNucleo[ESCOLA],ROUNDUP(ROW(B1646)/TotalEtapas,0)),"")</f>
        <v/>
      </c>
      <c r="E1647" t="str">
        <f>IFERROR(VLOOKUP(tbEscolas[[#This Row],[COD ETPA]],tbEtapas[],2,FALSE),"")</f>
        <v/>
      </c>
      <c r="F1647" t="str">
        <f>IFERROR(VLOOKUP(tbEscolas[[#This Row],[COD ETPA]],tbEtapas[],3,FALSE),"")</f>
        <v/>
      </c>
    </row>
    <row r="1648" spans="1:6" x14ac:dyDescent="0.25">
      <c r="A1648" s="24" t="str">
        <f>_xlfn.XLOOKUP(tbEscolas[[#This Row],[ESCOLA]],tbNucleo[ESCOLA],tbNucleo[COD ESCOLA],"")</f>
        <v/>
      </c>
      <c r="B1648" t="str" cm="1">
        <f t="array" ref="B1648">IFERROR(INDEX(tbNucleo[ESCOLA],ROUNDUP(ROW(B1647)/TotalEtapas,0)),"")</f>
        <v/>
      </c>
      <c r="E1648" t="str">
        <f>IFERROR(VLOOKUP(tbEscolas[[#This Row],[COD ETPA]],tbEtapas[],2,FALSE),"")</f>
        <v/>
      </c>
      <c r="F1648" t="str">
        <f>IFERROR(VLOOKUP(tbEscolas[[#This Row],[COD ETPA]],tbEtapas[],3,FALSE),"")</f>
        <v/>
      </c>
    </row>
    <row r="1649" spans="1:6" x14ac:dyDescent="0.25">
      <c r="A1649" s="24" t="str">
        <f>_xlfn.XLOOKUP(tbEscolas[[#This Row],[ESCOLA]],tbNucleo[ESCOLA],tbNucleo[COD ESCOLA],"")</f>
        <v/>
      </c>
      <c r="B1649" t="str" cm="1">
        <f t="array" ref="B1649">IFERROR(INDEX(tbNucleo[ESCOLA],ROUNDUP(ROW(B1648)/TotalEtapas,0)),"")</f>
        <v/>
      </c>
      <c r="E1649" t="str">
        <f>IFERROR(VLOOKUP(tbEscolas[[#This Row],[COD ETPA]],tbEtapas[],2,FALSE),"")</f>
        <v/>
      </c>
      <c r="F1649" t="str">
        <f>IFERROR(VLOOKUP(tbEscolas[[#This Row],[COD ETPA]],tbEtapas[],3,FALSE),"")</f>
        <v/>
      </c>
    </row>
    <row r="1650" spans="1:6" x14ac:dyDescent="0.25">
      <c r="A1650" s="24" t="str">
        <f>_xlfn.XLOOKUP(tbEscolas[[#This Row],[ESCOLA]],tbNucleo[ESCOLA],tbNucleo[COD ESCOLA],"")</f>
        <v/>
      </c>
      <c r="B1650" t="str" cm="1">
        <f t="array" ref="B1650">IFERROR(INDEX(tbNucleo[ESCOLA],ROUNDUP(ROW(B1649)/TotalEtapas,0)),"")</f>
        <v/>
      </c>
      <c r="E1650" t="str">
        <f>IFERROR(VLOOKUP(tbEscolas[[#This Row],[COD ETPA]],tbEtapas[],2,FALSE),"")</f>
        <v/>
      </c>
      <c r="F1650" t="str">
        <f>IFERROR(VLOOKUP(tbEscolas[[#This Row],[COD ETPA]],tbEtapas[],3,FALSE),"")</f>
        <v/>
      </c>
    </row>
    <row r="1651" spans="1:6" x14ac:dyDescent="0.25">
      <c r="A1651" s="24" t="str">
        <f>_xlfn.XLOOKUP(tbEscolas[[#This Row],[ESCOLA]],tbNucleo[ESCOLA],tbNucleo[COD ESCOLA],"")</f>
        <v/>
      </c>
      <c r="B1651" t="str" cm="1">
        <f t="array" ref="B1651">IFERROR(INDEX(tbNucleo[ESCOLA],ROUNDUP(ROW(B1650)/TotalEtapas,0)),"")</f>
        <v/>
      </c>
      <c r="E1651" t="str">
        <f>IFERROR(VLOOKUP(tbEscolas[[#This Row],[COD ETPA]],tbEtapas[],2,FALSE),"")</f>
        <v/>
      </c>
      <c r="F1651" t="str">
        <f>IFERROR(VLOOKUP(tbEscolas[[#This Row],[COD ETPA]],tbEtapas[],3,FALSE),"")</f>
        <v/>
      </c>
    </row>
    <row r="1652" spans="1:6" x14ac:dyDescent="0.25">
      <c r="A1652" s="24" t="str">
        <f>_xlfn.XLOOKUP(tbEscolas[[#This Row],[ESCOLA]],tbNucleo[ESCOLA],tbNucleo[COD ESCOLA],"")</f>
        <v/>
      </c>
      <c r="B1652" t="str" cm="1">
        <f t="array" ref="B1652">IFERROR(INDEX(tbNucleo[ESCOLA],ROUNDUP(ROW(B1651)/TotalEtapas,0)),"")</f>
        <v/>
      </c>
      <c r="E1652" t="str">
        <f>IFERROR(VLOOKUP(tbEscolas[[#This Row],[COD ETPA]],tbEtapas[],2,FALSE),"")</f>
        <v/>
      </c>
      <c r="F1652" t="str">
        <f>IFERROR(VLOOKUP(tbEscolas[[#This Row],[COD ETPA]],tbEtapas[],3,FALSE),"")</f>
        <v/>
      </c>
    </row>
    <row r="1653" spans="1:6" x14ac:dyDescent="0.25">
      <c r="A1653" s="24" t="str">
        <f>_xlfn.XLOOKUP(tbEscolas[[#This Row],[ESCOLA]],tbNucleo[ESCOLA],tbNucleo[COD ESCOLA],"")</f>
        <v/>
      </c>
      <c r="B1653" t="str" cm="1">
        <f t="array" ref="B1653">IFERROR(INDEX(tbNucleo[ESCOLA],ROUNDUP(ROW(B1652)/TotalEtapas,0)),"")</f>
        <v/>
      </c>
      <c r="E1653" t="str">
        <f>IFERROR(VLOOKUP(tbEscolas[[#This Row],[COD ETPA]],tbEtapas[],2,FALSE),"")</f>
        <v/>
      </c>
      <c r="F1653" t="str">
        <f>IFERROR(VLOOKUP(tbEscolas[[#This Row],[COD ETPA]],tbEtapas[],3,FALSE),"")</f>
        <v/>
      </c>
    </row>
    <row r="1654" spans="1:6" x14ac:dyDescent="0.25">
      <c r="A1654" s="24" t="str">
        <f>_xlfn.XLOOKUP(tbEscolas[[#This Row],[ESCOLA]],tbNucleo[ESCOLA],tbNucleo[COD ESCOLA],"")</f>
        <v/>
      </c>
      <c r="B1654" t="str" cm="1">
        <f t="array" ref="B1654">IFERROR(INDEX(tbNucleo[ESCOLA],ROUNDUP(ROW(B1653)/TotalEtapas,0)),"")</f>
        <v/>
      </c>
      <c r="E1654" t="str">
        <f>IFERROR(VLOOKUP(tbEscolas[[#This Row],[COD ETPA]],tbEtapas[],2,FALSE),"")</f>
        <v/>
      </c>
      <c r="F1654" t="str">
        <f>IFERROR(VLOOKUP(tbEscolas[[#This Row],[COD ETPA]],tbEtapas[],3,FALSE),"")</f>
        <v/>
      </c>
    </row>
    <row r="1655" spans="1:6" x14ac:dyDescent="0.25">
      <c r="A1655" s="24" t="str">
        <f>_xlfn.XLOOKUP(tbEscolas[[#This Row],[ESCOLA]],tbNucleo[ESCOLA],tbNucleo[COD ESCOLA],"")</f>
        <v/>
      </c>
      <c r="B1655" t="str" cm="1">
        <f t="array" ref="B1655">IFERROR(INDEX(tbNucleo[ESCOLA],ROUNDUP(ROW(B1654)/TotalEtapas,0)),"")</f>
        <v/>
      </c>
      <c r="E1655" t="str">
        <f>IFERROR(VLOOKUP(tbEscolas[[#This Row],[COD ETPA]],tbEtapas[],2,FALSE),"")</f>
        <v/>
      </c>
      <c r="F1655" t="str">
        <f>IFERROR(VLOOKUP(tbEscolas[[#This Row],[COD ETPA]],tbEtapas[],3,FALSE),"")</f>
        <v/>
      </c>
    </row>
    <row r="1656" spans="1:6" x14ac:dyDescent="0.25">
      <c r="A1656" s="24" t="str">
        <f>_xlfn.XLOOKUP(tbEscolas[[#This Row],[ESCOLA]],tbNucleo[ESCOLA],tbNucleo[COD ESCOLA],"")</f>
        <v/>
      </c>
      <c r="B1656" t="str" cm="1">
        <f t="array" ref="B1656">IFERROR(INDEX(tbNucleo[ESCOLA],ROUNDUP(ROW(B1655)/TotalEtapas,0)),"")</f>
        <v/>
      </c>
      <c r="E1656" t="str">
        <f>IFERROR(VLOOKUP(tbEscolas[[#This Row],[COD ETPA]],tbEtapas[],2,FALSE),"")</f>
        <v/>
      </c>
      <c r="F1656" t="str">
        <f>IFERROR(VLOOKUP(tbEscolas[[#This Row],[COD ETPA]],tbEtapas[],3,FALSE),"")</f>
        <v/>
      </c>
    </row>
    <row r="1657" spans="1:6" x14ac:dyDescent="0.25">
      <c r="A1657" s="24" t="str">
        <f>_xlfn.XLOOKUP(tbEscolas[[#This Row],[ESCOLA]],tbNucleo[ESCOLA],tbNucleo[COD ESCOLA],"")</f>
        <v/>
      </c>
      <c r="B1657" t="str" cm="1">
        <f t="array" ref="B1657">IFERROR(INDEX(tbNucleo[ESCOLA],ROUNDUP(ROW(B1656)/TotalEtapas,0)),"")</f>
        <v/>
      </c>
      <c r="E1657" t="str">
        <f>IFERROR(VLOOKUP(tbEscolas[[#This Row],[COD ETPA]],tbEtapas[],2,FALSE),"")</f>
        <v/>
      </c>
      <c r="F1657" t="str">
        <f>IFERROR(VLOOKUP(tbEscolas[[#This Row],[COD ETPA]],tbEtapas[],3,FALSE),"")</f>
        <v/>
      </c>
    </row>
    <row r="1658" spans="1:6" x14ac:dyDescent="0.25">
      <c r="A1658" s="24" t="str">
        <f>_xlfn.XLOOKUP(tbEscolas[[#This Row],[ESCOLA]],tbNucleo[ESCOLA],tbNucleo[COD ESCOLA],"")</f>
        <v/>
      </c>
      <c r="B1658" t="str" cm="1">
        <f t="array" ref="B1658">IFERROR(INDEX(tbNucleo[ESCOLA],ROUNDUP(ROW(B1657)/TotalEtapas,0)),"")</f>
        <v/>
      </c>
      <c r="E1658" t="str">
        <f>IFERROR(VLOOKUP(tbEscolas[[#This Row],[COD ETPA]],tbEtapas[],2,FALSE),"")</f>
        <v/>
      </c>
      <c r="F1658" t="str">
        <f>IFERROR(VLOOKUP(tbEscolas[[#This Row],[COD ETPA]],tbEtapas[],3,FALSE),"")</f>
        <v/>
      </c>
    </row>
    <row r="1659" spans="1:6" x14ac:dyDescent="0.25">
      <c r="A1659" s="24" t="str">
        <f>_xlfn.XLOOKUP(tbEscolas[[#This Row],[ESCOLA]],tbNucleo[ESCOLA],tbNucleo[COD ESCOLA],"")</f>
        <v/>
      </c>
      <c r="B1659" t="str" cm="1">
        <f t="array" ref="B1659">IFERROR(INDEX(tbNucleo[ESCOLA],ROUNDUP(ROW(B1658)/TotalEtapas,0)),"")</f>
        <v/>
      </c>
      <c r="E1659" t="str">
        <f>IFERROR(VLOOKUP(tbEscolas[[#This Row],[COD ETPA]],tbEtapas[],2,FALSE),"")</f>
        <v/>
      </c>
      <c r="F1659" t="str">
        <f>IFERROR(VLOOKUP(tbEscolas[[#This Row],[COD ETPA]],tbEtapas[],3,FALSE),"")</f>
        <v/>
      </c>
    </row>
    <row r="1660" spans="1:6" x14ac:dyDescent="0.25">
      <c r="A1660" s="24" t="str">
        <f>_xlfn.XLOOKUP(tbEscolas[[#This Row],[ESCOLA]],tbNucleo[ESCOLA],tbNucleo[COD ESCOLA],"")</f>
        <v/>
      </c>
      <c r="B1660" t="str" cm="1">
        <f t="array" ref="B1660">IFERROR(INDEX(tbNucleo[ESCOLA],ROUNDUP(ROW(B1659)/TotalEtapas,0)),"")</f>
        <v/>
      </c>
      <c r="E1660" t="str">
        <f>IFERROR(VLOOKUP(tbEscolas[[#This Row],[COD ETPA]],tbEtapas[],2,FALSE),"")</f>
        <v/>
      </c>
      <c r="F1660" t="str">
        <f>IFERROR(VLOOKUP(tbEscolas[[#This Row],[COD ETPA]],tbEtapas[],3,FALSE),"")</f>
        <v/>
      </c>
    </row>
    <row r="1661" spans="1:6" x14ac:dyDescent="0.25">
      <c r="A1661" s="24" t="str">
        <f>_xlfn.XLOOKUP(tbEscolas[[#This Row],[ESCOLA]],tbNucleo[ESCOLA],tbNucleo[COD ESCOLA],"")</f>
        <v/>
      </c>
      <c r="B1661" t="str" cm="1">
        <f t="array" ref="B1661">IFERROR(INDEX(tbNucleo[ESCOLA],ROUNDUP(ROW(B1660)/TotalEtapas,0)),"")</f>
        <v/>
      </c>
      <c r="E1661" t="str">
        <f>IFERROR(VLOOKUP(tbEscolas[[#This Row],[COD ETPA]],tbEtapas[],2,FALSE),"")</f>
        <v/>
      </c>
      <c r="F1661" t="str">
        <f>IFERROR(VLOOKUP(tbEscolas[[#This Row],[COD ETPA]],tbEtapas[],3,FALSE),"")</f>
        <v/>
      </c>
    </row>
    <row r="1662" spans="1:6" x14ac:dyDescent="0.25">
      <c r="A1662" s="24" t="str">
        <f>_xlfn.XLOOKUP(tbEscolas[[#This Row],[ESCOLA]],tbNucleo[ESCOLA],tbNucleo[COD ESCOLA],"")</f>
        <v/>
      </c>
      <c r="B1662" t="str" cm="1">
        <f t="array" ref="B1662">IFERROR(INDEX(tbNucleo[ESCOLA],ROUNDUP(ROW(B1661)/TotalEtapas,0)),"")</f>
        <v/>
      </c>
      <c r="E1662" t="str">
        <f>IFERROR(VLOOKUP(tbEscolas[[#This Row],[COD ETPA]],tbEtapas[],2,FALSE),"")</f>
        <v/>
      </c>
      <c r="F1662" t="str">
        <f>IFERROR(VLOOKUP(tbEscolas[[#This Row],[COD ETPA]],tbEtapas[],3,FALSE),"")</f>
        <v/>
      </c>
    </row>
    <row r="1663" spans="1:6" x14ac:dyDescent="0.25">
      <c r="A1663" s="24" t="str">
        <f>_xlfn.XLOOKUP(tbEscolas[[#This Row],[ESCOLA]],tbNucleo[ESCOLA],tbNucleo[COD ESCOLA],"")</f>
        <v/>
      </c>
      <c r="B1663" t="str" cm="1">
        <f t="array" ref="B1663">IFERROR(INDEX(tbNucleo[ESCOLA],ROUNDUP(ROW(B1662)/TotalEtapas,0)),"")</f>
        <v/>
      </c>
      <c r="E1663" t="str">
        <f>IFERROR(VLOOKUP(tbEscolas[[#This Row],[COD ETPA]],tbEtapas[],2,FALSE),"")</f>
        <v/>
      </c>
      <c r="F1663" t="str">
        <f>IFERROR(VLOOKUP(tbEscolas[[#This Row],[COD ETPA]],tbEtapas[],3,FALSE),"")</f>
        <v/>
      </c>
    </row>
    <row r="1664" spans="1:6" x14ac:dyDescent="0.25">
      <c r="A1664" s="24" t="str">
        <f>_xlfn.XLOOKUP(tbEscolas[[#This Row],[ESCOLA]],tbNucleo[ESCOLA],tbNucleo[COD ESCOLA],"")</f>
        <v/>
      </c>
      <c r="B1664" t="str" cm="1">
        <f t="array" ref="B1664">IFERROR(INDEX(tbNucleo[ESCOLA],ROUNDUP(ROW(B1663)/TotalEtapas,0)),"")</f>
        <v/>
      </c>
      <c r="E1664" t="str">
        <f>IFERROR(VLOOKUP(tbEscolas[[#This Row],[COD ETPA]],tbEtapas[],2,FALSE),"")</f>
        <v/>
      </c>
      <c r="F1664" t="str">
        <f>IFERROR(VLOOKUP(tbEscolas[[#This Row],[COD ETPA]],tbEtapas[],3,FALSE),"")</f>
        <v/>
      </c>
    </row>
    <row r="1665" spans="1:6" x14ac:dyDescent="0.25">
      <c r="A1665" s="24" t="str">
        <f>_xlfn.XLOOKUP(tbEscolas[[#This Row],[ESCOLA]],tbNucleo[ESCOLA],tbNucleo[COD ESCOLA],"")</f>
        <v/>
      </c>
      <c r="B1665" t="str" cm="1">
        <f t="array" ref="B1665">IFERROR(INDEX(tbNucleo[ESCOLA],ROUNDUP(ROW(B1664)/TotalEtapas,0)),"")</f>
        <v/>
      </c>
      <c r="E1665" t="str">
        <f>IFERROR(VLOOKUP(tbEscolas[[#This Row],[COD ETPA]],tbEtapas[],2,FALSE),"")</f>
        <v/>
      </c>
      <c r="F1665" t="str">
        <f>IFERROR(VLOOKUP(tbEscolas[[#This Row],[COD ETPA]],tbEtapas[],3,FALSE),"")</f>
        <v/>
      </c>
    </row>
    <row r="1666" spans="1:6" x14ac:dyDescent="0.25">
      <c r="A1666" s="24" t="str">
        <f>_xlfn.XLOOKUP(tbEscolas[[#This Row],[ESCOLA]],tbNucleo[ESCOLA],tbNucleo[COD ESCOLA],"")</f>
        <v/>
      </c>
      <c r="B1666" t="str" cm="1">
        <f t="array" ref="B1666">IFERROR(INDEX(tbNucleo[ESCOLA],ROUNDUP(ROW(B1665)/TotalEtapas,0)),"")</f>
        <v/>
      </c>
      <c r="E1666" t="str">
        <f>IFERROR(VLOOKUP(tbEscolas[[#This Row],[COD ETPA]],tbEtapas[],2,FALSE),"")</f>
        <v/>
      </c>
      <c r="F1666" t="str">
        <f>IFERROR(VLOOKUP(tbEscolas[[#This Row],[COD ETPA]],tbEtapas[],3,FALSE),"")</f>
        <v/>
      </c>
    </row>
    <row r="1667" spans="1:6" x14ac:dyDescent="0.25">
      <c r="A1667" s="24" t="str">
        <f>_xlfn.XLOOKUP(tbEscolas[[#This Row],[ESCOLA]],tbNucleo[ESCOLA],tbNucleo[COD ESCOLA],"")</f>
        <v/>
      </c>
      <c r="B1667" t="str" cm="1">
        <f t="array" ref="B1667">IFERROR(INDEX(tbNucleo[ESCOLA],ROUNDUP(ROW(B1666)/TotalEtapas,0)),"")</f>
        <v/>
      </c>
      <c r="E1667" t="str">
        <f>IFERROR(VLOOKUP(tbEscolas[[#This Row],[COD ETPA]],tbEtapas[],2,FALSE),"")</f>
        <v/>
      </c>
      <c r="F1667" t="str">
        <f>IFERROR(VLOOKUP(tbEscolas[[#This Row],[COD ETPA]],tbEtapas[],3,FALSE),"")</f>
        <v/>
      </c>
    </row>
    <row r="1668" spans="1:6" x14ac:dyDescent="0.25">
      <c r="A1668" s="24" t="str">
        <f>_xlfn.XLOOKUP(tbEscolas[[#This Row],[ESCOLA]],tbNucleo[ESCOLA],tbNucleo[COD ESCOLA],"")</f>
        <v/>
      </c>
      <c r="B1668" t="str" cm="1">
        <f t="array" ref="B1668">IFERROR(INDEX(tbNucleo[ESCOLA],ROUNDUP(ROW(B1667)/TotalEtapas,0)),"")</f>
        <v/>
      </c>
      <c r="E1668" t="str">
        <f>IFERROR(VLOOKUP(tbEscolas[[#This Row],[COD ETPA]],tbEtapas[],2,FALSE),"")</f>
        <v/>
      </c>
      <c r="F1668" t="str">
        <f>IFERROR(VLOOKUP(tbEscolas[[#This Row],[COD ETPA]],tbEtapas[],3,FALSE),"")</f>
        <v/>
      </c>
    </row>
    <row r="1669" spans="1:6" x14ac:dyDescent="0.25">
      <c r="A1669" s="24" t="str">
        <f>_xlfn.XLOOKUP(tbEscolas[[#This Row],[ESCOLA]],tbNucleo[ESCOLA],tbNucleo[COD ESCOLA],"")</f>
        <v/>
      </c>
      <c r="B1669" t="str" cm="1">
        <f t="array" ref="B1669">IFERROR(INDEX(tbNucleo[ESCOLA],ROUNDUP(ROW(B1668)/TotalEtapas,0)),"")</f>
        <v/>
      </c>
      <c r="E1669" t="str">
        <f>IFERROR(VLOOKUP(tbEscolas[[#This Row],[COD ETPA]],tbEtapas[],2,FALSE),"")</f>
        <v/>
      </c>
      <c r="F1669" t="str">
        <f>IFERROR(VLOOKUP(tbEscolas[[#This Row],[COD ETPA]],tbEtapas[],3,FALSE),"")</f>
        <v/>
      </c>
    </row>
    <row r="1670" spans="1:6" x14ac:dyDescent="0.25">
      <c r="A1670" s="24" t="str">
        <f>_xlfn.XLOOKUP(tbEscolas[[#This Row],[ESCOLA]],tbNucleo[ESCOLA],tbNucleo[COD ESCOLA],"")</f>
        <v/>
      </c>
      <c r="B1670" t="str" cm="1">
        <f t="array" ref="B1670">IFERROR(INDEX(tbNucleo[ESCOLA],ROUNDUP(ROW(B1669)/TotalEtapas,0)),"")</f>
        <v/>
      </c>
      <c r="E1670" t="str">
        <f>IFERROR(VLOOKUP(tbEscolas[[#This Row],[COD ETPA]],tbEtapas[],2,FALSE),"")</f>
        <v/>
      </c>
      <c r="F1670" t="str">
        <f>IFERROR(VLOOKUP(tbEscolas[[#This Row],[COD ETPA]],tbEtapas[],3,FALSE),"")</f>
        <v/>
      </c>
    </row>
    <row r="1671" spans="1:6" x14ac:dyDescent="0.25">
      <c r="A1671" s="24" t="str">
        <f>_xlfn.XLOOKUP(tbEscolas[[#This Row],[ESCOLA]],tbNucleo[ESCOLA],tbNucleo[COD ESCOLA],"")</f>
        <v/>
      </c>
      <c r="B1671" t="str" cm="1">
        <f t="array" ref="B1671">IFERROR(INDEX(tbNucleo[ESCOLA],ROUNDUP(ROW(B1670)/TotalEtapas,0)),"")</f>
        <v/>
      </c>
      <c r="E1671" t="str">
        <f>IFERROR(VLOOKUP(tbEscolas[[#This Row],[COD ETPA]],tbEtapas[],2,FALSE),"")</f>
        <v/>
      </c>
      <c r="F1671" t="str">
        <f>IFERROR(VLOOKUP(tbEscolas[[#This Row],[COD ETPA]],tbEtapas[],3,FALSE),"")</f>
        <v/>
      </c>
    </row>
    <row r="1672" spans="1:6" x14ac:dyDescent="0.25">
      <c r="A1672" s="24" t="str">
        <f>_xlfn.XLOOKUP(tbEscolas[[#This Row],[ESCOLA]],tbNucleo[ESCOLA],tbNucleo[COD ESCOLA],"")</f>
        <v/>
      </c>
      <c r="B1672" t="str" cm="1">
        <f t="array" ref="B1672">IFERROR(INDEX(tbNucleo[ESCOLA],ROUNDUP(ROW(B1671)/TotalEtapas,0)),"")</f>
        <v/>
      </c>
      <c r="E1672" t="str">
        <f>IFERROR(VLOOKUP(tbEscolas[[#This Row],[COD ETPA]],tbEtapas[],2,FALSE),"")</f>
        <v/>
      </c>
      <c r="F1672" t="str">
        <f>IFERROR(VLOOKUP(tbEscolas[[#This Row],[COD ETPA]],tbEtapas[],3,FALSE),"")</f>
        <v/>
      </c>
    </row>
    <row r="1673" spans="1:6" x14ac:dyDescent="0.25">
      <c r="A1673" s="24" t="str">
        <f>_xlfn.XLOOKUP(tbEscolas[[#This Row],[ESCOLA]],tbNucleo[ESCOLA],tbNucleo[COD ESCOLA],"")</f>
        <v/>
      </c>
      <c r="B1673" t="str" cm="1">
        <f t="array" ref="B1673">IFERROR(INDEX(tbNucleo[ESCOLA],ROUNDUP(ROW(B1672)/TotalEtapas,0)),"")</f>
        <v/>
      </c>
      <c r="E1673" t="str">
        <f>IFERROR(VLOOKUP(tbEscolas[[#This Row],[COD ETPA]],tbEtapas[],2,FALSE),"")</f>
        <v/>
      </c>
      <c r="F1673" t="str">
        <f>IFERROR(VLOOKUP(tbEscolas[[#This Row],[COD ETPA]],tbEtapas[],3,FALSE),"")</f>
        <v/>
      </c>
    </row>
    <row r="1674" spans="1:6" x14ac:dyDescent="0.25">
      <c r="A1674" s="24" t="str">
        <f>_xlfn.XLOOKUP(tbEscolas[[#This Row],[ESCOLA]],tbNucleo[ESCOLA],tbNucleo[COD ESCOLA],"")</f>
        <v/>
      </c>
      <c r="B1674" t="str" cm="1">
        <f t="array" ref="B1674">IFERROR(INDEX(tbNucleo[ESCOLA],ROUNDUP(ROW(B1673)/TotalEtapas,0)),"")</f>
        <v/>
      </c>
      <c r="E1674" t="str">
        <f>IFERROR(VLOOKUP(tbEscolas[[#This Row],[COD ETPA]],tbEtapas[],2,FALSE),"")</f>
        <v/>
      </c>
      <c r="F1674" t="str">
        <f>IFERROR(VLOOKUP(tbEscolas[[#This Row],[COD ETPA]],tbEtapas[],3,FALSE),"")</f>
        <v/>
      </c>
    </row>
    <row r="1675" spans="1:6" x14ac:dyDescent="0.25">
      <c r="A1675" s="24" t="str">
        <f>_xlfn.XLOOKUP(tbEscolas[[#This Row],[ESCOLA]],tbNucleo[ESCOLA],tbNucleo[COD ESCOLA],"")</f>
        <v/>
      </c>
      <c r="B1675" t="str" cm="1">
        <f t="array" ref="B1675">IFERROR(INDEX(tbNucleo[ESCOLA],ROUNDUP(ROW(B1674)/TotalEtapas,0)),"")</f>
        <v/>
      </c>
      <c r="E1675" t="str">
        <f>IFERROR(VLOOKUP(tbEscolas[[#This Row],[COD ETPA]],tbEtapas[],2,FALSE),"")</f>
        <v/>
      </c>
      <c r="F1675" t="str">
        <f>IFERROR(VLOOKUP(tbEscolas[[#This Row],[COD ETPA]],tbEtapas[],3,FALSE),"")</f>
        <v/>
      </c>
    </row>
    <row r="1676" spans="1:6" x14ac:dyDescent="0.25">
      <c r="A1676" s="24" t="str">
        <f>_xlfn.XLOOKUP(tbEscolas[[#This Row],[ESCOLA]],tbNucleo[ESCOLA],tbNucleo[COD ESCOLA],"")</f>
        <v/>
      </c>
      <c r="B1676" t="str" cm="1">
        <f t="array" ref="B1676">IFERROR(INDEX(tbNucleo[ESCOLA],ROUNDUP(ROW(B1675)/TotalEtapas,0)),"")</f>
        <v/>
      </c>
      <c r="E1676" t="str">
        <f>IFERROR(VLOOKUP(tbEscolas[[#This Row],[COD ETPA]],tbEtapas[],2,FALSE),"")</f>
        <v/>
      </c>
      <c r="F1676" t="str">
        <f>IFERROR(VLOOKUP(tbEscolas[[#This Row],[COD ETPA]],tbEtapas[],3,FALSE),"")</f>
        <v/>
      </c>
    </row>
    <row r="1677" spans="1:6" x14ac:dyDescent="0.25">
      <c r="A1677" s="24" t="str">
        <f>_xlfn.XLOOKUP(tbEscolas[[#This Row],[ESCOLA]],tbNucleo[ESCOLA],tbNucleo[COD ESCOLA],"")</f>
        <v/>
      </c>
      <c r="B1677" t="str" cm="1">
        <f t="array" ref="B1677">IFERROR(INDEX(tbNucleo[ESCOLA],ROUNDUP(ROW(B1676)/TotalEtapas,0)),"")</f>
        <v/>
      </c>
      <c r="E1677" t="str">
        <f>IFERROR(VLOOKUP(tbEscolas[[#This Row],[COD ETPA]],tbEtapas[],2,FALSE),"")</f>
        <v/>
      </c>
      <c r="F1677" t="str">
        <f>IFERROR(VLOOKUP(tbEscolas[[#This Row],[COD ETPA]],tbEtapas[],3,FALSE),"")</f>
        <v/>
      </c>
    </row>
    <row r="1678" spans="1:6" x14ac:dyDescent="0.25">
      <c r="A1678" s="24" t="str">
        <f>_xlfn.XLOOKUP(tbEscolas[[#This Row],[ESCOLA]],tbNucleo[ESCOLA],tbNucleo[COD ESCOLA],"")</f>
        <v/>
      </c>
      <c r="B1678" t="str" cm="1">
        <f t="array" ref="B1678">IFERROR(INDEX(tbNucleo[ESCOLA],ROUNDUP(ROW(B1677)/TotalEtapas,0)),"")</f>
        <v/>
      </c>
      <c r="E1678" t="str">
        <f>IFERROR(VLOOKUP(tbEscolas[[#This Row],[COD ETPA]],tbEtapas[],2,FALSE),"")</f>
        <v/>
      </c>
      <c r="F1678" t="str">
        <f>IFERROR(VLOOKUP(tbEscolas[[#This Row],[COD ETPA]],tbEtapas[],3,FALSE),"")</f>
        <v/>
      </c>
    </row>
    <row r="1679" spans="1:6" x14ac:dyDescent="0.25">
      <c r="A1679" s="24" t="str">
        <f>_xlfn.XLOOKUP(tbEscolas[[#This Row],[ESCOLA]],tbNucleo[ESCOLA],tbNucleo[COD ESCOLA],"")</f>
        <v/>
      </c>
      <c r="B1679" t="str" cm="1">
        <f t="array" ref="B1679">IFERROR(INDEX(tbNucleo[ESCOLA],ROUNDUP(ROW(B1678)/TotalEtapas,0)),"")</f>
        <v/>
      </c>
      <c r="E1679" t="str">
        <f>IFERROR(VLOOKUP(tbEscolas[[#This Row],[COD ETPA]],tbEtapas[],2,FALSE),"")</f>
        <v/>
      </c>
      <c r="F1679" t="str">
        <f>IFERROR(VLOOKUP(tbEscolas[[#This Row],[COD ETPA]],tbEtapas[],3,FALSE),"")</f>
        <v/>
      </c>
    </row>
    <row r="1680" spans="1:6" x14ac:dyDescent="0.25">
      <c r="A1680" s="24" t="str">
        <f>_xlfn.XLOOKUP(tbEscolas[[#This Row],[ESCOLA]],tbNucleo[ESCOLA],tbNucleo[COD ESCOLA],"")</f>
        <v/>
      </c>
      <c r="B1680" t="str" cm="1">
        <f t="array" ref="B1680">IFERROR(INDEX(tbNucleo[ESCOLA],ROUNDUP(ROW(B1679)/TotalEtapas,0)),"")</f>
        <v/>
      </c>
      <c r="E1680" t="str">
        <f>IFERROR(VLOOKUP(tbEscolas[[#This Row],[COD ETPA]],tbEtapas[],2,FALSE),"")</f>
        <v/>
      </c>
      <c r="F1680" t="str">
        <f>IFERROR(VLOOKUP(tbEscolas[[#This Row],[COD ETPA]],tbEtapas[],3,FALSE),"")</f>
        <v/>
      </c>
    </row>
    <row r="1681" spans="1:6" x14ac:dyDescent="0.25">
      <c r="A1681" s="24" t="str">
        <f>_xlfn.XLOOKUP(tbEscolas[[#This Row],[ESCOLA]],tbNucleo[ESCOLA],tbNucleo[COD ESCOLA],"")</f>
        <v/>
      </c>
      <c r="B1681" t="str" cm="1">
        <f t="array" ref="B1681">IFERROR(INDEX(tbNucleo[ESCOLA],ROUNDUP(ROW(B1680)/TotalEtapas,0)),"")</f>
        <v/>
      </c>
      <c r="E1681" t="str">
        <f>IFERROR(VLOOKUP(tbEscolas[[#This Row],[COD ETPA]],tbEtapas[],2,FALSE),"")</f>
        <v/>
      </c>
      <c r="F1681" t="str">
        <f>IFERROR(VLOOKUP(tbEscolas[[#This Row],[COD ETPA]],tbEtapas[],3,FALSE),"")</f>
        <v/>
      </c>
    </row>
    <row r="1682" spans="1:6" x14ac:dyDescent="0.25">
      <c r="A1682" s="24" t="str">
        <f>_xlfn.XLOOKUP(tbEscolas[[#This Row],[ESCOLA]],tbNucleo[ESCOLA],tbNucleo[COD ESCOLA],"")</f>
        <v/>
      </c>
      <c r="B1682" t="str" cm="1">
        <f t="array" ref="B1682">IFERROR(INDEX(tbNucleo[ESCOLA],ROUNDUP(ROW(B1681)/TotalEtapas,0)),"")</f>
        <v/>
      </c>
      <c r="E1682" t="str">
        <f>IFERROR(VLOOKUP(tbEscolas[[#This Row],[COD ETPA]],tbEtapas[],2,FALSE),"")</f>
        <v/>
      </c>
      <c r="F1682" t="str">
        <f>IFERROR(VLOOKUP(tbEscolas[[#This Row],[COD ETPA]],tbEtapas[],3,FALSE),"")</f>
        <v/>
      </c>
    </row>
    <row r="1683" spans="1:6" x14ac:dyDescent="0.25">
      <c r="A1683" s="24" t="str">
        <f>_xlfn.XLOOKUP(tbEscolas[[#This Row],[ESCOLA]],tbNucleo[ESCOLA],tbNucleo[COD ESCOLA],"")</f>
        <v/>
      </c>
      <c r="B1683" t="str" cm="1">
        <f t="array" ref="B1683">IFERROR(INDEX(tbNucleo[ESCOLA],ROUNDUP(ROW(B1682)/TotalEtapas,0)),"")</f>
        <v/>
      </c>
      <c r="E1683" t="str">
        <f>IFERROR(VLOOKUP(tbEscolas[[#This Row],[COD ETPA]],tbEtapas[],2,FALSE),"")</f>
        <v/>
      </c>
      <c r="F1683" t="str">
        <f>IFERROR(VLOOKUP(tbEscolas[[#This Row],[COD ETPA]],tbEtapas[],3,FALSE),"")</f>
        <v/>
      </c>
    </row>
    <row r="1684" spans="1:6" x14ac:dyDescent="0.25">
      <c r="A1684" s="24" t="str">
        <f>_xlfn.XLOOKUP(tbEscolas[[#This Row],[ESCOLA]],tbNucleo[ESCOLA],tbNucleo[COD ESCOLA],"")</f>
        <v/>
      </c>
      <c r="B1684" t="str" cm="1">
        <f t="array" ref="B1684">IFERROR(INDEX(tbNucleo[ESCOLA],ROUNDUP(ROW(B1683)/TotalEtapas,0)),"")</f>
        <v/>
      </c>
      <c r="E1684" t="str">
        <f>IFERROR(VLOOKUP(tbEscolas[[#This Row],[COD ETPA]],tbEtapas[],2,FALSE),"")</f>
        <v/>
      </c>
      <c r="F1684" t="str">
        <f>IFERROR(VLOOKUP(tbEscolas[[#This Row],[COD ETPA]],tbEtapas[],3,FALSE),"")</f>
        <v/>
      </c>
    </row>
    <row r="1685" spans="1:6" x14ac:dyDescent="0.25">
      <c r="A1685" s="24" t="str">
        <f>_xlfn.XLOOKUP(tbEscolas[[#This Row],[ESCOLA]],tbNucleo[ESCOLA],tbNucleo[COD ESCOLA],"")</f>
        <v/>
      </c>
      <c r="B1685" t="str" cm="1">
        <f t="array" ref="B1685">IFERROR(INDEX(tbNucleo[ESCOLA],ROUNDUP(ROW(B1684)/TotalEtapas,0)),"")</f>
        <v/>
      </c>
      <c r="E1685" t="str">
        <f>IFERROR(VLOOKUP(tbEscolas[[#This Row],[COD ETPA]],tbEtapas[],2,FALSE),"")</f>
        <v/>
      </c>
      <c r="F1685" t="str">
        <f>IFERROR(VLOOKUP(tbEscolas[[#This Row],[COD ETPA]],tbEtapas[],3,FALSE),"")</f>
        <v/>
      </c>
    </row>
    <row r="1686" spans="1:6" x14ac:dyDescent="0.25">
      <c r="A1686" s="24" t="str">
        <f>_xlfn.XLOOKUP(tbEscolas[[#This Row],[ESCOLA]],tbNucleo[ESCOLA],tbNucleo[COD ESCOLA],"")</f>
        <v/>
      </c>
      <c r="B1686" t="str" cm="1">
        <f t="array" ref="B1686">IFERROR(INDEX(tbNucleo[ESCOLA],ROUNDUP(ROW(B1685)/TotalEtapas,0)),"")</f>
        <v/>
      </c>
      <c r="E1686" t="str">
        <f>IFERROR(VLOOKUP(tbEscolas[[#This Row],[COD ETPA]],tbEtapas[],2,FALSE),"")</f>
        <v/>
      </c>
      <c r="F1686" t="str">
        <f>IFERROR(VLOOKUP(tbEscolas[[#This Row],[COD ETPA]],tbEtapas[],3,FALSE),"")</f>
        <v/>
      </c>
    </row>
    <row r="1687" spans="1:6" x14ac:dyDescent="0.25">
      <c r="A1687" s="24" t="str">
        <f>_xlfn.XLOOKUP(tbEscolas[[#This Row],[ESCOLA]],tbNucleo[ESCOLA],tbNucleo[COD ESCOLA],"")</f>
        <v/>
      </c>
      <c r="B1687" t="str" cm="1">
        <f t="array" ref="B1687">IFERROR(INDEX(tbNucleo[ESCOLA],ROUNDUP(ROW(B1686)/TotalEtapas,0)),"")</f>
        <v/>
      </c>
      <c r="E1687" t="str">
        <f>IFERROR(VLOOKUP(tbEscolas[[#This Row],[COD ETPA]],tbEtapas[],2,FALSE),"")</f>
        <v/>
      </c>
      <c r="F1687" t="str">
        <f>IFERROR(VLOOKUP(tbEscolas[[#This Row],[COD ETPA]],tbEtapas[],3,FALSE),"")</f>
        <v/>
      </c>
    </row>
    <row r="1688" spans="1:6" x14ac:dyDescent="0.25">
      <c r="A1688" s="24" t="str">
        <f>_xlfn.XLOOKUP(tbEscolas[[#This Row],[ESCOLA]],tbNucleo[ESCOLA],tbNucleo[COD ESCOLA],"")</f>
        <v/>
      </c>
      <c r="B1688" t="str" cm="1">
        <f t="array" ref="B1688">IFERROR(INDEX(tbNucleo[ESCOLA],ROUNDUP(ROW(B1687)/TotalEtapas,0)),"")</f>
        <v/>
      </c>
      <c r="E1688" t="str">
        <f>IFERROR(VLOOKUP(tbEscolas[[#This Row],[COD ETPA]],tbEtapas[],2,FALSE),"")</f>
        <v/>
      </c>
      <c r="F1688" t="str">
        <f>IFERROR(VLOOKUP(tbEscolas[[#This Row],[COD ETPA]],tbEtapas[],3,FALSE),"")</f>
        <v/>
      </c>
    </row>
    <row r="1689" spans="1:6" x14ac:dyDescent="0.25">
      <c r="A1689" s="24" t="str">
        <f>_xlfn.XLOOKUP(tbEscolas[[#This Row],[ESCOLA]],tbNucleo[ESCOLA],tbNucleo[COD ESCOLA],"")</f>
        <v/>
      </c>
      <c r="B1689" t="str" cm="1">
        <f t="array" ref="B1689">IFERROR(INDEX(tbNucleo[ESCOLA],ROUNDUP(ROW(B1688)/TotalEtapas,0)),"")</f>
        <v/>
      </c>
      <c r="E1689" t="str">
        <f>IFERROR(VLOOKUP(tbEscolas[[#This Row],[COD ETPA]],tbEtapas[],2,FALSE),"")</f>
        <v/>
      </c>
      <c r="F1689" t="str">
        <f>IFERROR(VLOOKUP(tbEscolas[[#This Row],[COD ETPA]],tbEtapas[],3,FALSE),"")</f>
        <v/>
      </c>
    </row>
    <row r="1690" spans="1:6" x14ac:dyDescent="0.25">
      <c r="A1690" s="24" t="str">
        <f>_xlfn.XLOOKUP(tbEscolas[[#This Row],[ESCOLA]],tbNucleo[ESCOLA],tbNucleo[COD ESCOLA],"")</f>
        <v/>
      </c>
      <c r="B1690" t="str" cm="1">
        <f t="array" ref="B1690">IFERROR(INDEX(tbNucleo[ESCOLA],ROUNDUP(ROW(B1689)/TotalEtapas,0)),"")</f>
        <v/>
      </c>
      <c r="E1690" t="str">
        <f>IFERROR(VLOOKUP(tbEscolas[[#This Row],[COD ETPA]],tbEtapas[],2,FALSE),"")</f>
        <v/>
      </c>
      <c r="F1690" t="str">
        <f>IFERROR(VLOOKUP(tbEscolas[[#This Row],[COD ETPA]],tbEtapas[],3,FALSE),"")</f>
        <v/>
      </c>
    </row>
    <row r="1691" spans="1:6" x14ac:dyDescent="0.25">
      <c r="A1691" s="24" t="str">
        <f>_xlfn.XLOOKUP(tbEscolas[[#This Row],[ESCOLA]],tbNucleo[ESCOLA],tbNucleo[COD ESCOLA],"")</f>
        <v/>
      </c>
      <c r="B1691" t="str" cm="1">
        <f t="array" ref="B1691">IFERROR(INDEX(tbNucleo[ESCOLA],ROUNDUP(ROW(B1690)/TotalEtapas,0)),"")</f>
        <v/>
      </c>
      <c r="E1691" t="str">
        <f>IFERROR(VLOOKUP(tbEscolas[[#This Row],[COD ETPA]],tbEtapas[],2,FALSE),"")</f>
        <v/>
      </c>
      <c r="F1691" t="str">
        <f>IFERROR(VLOOKUP(tbEscolas[[#This Row],[COD ETPA]],tbEtapas[],3,FALSE),"")</f>
        <v/>
      </c>
    </row>
    <row r="1692" spans="1:6" x14ac:dyDescent="0.25">
      <c r="A1692" s="24" t="str">
        <f>_xlfn.XLOOKUP(tbEscolas[[#This Row],[ESCOLA]],tbNucleo[ESCOLA],tbNucleo[COD ESCOLA],"")</f>
        <v/>
      </c>
      <c r="B1692" t="str" cm="1">
        <f t="array" ref="B1692">IFERROR(INDEX(tbNucleo[ESCOLA],ROUNDUP(ROW(B1691)/TotalEtapas,0)),"")</f>
        <v/>
      </c>
      <c r="E1692" t="str">
        <f>IFERROR(VLOOKUP(tbEscolas[[#This Row],[COD ETPA]],tbEtapas[],2,FALSE),"")</f>
        <v/>
      </c>
      <c r="F1692" t="str">
        <f>IFERROR(VLOOKUP(tbEscolas[[#This Row],[COD ETPA]],tbEtapas[],3,FALSE),"")</f>
        <v/>
      </c>
    </row>
    <row r="1693" spans="1:6" x14ac:dyDescent="0.25">
      <c r="A1693" s="24" t="str">
        <f>_xlfn.XLOOKUP(tbEscolas[[#This Row],[ESCOLA]],tbNucleo[ESCOLA],tbNucleo[COD ESCOLA],"")</f>
        <v/>
      </c>
      <c r="B1693" t="str" cm="1">
        <f t="array" ref="B1693">IFERROR(INDEX(tbNucleo[ESCOLA],ROUNDUP(ROW(B1692)/TotalEtapas,0)),"")</f>
        <v/>
      </c>
      <c r="E1693" t="str">
        <f>IFERROR(VLOOKUP(tbEscolas[[#This Row],[COD ETPA]],tbEtapas[],2,FALSE),"")</f>
        <v/>
      </c>
      <c r="F1693" t="str">
        <f>IFERROR(VLOOKUP(tbEscolas[[#This Row],[COD ETPA]],tbEtapas[],3,FALSE),"")</f>
        <v/>
      </c>
    </row>
    <row r="1694" spans="1:6" x14ac:dyDescent="0.25">
      <c r="A1694" s="24" t="str">
        <f>_xlfn.XLOOKUP(tbEscolas[[#This Row],[ESCOLA]],tbNucleo[ESCOLA],tbNucleo[COD ESCOLA],"")</f>
        <v/>
      </c>
      <c r="B1694" t="str" cm="1">
        <f t="array" ref="B1694">IFERROR(INDEX(tbNucleo[ESCOLA],ROUNDUP(ROW(B1693)/TotalEtapas,0)),"")</f>
        <v/>
      </c>
      <c r="E1694" t="str">
        <f>IFERROR(VLOOKUP(tbEscolas[[#This Row],[COD ETPA]],tbEtapas[],2,FALSE),"")</f>
        <v/>
      </c>
      <c r="F1694" t="str">
        <f>IFERROR(VLOOKUP(tbEscolas[[#This Row],[COD ETPA]],tbEtapas[],3,FALSE),"")</f>
        <v/>
      </c>
    </row>
    <row r="1695" spans="1:6" x14ac:dyDescent="0.25">
      <c r="A1695" s="24" t="str">
        <f>_xlfn.XLOOKUP(tbEscolas[[#This Row],[ESCOLA]],tbNucleo[ESCOLA],tbNucleo[COD ESCOLA],"")</f>
        <v/>
      </c>
      <c r="B1695" t="str" cm="1">
        <f t="array" ref="B1695">IFERROR(INDEX(tbNucleo[ESCOLA],ROUNDUP(ROW(B1694)/TotalEtapas,0)),"")</f>
        <v/>
      </c>
      <c r="E1695" t="str">
        <f>IFERROR(VLOOKUP(tbEscolas[[#This Row],[COD ETPA]],tbEtapas[],2,FALSE),"")</f>
        <v/>
      </c>
      <c r="F1695" t="str">
        <f>IFERROR(VLOOKUP(tbEscolas[[#This Row],[COD ETPA]],tbEtapas[],3,FALSE),"")</f>
        <v/>
      </c>
    </row>
    <row r="1696" spans="1:6" x14ac:dyDescent="0.25">
      <c r="A1696" s="24" t="str">
        <f>_xlfn.XLOOKUP(tbEscolas[[#This Row],[ESCOLA]],tbNucleo[ESCOLA],tbNucleo[COD ESCOLA],"")</f>
        <v/>
      </c>
      <c r="B1696" t="str" cm="1">
        <f t="array" ref="B1696">IFERROR(INDEX(tbNucleo[ESCOLA],ROUNDUP(ROW(B1695)/TotalEtapas,0)),"")</f>
        <v/>
      </c>
      <c r="E1696" t="str">
        <f>IFERROR(VLOOKUP(tbEscolas[[#This Row],[COD ETPA]],tbEtapas[],2,FALSE),"")</f>
        <v/>
      </c>
      <c r="F1696" t="str">
        <f>IFERROR(VLOOKUP(tbEscolas[[#This Row],[COD ETPA]],tbEtapas[],3,FALSE),"")</f>
        <v/>
      </c>
    </row>
    <row r="1697" spans="1:6" x14ac:dyDescent="0.25">
      <c r="A1697" s="24" t="str">
        <f>_xlfn.XLOOKUP(tbEscolas[[#This Row],[ESCOLA]],tbNucleo[ESCOLA],tbNucleo[COD ESCOLA],"")</f>
        <v/>
      </c>
      <c r="B1697" t="str" cm="1">
        <f t="array" ref="B1697">IFERROR(INDEX(tbNucleo[ESCOLA],ROUNDUP(ROW(B1696)/TotalEtapas,0)),"")</f>
        <v/>
      </c>
      <c r="E1697" t="str">
        <f>IFERROR(VLOOKUP(tbEscolas[[#This Row],[COD ETPA]],tbEtapas[],2,FALSE),"")</f>
        <v/>
      </c>
      <c r="F1697" t="str">
        <f>IFERROR(VLOOKUP(tbEscolas[[#This Row],[COD ETPA]],tbEtapas[],3,FALSE),"")</f>
        <v/>
      </c>
    </row>
    <row r="1698" spans="1:6" x14ac:dyDescent="0.25">
      <c r="A1698" s="24" t="str">
        <f>_xlfn.XLOOKUP(tbEscolas[[#This Row],[ESCOLA]],tbNucleo[ESCOLA],tbNucleo[COD ESCOLA],"")</f>
        <v/>
      </c>
      <c r="B1698" t="str" cm="1">
        <f t="array" ref="B1698">IFERROR(INDEX(tbNucleo[ESCOLA],ROUNDUP(ROW(B1697)/TotalEtapas,0)),"")</f>
        <v/>
      </c>
      <c r="E1698" t="str">
        <f>IFERROR(VLOOKUP(tbEscolas[[#This Row],[COD ETPA]],tbEtapas[],2,FALSE),"")</f>
        <v/>
      </c>
      <c r="F1698" t="str">
        <f>IFERROR(VLOOKUP(tbEscolas[[#This Row],[COD ETPA]],tbEtapas[],3,FALSE),"")</f>
        <v/>
      </c>
    </row>
    <row r="1699" spans="1:6" x14ac:dyDescent="0.25">
      <c r="A1699" s="24" t="str">
        <f>_xlfn.XLOOKUP(tbEscolas[[#This Row],[ESCOLA]],tbNucleo[ESCOLA],tbNucleo[COD ESCOLA],"")</f>
        <v/>
      </c>
      <c r="B1699" t="str" cm="1">
        <f t="array" ref="B1699">IFERROR(INDEX(tbNucleo[ESCOLA],ROUNDUP(ROW(B1698)/TotalEtapas,0)),"")</f>
        <v/>
      </c>
      <c r="E1699" t="str">
        <f>IFERROR(VLOOKUP(tbEscolas[[#This Row],[COD ETPA]],tbEtapas[],2,FALSE),"")</f>
        <v/>
      </c>
      <c r="F1699" t="str">
        <f>IFERROR(VLOOKUP(tbEscolas[[#This Row],[COD ETPA]],tbEtapas[],3,FALSE),"")</f>
        <v/>
      </c>
    </row>
    <row r="1700" spans="1:6" x14ac:dyDescent="0.25">
      <c r="A1700" s="24" t="str">
        <f>_xlfn.XLOOKUP(tbEscolas[[#This Row],[ESCOLA]],tbNucleo[ESCOLA],tbNucleo[COD ESCOLA],"")</f>
        <v/>
      </c>
      <c r="B1700" t="str" cm="1">
        <f t="array" ref="B1700">IFERROR(INDEX(tbNucleo[ESCOLA],ROUNDUP(ROW(B1699)/TotalEtapas,0)),"")</f>
        <v/>
      </c>
      <c r="E1700" t="str">
        <f>IFERROR(VLOOKUP(tbEscolas[[#This Row],[COD ETPA]],tbEtapas[],2,FALSE),"")</f>
        <v/>
      </c>
      <c r="F1700" t="str">
        <f>IFERROR(VLOOKUP(tbEscolas[[#This Row],[COD ETPA]],tbEtapas[],3,FALSE),"")</f>
        <v/>
      </c>
    </row>
    <row r="1701" spans="1:6" x14ac:dyDescent="0.25">
      <c r="A1701" s="24" t="str">
        <f>_xlfn.XLOOKUP(tbEscolas[[#This Row],[ESCOLA]],tbNucleo[ESCOLA],tbNucleo[COD ESCOLA],"")</f>
        <v/>
      </c>
      <c r="B1701" t="str" cm="1">
        <f t="array" ref="B1701">IFERROR(INDEX(tbNucleo[ESCOLA],ROUNDUP(ROW(B1700)/TotalEtapas,0)),"")</f>
        <v/>
      </c>
      <c r="E1701" t="str">
        <f>IFERROR(VLOOKUP(tbEscolas[[#This Row],[COD ETPA]],tbEtapas[],2,FALSE),"")</f>
        <v/>
      </c>
      <c r="F1701" t="str">
        <f>IFERROR(VLOOKUP(tbEscolas[[#This Row],[COD ETPA]],tbEtapas[],3,FALSE),"")</f>
        <v/>
      </c>
    </row>
    <row r="1702" spans="1:6" x14ac:dyDescent="0.25">
      <c r="A1702" s="24" t="str">
        <f>_xlfn.XLOOKUP(tbEscolas[[#This Row],[ESCOLA]],tbNucleo[ESCOLA],tbNucleo[COD ESCOLA],"")</f>
        <v/>
      </c>
      <c r="B1702" t="str" cm="1">
        <f t="array" ref="B1702">IFERROR(INDEX(tbNucleo[ESCOLA],ROUNDUP(ROW(B1701)/TotalEtapas,0)),"")</f>
        <v/>
      </c>
      <c r="E1702" t="str">
        <f>IFERROR(VLOOKUP(tbEscolas[[#This Row],[COD ETPA]],tbEtapas[],2,FALSE),"")</f>
        <v/>
      </c>
      <c r="F1702" t="str">
        <f>IFERROR(VLOOKUP(tbEscolas[[#This Row],[COD ETPA]],tbEtapas[],3,FALSE),"")</f>
        <v/>
      </c>
    </row>
    <row r="1703" spans="1:6" x14ac:dyDescent="0.25">
      <c r="A1703" s="24" t="str">
        <f>_xlfn.XLOOKUP(tbEscolas[[#This Row],[ESCOLA]],tbNucleo[ESCOLA],tbNucleo[COD ESCOLA],"")</f>
        <v/>
      </c>
      <c r="B1703" t="str" cm="1">
        <f t="array" ref="B1703">IFERROR(INDEX(tbNucleo[ESCOLA],ROUNDUP(ROW(B1702)/TotalEtapas,0)),"")</f>
        <v/>
      </c>
      <c r="E1703" t="str">
        <f>IFERROR(VLOOKUP(tbEscolas[[#This Row],[COD ETPA]],tbEtapas[],2,FALSE),"")</f>
        <v/>
      </c>
      <c r="F1703" t="str">
        <f>IFERROR(VLOOKUP(tbEscolas[[#This Row],[COD ETPA]],tbEtapas[],3,FALSE),"")</f>
        <v/>
      </c>
    </row>
    <row r="1704" spans="1:6" x14ac:dyDescent="0.25">
      <c r="A1704" s="24" t="str">
        <f>_xlfn.XLOOKUP(tbEscolas[[#This Row],[ESCOLA]],tbNucleo[ESCOLA],tbNucleo[COD ESCOLA],"")</f>
        <v/>
      </c>
      <c r="B1704" t="str" cm="1">
        <f t="array" ref="B1704">IFERROR(INDEX(tbNucleo[ESCOLA],ROUNDUP(ROW(B1703)/TotalEtapas,0)),"")</f>
        <v/>
      </c>
      <c r="E1704" t="str">
        <f>IFERROR(VLOOKUP(tbEscolas[[#This Row],[COD ETPA]],tbEtapas[],2,FALSE),"")</f>
        <v/>
      </c>
      <c r="F1704" t="str">
        <f>IFERROR(VLOOKUP(tbEscolas[[#This Row],[COD ETPA]],tbEtapas[],3,FALSE),"")</f>
        <v/>
      </c>
    </row>
    <row r="1705" spans="1:6" x14ac:dyDescent="0.25">
      <c r="A1705" s="24" t="str">
        <f>_xlfn.XLOOKUP(tbEscolas[[#This Row],[ESCOLA]],tbNucleo[ESCOLA],tbNucleo[COD ESCOLA],"")</f>
        <v/>
      </c>
      <c r="B1705" t="str" cm="1">
        <f t="array" ref="B1705">IFERROR(INDEX(tbNucleo[ESCOLA],ROUNDUP(ROW(B1704)/TotalEtapas,0)),"")</f>
        <v/>
      </c>
      <c r="E1705" t="str">
        <f>IFERROR(VLOOKUP(tbEscolas[[#This Row],[COD ETPA]],tbEtapas[],2,FALSE),"")</f>
        <v/>
      </c>
      <c r="F1705" t="str">
        <f>IFERROR(VLOOKUP(tbEscolas[[#This Row],[COD ETPA]],tbEtapas[],3,FALSE),"")</f>
        <v/>
      </c>
    </row>
    <row r="1706" spans="1:6" x14ac:dyDescent="0.25">
      <c r="A1706" s="24" t="str">
        <f>_xlfn.XLOOKUP(tbEscolas[[#This Row],[ESCOLA]],tbNucleo[ESCOLA],tbNucleo[COD ESCOLA],"")</f>
        <v/>
      </c>
      <c r="B1706" t="str" cm="1">
        <f t="array" ref="B1706">IFERROR(INDEX(tbNucleo[ESCOLA],ROUNDUP(ROW(B1705)/TotalEtapas,0)),"")</f>
        <v/>
      </c>
      <c r="E1706" t="str">
        <f>IFERROR(VLOOKUP(tbEscolas[[#This Row],[COD ETPA]],tbEtapas[],2,FALSE),"")</f>
        <v/>
      </c>
      <c r="F1706" t="str">
        <f>IFERROR(VLOOKUP(tbEscolas[[#This Row],[COD ETPA]],tbEtapas[],3,FALSE),"")</f>
        <v/>
      </c>
    </row>
    <row r="1707" spans="1:6" x14ac:dyDescent="0.25">
      <c r="A1707" s="24" t="str">
        <f>_xlfn.XLOOKUP(tbEscolas[[#This Row],[ESCOLA]],tbNucleo[ESCOLA],tbNucleo[COD ESCOLA],"")</f>
        <v/>
      </c>
      <c r="B1707" t="str" cm="1">
        <f t="array" ref="B1707">IFERROR(INDEX(tbNucleo[ESCOLA],ROUNDUP(ROW(B1706)/TotalEtapas,0)),"")</f>
        <v/>
      </c>
      <c r="E1707" t="str">
        <f>IFERROR(VLOOKUP(tbEscolas[[#This Row],[COD ETPA]],tbEtapas[],2,FALSE),"")</f>
        <v/>
      </c>
      <c r="F1707" t="str">
        <f>IFERROR(VLOOKUP(tbEscolas[[#This Row],[COD ETPA]],tbEtapas[],3,FALSE),"")</f>
        <v/>
      </c>
    </row>
    <row r="1708" spans="1:6" x14ac:dyDescent="0.25">
      <c r="A1708" s="24" t="str">
        <f>_xlfn.XLOOKUP(tbEscolas[[#This Row],[ESCOLA]],tbNucleo[ESCOLA],tbNucleo[COD ESCOLA],"")</f>
        <v/>
      </c>
      <c r="B1708" t="str" cm="1">
        <f t="array" ref="B1708">IFERROR(INDEX(tbNucleo[ESCOLA],ROUNDUP(ROW(B1707)/TotalEtapas,0)),"")</f>
        <v/>
      </c>
      <c r="E1708" t="str">
        <f>IFERROR(VLOOKUP(tbEscolas[[#This Row],[COD ETPA]],tbEtapas[],2,FALSE),"")</f>
        <v/>
      </c>
      <c r="F1708" t="str">
        <f>IFERROR(VLOOKUP(tbEscolas[[#This Row],[COD ETPA]],tbEtapas[],3,FALSE),"")</f>
        <v/>
      </c>
    </row>
    <row r="1709" spans="1:6" x14ac:dyDescent="0.25">
      <c r="A1709" s="24" t="str">
        <f>_xlfn.XLOOKUP(tbEscolas[[#This Row],[ESCOLA]],tbNucleo[ESCOLA],tbNucleo[COD ESCOLA],"")</f>
        <v/>
      </c>
      <c r="B1709" t="str" cm="1">
        <f t="array" ref="B1709">IFERROR(INDEX(tbNucleo[ESCOLA],ROUNDUP(ROW(B1708)/TotalEtapas,0)),"")</f>
        <v/>
      </c>
      <c r="E1709" t="str">
        <f>IFERROR(VLOOKUP(tbEscolas[[#This Row],[COD ETPA]],tbEtapas[],2,FALSE),"")</f>
        <v/>
      </c>
      <c r="F1709" t="str">
        <f>IFERROR(VLOOKUP(tbEscolas[[#This Row],[COD ETPA]],tbEtapas[],3,FALSE),"")</f>
        <v/>
      </c>
    </row>
    <row r="1710" spans="1:6" x14ac:dyDescent="0.25">
      <c r="A1710" s="24" t="str">
        <f>_xlfn.XLOOKUP(tbEscolas[[#This Row],[ESCOLA]],tbNucleo[ESCOLA],tbNucleo[COD ESCOLA],"")</f>
        <v/>
      </c>
      <c r="B1710" t="str" cm="1">
        <f t="array" ref="B1710">IFERROR(INDEX(tbNucleo[ESCOLA],ROUNDUP(ROW(B1709)/TotalEtapas,0)),"")</f>
        <v/>
      </c>
      <c r="E1710" t="str">
        <f>IFERROR(VLOOKUP(tbEscolas[[#This Row],[COD ETPA]],tbEtapas[],2,FALSE),"")</f>
        <v/>
      </c>
      <c r="F1710" t="str">
        <f>IFERROR(VLOOKUP(tbEscolas[[#This Row],[COD ETPA]],tbEtapas[],3,FALSE),"")</f>
        <v/>
      </c>
    </row>
    <row r="1711" spans="1:6" x14ac:dyDescent="0.25">
      <c r="A1711" s="24" t="str">
        <f>_xlfn.XLOOKUP(tbEscolas[[#This Row],[ESCOLA]],tbNucleo[ESCOLA],tbNucleo[COD ESCOLA],"")</f>
        <v/>
      </c>
      <c r="B1711" t="str" cm="1">
        <f t="array" ref="B1711">IFERROR(INDEX(tbNucleo[ESCOLA],ROUNDUP(ROW(B1710)/TotalEtapas,0)),"")</f>
        <v/>
      </c>
      <c r="E1711" t="str">
        <f>IFERROR(VLOOKUP(tbEscolas[[#This Row],[COD ETPA]],tbEtapas[],2,FALSE),"")</f>
        <v/>
      </c>
      <c r="F1711" t="str">
        <f>IFERROR(VLOOKUP(tbEscolas[[#This Row],[COD ETPA]],tbEtapas[],3,FALSE),"")</f>
        <v/>
      </c>
    </row>
    <row r="1712" spans="1:6" x14ac:dyDescent="0.25">
      <c r="A1712" s="24" t="str">
        <f>_xlfn.XLOOKUP(tbEscolas[[#This Row],[ESCOLA]],tbNucleo[ESCOLA],tbNucleo[COD ESCOLA],"")</f>
        <v/>
      </c>
      <c r="B1712" t="str" cm="1">
        <f t="array" ref="B1712">IFERROR(INDEX(tbNucleo[ESCOLA],ROUNDUP(ROW(B1711)/TotalEtapas,0)),"")</f>
        <v/>
      </c>
      <c r="E1712" t="str">
        <f>IFERROR(VLOOKUP(tbEscolas[[#This Row],[COD ETPA]],tbEtapas[],2,FALSE),"")</f>
        <v/>
      </c>
      <c r="F1712" t="str">
        <f>IFERROR(VLOOKUP(tbEscolas[[#This Row],[COD ETPA]],tbEtapas[],3,FALSE),"")</f>
        <v/>
      </c>
    </row>
    <row r="1713" spans="1:6" x14ac:dyDescent="0.25">
      <c r="A1713" s="24" t="str">
        <f>_xlfn.XLOOKUP(tbEscolas[[#This Row],[ESCOLA]],tbNucleo[ESCOLA],tbNucleo[COD ESCOLA],"")</f>
        <v/>
      </c>
      <c r="B1713" t="str" cm="1">
        <f t="array" ref="B1713">IFERROR(INDEX(tbNucleo[ESCOLA],ROUNDUP(ROW(B1712)/TotalEtapas,0)),"")</f>
        <v/>
      </c>
      <c r="E1713" t="str">
        <f>IFERROR(VLOOKUP(tbEscolas[[#This Row],[COD ETPA]],tbEtapas[],2,FALSE),"")</f>
        <v/>
      </c>
      <c r="F1713" t="str">
        <f>IFERROR(VLOOKUP(tbEscolas[[#This Row],[COD ETPA]],tbEtapas[],3,FALSE),"")</f>
        <v/>
      </c>
    </row>
    <row r="1714" spans="1:6" x14ac:dyDescent="0.25">
      <c r="A1714" s="24" t="str">
        <f>_xlfn.XLOOKUP(tbEscolas[[#This Row],[ESCOLA]],tbNucleo[ESCOLA],tbNucleo[COD ESCOLA],"")</f>
        <v/>
      </c>
      <c r="B1714" t="str" cm="1">
        <f t="array" ref="B1714">IFERROR(INDEX(tbNucleo[ESCOLA],ROUNDUP(ROW(B1713)/TotalEtapas,0)),"")</f>
        <v/>
      </c>
      <c r="E1714" t="str">
        <f>IFERROR(VLOOKUP(tbEscolas[[#This Row],[COD ETPA]],tbEtapas[],2,FALSE),"")</f>
        <v/>
      </c>
      <c r="F1714" t="str">
        <f>IFERROR(VLOOKUP(tbEscolas[[#This Row],[COD ETPA]],tbEtapas[],3,FALSE),"")</f>
        <v/>
      </c>
    </row>
    <row r="1715" spans="1:6" x14ac:dyDescent="0.25">
      <c r="A1715" s="24" t="str">
        <f>_xlfn.XLOOKUP(tbEscolas[[#This Row],[ESCOLA]],tbNucleo[ESCOLA],tbNucleo[COD ESCOLA],"")</f>
        <v/>
      </c>
      <c r="B1715" t="str" cm="1">
        <f t="array" ref="B1715">IFERROR(INDEX(tbNucleo[ESCOLA],ROUNDUP(ROW(B1714)/TotalEtapas,0)),"")</f>
        <v/>
      </c>
      <c r="E1715" t="str">
        <f>IFERROR(VLOOKUP(tbEscolas[[#This Row],[COD ETPA]],tbEtapas[],2,FALSE),"")</f>
        <v/>
      </c>
      <c r="F1715" t="str">
        <f>IFERROR(VLOOKUP(tbEscolas[[#This Row],[COD ETPA]],tbEtapas[],3,FALSE),"")</f>
        <v/>
      </c>
    </row>
    <row r="1716" spans="1:6" x14ac:dyDescent="0.25">
      <c r="A1716" s="24" t="str">
        <f>_xlfn.XLOOKUP(tbEscolas[[#This Row],[ESCOLA]],tbNucleo[ESCOLA],tbNucleo[COD ESCOLA],"")</f>
        <v/>
      </c>
      <c r="B1716" t="str" cm="1">
        <f t="array" ref="B1716">IFERROR(INDEX(tbNucleo[ESCOLA],ROUNDUP(ROW(B1715)/TotalEtapas,0)),"")</f>
        <v/>
      </c>
      <c r="E1716" t="str">
        <f>IFERROR(VLOOKUP(tbEscolas[[#This Row],[COD ETPA]],tbEtapas[],2,FALSE),"")</f>
        <v/>
      </c>
      <c r="F1716" t="str">
        <f>IFERROR(VLOOKUP(tbEscolas[[#This Row],[COD ETPA]],tbEtapas[],3,FALSE),"")</f>
        <v/>
      </c>
    </row>
    <row r="1717" spans="1:6" x14ac:dyDescent="0.25">
      <c r="A1717" s="24" t="str">
        <f>_xlfn.XLOOKUP(tbEscolas[[#This Row],[ESCOLA]],tbNucleo[ESCOLA],tbNucleo[COD ESCOLA],"")</f>
        <v/>
      </c>
      <c r="B1717" t="str" cm="1">
        <f t="array" ref="B1717">IFERROR(INDEX(tbNucleo[ESCOLA],ROUNDUP(ROW(B1716)/TotalEtapas,0)),"")</f>
        <v/>
      </c>
      <c r="E1717" t="str">
        <f>IFERROR(VLOOKUP(tbEscolas[[#This Row],[COD ETPA]],tbEtapas[],2,FALSE),"")</f>
        <v/>
      </c>
      <c r="F1717" t="str">
        <f>IFERROR(VLOOKUP(tbEscolas[[#This Row],[COD ETPA]],tbEtapas[],3,FALSE),"")</f>
        <v/>
      </c>
    </row>
    <row r="1718" spans="1:6" x14ac:dyDescent="0.25">
      <c r="A1718" s="24" t="str">
        <f>_xlfn.XLOOKUP(tbEscolas[[#This Row],[ESCOLA]],tbNucleo[ESCOLA],tbNucleo[COD ESCOLA],"")</f>
        <v/>
      </c>
      <c r="B1718" t="str" cm="1">
        <f t="array" ref="B1718">IFERROR(INDEX(tbNucleo[ESCOLA],ROUNDUP(ROW(B1717)/TotalEtapas,0)),"")</f>
        <v/>
      </c>
      <c r="E1718" t="str">
        <f>IFERROR(VLOOKUP(tbEscolas[[#This Row],[COD ETPA]],tbEtapas[],2,FALSE),"")</f>
        <v/>
      </c>
      <c r="F1718" t="str">
        <f>IFERROR(VLOOKUP(tbEscolas[[#This Row],[COD ETPA]],tbEtapas[],3,FALSE),"")</f>
        <v/>
      </c>
    </row>
    <row r="1719" spans="1:6" x14ac:dyDescent="0.25">
      <c r="A1719" s="24" t="str">
        <f>_xlfn.XLOOKUP(tbEscolas[[#This Row],[ESCOLA]],tbNucleo[ESCOLA],tbNucleo[COD ESCOLA],"")</f>
        <v/>
      </c>
      <c r="B1719" t="str" cm="1">
        <f t="array" ref="B1719">IFERROR(INDEX(tbNucleo[ESCOLA],ROUNDUP(ROW(B1718)/TotalEtapas,0)),"")</f>
        <v/>
      </c>
      <c r="E1719" t="str">
        <f>IFERROR(VLOOKUP(tbEscolas[[#This Row],[COD ETPA]],tbEtapas[],2,FALSE),"")</f>
        <v/>
      </c>
      <c r="F1719" t="str">
        <f>IFERROR(VLOOKUP(tbEscolas[[#This Row],[COD ETPA]],tbEtapas[],3,FALSE),"")</f>
        <v/>
      </c>
    </row>
    <row r="1720" spans="1:6" x14ac:dyDescent="0.25">
      <c r="A1720" s="24" t="str">
        <f>_xlfn.XLOOKUP(tbEscolas[[#This Row],[ESCOLA]],tbNucleo[ESCOLA],tbNucleo[COD ESCOLA],"")</f>
        <v/>
      </c>
      <c r="B1720" t="str" cm="1">
        <f t="array" ref="B1720">IFERROR(INDEX(tbNucleo[ESCOLA],ROUNDUP(ROW(B1719)/TotalEtapas,0)),"")</f>
        <v/>
      </c>
      <c r="E1720" t="str">
        <f>IFERROR(VLOOKUP(tbEscolas[[#This Row],[COD ETPA]],tbEtapas[],2,FALSE),"")</f>
        <v/>
      </c>
      <c r="F1720" t="str">
        <f>IFERROR(VLOOKUP(tbEscolas[[#This Row],[COD ETPA]],tbEtapas[],3,FALSE),"")</f>
        <v/>
      </c>
    </row>
    <row r="1721" spans="1:6" x14ac:dyDescent="0.25">
      <c r="A1721" s="24" t="str">
        <f>_xlfn.XLOOKUP(tbEscolas[[#This Row],[ESCOLA]],tbNucleo[ESCOLA],tbNucleo[COD ESCOLA],"")</f>
        <v/>
      </c>
      <c r="B1721" t="str" cm="1">
        <f t="array" ref="B1721">IFERROR(INDEX(tbNucleo[ESCOLA],ROUNDUP(ROW(B1720)/TotalEtapas,0)),"")</f>
        <v/>
      </c>
      <c r="E1721" t="str">
        <f>IFERROR(VLOOKUP(tbEscolas[[#This Row],[COD ETPA]],tbEtapas[],2,FALSE),"")</f>
        <v/>
      </c>
      <c r="F1721" t="str">
        <f>IFERROR(VLOOKUP(tbEscolas[[#This Row],[COD ETPA]],tbEtapas[],3,FALSE),"")</f>
        <v/>
      </c>
    </row>
    <row r="1722" spans="1:6" x14ac:dyDescent="0.25">
      <c r="A1722" s="24" t="str">
        <f>_xlfn.XLOOKUP(tbEscolas[[#This Row],[ESCOLA]],tbNucleo[ESCOLA],tbNucleo[COD ESCOLA],"")</f>
        <v/>
      </c>
      <c r="B1722" t="str" cm="1">
        <f t="array" ref="B1722">IFERROR(INDEX(tbNucleo[ESCOLA],ROUNDUP(ROW(B1721)/TotalEtapas,0)),"")</f>
        <v/>
      </c>
      <c r="E1722" t="str">
        <f>IFERROR(VLOOKUP(tbEscolas[[#This Row],[COD ETPA]],tbEtapas[],2,FALSE),"")</f>
        <v/>
      </c>
      <c r="F1722" t="str">
        <f>IFERROR(VLOOKUP(tbEscolas[[#This Row],[COD ETPA]],tbEtapas[],3,FALSE),"")</f>
        <v/>
      </c>
    </row>
    <row r="1723" spans="1:6" x14ac:dyDescent="0.25">
      <c r="A1723" s="24" t="str">
        <f>_xlfn.XLOOKUP(tbEscolas[[#This Row],[ESCOLA]],tbNucleo[ESCOLA],tbNucleo[COD ESCOLA],"")</f>
        <v/>
      </c>
      <c r="B1723" t="str" cm="1">
        <f t="array" ref="B1723">IFERROR(INDEX(tbNucleo[ESCOLA],ROUNDUP(ROW(B1722)/TotalEtapas,0)),"")</f>
        <v/>
      </c>
      <c r="E1723" t="str">
        <f>IFERROR(VLOOKUP(tbEscolas[[#This Row],[COD ETPA]],tbEtapas[],2,FALSE),"")</f>
        <v/>
      </c>
      <c r="F1723" t="str">
        <f>IFERROR(VLOOKUP(tbEscolas[[#This Row],[COD ETPA]],tbEtapas[],3,FALSE),"")</f>
        <v/>
      </c>
    </row>
    <row r="1724" spans="1:6" x14ac:dyDescent="0.25">
      <c r="A1724" s="24" t="str">
        <f>_xlfn.XLOOKUP(tbEscolas[[#This Row],[ESCOLA]],tbNucleo[ESCOLA],tbNucleo[COD ESCOLA],"")</f>
        <v/>
      </c>
      <c r="B1724" t="str" cm="1">
        <f t="array" ref="B1724">IFERROR(INDEX(tbNucleo[ESCOLA],ROUNDUP(ROW(B1723)/TotalEtapas,0)),"")</f>
        <v/>
      </c>
      <c r="E1724" t="str">
        <f>IFERROR(VLOOKUP(tbEscolas[[#This Row],[COD ETPA]],tbEtapas[],2,FALSE),"")</f>
        <v/>
      </c>
      <c r="F1724" t="str">
        <f>IFERROR(VLOOKUP(tbEscolas[[#This Row],[COD ETPA]],tbEtapas[],3,FALSE),"")</f>
        <v/>
      </c>
    </row>
    <row r="1725" spans="1:6" x14ac:dyDescent="0.25">
      <c r="A1725" s="24" t="str">
        <f>_xlfn.XLOOKUP(tbEscolas[[#This Row],[ESCOLA]],tbNucleo[ESCOLA],tbNucleo[COD ESCOLA],"")</f>
        <v/>
      </c>
      <c r="B1725" t="str" cm="1">
        <f t="array" ref="B1725">IFERROR(INDEX(tbNucleo[ESCOLA],ROUNDUP(ROW(B1724)/TotalEtapas,0)),"")</f>
        <v/>
      </c>
      <c r="E1725" t="str">
        <f>IFERROR(VLOOKUP(tbEscolas[[#This Row],[COD ETPA]],tbEtapas[],2,FALSE),"")</f>
        <v/>
      </c>
      <c r="F1725" t="str">
        <f>IFERROR(VLOOKUP(tbEscolas[[#This Row],[COD ETPA]],tbEtapas[],3,FALSE),"")</f>
        <v/>
      </c>
    </row>
    <row r="1726" spans="1:6" x14ac:dyDescent="0.25">
      <c r="A1726" s="24" t="str">
        <f>_xlfn.XLOOKUP(tbEscolas[[#This Row],[ESCOLA]],tbNucleo[ESCOLA],tbNucleo[COD ESCOLA],"")</f>
        <v/>
      </c>
      <c r="B1726" t="str" cm="1">
        <f t="array" ref="B1726">IFERROR(INDEX(tbNucleo[ESCOLA],ROUNDUP(ROW(B1725)/TotalEtapas,0)),"")</f>
        <v/>
      </c>
      <c r="E1726" t="str">
        <f>IFERROR(VLOOKUP(tbEscolas[[#This Row],[COD ETPA]],tbEtapas[],2,FALSE),"")</f>
        <v/>
      </c>
      <c r="F1726" t="str">
        <f>IFERROR(VLOOKUP(tbEscolas[[#This Row],[COD ETPA]],tbEtapas[],3,FALSE),"")</f>
        <v/>
      </c>
    </row>
    <row r="1727" spans="1:6" x14ac:dyDescent="0.25">
      <c r="A1727" s="24" t="str">
        <f>_xlfn.XLOOKUP(tbEscolas[[#This Row],[ESCOLA]],tbNucleo[ESCOLA],tbNucleo[COD ESCOLA],"")</f>
        <v/>
      </c>
      <c r="B1727" t="str" cm="1">
        <f t="array" ref="B1727">IFERROR(INDEX(tbNucleo[ESCOLA],ROUNDUP(ROW(B1726)/TotalEtapas,0)),"")</f>
        <v/>
      </c>
      <c r="E1727" t="str">
        <f>IFERROR(VLOOKUP(tbEscolas[[#This Row],[COD ETPA]],tbEtapas[],2,FALSE),"")</f>
        <v/>
      </c>
      <c r="F1727" t="str">
        <f>IFERROR(VLOOKUP(tbEscolas[[#This Row],[COD ETPA]],tbEtapas[],3,FALSE),"")</f>
        <v/>
      </c>
    </row>
    <row r="1728" spans="1:6" x14ac:dyDescent="0.25">
      <c r="A1728" s="24" t="str">
        <f>_xlfn.XLOOKUP(tbEscolas[[#This Row],[ESCOLA]],tbNucleo[ESCOLA],tbNucleo[COD ESCOLA],"")</f>
        <v/>
      </c>
      <c r="B1728" t="str" cm="1">
        <f t="array" ref="B1728">IFERROR(INDEX(tbNucleo[ESCOLA],ROUNDUP(ROW(B1727)/TotalEtapas,0)),"")</f>
        <v/>
      </c>
      <c r="E1728" t="str">
        <f>IFERROR(VLOOKUP(tbEscolas[[#This Row],[COD ETPA]],tbEtapas[],2,FALSE),"")</f>
        <v/>
      </c>
      <c r="F1728" t="str">
        <f>IFERROR(VLOOKUP(tbEscolas[[#This Row],[COD ETPA]],tbEtapas[],3,FALSE),"")</f>
        <v/>
      </c>
    </row>
    <row r="1729" spans="1:6" x14ac:dyDescent="0.25">
      <c r="A1729" s="24" t="str">
        <f>_xlfn.XLOOKUP(tbEscolas[[#This Row],[ESCOLA]],tbNucleo[ESCOLA],tbNucleo[COD ESCOLA],"")</f>
        <v/>
      </c>
      <c r="B1729" t="str" cm="1">
        <f t="array" ref="B1729">IFERROR(INDEX(tbNucleo[ESCOLA],ROUNDUP(ROW(B1728)/TotalEtapas,0)),"")</f>
        <v/>
      </c>
      <c r="E1729" t="str">
        <f>IFERROR(VLOOKUP(tbEscolas[[#This Row],[COD ETPA]],tbEtapas[],2,FALSE),"")</f>
        <v/>
      </c>
      <c r="F1729" t="str">
        <f>IFERROR(VLOOKUP(tbEscolas[[#This Row],[COD ETPA]],tbEtapas[],3,FALSE),"")</f>
        <v/>
      </c>
    </row>
    <row r="1730" spans="1:6" x14ac:dyDescent="0.25">
      <c r="A1730" s="24" t="str">
        <f>_xlfn.XLOOKUP(tbEscolas[[#This Row],[ESCOLA]],tbNucleo[ESCOLA],tbNucleo[COD ESCOLA],"")</f>
        <v/>
      </c>
      <c r="B1730" t="str" cm="1">
        <f t="array" ref="B1730">IFERROR(INDEX(tbNucleo[ESCOLA],ROUNDUP(ROW(B1729)/TotalEtapas,0)),"")</f>
        <v/>
      </c>
      <c r="E1730" t="str">
        <f>IFERROR(VLOOKUP(tbEscolas[[#This Row],[COD ETPA]],tbEtapas[],2,FALSE),"")</f>
        <v/>
      </c>
      <c r="F1730" t="str">
        <f>IFERROR(VLOOKUP(tbEscolas[[#This Row],[COD ETPA]],tbEtapas[],3,FALSE),"")</f>
        <v/>
      </c>
    </row>
    <row r="1731" spans="1:6" x14ac:dyDescent="0.25">
      <c r="A1731" s="24" t="str">
        <f>_xlfn.XLOOKUP(tbEscolas[[#This Row],[ESCOLA]],tbNucleo[ESCOLA],tbNucleo[COD ESCOLA],"")</f>
        <v/>
      </c>
      <c r="B1731" t="str" cm="1">
        <f t="array" ref="B1731">IFERROR(INDEX(tbNucleo[ESCOLA],ROUNDUP(ROW(B1730)/TotalEtapas,0)),"")</f>
        <v/>
      </c>
      <c r="E1731" t="str">
        <f>IFERROR(VLOOKUP(tbEscolas[[#This Row],[COD ETPA]],tbEtapas[],2,FALSE),"")</f>
        <v/>
      </c>
      <c r="F1731" t="str">
        <f>IFERROR(VLOOKUP(tbEscolas[[#This Row],[COD ETPA]],tbEtapas[],3,FALSE),"")</f>
        <v/>
      </c>
    </row>
    <row r="1732" spans="1:6" x14ac:dyDescent="0.25">
      <c r="A1732" s="24" t="str">
        <f>_xlfn.XLOOKUP(tbEscolas[[#This Row],[ESCOLA]],tbNucleo[ESCOLA],tbNucleo[COD ESCOLA],"")</f>
        <v/>
      </c>
      <c r="B1732" t="str" cm="1">
        <f t="array" ref="B1732">IFERROR(INDEX(tbNucleo[ESCOLA],ROUNDUP(ROW(B1731)/TotalEtapas,0)),"")</f>
        <v/>
      </c>
      <c r="E1732" t="str">
        <f>IFERROR(VLOOKUP(tbEscolas[[#This Row],[COD ETPA]],tbEtapas[],2,FALSE),"")</f>
        <v/>
      </c>
      <c r="F1732" t="str">
        <f>IFERROR(VLOOKUP(tbEscolas[[#This Row],[COD ETPA]],tbEtapas[],3,FALSE),"")</f>
        <v/>
      </c>
    </row>
    <row r="1733" spans="1:6" x14ac:dyDescent="0.25">
      <c r="A1733" s="24" t="str">
        <f>_xlfn.XLOOKUP(tbEscolas[[#This Row],[ESCOLA]],tbNucleo[ESCOLA],tbNucleo[COD ESCOLA],"")</f>
        <v/>
      </c>
      <c r="B1733" t="str" cm="1">
        <f t="array" ref="B1733">IFERROR(INDEX(tbNucleo[ESCOLA],ROUNDUP(ROW(B1732)/TotalEtapas,0)),"")</f>
        <v/>
      </c>
      <c r="E1733" t="str">
        <f>IFERROR(VLOOKUP(tbEscolas[[#This Row],[COD ETPA]],tbEtapas[],2,FALSE),"")</f>
        <v/>
      </c>
      <c r="F1733" t="str">
        <f>IFERROR(VLOOKUP(tbEscolas[[#This Row],[COD ETPA]],tbEtapas[],3,FALSE),"")</f>
        <v/>
      </c>
    </row>
    <row r="1734" spans="1:6" x14ac:dyDescent="0.25">
      <c r="A1734" s="24" t="str">
        <f>_xlfn.XLOOKUP(tbEscolas[[#This Row],[ESCOLA]],tbNucleo[ESCOLA],tbNucleo[COD ESCOLA],"")</f>
        <v/>
      </c>
      <c r="B1734" t="str" cm="1">
        <f t="array" ref="B1734">IFERROR(INDEX(tbNucleo[ESCOLA],ROUNDUP(ROW(B1733)/TotalEtapas,0)),"")</f>
        <v/>
      </c>
      <c r="E1734" t="str">
        <f>IFERROR(VLOOKUP(tbEscolas[[#This Row],[COD ETPA]],tbEtapas[],2,FALSE),"")</f>
        <v/>
      </c>
      <c r="F1734" t="str">
        <f>IFERROR(VLOOKUP(tbEscolas[[#This Row],[COD ETPA]],tbEtapas[],3,FALSE),"")</f>
        <v/>
      </c>
    </row>
    <row r="1735" spans="1:6" x14ac:dyDescent="0.25">
      <c r="A1735" s="24" t="str">
        <f>_xlfn.XLOOKUP(tbEscolas[[#This Row],[ESCOLA]],tbNucleo[ESCOLA],tbNucleo[COD ESCOLA],"")</f>
        <v/>
      </c>
      <c r="B1735" t="str" cm="1">
        <f t="array" ref="B1735">IFERROR(INDEX(tbNucleo[ESCOLA],ROUNDUP(ROW(B1734)/TotalEtapas,0)),"")</f>
        <v/>
      </c>
      <c r="E1735" t="str">
        <f>IFERROR(VLOOKUP(tbEscolas[[#This Row],[COD ETPA]],tbEtapas[],2,FALSE),"")</f>
        <v/>
      </c>
      <c r="F1735" t="str">
        <f>IFERROR(VLOOKUP(tbEscolas[[#This Row],[COD ETPA]],tbEtapas[],3,FALSE),"")</f>
        <v/>
      </c>
    </row>
    <row r="1736" spans="1:6" x14ac:dyDescent="0.25">
      <c r="A1736" s="24" t="str">
        <f>_xlfn.XLOOKUP(tbEscolas[[#This Row],[ESCOLA]],tbNucleo[ESCOLA],tbNucleo[COD ESCOLA],"")</f>
        <v/>
      </c>
      <c r="B1736" t="str" cm="1">
        <f t="array" ref="B1736">IFERROR(INDEX(tbNucleo[ESCOLA],ROUNDUP(ROW(B1735)/TotalEtapas,0)),"")</f>
        <v/>
      </c>
      <c r="E1736" t="str">
        <f>IFERROR(VLOOKUP(tbEscolas[[#This Row],[COD ETPA]],tbEtapas[],2,FALSE),"")</f>
        <v/>
      </c>
      <c r="F1736" t="str">
        <f>IFERROR(VLOOKUP(tbEscolas[[#This Row],[COD ETPA]],tbEtapas[],3,FALSE),"")</f>
        <v/>
      </c>
    </row>
    <row r="1737" spans="1:6" x14ac:dyDescent="0.25">
      <c r="A1737" s="24" t="str">
        <f>_xlfn.XLOOKUP(tbEscolas[[#This Row],[ESCOLA]],tbNucleo[ESCOLA],tbNucleo[COD ESCOLA],"")</f>
        <v/>
      </c>
      <c r="B1737" t="str" cm="1">
        <f t="array" ref="B1737">IFERROR(INDEX(tbNucleo[ESCOLA],ROUNDUP(ROW(B1736)/TotalEtapas,0)),"")</f>
        <v/>
      </c>
      <c r="E1737" t="str">
        <f>IFERROR(VLOOKUP(tbEscolas[[#This Row],[COD ETPA]],tbEtapas[],2,FALSE),"")</f>
        <v/>
      </c>
      <c r="F1737" t="str">
        <f>IFERROR(VLOOKUP(tbEscolas[[#This Row],[COD ETPA]],tbEtapas[],3,FALSE),"")</f>
        <v/>
      </c>
    </row>
    <row r="1738" spans="1:6" x14ac:dyDescent="0.25">
      <c r="A1738" s="24" t="str">
        <f>_xlfn.XLOOKUP(tbEscolas[[#This Row],[ESCOLA]],tbNucleo[ESCOLA],tbNucleo[COD ESCOLA],"")</f>
        <v/>
      </c>
      <c r="B1738" t="str" cm="1">
        <f t="array" ref="B1738">IFERROR(INDEX(tbNucleo[ESCOLA],ROUNDUP(ROW(B1737)/TotalEtapas,0)),"")</f>
        <v/>
      </c>
      <c r="E1738" t="str">
        <f>IFERROR(VLOOKUP(tbEscolas[[#This Row],[COD ETPA]],tbEtapas[],2,FALSE),"")</f>
        <v/>
      </c>
      <c r="F1738" t="str">
        <f>IFERROR(VLOOKUP(tbEscolas[[#This Row],[COD ETPA]],tbEtapas[],3,FALSE),"")</f>
        <v/>
      </c>
    </row>
    <row r="1739" spans="1:6" x14ac:dyDescent="0.25">
      <c r="A1739" s="24" t="str">
        <f>_xlfn.XLOOKUP(tbEscolas[[#This Row],[ESCOLA]],tbNucleo[ESCOLA],tbNucleo[COD ESCOLA],"")</f>
        <v/>
      </c>
      <c r="B1739" t="str" cm="1">
        <f t="array" ref="B1739">IFERROR(INDEX(tbNucleo[ESCOLA],ROUNDUP(ROW(B1738)/TotalEtapas,0)),"")</f>
        <v/>
      </c>
      <c r="E1739" t="str">
        <f>IFERROR(VLOOKUP(tbEscolas[[#This Row],[COD ETPA]],tbEtapas[],2,FALSE),"")</f>
        <v/>
      </c>
      <c r="F1739" t="str">
        <f>IFERROR(VLOOKUP(tbEscolas[[#This Row],[COD ETPA]],tbEtapas[],3,FALSE),"")</f>
        <v/>
      </c>
    </row>
    <row r="1740" spans="1:6" x14ac:dyDescent="0.25">
      <c r="A1740" s="24" t="str">
        <f>_xlfn.XLOOKUP(tbEscolas[[#This Row],[ESCOLA]],tbNucleo[ESCOLA],tbNucleo[COD ESCOLA],"")</f>
        <v/>
      </c>
      <c r="B1740" t="str" cm="1">
        <f t="array" ref="B1740">IFERROR(INDEX(tbNucleo[ESCOLA],ROUNDUP(ROW(B1739)/TotalEtapas,0)),"")</f>
        <v/>
      </c>
      <c r="E1740" t="str">
        <f>IFERROR(VLOOKUP(tbEscolas[[#This Row],[COD ETPA]],tbEtapas[],2,FALSE),"")</f>
        <v/>
      </c>
      <c r="F1740" t="str">
        <f>IFERROR(VLOOKUP(tbEscolas[[#This Row],[COD ETPA]],tbEtapas[],3,FALSE),"")</f>
        <v/>
      </c>
    </row>
    <row r="1741" spans="1:6" x14ac:dyDescent="0.25">
      <c r="A1741" s="24" t="str">
        <f>_xlfn.XLOOKUP(tbEscolas[[#This Row],[ESCOLA]],tbNucleo[ESCOLA],tbNucleo[COD ESCOLA],"")</f>
        <v/>
      </c>
      <c r="B1741" t="str" cm="1">
        <f t="array" ref="B1741">IFERROR(INDEX(tbNucleo[ESCOLA],ROUNDUP(ROW(B1740)/TotalEtapas,0)),"")</f>
        <v/>
      </c>
      <c r="E1741" t="str">
        <f>IFERROR(VLOOKUP(tbEscolas[[#This Row],[COD ETPA]],tbEtapas[],2,FALSE),"")</f>
        <v/>
      </c>
      <c r="F1741" t="str">
        <f>IFERROR(VLOOKUP(tbEscolas[[#This Row],[COD ETPA]],tbEtapas[],3,FALSE),"")</f>
        <v/>
      </c>
    </row>
    <row r="1742" spans="1:6" x14ac:dyDescent="0.25">
      <c r="A1742" s="24" t="str">
        <f>_xlfn.XLOOKUP(tbEscolas[[#This Row],[ESCOLA]],tbNucleo[ESCOLA],tbNucleo[COD ESCOLA],"")</f>
        <v/>
      </c>
      <c r="B1742" t="str" cm="1">
        <f t="array" ref="B1742">IFERROR(INDEX(tbNucleo[ESCOLA],ROUNDUP(ROW(B1741)/TotalEtapas,0)),"")</f>
        <v/>
      </c>
      <c r="E1742" t="str">
        <f>IFERROR(VLOOKUP(tbEscolas[[#This Row],[COD ETPA]],tbEtapas[],2,FALSE),"")</f>
        <v/>
      </c>
      <c r="F1742" t="str">
        <f>IFERROR(VLOOKUP(tbEscolas[[#This Row],[COD ETPA]],tbEtapas[],3,FALSE),"")</f>
        <v/>
      </c>
    </row>
    <row r="1743" spans="1:6" x14ac:dyDescent="0.25">
      <c r="A1743" s="24" t="str">
        <f>_xlfn.XLOOKUP(tbEscolas[[#This Row],[ESCOLA]],tbNucleo[ESCOLA],tbNucleo[COD ESCOLA],"")</f>
        <v/>
      </c>
      <c r="B1743" t="str" cm="1">
        <f t="array" ref="B1743">IFERROR(INDEX(tbNucleo[ESCOLA],ROUNDUP(ROW(B1742)/TotalEtapas,0)),"")</f>
        <v/>
      </c>
      <c r="E1743" t="str">
        <f>IFERROR(VLOOKUP(tbEscolas[[#This Row],[COD ETPA]],tbEtapas[],2,FALSE),"")</f>
        <v/>
      </c>
      <c r="F1743" t="str">
        <f>IFERROR(VLOOKUP(tbEscolas[[#This Row],[COD ETPA]],tbEtapas[],3,FALSE),"")</f>
        <v/>
      </c>
    </row>
    <row r="1744" spans="1:6" x14ac:dyDescent="0.25">
      <c r="A1744" s="24" t="str">
        <f>_xlfn.XLOOKUP(tbEscolas[[#This Row],[ESCOLA]],tbNucleo[ESCOLA],tbNucleo[COD ESCOLA],"")</f>
        <v/>
      </c>
      <c r="B1744" t="str" cm="1">
        <f t="array" ref="B1744">IFERROR(INDEX(tbNucleo[ESCOLA],ROUNDUP(ROW(B1743)/TotalEtapas,0)),"")</f>
        <v/>
      </c>
      <c r="E1744" t="str">
        <f>IFERROR(VLOOKUP(tbEscolas[[#This Row],[COD ETPA]],tbEtapas[],2,FALSE),"")</f>
        <v/>
      </c>
      <c r="F1744" t="str">
        <f>IFERROR(VLOOKUP(tbEscolas[[#This Row],[COD ETPA]],tbEtapas[],3,FALSE),"")</f>
        <v/>
      </c>
    </row>
    <row r="1745" spans="1:6" x14ac:dyDescent="0.25">
      <c r="A1745" s="24" t="str">
        <f>_xlfn.XLOOKUP(tbEscolas[[#This Row],[ESCOLA]],tbNucleo[ESCOLA],tbNucleo[COD ESCOLA],"")</f>
        <v/>
      </c>
      <c r="B1745" t="str" cm="1">
        <f t="array" ref="B1745">IFERROR(INDEX(tbNucleo[ESCOLA],ROUNDUP(ROW(B1744)/TotalEtapas,0)),"")</f>
        <v/>
      </c>
      <c r="E1745" t="str">
        <f>IFERROR(VLOOKUP(tbEscolas[[#This Row],[COD ETPA]],tbEtapas[],2,FALSE),"")</f>
        <v/>
      </c>
      <c r="F1745" t="str">
        <f>IFERROR(VLOOKUP(tbEscolas[[#This Row],[COD ETPA]],tbEtapas[],3,FALSE),"")</f>
        <v/>
      </c>
    </row>
    <row r="1746" spans="1:6" x14ac:dyDescent="0.25">
      <c r="A1746" s="24" t="str">
        <f>_xlfn.XLOOKUP(tbEscolas[[#This Row],[ESCOLA]],tbNucleo[ESCOLA],tbNucleo[COD ESCOLA],"")</f>
        <v/>
      </c>
      <c r="B1746" t="str" cm="1">
        <f t="array" ref="B1746">IFERROR(INDEX(tbNucleo[ESCOLA],ROUNDUP(ROW(B1745)/TotalEtapas,0)),"")</f>
        <v/>
      </c>
      <c r="E1746" t="str">
        <f>IFERROR(VLOOKUP(tbEscolas[[#This Row],[COD ETPA]],tbEtapas[],2,FALSE),"")</f>
        <v/>
      </c>
      <c r="F1746" t="str">
        <f>IFERROR(VLOOKUP(tbEscolas[[#This Row],[COD ETPA]],tbEtapas[],3,FALSE),"")</f>
        <v/>
      </c>
    </row>
    <row r="1747" spans="1:6" x14ac:dyDescent="0.25">
      <c r="A1747" s="24" t="str">
        <f>_xlfn.XLOOKUP(tbEscolas[[#This Row],[ESCOLA]],tbNucleo[ESCOLA],tbNucleo[COD ESCOLA],"")</f>
        <v/>
      </c>
      <c r="B1747" t="str" cm="1">
        <f t="array" ref="B1747">IFERROR(INDEX(tbNucleo[ESCOLA],ROUNDUP(ROW(B1746)/TotalEtapas,0)),"")</f>
        <v/>
      </c>
      <c r="E1747" t="str">
        <f>IFERROR(VLOOKUP(tbEscolas[[#This Row],[COD ETPA]],tbEtapas[],2,FALSE),"")</f>
        <v/>
      </c>
      <c r="F1747" t="str">
        <f>IFERROR(VLOOKUP(tbEscolas[[#This Row],[COD ETPA]],tbEtapas[],3,FALSE),"")</f>
        <v/>
      </c>
    </row>
    <row r="1748" spans="1:6" x14ac:dyDescent="0.25">
      <c r="A1748" s="24" t="str">
        <f>_xlfn.XLOOKUP(tbEscolas[[#This Row],[ESCOLA]],tbNucleo[ESCOLA],tbNucleo[COD ESCOLA],"")</f>
        <v/>
      </c>
      <c r="B1748" t="str" cm="1">
        <f t="array" ref="B1748">IFERROR(INDEX(tbNucleo[ESCOLA],ROUNDUP(ROW(B1747)/TotalEtapas,0)),"")</f>
        <v/>
      </c>
      <c r="E1748" t="str">
        <f>IFERROR(VLOOKUP(tbEscolas[[#This Row],[COD ETPA]],tbEtapas[],2,FALSE),"")</f>
        <v/>
      </c>
      <c r="F1748" t="str">
        <f>IFERROR(VLOOKUP(tbEscolas[[#This Row],[COD ETPA]],tbEtapas[],3,FALSE),"")</f>
        <v/>
      </c>
    </row>
    <row r="1749" spans="1:6" x14ac:dyDescent="0.25">
      <c r="A1749" s="24" t="str">
        <f>_xlfn.XLOOKUP(tbEscolas[[#This Row],[ESCOLA]],tbNucleo[ESCOLA],tbNucleo[COD ESCOLA],"")</f>
        <v/>
      </c>
      <c r="B1749" t="str" cm="1">
        <f t="array" ref="B1749">IFERROR(INDEX(tbNucleo[ESCOLA],ROUNDUP(ROW(B1748)/TotalEtapas,0)),"")</f>
        <v/>
      </c>
      <c r="E1749" t="str">
        <f>IFERROR(VLOOKUP(tbEscolas[[#This Row],[COD ETPA]],tbEtapas[],2,FALSE),"")</f>
        <v/>
      </c>
      <c r="F1749" t="str">
        <f>IFERROR(VLOOKUP(tbEscolas[[#This Row],[COD ETPA]],tbEtapas[],3,FALSE),"")</f>
        <v/>
      </c>
    </row>
    <row r="1750" spans="1:6" x14ac:dyDescent="0.25">
      <c r="A1750" s="24" t="str">
        <f>_xlfn.XLOOKUP(tbEscolas[[#This Row],[ESCOLA]],tbNucleo[ESCOLA],tbNucleo[COD ESCOLA],"")</f>
        <v/>
      </c>
      <c r="B1750" t="str" cm="1">
        <f t="array" ref="B1750">IFERROR(INDEX(tbNucleo[ESCOLA],ROUNDUP(ROW(B1749)/TotalEtapas,0)),"")</f>
        <v/>
      </c>
      <c r="E1750" t="str">
        <f>IFERROR(VLOOKUP(tbEscolas[[#This Row],[COD ETPA]],tbEtapas[],2,FALSE),"")</f>
        <v/>
      </c>
      <c r="F1750" t="str">
        <f>IFERROR(VLOOKUP(tbEscolas[[#This Row],[COD ETPA]],tbEtapas[],3,FALSE),"")</f>
        <v/>
      </c>
    </row>
    <row r="1751" spans="1:6" x14ac:dyDescent="0.25">
      <c r="A1751" s="24" t="str">
        <f>_xlfn.XLOOKUP(tbEscolas[[#This Row],[ESCOLA]],tbNucleo[ESCOLA],tbNucleo[COD ESCOLA],"")</f>
        <v/>
      </c>
      <c r="B1751" t="str" cm="1">
        <f t="array" ref="B1751">IFERROR(INDEX(tbNucleo[ESCOLA],ROUNDUP(ROW(B1750)/TotalEtapas,0)),"")</f>
        <v/>
      </c>
      <c r="E1751" t="str">
        <f>IFERROR(VLOOKUP(tbEscolas[[#This Row],[COD ETPA]],tbEtapas[],2,FALSE),"")</f>
        <v/>
      </c>
      <c r="F1751" t="str">
        <f>IFERROR(VLOOKUP(tbEscolas[[#This Row],[COD ETPA]],tbEtapas[],3,FALSE),"")</f>
        <v/>
      </c>
    </row>
    <row r="1752" spans="1:6" x14ac:dyDescent="0.25">
      <c r="A1752" s="24" t="str">
        <f>_xlfn.XLOOKUP(tbEscolas[[#This Row],[ESCOLA]],tbNucleo[ESCOLA],tbNucleo[COD ESCOLA],"")</f>
        <v/>
      </c>
      <c r="B1752" t="str" cm="1">
        <f t="array" ref="B1752">IFERROR(INDEX(tbNucleo[ESCOLA],ROUNDUP(ROW(B1751)/TotalEtapas,0)),"")</f>
        <v/>
      </c>
      <c r="E1752" t="str">
        <f>IFERROR(VLOOKUP(tbEscolas[[#This Row],[COD ETPA]],tbEtapas[],2,FALSE),"")</f>
        <v/>
      </c>
      <c r="F1752" t="str">
        <f>IFERROR(VLOOKUP(tbEscolas[[#This Row],[COD ETPA]],tbEtapas[],3,FALSE),"")</f>
        <v/>
      </c>
    </row>
    <row r="1753" spans="1:6" x14ac:dyDescent="0.25">
      <c r="A1753" s="24" t="str">
        <f>_xlfn.XLOOKUP(tbEscolas[[#This Row],[ESCOLA]],tbNucleo[ESCOLA],tbNucleo[COD ESCOLA],"")</f>
        <v/>
      </c>
      <c r="B1753" t="str" cm="1">
        <f t="array" ref="B1753">IFERROR(INDEX(tbNucleo[ESCOLA],ROUNDUP(ROW(B1752)/TotalEtapas,0)),"")</f>
        <v/>
      </c>
      <c r="E1753" t="str">
        <f>IFERROR(VLOOKUP(tbEscolas[[#This Row],[COD ETPA]],tbEtapas[],2,FALSE),"")</f>
        <v/>
      </c>
      <c r="F1753" t="str">
        <f>IFERROR(VLOOKUP(tbEscolas[[#This Row],[COD ETPA]],tbEtapas[],3,FALSE),"")</f>
        <v/>
      </c>
    </row>
    <row r="1754" spans="1:6" x14ac:dyDescent="0.25">
      <c r="A1754" s="24" t="str">
        <f>_xlfn.XLOOKUP(tbEscolas[[#This Row],[ESCOLA]],tbNucleo[ESCOLA],tbNucleo[COD ESCOLA],"")</f>
        <v/>
      </c>
      <c r="B1754" t="str" cm="1">
        <f t="array" ref="B1754">IFERROR(INDEX(tbNucleo[ESCOLA],ROUNDUP(ROW(B1753)/TotalEtapas,0)),"")</f>
        <v/>
      </c>
      <c r="E1754" t="str">
        <f>IFERROR(VLOOKUP(tbEscolas[[#This Row],[COD ETPA]],tbEtapas[],2,FALSE),"")</f>
        <v/>
      </c>
      <c r="F1754" t="str">
        <f>IFERROR(VLOOKUP(tbEscolas[[#This Row],[COD ETPA]],tbEtapas[],3,FALSE),"")</f>
        <v/>
      </c>
    </row>
    <row r="1755" spans="1:6" x14ac:dyDescent="0.25">
      <c r="A1755" s="24" t="str">
        <f>_xlfn.XLOOKUP(tbEscolas[[#This Row],[ESCOLA]],tbNucleo[ESCOLA],tbNucleo[COD ESCOLA],"")</f>
        <v/>
      </c>
      <c r="B1755" t="str" cm="1">
        <f t="array" ref="B1755">IFERROR(INDEX(tbNucleo[ESCOLA],ROUNDUP(ROW(B1754)/TotalEtapas,0)),"")</f>
        <v/>
      </c>
      <c r="E1755" t="str">
        <f>IFERROR(VLOOKUP(tbEscolas[[#This Row],[COD ETPA]],tbEtapas[],2,FALSE),"")</f>
        <v/>
      </c>
      <c r="F1755" t="str">
        <f>IFERROR(VLOOKUP(tbEscolas[[#This Row],[COD ETPA]],tbEtapas[],3,FALSE),"")</f>
        <v/>
      </c>
    </row>
    <row r="1756" spans="1:6" x14ac:dyDescent="0.25">
      <c r="A1756" s="24" t="str">
        <f>_xlfn.XLOOKUP(tbEscolas[[#This Row],[ESCOLA]],tbNucleo[ESCOLA],tbNucleo[COD ESCOLA],"")</f>
        <v/>
      </c>
      <c r="B1756" t="str" cm="1">
        <f t="array" ref="B1756">IFERROR(INDEX(tbNucleo[ESCOLA],ROUNDUP(ROW(B1755)/TotalEtapas,0)),"")</f>
        <v/>
      </c>
      <c r="E1756" t="str">
        <f>IFERROR(VLOOKUP(tbEscolas[[#This Row],[COD ETPA]],tbEtapas[],2,FALSE),"")</f>
        <v/>
      </c>
      <c r="F1756" t="str">
        <f>IFERROR(VLOOKUP(tbEscolas[[#This Row],[COD ETPA]],tbEtapas[],3,FALSE),"")</f>
        <v/>
      </c>
    </row>
    <row r="1757" spans="1:6" x14ac:dyDescent="0.25">
      <c r="A1757" s="24" t="str">
        <f>_xlfn.XLOOKUP(tbEscolas[[#This Row],[ESCOLA]],tbNucleo[ESCOLA],tbNucleo[COD ESCOLA],"")</f>
        <v/>
      </c>
      <c r="B1757" t="str" cm="1">
        <f t="array" ref="B1757">IFERROR(INDEX(tbNucleo[ESCOLA],ROUNDUP(ROW(B1756)/TotalEtapas,0)),"")</f>
        <v/>
      </c>
      <c r="E1757" t="str">
        <f>IFERROR(VLOOKUP(tbEscolas[[#This Row],[COD ETPA]],tbEtapas[],2,FALSE),"")</f>
        <v/>
      </c>
      <c r="F1757" t="str">
        <f>IFERROR(VLOOKUP(tbEscolas[[#This Row],[COD ETPA]],tbEtapas[],3,FALSE),"")</f>
        <v/>
      </c>
    </row>
    <row r="1758" spans="1:6" x14ac:dyDescent="0.25">
      <c r="A1758" s="24" t="str">
        <f>_xlfn.XLOOKUP(tbEscolas[[#This Row],[ESCOLA]],tbNucleo[ESCOLA],tbNucleo[COD ESCOLA],"")</f>
        <v/>
      </c>
      <c r="B1758" t="str" cm="1">
        <f t="array" ref="B1758">IFERROR(INDEX(tbNucleo[ESCOLA],ROUNDUP(ROW(B1757)/TotalEtapas,0)),"")</f>
        <v/>
      </c>
      <c r="E1758" t="str">
        <f>IFERROR(VLOOKUP(tbEscolas[[#This Row],[COD ETPA]],tbEtapas[],2,FALSE),"")</f>
        <v/>
      </c>
      <c r="F1758" t="str">
        <f>IFERROR(VLOOKUP(tbEscolas[[#This Row],[COD ETPA]],tbEtapas[],3,FALSE),"")</f>
        <v/>
      </c>
    </row>
    <row r="1759" spans="1:6" x14ac:dyDescent="0.25">
      <c r="A1759" s="24" t="str">
        <f>_xlfn.XLOOKUP(tbEscolas[[#This Row],[ESCOLA]],tbNucleo[ESCOLA],tbNucleo[COD ESCOLA],"")</f>
        <v/>
      </c>
      <c r="B1759" t="str" cm="1">
        <f t="array" ref="B1759">IFERROR(INDEX(tbNucleo[ESCOLA],ROUNDUP(ROW(B1758)/TotalEtapas,0)),"")</f>
        <v/>
      </c>
      <c r="E1759" t="str">
        <f>IFERROR(VLOOKUP(tbEscolas[[#This Row],[COD ETPA]],tbEtapas[],2,FALSE),"")</f>
        <v/>
      </c>
      <c r="F1759" t="str">
        <f>IFERROR(VLOOKUP(tbEscolas[[#This Row],[COD ETPA]],tbEtapas[],3,FALSE),"")</f>
        <v/>
      </c>
    </row>
    <row r="1760" spans="1:6" x14ac:dyDescent="0.25">
      <c r="A1760" s="24" t="str">
        <f>_xlfn.XLOOKUP(tbEscolas[[#This Row],[ESCOLA]],tbNucleo[ESCOLA],tbNucleo[COD ESCOLA],"")</f>
        <v/>
      </c>
      <c r="B1760" t="str" cm="1">
        <f t="array" ref="B1760">IFERROR(INDEX(tbNucleo[ESCOLA],ROUNDUP(ROW(B1759)/TotalEtapas,0)),"")</f>
        <v/>
      </c>
      <c r="E1760" t="str">
        <f>IFERROR(VLOOKUP(tbEscolas[[#This Row],[COD ETPA]],tbEtapas[],2,FALSE),"")</f>
        <v/>
      </c>
      <c r="F1760" t="str">
        <f>IFERROR(VLOOKUP(tbEscolas[[#This Row],[COD ETPA]],tbEtapas[],3,FALSE),"")</f>
        <v/>
      </c>
    </row>
    <row r="1761" spans="1:6" x14ac:dyDescent="0.25">
      <c r="A1761" s="24" t="str">
        <f>_xlfn.XLOOKUP(tbEscolas[[#This Row],[ESCOLA]],tbNucleo[ESCOLA],tbNucleo[COD ESCOLA],"")</f>
        <v/>
      </c>
      <c r="B1761" t="str" cm="1">
        <f t="array" ref="B1761">IFERROR(INDEX(tbNucleo[ESCOLA],ROUNDUP(ROW(B1760)/TotalEtapas,0)),"")</f>
        <v/>
      </c>
      <c r="E1761" t="str">
        <f>IFERROR(VLOOKUP(tbEscolas[[#This Row],[COD ETPA]],tbEtapas[],2,FALSE),"")</f>
        <v/>
      </c>
      <c r="F1761" t="str">
        <f>IFERROR(VLOOKUP(tbEscolas[[#This Row],[COD ETPA]],tbEtapas[],3,FALSE),"")</f>
        <v/>
      </c>
    </row>
    <row r="1762" spans="1:6" x14ac:dyDescent="0.25">
      <c r="A1762" s="24" t="str">
        <f>_xlfn.XLOOKUP(tbEscolas[[#This Row],[ESCOLA]],tbNucleo[ESCOLA],tbNucleo[COD ESCOLA],"")</f>
        <v/>
      </c>
      <c r="B1762" t="str" cm="1">
        <f t="array" ref="B1762">IFERROR(INDEX(tbNucleo[ESCOLA],ROUNDUP(ROW(B1761)/TotalEtapas,0)),"")</f>
        <v/>
      </c>
      <c r="E1762" t="str">
        <f>IFERROR(VLOOKUP(tbEscolas[[#This Row],[COD ETPA]],tbEtapas[],2,FALSE),"")</f>
        <v/>
      </c>
      <c r="F1762" t="str">
        <f>IFERROR(VLOOKUP(tbEscolas[[#This Row],[COD ETPA]],tbEtapas[],3,FALSE),"")</f>
        <v/>
      </c>
    </row>
    <row r="1763" spans="1:6" x14ac:dyDescent="0.25">
      <c r="A1763" s="24" t="str">
        <f>_xlfn.XLOOKUP(tbEscolas[[#This Row],[ESCOLA]],tbNucleo[ESCOLA],tbNucleo[COD ESCOLA],"")</f>
        <v/>
      </c>
      <c r="B1763" t="str" cm="1">
        <f t="array" ref="B1763">IFERROR(INDEX(tbNucleo[ESCOLA],ROUNDUP(ROW(B1762)/TotalEtapas,0)),"")</f>
        <v/>
      </c>
      <c r="E1763" t="str">
        <f>IFERROR(VLOOKUP(tbEscolas[[#This Row],[COD ETPA]],tbEtapas[],2,FALSE),"")</f>
        <v/>
      </c>
      <c r="F1763" t="str">
        <f>IFERROR(VLOOKUP(tbEscolas[[#This Row],[COD ETPA]],tbEtapas[],3,FALSE),"")</f>
        <v/>
      </c>
    </row>
    <row r="1764" spans="1:6" x14ac:dyDescent="0.25">
      <c r="A1764" s="24" t="str">
        <f>_xlfn.XLOOKUP(tbEscolas[[#This Row],[ESCOLA]],tbNucleo[ESCOLA],tbNucleo[COD ESCOLA],"")</f>
        <v/>
      </c>
      <c r="B1764" t="str" cm="1">
        <f t="array" ref="B1764">IFERROR(INDEX(tbNucleo[ESCOLA],ROUNDUP(ROW(B1763)/TotalEtapas,0)),"")</f>
        <v/>
      </c>
      <c r="E1764" t="str">
        <f>IFERROR(VLOOKUP(tbEscolas[[#This Row],[COD ETPA]],tbEtapas[],2,FALSE),"")</f>
        <v/>
      </c>
      <c r="F1764" t="str">
        <f>IFERROR(VLOOKUP(tbEscolas[[#This Row],[COD ETPA]],tbEtapas[],3,FALSE),"")</f>
        <v/>
      </c>
    </row>
    <row r="1765" spans="1:6" x14ac:dyDescent="0.25">
      <c r="A1765" s="24" t="str">
        <f>_xlfn.XLOOKUP(tbEscolas[[#This Row],[ESCOLA]],tbNucleo[ESCOLA],tbNucleo[COD ESCOLA],"")</f>
        <v/>
      </c>
      <c r="B1765" t="str" cm="1">
        <f t="array" ref="B1765">IFERROR(INDEX(tbNucleo[ESCOLA],ROUNDUP(ROW(B1764)/TotalEtapas,0)),"")</f>
        <v/>
      </c>
      <c r="E1765" t="str">
        <f>IFERROR(VLOOKUP(tbEscolas[[#This Row],[COD ETPA]],tbEtapas[],2,FALSE),"")</f>
        <v/>
      </c>
      <c r="F1765" t="str">
        <f>IFERROR(VLOOKUP(tbEscolas[[#This Row],[COD ETPA]],tbEtapas[],3,FALSE),"")</f>
        <v/>
      </c>
    </row>
    <row r="1766" spans="1:6" x14ac:dyDescent="0.25">
      <c r="A1766" s="24" t="str">
        <f>_xlfn.XLOOKUP(tbEscolas[[#This Row],[ESCOLA]],tbNucleo[ESCOLA],tbNucleo[COD ESCOLA],"")</f>
        <v/>
      </c>
      <c r="B1766" t="str" cm="1">
        <f t="array" ref="B1766">IFERROR(INDEX(tbNucleo[ESCOLA],ROUNDUP(ROW(B1765)/TotalEtapas,0)),"")</f>
        <v/>
      </c>
      <c r="E1766" t="str">
        <f>IFERROR(VLOOKUP(tbEscolas[[#This Row],[COD ETPA]],tbEtapas[],2,FALSE),"")</f>
        <v/>
      </c>
      <c r="F1766" t="str">
        <f>IFERROR(VLOOKUP(tbEscolas[[#This Row],[COD ETPA]],tbEtapas[],3,FALSE),"")</f>
        <v/>
      </c>
    </row>
    <row r="1767" spans="1:6" x14ac:dyDescent="0.25">
      <c r="A1767" s="24" t="str">
        <f>_xlfn.XLOOKUP(tbEscolas[[#This Row],[ESCOLA]],tbNucleo[ESCOLA],tbNucleo[COD ESCOLA],"")</f>
        <v/>
      </c>
      <c r="B1767" t="str" cm="1">
        <f t="array" ref="B1767">IFERROR(INDEX(tbNucleo[ESCOLA],ROUNDUP(ROW(B1766)/TotalEtapas,0)),"")</f>
        <v/>
      </c>
      <c r="E1767" t="str">
        <f>IFERROR(VLOOKUP(tbEscolas[[#This Row],[COD ETPA]],tbEtapas[],2,FALSE),"")</f>
        <v/>
      </c>
      <c r="F1767" t="str">
        <f>IFERROR(VLOOKUP(tbEscolas[[#This Row],[COD ETPA]],tbEtapas[],3,FALSE),"")</f>
        <v/>
      </c>
    </row>
    <row r="1768" spans="1:6" x14ac:dyDescent="0.25">
      <c r="A1768" s="24" t="str">
        <f>_xlfn.XLOOKUP(tbEscolas[[#This Row],[ESCOLA]],tbNucleo[ESCOLA],tbNucleo[COD ESCOLA],"")</f>
        <v/>
      </c>
      <c r="B1768" t="str" cm="1">
        <f t="array" ref="B1768">IFERROR(INDEX(tbNucleo[ESCOLA],ROUNDUP(ROW(B1767)/TotalEtapas,0)),"")</f>
        <v/>
      </c>
      <c r="E1768" t="str">
        <f>IFERROR(VLOOKUP(tbEscolas[[#This Row],[COD ETPA]],tbEtapas[],2,FALSE),"")</f>
        <v/>
      </c>
      <c r="F1768" t="str">
        <f>IFERROR(VLOOKUP(tbEscolas[[#This Row],[COD ETPA]],tbEtapas[],3,FALSE),"")</f>
        <v/>
      </c>
    </row>
    <row r="1769" spans="1:6" x14ac:dyDescent="0.25">
      <c r="A1769" s="24" t="str">
        <f>_xlfn.XLOOKUP(tbEscolas[[#This Row],[ESCOLA]],tbNucleo[ESCOLA],tbNucleo[COD ESCOLA],"")</f>
        <v/>
      </c>
      <c r="B1769" t="str" cm="1">
        <f t="array" ref="B1769">IFERROR(INDEX(tbNucleo[ESCOLA],ROUNDUP(ROW(B1768)/TotalEtapas,0)),"")</f>
        <v/>
      </c>
      <c r="E1769" t="str">
        <f>IFERROR(VLOOKUP(tbEscolas[[#This Row],[COD ETPA]],tbEtapas[],2,FALSE),"")</f>
        <v/>
      </c>
      <c r="F1769" t="str">
        <f>IFERROR(VLOOKUP(tbEscolas[[#This Row],[COD ETPA]],tbEtapas[],3,FALSE),"")</f>
        <v/>
      </c>
    </row>
    <row r="1770" spans="1:6" x14ac:dyDescent="0.25">
      <c r="A1770" s="24" t="str">
        <f>_xlfn.XLOOKUP(tbEscolas[[#This Row],[ESCOLA]],tbNucleo[ESCOLA],tbNucleo[COD ESCOLA],"")</f>
        <v/>
      </c>
      <c r="B1770" t="str" cm="1">
        <f t="array" ref="B1770">IFERROR(INDEX(tbNucleo[ESCOLA],ROUNDUP(ROW(B1769)/TotalEtapas,0)),"")</f>
        <v/>
      </c>
      <c r="E1770" t="str">
        <f>IFERROR(VLOOKUP(tbEscolas[[#This Row],[COD ETPA]],tbEtapas[],2,FALSE),"")</f>
        <v/>
      </c>
      <c r="F1770" t="str">
        <f>IFERROR(VLOOKUP(tbEscolas[[#This Row],[COD ETPA]],tbEtapas[],3,FALSE),"")</f>
        <v/>
      </c>
    </row>
    <row r="1771" spans="1:6" x14ac:dyDescent="0.25">
      <c r="A1771" s="24" t="str">
        <f>_xlfn.XLOOKUP(tbEscolas[[#This Row],[ESCOLA]],tbNucleo[ESCOLA],tbNucleo[COD ESCOLA],"")</f>
        <v/>
      </c>
      <c r="B1771" t="str" cm="1">
        <f t="array" ref="B1771">IFERROR(INDEX(tbNucleo[ESCOLA],ROUNDUP(ROW(B1770)/TotalEtapas,0)),"")</f>
        <v/>
      </c>
      <c r="E1771" t="str">
        <f>IFERROR(VLOOKUP(tbEscolas[[#This Row],[COD ETPA]],tbEtapas[],2,FALSE),"")</f>
        <v/>
      </c>
      <c r="F1771" t="str">
        <f>IFERROR(VLOOKUP(tbEscolas[[#This Row],[COD ETPA]],tbEtapas[],3,FALSE),"")</f>
        <v/>
      </c>
    </row>
    <row r="1772" spans="1:6" x14ac:dyDescent="0.25">
      <c r="A1772" s="24" t="str">
        <f>_xlfn.XLOOKUP(tbEscolas[[#This Row],[ESCOLA]],tbNucleo[ESCOLA],tbNucleo[COD ESCOLA],"")</f>
        <v/>
      </c>
      <c r="B1772" t="str" cm="1">
        <f t="array" ref="B1772">IFERROR(INDEX(tbNucleo[ESCOLA],ROUNDUP(ROW(B1771)/TotalEtapas,0)),"")</f>
        <v/>
      </c>
      <c r="E1772" t="str">
        <f>IFERROR(VLOOKUP(tbEscolas[[#This Row],[COD ETPA]],tbEtapas[],2,FALSE),"")</f>
        <v/>
      </c>
      <c r="F1772" t="str">
        <f>IFERROR(VLOOKUP(tbEscolas[[#This Row],[COD ETPA]],tbEtapas[],3,FALSE),"")</f>
        <v/>
      </c>
    </row>
    <row r="1773" spans="1:6" x14ac:dyDescent="0.25">
      <c r="A1773" s="24" t="str">
        <f>_xlfn.XLOOKUP(tbEscolas[[#This Row],[ESCOLA]],tbNucleo[ESCOLA],tbNucleo[COD ESCOLA],"")</f>
        <v/>
      </c>
      <c r="B1773" t="str" cm="1">
        <f t="array" ref="B1773">IFERROR(INDEX(tbNucleo[ESCOLA],ROUNDUP(ROW(B1772)/TotalEtapas,0)),"")</f>
        <v/>
      </c>
      <c r="E1773" t="str">
        <f>IFERROR(VLOOKUP(tbEscolas[[#This Row],[COD ETPA]],tbEtapas[],2,FALSE),"")</f>
        <v/>
      </c>
      <c r="F1773" t="str">
        <f>IFERROR(VLOOKUP(tbEscolas[[#This Row],[COD ETPA]],tbEtapas[],3,FALSE),"")</f>
        <v/>
      </c>
    </row>
    <row r="1774" spans="1:6" x14ac:dyDescent="0.25">
      <c r="A1774" s="24" t="str">
        <f>_xlfn.XLOOKUP(tbEscolas[[#This Row],[ESCOLA]],tbNucleo[ESCOLA],tbNucleo[COD ESCOLA],"")</f>
        <v/>
      </c>
      <c r="B1774" t="str" cm="1">
        <f t="array" ref="B1774">IFERROR(INDEX(tbNucleo[ESCOLA],ROUNDUP(ROW(B1773)/TotalEtapas,0)),"")</f>
        <v/>
      </c>
      <c r="E1774" t="str">
        <f>IFERROR(VLOOKUP(tbEscolas[[#This Row],[COD ETPA]],tbEtapas[],2,FALSE),"")</f>
        <v/>
      </c>
      <c r="F1774" t="str">
        <f>IFERROR(VLOOKUP(tbEscolas[[#This Row],[COD ETPA]],tbEtapas[],3,FALSE),"")</f>
        <v/>
      </c>
    </row>
    <row r="1775" spans="1:6" x14ac:dyDescent="0.25">
      <c r="A1775" s="24" t="str">
        <f>_xlfn.XLOOKUP(tbEscolas[[#This Row],[ESCOLA]],tbNucleo[ESCOLA],tbNucleo[COD ESCOLA],"")</f>
        <v/>
      </c>
      <c r="B1775" t="str" cm="1">
        <f t="array" ref="B1775">IFERROR(INDEX(tbNucleo[ESCOLA],ROUNDUP(ROW(B1774)/TotalEtapas,0)),"")</f>
        <v/>
      </c>
      <c r="E1775" t="str">
        <f>IFERROR(VLOOKUP(tbEscolas[[#This Row],[COD ETPA]],tbEtapas[],2,FALSE),"")</f>
        <v/>
      </c>
      <c r="F1775" t="str">
        <f>IFERROR(VLOOKUP(tbEscolas[[#This Row],[COD ETPA]],tbEtapas[],3,FALSE),"")</f>
        <v/>
      </c>
    </row>
    <row r="1776" spans="1:6" x14ac:dyDescent="0.25">
      <c r="A1776" s="24" t="str">
        <f>_xlfn.XLOOKUP(tbEscolas[[#This Row],[ESCOLA]],tbNucleo[ESCOLA],tbNucleo[COD ESCOLA],"")</f>
        <v/>
      </c>
      <c r="B1776" t="str" cm="1">
        <f t="array" ref="B1776">IFERROR(INDEX(tbNucleo[ESCOLA],ROUNDUP(ROW(B1775)/TotalEtapas,0)),"")</f>
        <v/>
      </c>
      <c r="E1776" t="str">
        <f>IFERROR(VLOOKUP(tbEscolas[[#This Row],[COD ETPA]],tbEtapas[],2,FALSE),"")</f>
        <v/>
      </c>
      <c r="F1776" t="str">
        <f>IFERROR(VLOOKUP(tbEscolas[[#This Row],[COD ETPA]],tbEtapas[],3,FALSE),"")</f>
        <v/>
      </c>
    </row>
    <row r="1777" spans="1:6" x14ac:dyDescent="0.25">
      <c r="A1777" s="24" t="str">
        <f>_xlfn.XLOOKUP(tbEscolas[[#This Row],[ESCOLA]],tbNucleo[ESCOLA],tbNucleo[COD ESCOLA],"")</f>
        <v/>
      </c>
      <c r="B1777" t="str" cm="1">
        <f t="array" ref="B1777">IFERROR(INDEX(tbNucleo[ESCOLA],ROUNDUP(ROW(B1776)/TotalEtapas,0)),"")</f>
        <v/>
      </c>
      <c r="E1777" t="str">
        <f>IFERROR(VLOOKUP(tbEscolas[[#This Row],[COD ETPA]],tbEtapas[],2,FALSE),"")</f>
        <v/>
      </c>
      <c r="F1777" t="str">
        <f>IFERROR(VLOOKUP(tbEscolas[[#This Row],[COD ETPA]],tbEtapas[],3,FALSE),"")</f>
        <v/>
      </c>
    </row>
    <row r="1778" spans="1:6" x14ac:dyDescent="0.25">
      <c r="A1778" s="24" t="str">
        <f>_xlfn.XLOOKUP(tbEscolas[[#This Row],[ESCOLA]],tbNucleo[ESCOLA],tbNucleo[COD ESCOLA],"")</f>
        <v/>
      </c>
      <c r="B1778" t="str" cm="1">
        <f t="array" ref="B1778">IFERROR(INDEX(tbNucleo[ESCOLA],ROUNDUP(ROW(B1777)/TotalEtapas,0)),"")</f>
        <v/>
      </c>
      <c r="E1778" t="str">
        <f>IFERROR(VLOOKUP(tbEscolas[[#This Row],[COD ETPA]],tbEtapas[],2,FALSE),"")</f>
        <v/>
      </c>
      <c r="F1778" t="str">
        <f>IFERROR(VLOOKUP(tbEscolas[[#This Row],[COD ETPA]],tbEtapas[],3,FALSE),"")</f>
        <v/>
      </c>
    </row>
    <row r="1779" spans="1:6" x14ac:dyDescent="0.25">
      <c r="A1779" s="24" t="str">
        <f>_xlfn.XLOOKUP(tbEscolas[[#This Row],[ESCOLA]],tbNucleo[ESCOLA],tbNucleo[COD ESCOLA],"")</f>
        <v/>
      </c>
      <c r="B1779" t="str" cm="1">
        <f t="array" ref="B1779">IFERROR(INDEX(tbNucleo[ESCOLA],ROUNDUP(ROW(B1778)/TotalEtapas,0)),"")</f>
        <v/>
      </c>
      <c r="E1779" t="str">
        <f>IFERROR(VLOOKUP(tbEscolas[[#This Row],[COD ETPA]],tbEtapas[],2,FALSE),"")</f>
        <v/>
      </c>
      <c r="F1779" t="str">
        <f>IFERROR(VLOOKUP(tbEscolas[[#This Row],[COD ETPA]],tbEtapas[],3,FALSE),"")</f>
        <v/>
      </c>
    </row>
    <row r="1780" spans="1:6" x14ac:dyDescent="0.25">
      <c r="A1780" s="24" t="str">
        <f>_xlfn.XLOOKUP(tbEscolas[[#This Row],[ESCOLA]],tbNucleo[ESCOLA],tbNucleo[COD ESCOLA],"")</f>
        <v/>
      </c>
      <c r="B1780" t="str" cm="1">
        <f t="array" ref="B1780">IFERROR(INDEX(tbNucleo[ESCOLA],ROUNDUP(ROW(B1779)/TotalEtapas,0)),"")</f>
        <v/>
      </c>
      <c r="E1780" t="str">
        <f>IFERROR(VLOOKUP(tbEscolas[[#This Row],[COD ETPA]],tbEtapas[],2,FALSE),"")</f>
        <v/>
      </c>
      <c r="F1780" t="str">
        <f>IFERROR(VLOOKUP(tbEscolas[[#This Row],[COD ETPA]],tbEtapas[],3,FALSE),"")</f>
        <v/>
      </c>
    </row>
    <row r="1781" spans="1:6" x14ac:dyDescent="0.25">
      <c r="A1781" s="24" t="str">
        <f>_xlfn.XLOOKUP(tbEscolas[[#This Row],[ESCOLA]],tbNucleo[ESCOLA],tbNucleo[COD ESCOLA],"")</f>
        <v/>
      </c>
      <c r="B1781" t="str" cm="1">
        <f t="array" ref="B1781">IFERROR(INDEX(tbNucleo[ESCOLA],ROUNDUP(ROW(B1780)/TotalEtapas,0)),"")</f>
        <v/>
      </c>
      <c r="E1781" t="str">
        <f>IFERROR(VLOOKUP(tbEscolas[[#This Row],[COD ETPA]],tbEtapas[],2,FALSE),"")</f>
        <v/>
      </c>
      <c r="F1781" t="str">
        <f>IFERROR(VLOOKUP(tbEscolas[[#This Row],[COD ETPA]],tbEtapas[],3,FALSE),"")</f>
        <v/>
      </c>
    </row>
    <row r="1782" spans="1:6" x14ac:dyDescent="0.25">
      <c r="A1782" s="24" t="str">
        <f>_xlfn.XLOOKUP(tbEscolas[[#This Row],[ESCOLA]],tbNucleo[ESCOLA],tbNucleo[COD ESCOLA],"")</f>
        <v/>
      </c>
      <c r="B1782" t="str" cm="1">
        <f t="array" ref="B1782">IFERROR(INDEX(tbNucleo[ESCOLA],ROUNDUP(ROW(B1781)/TotalEtapas,0)),"")</f>
        <v/>
      </c>
      <c r="E1782" t="str">
        <f>IFERROR(VLOOKUP(tbEscolas[[#This Row],[COD ETPA]],tbEtapas[],2,FALSE),"")</f>
        <v/>
      </c>
      <c r="F1782" t="str">
        <f>IFERROR(VLOOKUP(tbEscolas[[#This Row],[COD ETPA]],tbEtapas[],3,FALSE),"")</f>
        <v/>
      </c>
    </row>
    <row r="1783" spans="1:6" x14ac:dyDescent="0.25">
      <c r="A1783" s="24" t="str">
        <f>_xlfn.XLOOKUP(tbEscolas[[#This Row],[ESCOLA]],tbNucleo[ESCOLA],tbNucleo[COD ESCOLA],"")</f>
        <v/>
      </c>
      <c r="B1783" t="str" cm="1">
        <f t="array" ref="B1783">IFERROR(INDEX(tbNucleo[ESCOLA],ROUNDUP(ROW(B1782)/TotalEtapas,0)),"")</f>
        <v/>
      </c>
      <c r="E1783" t="str">
        <f>IFERROR(VLOOKUP(tbEscolas[[#This Row],[COD ETPA]],tbEtapas[],2,FALSE),"")</f>
        <v/>
      </c>
      <c r="F1783" t="str">
        <f>IFERROR(VLOOKUP(tbEscolas[[#This Row],[COD ETPA]],tbEtapas[],3,FALSE),"")</f>
        <v/>
      </c>
    </row>
    <row r="1784" spans="1:6" x14ac:dyDescent="0.25">
      <c r="A1784" s="24" t="str">
        <f>_xlfn.XLOOKUP(tbEscolas[[#This Row],[ESCOLA]],tbNucleo[ESCOLA],tbNucleo[COD ESCOLA],"")</f>
        <v/>
      </c>
      <c r="B1784" t="str" cm="1">
        <f t="array" ref="B1784">IFERROR(INDEX(tbNucleo[ESCOLA],ROUNDUP(ROW(B1783)/TotalEtapas,0)),"")</f>
        <v/>
      </c>
      <c r="E1784" t="str">
        <f>IFERROR(VLOOKUP(tbEscolas[[#This Row],[COD ETPA]],tbEtapas[],2,FALSE),"")</f>
        <v/>
      </c>
      <c r="F1784" t="str">
        <f>IFERROR(VLOOKUP(tbEscolas[[#This Row],[COD ETPA]],tbEtapas[],3,FALSE),"")</f>
        <v/>
      </c>
    </row>
    <row r="1785" spans="1:6" x14ac:dyDescent="0.25">
      <c r="A1785" s="24" t="str">
        <f>_xlfn.XLOOKUP(tbEscolas[[#This Row],[ESCOLA]],tbNucleo[ESCOLA],tbNucleo[COD ESCOLA],"")</f>
        <v/>
      </c>
      <c r="B1785" t="str" cm="1">
        <f t="array" ref="B1785">IFERROR(INDEX(tbNucleo[ESCOLA],ROUNDUP(ROW(B1784)/TotalEtapas,0)),"")</f>
        <v/>
      </c>
      <c r="E1785" t="str">
        <f>IFERROR(VLOOKUP(tbEscolas[[#This Row],[COD ETPA]],tbEtapas[],2,FALSE),"")</f>
        <v/>
      </c>
      <c r="F1785" t="str">
        <f>IFERROR(VLOOKUP(tbEscolas[[#This Row],[COD ETPA]],tbEtapas[],3,FALSE),"")</f>
        <v/>
      </c>
    </row>
    <row r="1786" spans="1:6" x14ac:dyDescent="0.25">
      <c r="A1786" s="24" t="str">
        <f>_xlfn.XLOOKUP(tbEscolas[[#This Row],[ESCOLA]],tbNucleo[ESCOLA],tbNucleo[COD ESCOLA],"")</f>
        <v/>
      </c>
      <c r="B1786" t="str" cm="1">
        <f t="array" ref="B1786">IFERROR(INDEX(tbNucleo[ESCOLA],ROUNDUP(ROW(B1785)/TotalEtapas,0)),"")</f>
        <v/>
      </c>
      <c r="E1786" t="str">
        <f>IFERROR(VLOOKUP(tbEscolas[[#This Row],[COD ETPA]],tbEtapas[],2,FALSE),"")</f>
        <v/>
      </c>
      <c r="F1786" t="str">
        <f>IFERROR(VLOOKUP(tbEscolas[[#This Row],[COD ETPA]],tbEtapas[],3,FALSE),"")</f>
        <v/>
      </c>
    </row>
    <row r="1787" spans="1:6" x14ac:dyDescent="0.25">
      <c r="A1787" s="24" t="str">
        <f>_xlfn.XLOOKUP(tbEscolas[[#This Row],[ESCOLA]],tbNucleo[ESCOLA],tbNucleo[COD ESCOLA],"")</f>
        <v/>
      </c>
      <c r="B1787" t="str" cm="1">
        <f t="array" ref="B1787">IFERROR(INDEX(tbNucleo[ESCOLA],ROUNDUP(ROW(B1786)/TotalEtapas,0)),"")</f>
        <v/>
      </c>
      <c r="E1787" t="str">
        <f>IFERROR(VLOOKUP(tbEscolas[[#This Row],[COD ETPA]],tbEtapas[],2,FALSE),"")</f>
        <v/>
      </c>
      <c r="F1787" t="str">
        <f>IFERROR(VLOOKUP(tbEscolas[[#This Row],[COD ETPA]],tbEtapas[],3,FALSE),"")</f>
        <v/>
      </c>
    </row>
    <row r="1788" spans="1:6" x14ac:dyDescent="0.25">
      <c r="A1788" s="24" t="str">
        <f>_xlfn.XLOOKUP(tbEscolas[[#This Row],[ESCOLA]],tbNucleo[ESCOLA],tbNucleo[COD ESCOLA],"")</f>
        <v/>
      </c>
      <c r="B1788" t="str" cm="1">
        <f t="array" ref="B1788">IFERROR(INDEX(tbNucleo[ESCOLA],ROUNDUP(ROW(B1787)/TotalEtapas,0)),"")</f>
        <v/>
      </c>
      <c r="E1788" t="str">
        <f>IFERROR(VLOOKUP(tbEscolas[[#This Row],[COD ETPA]],tbEtapas[],2,FALSE),"")</f>
        <v/>
      </c>
      <c r="F1788" t="str">
        <f>IFERROR(VLOOKUP(tbEscolas[[#This Row],[COD ETPA]],tbEtapas[],3,FALSE),"")</f>
        <v/>
      </c>
    </row>
    <row r="1789" spans="1:6" x14ac:dyDescent="0.25">
      <c r="A1789" s="24" t="str">
        <f>_xlfn.XLOOKUP(tbEscolas[[#This Row],[ESCOLA]],tbNucleo[ESCOLA],tbNucleo[COD ESCOLA],"")</f>
        <v/>
      </c>
      <c r="B1789" t="str" cm="1">
        <f t="array" ref="B1789">IFERROR(INDEX(tbNucleo[ESCOLA],ROUNDUP(ROW(B1788)/TotalEtapas,0)),"")</f>
        <v/>
      </c>
      <c r="E1789" t="str">
        <f>IFERROR(VLOOKUP(tbEscolas[[#This Row],[COD ETPA]],tbEtapas[],2,FALSE),"")</f>
        <v/>
      </c>
      <c r="F1789" t="str">
        <f>IFERROR(VLOOKUP(tbEscolas[[#This Row],[COD ETPA]],tbEtapas[],3,FALSE),"")</f>
        <v/>
      </c>
    </row>
    <row r="1790" spans="1:6" x14ac:dyDescent="0.25">
      <c r="A1790" s="24" t="str">
        <f>_xlfn.XLOOKUP(tbEscolas[[#This Row],[ESCOLA]],tbNucleo[ESCOLA],tbNucleo[COD ESCOLA],"")</f>
        <v/>
      </c>
      <c r="B1790" t="str" cm="1">
        <f t="array" ref="B1790">IFERROR(INDEX(tbNucleo[ESCOLA],ROUNDUP(ROW(B1789)/TotalEtapas,0)),"")</f>
        <v/>
      </c>
      <c r="E1790" t="str">
        <f>IFERROR(VLOOKUP(tbEscolas[[#This Row],[COD ETPA]],tbEtapas[],2,FALSE),"")</f>
        <v/>
      </c>
      <c r="F1790" t="str">
        <f>IFERROR(VLOOKUP(tbEscolas[[#This Row],[COD ETPA]],tbEtapas[],3,FALSE),"")</f>
        <v/>
      </c>
    </row>
    <row r="1791" spans="1:6" x14ac:dyDescent="0.25">
      <c r="A1791" s="24" t="str">
        <f>_xlfn.XLOOKUP(tbEscolas[[#This Row],[ESCOLA]],tbNucleo[ESCOLA],tbNucleo[COD ESCOLA],"")</f>
        <v/>
      </c>
      <c r="B1791" t="str" cm="1">
        <f t="array" ref="B1791">IFERROR(INDEX(tbNucleo[ESCOLA],ROUNDUP(ROW(B1790)/TotalEtapas,0)),"")</f>
        <v/>
      </c>
      <c r="E1791" t="str">
        <f>IFERROR(VLOOKUP(tbEscolas[[#This Row],[COD ETPA]],tbEtapas[],2,FALSE),"")</f>
        <v/>
      </c>
      <c r="F1791" t="str">
        <f>IFERROR(VLOOKUP(tbEscolas[[#This Row],[COD ETPA]],tbEtapas[],3,FALSE),"")</f>
        <v/>
      </c>
    </row>
    <row r="1792" spans="1:6" x14ac:dyDescent="0.25">
      <c r="A1792" s="24" t="str">
        <f>_xlfn.XLOOKUP(tbEscolas[[#This Row],[ESCOLA]],tbNucleo[ESCOLA],tbNucleo[COD ESCOLA],"")</f>
        <v/>
      </c>
      <c r="B1792" t="str" cm="1">
        <f t="array" ref="B1792">IFERROR(INDEX(tbNucleo[ESCOLA],ROUNDUP(ROW(B1791)/TotalEtapas,0)),"")</f>
        <v/>
      </c>
      <c r="E1792" t="str">
        <f>IFERROR(VLOOKUP(tbEscolas[[#This Row],[COD ETPA]],tbEtapas[],2,FALSE),"")</f>
        <v/>
      </c>
      <c r="F1792" t="str">
        <f>IFERROR(VLOOKUP(tbEscolas[[#This Row],[COD ETPA]],tbEtapas[],3,FALSE),"")</f>
        <v/>
      </c>
    </row>
    <row r="1793" spans="1:6" x14ac:dyDescent="0.25">
      <c r="A1793" s="24" t="str">
        <f>_xlfn.XLOOKUP(tbEscolas[[#This Row],[ESCOLA]],tbNucleo[ESCOLA],tbNucleo[COD ESCOLA],"")</f>
        <v/>
      </c>
      <c r="B1793" t="str" cm="1">
        <f t="array" ref="B1793">IFERROR(INDEX(tbNucleo[ESCOLA],ROUNDUP(ROW(B1792)/TotalEtapas,0)),"")</f>
        <v/>
      </c>
      <c r="E1793" t="str">
        <f>IFERROR(VLOOKUP(tbEscolas[[#This Row],[COD ETPA]],tbEtapas[],2,FALSE),"")</f>
        <v/>
      </c>
      <c r="F1793" t="str">
        <f>IFERROR(VLOOKUP(tbEscolas[[#This Row],[COD ETPA]],tbEtapas[],3,FALSE),"")</f>
        <v/>
      </c>
    </row>
    <row r="1794" spans="1:6" x14ac:dyDescent="0.25">
      <c r="A1794" s="24" t="str">
        <f>_xlfn.XLOOKUP(tbEscolas[[#This Row],[ESCOLA]],tbNucleo[ESCOLA],tbNucleo[COD ESCOLA],"")</f>
        <v/>
      </c>
      <c r="B1794" t="str" cm="1">
        <f t="array" ref="B1794">IFERROR(INDEX(tbNucleo[ESCOLA],ROUNDUP(ROW(B1793)/TotalEtapas,0)),"")</f>
        <v/>
      </c>
      <c r="E1794" t="str">
        <f>IFERROR(VLOOKUP(tbEscolas[[#This Row],[COD ETPA]],tbEtapas[],2,FALSE),"")</f>
        <v/>
      </c>
      <c r="F1794" t="str">
        <f>IFERROR(VLOOKUP(tbEscolas[[#This Row],[COD ETPA]],tbEtapas[],3,FALSE),"")</f>
        <v/>
      </c>
    </row>
    <row r="1795" spans="1:6" x14ac:dyDescent="0.25">
      <c r="A1795" s="24" t="str">
        <f>_xlfn.XLOOKUP(tbEscolas[[#This Row],[ESCOLA]],tbNucleo[ESCOLA],tbNucleo[COD ESCOLA],"")</f>
        <v/>
      </c>
      <c r="B1795" t="str" cm="1">
        <f t="array" ref="B1795">IFERROR(INDEX(tbNucleo[ESCOLA],ROUNDUP(ROW(B1794)/TotalEtapas,0)),"")</f>
        <v/>
      </c>
      <c r="E1795" t="str">
        <f>IFERROR(VLOOKUP(tbEscolas[[#This Row],[COD ETPA]],tbEtapas[],2,FALSE),"")</f>
        <v/>
      </c>
      <c r="F1795" t="str">
        <f>IFERROR(VLOOKUP(tbEscolas[[#This Row],[COD ETPA]],tbEtapas[],3,FALSE),"")</f>
        <v/>
      </c>
    </row>
    <row r="1796" spans="1:6" x14ac:dyDescent="0.25">
      <c r="A1796" s="24" t="str">
        <f>_xlfn.XLOOKUP(tbEscolas[[#This Row],[ESCOLA]],tbNucleo[ESCOLA],tbNucleo[COD ESCOLA],"")</f>
        <v/>
      </c>
      <c r="B1796" t="str" cm="1">
        <f t="array" ref="B1796">IFERROR(INDEX(tbNucleo[ESCOLA],ROUNDUP(ROW(B1795)/TotalEtapas,0)),"")</f>
        <v/>
      </c>
      <c r="E1796" t="str">
        <f>IFERROR(VLOOKUP(tbEscolas[[#This Row],[COD ETPA]],tbEtapas[],2,FALSE),"")</f>
        <v/>
      </c>
      <c r="F1796" t="str">
        <f>IFERROR(VLOOKUP(tbEscolas[[#This Row],[COD ETPA]],tbEtapas[],3,FALSE),"")</f>
        <v/>
      </c>
    </row>
    <row r="1797" spans="1:6" x14ac:dyDescent="0.25">
      <c r="A1797" s="24" t="str">
        <f>_xlfn.XLOOKUP(tbEscolas[[#This Row],[ESCOLA]],tbNucleo[ESCOLA],tbNucleo[COD ESCOLA],"")</f>
        <v/>
      </c>
      <c r="B1797" t="str" cm="1">
        <f t="array" ref="B1797">IFERROR(INDEX(tbNucleo[ESCOLA],ROUNDUP(ROW(B1796)/TotalEtapas,0)),"")</f>
        <v/>
      </c>
      <c r="E1797" t="str">
        <f>IFERROR(VLOOKUP(tbEscolas[[#This Row],[COD ETPA]],tbEtapas[],2,FALSE),"")</f>
        <v/>
      </c>
      <c r="F1797" t="str">
        <f>IFERROR(VLOOKUP(tbEscolas[[#This Row],[COD ETPA]],tbEtapas[],3,FALSE),"")</f>
        <v/>
      </c>
    </row>
    <row r="1798" spans="1:6" x14ac:dyDescent="0.25">
      <c r="A1798" s="24" t="str">
        <f>_xlfn.XLOOKUP(tbEscolas[[#This Row],[ESCOLA]],tbNucleo[ESCOLA],tbNucleo[COD ESCOLA],"")</f>
        <v/>
      </c>
      <c r="B1798" t="str" cm="1">
        <f t="array" ref="B1798">IFERROR(INDEX(tbNucleo[ESCOLA],ROUNDUP(ROW(B1797)/TotalEtapas,0)),"")</f>
        <v/>
      </c>
      <c r="E1798" t="str">
        <f>IFERROR(VLOOKUP(tbEscolas[[#This Row],[COD ETPA]],tbEtapas[],2,FALSE),"")</f>
        <v/>
      </c>
      <c r="F1798" t="str">
        <f>IFERROR(VLOOKUP(tbEscolas[[#This Row],[COD ETPA]],tbEtapas[],3,FALSE),"")</f>
        <v/>
      </c>
    </row>
    <row r="1799" spans="1:6" x14ac:dyDescent="0.25">
      <c r="A1799" s="24" t="str">
        <f>_xlfn.XLOOKUP(tbEscolas[[#This Row],[ESCOLA]],tbNucleo[ESCOLA],tbNucleo[COD ESCOLA],"")</f>
        <v/>
      </c>
      <c r="B1799" t="str" cm="1">
        <f t="array" ref="B1799">IFERROR(INDEX(tbNucleo[ESCOLA],ROUNDUP(ROW(B1798)/TotalEtapas,0)),"")</f>
        <v/>
      </c>
      <c r="E1799" t="str">
        <f>IFERROR(VLOOKUP(tbEscolas[[#This Row],[COD ETPA]],tbEtapas[],2,FALSE),"")</f>
        <v/>
      </c>
      <c r="F1799" t="str">
        <f>IFERROR(VLOOKUP(tbEscolas[[#This Row],[COD ETPA]],tbEtapas[],3,FALSE),"")</f>
        <v/>
      </c>
    </row>
    <row r="1800" spans="1:6" x14ac:dyDescent="0.25">
      <c r="A1800" s="24" t="str">
        <f>_xlfn.XLOOKUP(tbEscolas[[#This Row],[ESCOLA]],tbNucleo[ESCOLA],tbNucleo[COD ESCOLA],"")</f>
        <v/>
      </c>
      <c r="B1800" t="str" cm="1">
        <f t="array" ref="B1800">IFERROR(INDEX(tbNucleo[ESCOLA],ROUNDUP(ROW(B1799)/TotalEtapas,0)),"")</f>
        <v/>
      </c>
      <c r="E1800" t="str">
        <f>IFERROR(VLOOKUP(tbEscolas[[#This Row],[COD ETPA]],tbEtapas[],2,FALSE),"")</f>
        <v/>
      </c>
      <c r="F1800" t="str">
        <f>IFERROR(VLOOKUP(tbEscolas[[#This Row],[COD ETPA]],tbEtapas[],3,FALSE),"")</f>
        <v/>
      </c>
    </row>
    <row r="1801" spans="1:6" x14ac:dyDescent="0.25">
      <c r="A1801" s="24" t="str">
        <f>_xlfn.XLOOKUP(tbEscolas[[#This Row],[ESCOLA]],tbNucleo[ESCOLA],tbNucleo[COD ESCOLA],"")</f>
        <v/>
      </c>
      <c r="B1801" t="str" cm="1">
        <f t="array" ref="B1801">IFERROR(INDEX(tbNucleo[ESCOLA],ROUNDUP(ROW(B1800)/TotalEtapas,0)),"")</f>
        <v/>
      </c>
      <c r="E1801" t="str">
        <f>IFERROR(VLOOKUP(tbEscolas[[#This Row],[COD ETPA]],tbEtapas[],2,FALSE),"")</f>
        <v/>
      </c>
      <c r="F1801" t="str">
        <f>IFERROR(VLOOKUP(tbEscolas[[#This Row],[COD ETPA]],tbEtapas[],3,FALSE),"")</f>
        <v/>
      </c>
    </row>
    <row r="1802" spans="1:6" x14ac:dyDescent="0.25">
      <c r="A1802" s="24" t="str">
        <f>_xlfn.XLOOKUP(tbEscolas[[#This Row],[ESCOLA]],tbNucleo[ESCOLA],tbNucleo[COD ESCOLA],"")</f>
        <v/>
      </c>
      <c r="B1802" t="str" cm="1">
        <f t="array" ref="B1802">IFERROR(INDEX(tbNucleo[ESCOLA],ROUNDUP(ROW(B1801)/TotalEtapas,0)),"")</f>
        <v/>
      </c>
      <c r="E1802" t="str">
        <f>IFERROR(VLOOKUP(tbEscolas[[#This Row],[COD ETPA]],tbEtapas[],2,FALSE),"")</f>
        <v/>
      </c>
      <c r="F1802" t="str">
        <f>IFERROR(VLOOKUP(tbEscolas[[#This Row],[COD ETPA]],tbEtapas[],3,FALSE),"")</f>
        <v/>
      </c>
    </row>
    <row r="1803" spans="1:6" x14ac:dyDescent="0.25">
      <c r="A1803" s="24" t="str">
        <f>_xlfn.XLOOKUP(tbEscolas[[#This Row],[ESCOLA]],tbNucleo[ESCOLA],tbNucleo[COD ESCOLA],"")</f>
        <v/>
      </c>
      <c r="B1803" t="str" cm="1">
        <f t="array" ref="B1803">IFERROR(INDEX(tbNucleo[ESCOLA],ROUNDUP(ROW(B1802)/TotalEtapas,0)),"")</f>
        <v/>
      </c>
      <c r="E1803" t="str">
        <f>IFERROR(VLOOKUP(tbEscolas[[#This Row],[COD ETPA]],tbEtapas[],2,FALSE),"")</f>
        <v/>
      </c>
      <c r="F1803" t="str">
        <f>IFERROR(VLOOKUP(tbEscolas[[#This Row],[COD ETPA]],tbEtapas[],3,FALSE),"")</f>
        <v/>
      </c>
    </row>
    <row r="1804" spans="1:6" x14ac:dyDescent="0.25">
      <c r="A1804" s="24" t="str">
        <f>_xlfn.XLOOKUP(tbEscolas[[#This Row],[ESCOLA]],tbNucleo[ESCOLA],tbNucleo[COD ESCOLA],"")</f>
        <v/>
      </c>
      <c r="B1804" t="str" cm="1">
        <f t="array" ref="B1804">IFERROR(INDEX(tbNucleo[ESCOLA],ROUNDUP(ROW(B1803)/TotalEtapas,0)),"")</f>
        <v/>
      </c>
      <c r="E1804" t="str">
        <f>IFERROR(VLOOKUP(tbEscolas[[#This Row],[COD ETPA]],tbEtapas[],2,FALSE),"")</f>
        <v/>
      </c>
      <c r="F1804" t="str">
        <f>IFERROR(VLOOKUP(tbEscolas[[#This Row],[COD ETPA]],tbEtapas[],3,FALSE),"")</f>
        <v/>
      </c>
    </row>
    <row r="1805" spans="1:6" x14ac:dyDescent="0.25">
      <c r="A1805" s="24" t="str">
        <f>_xlfn.XLOOKUP(tbEscolas[[#This Row],[ESCOLA]],tbNucleo[ESCOLA],tbNucleo[COD ESCOLA],"")</f>
        <v/>
      </c>
      <c r="B1805" t="str" cm="1">
        <f t="array" ref="B1805">IFERROR(INDEX(tbNucleo[ESCOLA],ROUNDUP(ROW(B1804)/TotalEtapas,0)),"")</f>
        <v/>
      </c>
      <c r="E1805" t="str">
        <f>IFERROR(VLOOKUP(tbEscolas[[#This Row],[COD ETPA]],tbEtapas[],2,FALSE),"")</f>
        <v/>
      </c>
      <c r="F1805" t="str">
        <f>IFERROR(VLOOKUP(tbEscolas[[#This Row],[COD ETPA]],tbEtapas[],3,FALSE),"")</f>
        <v/>
      </c>
    </row>
    <row r="1806" spans="1:6" x14ac:dyDescent="0.25">
      <c r="A1806" s="24" t="str">
        <f>_xlfn.XLOOKUP(tbEscolas[[#This Row],[ESCOLA]],tbNucleo[ESCOLA],tbNucleo[COD ESCOLA],"")</f>
        <v/>
      </c>
      <c r="B1806" t="str" cm="1">
        <f t="array" ref="B1806">IFERROR(INDEX(tbNucleo[ESCOLA],ROUNDUP(ROW(B1805)/TotalEtapas,0)),"")</f>
        <v/>
      </c>
      <c r="E1806" t="str">
        <f>IFERROR(VLOOKUP(tbEscolas[[#This Row],[COD ETPA]],tbEtapas[],2,FALSE),"")</f>
        <v/>
      </c>
      <c r="F1806" t="str">
        <f>IFERROR(VLOOKUP(tbEscolas[[#This Row],[COD ETPA]],tbEtapas[],3,FALSE),"")</f>
        <v/>
      </c>
    </row>
    <row r="1807" spans="1:6" x14ac:dyDescent="0.25">
      <c r="A1807" s="24" t="str">
        <f>_xlfn.XLOOKUP(tbEscolas[[#This Row],[ESCOLA]],tbNucleo[ESCOLA],tbNucleo[COD ESCOLA],"")</f>
        <v/>
      </c>
      <c r="B1807" t="str" cm="1">
        <f t="array" ref="B1807">IFERROR(INDEX(tbNucleo[ESCOLA],ROUNDUP(ROW(B1806)/TotalEtapas,0)),"")</f>
        <v/>
      </c>
      <c r="E1807" t="str">
        <f>IFERROR(VLOOKUP(tbEscolas[[#This Row],[COD ETPA]],tbEtapas[],2,FALSE),"")</f>
        <v/>
      </c>
      <c r="F1807" t="str">
        <f>IFERROR(VLOOKUP(tbEscolas[[#This Row],[COD ETPA]],tbEtapas[],3,FALSE),"")</f>
        <v/>
      </c>
    </row>
    <row r="1808" spans="1:6" x14ac:dyDescent="0.25">
      <c r="A1808" s="24" t="str">
        <f>_xlfn.XLOOKUP(tbEscolas[[#This Row],[ESCOLA]],tbNucleo[ESCOLA],tbNucleo[COD ESCOLA],"")</f>
        <v/>
      </c>
      <c r="B1808" t="str" cm="1">
        <f t="array" ref="B1808">IFERROR(INDEX(tbNucleo[ESCOLA],ROUNDUP(ROW(B1807)/TotalEtapas,0)),"")</f>
        <v/>
      </c>
      <c r="E1808" t="str">
        <f>IFERROR(VLOOKUP(tbEscolas[[#This Row],[COD ETPA]],tbEtapas[],2,FALSE),"")</f>
        <v/>
      </c>
      <c r="F1808" t="str">
        <f>IFERROR(VLOOKUP(tbEscolas[[#This Row],[COD ETPA]],tbEtapas[],3,FALSE),"")</f>
        <v/>
      </c>
    </row>
    <row r="1809" spans="1:6" x14ac:dyDescent="0.25">
      <c r="A1809" s="24" t="str">
        <f>_xlfn.XLOOKUP(tbEscolas[[#This Row],[ESCOLA]],tbNucleo[ESCOLA],tbNucleo[COD ESCOLA],"")</f>
        <v/>
      </c>
      <c r="B1809" t="str" cm="1">
        <f t="array" ref="B1809">IFERROR(INDEX(tbNucleo[ESCOLA],ROUNDUP(ROW(B1808)/TotalEtapas,0)),"")</f>
        <v/>
      </c>
      <c r="E1809" t="str">
        <f>IFERROR(VLOOKUP(tbEscolas[[#This Row],[COD ETPA]],tbEtapas[],2,FALSE),"")</f>
        <v/>
      </c>
      <c r="F1809" t="str">
        <f>IFERROR(VLOOKUP(tbEscolas[[#This Row],[COD ETPA]],tbEtapas[],3,FALSE),"")</f>
        <v/>
      </c>
    </row>
    <row r="1810" spans="1:6" x14ac:dyDescent="0.25">
      <c r="A1810" s="24" t="str">
        <f>_xlfn.XLOOKUP(tbEscolas[[#This Row],[ESCOLA]],tbNucleo[ESCOLA],tbNucleo[COD ESCOLA],"")</f>
        <v/>
      </c>
      <c r="B1810" t="str" cm="1">
        <f t="array" ref="B1810">IFERROR(INDEX(tbNucleo[ESCOLA],ROUNDUP(ROW(B1809)/TotalEtapas,0)),"")</f>
        <v/>
      </c>
      <c r="E1810" t="str">
        <f>IFERROR(VLOOKUP(tbEscolas[[#This Row],[COD ETPA]],tbEtapas[],2,FALSE),"")</f>
        <v/>
      </c>
      <c r="F1810" t="str">
        <f>IFERROR(VLOOKUP(tbEscolas[[#This Row],[COD ETPA]],tbEtapas[],3,FALSE),"")</f>
        <v/>
      </c>
    </row>
    <row r="1811" spans="1:6" x14ac:dyDescent="0.25">
      <c r="A1811" s="24" t="str">
        <f>_xlfn.XLOOKUP(tbEscolas[[#This Row],[ESCOLA]],tbNucleo[ESCOLA],tbNucleo[COD ESCOLA],"")</f>
        <v/>
      </c>
      <c r="B1811" t="str" cm="1">
        <f t="array" ref="B1811">IFERROR(INDEX(tbNucleo[ESCOLA],ROUNDUP(ROW(B1810)/TotalEtapas,0)),"")</f>
        <v/>
      </c>
      <c r="E1811" t="str">
        <f>IFERROR(VLOOKUP(tbEscolas[[#This Row],[COD ETPA]],tbEtapas[],2,FALSE),"")</f>
        <v/>
      </c>
      <c r="F1811" t="str">
        <f>IFERROR(VLOOKUP(tbEscolas[[#This Row],[COD ETPA]],tbEtapas[],3,FALSE),"")</f>
        <v/>
      </c>
    </row>
    <row r="1812" spans="1:6" x14ac:dyDescent="0.25">
      <c r="A1812" s="24" t="str">
        <f>_xlfn.XLOOKUP(tbEscolas[[#This Row],[ESCOLA]],tbNucleo[ESCOLA],tbNucleo[COD ESCOLA],"")</f>
        <v/>
      </c>
      <c r="B1812" t="str" cm="1">
        <f t="array" ref="B1812">IFERROR(INDEX(tbNucleo[ESCOLA],ROUNDUP(ROW(B1811)/TotalEtapas,0)),"")</f>
        <v/>
      </c>
      <c r="E1812" t="str">
        <f>IFERROR(VLOOKUP(tbEscolas[[#This Row],[COD ETPA]],tbEtapas[],2,FALSE),"")</f>
        <v/>
      </c>
      <c r="F1812" t="str">
        <f>IFERROR(VLOOKUP(tbEscolas[[#This Row],[COD ETPA]],tbEtapas[],3,FALSE),"")</f>
        <v/>
      </c>
    </row>
    <row r="1813" spans="1:6" x14ac:dyDescent="0.25">
      <c r="A1813" s="24" t="str">
        <f>_xlfn.XLOOKUP(tbEscolas[[#This Row],[ESCOLA]],tbNucleo[ESCOLA],tbNucleo[COD ESCOLA],"")</f>
        <v/>
      </c>
      <c r="B1813" t="str" cm="1">
        <f t="array" ref="B1813">IFERROR(INDEX(tbNucleo[ESCOLA],ROUNDUP(ROW(B1812)/TotalEtapas,0)),"")</f>
        <v/>
      </c>
      <c r="E1813" t="str">
        <f>IFERROR(VLOOKUP(tbEscolas[[#This Row],[COD ETPA]],tbEtapas[],2,FALSE),"")</f>
        <v/>
      </c>
      <c r="F1813" t="str">
        <f>IFERROR(VLOOKUP(tbEscolas[[#This Row],[COD ETPA]],tbEtapas[],3,FALSE),"")</f>
        <v/>
      </c>
    </row>
    <row r="1814" spans="1:6" x14ac:dyDescent="0.25">
      <c r="A1814" s="24" t="str">
        <f>_xlfn.XLOOKUP(tbEscolas[[#This Row],[ESCOLA]],tbNucleo[ESCOLA],tbNucleo[COD ESCOLA],"")</f>
        <v/>
      </c>
      <c r="B1814" t="str" cm="1">
        <f t="array" ref="B1814">IFERROR(INDEX(tbNucleo[ESCOLA],ROUNDUP(ROW(B1813)/TotalEtapas,0)),"")</f>
        <v/>
      </c>
      <c r="E1814" t="str">
        <f>IFERROR(VLOOKUP(tbEscolas[[#This Row],[COD ETPA]],tbEtapas[],2,FALSE),"")</f>
        <v/>
      </c>
      <c r="F1814" t="str">
        <f>IFERROR(VLOOKUP(tbEscolas[[#This Row],[COD ETPA]],tbEtapas[],3,FALSE),"")</f>
        <v/>
      </c>
    </row>
    <row r="1815" spans="1:6" x14ac:dyDescent="0.25">
      <c r="A1815" s="24" t="str">
        <f>_xlfn.XLOOKUP(tbEscolas[[#This Row],[ESCOLA]],tbNucleo[ESCOLA],tbNucleo[COD ESCOLA],"")</f>
        <v/>
      </c>
      <c r="B1815" t="str" cm="1">
        <f t="array" ref="B1815">IFERROR(INDEX(tbNucleo[ESCOLA],ROUNDUP(ROW(B1814)/TotalEtapas,0)),"")</f>
        <v/>
      </c>
      <c r="E1815" t="str">
        <f>IFERROR(VLOOKUP(tbEscolas[[#This Row],[COD ETPA]],tbEtapas[],2,FALSE),"")</f>
        <v/>
      </c>
      <c r="F1815" t="str">
        <f>IFERROR(VLOOKUP(tbEscolas[[#This Row],[COD ETPA]],tbEtapas[],3,FALSE),"")</f>
        <v/>
      </c>
    </row>
    <row r="1816" spans="1:6" x14ac:dyDescent="0.25">
      <c r="A1816" s="24" t="str">
        <f>_xlfn.XLOOKUP(tbEscolas[[#This Row],[ESCOLA]],tbNucleo[ESCOLA],tbNucleo[COD ESCOLA],"")</f>
        <v/>
      </c>
      <c r="B1816" t="str" cm="1">
        <f t="array" ref="B1816">IFERROR(INDEX(tbNucleo[ESCOLA],ROUNDUP(ROW(B1815)/TotalEtapas,0)),"")</f>
        <v/>
      </c>
      <c r="E1816" t="str">
        <f>IFERROR(VLOOKUP(tbEscolas[[#This Row],[COD ETPA]],tbEtapas[],2,FALSE),"")</f>
        <v/>
      </c>
      <c r="F1816" t="str">
        <f>IFERROR(VLOOKUP(tbEscolas[[#This Row],[COD ETPA]],tbEtapas[],3,FALSE),"")</f>
        <v/>
      </c>
    </row>
    <row r="1817" spans="1:6" x14ac:dyDescent="0.25">
      <c r="A1817" s="24" t="str">
        <f>_xlfn.XLOOKUP(tbEscolas[[#This Row],[ESCOLA]],tbNucleo[ESCOLA],tbNucleo[COD ESCOLA],"")</f>
        <v/>
      </c>
      <c r="B1817" t="str" cm="1">
        <f t="array" ref="B1817">IFERROR(INDEX(tbNucleo[ESCOLA],ROUNDUP(ROW(B1816)/TotalEtapas,0)),"")</f>
        <v/>
      </c>
      <c r="E1817" t="str">
        <f>IFERROR(VLOOKUP(tbEscolas[[#This Row],[COD ETPA]],tbEtapas[],2,FALSE),"")</f>
        <v/>
      </c>
      <c r="F1817" t="str">
        <f>IFERROR(VLOOKUP(tbEscolas[[#This Row],[COD ETPA]],tbEtapas[],3,FALSE),"")</f>
        <v/>
      </c>
    </row>
    <row r="1818" spans="1:6" x14ac:dyDescent="0.25">
      <c r="A1818" s="24" t="str">
        <f>_xlfn.XLOOKUP(tbEscolas[[#This Row],[ESCOLA]],tbNucleo[ESCOLA],tbNucleo[COD ESCOLA],"")</f>
        <v/>
      </c>
      <c r="B1818" t="str" cm="1">
        <f t="array" ref="B1818">IFERROR(INDEX(tbNucleo[ESCOLA],ROUNDUP(ROW(B1817)/TotalEtapas,0)),"")</f>
        <v/>
      </c>
      <c r="E1818" t="str">
        <f>IFERROR(VLOOKUP(tbEscolas[[#This Row],[COD ETPA]],tbEtapas[],2,FALSE),"")</f>
        <v/>
      </c>
      <c r="F1818" t="str">
        <f>IFERROR(VLOOKUP(tbEscolas[[#This Row],[COD ETPA]],tbEtapas[],3,FALSE),"")</f>
        <v/>
      </c>
    </row>
    <row r="1819" spans="1:6" x14ac:dyDescent="0.25">
      <c r="A1819" s="24" t="str">
        <f>_xlfn.XLOOKUP(tbEscolas[[#This Row],[ESCOLA]],tbNucleo[ESCOLA],tbNucleo[COD ESCOLA],"")</f>
        <v/>
      </c>
      <c r="B1819" t="str" cm="1">
        <f t="array" ref="B1819">IFERROR(INDEX(tbNucleo[ESCOLA],ROUNDUP(ROW(B1818)/TotalEtapas,0)),"")</f>
        <v/>
      </c>
      <c r="E1819" t="str">
        <f>IFERROR(VLOOKUP(tbEscolas[[#This Row],[COD ETPA]],tbEtapas[],2,FALSE),"")</f>
        <v/>
      </c>
      <c r="F1819" t="str">
        <f>IFERROR(VLOOKUP(tbEscolas[[#This Row],[COD ETPA]],tbEtapas[],3,FALSE),"")</f>
        <v/>
      </c>
    </row>
    <row r="1820" spans="1:6" x14ac:dyDescent="0.25">
      <c r="A1820" s="24" t="str">
        <f>_xlfn.XLOOKUP(tbEscolas[[#This Row],[ESCOLA]],tbNucleo[ESCOLA],tbNucleo[COD ESCOLA],"")</f>
        <v/>
      </c>
      <c r="B1820" t="str" cm="1">
        <f t="array" ref="B1820">IFERROR(INDEX(tbNucleo[ESCOLA],ROUNDUP(ROW(B1819)/TotalEtapas,0)),"")</f>
        <v/>
      </c>
      <c r="E1820" t="str">
        <f>IFERROR(VLOOKUP(tbEscolas[[#This Row],[COD ETPA]],tbEtapas[],2,FALSE),"")</f>
        <v/>
      </c>
      <c r="F1820" t="str">
        <f>IFERROR(VLOOKUP(tbEscolas[[#This Row],[COD ETPA]],tbEtapas[],3,FALSE),"")</f>
        <v/>
      </c>
    </row>
    <row r="1821" spans="1:6" x14ac:dyDescent="0.25">
      <c r="A1821" s="24" t="str">
        <f>_xlfn.XLOOKUP(tbEscolas[[#This Row],[ESCOLA]],tbNucleo[ESCOLA],tbNucleo[COD ESCOLA],"")</f>
        <v/>
      </c>
      <c r="B1821" t="str" cm="1">
        <f t="array" ref="B1821">IFERROR(INDEX(tbNucleo[ESCOLA],ROUNDUP(ROW(B1820)/TotalEtapas,0)),"")</f>
        <v/>
      </c>
      <c r="E1821" t="str">
        <f>IFERROR(VLOOKUP(tbEscolas[[#This Row],[COD ETPA]],tbEtapas[],2,FALSE),"")</f>
        <v/>
      </c>
      <c r="F1821" t="str">
        <f>IFERROR(VLOOKUP(tbEscolas[[#This Row],[COD ETPA]],tbEtapas[],3,FALSE),"")</f>
        <v/>
      </c>
    </row>
    <row r="1822" spans="1:6" x14ac:dyDescent="0.25">
      <c r="A1822" s="24" t="str">
        <f>_xlfn.XLOOKUP(tbEscolas[[#This Row],[ESCOLA]],tbNucleo[ESCOLA],tbNucleo[COD ESCOLA],"")</f>
        <v/>
      </c>
      <c r="B1822" t="str" cm="1">
        <f t="array" ref="B1822">IFERROR(INDEX(tbNucleo[ESCOLA],ROUNDUP(ROW(B1821)/TotalEtapas,0)),"")</f>
        <v/>
      </c>
      <c r="E1822" t="str">
        <f>IFERROR(VLOOKUP(tbEscolas[[#This Row],[COD ETPA]],tbEtapas[],2,FALSE),"")</f>
        <v/>
      </c>
      <c r="F1822" t="str">
        <f>IFERROR(VLOOKUP(tbEscolas[[#This Row],[COD ETPA]],tbEtapas[],3,FALSE),"")</f>
        <v/>
      </c>
    </row>
    <row r="1823" spans="1:6" x14ac:dyDescent="0.25">
      <c r="A1823" s="24" t="str">
        <f>_xlfn.XLOOKUP(tbEscolas[[#This Row],[ESCOLA]],tbNucleo[ESCOLA],tbNucleo[COD ESCOLA],"")</f>
        <v/>
      </c>
      <c r="B1823" t="str" cm="1">
        <f t="array" ref="B1823">IFERROR(INDEX(tbNucleo[ESCOLA],ROUNDUP(ROW(B1822)/TotalEtapas,0)),"")</f>
        <v/>
      </c>
      <c r="E1823" t="str">
        <f>IFERROR(VLOOKUP(tbEscolas[[#This Row],[COD ETPA]],tbEtapas[],2,FALSE),"")</f>
        <v/>
      </c>
      <c r="F1823" t="str">
        <f>IFERROR(VLOOKUP(tbEscolas[[#This Row],[COD ETPA]],tbEtapas[],3,FALSE),"")</f>
        <v/>
      </c>
    </row>
    <row r="1824" spans="1:6" x14ac:dyDescent="0.25">
      <c r="A1824" s="24" t="str">
        <f>_xlfn.XLOOKUP(tbEscolas[[#This Row],[ESCOLA]],tbNucleo[ESCOLA],tbNucleo[COD ESCOLA],"")</f>
        <v/>
      </c>
      <c r="B1824" t="str" cm="1">
        <f t="array" ref="B1824">IFERROR(INDEX(tbNucleo[ESCOLA],ROUNDUP(ROW(B1823)/TotalEtapas,0)),"")</f>
        <v/>
      </c>
      <c r="E1824" t="str">
        <f>IFERROR(VLOOKUP(tbEscolas[[#This Row],[COD ETPA]],tbEtapas[],2,FALSE),"")</f>
        <v/>
      </c>
      <c r="F1824" t="str">
        <f>IFERROR(VLOOKUP(tbEscolas[[#This Row],[COD ETPA]],tbEtapas[],3,FALSE),"")</f>
        <v/>
      </c>
    </row>
    <row r="1825" spans="1:6" x14ac:dyDescent="0.25">
      <c r="A1825" s="24" t="str">
        <f>_xlfn.XLOOKUP(tbEscolas[[#This Row],[ESCOLA]],tbNucleo[ESCOLA],tbNucleo[COD ESCOLA],"")</f>
        <v/>
      </c>
      <c r="B1825" t="str" cm="1">
        <f t="array" ref="B1825">IFERROR(INDEX(tbNucleo[ESCOLA],ROUNDUP(ROW(B1824)/TotalEtapas,0)),"")</f>
        <v/>
      </c>
      <c r="E1825" t="str">
        <f>IFERROR(VLOOKUP(tbEscolas[[#This Row],[COD ETPA]],tbEtapas[],2,FALSE),"")</f>
        <v/>
      </c>
      <c r="F1825" t="str">
        <f>IFERROR(VLOOKUP(tbEscolas[[#This Row],[COD ETPA]],tbEtapas[],3,FALSE),"")</f>
        <v/>
      </c>
    </row>
    <row r="1826" spans="1:6" x14ac:dyDescent="0.25">
      <c r="A1826" s="24" t="str">
        <f>_xlfn.XLOOKUP(tbEscolas[[#This Row],[ESCOLA]],tbNucleo[ESCOLA],tbNucleo[COD ESCOLA],"")</f>
        <v/>
      </c>
      <c r="B1826" t="str" cm="1">
        <f t="array" ref="B1826">IFERROR(INDEX(tbNucleo[ESCOLA],ROUNDUP(ROW(B1825)/TotalEtapas,0)),"")</f>
        <v/>
      </c>
      <c r="E1826" t="str">
        <f>IFERROR(VLOOKUP(tbEscolas[[#This Row],[COD ETPA]],tbEtapas[],2,FALSE),"")</f>
        <v/>
      </c>
      <c r="F1826" t="str">
        <f>IFERROR(VLOOKUP(tbEscolas[[#This Row],[COD ETPA]],tbEtapas[],3,FALSE),"")</f>
        <v/>
      </c>
    </row>
    <row r="1827" spans="1:6" x14ac:dyDescent="0.25">
      <c r="A1827" s="24" t="str">
        <f>_xlfn.XLOOKUP(tbEscolas[[#This Row],[ESCOLA]],tbNucleo[ESCOLA],tbNucleo[COD ESCOLA],"")</f>
        <v/>
      </c>
      <c r="B1827" t="str" cm="1">
        <f t="array" ref="B1827">IFERROR(INDEX(tbNucleo[ESCOLA],ROUNDUP(ROW(B1826)/TotalEtapas,0)),"")</f>
        <v/>
      </c>
      <c r="E1827" t="str">
        <f>IFERROR(VLOOKUP(tbEscolas[[#This Row],[COD ETPA]],tbEtapas[],2,FALSE),"")</f>
        <v/>
      </c>
      <c r="F1827" t="str">
        <f>IFERROR(VLOOKUP(tbEscolas[[#This Row],[COD ETPA]],tbEtapas[],3,FALSE),"")</f>
        <v/>
      </c>
    </row>
    <row r="1828" spans="1:6" x14ac:dyDescent="0.25">
      <c r="A1828" s="24" t="str">
        <f>_xlfn.XLOOKUP(tbEscolas[[#This Row],[ESCOLA]],tbNucleo[ESCOLA],tbNucleo[COD ESCOLA],"")</f>
        <v/>
      </c>
      <c r="B1828" t="str" cm="1">
        <f t="array" ref="B1828">IFERROR(INDEX(tbNucleo[ESCOLA],ROUNDUP(ROW(B1827)/TotalEtapas,0)),"")</f>
        <v/>
      </c>
      <c r="E1828" t="str">
        <f>IFERROR(VLOOKUP(tbEscolas[[#This Row],[COD ETPA]],tbEtapas[],2,FALSE),"")</f>
        <v/>
      </c>
      <c r="F1828" t="str">
        <f>IFERROR(VLOOKUP(tbEscolas[[#This Row],[COD ETPA]],tbEtapas[],3,FALSE),"")</f>
        <v/>
      </c>
    </row>
    <row r="1829" spans="1:6" x14ac:dyDescent="0.25">
      <c r="A1829" s="24" t="str">
        <f>_xlfn.XLOOKUP(tbEscolas[[#This Row],[ESCOLA]],tbNucleo[ESCOLA],tbNucleo[COD ESCOLA],"")</f>
        <v/>
      </c>
      <c r="B1829" t="str" cm="1">
        <f t="array" ref="B1829">IFERROR(INDEX(tbNucleo[ESCOLA],ROUNDUP(ROW(B1828)/TotalEtapas,0)),"")</f>
        <v/>
      </c>
      <c r="E1829" t="str">
        <f>IFERROR(VLOOKUP(tbEscolas[[#This Row],[COD ETPA]],tbEtapas[],2,FALSE),"")</f>
        <v/>
      </c>
      <c r="F1829" t="str">
        <f>IFERROR(VLOOKUP(tbEscolas[[#This Row],[COD ETPA]],tbEtapas[],3,FALSE),"")</f>
        <v/>
      </c>
    </row>
    <row r="1830" spans="1:6" x14ac:dyDescent="0.25">
      <c r="A1830" s="24" t="str">
        <f>_xlfn.XLOOKUP(tbEscolas[[#This Row],[ESCOLA]],tbNucleo[ESCOLA],tbNucleo[COD ESCOLA],"")</f>
        <v/>
      </c>
      <c r="B1830" t="str" cm="1">
        <f t="array" ref="B1830">IFERROR(INDEX(tbNucleo[ESCOLA],ROUNDUP(ROW(B1829)/TotalEtapas,0)),"")</f>
        <v/>
      </c>
      <c r="E1830" t="str">
        <f>IFERROR(VLOOKUP(tbEscolas[[#This Row],[COD ETPA]],tbEtapas[],2,FALSE),"")</f>
        <v/>
      </c>
      <c r="F1830" t="str">
        <f>IFERROR(VLOOKUP(tbEscolas[[#This Row],[COD ETPA]],tbEtapas[],3,FALSE),"")</f>
        <v/>
      </c>
    </row>
    <row r="1831" spans="1:6" x14ac:dyDescent="0.25">
      <c r="A1831" s="24" t="str">
        <f>_xlfn.XLOOKUP(tbEscolas[[#This Row],[ESCOLA]],tbNucleo[ESCOLA],tbNucleo[COD ESCOLA],"")</f>
        <v/>
      </c>
      <c r="B1831" t="str" cm="1">
        <f t="array" ref="B1831">IFERROR(INDEX(tbNucleo[ESCOLA],ROUNDUP(ROW(B1830)/TotalEtapas,0)),"")</f>
        <v/>
      </c>
      <c r="E1831" t="str">
        <f>IFERROR(VLOOKUP(tbEscolas[[#This Row],[COD ETPA]],tbEtapas[],2,FALSE),"")</f>
        <v/>
      </c>
      <c r="F1831" t="str">
        <f>IFERROR(VLOOKUP(tbEscolas[[#This Row],[COD ETPA]],tbEtapas[],3,FALSE),"")</f>
        <v/>
      </c>
    </row>
    <row r="1832" spans="1:6" x14ac:dyDescent="0.25">
      <c r="A1832" s="24" t="str">
        <f>_xlfn.XLOOKUP(tbEscolas[[#This Row],[ESCOLA]],tbNucleo[ESCOLA],tbNucleo[COD ESCOLA],"")</f>
        <v/>
      </c>
      <c r="B1832" t="str" cm="1">
        <f t="array" ref="B1832">IFERROR(INDEX(tbNucleo[ESCOLA],ROUNDUP(ROW(B1831)/TotalEtapas,0)),"")</f>
        <v/>
      </c>
      <c r="E1832" t="str">
        <f>IFERROR(VLOOKUP(tbEscolas[[#This Row],[COD ETPA]],tbEtapas[],2,FALSE),"")</f>
        <v/>
      </c>
      <c r="F1832" t="str">
        <f>IFERROR(VLOOKUP(tbEscolas[[#This Row],[COD ETPA]],tbEtapas[],3,FALSE),"")</f>
        <v/>
      </c>
    </row>
    <row r="1833" spans="1:6" x14ac:dyDescent="0.25">
      <c r="A1833" s="24" t="str">
        <f>_xlfn.XLOOKUP(tbEscolas[[#This Row],[ESCOLA]],tbNucleo[ESCOLA],tbNucleo[COD ESCOLA],"")</f>
        <v/>
      </c>
      <c r="B1833" t="str" cm="1">
        <f t="array" ref="B1833">IFERROR(INDEX(tbNucleo[ESCOLA],ROUNDUP(ROW(B1832)/TotalEtapas,0)),"")</f>
        <v/>
      </c>
      <c r="E1833" t="str">
        <f>IFERROR(VLOOKUP(tbEscolas[[#This Row],[COD ETPA]],tbEtapas[],2,FALSE),"")</f>
        <v/>
      </c>
      <c r="F1833" t="str">
        <f>IFERROR(VLOOKUP(tbEscolas[[#This Row],[COD ETPA]],tbEtapas[],3,FALSE),"")</f>
        <v/>
      </c>
    </row>
    <row r="1834" spans="1:6" x14ac:dyDescent="0.25">
      <c r="A1834" s="24" t="str">
        <f>_xlfn.XLOOKUP(tbEscolas[[#This Row],[ESCOLA]],tbNucleo[ESCOLA],tbNucleo[COD ESCOLA],"")</f>
        <v/>
      </c>
      <c r="B1834" t="str" cm="1">
        <f t="array" ref="B1834">IFERROR(INDEX(tbNucleo[ESCOLA],ROUNDUP(ROW(B1833)/TotalEtapas,0)),"")</f>
        <v/>
      </c>
      <c r="E1834" t="str">
        <f>IFERROR(VLOOKUP(tbEscolas[[#This Row],[COD ETPA]],tbEtapas[],2,FALSE),"")</f>
        <v/>
      </c>
      <c r="F1834" t="str">
        <f>IFERROR(VLOOKUP(tbEscolas[[#This Row],[COD ETPA]],tbEtapas[],3,FALSE),"")</f>
        <v/>
      </c>
    </row>
    <row r="1835" spans="1:6" x14ac:dyDescent="0.25">
      <c r="A1835" s="24" t="str">
        <f>_xlfn.XLOOKUP(tbEscolas[[#This Row],[ESCOLA]],tbNucleo[ESCOLA],tbNucleo[COD ESCOLA],"")</f>
        <v/>
      </c>
      <c r="B1835" t="str" cm="1">
        <f t="array" ref="B1835">IFERROR(INDEX(tbNucleo[ESCOLA],ROUNDUP(ROW(B1834)/TotalEtapas,0)),"")</f>
        <v/>
      </c>
      <c r="E1835" t="str">
        <f>IFERROR(VLOOKUP(tbEscolas[[#This Row],[COD ETPA]],tbEtapas[],2,FALSE),"")</f>
        <v/>
      </c>
      <c r="F1835" t="str">
        <f>IFERROR(VLOOKUP(tbEscolas[[#This Row],[COD ETPA]],tbEtapas[],3,FALSE),"")</f>
        <v/>
      </c>
    </row>
    <row r="1836" spans="1:6" x14ac:dyDescent="0.25">
      <c r="A1836" s="24" t="str">
        <f>_xlfn.XLOOKUP(tbEscolas[[#This Row],[ESCOLA]],tbNucleo[ESCOLA],tbNucleo[COD ESCOLA],"")</f>
        <v/>
      </c>
      <c r="B1836" t="str" cm="1">
        <f t="array" ref="B1836">IFERROR(INDEX(tbNucleo[ESCOLA],ROUNDUP(ROW(B1835)/TotalEtapas,0)),"")</f>
        <v/>
      </c>
      <c r="E1836" t="str">
        <f>IFERROR(VLOOKUP(tbEscolas[[#This Row],[COD ETPA]],tbEtapas[],2,FALSE),"")</f>
        <v/>
      </c>
      <c r="F1836" t="str">
        <f>IFERROR(VLOOKUP(tbEscolas[[#This Row],[COD ETPA]],tbEtapas[],3,FALSE),"")</f>
        <v/>
      </c>
    </row>
    <row r="1837" spans="1:6" x14ac:dyDescent="0.25">
      <c r="A1837" s="24" t="str">
        <f>_xlfn.XLOOKUP(tbEscolas[[#This Row],[ESCOLA]],tbNucleo[ESCOLA],tbNucleo[COD ESCOLA],"")</f>
        <v/>
      </c>
      <c r="B1837" t="str" cm="1">
        <f t="array" ref="B1837">IFERROR(INDEX(tbNucleo[ESCOLA],ROUNDUP(ROW(B1836)/TotalEtapas,0)),"")</f>
        <v/>
      </c>
      <c r="E1837" t="str">
        <f>IFERROR(VLOOKUP(tbEscolas[[#This Row],[COD ETPA]],tbEtapas[],2,FALSE),"")</f>
        <v/>
      </c>
      <c r="F1837" t="str">
        <f>IFERROR(VLOOKUP(tbEscolas[[#This Row],[COD ETPA]],tbEtapas[],3,FALSE),"")</f>
        <v/>
      </c>
    </row>
    <row r="1838" spans="1:6" x14ac:dyDescent="0.25">
      <c r="A1838" s="24" t="str">
        <f>_xlfn.XLOOKUP(tbEscolas[[#This Row],[ESCOLA]],tbNucleo[ESCOLA],tbNucleo[COD ESCOLA],"")</f>
        <v/>
      </c>
      <c r="B1838" t="str" cm="1">
        <f t="array" ref="B1838">IFERROR(INDEX(tbNucleo[ESCOLA],ROUNDUP(ROW(B1837)/TotalEtapas,0)),"")</f>
        <v/>
      </c>
      <c r="E1838" t="str">
        <f>IFERROR(VLOOKUP(tbEscolas[[#This Row],[COD ETPA]],tbEtapas[],2,FALSE),"")</f>
        <v/>
      </c>
      <c r="F1838" t="str">
        <f>IFERROR(VLOOKUP(tbEscolas[[#This Row],[COD ETPA]],tbEtapas[],3,FALSE),"")</f>
        <v/>
      </c>
    </row>
    <row r="1839" spans="1:6" x14ac:dyDescent="0.25">
      <c r="A1839" s="24" t="str">
        <f>_xlfn.XLOOKUP(tbEscolas[[#This Row],[ESCOLA]],tbNucleo[ESCOLA],tbNucleo[COD ESCOLA],"")</f>
        <v/>
      </c>
      <c r="B1839" t="str" cm="1">
        <f t="array" ref="B1839">IFERROR(INDEX(tbNucleo[ESCOLA],ROUNDUP(ROW(B1838)/TotalEtapas,0)),"")</f>
        <v/>
      </c>
      <c r="E1839" t="str">
        <f>IFERROR(VLOOKUP(tbEscolas[[#This Row],[COD ETPA]],tbEtapas[],2,FALSE),"")</f>
        <v/>
      </c>
      <c r="F1839" t="str">
        <f>IFERROR(VLOOKUP(tbEscolas[[#This Row],[COD ETPA]],tbEtapas[],3,FALSE),"")</f>
        <v/>
      </c>
    </row>
    <row r="1840" spans="1:6" x14ac:dyDescent="0.25">
      <c r="A1840" s="24" t="str">
        <f>_xlfn.XLOOKUP(tbEscolas[[#This Row],[ESCOLA]],tbNucleo[ESCOLA],tbNucleo[COD ESCOLA],"")</f>
        <v/>
      </c>
      <c r="B1840" t="str" cm="1">
        <f t="array" ref="B1840">IFERROR(INDEX(tbNucleo[ESCOLA],ROUNDUP(ROW(B1839)/TotalEtapas,0)),"")</f>
        <v/>
      </c>
      <c r="E1840" t="str">
        <f>IFERROR(VLOOKUP(tbEscolas[[#This Row],[COD ETPA]],tbEtapas[],2,FALSE),"")</f>
        <v/>
      </c>
      <c r="F1840" t="str">
        <f>IFERROR(VLOOKUP(tbEscolas[[#This Row],[COD ETPA]],tbEtapas[],3,FALSE),"")</f>
        <v/>
      </c>
    </row>
    <row r="1841" spans="1:6" x14ac:dyDescent="0.25">
      <c r="A1841" s="24" t="str">
        <f>_xlfn.XLOOKUP(tbEscolas[[#This Row],[ESCOLA]],tbNucleo[ESCOLA],tbNucleo[COD ESCOLA],"")</f>
        <v/>
      </c>
      <c r="B1841" t="str" cm="1">
        <f t="array" ref="B1841">IFERROR(INDEX(tbNucleo[ESCOLA],ROUNDUP(ROW(B1840)/TotalEtapas,0)),"")</f>
        <v/>
      </c>
      <c r="E1841" t="str">
        <f>IFERROR(VLOOKUP(tbEscolas[[#This Row],[COD ETPA]],tbEtapas[],2,FALSE),"")</f>
        <v/>
      </c>
      <c r="F1841" t="str">
        <f>IFERROR(VLOOKUP(tbEscolas[[#This Row],[COD ETPA]],tbEtapas[],3,FALSE),"")</f>
        <v/>
      </c>
    </row>
    <row r="1842" spans="1:6" x14ac:dyDescent="0.25">
      <c r="A1842" s="24" t="str">
        <f>_xlfn.XLOOKUP(tbEscolas[[#This Row],[ESCOLA]],tbNucleo[ESCOLA],tbNucleo[COD ESCOLA],"")</f>
        <v/>
      </c>
      <c r="B1842" t="str" cm="1">
        <f t="array" ref="B1842">IFERROR(INDEX(tbNucleo[ESCOLA],ROUNDUP(ROW(B1841)/TotalEtapas,0)),"")</f>
        <v/>
      </c>
      <c r="E1842" t="str">
        <f>IFERROR(VLOOKUP(tbEscolas[[#This Row],[COD ETPA]],tbEtapas[],2,FALSE),"")</f>
        <v/>
      </c>
      <c r="F1842" t="str">
        <f>IFERROR(VLOOKUP(tbEscolas[[#This Row],[COD ETPA]],tbEtapas[],3,FALSE),"")</f>
        <v/>
      </c>
    </row>
    <row r="1843" spans="1:6" x14ac:dyDescent="0.25">
      <c r="A1843" s="24" t="str">
        <f>_xlfn.XLOOKUP(tbEscolas[[#This Row],[ESCOLA]],tbNucleo[ESCOLA],tbNucleo[COD ESCOLA],"")</f>
        <v/>
      </c>
      <c r="B1843" t="str" cm="1">
        <f t="array" ref="B1843">IFERROR(INDEX(tbNucleo[ESCOLA],ROUNDUP(ROW(B1842)/TotalEtapas,0)),"")</f>
        <v/>
      </c>
      <c r="E1843" t="str">
        <f>IFERROR(VLOOKUP(tbEscolas[[#This Row],[COD ETPA]],tbEtapas[],2,FALSE),"")</f>
        <v/>
      </c>
      <c r="F1843" t="str">
        <f>IFERROR(VLOOKUP(tbEscolas[[#This Row],[COD ETPA]],tbEtapas[],3,FALSE),"")</f>
        <v/>
      </c>
    </row>
    <row r="1844" spans="1:6" x14ac:dyDescent="0.25">
      <c r="A1844" s="24" t="str">
        <f>_xlfn.XLOOKUP(tbEscolas[[#This Row],[ESCOLA]],tbNucleo[ESCOLA],tbNucleo[COD ESCOLA],"")</f>
        <v/>
      </c>
      <c r="B1844" t="str" cm="1">
        <f t="array" ref="B1844">IFERROR(INDEX(tbNucleo[ESCOLA],ROUNDUP(ROW(B1843)/TotalEtapas,0)),"")</f>
        <v/>
      </c>
      <c r="E1844" t="str">
        <f>IFERROR(VLOOKUP(tbEscolas[[#This Row],[COD ETPA]],tbEtapas[],2,FALSE),"")</f>
        <v/>
      </c>
      <c r="F1844" t="str">
        <f>IFERROR(VLOOKUP(tbEscolas[[#This Row],[COD ETPA]],tbEtapas[],3,FALSE),"")</f>
        <v/>
      </c>
    </row>
    <row r="1845" spans="1:6" x14ac:dyDescent="0.25">
      <c r="A1845" s="24" t="str">
        <f>_xlfn.XLOOKUP(tbEscolas[[#This Row],[ESCOLA]],tbNucleo[ESCOLA],tbNucleo[COD ESCOLA],"")</f>
        <v/>
      </c>
      <c r="B1845" t="str" cm="1">
        <f t="array" ref="B1845">IFERROR(INDEX(tbNucleo[ESCOLA],ROUNDUP(ROW(B1844)/TotalEtapas,0)),"")</f>
        <v/>
      </c>
      <c r="E1845" t="str">
        <f>IFERROR(VLOOKUP(tbEscolas[[#This Row],[COD ETPA]],tbEtapas[],2,FALSE),"")</f>
        <v/>
      </c>
      <c r="F1845" t="str">
        <f>IFERROR(VLOOKUP(tbEscolas[[#This Row],[COD ETPA]],tbEtapas[],3,FALSE),"")</f>
        <v/>
      </c>
    </row>
    <row r="1846" spans="1:6" x14ac:dyDescent="0.25">
      <c r="A1846" s="24" t="str">
        <f>_xlfn.XLOOKUP(tbEscolas[[#This Row],[ESCOLA]],tbNucleo[ESCOLA],tbNucleo[COD ESCOLA],"")</f>
        <v/>
      </c>
      <c r="B1846" t="str" cm="1">
        <f t="array" ref="B1846">IFERROR(INDEX(tbNucleo[ESCOLA],ROUNDUP(ROW(B1845)/TotalEtapas,0)),"")</f>
        <v/>
      </c>
      <c r="E1846" t="str">
        <f>IFERROR(VLOOKUP(tbEscolas[[#This Row],[COD ETPA]],tbEtapas[],2,FALSE),"")</f>
        <v/>
      </c>
      <c r="F1846" t="str">
        <f>IFERROR(VLOOKUP(tbEscolas[[#This Row],[COD ETPA]],tbEtapas[],3,FALSE),"")</f>
        <v/>
      </c>
    </row>
    <row r="1847" spans="1:6" x14ac:dyDescent="0.25">
      <c r="A1847" s="24" t="str">
        <f>_xlfn.XLOOKUP(tbEscolas[[#This Row],[ESCOLA]],tbNucleo[ESCOLA],tbNucleo[COD ESCOLA],"")</f>
        <v/>
      </c>
      <c r="B1847" t="str" cm="1">
        <f t="array" ref="B1847">IFERROR(INDEX(tbNucleo[ESCOLA],ROUNDUP(ROW(B1846)/TotalEtapas,0)),"")</f>
        <v/>
      </c>
      <c r="E1847" t="str">
        <f>IFERROR(VLOOKUP(tbEscolas[[#This Row],[COD ETPA]],tbEtapas[],2,FALSE),"")</f>
        <v/>
      </c>
      <c r="F1847" t="str">
        <f>IFERROR(VLOOKUP(tbEscolas[[#This Row],[COD ETPA]],tbEtapas[],3,FALSE),"")</f>
        <v/>
      </c>
    </row>
    <row r="1848" spans="1:6" x14ac:dyDescent="0.25">
      <c r="A1848" s="24" t="str">
        <f>_xlfn.XLOOKUP(tbEscolas[[#This Row],[ESCOLA]],tbNucleo[ESCOLA],tbNucleo[COD ESCOLA],"")</f>
        <v/>
      </c>
      <c r="B1848" t="str" cm="1">
        <f t="array" ref="B1848">IFERROR(INDEX(tbNucleo[ESCOLA],ROUNDUP(ROW(B1847)/TotalEtapas,0)),"")</f>
        <v/>
      </c>
      <c r="E1848" t="str">
        <f>IFERROR(VLOOKUP(tbEscolas[[#This Row],[COD ETPA]],tbEtapas[],2,FALSE),"")</f>
        <v/>
      </c>
      <c r="F1848" t="str">
        <f>IFERROR(VLOOKUP(tbEscolas[[#This Row],[COD ETPA]],tbEtapas[],3,FALSE),"")</f>
        <v/>
      </c>
    </row>
    <row r="1849" spans="1:6" x14ac:dyDescent="0.25">
      <c r="A1849" s="24" t="str">
        <f>_xlfn.XLOOKUP(tbEscolas[[#This Row],[ESCOLA]],tbNucleo[ESCOLA],tbNucleo[COD ESCOLA],"")</f>
        <v/>
      </c>
      <c r="B1849" t="str" cm="1">
        <f t="array" ref="B1849">IFERROR(INDEX(tbNucleo[ESCOLA],ROUNDUP(ROW(B1848)/TotalEtapas,0)),"")</f>
        <v/>
      </c>
      <c r="E1849" t="str">
        <f>IFERROR(VLOOKUP(tbEscolas[[#This Row],[COD ETPA]],tbEtapas[],2,FALSE),"")</f>
        <v/>
      </c>
      <c r="F1849" t="str">
        <f>IFERROR(VLOOKUP(tbEscolas[[#This Row],[COD ETPA]],tbEtapas[],3,FALSE),"")</f>
        <v/>
      </c>
    </row>
    <row r="1850" spans="1:6" x14ac:dyDescent="0.25">
      <c r="A1850" s="24" t="str">
        <f>_xlfn.XLOOKUP(tbEscolas[[#This Row],[ESCOLA]],tbNucleo[ESCOLA],tbNucleo[COD ESCOLA],"")</f>
        <v/>
      </c>
      <c r="B1850" t="str" cm="1">
        <f t="array" ref="B1850">IFERROR(INDEX(tbNucleo[ESCOLA],ROUNDUP(ROW(B1849)/TotalEtapas,0)),"")</f>
        <v/>
      </c>
      <c r="E1850" t="str">
        <f>IFERROR(VLOOKUP(tbEscolas[[#This Row],[COD ETPA]],tbEtapas[],2,FALSE),"")</f>
        <v/>
      </c>
      <c r="F1850" t="str">
        <f>IFERROR(VLOOKUP(tbEscolas[[#This Row],[COD ETPA]],tbEtapas[],3,FALSE),"")</f>
        <v/>
      </c>
    </row>
    <row r="1851" spans="1:6" x14ac:dyDescent="0.25">
      <c r="A1851" s="24" t="str">
        <f>_xlfn.XLOOKUP(tbEscolas[[#This Row],[ESCOLA]],tbNucleo[ESCOLA],tbNucleo[COD ESCOLA],"")</f>
        <v/>
      </c>
      <c r="B1851" t="str" cm="1">
        <f t="array" ref="B1851">IFERROR(INDEX(tbNucleo[ESCOLA],ROUNDUP(ROW(B1850)/TotalEtapas,0)),"")</f>
        <v/>
      </c>
      <c r="E1851" t="str">
        <f>IFERROR(VLOOKUP(tbEscolas[[#This Row],[COD ETPA]],tbEtapas[],2,FALSE),"")</f>
        <v/>
      </c>
      <c r="F1851" t="str">
        <f>IFERROR(VLOOKUP(tbEscolas[[#This Row],[COD ETPA]],tbEtapas[],3,FALSE),"")</f>
        <v/>
      </c>
    </row>
    <row r="1852" spans="1:6" x14ac:dyDescent="0.25">
      <c r="A1852" s="24" t="str">
        <f>_xlfn.XLOOKUP(tbEscolas[[#This Row],[ESCOLA]],tbNucleo[ESCOLA],tbNucleo[COD ESCOLA],"")</f>
        <v/>
      </c>
      <c r="B1852" t="str" cm="1">
        <f t="array" ref="B1852">IFERROR(INDEX(tbNucleo[ESCOLA],ROUNDUP(ROW(B1851)/TotalEtapas,0)),"")</f>
        <v/>
      </c>
      <c r="E1852" t="str">
        <f>IFERROR(VLOOKUP(tbEscolas[[#This Row],[COD ETPA]],tbEtapas[],2,FALSE),"")</f>
        <v/>
      </c>
      <c r="F1852" t="str">
        <f>IFERROR(VLOOKUP(tbEscolas[[#This Row],[COD ETPA]],tbEtapas[],3,FALSE),"")</f>
        <v/>
      </c>
    </row>
    <row r="1853" spans="1:6" x14ac:dyDescent="0.25">
      <c r="A1853" s="24" t="str">
        <f>_xlfn.XLOOKUP(tbEscolas[[#This Row],[ESCOLA]],tbNucleo[ESCOLA],tbNucleo[COD ESCOLA],"")</f>
        <v/>
      </c>
      <c r="B1853" t="str" cm="1">
        <f t="array" ref="B1853">IFERROR(INDEX(tbNucleo[ESCOLA],ROUNDUP(ROW(B1852)/TotalEtapas,0)),"")</f>
        <v/>
      </c>
      <c r="E1853" t="str">
        <f>IFERROR(VLOOKUP(tbEscolas[[#This Row],[COD ETPA]],tbEtapas[],2,FALSE),"")</f>
        <v/>
      </c>
      <c r="F1853" t="str">
        <f>IFERROR(VLOOKUP(tbEscolas[[#This Row],[COD ETPA]],tbEtapas[],3,FALSE),"")</f>
        <v/>
      </c>
    </row>
    <row r="1854" spans="1:6" x14ac:dyDescent="0.25">
      <c r="A1854" s="24" t="str">
        <f>_xlfn.XLOOKUP(tbEscolas[[#This Row],[ESCOLA]],tbNucleo[ESCOLA],tbNucleo[COD ESCOLA],"")</f>
        <v/>
      </c>
      <c r="B1854" t="str" cm="1">
        <f t="array" ref="B1854">IFERROR(INDEX(tbNucleo[ESCOLA],ROUNDUP(ROW(B1853)/TotalEtapas,0)),"")</f>
        <v/>
      </c>
      <c r="E1854" t="str">
        <f>IFERROR(VLOOKUP(tbEscolas[[#This Row],[COD ETPA]],tbEtapas[],2,FALSE),"")</f>
        <v/>
      </c>
      <c r="F1854" t="str">
        <f>IFERROR(VLOOKUP(tbEscolas[[#This Row],[COD ETPA]],tbEtapas[],3,FALSE),"")</f>
        <v/>
      </c>
    </row>
    <row r="1855" spans="1:6" x14ac:dyDescent="0.25">
      <c r="A1855" s="24" t="str">
        <f>_xlfn.XLOOKUP(tbEscolas[[#This Row],[ESCOLA]],tbNucleo[ESCOLA],tbNucleo[COD ESCOLA],"")</f>
        <v/>
      </c>
      <c r="B1855" t="str" cm="1">
        <f t="array" ref="B1855">IFERROR(INDEX(tbNucleo[ESCOLA],ROUNDUP(ROW(B1854)/TotalEtapas,0)),"")</f>
        <v/>
      </c>
      <c r="E1855" t="str">
        <f>IFERROR(VLOOKUP(tbEscolas[[#This Row],[COD ETPA]],tbEtapas[],2,FALSE),"")</f>
        <v/>
      </c>
      <c r="F1855" t="str">
        <f>IFERROR(VLOOKUP(tbEscolas[[#This Row],[COD ETPA]],tbEtapas[],3,FALSE),"")</f>
        <v/>
      </c>
    </row>
    <row r="1856" spans="1:6" x14ac:dyDescent="0.25">
      <c r="A1856" s="24" t="str">
        <f>_xlfn.XLOOKUP(tbEscolas[[#This Row],[ESCOLA]],tbNucleo[ESCOLA],tbNucleo[COD ESCOLA],"")</f>
        <v/>
      </c>
      <c r="B1856" t="str" cm="1">
        <f t="array" ref="B1856">IFERROR(INDEX(tbNucleo[ESCOLA],ROUNDUP(ROW(B1855)/TotalEtapas,0)),"")</f>
        <v/>
      </c>
      <c r="E1856" t="str">
        <f>IFERROR(VLOOKUP(tbEscolas[[#This Row],[COD ETPA]],tbEtapas[],2,FALSE),"")</f>
        <v/>
      </c>
      <c r="F1856" t="str">
        <f>IFERROR(VLOOKUP(tbEscolas[[#This Row],[COD ETPA]],tbEtapas[],3,FALSE),"")</f>
        <v/>
      </c>
    </row>
    <row r="1857" spans="1:6" x14ac:dyDescent="0.25">
      <c r="A1857" s="24" t="str">
        <f>_xlfn.XLOOKUP(tbEscolas[[#This Row],[ESCOLA]],tbNucleo[ESCOLA],tbNucleo[COD ESCOLA],"")</f>
        <v/>
      </c>
      <c r="B1857" t="str" cm="1">
        <f t="array" ref="B1857">IFERROR(INDEX(tbNucleo[ESCOLA],ROUNDUP(ROW(B1856)/TotalEtapas,0)),"")</f>
        <v/>
      </c>
      <c r="E1857" t="str">
        <f>IFERROR(VLOOKUP(tbEscolas[[#This Row],[COD ETPA]],tbEtapas[],2,FALSE),"")</f>
        <v/>
      </c>
      <c r="F1857" t="str">
        <f>IFERROR(VLOOKUP(tbEscolas[[#This Row],[COD ETPA]],tbEtapas[],3,FALSE),"")</f>
        <v/>
      </c>
    </row>
    <row r="1858" spans="1:6" x14ac:dyDescent="0.25">
      <c r="A1858" s="24" t="str">
        <f>_xlfn.XLOOKUP(tbEscolas[[#This Row],[ESCOLA]],tbNucleo[ESCOLA],tbNucleo[COD ESCOLA],"")</f>
        <v/>
      </c>
      <c r="B1858" t="str" cm="1">
        <f t="array" ref="B1858">IFERROR(INDEX(tbNucleo[ESCOLA],ROUNDUP(ROW(B1857)/TotalEtapas,0)),"")</f>
        <v/>
      </c>
      <c r="E1858" t="str">
        <f>IFERROR(VLOOKUP(tbEscolas[[#This Row],[COD ETPA]],tbEtapas[],2,FALSE),"")</f>
        <v/>
      </c>
      <c r="F1858" t="str">
        <f>IFERROR(VLOOKUP(tbEscolas[[#This Row],[COD ETPA]],tbEtapas[],3,FALSE),"")</f>
        <v/>
      </c>
    </row>
    <row r="1859" spans="1:6" x14ac:dyDescent="0.25">
      <c r="A1859" s="24" t="str">
        <f>_xlfn.XLOOKUP(tbEscolas[[#This Row],[ESCOLA]],tbNucleo[ESCOLA],tbNucleo[COD ESCOLA],"")</f>
        <v/>
      </c>
      <c r="B1859" t="str" cm="1">
        <f t="array" ref="B1859">IFERROR(INDEX(tbNucleo[ESCOLA],ROUNDUP(ROW(B1858)/TotalEtapas,0)),"")</f>
        <v/>
      </c>
      <c r="E1859" t="str">
        <f>IFERROR(VLOOKUP(tbEscolas[[#This Row],[COD ETPA]],tbEtapas[],2,FALSE),"")</f>
        <v/>
      </c>
      <c r="F1859" t="str">
        <f>IFERROR(VLOOKUP(tbEscolas[[#This Row],[COD ETPA]],tbEtapas[],3,FALSE),"")</f>
        <v/>
      </c>
    </row>
    <row r="1860" spans="1:6" x14ac:dyDescent="0.25">
      <c r="A1860" s="24" t="str">
        <f>_xlfn.XLOOKUP(tbEscolas[[#This Row],[ESCOLA]],tbNucleo[ESCOLA],tbNucleo[COD ESCOLA],"")</f>
        <v/>
      </c>
      <c r="B1860" t="str" cm="1">
        <f t="array" ref="B1860">IFERROR(INDEX(tbNucleo[ESCOLA],ROUNDUP(ROW(B1859)/TotalEtapas,0)),"")</f>
        <v/>
      </c>
      <c r="E1860" t="str">
        <f>IFERROR(VLOOKUP(tbEscolas[[#This Row],[COD ETPA]],tbEtapas[],2,FALSE),"")</f>
        <v/>
      </c>
      <c r="F1860" t="str">
        <f>IFERROR(VLOOKUP(tbEscolas[[#This Row],[COD ETPA]],tbEtapas[],3,FALSE),"")</f>
        <v/>
      </c>
    </row>
    <row r="1861" spans="1:6" x14ac:dyDescent="0.25">
      <c r="A1861" s="24" t="str">
        <f>_xlfn.XLOOKUP(tbEscolas[[#This Row],[ESCOLA]],tbNucleo[ESCOLA],tbNucleo[COD ESCOLA],"")</f>
        <v/>
      </c>
      <c r="B1861" t="str" cm="1">
        <f t="array" ref="B1861">IFERROR(INDEX(tbNucleo[ESCOLA],ROUNDUP(ROW(B1860)/TotalEtapas,0)),"")</f>
        <v/>
      </c>
      <c r="E1861" t="str">
        <f>IFERROR(VLOOKUP(tbEscolas[[#This Row],[COD ETPA]],tbEtapas[],2,FALSE),"")</f>
        <v/>
      </c>
      <c r="F1861" t="str">
        <f>IFERROR(VLOOKUP(tbEscolas[[#This Row],[COD ETPA]],tbEtapas[],3,FALSE),"")</f>
        <v/>
      </c>
    </row>
    <row r="1862" spans="1:6" x14ac:dyDescent="0.25">
      <c r="A1862" s="24" t="str">
        <f>_xlfn.XLOOKUP(tbEscolas[[#This Row],[ESCOLA]],tbNucleo[ESCOLA],tbNucleo[COD ESCOLA],"")</f>
        <v/>
      </c>
      <c r="B1862" t="str" cm="1">
        <f t="array" ref="B1862">IFERROR(INDEX(tbNucleo[ESCOLA],ROUNDUP(ROW(B1861)/TotalEtapas,0)),"")</f>
        <v/>
      </c>
      <c r="E1862" t="str">
        <f>IFERROR(VLOOKUP(tbEscolas[[#This Row],[COD ETPA]],tbEtapas[],2,FALSE),"")</f>
        <v/>
      </c>
      <c r="F1862" t="str">
        <f>IFERROR(VLOOKUP(tbEscolas[[#This Row],[COD ETPA]],tbEtapas[],3,FALSE),"")</f>
        <v/>
      </c>
    </row>
    <row r="1863" spans="1:6" x14ac:dyDescent="0.25">
      <c r="A1863" s="24" t="str">
        <f>_xlfn.XLOOKUP(tbEscolas[[#This Row],[ESCOLA]],tbNucleo[ESCOLA],tbNucleo[COD ESCOLA],"")</f>
        <v/>
      </c>
      <c r="B1863" t="str" cm="1">
        <f t="array" ref="B1863">IFERROR(INDEX(tbNucleo[ESCOLA],ROUNDUP(ROW(B1862)/TotalEtapas,0)),"")</f>
        <v/>
      </c>
      <c r="E1863" t="str">
        <f>IFERROR(VLOOKUP(tbEscolas[[#This Row],[COD ETPA]],tbEtapas[],2,FALSE),"")</f>
        <v/>
      </c>
      <c r="F1863" t="str">
        <f>IFERROR(VLOOKUP(tbEscolas[[#This Row],[COD ETPA]],tbEtapas[],3,FALSE),"")</f>
        <v/>
      </c>
    </row>
    <row r="1864" spans="1:6" x14ac:dyDescent="0.25">
      <c r="A1864" s="24" t="str">
        <f>_xlfn.XLOOKUP(tbEscolas[[#This Row],[ESCOLA]],tbNucleo[ESCOLA],tbNucleo[COD ESCOLA],"")</f>
        <v/>
      </c>
      <c r="B1864" t="str" cm="1">
        <f t="array" ref="B1864">IFERROR(INDEX(tbNucleo[ESCOLA],ROUNDUP(ROW(B1863)/TotalEtapas,0)),"")</f>
        <v/>
      </c>
      <c r="E1864" t="str">
        <f>IFERROR(VLOOKUP(tbEscolas[[#This Row],[COD ETPA]],tbEtapas[],2,FALSE),"")</f>
        <v/>
      </c>
      <c r="F1864" t="str">
        <f>IFERROR(VLOOKUP(tbEscolas[[#This Row],[COD ETPA]],tbEtapas[],3,FALSE),"")</f>
        <v/>
      </c>
    </row>
    <row r="1865" spans="1:6" x14ac:dyDescent="0.25">
      <c r="A1865" s="24" t="str">
        <f>_xlfn.XLOOKUP(tbEscolas[[#This Row],[ESCOLA]],tbNucleo[ESCOLA],tbNucleo[COD ESCOLA],"")</f>
        <v/>
      </c>
      <c r="B1865" t="str" cm="1">
        <f t="array" ref="B1865">IFERROR(INDEX(tbNucleo[ESCOLA],ROUNDUP(ROW(B1864)/TotalEtapas,0)),"")</f>
        <v/>
      </c>
      <c r="E1865" t="str">
        <f>IFERROR(VLOOKUP(tbEscolas[[#This Row],[COD ETPA]],tbEtapas[],2,FALSE),"")</f>
        <v/>
      </c>
      <c r="F1865" t="str">
        <f>IFERROR(VLOOKUP(tbEscolas[[#This Row],[COD ETPA]],tbEtapas[],3,FALSE),"")</f>
        <v/>
      </c>
    </row>
    <row r="1866" spans="1:6" x14ac:dyDescent="0.25">
      <c r="A1866" s="24" t="str">
        <f>_xlfn.XLOOKUP(tbEscolas[[#This Row],[ESCOLA]],tbNucleo[ESCOLA],tbNucleo[COD ESCOLA],"")</f>
        <v/>
      </c>
      <c r="B1866" t="str" cm="1">
        <f t="array" ref="B1866">IFERROR(INDEX(tbNucleo[ESCOLA],ROUNDUP(ROW(B1865)/TotalEtapas,0)),"")</f>
        <v/>
      </c>
      <c r="E1866" t="str">
        <f>IFERROR(VLOOKUP(tbEscolas[[#This Row],[COD ETPA]],tbEtapas[],2,FALSE),"")</f>
        <v/>
      </c>
      <c r="F1866" t="str">
        <f>IFERROR(VLOOKUP(tbEscolas[[#This Row],[COD ETPA]],tbEtapas[],3,FALSE),"")</f>
        <v/>
      </c>
    </row>
    <row r="1867" spans="1:6" x14ac:dyDescent="0.25">
      <c r="A1867" s="24" t="str">
        <f>_xlfn.XLOOKUP(tbEscolas[[#This Row],[ESCOLA]],tbNucleo[ESCOLA],tbNucleo[COD ESCOLA],"")</f>
        <v/>
      </c>
      <c r="B1867" t="str" cm="1">
        <f t="array" ref="B1867">IFERROR(INDEX(tbNucleo[ESCOLA],ROUNDUP(ROW(B1866)/TotalEtapas,0)),"")</f>
        <v/>
      </c>
      <c r="E1867" t="str">
        <f>IFERROR(VLOOKUP(tbEscolas[[#This Row],[COD ETPA]],tbEtapas[],2,FALSE),"")</f>
        <v/>
      </c>
      <c r="F1867" t="str">
        <f>IFERROR(VLOOKUP(tbEscolas[[#This Row],[COD ETPA]],tbEtapas[],3,FALSE),"")</f>
        <v/>
      </c>
    </row>
    <row r="1868" spans="1:6" x14ac:dyDescent="0.25">
      <c r="A1868" s="24" t="str">
        <f>_xlfn.XLOOKUP(tbEscolas[[#This Row],[ESCOLA]],tbNucleo[ESCOLA],tbNucleo[COD ESCOLA],"")</f>
        <v/>
      </c>
      <c r="B1868" t="str" cm="1">
        <f t="array" ref="B1868">IFERROR(INDEX(tbNucleo[ESCOLA],ROUNDUP(ROW(B1867)/TotalEtapas,0)),"")</f>
        <v/>
      </c>
      <c r="E1868" t="str">
        <f>IFERROR(VLOOKUP(tbEscolas[[#This Row],[COD ETPA]],tbEtapas[],2,FALSE),"")</f>
        <v/>
      </c>
      <c r="F1868" t="str">
        <f>IFERROR(VLOOKUP(tbEscolas[[#This Row],[COD ETPA]],tbEtapas[],3,FALSE),"")</f>
        <v/>
      </c>
    </row>
    <row r="1869" spans="1:6" x14ac:dyDescent="0.25">
      <c r="A1869" s="24" t="str">
        <f>_xlfn.XLOOKUP(tbEscolas[[#This Row],[ESCOLA]],tbNucleo[ESCOLA],tbNucleo[COD ESCOLA],"")</f>
        <v/>
      </c>
      <c r="B1869" t="str" cm="1">
        <f t="array" ref="B1869">IFERROR(INDEX(tbNucleo[ESCOLA],ROUNDUP(ROW(B1868)/TotalEtapas,0)),"")</f>
        <v/>
      </c>
      <c r="E1869" t="str">
        <f>IFERROR(VLOOKUP(tbEscolas[[#This Row],[COD ETPA]],tbEtapas[],2,FALSE),"")</f>
        <v/>
      </c>
      <c r="F1869" t="str">
        <f>IFERROR(VLOOKUP(tbEscolas[[#This Row],[COD ETPA]],tbEtapas[],3,FALSE),"")</f>
        <v/>
      </c>
    </row>
    <row r="1870" spans="1:6" x14ac:dyDescent="0.25">
      <c r="A1870" s="24" t="str">
        <f>_xlfn.XLOOKUP(tbEscolas[[#This Row],[ESCOLA]],tbNucleo[ESCOLA],tbNucleo[COD ESCOLA],"")</f>
        <v/>
      </c>
      <c r="B1870" t="str" cm="1">
        <f t="array" ref="B1870">IFERROR(INDEX(tbNucleo[ESCOLA],ROUNDUP(ROW(B1869)/TotalEtapas,0)),"")</f>
        <v/>
      </c>
      <c r="E1870" t="str">
        <f>IFERROR(VLOOKUP(tbEscolas[[#This Row],[COD ETPA]],tbEtapas[],2,FALSE),"")</f>
        <v/>
      </c>
      <c r="F1870" t="str">
        <f>IFERROR(VLOOKUP(tbEscolas[[#This Row],[COD ETPA]],tbEtapas[],3,FALSE),"")</f>
        <v/>
      </c>
    </row>
    <row r="1871" spans="1:6" x14ac:dyDescent="0.25">
      <c r="A1871" s="24" t="str">
        <f>_xlfn.XLOOKUP(tbEscolas[[#This Row],[ESCOLA]],tbNucleo[ESCOLA],tbNucleo[COD ESCOLA],"")</f>
        <v/>
      </c>
      <c r="B1871" t="str" cm="1">
        <f t="array" ref="B1871">IFERROR(INDEX(tbNucleo[ESCOLA],ROUNDUP(ROW(B1870)/TotalEtapas,0)),"")</f>
        <v/>
      </c>
      <c r="E1871" t="str">
        <f>IFERROR(VLOOKUP(tbEscolas[[#This Row],[COD ETPA]],tbEtapas[],2,FALSE),"")</f>
        <v/>
      </c>
      <c r="F1871" t="str">
        <f>IFERROR(VLOOKUP(tbEscolas[[#This Row],[COD ETPA]],tbEtapas[],3,FALSE),"")</f>
        <v/>
      </c>
    </row>
    <row r="1872" spans="1:6" x14ac:dyDescent="0.25">
      <c r="A1872" s="24" t="str">
        <f>_xlfn.XLOOKUP(tbEscolas[[#This Row],[ESCOLA]],tbNucleo[ESCOLA],tbNucleo[COD ESCOLA],"")</f>
        <v/>
      </c>
      <c r="B1872" t="str" cm="1">
        <f t="array" ref="B1872">IFERROR(INDEX(tbNucleo[ESCOLA],ROUNDUP(ROW(B1871)/TotalEtapas,0)),"")</f>
        <v/>
      </c>
      <c r="E1872" t="str">
        <f>IFERROR(VLOOKUP(tbEscolas[[#This Row],[COD ETPA]],tbEtapas[],2,FALSE),"")</f>
        <v/>
      </c>
      <c r="F1872" t="str">
        <f>IFERROR(VLOOKUP(tbEscolas[[#This Row],[COD ETPA]],tbEtapas[],3,FALSE),"")</f>
        <v/>
      </c>
    </row>
    <row r="1873" spans="1:6" x14ac:dyDescent="0.25">
      <c r="A1873" s="24" t="str">
        <f>_xlfn.XLOOKUP(tbEscolas[[#This Row],[ESCOLA]],tbNucleo[ESCOLA],tbNucleo[COD ESCOLA],"")</f>
        <v/>
      </c>
      <c r="B1873" t="str" cm="1">
        <f t="array" ref="B1873">IFERROR(INDEX(tbNucleo[ESCOLA],ROUNDUP(ROW(B1872)/TotalEtapas,0)),"")</f>
        <v/>
      </c>
      <c r="E1873" t="str">
        <f>IFERROR(VLOOKUP(tbEscolas[[#This Row],[COD ETPA]],tbEtapas[],2,FALSE),"")</f>
        <v/>
      </c>
      <c r="F1873" t="str">
        <f>IFERROR(VLOOKUP(tbEscolas[[#This Row],[COD ETPA]],tbEtapas[],3,FALSE),"")</f>
        <v/>
      </c>
    </row>
    <row r="1874" spans="1:6" x14ac:dyDescent="0.25">
      <c r="A1874" s="24" t="str">
        <f>_xlfn.XLOOKUP(tbEscolas[[#This Row],[ESCOLA]],tbNucleo[ESCOLA],tbNucleo[COD ESCOLA],"")</f>
        <v/>
      </c>
      <c r="B1874" t="str" cm="1">
        <f t="array" ref="B1874">IFERROR(INDEX(tbNucleo[ESCOLA],ROUNDUP(ROW(B1873)/TotalEtapas,0)),"")</f>
        <v/>
      </c>
      <c r="E1874" t="str">
        <f>IFERROR(VLOOKUP(tbEscolas[[#This Row],[COD ETPA]],tbEtapas[],2,FALSE),"")</f>
        <v/>
      </c>
      <c r="F1874" t="str">
        <f>IFERROR(VLOOKUP(tbEscolas[[#This Row],[COD ETPA]],tbEtapas[],3,FALSE),"")</f>
        <v/>
      </c>
    </row>
    <row r="1875" spans="1:6" x14ac:dyDescent="0.25">
      <c r="A1875" s="24" t="str">
        <f>_xlfn.XLOOKUP(tbEscolas[[#This Row],[ESCOLA]],tbNucleo[ESCOLA],tbNucleo[COD ESCOLA],"")</f>
        <v/>
      </c>
      <c r="B1875" t="str" cm="1">
        <f t="array" ref="B1875">IFERROR(INDEX(tbNucleo[ESCOLA],ROUNDUP(ROW(B1874)/TotalEtapas,0)),"")</f>
        <v/>
      </c>
      <c r="E1875" t="str">
        <f>IFERROR(VLOOKUP(tbEscolas[[#This Row],[COD ETPA]],tbEtapas[],2,FALSE),"")</f>
        <v/>
      </c>
      <c r="F1875" t="str">
        <f>IFERROR(VLOOKUP(tbEscolas[[#This Row],[COD ETPA]],tbEtapas[],3,FALSE),"")</f>
        <v/>
      </c>
    </row>
    <row r="1876" spans="1:6" x14ac:dyDescent="0.25">
      <c r="A1876" s="24" t="str">
        <f>_xlfn.XLOOKUP(tbEscolas[[#This Row],[ESCOLA]],tbNucleo[ESCOLA],tbNucleo[COD ESCOLA],"")</f>
        <v/>
      </c>
      <c r="B1876" t="str" cm="1">
        <f t="array" ref="B1876">IFERROR(INDEX(tbNucleo[ESCOLA],ROUNDUP(ROW(B1875)/TotalEtapas,0)),"")</f>
        <v/>
      </c>
      <c r="E1876" t="str">
        <f>IFERROR(VLOOKUP(tbEscolas[[#This Row],[COD ETPA]],tbEtapas[],2,FALSE),"")</f>
        <v/>
      </c>
      <c r="F1876" t="str">
        <f>IFERROR(VLOOKUP(tbEscolas[[#This Row],[COD ETPA]],tbEtapas[],3,FALSE),"")</f>
        <v/>
      </c>
    </row>
    <row r="1877" spans="1:6" x14ac:dyDescent="0.25">
      <c r="A1877" s="24" t="str">
        <f>_xlfn.XLOOKUP(tbEscolas[[#This Row],[ESCOLA]],tbNucleo[ESCOLA],tbNucleo[COD ESCOLA],"")</f>
        <v/>
      </c>
      <c r="B1877" t="str" cm="1">
        <f t="array" ref="B1877">IFERROR(INDEX(tbNucleo[ESCOLA],ROUNDUP(ROW(B1876)/TotalEtapas,0)),"")</f>
        <v/>
      </c>
      <c r="E1877" t="str">
        <f>IFERROR(VLOOKUP(tbEscolas[[#This Row],[COD ETPA]],tbEtapas[],2,FALSE),"")</f>
        <v/>
      </c>
      <c r="F1877" t="str">
        <f>IFERROR(VLOOKUP(tbEscolas[[#This Row],[COD ETPA]],tbEtapas[],3,FALSE),"")</f>
        <v/>
      </c>
    </row>
    <row r="1878" spans="1:6" x14ac:dyDescent="0.25">
      <c r="A1878" s="24" t="str">
        <f>_xlfn.XLOOKUP(tbEscolas[[#This Row],[ESCOLA]],tbNucleo[ESCOLA],tbNucleo[COD ESCOLA],"")</f>
        <v/>
      </c>
      <c r="B1878" t="str" cm="1">
        <f t="array" ref="B1878">IFERROR(INDEX(tbNucleo[ESCOLA],ROUNDUP(ROW(B1877)/TotalEtapas,0)),"")</f>
        <v/>
      </c>
      <c r="E1878" t="str">
        <f>IFERROR(VLOOKUP(tbEscolas[[#This Row],[COD ETPA]],tbEtapas[],2,FALSE),"")</f>
        <v/>
      </c>
      <c r="F1878" t="str">
        <f>IFERROR(VLOOKUP(tbEscolas[[#This Row],[COD ETPA]],tbEtapas[],3,FALSE),"")</f>
        <v/>
      </c>
    </row>
    <row r="1879" spans="1:6" x14ac:dyDescent="0.25">
      <c r="A1879" s="24" t="str">
        <f>_xlfn.XLOOKUP(tbEscolas[[#This Row],[ESCOLA]],tbNucleo[ESCOLA],tbNucleo[COD ESCOLA],"")</f>
        <v/>
      </c>
      <c r="B1879" t="str" cm="1">
        <f t="array" ref="B1879">IFERROR(INDEX(tbNucleo[ESCOLA],ROUNDUP(ROW(B1878)/TotalEtapas,0)),"")</f>
        <v/>
      </c>
      <c r="E1879" t="str">
        <f>IFERROR(VLOOKUP(tbEscolas[[#This Row],[COD ETPA]],tbEtapas[],2,FALSE),"")</f>
        <v/>
      </c>
      <c r="F1879" t="str">
        <f>IFERROR(VLOOKUP(tbEscolas[[#This Row],[COD ETPA]],tbEtapas[],3,FALSE),"")</f>
        <v/>
      </c>
    </row>
    <row r="1880" spans="1:6" x14ac:dyDescent="0.25">
      <c r="A1880" s="24" t="str">
        <f>_xlfn.XLOOKUP(tbEscolas[[#This Row],[ESCOLA]],tbNucleo[ESCOLA],tbNucleo[COD ESCOLA],"")</f>
        <v/>
      </c>
      <c r="B1880" t="str" cm="1">
        <f t="array" ref="B1880">IFERROR(INDEX(tbNucleo[ESCOLA],ROUNDUP(ROW(B1879)/TotalEtapas,0)),"")</f>
        <v/>
      </c>
      <c r="E1880" t="str">
        <f>IFERROR(VLOOKUP(tbEscolas[[#This Row],[COD ETPA]],tbEtapas[],2,FALSE),"")</f>
        <v/>
      </c>
      <c r="F1880" t="str">
        <f>IFERROR(VLOOKUP(tbEscolas[[#This Row],[COD ETPA]],tbEtapas[],3,FALSE),"")</f>
        <v/>
      </c>
    </row>
    <row r="1881" spans="1:6" x14ac:dyDescent="0.25">
      <c r="A1881" s="24" t="str">
        <f>_xlfn.XLOOKUP(tbEscolas[[#This Row],[ESCOLA]],tbNucleo[ESCOLA],tbNucleo[COD ESCOLA],"")</f>
        <v/>
      </c>
      <c r="B1881" t="str" cm="1">
        <f t="array" ref="B1881">IFERROR(INDEX(tbNucleo[ESCOLA],ROUNDUP(ROW(B1880)/TotalEtapas,0)),"")</f>
        <v/>
      </c>
      <c r="E1881" t="str">
        <f>IFERROR(VLOOKUP(tbEscolas[[#This Row],[COD ETPA]],tbEtapas[],2,FALSE),"")</f>
        <v/>
      </c>
      <c r="F1881" t="str">
        <f>IFERROR(VLOOKUP(tbEscolas[[#This Row],[COD ETPA]],tbEtapas[],3,FALSE),"")</f>
        <v/>
      </c>
    </row>
    <row r="1882" spans="1:6" x14ac:dyDescent="0.25">
      <c r="A1882" s="24" t="str">
        <f>_xlfn.XLOOKUP(tbEscolas[[#This Row],[ESCOLA]],tbNucleo[ESCOLA],tbNucleo[COD ESCOLA],"")</f>
        <v/>
      </c>
      <c r="B1882" t="str" cm="1">
        <f t="array" ref="B1882">IFERROR(INDEX(tbNucleo[ESCOLA],ROUNDUP(ROW(B1881)/TotalEtapas,0)),"")</f>
        <v/>
      </c>
      <c r="E1882" t="str">
        <f>IFERROR(VLOOKUP(tbEscolas[[#This Row],[COD ETPA]],tbEtapas[],2,FALSE),"")</f>
        <v/>
      </c>
      <c r="F1882" t="str">
        <f>IFERROR(VLOOKUP(tbEscolas[[#This Row],[COD ETPA]],tbEtapas[],3,FALSE),"")</f>
        <v/>
      </c>
    </row>
    <row r="1883" spans="1:6" x14ac:dyDescent="0.25">
      <c r="A1883" s="24" t="str">
        <f>_xlfn.XLOOKUP(tbEscolas[[#This Row],[ESCOLA]],tbNucleo[ESCOLA],tbNucleo[COD ESCOLA],"")</f>
        <v/>
      </c>
      <c r="B1883" t="str" cm="1">
        <f t="array" ref="B1883">IFERROR(INDEX(tbNucleo[ESCOLA],ROUNDUP(ROW(B1882)/TotalEtapas,0)),"")</f>
        <v/>
      </c>
      <c r="E1883" t="str">
        <f>IFERROR(VLOOKUP(tbEscolas[[#This Row],[COD ETPA]],tbEtapas[],2,FALSE),"")</f>
        <v/>
      </c>
      <c r="F1883" t="str">
        <f>IFERROR(VLOOKUP(tbEscolas[[#This Row],[COD ETPA]],tbEtapas[],3,FALSE),"")</f>
        <v/>
      </c>
    </row>
    <row r="1884" spans="1:6" x14ac:dyDescent="0.25">
      <c r="A1884" s="24" t="str">
        <f>_xlfn.XLOOKUP(tbEscolas[[#This Row],[ESCOLA]],tbNucleo[ESCOLA],tbNucleo[COD ESCOLA],"")</f>
        <v/>
      </c>
      <c r="B1884" t="str" cm="1">
        <f t="array" ref="B1884">IFERROR(INDEX(tbNucleo[ESCOLA],ROUNDUP(ROW(B1883)/TotalEtapas,0)),"")</f>
        <v/>
      </c>
      <c r="E1884" t="str">
        <f>IFERROR(VLOOKUP(tbEscolas[[#This Row],[COD ETPA]],tbEtapas[],2,FALSE),"")</f>
        <v/>
      </c>
      <c r="F1884" t="str">
        <f>IFERROR(VLOOKUP(tbEscolas[[#This Row],[COD ETPA]],tbEtapas[],3,FALSE),"")</f>
        <v/>
      </c>
    </row>
    <row r="1885" spans="1:6" x14ac:dyDescent="0.25">
      <c r="A1885" s="24" t="str">
        <f>_xlfn.XLOOKUP(tbEscolas[[#This Row],[ESCOLA]],tbNucleo[ESCOLA],tbNucleo[COD ESCOLA],"")</f>
        <v/>
      </c>
      <c r="B1885" t="str" cm="1">
        <f t="array" ref="B1885">IFERROR(INDEX(tbNucleo[ESCOLA],ROUNDUP(ROW(B1884)/TotalEtapas,0)),"")</f>
        <v/>
      </c>
      <c r="E1885" t="str">
        <f>IFERROR(VLOOKUP(tbEscolas[[#This Row],[COD ETPA]],tbEtapas[],2,FALSE),"")</f>
        <v/>
      </c>
      <c r="F1885" t="str">
        <f>IFERROR(VLOOKUP(tbEscolas[[#This Row],[COD ETPA]],tbEtapas[],3,FALSE),"")</f>
        <v/>
      </c>
    </row>
    <row r="1886" spans="1:6" x14ac:dyDescent="0.25">
      <c r="A1886" s="24" t="str">
        <f>_xlfn.XLOOKUP(tbEscolas[[#This Row],[ESCOLA]],tbNucleo[ESCOLA],tbNucleo[COD ESCOLA],"")</f>
        <v/>
      </c>
      <c r="B1886" t="str" cm="1">
        <f t="array" ref="B1886">IFERROR(INDEX(tbNucleo[ESCOLA],ROUNDUP(ROW(B1885)/TotalEtapas,0)),"")</f>
        <v/>
      </c>
      <c r="E1886" t="str">
        <f>IFERROR(VLOOKUP(tbEscolas[[#This Row],[COD ETPA]],tbEtapas[],2,FALSE),"")</f>
        <v/>
      </c>
      <c r="F1886" t="str">
        <f>IFERROR(VLOOKUP(tbEscolas[[#This Row],[COD ETPA]],tbEtapas[],3,FALSE),"")</f>
        <v/>
      </c>
    </row>
    <row r="1887" spans="1:6" x14ac:dyDescent="0.25">
      <c r="A1887" s="24" t="str">
        <f>_xlfn.XLOOKUP(tbEscolas[[#This Row],[ESCOLA]],tbNucleo[ESCOLA],tbNucleo[COD ESCOLA],"")</f>
        <v/>
      </c>
      <c r="B1887" t="str" cm="1">
        <f t="array" ref="B1887">IFERROR(INDEX(tbNucleo[ESCOLA],ROUNDUP(ROW(B1886)/TotalEtapas,0)),"")</f>
        <v/>
      </c>
      <c r="E1887" t="str">
        <f>IFERROR(VLOOKUP(tbEscolas[[#This Row],[COD ETPA]],tbEtapas[],2,FALSE),"")</f>
        <v/>
      </c>
      <c r="F1887" t="str">
        <f>IFERROR(VLOOKUP(tbEscolas[[#This Row],[COD ETPA]],tbEtapas[],3,FALSE),"")</f>
        <v/>
      </c>
    </row>
    <row r="1888" spans="1:6" x14ac:dyDescent="0.25">
      <c r="A1888" s="24" t="str">
        <f>_xlfn.XLOOKUP(tbEscolas[[#This Row],[ESCOLA]],tbNucleo[ESCOLA],tbNucleo[COD ESCOLA],"")</f>
        <v/>
      </c>
      <c r="B1888" t="str" cm="1">
        <f t="array" ref="B1888">IFERROR(INDEX(tbNucleo[ESCOLA],ROUNDUP(ROW(B1887)/TotalEtapas,0)),"")</f>
        <v/>
      </c>
      <c r="E1888" t="str">
        <f>IFERROR(VLOOKUP(tbEscolas[[#This Row],[COD ETPA]],tbEtapas[],2,FALSE),"")</f>
        <v/>
      </c>
      <c r="F1888" t="str">
        <f>IFERROR(VLOOKUP(tbEscolas[[#This Row],[COD ETPA]],tbEtapas[],3,FALSE),"")</f>
        <v/>
      </c>
    </row>
    <row r="1889" spans="1:6" x14ac:dyDescent="0.25">
      <c r="A1889" s="24" t="str">
        <f>_xlfn.XLOOKUP(tbEscolas[[#This Row],[ESCOLA]],tbNucleo[ESCOLA],tbNucleo[COD ESCOLA],"")</f>
        <v/>
      </c>
      <c r="B1889" t="str" cm="1">
        <f t="array" ref="B1889">IFERROR(INDEX(tbNucleo[ESCOLA],ROUNDUP(ROW(B1888)/TotalEtapas,0)),"")</f>
        <v/>
      </c>
      <c r="E1889" t="str">
        <f>IFERROR(VLOOKUP(tbEscolas[[#This Row],[COD ETPA]],tbEtapas[],2,FALSE),"")</f>
        <v/>
      </c>
      <c r="F1889" t="str">
        <f>IFERROR(VLOOKUP(tbEscolas[[#This Row],[COD ETPA]],tbEtapas[],3,FALSE),"")</f>
        <v/>
      </c>
    </row>
    <row r="1890" spans="1:6" x14ac:dyDescent="0.25">
      <c r="A1890" s="24" t="str">
        <f>_xlfn.XLOOKUP(tbEscolas[[#This Row],[ESCOLA]],tbNucleo[ESCOLA],tbNucleo[COD ESCOLA],"")</f>
        <v/>
      </c>
      <c r="B1890" t="str" cm="1">
        <f t="array" ref="B1890">IFERROR(INDEX(tbNucleo[ESCOLA],ROUNDUP(ROW(B1889)/TotalEtapas,0)),"")</f>
        <v/>
      </c>
      <c r="E1890" t="str">
        <f>IFERROR(VLOOKUP(tbEscolas[[#This Row],[COD ETPA]],tbEtapas[],2,FALSE),"")</f>
        <v/>
      </c>
      <c r="F1890" t="str">
        <f>IFERROR(VLOOKUP(tbEscolas[[#This Row],[COD ETPA]],tbEtapas[],3,FALSE),"")</f>
        <v/>
      </c>
    </row>
    <row r="1891" spans="1:6" x14ac:dyDescent="0.25">
      <c r="A1891" s="24" t="str">
        <f>_xlfn.XLOOKUP(tbEscolas[[#This Row],[ESCOLA]],tbNucleo[ESCOLA],tbNucleo[COD ESCOLA],"")</f>
        <v/>
      </c>
      <c r="B1891" t="str" cm="1">
        <f t="array" ref="B1891">IFERROR(INDEX(tbNucleo[ESCOLA],ROUNDUP(ROW(B1890)/TotalEtapas,0)),"")</f>
        <v/>
      </c>
      <c r="E1891" t="str">
        <f>IFERROR(VLOOKUP(tbEscolas[[#This Row],[COD ETPA]],tbEtapas[],2,FALSE),"")</f>
        <v/>
      </c>
      <c r="F1891" t="str">
        <f>IFERROR(VLOOKUP(tbEscolas[[#This Row],[COD ETPA]],tbEtapas[],3,FALSE),"")</f>
        <v/>
      </c>
    </row>
    <row r="1892" spans="1:6" x14ac:dyDescent="0.25">
      <c r="A1892" s="24" t="str">
        <f>_xlfn.XLOOKUP(tbEscolas[[#This Row],[ESCOLA]],tbNucleo[ESCOLA],tbNucleo[COD ESCOLA],"")</f>
        <v/>
      </c>
      <c r="B1892" t="str" cm="1">
        <f t="array" ref="B1892">IFERROR(INDEX(tbNucleo[ESCOLA],ROUNDUP(ROW(B1891)/TotalEtapas,0)),"")</f>
        <v/>
      </c>
      <c r="E1892" t="str">
        <f>IFERROR(VLOOKUP(tbEscolas[[#This Row],[COD ETPA]],tbEtapas[],2,FALSE),"")</f>
        <v/>
      </c>
      <c r="F1892" t="str">
        <f>IFERROR(VLOOKUP(tbEscolas[[#This Row],[COD ETPA]],tbEtapas[],3,FALSE),"")</f>
        <v/>
      </c>
    </row>
    <row r="1893" spans="1:6" x14ac:dyDescent="0.25">
      <c r="A1893" s="24" t="str">
        <f>_xlfn.XLOOKUP(tbEscolas[[#This Row],[ESCOLA]],tbNucleo[ESCOLA],tbNucleo[COD ESCOLA],"")</f>
        <v/>
      </c>
      <c r="B1893" t="str" cm="1">
        <f t="array" ref="B1893">IFERROR(INDEX(tbNucleo[ESCOLA],ROUNDUP(ROW(B1892)/TotalEtapas,0)),"")</f>
        <v/>
      </c>
      <c r="E1893" t="str">
        <f>IFERROR(VLOOKUP(tbEscolas[[#This Row],[COD ETPA]],tbEtapas[],2,FALSE),"")</f>
        <v/>
      </c>
      <c r="F1893" t="str">
        <f>IFERROR(VLOOKUP(tbEscolas[[#This Row],[COD ETPA]],tbEtapas[],3,FALSE),"")</f>
        <v/>
      </c>
    </row>
    <row r="1894" spans="1:6" x14ac:dyDescent="0.25">
      <c r="A1894" s="24" t="str">
        <f>_xlfn.XLOOKUP(tbEscolas[[#This Row],[ESCOLA]],tbNucleo[ESCOLA],tbNucleo[COD ESCOLA],"")</f>
        <v/>
      </c>
      <c r="B1894" t="str" cm="1">
        <f t="array" ref="B1894">IFERROR(INDEX(tbNucleo[ESCOLA],ROUNDUP(ROW(B1893)/TotalEtapas,0)),"")</f>
        <v/>
      </c>
      <c r="E1894" t="str">
        <f>IFERROR(VLOOKUP(tbEscolas[[#This Row],[COD ETPA]],tbEtapas[],2,FALSE),"")</f>
        <v/>
      </c>
      <c r="F1894" t="str">
        <f>IFERROR(VLOOKUP(tbEscolas[[#This Row],[COD ETPA]],tbEtapas[],3,FALSE),"")</f>
        <v/>
      </c>
    </row>
    <row r="1895" spans="1:6" x14ac:dyDescent="0.25">
      <c r="A1895" s="24" t="str">
        <f>_xlfn.XLOOKUP(tbEscolas[[#This Row],[ESCOLA]],tbNucleo[ESCOLA],tbNucleo[COD ESCOLA],"")</f>
        <v/>
      </c>
      <c r="B1895" t="str" cm="1">
        <f t="array" ref="B1895">IFERROR(INDEX(tbNucleo[ESCOLA],ROUNDUP(ROW(B1894)/TotalEtapas,0)),"")</f>
        <v/>
      </c>
      <c r="E1895" t="str">
        <f>IFERROR(VLOOKUP(tbEscolas[[#This Row],[COD ETPA]],tbEtapas[],2,FALSE),"")</f>
        <v/>
      </c>
      <c r="F1895" t="str">
        <f>IFERROR(VLOOKUP(tbEscolas[[#This Row],[COD ETPA]],tbEtapas[],3,FALSE),"")</f>
        <v/>
      </c>
    </row>
    <row r="1896" spans="1:6" x14ac:dyDescent="0.25">
      <c r="A1896" s="24" t="str">
        <f>_xlfn.XLOOKUP(tbEscolas[[#This Row],[ESCOLA]],tbNucleo[ESCOLA],tbNucleo[COD ESCOLA],"")</f>
        <v/>
      </c>
      <c r="B1896" t="str" cm="1">
        <f t="array" ref="B1896">IFERROR(INDEX(tbNucleo[ESCOLA],ROUNDUP(ROW(B1895)/TotalEtapas,0)),"")</f>
        <v/>
      </c>
      <c r="E1896" t="str">
        <f>IFERROR(VLOOKUP(tbEscolas[[#This Row],[COD ETPA]],tbEtapas[],2,FALSE),"")</f>
        <v/>
      </c>
      <c r="F1896" t="str">
        <f>IFERROR(VLOOKUP(tbEscolas[[#This Row],[COD ETPA]],tbEtapas[],3,FALSE),"")</f>
        <v/>
      </c>
    </row>
    <row r="1897" spans="1:6" x14ac:dyDescent="0.25">
      <c r="A1897" s="24" t="str">
        <f>_xlfn.XLOOKUP(tbEscolas[[#This Row],[ESCOLA]],tbNucleo[ESCOLA],tbNucleo[COD ESCOLA],"")</f>
        <v/>
      </c>
      <c r="B1897" t="str" cm="1">
        <f t="array" ref="B1897">IFERROR(INDEX(tbNucleo[ESCOLA],ROUNDUP(ROW(B1896)/TotalEtapas,0)),"")</f>
        <v/>
      </c>
      <c r="E1897" t="str">
        <f>IFERROR(VLOOKUP(tbEscolas[[#This Row],[COD ETPA]],tbEtapas[],2,FALSE),"")</f>
        <v/>
      </c>
      <c r="F1897" t="str">
        <f>IFERROR(VLOOKUP(tbEscolas[[#This Row],[COD ETPA]],tbEtapas[],3,FALSE),"")</f>
        <v/>
      </c>
    </row>
    <row r="1898" spans="1:6" x14ac:dyDescent="0.25">
      <c r="A1898" s="24" t="str">
        <f>_xlfn.XLOOKUP(tbEscolas[[#This Row],[ESCOLA]],tbNucleo[ESCOLA],tbNucleo[COD ESCOLA],"")</f>
        <v/>
      </c>
      <c r="B1898" t="str" cm="1">
        <f t="array" ref="B1898">IFERROR(INDEX(tbNucleo[ESCOLA],ROUNDUP(ROW(B1897)/TotalEtapas,0)),"")</f>
        <v/>
      </c>
      <c r="E1898" t="str">
        <f>IFERROR(VLOOKUP(tbEscolas[[#This Row],[COD ETPA]],tbEtapas[],2,FALSE),"")</f>
        <v/>
      </c>
      <c r="F1898" t="str">
        <f>IFERROR(VLOOKUP(tbEscolas[[#This Row],[COD ETPA]],tbEtapas[],3,FALSE),"")</f>
        <v/>
      </c>
    </row>
    <row r="1899" spans="1:6" x14ac:dyDescent="0.25">
      <c r="A1899" s="24" t="str">
        <f>_xlfn.XLOOKUP(tbEscolas[[#This Row],[ESCOLA]],tbNucleo[ESCOLA],tbNucleo[COD ESCOLA],"")</f>
        <v/>
      </c>
      <c r="B1899" t="str" cm="1">
        <f t="array" ref="B1899">IFERROR(INDEX(tbNucleo[ESCOLA],ROUNDUP(ROW(B1898)/TotalEtapas,0)),"")</f>
        <v/>
      </c>
      <c r="E1899" t="str">
        <f>IFERROR(VLOOKUP(tbEscolas[[#This Row],[COD ETPA]],tbEtapas[],2,FALSE),"")</f>
        <v/>
      </c>
      <c r="F1899" t="str">
        <f>IFERROR(VLOOKUP(tbEscolas[[#This Row],[COD ETPA]],tbEtapas[],3,FALSE),"")</f>
        <v/>
      </c>
    </row>
    <row r="1900" spans="1:6" x14ac:dyDescent="0.25">
      <c r="A1900" s="24" t="str">
        <f>_xlfn.XLOOKUP(tbEscolas[[#This Row],[ESCOLA]],tbNucleo[ESCOLA],tbNucleo[COD ESCOLA],"")</f>
        <v/>
      </c>
      <c r="B1900" t="str" cm="1">
        <f t="array" ref="B1900">IFERROR(INDEX(tbNucleo[ESCOLA],ROUNDUP(ROW(B1899)/TotalEtapas,0)),"")</f>
        <v/>
      </c>
      <c r="E1900" t="str">
        <f>IFERROR(VLOOKUP(tbEscolas[[#This Row],[COD ETPA]],tbEtapas[],2,FALSE),"")</f>
        <v/>
      </c>
      <c r="F1900" t="str">
        <f>IFERROR(VLOOKUP(tbEscolas[[#This Row],[COD ETPA]],tbEtapas[],3,FALSE),"")</f>
        <v/>
      </c>
    </row>
    <row r="1901" spans="1:6" x14ac:dyDescent="0.25">
      <c r="A1901" s="24" t="str">
        <f>_xlfn.XLOOKUP(tbEscolas[[#This Row],[ESCOLA]],tbNucleo[ESCOLA],tbNucleo[COD ESCOLA],"")</f>
        <v/>
      </c>
      <c r="B1901" t="str" cm="1">
        <f t="array" ref="B1901">IFERROR(INDEX(tbNucleo[ESCOLA],ROUNDUP(ROW(B1900)/TotalEtapas,0)),"")</f>
        <v/>
      </c>
      <c r="E1901" t="str">
        <f>IFERROR(VLOOKUP(tbEscolas[[#This Row],[COD ETPA]],tbEtapas[],2,FALSE),"")</f>
        <v/>
      </c>
      <c r="F1901" t="str">
        <f>IFERROR(VLOOKUP(tbEscolas[[#This Row],[COD ETPA]],tbEtapas[],3,FALSE),"")</f>
        <v/>
      </c>
    </row>
    <row r="1902" spans="1:6" x14ac:dyDescent="0.25">
      <c r="A1902" s="24" t="str">
        <f>_xlfn.XLOOKUP(tbEscolas[[#This Row],[ESCOLA]],tbNucleo[ESCOLA],tbNucleo[COD ESCOLA],"")</f>
        <v/>
      </c>
      <c r="B1902" t="str" cm="1">
        <f t="array" ref="B1902">IFERROR(INDEX(tbNucleo[ESCOLA],ROUNDUP(ROW(B1901)/TotalEtapas,0)),"")</f>
        <v/>
      </c>
      <c r="E1902" t="str">
        <f>IFERROR(VLOOKUP(tbEscolas[[#This Row],[COD ETPA]],tbEtapas[],2,FALSE),"")</f>
        <v/>
      </c>
      <c r="F1902" t="str">
        <f>IFERROR(VLOOKUP(tbEscolas[[#This Row],[COD ETPA]],tbEtapas[],3,FALSE),"")</f>
        <v/>
      </c>
    </row>
    <row r="1903" spans="1:6" x14ac:dyDescent="0.25">
      <c r="A1903" s="24" t="str">
        <f>_xlfn.XLOOKUP(tbEscolas[[#This Row],[ESCOLA]],tbNucleo[ESCOLA],tbNucleo[COD ESCOLA],"")</f>
        <v/>
      </c>
      <c r="B1903" t="str" cm="1">
        <f t="array" ref="B1903">IFERROR(INDEX(tbNucleo[ESCOLA],ROUNDUP(ROW(B1902)/TotalEtapas,0)),"")</f>
        <v/>
      </c>
      <c r="E1903" t="str">
        <f>IFERROR(VLOOKUP(tbEscolas[[#This Row],[COD ETPA]],tbEtapas[],2,FALSE),"")</f>
        <v/>
      </c>
      <c r="F1903" t="str">
        <f>IFERROR(VLOOKUP(tbEscolas[[#This Row],[COD ETPA]],tbEtapas[],3,FALSE),"")</f>
        <v/>
      </c>
    </row>
    <row r="1904" spans="1:6" x14ac:dyDescent="0.25">
      <c r="A1904" s="24" t="str">
        <f>_xlfn.XLOOKUP(tbEscolas[[#This Row],[ESCOLA]],tbNucleo[ESCOLA],tbNucleo[COD ESCOLA],"")</f>
        <v/>
      </c>
      <c r="B1904" t="str" cm="1">
        <f t="array" ref="B1904">IFERROR(INDEX(tbNucleo[ESCOLA],ROUNDUP(ROW(B1903)/TotalEtapas,0)),"")</f>
        <v/>
      </c>
      <c r="E1904" t="str">
        <f>IFERROR(VLOOKUP(tbEscolas[[#This Row],[COD ETPA]],tbEtapas[],2,FALSE),"")</f>
        <v/>
      </c>
      <c r="F1904" t="str">
        <f>IFERROR(VLOOKUP(tbEscolas[[#This Row],[COD ETPA]],tbEtapas[],3,FALSE),"")</f>
        <v/>
      </c>
    </row>
    <row r="1905" spans="1:6" x14ac:dyDescent="0.25">
      <c r="A1905" s="24" t="str">
        <f>_xlfn.XLOOKUP(tbEscolas[[#This Row],[ESCOLA]],tbNucleo[ESCOLA],tbNucleo[COD ESCOLA],"")</f>
        <v/>
      </c>
      <c r="B1905" t="str" cm="1">
        <f t="array" ref="B1905">IFERROR(INDEX(tbNucleo[ESCOLA],ROUNDUP(ROW(B1904)/TotalEtapas,0)),"")</f>
        <v/>
      </c>
      <c r="E1905" t="str">
        <f>IFERROR(VLOOKUP(tbEscolas[[#This Row],[COD ETPA]],tbEtapas[],2,FALSE),"")</f>
        <v/>
      </c>
      <c r="F1905" t="str">
        <f>IFERROR(VLOOKUP(tbEscolas[[#This Row],[COD ETPA]],tbEtapas[],3,FALSE),"")</f>
        <v/>
      </c>
    </row>
    <row r="1906" spans="1:6" x14ac:dyDescent="0.25">
      <c r="A1906" s="24" t="str">
        <f>_xlfn.XLOOKUP(tbEscolas[[#This Row],[ESCOLA]],tbNucleo[ESCOLA],tbNucleo[COD ESCOLA],"")</f>
        <v/>
      </c>
      <c r="B1906" t="str" cm="1">
        <f t="array" ref="B1906">IFERROR(INDEX(tbNucleo[ESCOLA],ROUNDUP(ROW(B1905)/TotalEtapas,0)),"")</f>
        <v/>
      </c>
      <c r="E1906" t="str">
        <f>IFERROR(VLOOKUP(tbEscolas[[#This Row],[COD ETPA]],tbEtapas[],2,FALSE),"")</f>
        <v/>
      </c>
      <c r="F1906" t="str">
        <f>IFERROR(VLOOKUP(tbEscolas[[#This Row],[COD ETPA]],tbEtapas[],3,FALSE),"")</f>
        <v/>
      </c>
    </row>
    <row r="1907" spans="1:6" x14ac:dyDescent="0.25">
      <c r="A1907" s="24" t="str">
        <f>_xlfn.XLOOKUP(tbEscolas[[#This Row],[ESCOLA]],tbNucleo[ESCOLA],tbNucleo[COD ESCOLA],"")</f>
        <v/>
      </c>
      <c r="B1907" t="str" cm="1">
        <f t="array" ref="B1907">IFERROR(INDEX(tbNucleo[ESCOLA],ROUNDUP(ROW(B1906)/TotalEtapas,0)),"")</f>
        <v/>
      </c>
      <c r="E1907" t="str">
        <f>IFERROR(VLOOKUP(tbEscolas[[#This Row],[COD ETPA]],tbEtapas[],2,FALSE),"")</f>
        <v/>
      </c>
      <c r="F1907" t="str">
        <f>IFERROR(VLOOKUP(tbEscolas[[#This Row],[COD ETPA]],tbEtapas[],3,FALSE),"")</f>
        <v/>
      </c>
    </row>
    <row r="1908" spans="1:6" x14ac:dyDescent="0.25">
      <c r="A1908" s="24" t="str">
        <f>_xlfn.XLOOKUP(tbEscolas[[#This Row],[ESCOLA]],tbNucleo[ESCOLA],tbNucleo[COD ESCOLA],"")</f>
        <v/>
      </c>
      <c r="B1908" t="str" cm="1">
        <f t="array" ref="B1908">IFERROR(INDEX(tbNucleo[ESCOLA],ROUNDUP(ROW(B1907)/TotalEtapas,0)),"")</f>
        <v/>
      </c>
      <c r="E1908" t="str">
        <f>IFERROR(VLOOKUP(tbEscolas[[#This Row],[COD ETPA]],tbEtapas[],2,FALSE),"")</f>
        <v/>
      </c>
      <c r="F1908" t="str">
        <f>IFERROR(VLOOKUP(tbEscolas[[#This Row],[COD ETPA]],tbEtapas[],3,FALSE),"")</f>
        <v/>
      </c>
    </row>
    <row r="1909" spans="1:6" x14ac:dyDescent="0.25">
      <c r="A1909" s="24" t="str">
        <f>_xlfn.XLOOKUP(tbEscolas[[#This Row],[ESCOLA]],tbNucleo[ESCOLA],tbNucleo[COD ESCOLA],"")</f>
        <v/>
      </c>
      <c r="B1909" t="str" cm="1">
        <f t="array" ref="B1909">IFERROR(INDEX(tbNucleo[ESCOLA],ROUNDUP(ROW(B1908)/TotalEtapas,0)),"")</f>
        <v/>
      </c>
      <c r="E1909" t="str">
        <f>IFERROR(VLOOKUP(tbEscolas[[#This Row],[COD ETPA]],tbEtapas[],2,FALSE),"")</f>
        <v/>
      </c>
      <c r="F1909" t="str">
        <f>IFERROR(VLOOKUP(tbEscolas[[#This Row],[COD ETPA]],tbEtapas[],3,FALSE),"")</f>
        <v/>
      </c>
    </row>
    <row r="1910" spans="1:6" x14ac:dyDescent="0.25">
      <c r="A1910" s="24" t="str">
        <f>_xlfn.XLOOKUP(tbEscolas[[#This Row],[ESCOLA]],tbNucleo[ESCOLA],tbNucleo[COD ESCOLA],"")</f>
        <v/>
      </c>
      <c r="B1910" t="str" cm="1">
        <f t="array" ref="B1910">IFERROR(INDEX(tbNucleo[ESCOLA],ROUNDUP(ROW(B1909)/TotalEtapas,0)),"")</f>
        <v/>
      </c>
      <c r="E1910" t="str">
        <f>IFERROR(VLOOKUP(tbEscolas[[#This Row],[COD ETPA]],tbEtapas[],2,FALSE),"")</f>
        <v/>
      </c>
      <c r="F1910" t="str">
        <f>IFERROR(VLOOKUP(tbEscolas[[#This Row],[COD ETPA]],tbEtapas[],3,FALSE),"")</f>
        <v/>
      </c>
    </row>
    <row r="1911" spans="1:6" x14ac:dyDescent="0.25">
      <c r="A1911" s="24" t="str">
        <f>_xlfn.XLOOKUP(tbEscolas[[#This Row],[ESCOLA]],tbNucleo[ESCOLA],tbNucleo[COD ESCOLA],"")</f>
        <v/>
      </c>
      <c r="B1911" t="str" cm="1">
        <f t="array" ref="B1911">IFERROR(INDEX(tbNucleo[ESCOLA],ROUNDUP(ROW(B1910)/TotalEtapas,0)),"")</f>
        <v/>
      </c>
      <c r="E1911" t="str">
        <f>IFERROR(VLOOKUP(tbEscolas[[#This Row],[COD ETPA]],tbEtapas[],2,FALSE),"")</f>
        <v/>
      </c>
      <c r="F1911" t="str">
        <f>IFERROR(VLOOKUP(tbEscolas[[#This Row],[COD ETPA]],tbEtapas[],3,FALSE),"")</f>
        <v/>
      </c>
    </row>
    <row r="1912" spans="1:6" x14ac:dyDescent="0.25">
      <c r="A1912" s="24" t="str">
        <f>_xlfn.XLOOKUP(tbEscolas[[#This Row],[ESCOLA]],tbNucleo[ESCOLA],tbNucleo[COD ESCOLA],"")</f>
        <v/>
      </c>
      <c r="B1912" t="str" cm="1">
        <f t="array" ref="B1912">IFERROR(INDEX(tbNucleo[ESCOLA],ROUNDUP(ROW(B1911)/TotalEtapas,0)),"")</f>
        <v/>
      </c>
      <c r="E1912" t="str">
        <f>IFERROR(VLOOKUP(tbEscolas[[#This Row],[COD ETPA]],tbEtapas[],2,FALSE),"")</f>
        <v/>
      </c>
      <c r="F1912" t="str">
        <f>IFERROR(VLOOKUP(tbEscolas[[#This Row],[COD ETPA]],tbEtapas[],3,FALSE),"")</f>
        <v/>
      </c>
    </row>
    <row r="1913" spans="1:6" x14ac:dyDescent="0.25">
      <c r="A1913" s="24" t="str">
        <f>_xlfn.XLOOKUP(tbEscolas[[#This Row],[ESCOLA]],tbNucleo[ESCOLA],tbNucleo[COD ESCOLA],"")</f>
        <v/>
      </c>
      <c r="B1913" t="str" cm="1">
        <f t="array" ref="B1913">IFERROR(INDEX(tbNucleo[ESCOLA],ROUNDUP(ROW(B1912)/TotalEtapas,0)),"")</f>
        <v/>
      </c>
      <c r="E1913" t="str">
        <f>IFERROR(VLOOKUP(tbEscolas[[#This Row],[COD ETPA]],tbEtapas[],2,FALSE),"")</f>
        <v/>
      </c>
      <c r="F1913" t="str">
        <f>IFERROR(VLOOKUP(tbEscolas[[#This Row],[COD ETPA]],tbEtapas[],3,FALSE),"")</f>
        <v/>
      </c>
    </row>
    <row r="1914" spans="1:6" x14ac:dyDescent="0.25">
      <c r="A1914" s="24" t="str">
        <f>_xlfn.XLOOKUP(tbEscolas[[#This Row],[ESCOLA]],tbNucleo[ESCOLA],tbNucleo[COD ESCOLA],"")</f>
        <v/>
      </c>
      <c r="B1914" t="str" cm="1">
        <f t="array" ref="B1914">IFERROR(INDEX(tbNucleo[ESCOLA],ROUNDUP(ROW(B1913)/TotalEtapas,0)),"")</f>
        <v/>
      </c>
      <c r="E1914" t="str">
        <f>IFERROR(VLOOKUP(tbEscolas[[#This Row],[COD ETPA]],tbEtapas[],2,FALSE),"")</f>
        <v/>
      </c>
      <c r="F1914" t="str">
        <f>IFERROR(VLOOKUP(tbEscolas[[#This Row],[COD ETPA]],tbEtapas[],3,FALSE),"")</f>
        <v/>
      </c>
    </row>
    <row r="1915" spans="1:6" x14ac:dyDescent="0.25">
      <c r="A1915" s="24" t="str">
        <f>_xlfn.XLOOKUP(tbEscolas[[#This Row],[ESCOLA]],tbNucleo[ESCOLA],tbNucleo[COD ESCOLA],"")</f>
        <v/>
      </c>
      <c r="B1915" t="str" cm="1">
        <f t="array" ref="B1915">IFERROR(INDEX(tbNucleo[ESCOLA],ROUNDUP(ROW(B1914)/TotalEtapas,0)),"")</f>
        <v/>
      </c>
      <c r="E1915" t="str">
        <f>IFERROR(VLOOKUP(tbEscolas[[#This Row],[COD ETPA]],tbEtapas[],2,FALSE),"")</f>
        <v/>
      </c>
      <c r="F1915" t="str">
        <f>IFERROR(VLOOKUP(tbEscolas[[#This Row],[COD ETPA]],tbEtapas[],3,FALSE),"")</f>
        <v/>
      </c>
    </row>
    <row r="1916" spans="1:6" x14ac:dyDescent="0.25">
      <c r="A1916" s="24" t="str">
        <f>_xlfn.XLOOKUP(tbEscolas[[#This Row],[ESCOLA]],tbNucleo[ESCOLA],tbNucleo[COD ESCOLA],"")</f>
        <v/>
      </c>
      <c r="B1916" t="str" cm="1">
        <f t="array" ref="B1916">IFERROR(INDEX(tbNucleo[ESCOLA],ROUNDUP(ROW(B1915)/TotalEtapas,0)),"")</f>
        <v/>
      </c>
      <c r="E1916" t="str">
        <f>IFERROR(VLOOKUP(tbEscolas[[#This Row],[COD ETPA]],tbEtapas[],2,FALSE),"")</f>
        <v/>
      </c>
      <c r="F1916" t="str">
        <f>IFERROR(VLOOKUP(tbEscolas[[#This Row],[COD ETPA]],tbEtapas[],3,FALSE),"")</f>
        <v/>
      </c>
    </row>
    <row r="1917" spans="1:6" x14ac:dyDescent="0.25">
      <c r="A1917" s="24" t="str">
        <f>_xlfn.XLOOKUP(tbEscolas[[#This Row],[ESCOLA]],tbNucleo[ESCOLA],tbNucleo[COD ESCOLA],"")</f>
        <v/>
      </c>
      <c r="B1917" t="str" cm="1">
        <f t="array" ref="B1917">IFERROR(INDEX(tbNucleo[ESCOLA],ROUNDUP(ROW(B1916)/TotalEtapas,0)),"")</f>
        <v/>
      </c>
      <c r="E1917" t="str">
        <f>IFERROR(VLOOKUP(tbEscolas[[#This Row],[COD ETPA]],tbEtapas[],2,FALSE),"")</f>
        <v/>
      </c>
      <c r="F1917" t="str">
        <f>IFERROR(VLOOKUP(tbEscolas[[#This Row],[COD ETPA]],tbEtapas[],3,FALSE),"")</f>
        <v/>
      </c>
    </row>
    <row r="1918" spans="1:6" x14ac:dyDescent="0.25">
      <c r="A1918" s="24" t="str">
        <f>_xlfn.XLOOKUP(tbEscolas[[#This Row],[ESCOLA]],tbNucleo[ESCOLA],tbNucleo[COD ESCOLA],"")</f>
        <v/>
      </c>
      <c r="B1918" t="str" cm="1">
        <f t="array" ref="B1918">IFERROR(INDEX(tbNucleo[ESCOLA],ROUNDUP(ROW(B1917)/TotalEtapas,0)),"")</f>
        <v/>
      </c>
      <c r="E1918" t="str">
        <f>IFERROR(VLOOKUP(tbEscolas[[#This Row],[COD ETPA]],tbEtapas[],2,FALSE),"")</f>
        <v/>
      </c>
      <c r="F1918" t="str">
        <f>IFERROR(VLOOKUP(tbEscolas[[#This Row],[COD ETPA]],tbEtapas[],3,FALSE),"")</f>
        <v/>
      </c>
    </row>
    <row r="1919" spans="1:6" x14ac:dyDescent="0.25">
      <c r="A1919" s="24" t="str">
        <f>_xlfn.XLOOKUP(tbEscolas[[#This Row],[ESCOLA]],tbNucleo[ESCOLA],tbNucleo[COD ESCOLA],"")</f>
        <v/>
      </c>
      <c r="B1919" t="str" cm="1">
        <f t="array" ref="B1919">IFERROR(INDEX(tbNucleo[ESCOLA],ROUNDUP(ROW(B1918)/TotalEtapas,0)),"")</f>
        <v/>
      </c>
      <c r="E1919" t="str">
        <f>IFERROR(VLOOKUP(tbEscolas[[#This Row],[COD ETPA]],tbEtapas[],2,FALSE),"")</f>
        <v/>
      </c>
      <c r="F1919" t="str">
        <f>IFERROR(VLOOKUP(tbEscolas[[#This Row],[COD ETPA]],tbEtapas[],3,FALSE),"")</f>
        <v/>
      </c>
    </row>
    <row r="1920" spans="1:6" x14ac:dyDescent="0.25">
      <c r="A1920" s="24" t="str">
        <f>_xlfn.XLOOKUP(tbEscolas[[#This Row],[ESCOLA]],tbNucleo[ESCOLA],tbNucleo[COD ESCOLA],"")</f>
        <v/>
      </c>
      <c r="B1920" t="str" cm="1">
        <f t="array" ref="B1920">IFERROR(INDEX(tbNucleo[ESCOLA],ROUNDUP(ROW(B1919)/TotalEtapas,0)),"")</f>
        <v/>
      </c>
      <c r="E1920" t="str">
        <f>IFERROR(VLOOKUP(tbEscolas[[#This Row],[COD ETPA]],tbEtapas[],2,FALSE),"")</f>
        <v/>
      </c>
      <c r="F1920" t="str">
        <f>IFERROR(VLOOKUP(tbEscolas[[#This Row],[COD ETPA]],tbEtapas[],3,FALSE),"")</f>
        <v/>
      </c>
    </row>
    <row r="1921" spans="1:6" x14ac:dyDescent="0.25">
      <c r="A1921" s="24" t="str">
        <f>_xlfn.XLOOKUP(tbEscolas[[#This Row],[ESCOLA]],tbNucleo[ESCOLA],tbNucleo[COD ESCOLA],"")</f>
        <v/>
      </c>
      <c r="B1921" t="str" cm="1">
        <f t="array" ref="B1921">IFERROR(INDEX(tbNucleo[ESCOLA],ROUNDUP(ROW(B1920)/TotalEtapas,0)),"")</f>
        <v/>
      </c>
      <c r="E1921" t="str">
        <f>IFERROR(VLOOKUP(tbEscolas[[#This Row],[COD ETPA]],tbEtapas[],2,FALSE),"")</f>
        <v/>
      </c>
      <c r="F1921" t="str">
        <f>IFERROR(VLOOKUP(tbEscolas[[#This Row],[COD ETPA]],tbEtapas[],3,FALSE),"")</f>
        <v/>
      </c>
    </row>
    <row r="1922" spans="1:6" x14ac:dyDescent="0.25">
      <c r="A1922" s="24" t="str">
        <f>_xlfn.XLOOKUP(tbEscolas[[#This Row],[ESCOLA]],tbNucleo[ESCOLA],tbNucleo[COD ESCOLA],"")</f>
        <v/>
      </c>
      <c r="B1922" t="str" cm="1">
        <f t="array" ref="B1922">IFERROR(INDEX(tbNucleo[ESCOLA],ROUNDUP(ROW(B1921)/TotalEtapas,0)),"")</f>
        <v/>
      </c>
      <c r="E1922" t="str">
        <f>IFERROR(VLOOKUP(tbEscolas[[#This Row],[COD ETPA]],tbEtapas[],2,FALSE),"")</f>
        <v/>
      </c>
      <c r="F1922" t="str">
        <f>IFERROR(VLOOKUP(tbEscolas[[#This Row],[COD ETPA]],tbEtapas[],3,FALSE),"")</f>
        <v/>
      </c>
    </row>
    <row r="1923" spans="1:6" x14ac:dyDescent="0.25">
      <c r="A1923" s="24" t="str">
        <f>_xlfn.XLOOKUP(tbEscolas[[#This Row],[ESCOLA]],tbNucleo[ESCOLA],tbNucleo[COD ESCOLA],"")</f>
        <v/>
      </c>
      <c r="B1923" t="str" cm="1">
        <f t="array" ref="B1923">IFERROR(INDEX(tbNucleo[ESCOLA],ROUNDUP(ROW(B1922)/TotalEtapas,0)),"")</f>
        <v/>
      </c>
      <c r="E1923" t="str">
        <f>IFERROR(VLOOKUP(tbEscolas[[#This Row],[COD ETPA]],tbEtapas[],2,FALSE),"")</f>
        <v/>
      </c>
      <c r="F1923" t="str">
        <f>IFERROR(VLOOKUP(tbEscolas[[#This Row],[COD ETPA]],tbEtapas[],3,FALSE),"")</f>
        <v/>
      </c>
    </row>
    <row r="1924" spans="1:6" x14ac:dyDescent="0.25">
      <c r="A1924" s="24" t="str">
        <f>_xlfn.XLOOKUP(tbEscolas[[#This Row],[ESCOLA]],tbNucleo[ESCOLA],tbNucleo[COD ESCOLA],"")</f>
        <v/>
      </c>
      <c r="B1924" t="str" cm="1">
        <f t="array" ref="B1924">IFERROR(INDEX(tbNucleo[ESCOLA],ROUNDUP(ROW(B1923)/TotalEtapas,0)),"")</f>
        <v/>
      </c>
      <c r="E1924" t="str">
        <f>IFERROR(VLOOKUP(tbEscolas[[#This Row],[COD ETPA]],tbEtapas[],2,FALSE),"")</f>
        <v/>
      </c>
      <c r="F1924" t="str">
        <f>IFERROR(VLOOKUP(tbEscolas[[#This Row],[COD ETPA]],tbEtapas[],3,FALSE),"")</f>
        <v/>
      </c>
    </row>
    <row r="1925" spans="1:6" x14ac:dyDescent="0.25">
      <c r="A1925" s="24" t="str">
        <f>_xlfn.XLOOKUP(tbEscolas[[#This Row],[ESCOLA]],tbNucleo[ESCOLA],tbNucleo[COD ESCOLA],"")</f>
        <v/>
      </c>
      <c r="B1925" t="str" cm="1">
        <f t="array" ref="B1925">IFERROR(INDEX(tbNucleo[ESCOLA],ROUNDUP(ROW(B1924)/TotalEtapas,0)),"")</f>
        <v/>
      </c>
      <c r="E1925" t="str">
        <f>IFERROR(VLOOKUP(tbEscolas[[#This Row],[COD ETPA]],tbEtapas[],2,FALSE),"")</f>
        <v/>
      </c>
      <c r="F1925" t="str">
        <f>IFERROR(VLOOKUP(tbEscolas[[#This Row],[COD ETPA]],tbEtapas[],3,FALSE),"")</f>
        <v/>
      </c>
    </row>
    <row r="1926" spans="1:6" x14ac:dyDescent="0.25">
      <c r="A1926" s="24" t="str">
        <f>_xlfn.XLOOKUP(tbEscolas[[#This Row],[ESCOLA]],tbNucleo[ESCOLA],tbNucleo[COD ESCOLA],"")</f>
        <v/>
      </c>
      <c r="B1926" t="str" cm="1">
        <f t="array" ref="B1926">IFERROR(INDEX(tbNucleo[ESCOLA],ROUNDUP(ROW(B1925)/TotalEtapas,0)),"")</f>
        <v/>
      </c>
      <c r="E1926" t="str">
        <f>IFERROR(VLOOKUP(tbEscolas[[#This Row],[COD ETPA]],tbEtapas[],2,FALSE),"")</f>
        <v/>
      </c>
      <c r="F1926" t="str">
        <f>IFERROR(VLOOKUP(tbEscolas[[#This Row],[COD ETPA]],tbEtapas[],3,FALSE),"")</f>
        <v/>
      </c>
    </row>
    <row r="1927" spans="1:6" x14ac:dyDescent="0.25">
      <c r="A1927" s="24" t="str">
        <f>_xlfn.XLOOKUP(tbEscolas[[#This Row],[ESCOLA]],tbNucleo[ESCOLA],tbNucleo[COD ESCOLA],"")</f>
        <v/>
      </c>
      <c r="B1927" t="str" cm="1">
        <f t="array" ref="B1927">IFERROR(INDEX(tbNucleo[ESCOLA],ROUNDUP(ROW(B1926)/TotalEtapas,0)),"")</f>
        <v/>
      </c>
      <c r="E1927" t="str">
        <f>IFERROR(VLOOKUP(tbEscolas[[#This Row],[COD ETPA]],tbEtapas[],2,FALSE),"")</f>
        <v/>
      </c>
      <c r="F1927" t="str">
        <f>IFERROR(VLOOKUP(tbEscolas[[#This Row],[COD ETPA]],tbEtapas[],3,FALSE),"")</f>
        <v/>
      </c>
    </row>
    <row r="1928" spans="1:6" x14ac:dyDescent="0.25">
      <c r="A1928" s="24" t="str">
        <f>_xlfn.XLOOKUP(tbEscolas[[#This Row],[ESCOLA]],tbNucleo[ESCOLA],tbNucleo[COD ESCOLA],"")</f>
        <v/>
      </c>
      <c r="B1928" t="str" cm="1">
        <f t="array" ref="B1928">IFERROR(INDEX(tbNucleo[ESCOLA],ROUNDUP(ROW(B1927)/TotalEtapas,0)),"")</f>
        <v/>
      </c>
      <c r="E1928" t="str">
        <f>IFERROR(VLOOKUP(tbEscolas[[#This Row],[COD ETPA]],tbEtapas[],2,FALSE),"")</f>
        <v/>
      </c>
      <c r="F1928" t="str">
        <f>IFERROR(VLOOKUP(tbEscolas[[#This Row],[COD ETPA]],tbEtapas[],3,FALSE),"")</f>
        <v/>
      </c>
    </row>
    <row r="1929" spans="1:6" x14ac:dyDescent="0.25">
      <c r="A1929" s="24" t="str">
        <f>_xlfn.XLOOKUP(tbEscolas[[#This Row],[ESCOLA]],tbNucleo[ESCOLA],tbNucleo[COD ESCOLA],"")</f>
        <v/>
      </c>
      <c r="B1929" t="str" cm="1">
        <f t="array" ref="B1929">IFERROR(INDEX(tbNucleo[ESCOLA],ROUNDUP(ROW(B1928)/TotalEtapas,0)),"")</f>
        <v/>
      </c>
      <c r="E1929" t="str">
        <f>IFERROR(VLOOKUP(tbEscolas[[#This Row],[COD ETPA]],tbEtapas[],2,FALSE),"")</f>
        <v/>
      </c>
      <c r="F1929" t="str">
        <f>IFERROR(VLOOKUP(tbEscolas[[#This Row],[COD ETPA]],tbEtapas[],3,FALSE),"")</f>
        <v/>
      </c>
    </row>
    <row r="1930" spans="1:6" x14ac:dyDescent="0.25">
      <c r="A1930" s="24" t="str">
        <f>_xlfn.XLOOKUP(tbEscolas[[#This Row],[ESCOLA]],tbNucleo[ESCOLA],tbNucleo[COD ESCOLA],"")</f>
        <v/>
      </c>
      <c r="B1930" t="str" cm="1">
        <f t="array" ref="B1930">IFERROR(INDEX(tbNucleo[ESCOLA],ROUNDUP(ROW(B1929)/TotalEtapas,0)),"")</f>
        <v/>
      </c>
      <c r="E1930" t="str">
        <f>IFERROR(VLOOKUP(tbEscolas[[#This Row],[COD ETPA]],tbEtapas[],2,FALSE),"")</f>
        <v/>
      </c>
      <c r="F1930" t="str">
        <f>IFERROR(VLOOKUP(tbEscolas[[#This Row],[COD ETPA]],tbEtapas[],3,FALSE),"")</f>
        <v/>
      </c>
    </row>
    <row r="1931" spans="1:6" x14ac:dyDescent="0.25">
      <c r="A1931" s="24" t="str">
        <f>_xlfn.XLOOKUP(tbEscolas[[#This Row],[ESCOLA]],tbNucleo[ESCOLA],tbNucleo[COD ESCOLA],"")</f>
        <v/>
      </c>
      <c r="B1931" t="str" cm="1">
        <f t="array" ref="B1931">IFERROR(INDEX(tbNucleo[ESCOLA],ROUNDUP(ROW(B1930)/TotalEtapas,0)),"")</f>
        <v/>
      </c>
      <c r="E1931" t="str">
        <f>IFERROR(VLOOKUP(tbEscolas[[#This Row],[COD ETPA]],tbEtapas[],2,FALSE),"")</f>
        <v/>
      </c>
      <c r="F1931" t="str">
        <f>IFERROR(VLOOKUP(tbEscolas[[#This Row],[COD ETPA]],tbEtapas[],3,FALSE),"")</f>
        <v/>
      </c>
    </row>
    <row r="1932" spans="1:6" x14ac:dyDescent="0.25">
      <c r="A1932" s="24" t="str">
        <f>_xlfn.XLOOKUP(tbEscolas[[#This Row],[ESCOLA]],tbNucleo[ESCOLA],tbNucleo[COD ESCOLA],"")</f>
        <v/>
      </c>
      <c r="B1932" t="str" cm="1">
        <f t="array" ref="B1932">IFERROR(INDEX(tbNucleo[ESCOLA],ROUNDUP(ROW(B1931)/TotalEtapas,0)),"")</f>
        <v/>
      </c>
      <c r="E1932" t="str">
        <f>IFERROR(VLOOKUP(tbEscolas[[#This Row],[COD ETPA]],tbEtapas[],2,FALSE),"")</f>
        <v/>
      </c>
      <c r="F1932" t="str">
        <f>IFERROR(VLOOKUP(tbEscolas[[#This Row],[COD ETPA]],tbEtapas[],3,FALSE),"")</f>
        <v/>
      </c>
    </row>
    <row r="1933" spans="1:6" x14ac:dyDescent="0.25">
      <c r="A1933" s="24" t="str">
        <f>_xlfn.XLOOKUP(tbEscolas[[#This Row],[ESCOLA]],tbNucleo[ESCOLA],tbNucleo[COD ESCOLA],"")</f>
        <v/>
      </c>
      <c r="B1933" t="str" cm="1">
        <f t="array" ref="B1933">IFERROR(INDEX(tbNucleo[ESCOLA],ROUNDUP(ROW(B1932)/TotalEtapas,0)),"")</f>
        <v/>
      </c>
      <c r="E1933" t="str">
        <f>IFERROR(VLOOKUP(tbEscolas[[#This Row],[COD ETPA]],tbEtapas[],2,FALSE),"")</f>
        <v/>
      </c>
      <c r="F1933" t="str">
        <f>IFERROR(VLOOKUP(tbEscolas[[#This Row],[COD ETPA]],tbEtapas[],3,FALSE),"")</f>
        <v/>
      </c>
    </row>
    <row r="1934" spans="1:6" x14ac:dyDescent="0.25">
      <c r="A1934" s="24" t="str">
        <f>_xlfn.XLOOKUP(tbEscolas[[#This Row],[ESCOLA]],tbNucleo[ESCOLA],tbNucleo[COD ESCOLA],"")</f>
        <v/>
      </c>
      <c r="B1934" t="str" cm="1">
        <f t="array" ref="B1934">IFERROR(INDEX(tbNucleo[ESCOLA],ROUNDUP(ROW(B1933)/TotalEtapas,0)),"")</f>
        <v/>
      </c>
      <c r="E1934" t="str">
        <f>IFERROR(VLOOKUP(tbEscolas[[#This Row],[COD ETPA]],tbEtapas[],2,FALSE),"")</f>
        <v/>
      </c>
      <c r="F1934" t="str">
        <f>IFERROR(VLOOKUP(tbEscolas[[#This Row],[COD ETPA]],tbEtapas[],3,FALSE),"")</f>
        <v/>
      </c>
    </row>
    <row r="1935" spans="1:6" x14ac:dyDescent="0.25">
      <c r="A1935" s="24" t="str">
        <f>_xlfn.XLOOKUP(tbEscolas[[#This Row],[ESCOLA]],tbNucleo[ESCOLA],tbNucleo[COD ESCOLA],"")</f>
        <v/>
      </c>
      <c r="B1935" t="str" cm="1">
        <f t="array" ref="B1935">IFERROR(INDEX(tbNucleo[ESCOLA],ROUNDUP(ROW(B1934)/TotalEtapas,0)),"")</f>
        <v/>
      </c>
      <c r="E1935" t="str">
        <f>IFERROR(VLOOKUP(tbEscolas[[#This Row],[COD ETPA]],tbEtapas[],2,FALSE),"")</f>
        <v/>
      </c>
      <c r="F1935" t="str">
        <f>IFERROR(VLOOKUP(tbEscolas[[#This Row],[COD ETPA]],tbEtapas[],3,FALSE),"")</f>
        <v/>
      </c>
    </row>
    <row r="1936" spans="1:6" x14ac:dyDescent="0.25">
      <c r="A1936" s="24" t="str">
        <f>_xlfn.XLOOKUP(tbEscolas[[#This Row],[ESCOLA]],tbNucleo[ESCOLA],tbNucleo[COD ESCOLA],"")</f>
        <v/>
      </c>
      <c r="B1936" t="str" cm="1">
        <f t="array" ref="B1936">IFERROR(INDEX(tbNucleo[ESCOLA],ROUNDUP(ROW(B1935)/TotalEtapas,0)),"")</f>
        <v/>
      </c>
      <c r="E1936" t="str">
        <f>IFERROR(VLOOKUP(tbEscolas[[#This Row],[COD ETPA]],tbEtapas[],2,FALSE),"")</f>
        <v/>
      </c>
      <c r="F1936" t="str">
        <f>IFERROR(VLOOKUP(tbEscolas[[#This Row],[COD ETPA]],tbEtapas[],3,FALSE),"")</f>
        <v/>
      </c>
    </row>
    <row r="1937" spans="1:6" x14ac:dyDescent="0.25">
      <c r="A1937" s="24" t="str">
        <f>_xlfn.XLOOKUP(tbEscolas[[#This Row],[ESCOLA]],tbNucleo[ESCOLA],tbNucleo[COD ESCOLA],"")</f>
        <v/>
      </c>
      <c r="B1937" t="str" cm="1">
        <f t="array" ref="B1937">IFERROR(INDEX(tbNucleo[ESCOLA],ROUNDUP(ROW(B1936)/TotalEtapas,0)),"")</f>
        <v/>
      </c>
      <c r="E1937" t="str">
        <f>IFERROR(VLOOKUP(tbEscolas[[#This Row],[COD ETPA]],tbEtapas[],2,FALSE),"")</f>
        <v/>
      </c>
      <c r="F1937" t="str">
        <f>IFERROR(VLOOKUP(tbEscolas[[#This Row],[COD ETPA]],tbEtapas[],3,FALSE),"")</f>
        <v/>
      </c>
    </row>
    <row r="1938" spans="1:6" x14ac:dyDescent="0.25">
      <c r="A1938" s="24" t="str">
        <f>_xlfn.XLOOKUP(tbEscolas[[#This Row],[ESCOLA]],tbNucleo[ESCOLA],tbNucleo[COD ESCOLA],"")</f>
        <v/>
      </c>
      <c r="B1938" t="str" cm="1">
        <f t="array" ref="B1938">IFERROR(INDEX(tbNucleo[ESCOLA],ROUNDUP(ROW(B1937)/TotalEtapas,0)),"")</f>
        <v/>
      </c>
      <c r="E1938" t="str">
        <f>IFERROR(VLOOKUP(tbEscolas[[#This Row],[COD ETPA]],tbEtapas[],2,FALSE),"")</f>
        <v/>
      </c>
      <c r="F1938" t="str">
        <f>IFERROR(VLOOKUP(tbEscolas[[#This Row],[COD ETPA]],tbEtapas[],3,FALSE),"")</f>
        <v/>
      </c>
    </row>
    <row r="1939" spans="1:6" x14ac:dyDescent="0.25">
      <c r="A1939" s="24" t="str">
        <f>_xlfn.XLOOKUP(tbEscolas[[#This Row],[ESCOLA]],tbNucleo[ESCOLA],tbNucleo[COD ESCOLA],"")</f>
        <v/>
      </c>
      <c r="B1939" t="str" cm="1">
        <f t="array" ref="B1939">IFERROR(INDEX(tbNucleo[ESCOLA],ROUNDUP(ROW(B1938)/TotalEtapas,0)),"")</f>
        <v/>
      </c>
      <c r="E1939" t="str">
        <f>IFERROR(VLOOKUP(tbEscolas[[#This Row],[COD ETPA]],tbEtapas[],2,FALSE),"")</f>
        <v/>
      </c>
      <c r="F1939" t="str">
        <f>IFERROR(VLOOKUP(tbEscolas[[#This Row],[COD ETPA]],tbEtapas[],3,FALSE),"")</f>
        <v/>
      </c>
    </row>
    <row r="1940" spans="1:6" x14ac:dyDescent="0.25">
      <c r="A1940" s="24" t="str">
        <f>_xlfn.XLOOKUP(tbEscolas[[#This Row],[ESCOLA]],tbNucleo[ESCOLA],tbNucleo[COD ESCOLA],"")</f>
        <v/>
      </c>
      <c r="B1940" t="str" cm="1">
        <f t="array" ref="B1940">IFERROR(INDEX(tbNucleo[ESCOLA],ROUNDUP(ROW(B1939)/TotalEtapas,0)),"")</f>
        <v/>
      </c>
      <c r="E1940" t="str">
        <f>IFERROR(VLOOKUP(tbEscolas[[#This Row],[COD ETPA]],tbEtapas[],2,FALSE),"")</f>
        <v/>
      </c>
      <c r="F1940" t="str">
        <f>IFERROR(VLOOKUP(tbEscolas[[#This Row],[COD ETPA]],tbEtapas[],3,FALSE),"")</f>
        <v/>
      </c>
    </row>
    <row r="1941" spans="1:6" x14ac:dyDescent="0.25">
      <c r="A1941" s="24" t="str">
        <f>_xlfn.XLOOKUP(tbEscolas[[#This Row],[ESCOLA]],tbNucleo[ESCOLA],tbNucleo[COD ESCOLA],"")</f>
        <v/>
      </c>
      <c r="B1941" t="str" cm="1">
        <f t="array" ref="B1941">IFERROR(INDEX(tbNucleo[ESCOLA],ROUNDUP(ROW(B1940)/TotalEtapas,0)),"")</f>
        <v/>
      </c>
      <c r="E1941" t="str">
        <f>IFERROR(VLOOKUP(tbEscolas[[#This Row],[COD ETPA]],tbEtapas[],2,FALSE),"")</f>
        <v/>
      </c>
      <c r="F1941" t="str">
        <f>IFERROR(VLOOKUP(tbEscolas[[#This Row],[COD ETPA]],tbEtapas[],3,FALSE),"")</f>
        <v/>
      </c>
    </row>
    <row r="1942" spans="1:6" x14ac:dyDescent="0.25">
      <c r="A1942" s="24" t="str">
        <f>_xlfn.XLOOKUP(tbEscolas[[#This Row],[ESCOLA]],tbNucleo[ESCOLA],tbNucleo[COD ESCOLA],"")</f>
        <v/>
      </c>
      <c r="B1942" t="str" cm="1">
        <f t="array" ref="B1942">IFERROR(INDEX(tbNucleo[ESCOLA],ROUNDUP(ROW(B1941)/TotalEtapas,0)),"")</f>
        <v/>
      </c>
      <c r="E1942" t="str">
        <f>IFERROR(VLOOKUP(tbEscolas[[#This Row],[COD ETPA]],tbEtapas[],2,FALSE),"")</f>
        <v/>
      </c>
      <c r="F1942" t="str">
        <f>IFERROR(VLOOKUP(tbEscolas[[#This Row],[COD ETPA]],tbEtapas[],3,FALSE),"")</f>
        <v/>
      </c>
    </row>
    <row r="1943" spans="1:6" x14ac:dyDescent="0.25">
      <c r="A1943" s="24" t="str">
        <f>_xlfn.XLOOKUP(tbEscolas[[#This Row],[ESCOLA]],tbNucleo[ESCOLA],tbNucleo[COD ESCOLA],"")</f>
        <v/>
      </c>
      <c r="B1943" t="str" cm="1">
        <f t="array" ref="B1943">IFERROR(INDEX(tbNucleo[ESCOLA],ROUNDUP(ROW(B1942)/TotalEtapas,0)),"")</f>
        <v/>
      </c>
      <c r="E1943" t="str">
        <f>IFERROR(VLOOKUP(tbEscolas[[#This Row],[COD ETPA]],tbEtapas[],2,FALSE),"")</f>
        <v/>
      </c>
      <c r="F1943" t="str">
        <f>IFERROR(VLOOKUP(tbEscolas[[#This Row],[COD ETPA]],tbEtapas[],3,FALSE),"")</f>
        <v/>
      </c>
    </row>
    <row r="1944" spans="1:6" x14ac:dyDescent="0.25">
      <c r="A1944" s="24" t="str">
        <f>_xlfn.XLOOKUP(tbEscolas[[#This Row],[ESCOLA]],tbNucleo[ESCOLA],tbNucleo[COD ESCOLA],"")</f>
        <v/>
      </c>
      <c r="B1944" t="str" cm="1">
        <f t="array" ref="B1944">IFERROR(INDEX(tbNucleo[ESCOLA],ROUNDUP(ROW(B1943)/TotalEtapas,0)),"")</f>
        <v/>
      </c>
      <c r="E1944" t="str">
        <f>IFERROR(VLOOKUP(tbEscolas[[#This Row],[COD ETPA]],tbEtapas[],2,FALSE),"")</f>
        <v/>
      </c>
      <c r="F1944" t="str">
        <f>IFERROR(VLOOKUP(tbEscolas[[#This Row],[COD ETPA]],tbEtapas[],3,FALSE),"")</f>
        <v/>
      </c>
    </row>
    <row r="1945" spans="1:6" x14ac:dyDescent="0.25">
      <c r="A1945" s="24" t="str">
        <f>_xlfn.XLOOKUP(tbEscolas[[#This Row],[ESCOLA]],tbNucleo[ESCOLA],tbNucleo[COD ESCOLA],"")</f>
        <v/>
      </c>
      <c r="B1945" t="str" cm="1">
        <f t="array" ref="B1945">IFERROR(INDEX(tbNucleo[ESCOLA],ROUNDUP(ROW(B1944)/TotalEtapas,0)),"")</f>
        <v/>
      </c>
      <c r="E1945" t="str">
        <f>IFERROR(VLOOKUP(tbEscolas[[#This Row],[COD ETPA]],tbEtapas[],2,FALSE),"")</f>
        <v/>
      </c>
      <c r="F1945" t="str">
        <f>IFERROR(VLOOKUP(tbEscolas[[#This Row],[COD ETPA]],tbEtapas[],3,FALSE),"")</f>
        <v/>
      </c>
    </row>
    <row r="1946" spans="1:6" x14ac:dyDescent="0.25">
      <c r="A1946" s="24" t="str">
        <f>_xlfn.XLOOKUP(tbEscolas[[#This Row],[ESCOLA]],tbNucleo[ESCOLA],tbNucleo[COD ESCOLA],"")</f>
        <v/>
      </c>
      <c r="B1946" t="str" cm="1">
        <f t="array" ref="B1946">IFERROR(INDEX(tbNucleo[ESCOLA],ROUNDUP(ROW(B1945)/TotalEtapas,0)),"")</f>
        <v/>
      </c>
      <c r="E1946" t="str">
        <f>IFERROR(VLOOKUP(tbEscolas[[#This Row],[COD ETPA]],tbEtapas[],2,FALSE),"")</f>
        <v/>
      </c>
      <c r="F1946" t="str">
        <f>IFERROR(VLOOKUP(tbEscolas[[#This Row],[COD ETPA]],tbEtapas[],3,FALSE),"")</f>
        <v/>
      </c>
    </row>
    <row r="1947" spans="1:6" x14ac:dyDescent="0.25">
      <c r="A1947" s="24" t="str">
        <f>_xlfn.XLOOKUP(tbEscolas[[#This Row],[ESCOLA]],tbNucleo[ESCOLA],tbNucleo[COD ESCOLA],"")</f>
        <v/>
      </c>
      <c r="B1947" t="str" cm="1">
        <f t="array" ref="B1947">IFERROR(INDEX(tbNucleo[ESCOLA],ROUNDUP(ROW(B1946)/TotalEtapas,0)),"")</f>
        <v/>
      </c>
      <c r="E1947" t="str">
        <f>IFERROR(VLOOKUP(tbEscolas[[#This Row],[COD ETPA]],tbEtapas[],2,FALSE),"")</f>
        <v/>
      </c>
      <c r="F1947" t="str">
        <f>IFERROR(VLOOKUP(tbEscolas[[#This Row],[COD ETPA]],tbEtapas[],3,FALSE),"")</f>
        <v/>
      </c>
    </row>
    <row r="1948" spans="1:6" x14ac:dyDescent="0.25">
      <c r="A1948" s="24" t="str">
        <f>_xlfn.XLOOKUP(tbEscolas[[#This Row],[ESCOLA]],tbNucleo[ESCOLA],tbNucleo[COD ESCOLA],"")</f>
        <v/>
      </c>
      <c r="B1948" t="str" cm="1">
        <f t="array" ref="B1948">IFERROR(INDEX(tbNucleo[ESCOLA],ROUNDUP(ROW(B1947)/TotalEtapas,0)),"")</f>
        <v/>
      </c>
      <c r="E1948" t="str">
        <f>IFERROR(VLOOKUP(tbEscolas[[#This Row],[COD ETPA]],tbEtapas[],2,FALSE),"")</f>
        <v/>
      </c>
      <c r="F1948" t="str">
        <f>IFERROR(VLOOKUP(tbEscolas[[#This Row],[COD ETPA]],tbEtapas[],3,FALSE),"")</f>
        <v/>
      </c>
    </row>
    <row r="1949" spans="1:6" x14ac:dyDescent="0.25">
      <c r="A1949" s="24" t="str">
        <f>_xlfn.XLOOKUP(tbEscolas[[#This Row],[ESCOLA]],tbNucleo[ESCOLA],tbNucleo[COD ESCOLA],"")</f>
        <v/>
      </c>
      <c r="B1949" t="str" cm="1">
        <f t="array" ref="B1949">IFERROR(INDEX(tbNucleo[ESCOLA],ROUNDUP(ROW(B1948)/TotalEtapas,0)),"")</f>
        <v/>
      </c>
      <c r="E1949" t="str">
        <f>IFERROR(VLOOKUP(tbEscolas[[#This Row],[COD ETPA]],tbEtapas[],2,FALSE),"")</f>
        <v/>
      </c>
      <c r="F1949" t="str">
        <f>IFERROR(VLOOKUP(tbEscolas[[#This Row],[COD ETPA]],tbEtapas[],3,FALSE),"")</f>
        <v/>
      </c>
    </row>
    <row r="1950" spans="1:6" x14ac:dyDescent="0.25">
      <c r="A1950" s="24" t="str">
        <f>_xlfn.XLOOKUP(tbEscolas[[#This Row],[ESCOLA]],tbNucleo[ESCOLA],tbNucleo[COD ESCOLA],"")</f>
        <v/>
      </c>
      <c r="B1950" t="str" cm="1">
        <f t="array" ref="B1950">IFERROR(INDEX(tbNucleo[ESCOLA],ROUNDUP(ROW(B1949)/TotalEtapas,0)),"")</f>
        <v/>
      </c>
      <c r="E1950" t="str">
        <f>IFERROR(VLOOKUP(tbEscolas[[#This Row],[COD ETPA]],tbEtapas[],2,FALSE),"")</f>
        <v/>
      </c>
      <c r="F1950" t="str">
        <f>IFERROR(VLOOKUP(tbEscolas[[#This Row],[COD ETPA]],tbEtapas[],3,FALSE),"")</f>
        <v/>
      </c>
    </row>
    <row r="1951" spans="1:6" x14ac:dyDescent="0.25">
      <c r="A1951" s="24" t="str">
        <f>_xlfn.XLOOKUP(tbEscolas[[#This Row],[ESCOLA]],tbNucleo[ESCOLA],tbNucleo[COD ESCOLA],"")</f>
        <v/>
      </c>
      <c r="B1951" t="str" cm="1">
        <f t="array" ref="B1951">IFERROR(INDEX(tbNucleo[ESCOLA],ROUNDUP(ROW(B1950)/TotalEtapas,0)),"")</f>
        <v/>
      </c>
      <c r="E1951" t="str">
        <f>IFERROR(VLOOKUP(tbEscolas[[#This Row],[COD ETPA]],tbEtapas[],2,FALSE),"")</f>
        <v/>
      </c>
      <c r="F1951" t="str">
        <f>IFERROR(VLOOKUP(tbEscolas[[#This Row],[COD ETPA]],tbEtapas[],3,FALSE),"")</f>
        <v/>
      </c>
    </row>
    <row r="1952" spans="1:6" x14ac:dyDescent="0.25">
      <c r="A1952" s="24" t="str">
        <f>_xlfn.XLOOKUP(tbEscolas[[#This Row],[ESCOLA]],tbNucleo[ESCOLA],tbNucleo[COD ESCOLA],"")</f>
        <v/>
      </c>
      <c r="B1952" t="str" cm="1">
        <f t="array" ref="B1952">IFERROR(INDEX(tbNucleo[ESCOLA],ROUNDUP(ROW(B1951)/TotalEtapas,0)),"")</f>
        <v/>
      </c>
      <c r="E1952" t="str">
        <f>IFERROR(VLOOKUP(tbEscolas[[#This Row],[COD ETPA]],tbEtapas[],2,FALSE),"")</f>
        <v/>
      </c>
      <c r="F1952" t="str">
        <f>IFERROR(VLOOKUP(tbEscolas[[#This Row],[COD ETPA]],tbEtapas[],3,FALSE),"")</f>
        <v/>
      </c>
    </row>
    <row r="1953" spans="1:6" x14ac:dyDescent="0.25">
      <c r="A1953" s="24" t="str">
        <f>_xlfn.XLOOKUP(tbEscolas[[#This Row],[ESCOLA]],tbNucleo[ESCOLA],tbNucleo[COD ESCOLA],"")</f>
        <v/>
      </c>
      <c r="B1953" t="str" cm="1">
        <f t="array" ref="B1953">IFERROR(INDEX(tbNucleo[ESCOLA],ROUNDUP(ROW(B1952)/TotalEtapas,0)),"")</f>
        <v/>
      </c>
      <c r="E1953" t="str">
        <f>IFERROR(VLOOKUP(tbEscolas[[#This Row],[COD ETPA]],tbEtapas[],2,FALSE),"")</f>
        <v/>
      </c>
      <c r="F1953" t="str">
        <f>IFERROR(VLOOKUP(tbEscolas[[#This Row],[COD ETPA]],tbEtapas[],3,FALSE),"")</f>
        <v/>
      </c>
    </row>
    <row r="1954" spans="1:6" x14ac:dyDescent="0.25">
      <c r="A1954" s="24" t="str">
        <f>_xlfn.XLOOKUP(tbEscolas[[#This Row],[ESCOLA]],tbNucleo[ESCOLA],tbNucleo[COD ESCOLA],"")</f>
        <v/>
      </c>
      <c r="B1954" t="str" cm="1">
        <f t="array" ref="B1954">IFERROR(INDEX(tbNucleo[ESCOLA],ROUNDUP(ROW(B1953)/TotalEtapas,0)),"")</f>
        <v/>
      </c>
      <c r="E1954" t="str">
        <f>IFERROR(VLOOKUP(tbEscolas[[#This Row],[COD ETPA]],tbEtapas[],2,FALSE),"")</f>
        <v/>
      </c>
      <c r="F1954" t="str">
        <f>IFERROR(VLOOKUP(tbEscolas[[#This Row],[COD ETPA]],tbEtapas[],3,FALSE),"")</f>
        <v/>
      </c>
    </row>
    <row r="1955" spans="1:6" x14ac:dyDescent="0.25">
      <c r="A1955" s="24" t="str">
        <f>_xlfn.XLOOKUP(tbEscolas[[#This Row],[ESCOLA]],tbNucleo[ESCOLA],tbNucleo[COD ESCOLA],"")</f>
        <v/>
      </c>
      <c r="B1955" t="str" cm="1">
        <f t="array" ref="B1955">IFERROR(INDEX(tbNucleo[ESCOLA],ROUNDUP(ROW(B1954)/TotalEtapas,0)),"")</f>
        <v/>
      </c>
      <c r="E1955" t="str">
        <f>IFERROR(VLOOKUP(tbEscolas[[#This Row],[COD ETPA]],tbEtapas[],2,FALSE),"")</f>
        <v/>
      </c>
      <c r="F1955" t="str">
        <f>IFERROR(VLOOKUP(tbEscolas[[#This Row],[COD ETPA]],tbEtapas[],3,FALSE),"")</f>
        <v/>
      </c>
    </row>
    <row r="1956" spans="1:6" x14ac:dyDescent="0.25">
      <c r="A1956" s="24" t="str">
        <f>_xlfn.XLOOKUP(tbEscolas[[#This Row],[ESCOLA]],tbNucleo[ESCOLA],tbNucleo[COD ESCOLA],"")</f>
        <v/>
      </c>
      <c r="B1956" t="str" cm="1">
        <f t="array" ref="B1956">IFERROR(INDEX(tbNucleo[ESCOLA],ROUNDUP(ROW(B1955)/TotalEtapas,0)),"")</f>
        <v/>
      </c>
      <c r="E1956" t="str">
        <f>IFERROR(VLOOKUP(tbEscolas[[#This Row],[COD ETPA]],tbEtapas[],2,FALSE),"")</f>
        <v/>
      </c>
      <c r="F1956" t="str">
        <f>IFERROR(VLOOKUP(tbEscolas[[#This Row],[COD ETPA]],tbEtapas[],3,FALSE),"")</f>
        <v/>
      </c>
    </row>
    <row r="1957" spans="1:6" x14ac:dyDescent="0.25">
      <c r="A1957" s="24" t="str">
        <f>_xlfn.XLOOKUP(tbEscolas[[#This Row],[ESCOLA]],tbNucleo[ESCOLA],tbNucleo[COD ESCOLA],"")</f>
        <v/>
      </c>
      <c r="B1957" t="str" cm="1">
        <f t="array" ref="B1957">IFERROR(INDEX(tbNucleo[ESCOLA],ROUNDUP(ROW(B1956)/TotalEtapas,0)),"")</f>
        <v/>
      </c>
      <c r="E1957" t="str">
        <f>IFERROR(VLOOKUP(tbEscolas[[#This Row],[COD ETPA]],tbEtapas[],2,FALSE),"")</f>
        <v/>
      </c>
      <c r="F1957" t="str">
        <f>IFERROR(VLOOKUP(tbEscolas[[#This Row],[COD ETPA]],tbEtapas[],3,FALSE),"")</f>
        <v/>
      </c>
    </row>
    <row r="1958" spans="1:6" x14ac:dyDescent="0.25">
      <c r="A1958" s="24" t="str">
        <f>_xlfn.XLOOKUP(tbEscolas[[#This Row],[ESCOLA]],tbNucleo[ESCOLA],tbNucleo[COD ESCOLA],"")</f>
        <v/>
      </c>
      <c r="B1958" t="str" cm="1">
        <f t="array" ref="B1958">IFERROR(INDEX(tbNucleo[ESCOLA],ROUNDUP(ROW(B1957)/TotalEtapas,0)),"")</f>
        <v/>
      </c>
      <c r="E1958" t="str">
        <f>IFERROR(VLOOKUP(tbEscolas[[#This Row],[COD ETPA]],tbEtapas[],2,FALSE),"")</f>
        <v/>
      </c>
      <c r="F1958" t="str">
        <f>IFERROR(VLOOKUP(tbEscolas[[#This Row],[COD ETPA]],tbEtapas[],3,FALSE),"")</f>
        <v/>
      </c>
    </row>
    <row r="1959" spans="1:6" x14ac:dyDescent="0.25">
      <c r="A1959" s="24" t="str">
        <f>_xlfn.XLOOKUP(tbEscolas[[#This Row],[ESCOLA]],tbNucleo[ESCOLA],tbNucleo[COD ESCOLA],"")</f>
        <v/>
      </c>
      <c r="B1959" t="str" cm="1">
        <f t="array" ref="B1959">IFERROR(INDEX(tbNucleo[ESCOLA],ROUNDUP(ROW(B1958)/TotalEtapas,0)),"")</f>
        <v/>
      </c>
      <c r="E1959" t="str">
        <f>IFERROR(VLOOKUP(tbEscolas[[#This Row],[COD ETPA]],tbEtapas[],2,FALSE),"")</f>
        <v/>
      </c>
      <c r="F1959" t="str">
        <f>IFERROR(VLOOKUP(tbEscolas[[#This Row],[COD ETPA]],tbEtapas[],3,FALSE),"")</f>
        <v/>
      </c>
    </row>
    <row r="1960" spans="1:6" x14ac:dyDescent="0.25">
      <c r="A1960" s="24" t="str">
        <f>_xlfn.XLOOKUP(tbEscolas[[#This Row],[ESCOLA]],tbNucleo[ESCOLA],tbNucleo[COD ESCOLA],"")</f>
        <v/>
      </c>
      <c r="B1960" t="str" cm="1">
        <f t="array" ref="B1960">IFERROR(INDEX(tbNucleo[ESCOLA],ROUNDUP(ROW(B1959)/TotalEtapas,0)),"")</f>
        <v/>
      </c>
      <c r="E1960" t="str">
        <f>IFERROR(VLOOKUP(tbEscolas[[#This Row],[COD ETPA]],tbEtapas[],2,FALSE),"")</f>
        <v/>
      </c>
      <c r="F1960" t="str">
        <f>IFERROR(VLOOKUP(tbEscolas[[#This Row],[COD ETPA]],tbEtapas[],3,FALSE),"")</f>
        <v/>
      </c>
    </row>
    <row r="1961" spans="1:6" x14ac:dyDescent="0.25">
      <c r="A1961" s="24" t="str">
        <f>_xlfn.XLOOKUP(tbEscolas[[#This Row],[ESCOLA]],tbNucleo[ESCOLA],tbNucleo[COD ESCOLA],"")</f>
        <v/>
      </c>
      <c r="B1961" t="str" cm="1">
        <f t="array" ref="B1961">IFERROR(INDEX(tbNucleo[ESCOLA],ROUNDUP(ROW(B1960)/TotalEtapas,0)),"")</f>
        <v/>
      </c>
      <c r="E1961" t="str">
        <f>IFERROR(VLOOKUP(tbEscolas[[#This Row],[COD ETPA]],tbEtapas[],2,FALSE),"")</f>
        <v/>
      </c>
      <c r="F1961" t="str">
        <f>IFERROR(VLOOKUP(tbEscolas[[#This Row],[COD ETPA]],tbEtapas[],3,FALSE),"")</f>
        <v/>
      </c>
    </row>
    <row r="1962" spans="1:6" x14ac:dyDescent="0.25">
      <c r="A1962" s="24" t="str">
        <f>_xlfn.XLOOKUP(tbEscolas[[#This Row],[ESCOLA]],tbNucleo[ESCOLA],tbNucleo[COD ESCOLA],"")</f>
        <v/>
      </c>
      <c r="B1962" t="str" cm="1">
        <f t="array" ref="B1962">IFERROR(INDEX(tbNucleo[ESCOLA],ROUNDUP(ROW(B1961)/TotalEtapas,0)),"")</f>
        <v/>
      </c>
      <c r="E1962" t="str">
        <f>IFERROR(VLOOKUP(tbEscolas[[#This Row],[COD ETPA]],tbEtapas[],2,FALSE),"")</f>
        <v/>
      </c>
      <c r="F1962" t="str">
        <f>IFERROR(VLOOKUP(tbEscolas[[#This Row],[COD ETPA]],tbEtapas[],3,FALSE),"")</f>
        <v/>
      </c>
    </row>
    <row r="1963" spans="1:6" x14ac:dyDescent="0.25">
      <c r="A1963" s="24" t="str">
        <f>_xlfn.XLOOKUP(tbEscolas[[#This Row],[ESCOLA]],tbNucleo[ESCOLA],tbNucleo[COD ESCOLA],"")</f>
        <v/>
      </c>
      <c r="B1963" t="str" cm="1">
        <f t="array" ref="B1963">IFERROR(INDEX(tbNucleo[ESCOLA],ROUNDUP(ROW(B1962)/TotalEtapas,0)),"")</f>
        <v/>
      </c>
      <c r="E1963" t="str">
        <f>IFERROR(VLOOKUP(tbEscolas[[#This Row],[COD ETPA]],tbEtapas[],2,FALSE),"")</f>
        <v/>
      </c>
      <c r="F1963" t="str">
        <f>IFERROR(VLOOKUP(tbEscolas[[#This Row],[COD ETPA]],tbEtapas[],3,FALSE),"")</f>
        <v/>
      </c>
    </row>
    <row r="1964" spans="1:6" x14ac:dyDescent="0.25">
      <c r="A1964" s="24" t="str">
        <f>_xlfn.XLOOKUP(tbEscolas[[#This Row],[ESCOLA]],tbNucleo[ESCOLA],tbNucleo[COD ESCOLA],"")</f>
        <v/>
      </c>
      <c r="B1964" t="str" cm="1">
        <f t="array" ref="B1964">IFERROR(INDEX(tbNucleo[ESCOLA],ROUNDUP(ROW(B1963)/TotalEtapas,0)),"")</f>
        <v/>
      </c>
      <c r="E1964" t="str">
        <f>IFERROR(VLOOKUP(tbEscolas[[#This Row],[COD ETPA]],tbEtapas[],2,FALSE),"")</f>
        <v/>
      </c>
      <c r="F1964" t="str">
        <f>IFERROR(VLOOKUP(tbEscolas[[#This Row],[COD ETPA]],tbEtapas[],3,FALSE),"")</f>
        <v/>
      </c>
    </row>
    <row r="1965" spans="1:6" x14ac:dyDescent="0.25">
      <c r="A1965" s="24" t="str">
        <f>_xlfn.XLOOKUP(tbEscolas[[#This Row],[ESCOLA]],tbNucleo[ESCOLA],tbNucleo[COD ESCOLA],"")</f>
        <v/>
      </c>
      <c r="B1965" t="str" cm="1">
        <f t="array" ref="B1965">IFERROR(INDEX(tbNucleo[ESCOLA],ROUNDUP(ROW(B1964)/TotalEtapas,0)),"")</f>
        <v/>
      </c>
      <c r="E1965" t="str">
        <f>IFERROR(VLOOKUP(tbEscolas[[#This Row],[COD ETPA]],tbEtapas[],2,FALSE),"")</f>
        <v/>
      </c>
      <c r="F1965" t="str">
        <f>IFERROR(VLOOKUP(tbEscolas[[#This Row],[COD ETPA]],tbEtapas[],3,FALSE),"")</f>
        <v/>
      </c>
    </row>
    <row r="1966" spans="1:6" x14ac:dyDescent="0.25">
      <c r="A1966" s="24" t="str">
        <f>_xlfn.XLOOKUP(tbEscolas[[#This Row],[ESCOLA]],tbNucleo[ESCOLA],tbNucleo[COD ESCOLA],"")</f>
        <v/>
      </c>
      <c r="B1966" t="str" cm="1">
        <f t="array" ref="B1966">IFERROR(INDEX(tbNucleo[ESCOLA],ROUNDUP(ROW(B1965)/TotalEtapas,0)),"")</f>
        <v/>
      </c>
      <c r="E1966" t="str">
        <f>IFERROR(VLOOKUP(tbEscolas[[#This Row],[COD ETPA]],tbEtapas[],2,FALSE),"")</f>
        <v/>
      </c>
      <c r="F1966" t="str">
        <f>IFERROR(VLOOKUP(tbEscolas[[#This Row],[COD ETPA]],tbEtapas[],3,FALSE),"")</f>
        <v/>
      </c>
    </row>
    <row r="1967" spans="1:6" x14ac:dyDescent="0.25">
      <c r="A1967" s="24" t="str">
        <f>_xlfn.XLOOKUP(tbEscolas[[#This Row],[ESCOLA]],tbNucleo[ESCOLA],tbNucleo[COD ESCOLA],"")</f>
        <v/>
      </c>
      <c r="B1967" t="str" cm="1">
        <f t="array" ref="B1967">IFERROR(INDEX(tbNucleo[ESCOLA],ROUNDUP(ROW(B1966)/TotalEtapas,0)),"")</f>
        <v/>
      </c>
      <c r="E1967" t="str">
        <f>IFERROR(VLOOKUP(tbEscolas[[#This Row],[COD ETPA]],tbEtapas[],2,FALSE),"")</f>
        <v/>
      </c>
      <c r="F1967" t="str">
        <f>IFERROR(VLOOKUP(tbEscolas[[#This Row],[COD ETPA]],tbEtapas[],3,FALSE),"")</f>
        <v/>
      </c>
    </row>
    <row r="1968" spans="1:6" x14ac:dyDescent="0.25">
      <c r="A1968" s="24" t="str">
        <f>_xlfn.XLOOKUP(tbEscolas[[#This Row],[ESCOLA]],tbNucleo[ESCOLA],tbNucleo[COD ESCOLA],"")</f>
        <v/>
      </c>
      <c r="B1968" t="str" cm="1">
        <f t="array" ref="B1968">IFERROR(INDEX(tbNucleo[ESCOLA],ROUNDUP(ROW(B1967)/TotalEtapas,0)),"")</f>
        <v/>
      </c>
      <c r="E1968" t="str">
        <f>IFERROR(VLOOKUP(tbEscolas[[#This Row],[COD ETPA]],tbEtapas[],2,FALSE),"")</f>
        <v/>
      </c>
      <c r="F1968" t="str">
        <f>IFERROR(VLOOKUP(tbEscolas[[#This Row],[COD ETPA]],tbEtapas[],3,FALSE),"")</f>
        <v/>
      </c>
    </row>
    <row r="1969" spans="1:6" x14ac:dyDescent="0.25">
      <c r="A1969" s="24" t="str">
        <f>_xlfn.XLOOKUP(tbEscolas[[#This Row],[ESCOLA]],tbNucleo[ESCOLA],tbNucleo[COD ESCOLA],"")</f>
        <v/>
      </c>
      <c r="B1969" t="str" cm="1">
        <f t="array" ref="B1969">IFERROR(INDEX(tbNucleo[ESCOLA],ROUNDUP(ROW(B1968)/TotalEtapas,0)),"")</f>
        <v/>
      </c>
      <c r="E1969" t="str">
        <f>IFERROR(VLOOKUP(tbEscolas[[#This Row],[COD ETPA]],tbEtapas[],2,FALSE),"")</f>
        <v/>
      </c>
      <c r="F1969" t="str">
        <f>IFERROR(VLOOKUP(tbEscolas[[#This Row],[COD ETPA]],tbEtapas[],3,FALSE),"")</f>
        <v/>
      </c>
    </row>
    <row r="1970" spans="1:6" x14ac:dyDescent="0.25">
      <c r="A1970" s="24" t="str">
        <f>_xlfn.XLOOKUP(tbEscolas[[#This Row],[ESCOLA]],tbNucleo[ESCOLA],tbNucleo[COD ESCOLA],"")</f>
        <v/>
      </c>
      <c r="B1970" t="str" cm="1">
        <f t="array" ref="B1970">IFERROR(INDEX(tbNucleo[ESCOLA],ROUNDUP(ROW(B1969)/TotalEtapas,0)),"")</f>
        <v/>
      </c>
      <c r="E1970" t="str">
        <f>IFERROR(VLOOKUP(tbEscolas[[#This Row],[COD ETPA]],tbEtapas[],2,FALSE),"")</f>
        <v/>
      </c>
      <c r="F1970" t="str">
        <f>IFERROR(VLOOKUP(tbEscolas[[#This Row],[COD ETPA]],tbEtapas[],3,FALSE),"")</f>
        <v/>
      </c>
    </row>
    <row r="1971" spans="1:6" x14ac:dyDescent="0.25">
      <c r="A1971" s="24" t="str">
        <f>_xlfn.XLOOKUP(tbEscolas[[#This Row],[ESCOLA]],tbNucleo[ESCOLA],tbNucleo[COD ESCOLA],"")</f>
        <v/>
      </c>
      <c r="B1971" t="str" cm="1">
        <f t="array" ref="B1971">IFERROR(INDEX(tbNucleo[ESCOLA],ROUNDUP(ROW(B1970)/TotalEtapas,0)),"")</f>
        <v/>
      </c>
      <c r="E1971" t="str">
        <f>IFERROR(VLOOKUP(tbEscolas[[#This Row],[COD ETPA]],tbEtapas[],2,FALSE),"")</f>
        <v/>
      </c>
      <c r="F1971" t="str">
        <f>IFERROR(VLOOKUP(tbEscolas[[#This Row],[COD ETPA]],tbEtapas[],3,FALSE),"")</f>
        <v/>
      </c>
    </row>
    <row r="1972" spans="1:6" x14ac:dyDescent="0.25">
      <c r="A1972" s="24" t="str">
        <f>_xlfn.XLOOKUP(tbEscolas[[#This Row],[ESCOLA]],tbNucleo[ESCOLA],tbNucleo[COD ESCOLA],"")</f>
        <v/>
      </c>
      <c r="B1972" t="str" cm="1">
        <f t="array" ref="B1972">IFERROR(INDEX(tbNucleo[ESCOLA],ROUNDUP(ROW(B1971)/TotalEtapas,0)),"")</f>
        <v/>
      </c>
      <c r="E1972" t="str">
        <f>IFERROR(VLOOKUP(tbEscolas[[#This Row],[COD ETPA]],tbEtapas[],2,FALSE),"")</f>
        <v/>
      </c>
      <c r="F1972" t="str">
        <f>IFERROR(VLOOKUP(tbEscolas[[#This Row],[COD ETPA]],tbEtapas[],3,FALSE),"")</f>
        <v/>
      </c>
    </row>
    <row r="1973" spans="1:6" x14ac:dyDescent="0.25">
      <c r="A1973" s="24" t="str">
        <f>_xlfn.XLOOKUP(tbEscolas[[#This Row],[ESCOLA]],tbNucleo[ESCOLA],tbNucleo[COD ESCOLA],"")</f>
        <v/>
      </c>
      <c r="B1973" t="str" cm="1">
        <f t="array" ref="B1973">IFERROR(INDEX(tbNucleo[ESCOLA],ROUNDUP(ROW(B1972)/TotalEtapas,0)),"")</f>
        <v/>
      </c>
      <c r="E1973" t="str">
        <f>IFERROR(VLOOKUP(tbEscolas[[#This Row],[COD ETPA]],tbEtapas[],2,FALSE),"")</f>
        <v/>
      </c>
      <c r="F1973" t="str">
        <f>IFERROR(VLOOKUP(tbEscolas[[#This Row],[COD ETPA]],tbEtapas[],3,FALSE),"")</f>
        <v/>
      </c>
    </row>
    <row r="1974" spans="1:6" x14ac:dyDescent="0.25">
      <c r="A1974" s="24" t="str">
        <f>_xlfn.XLOOKUP(tbEscolas[[#This Row],[ESCOLA]],tbNucleo[ESCOLA],tbNucleo[COD ESCOLA],"")</f>
        <v/>
      </c>
      <c r="B1974" t="str" cm="1">
        <f t="array" ref="B1974">IFERROR(INDEX(tbNucleo[ESCOLA],ROUNDUP(ROW(B1973)/TotalEtapas,0)),"")</f>
        <v/>
      </c>
      <c r="E1974" t="str">
        <f>IFERROR(VLOOKUP(tbEscolas[[#This Row],[COD ETPA]],tbEtapas[],2,FALSE),"")</f>
        <v/>
      </c>
      <c r="F1974" t="str">
        <f>IFERROR(VLOOKUP(tbEscolas[[#This Row],[COD ETPA]],tbEtapas[],3,FALSE),"")</f>
        <v/>
      </c>
    </row>
    <row r="1975" spans="1:6" x14ac:dyDescent="0.25">
      <c r="A1975" s="24" t="str">
        <f>_xlfn.XLOOKUP(tbEscolas[[#This Row],[ESCOLA]],tbNucleo[ESCOLA],tbNucleo[COD ESCOLA],"")</f>
        <v/>
      </c>
      <c r="B1975" t="str" cm="1">
        <f t="array" ref="B1975">IFERROR(INDEX(tbNucleo[ESCOLA],ROUNDUP(ROW(B1974)/TotalEtapas,0)),"")</f>
        <v/>
      </c>
      <c r="E1975" t="str">
        <f>IFERROR(VLOOKUP(tbEscolas[[#This Row],[COD ETPA]],tbEtapas[],2,FALSE),"")</f>
        <v/>
      </c>
      <c r="F1975" t="str">
        <f>IFERROR(VLOOKUP(tbEscolas[[#This Row],[COD ETPA]],tbEtapas[],3,FALSE),"")</f>
        <v/>
      </c>
    </row>
    <row r="1976" spans="1:6" x14ac:dyDescent="0.25">
      <c r="A1976" s="24" t="str">
        <f>_xlfn.XLOOKUP(tbEscolas[[#This Row],[ESCOLA]],tbNucleo[ESCOLA],tbNucleo[COD ESCOLA],"")</f>
        <v/>
      </c>
      <c r="B1976" t="str" cm="1">
        <f t="array" ref="B1976">IFERROR(INDEX(tbNucleo[ESCOLA],ROUNDUP(ROW(B1975)/TotalEtapas,0)),"")</f>
        <v/>
      </c>
      <c r="E1976" t="str">
        <f>IFERROR(VLOOKUP(tbEscolas[[#This Row],[COD ETPA]],tbEtapas[],2,FALSE),"")</f>
        <v/>
      </c>
      <c r="F1976" t="str">
        <f>IFERROR(VLOOKUP(tbEscolas[[#This Row],[COD ETPA]],tbEtapas[],3,FALSE),"")</f>
        <v/>
      </c>
    </row>
    <row r="1977" spans="1:6" x14ac:dyDescent="0.25">
      <c r="A1977" s="24" t="str">
        <f>_xlfn.XLOOKUP(tbEscolas[[#This Row],[ESCOLA]],tbNucleo[ESCOLA],tbNucleo[COD ESCOLA],"")</f>
        <v/>
      </c>
      <c r="B1977" t="str" cm="1">
        <f t="array" ref="B1977">IFERROR(INDEX(tbNucleo[ESCOLA],ROUNDUP(ROW(B1976)/TotalEtapas,0)),"")</f>
        <v/>
      </c>
      <c r="E1977" t="str">
        <f>IFERROR(VLOOKUP(tbEscolas[[#This Row],[COD ETPA]],tbEtapas[],2,FALSE),"")</f>
        <v/>
      </c>
      <c r="F1977" t="str">
        <f>IFERROR(VLOOKUP(tbEscolas[[#This Row],[COD ETPA]],tbEtapas[],3,FALSE),"")</f>
        <v/>
      </c>
    </row>
    <row r="1978" spans="1:6" x14ac:dyDescent="0.25">
      <c r="A1978" s="24" t="str">
        <f>_xlfn.XLOOKUP(tbEscolas[[#This Row],[ESCOLA]],tbNucleo[ESCOLA],tbNucleo[COD ESCOLA],"")</f>
        <v/>
      </c>
      <c r="B1978" t="str" cm="1">
        <f t="array" ref="B1978">IFERROR(INDEX(tbNucleo[ESCOLA],ROUNDUP(ROW(B1977)/TotalEtapas,0)),"")</f>
        <v/>
      </c>
      <c r="E1978" t="str">
        <f>IFERROR(VLOOKUP(tbEscolas[[#This Row],[COD ETPA]],tbEtapas[],2,FALSE),"")</f>
        <v/>
      </c>
      <c r="F1978" t="str">
        <f>IFERROR(VLOOKUP(tbEscolas[[#This Row],[COD ETPA]],tbEtapas[],3,FALSE),"")</f>
        <v/>
      </c>
    </row>
    <row r="1979" spans="1:6" x14ac:dyDescent="0.25">
      <c r="A1979" s="24" t="str">
        <f>_xlfn.XLOOKUP(tbEscolas[[#This Row],[ESCOLA]],tbNucleo[ESCOLA],tbNucleo[COD ESCOLA],"")</f>
        <v/>
      </c>
      <c r="B1979" t="str" cm="1">
        <f t="array" ref="B1979">IFERROR(INDEX(tbNucleo[ESCOLA],ROUNDUP(ROW(B1978)/TotalEtapas,0)),"")</f>
        <v/>
      </c>
      <c r="E1979" t="str">
        <f>IFERROR(VLOOKUP(tbEscolas[[#This Row],[COD ETPA]],tbEtapas[],2,FALSE),"")</f>
        <v/>
      </c>
      <c r="F1979" t="str">
        <f>IFERROR(VLOOKUP(tbEscolas[[#This Row],[COD ETPA]],tbEtapas[],3,FALSE),"")</f>
        <v/>
      </c>
    </row>
    <row r="1980" spans="1:6" x14ac:dyDescent="0.25">
      <c r="A1980" s="24" t="str">
        <f>_xlfn.XLOOKUP(tbEscolas[[#This Row],[ESCOLA]],tbNucleo[ESCOLA],tbNucleo[COD ESCOLA],"")</f>
        <v/>
      </c>
      <c r="B1980" t="str" cm="1">
        <f t="array" ref="B1980">IFERROR(INDEX(tbNucleo[ESCOLA],ROUNDUP(ROW(B1979)/TotalEtapas,0)),"")</f>
        <v/>
      </c>
      <c r="E1980" t="str">
        <f>IFERROR(VLOOKUP(tbEscolas[[#This Row],[COD ETPA]],tbEtapas[],2,FALSE),"")</f>
        <v/>
      </c>
      <c r="F1980" t="str">
        <f>IFERROR(VLOOKUP(tbEscolas[[#This Row],[COD ETPA]],tbEtapas[],3,FALSE),"")</f>
        <v/>
      </c>
    </row>
    <row r="1981" spans="1:6" x14ac:dyDescent="0.25">
      <c r="A1981" s="24" t="str">
        <f>_xlfn.XLOOKUP(tbEscolas[[#This Row],[ESCOLA]],tbNucleo[ESCOLA],tbNucleo[COD ESCOLA],"")</f>
        <v/>
      </c>
      <c r="B1981" t="str" cm="1">
        <f t="array" ref="B1981">IFERROR(INDEX(tbNucleo[ESCOLA],ROUNDUP(ROW(B1980)/TotalEtapas,0)),"")</f>
        <v/>
      </c>
      <c r="E1981" t="str">
        <f>IFERROR(VLOOKUP(tbEscolas[[#This Row],[COD ETPA]],tbEtapas[],2,FALSE),"")</f>
        <v/>
      </c>
      <c r="F1981" t="str">
        <f>IFERROR(VLOOKUP(tbEscolas[[#This Row],[COD ETPA]],tbEtapas[],3,FALSE),"")</f>
        <v/>
      </c>
    </row>
    <row r="1982" spans="1:6" x14ac:dyDescent="0.25">
      <c r="A1982" s="24" t="str">
        <f>_xlfn.XLOOKUP(tbEscolas[[#This Row],[ESCOLA]],tbNucleo[ESCOLA],tbNucleo[COD ESCOLA],"")</f>
        <v/>
      </c>
      <c r="B1982" t="str" cm="1">
        <f t="array" ref="B1982">IFERROR(INDEX(tbNucleo[ESCOLA],ROUNDUP(ROW(B1981)/TotalEtapas,0)),"")</f>
        <v/>
      </c>
      <c r="E1982" t="str">
        <f>IFERROR(VLOOKUP(tbEscolas[[#This Row],[COD ETPA]],tbEtapas[],2,FALSE),"")</f>
        <v/>
      </c>
      <c r="F1982" t="str">
        <f>IFERROR(VLOOKUP(tbEscolas[[#This Row],[COD ETPA]],tbEtapas[],3,FALSE),"")</f>
        <v/>
      </c>
    </row>
    <row r="1983" spans="1:6" x14ac:dyDescent="0.25">
      <c r="A1983" s="24" t="str">
        <f>_xlfn.XLOOKUP(tbEscolas[[#This Row],[ESCOLA]],tbNucleo[ESCOLA],tbNucleo[COD ESCOLA],"")</f>
        <v/>
      </c>
      <c r="B1983" t="str" cm="1">
        <f t="array" ref="B1983">IFERROR(INDEX(tbNucleo[ESCOLA],ROUNDUP(ROW(B1982)/TotalEtapas,0)),"")</f>
        <v/>
      </c>
      <c r="E1983" t="str">
        <f>IFERROR(VLOOKUP(tbEscolas[[#This Row],[COD ETPA]],tbEtapas[],2,FALSE),"")</f>
        <v/>
      </c>
      <c r="F1983" t="str">
        <f>IFERROR(VLOOKUP(tbEscolas[[#This Row],[COD ETPA]],tbEtapas[],3,FALSE),"")</f>
        <v/>
      </c>
    </row>
    <row r="1984" spans="1:6" x14ac:dyDescent="0.25">
      <c r="A1984" s="24" t="str">
        <f>_xlfn.XLOOKUP(tbEscolas[[#This Row],[ESCOLA]],tbNucleo[ESCOLA],tbNucleo[COD ESCOLA],"")</f>
        <v/>
      </c>
      <c r="B1984" t="str" cm="1">
        <f t="array" ref="B1984">IFERROR(INDEX(tbNucleo[ESCOLA],ROUNDUP(ROW(B1983)/TotalEtapas,0)),"")</f>
        <v/>
      </c>
      <c r="E1984" t="str">
        <f>IFERROR(VLOOKUP(tbEscolas[[#This Row],[COD ETPA]],tbEtapas[],2,FALSE),"")</f>
        <v/>
      </c>
      <c r="F1984" t="str">
        <f>IFERROR(VLOOKUP(tbEscolas[[#This Row],[COD ETPA]],tbEtapas[],3,FALSE),"")</f>
        <v/>
      </c>
    </row>
    <row r="1985" spans="1:6" x14ac:dyDescent="0.25">
      <c r="A1985" s="24" t="str">
        <f>_xlfn.XLOOKUP(tbEscolas[[#This Row],[ESCOLA]],tbNucleo[ESCOLA],tbNucleo[COD ESCOLA],"")</f>
        <v/>
      </c>
      <c r="B1985" t="str" cm="1">
        <f t="array" ref="B1985">IFERROR(INDEX(tbNucleo[ESCOLA],ROUNDUP(ROW(B1984)/TotalEtapas,0)),"")</f>
        <v/>
      </c>
      <c r="E1985" t="str">
        <f>IFERROR(VLOOKUP(tbEscolas[[#This Row],[COD ETPA]],tbEtapas[],2,FALSE),"")</f>
        <v/>
      </c>
      <c r="F1985" t="str">
        <f>IFERROR(VLOOKUP(tbEscolas[[#This Row],[COD ETPA]],tbEtapas[],3,FALSE),"")</f>
        <v/>
      </c>
    </row>
    <row r="1986" spans="1:6" x14ac:dyDescent="0.25">
      <c r="A1986" s="24" t="str">
        <f>_xlfn.XLOOKUP(tbEscolas[[#This Row],[ESCOLA]],tbNucleo[ESCOLA],tbNucleo[COD ESCOLA],"")</f>
        <v/>
      </c>
      <c r="B1986" t="str" cm="1">
        <f t="array" ref="B1986">IFERROR(INDEX(tbNucleo[ESCOLA],ROUNDUP(ROW(B1985)/TotalEtapas,0)),"")</f>
        <v/>
      </c>
      <c r="E1986" t="str">
        <f>IFERROR(VLOOKUP(tbEscolas[[#This Row],[COD ETPA]],tbEtapas[],2,FALSE),"")</f>
        <v/>
      </c>
      <c r="F1986" t="str">
        <f>IFERROR(VLOOKUP(tbEscolas[[#This Row],[COD ETPA]],tbEtapas[],3,FALSE),"")</f>
        <v/>
      </c>
    </row>
    <row r="1987" spans="1:6" x14ac:dyDescent="0.25">
      <c r="A1987" s="24" t="str">
        <f>_xlfn.XLOOKUP(tbEscolas[[#This Row],[ESCOLA]],tbNucleo[ESCOLA],tbNucleo[COD ESCOLA],"")</f>
        <v/>
      </c>
      <c r="B1987" t="str" cm="1">
        <f t="array" ref="B1987">IFERROR(INDEX(tbNucleo[ESCOLA],ROUNDUP(ROW(B1986)/TotalEtapas,0)),"")</f>
        <v/>
      </c>
      <c r="E1987" t="str">
        <f>IFERROR(VLOOKUP(tbEscolas[[#This Row],[COD ETPA]],tbEtapas[],2,FALSE),"")</f>
        <v/>
      </c>
      <c r="F1987" t="str">
        <f>IFERROR(VLOOKUP(tbEscolas[[#This Row],[COD ETPA]],tbEtapas[],3,FALSE),"")</f>
        <v/>
      </c>
    </row>
    <row r="1988" spans="1:6" x14ac:dyDescent="0.25">
      <c r="A1988" s="24" t="str">
        <f>_xlfn.XLOOKUP(tbEscolas[[#This Row],[ESCOLA]],tbNucleo[ESCOLA],tbNucleo[COD ESCOLA],"")</f>
        <v/>
      </c>
      <c r="B1988" t="str" cm="1">
        <f t="array" ref="B1988">IFERROR(INDEX(tbNucleo[ESCOLA],ROUNDUP(ROW(B1987)/TotalEtapas,0)),"")</f>
        <v/>
      </c>
      <c r="E1988" t="str">
        <f>IFERROR(VLOOKUP(tbEscolas[[#This Row],[COD ETPA]],tbEtapas[],2,FALSE),"")</f>
        <v/>
      </c>
      <c r="F1988" t="str">
        <f>IFERROR(VLOOKUP(tbEscolas[[#This Row],[COD ETPA]],tbEtapas[],3,FALSE),"")</f>
        <v/>
      </c>
    </row>
    <row r="1989" spans="1:6" x14ac:dyDescent="0.25">
      <c r="A1989" s="24" t="str">
        <f>_xlfn.XLOOKUP(tbEscolas[[#This Row],[ESCOLA]],tbNucleo[ESCOLA],tbNucleo[COD ESCOLA],"")</f>
        <v/>
      </c>
      <c r="B1989" t="str" cm="1">
        <f t="array" ref="B1989">IFERROR(INDEX(tbNucleo[ESCOLA],ROUNDUP(ROW(B1988)/TotalEtapas,0)),"")</f>
        <v/>
      </c>
      <c r="E1989" t="str">
        <f>IFERROR(VLOOKUP(tbEscolas[[#This Row],[COD ETPA]],tbEtapas[],2,FALSE),"")</f>
        <v/>
      </c>
      <c r="F1989" t="str">
        <f>IFERROR(VLOOKUP(tbEscolas[[#This Row],[COD ETPA]],tbEtapas[],3,FALSE),"")</f>
        <v/>
      </c>
    </row>
    <row r="1990" spans="1:6" x14ac:dyDescent="0.25">
      <c r="A1990" s="24" t="str">
        <f>_xlfn.XLOOKUP(tbEscolas[[#This Row],[ESCOLA]],tbNucleo[ESCOLA],tbNucleo[COD ESCOLA],"")</f>
        <v/>
      </c>
      <c r="B1990" t="str" cm="1">
        <f t="array" ref="B1990">IFERROR(INDEX(tbNucleo[ESCOLA],ROUNDUP(ROW(B1989)/TotalEtapas,0)),"")</f>
        <v/>
      </c>
      <c r="E1990" t="str">
        <f>IFERROR(VLOOKUP(tbEscolas[[#This Row],[COD ETPA]],tbEtapas[],2,FALSE),"")</f>
        <v/>
      </c>
      <c r="F1990" t="str">
        <f>IFERROR(VLOOKUP(tbEscolas[[#This Row],[COD ETPA]],tbEtapas[],3,FALSE),"")</f>
        <v/>
      </c>
    </row>
    <row r="1991" spans="1:6" x14ac:dyDescent="0.25">
      <c r="A1991" s="24" t="str">
        <f>_xlfn.XLOOKUP(tbEscolas[[#This Row],[ESCOLA]],tbNucleo[ESCOLA],tbNucleo[COD ESCOLA],"")</f>
        <v/>
      </c>
      <c r="B1991" t="str" cm="1">
        <f t="array" ref="B1991">IFERROR(INDEX(tbNucleo[ESCOLA],ROUNDUP(ROW(B1990)/TotalEtapas,0)),"")</f>
        <v/>
      </c>
      <c r="E1991" t="str">
        <f>IFERROR(VLOOKUP(tbEscolas[[#This Row],[COD ETPA]],tbEtapas[],2,FALSE),"")</f>
        <v/>
      </c>
      <c r="F1991" t="str">
        <f>IFERROR(VLOOKUP(tbEscolas[[#This Row],[COD ETPA]],tbEtapas[],3,FALSE),"")</f>
        <v/>
      </c>
    </row>
    <row r="1992" spans="1:6" x14ac:dyDescent="0.25">
      <c r="A1992" s="24" t="str">
        <f>_xlfn.XLOOKUP(tbEscolas[[#This Row],[ESCOLA]],tbNucleo[ESCOLA],tbNucleo[COD ESCOLA],"")</f>
        <v/>
      </c>
      <c r="B1992" t="str" cm="1">
        <f t="array" ref="B1992">IFERROR(INDEX(tbNucleo[ESCOLA],ROUNDUP(ROW(B1991)/TotalEtapas,0)),"")</f>
        <v/>
      </c>
      <c r="E1992" t="str">
        <f>IFERROR(VLOOKUP(tbEscolas[[#This Row],[COD ETPA]],tbEtapas[],2,FALSE),"")</f>
        <v/>
      </c>
      <c r="F1992" t="str">
        <f>IFERROR(VLOOKUP(tbEscolas[[#This Row],[COD ETPA]],tbEtapas[],3,FALSE),"")</f>
        <v/>
      </c>
    </row>
    <row r="1993" spans="1:6" x14ac:dyDescent="0.25">
      <c r="A1993" s="24" t="str">
        <f>_xlfn.XLOOKUP(tbEscolas[[#This Row],[ESCOLA]],tbNucleo[ESCOLA],tbNucleo[COD ESCOLA],"")</f>
        <v/>
      </c>
      <c r="B1993" t="str" cm="1">
        <f t="array" ref="B1993">IFERROR(INDEX(tbNucleo[ESCOLA],ROUNDUP(ROW(B1992)/TotalEtapas,0)),"")</f>
        <v/>
      </c>
      <c r="E1993" t="str">
        <f>IFERROR(VLOOKUP(tbEscolas[[#This Row],[COD ETPA]],tbEtapas[],2,FALSE),"")</f>
        <v/>
      </c>
      <c r="F1993" t="str">
        <f>IFERROR(VLOOKUP(tbEscolas[[#This Row],[COD ETPA]],tbEtapas[],3,FALSE),"")</f>
        <v/>
      </c>
    </row>
    <row r="1994" spans="1:6" x14ac:dyDescent="0.25">
      <c r="A1994" s="24" t="str">
        <f>_xlfn.XLOOKUP(tbEscolas[[#This Row],[ESCOLA]],tbNucleo[ESCOLA],tbNucleo[COD ESCOLA],"")</f>
        <v/>
      </c>
      <c r="B1994" t="str" cm="1">
        <f t="array" ref="B1994">IFERROR(INDEX(tbNucleo[ESCOLA],ROUNDUP(ROW(B1993)/TotalEtapas,0)),"")</f>
        <v/>
      </c>
      <c r="E1994" t="str">
        <f>IFERROR(VLOOKUP(tbEscolas[[#This Row],[COD ETPA]],tbEtapas[],2,FALSE),"")</f>
        <v/>
      </c>
      <c r="F1994" t="str">
        <f>IFERROR(VLOOKUP(tbEscolas[[#This Row],[COD ETPA]],tbEtapas[],3,FALSE),"")</f>
        <v/>
      </c>
    </row>
    <row r="1995" spans="1:6" x14ac:dyDescent="0.25">
      <c r="A1995" s="24" t="str">
        <f>_xlfn.XLOOKUP(tbEscolas[[#This Row],[ESCOLA]],tbNucleo[ESCOLA],tbNucleo[COD ESCOLA],"")</f>
        <v/>
      </c>
      <c r="B1995" t="str" cm="1">
        <f t="array" ref="B1995">IFERROR(INDEX(tbNucleo[ESCOLA],ROUNDUP(ROW(B1994)/TotalEtapas,0)),"")</f>
        <v/>
      </c>
      <c r="E1995" t="str">
        <f>IFERROR(VLOOKUP(tbEscolas[[#This Row],[COD ETPA]],tbEtapas[],2,FALSE),"")</f>
        <v/>
      </c>
      <c r="F1995" t="str">
        <f>IFERROR(VLOOKUP(tbEscolas[[#This Row],[COD ETPA]],tbEtapas[],3,FALSE),"")</f>
        <v/>
      </c>
    </row>
    <row r="1996" spans="1:6" x14ac:dyDescent="0.25">
      <c r="A1996" s="24" t="str">
        <f>_xlfn.XLOOKUP(tbEscolas[[#This Row],[ESCOLA]],tbNucleo[ESCOLA],tbNucleo[COD ESCOLA],"")</f>
        <v/>
      </c>
      <c r="B1996" t="str" cm="1">
        <f t="array" ref="B1996">IFERROR(INDEX(tbNucleo[ESCOLA],ROUNDUP(ROW(B1995)/TotalEtapas,0)),"")</f>
        <v/>
      </c>
      <c r="E1996" t="str">
        <f>IFERROR(VLOOKUP(tbEscolas[[#This Row],[COD ETPA]],tbEtapas[],2,FALSE),"")</f>
        <v/>
      </c>
      <c r="F1996" t="str">
        <f>IFERROR(VLOOKUP(tbEscolas[[#This Row],[COD ETPA]],tbEtapas[],3,FALSE),"")</f>
        <v/>
      </c>
    </row>
    <row r="1997" spans="1:6" x14ac:dyDescent="0.25">
      <c r="A1997" s="24" t="str">
        <f>_xlfn.XLOOKUP(tbEscolas[[#This Row],[ESCOLA]],tbNucleo[ESCOLA],tbNucleo[COD ESCOLA],"")</f>
        <v/>
      </c>
      <c r="B1997" t="str" cm="1">
        <f t="array" ref="B1997">IFERROR(INDEX(tbNucleo[ESCOLA],ROUNDUP(ROW(B1996)/TotalEtapas,0)),"")</f>
        <v/>
      </c>
      <c r="E1997" t="str">
        <f>IFERROR(VLOOKUP(tbEscolas[[#This Row],[COD ETPA]],tbEtapas[],2,FALSE),"")</f>
        <v/>
      </c>
      <c r="F1997" t="str">
        <f>IFERROR(VLOOKUP(tbEscolas[[#This Row],[COD ETPA]],tbEtapas[],3,FALSE),"")</f>
        <v/>
      </c>
    </row>
    <row r="1998" spans="1:6" x14ac:dyDescent="0.25">
      <c r="A1998" s="24" t="str">
        <f>_xlfn.XLOOKUP(tbEscolas[[#This Row],[ESCOLA]],tbNucleo[ESCOLA],tbNucleo[COD ESCOLA],"")</f>
        <v/>
      </c>
      <c r="B1998" t="str" cm="1">
        <f t="array" ref="B1998">IFERROR(INDEX(tbNucleo[ESCOLA],ROUNDUP(ROW(B1997)/TotalEtapas,0)),"")</f>
        <v/>
      </c>
      <c r="E1998" t="str">
        <f>IFERROR(VLOOKUP(tbEscolas[[#This Row],[COD ETPA]],tbEtapas[],2,FALSE),"")</f>
        <v/>
      </c>
      <c r="F1998" t="str">
        <f>IFERROR(VLOOKUP(tbEscolas[[#This Row],[COD ETPA]],tbEtapas[],3,FALSE),"")</f>
        <v/>
      </c>
    </row>
    <row r="1999" spans="1:6" x14ac:dyDescent="0.25">
      <c r="A1999" s="24" t="str">
        <f>_xlfn.XLOOKUP(tbEscolas[[#This Row],[ESCOLA]],tbNucleo[ESCOLA],tbNucleo[COD ESCOLA],"")</f>
        <v/>
      </c>
      <c r="B1999" t="str" cm="1">
        <f t="array" ref="B1999">IFERROR(INDEX(tbNucleo[ESCOLA],ROUNDUP(ROW(B1998)/TotalEtapas,0)),"")</f>
        <v/>
      </c>
      <c r="E1999" t="str">
        <f>IFERROR(VLOOKUP(tbEscolas[[#This Row],[COD ETPA]],tbEtapas[],2,FALSE),"")</f>
        <v/>
      </c>
      <c r="F1999" t="str">
        <f>IFERROR(VLOOKUP(tbEscolas[[#This Row],[COD ETPA]],tbEtapas[],3,FALSE),"")</f>
        <v/>
      </c>
    </row>
    <row r="2000" spans="1:6" x14ac:dyDescent="0.25">
      <c r="A2000" s="24" t="str">
        <f>_xlfn.XLOOKUP(tbEscolas[[#This Row],[ESCOLA]],tbNucleo[ESCOLA],tbNucleo[COD ESCOLA],"")</f>
        <v/>
      </c>
      <c r="B2000" t="str" cm="1">
        <f t="array" ref="B2000">IFERROR(INDEX(tbNucleo[ESCOLA],ROUNDUP(ROW(B1999)/TotalEtapas,0)),"")</f>
        <v/>
      </c>
      <c r="E2000" t="str">
        <f>IFERROR(VLOOKUP(tbEscolas[[#This Row],[COD ETPA]],tbEtapas[],2,FALSE),"")</f>
        <v/>
      </c>
      <c r="F2000" t="str">
        <f>IFERROR(VLOOKUP(tbEscolas[[#This Row],[COD ETPA]],tbEtapas[],3,FALSE),"")</f>
        <v/>
      </c>
    </row>
    <row r="2001" spans="1:6" x14ac:dyDescent="0.25">
      <c r="A2001" s="24" t="str">
        <f>_xlfn.XLOOKUP(tbEscolas[[#This Row],[ESCOLA]],tbNucleo[ESCOLA],tbNucleo[COD ESCOLA],"")</f>
        <v/>
      </c>
      <c r="B2001" t="str" cm="1">
        <f t="array" ref="B2001">IFERROR(INDEX(tbNucleo[ESCOLA],ROUNDUP(ROW(B2000)/TotalEtapas,0)),"")</f>
        <v/>
      </c>
      <c r="E2001" t="str">
        <f>IFERROR(VLOOKUP(tbEscolas[[#This Row],[COD ETPA]],tbEtapas[],2,FALSE),"")</f>
        <v/>
      </c>
      <c r="F2001" t="str">
        <f>IFERROR(VLOOKUP(tbEscolas[[#This Row],[COD ETPA]],tbEtapas[],3,FALSE),"")</f>
        <v/>
      </c>
    </row>
    <row r="2002" spans="1:6" x14ac:dyDescent="0.25">
      <c r="A2002" s="24" t="str">
        <f>_xlfn.XLOOKUP(tbEscolas[[#This Row],[ESCOLA]],tbNucleo[ESCOLA],tbNucleo[COD ESCOLA],"")</f>
        <v/>
      </c>
      <c r="B2002" t="str" cm="1">
        <f t="array" ref="B2002">IFERROR(INDEX(tbNucleo[ESCOLA],ROUNDUP(ROW(B2001)/TotalEtapas,0)),"")</f>
        <v/>
      </c>
      <c r="E2002" t="str">
        <f>IFERROR(VLOOKUP(tbEscolas[[#This Row],[COD ETPA]],tbEtapas[],2,FALSE),"")</f>
        <v/>
      </c>
      <c r="F2002" t="str">
        <f>IFERROR(VLOOKUP(tbEscolas[[#This Row],[COD ETPA]],tbEtapas[],3,FALSE),"")</f>
        <v/>
      </c>
    </row>
    <row r="2003" spans="1:6" x14ac:dyDescent="0.25">
      <c r="A2003" s="24" t="str">
        <f>_xlfn.XLOOKUP(tbEscolas[[#This Row],[ESCOLA]],tbNucleo[ESCOLA],tbNucleo[COD ESCOLA],"")</f>
        <v/>
      </c>
      <c r="B2003" t="str" cm="1">
        <f t="array" ref="B2003">IFERROR(INDEX(tbNucleo[ESCOLA],ROUNDUP(ROW(B2002)/TotalEtapas,0)),"")</f>
        <v/>
      </c>
      <c r="E2003" t="str">
        <f>IFERROR(VLOOKUP(tbEscolas[[#This Row],[COD ETPA]],tbEtapas[],2,FALSE),"")</f>
        <v/>
      </c>
      <c r="F2003" t="str">
        <f>IFERROR(VLOOKUP(tbEscolas[[#This Row],[COD ETPA]],tbEtapas[],3,FALSE),"")</f>
        <v/>
      </c>
    </row>
    <row r="2004" spans="1:6" x14ac:dyDescent="0.25">
      <c r="A2004" s="24" t="str">
        <f>_xlfn.XLOOKUP(tbEscolas[[#This Row],[ESCOLA]],tbNucleo[ESCOLA],tbNucleo[COD ESCOLA],"")</f>
        <v/>
      </c>
      <c r="B2004" t="str" cm="1">
        <f t="array" ref="B2004">IFERROR(INDEX(tbNucleo[ESCOLA],ROUNDUP(ROW(B2003)/TotalEtapas,0)),"")</f>
        <v/>
      </c>
      <c r="E2004" t="str">
        <f>IFERROR(VLOOKUP(tbEscolas[[#This Row],[COD ETPA]],tbEtapas[],2,FALSE),"")</f>
        <v/>
      </c>
      <c r="F2004" t="str">
        <f>IFERROR(VLOOKUP(tbEscolas[[#This Row],[COD ETPA]],tbEtapas[],3,FALSE),"")</f>
        <v/>
      </c>
    </row>
    <row r="2005" spans="1:6" x14ac:dyDescent="0.25">
      <c r="A2005" s="24" t="str">
        <f>_xlfn.XLOOKUP(tbEscolas[[#This Row],[ESCOLA]],tbNucleo[ESCOLA],tbNucleo[COD ESCOLA],"")</f>
        <v/>
      </c>
      <c r="B2005" t="str" cm="1">
        <f t="array" ref="B2005">IFERROR(INDEX(tbNucleo[ESCOLA],ROUNDUP(ROW(B2004)/TotalEtapas,0)),"")</f>
        <v/>
      </c>
      <c r="E2005" t="str">
        <f>IFERROR(VLOOKUP(tbEscolas[[#This Row],[COD ETPA]],tbEtapas[],2,FALSE),"")</f>
        <v/>
      </c>
      <c r="F2005" t="str">
        <f>IFERROR(VLOOKUP(tbEscolas[[#This Row],[COD ETPA]],tbEtapas[],3,FALSE),"")</f>
        <v/>
      </c>
    </row>
    <row r="2006" spans="1:6" x14ac:dyDescent="0.25">
      <c r="A2006" s="24" t="str">
        <f>_xlfn.XLOOKUP(tbEscolas[[#This Row],[ESCOLA]],tbNucleo[ESCOLA],tbNucleo[COD ESCOLA],"")</f>
        <v/>
      </c>
      <c r="B2006" t="str" cm="1">
        <f t="array" ref="B2006">IFERROR(INDEX(tbNucleo[ESCOLA],ROUNDUP(ROW(B2005)/TotalEtapas,0)),"")</f>
        <v/>
      </c>
      <c r="E2006" t="str">
        <f>IFERROR(VLOOKUP(tbEscolas[[#This Row],[COD ETPA]],tbEtapas[],2,FALSE),"")</f>
        <v/>
      </c>
      <c r="F2006" t="str">
        <f>IFERROR(VLOOKUP(tbEscolas[[#This Row],[COD ETPA]],tbEtapas[],3,FALSE),"")</f>
        <v/>
      </c>
    </row>
    <row r="2007" spans="1:6" x14ac:dyDescent="0.25">
      <c r="A2007" s="24" t="str">
        <f>_xlfn.XLOOKUP(tbEscolas[[#This Row],[ESCOLA]],tbNucleo[ESCOLA],tbNucleo[COD ESCOLA],"")</f>
        <v/>
      </c>
      <c r="B2007" t="str" cm="1">
        <f t="array" ref="B2007">IFERROR(INDEX(tbNucleo[ESCOLA],ROUNDUP(ROW(B2006)/TotalEtapas,0)),"")</f>
        <v/>
      </c>
      <c r="E2007" t="str">
        <f>IFERROR(VLOOKUP(tbEscolas[[#This Row],[COD ETPA]],tbEtapas[],2,FALSE),"")</f>
        <v/>
      </c>
      <c r="F2007" t="str">
        <f>IFERROR(VLOOKUP(tbEscolas[[#This Row],[COD ETPA]],tbEtapas[],3,FALSE),"")</f>
        <v/>
      </c>
    </row>
    <row r="2008" spans="1:6" x14ac:dyDescent="0.25">
      <c r="A2008" s="24" t="str">
        <f>_xlfn.XLOOKUP(tbEscolas[[#This Row],[ESCOLA]],tbNucleo[ESCOLA],tbNucleo[COD ESCOLA],"")</f>
        <v/>
      </c>
      <c r="B2008" t="str" cm="1">
        <f t="array" ref="B2008">IFERROR(INDEX(tbNucleo[ESCOLA],ROUNDUP(ROW(B2007)/TotalEtapas,0)),"")</f>
        <v/>
      </c>
      <c r="E2008" t="str">
        <f>IFERROR(VLOOKUP(tbEscolas[[#This Row],[COD ETPA]],tbEtapas[],2,FALSE),"")</f>
        <v/>
      </c>
      <c r="F2008" t="str">
        <f>IFERROR(VLOOKUP(tbEscolas[[#This Row],[COD ETPA]],tbEtapas[],3,FALSE),"")</f>
        <v/>
      </c>
    </row>
    <row r="2009" spans="1:6" x14ac:dyDescent="0.25">
      <c r="A2009" s="24" t="str">
        <f>_xlfn.XLOOKUP(tbEscolas[[#This Row],[ESCOLA]],tbNucleo[ESCOLA],tbNucleo[COD ESCOLA],"")</f>
        <v/>
      </c>
      <c r="B2009" t="str" cm="1">
        <f t="array" ref="B2009">IFERROR(INDEX(tbNucleo[ESCOLA],ROUNDUP(ROW(B2008)/TotalEtapas,0)),"")</f>
        <v/>
      </c>
      <c r="E2009" t="str">
        <f>IFERROR(VLOOKUP(tbEscolas[[#This Row],[COD ETPA]],tbEtapas[],2,FALSE),"")</f>
        <v/>
      </c>
      <c r="F2009" t="str">
        <f>IFERROR(VLOOKUP(tbEscolas[[#This Row],[COD ETPA]],tbEtapas[],3,FALSE),"")</f>
        <v/>
      </c>
    </row>
    <row r="2010" spans="1:6" x14ac:dyDescent="0.25">
      <c r="A2010" s="24" t="str">
        <f>_xlfn.XLOOKUP(tbEscolas[[#This Row],[ESCOLA]],tbNucleo[ESCOLA],tbNucleo[COD ESCOLA],"")</f>
        <v/>
      </c>
      <c r="B2010" t="str" cm="1">
        <f t="array" ref="B2010">IFERROR(INDEX(tbNucleo[ESCOLA],ROUNDUP(ROW(B2009)/TotalEtapas,0)),"")</f>
        <v/>
      </c>
      <c r="E2010" t="str">
        <f>IFERROR(VLOOKUP(tbEscolas[[#This Row],[COD ETPA]],tbEtapas[],2,FALSE),"")</f>
        <v/>
      </c>
      <c r="F2010" t="str">
        <f>IFERROR(VLOOKUP(tbEscolas[[#This Row],[COD ETPA]],tbEtapas[],3,FALSE),"")</f>
        <v/>
      </c>
    </row>
    <row r="2011" spans="1:6" x14ac:dyDescent="0.25">
      <c r="A2011" s="24" t="str">
        <f>_xlfn.XLOOKUP(tbEscolas[[#This Row],[ESCOLA]],tbNucleo[ESCOLA],tbNucleo[COD ESCOLA],"")</f>
        <v/>
      </c>
      <c r="B2011" t="str" cm="1">
        <f t="array" ref="B2011">IFERROR(INDEX(tbNucleo[ESCOLA],ROUNDUP(ROW(B2010)/TotalEtapas,0)),"")</f>
        <v/>
      </c>
      <c r="E2011" t="str">
        <f>IFERROR(VLOOKUP(tbEscolas[[#This Row],[COD ETPA]],tbEtapas[],2,FALSE),"")</f>
        <v/>
      </c>
      <c r="F2011" t="str">
        <f>IFERROR(VLOOKUP(tbEscolas[[#This Row],[COD ETPA]],tbEtapas[],3,FALSE),"")</f>
        <v/>
      </c>
    </row>
    <row r="2012" spans="1:6" x14ac:dyDescent="0.25">
      <c r="A2012" s="24" t="str">
        <f>_xlfn.XLOOKUP(tbEscolas[[#This Row],[ESCOLA]],tbNucleo[ESCOLA],tbNucleo[COD ESCOLA],"")</f>
        <v/>
      </c>
      <c r="B2012" t="str" cm="1">
        <f t="array" ref="B2012">IFERROR(INDEX(tbNucleo[ESCOLA],ROUNDUP(ROW(B2011)/TotalEtapas,0)),"")</f>
        <v/>
      </c>
      <c r="E2012" t="str">
        <f>IFERROR(VLOOKUP(tbEscolas[[#This Row],[COD ETPA]],tbEtapas[],2,FALSE),"")</f>
        <v/>
      </c>
      <c r="F2012" t="str">
        <f>IFERROR(VLOOKUP(tbEscolas[[#This Row],[COD ETPA]],tbEtapas[],3,FALSE),"")</f>
        <v/>
      </c>
    </row>
    <row r="2013" spans="1:6" x14ac:dyDescent="0.25">
      <c r="A2013" s="24" t="str">
        <f>_xlfn.XLOOKUP(tbEscolas[[#This Row],[ESCOLA]],tbNucleo[ESCOLA],tbNucleo[COD ESCOLA],"")</f>
        <v/>
      </c>
      <c r="B2013" t="str" cm="1">
        <f t="array" ref="B2013">IFERROR(INDEX(tbNucleo[ESCOLA],ROUNDUP(ROW(B2012)/TotalEtapas,0)),"")</f>
        <v/>
      </c>
      <c r="E2013" t="str">
        <f>IFERROR(VLOOKUP(tbEscolas[[#This Row],[COD ETPA]],tbEtapas[],2,FALSE),"")</f>
        <v/>
      </c>
      <c r="F2013" t="str">
        <f>IFERROR(VLOOKUP(tbEscolas[[#This Row],[COD ETPA]],tbEtapas[],3,FALSE),"")</f>
        <v/>
      </c>
    </row>
    <row r="2014" spans="1:6" x14ac:dyDescent="0.25">
      <c r="A2014" s="24" t="str">
        <f>_xlfn.XLOOKUP(tbEscolas[[#This Row],[ESCOLA]],tbNucleo[ESCOLA],tbNucleo[COD ESCOLA],"")</f>
        <v/>
      </c>
      <c r="B2014" t="str" cm="1">
        <f t="array" ref="B2014">IFERROR(INDEX(tbNucleo[ESCOLA],ROUNDUP(ROW(B2013)/TotalEtapas,0)),"")</f>
        <v/>
      </c>
      <c r="E2014" t="str">
        <f>IFERROR(VLOOKUP(tbEscolas[[#This Row],[COD ETPA]],tbEtapas[],2,FALSE),"")</f>
        <v/>
      </c>
      <c r="F2014" t="str">
        <f>IFERROR(VLOOKUP(tbEscolas[[#This Row],[COD ETPA]],tbEtapas[],3,FALSE),"")</f>
        <v/>
      </c>
    </row>
    <row r="2015" spans="1:6" x14ac:dyDescent="0.25">
      <c r="A2015" s="24" t="str">
        <f>_xlfn.XLOOKUP(tbEscolas[[#This Row],[ESCOLA]],tbNucleo[ESCOLA],tbNucleo[COD ESCOLA],"")</f>
        <v/>
      </c>
      <c r="B2015" t="str" cm="1">
        <f t="array" ref="B2015">IFERROR(INDEX(tbNucleo[ESCOLA],ROUNDUP(ROW(B2014)/TotalEtapas,0)),"")</f>
        <v/>
      </c>
      <c r="E2015" t="str">
        <f>IFERROR(VLOOKUP(tbEscolas[[#This Row],[COD ETPA]],tbEtapas[],2,FALSE),"")</f>
        <v/>
      </c>
      <c r="F2015" t="str">
        <f>IFERROR(VLOOKUP(tbEscolas[[#This Row],[COD ETPA]],tbEtapas[],3,FALSE),"")</f>
        <v/>
      </c>
    </row>
    <row r="2016" spans="1:6" x14ac:dyDescent="0.25">
      <c r="A2016" s="24" t="str">
        <f>_xlfn.XLOOKUP(tbEscolas[[#This Row],[ESCOLA]],tbNucleo[ESCOLA],tbNucleo[COD ESCOLA],"")</f>
        <v/>
      </c>
      <c r="B2016" t="str" cm="1">
        <f t="array" ref="B2016">IFERROR(INDEX(tbNucleo[ESCOLA],ROUNDUP(ROW(B2015)/TotalEtapas,0)),"")</f>
        <v/>
      </c>
      <c r="E2016" t="str">
        <f>IFERROR(VLOOKUP(tbEscolas[[#This Row],[COD ETPA]],tbEtapas[],2,FALSE),"")</f>
        <v/>
      </c>
      <c r="F2016" t="str">
        <f>IFERROR(VLOOKUP(tbEscolas[[#This Row],[COD ETPA]],tbEtapas[],3,FALSE),"")</f>
        <v/>
      </c>
    </row>
    <row r="2017" spans="1:6" x14ac:dyDescent="0.25">
      <c r="A2017" s="24" t="str">
        <f>_xlfn.XLOOKUP(tbEscolas[[#This Row],[ESCOLA]],tbNucleo[ESCOLA],tbNucleo[COD ESCOLA],"")</f>
        <v/>
      </c>
      <c r="B2017" t="str" cm="1">
        <f t="array" ref="B2017">IFERROR(INDEX(tbNucleo[ESCOLA],ROUNDUP(ROW(B2016)/TotalEtapas,0)),"")</f>
        <v/>
      </c>
      <c r="E2017" t="str">
        <f>IFERROR(VLOOKUP(tbEscolas[[#This Row],[COD ETPA]],tbEtapas[],2,FALSE),"")</f>
        <v/>
      </c>
      <c r="F2017" t="str">
        <f>IFERROR(VLOOKUP(tbEscolas[[#This Row],[COD ETPA]],tbEtapas[],3,FALSE),"")</f>
        <v/>
      </c>
    </row>
    <row r="2018" spans="1:6" x14ac:dyDescent="0.25">
      <c r="A2018" s="24" t="str">
        <f>_xlfn.XLOOKUP(tbEscolas[[#This Row],[ESCOLA]],tbNucleo[ESCOLA],tbNucleo[COD ESCOLA],"")</f>
        <v/>
      </c>
      <c r="B2018" t="str" cm="1">
        <f t="array" ref="B2018">IFERROR(INDEX(tbNucleo[ESCOLA],ROUNDUP(ROW(B2017)/TotalEtapas,0)),"")</f>
        <v/>
      </c>
      <c r="E2018" t="str">
        <f>IFERROR(VLOOKUP(tbEscolas[[#This Row],[COD ETPA]],tbEtapas[],2,FALSE),"")</f>
        <v/>
      </c>
      <c r="F2018" t="str">
        <f>IFERROR(VLOOKUP(tbEscolas[[#This Row],[COD ETPA]],tbEtapas[],3,FALSE),"")</f>
        <v/>
      </c>
    </row>
    <row r="2019" spans="1:6" x14ac:dyDescent="0.25">
      <c r="A2019" s="24" t="str">
        <f>_xlfn.XLOOKUP(tbEscolas[[#This Row],[ESCOLA]],tbNucleo[ESCOLA],tbNucleo[COD ESCOLA],"")</f>
        <v/>
      </c>
      <c r="B2019" t="str" cm="1">
        <f t="array" ref="B2019">IFERROR(INDEX(tbNucleo[ESCOLA],ROUNDUP(ROW(B2018)/TotalEtapas,0)),"")</f>
        <v/>
      </c>
      <c r="E2019" t="str">
        <f>IFERROR(VLOOKUP(tbEscolas[[#This Row],[COD ETPA]],tbEtapas[],2,FALSE),"")</f>
        <v/>
      </c>
      <c r="F2019" t="str">
        <f>IFERROR(VLOOKUP(tbEscolas[[#This Row],[COD ETPA]],tbEtapas[],3,FALSE),"")</f>
        <v/>
      </c>
    </row>
    <row r="2020" spans="1:6" x14ac:dyDescent="0.25">
      <c r="A2020" s="24" t="str">
        <f>_xlfn.XLOOKUP(tbEscolas[[#This Row],[ESCOLA]],tbNucleo[ESCOLA],tbNucleo[COD ESCOLA],"")</f>
        <v/>
      </c>
      <c r="B2020" t="str" cm="1">
        <f t="array" ref="B2020">IFERROR(INDEX(tbNucleo[ESCOLA],ROUNDUP(ROW(B2019)/TotalEtapas,0)),"")</f>
        <v/>
      </c>
      <c r="E2020" t="str">
        <f>IFERROR(VLOOKUP(tbEscolas[[#This Row],[COD ETPA]],tbEtapas[],2,FALSE),"")</f>
        <v/>
      </c>
      <c r="F2020" t="str">
        <f>IFERROR(VLOOKUP(tbEscolas[[#This Row],[COD ETPA]],tbEtapas[],3,FALSE),"")</f>
        <v/>
      </c>
    </row>
    <row r="2021" spans="1:6" x14ac:dyDescent="0.25">
      <c r="A2021" s="24" t="str">
        <f>_xlfn.XLOOKUP(tbEscolas[[#This Row],[ESCOLA]],tbNucleo[ESCOLA],tbNucleo[COD ESCOLA],"")</f>
        <v/>
      </c>
      <c r="B2021" t="str" cm="1">
        <f t="array" ref="B2021">IFERROR(INDEX(tbNucleo[ESCOLA],ROUNDUP(ROW(B2020)/TotalEtapas,0)),"")</f>
        <v/>
      </c>
      <c r="E2021" t="str">
        <f>IFERROR(VLOOKUP(tbEscolas[[#This Row],[COD ETPA]],tbEtapas[],2,FALSE),"")</f>
        <v/>
      </c>
      <c r="F2021" t="str">
        <f>IFERROR(VLOOKUP(tbEscolas[[#This Row],[COD ETPA]],tbEtapas[],3,FALSE),"")</f>
        <v/>
      </c>
    </row>
    <row r="2022" spans="1:6" x14ac:dyDescent="0.25">
      <c r="A2022" s="24" t="str">
        <f>_xlfn.XLOOKUP(tbEscolas[[#This Row],[ESCOLA]],tbNucleo[ESCOLA],tbNucleo[COD ESCOLA],"")</f>
        <v/>
      </c>
      <c r="B2022" t="str" cm="1">
        <f t="array" ref="B2022">IFERROR(INDEX(tbNucleo[ESCOLA],ROUNDUP(ROW(B2021)/TotalEtapas,0)),"")</f>
        <v/>
      </c>
      <c r="E2022" t="str">
        <f>IFERROR(VLOOKUP(tbEscolas[[#This Row],[COD ETPA]],tbEtapas[],2,FALSE),"")</f>
        <v/>
      </c>
      <c r="F2022" t="str">
        <f>IFERROR(VLOOKUP(tbEscolas[[#This Row],[COD ETPA]],tbEtapas[],3,FALSE),"")</f>
        <v/>
      </c>
    </row>
    <row r="2023" spans="1:6" x14ac:dyDescent="0.25">
      <c r="A2023" s="24" t="str">
        <f>_xlfn.XLOOKUP(tbEscolas[[#This Row],[ESCOLA]],tbNucleo[ESCOLA],tbNucleo[COD ESCOLA],"")</f>
        <v/>
      </c>
      <c r="B2023" t="str" cm="1">
        <f t="array" ref="B2023">IFERROR(INDEX(tbNucleo[ESCOLA],ROUNDUP(ROW(B2022)/TotalEtapas,0)),"")</f>
        <v/>
      </c>
      <c r="E2023" t="str">
        <f>IFERROR(VLOOKUP(tbEscolas[[#This Row],[COD ETPA]],tbEtapas[],2,FALSE),"")</f>
        <v/>
      </c>
      <c r="F2023" t="str">
        <f>IFERROR(VLOOKUP(tbEscolas[[#This Row],[COD ETPA]],tbEtapas[],3,FALSE),"")</f>
        <v/>
      </c>
    </row>
    <row r="2024" spans="1:6" x14ac:dyDescent="0.25">
      <c r="A2024" s="24" t="str">
        <f>_xlfn.XLOOKUP(tbEscolas[[#This Row],[ESCOLA]],tbNucleo[ESCOLA],tbNucleo[COD ESCOLA],"")</f>
        <v/>
      </c>
      <c r="B2024" t="str" cm="1">
        <f t="array" ref="B2024">IFERROR(INDEX(tbNucleo[ESCOLA],ROUNDUP(ROW(B2023)/TotalEtapas,0)),"")</f>
        <v/>
      </c>
      <c r="E2024" t="str">
        <f>IFERROR(VLOOKUP(tbEscolas[[#This Row],[COD ETPA]],tbEtapas[],2,FALSE),"")</f>
        <v/>
      </c>
      <c r="F2024" t="str">
        <f>IFERROR(VLOOKUP(tbEscolas[[#This Row],[COD ETPA]],tbEtapas[],3,FALSE),"")</f>
        <v/>
      </c>
    </row>
    <row r="2025" spans="1:6" x14ac:dyDescent="0.25">
      <c r="A2025" s="24" t="str">
        <f>_xlfn.XLOOKUP(tbEscolas[[#This Row],[ESCOLA]],tbNucleo[ESCOLA],tbNucleo[COD ESCOLA],"")</f>
        <v/>
      </c>
      <c r="B2025" t="str" cm="1">
        <f t="array" ref="B2025">IFERROR(INDEX(tbNucleo[ESCOLA],ROUNDUP(ROW(B2024)/TotalEtapas,0)),"")</f>
        <v/>
      </c>
      <c r="E2025" t="str">
        <f>IFERROR(VLOOKUP(tbEscolas[[#This Row],[COD ETPA]],tbEtapas[],2,FALSE),"")</f>
        <v/>
      </c>
      <c r="F2025" t="str">
        <f>IFERROR(VLOOKUP(tbEscolas[[#This Row],[COD ETPA]],tbEtapas[],3,FALSE),"")</f>
        <v/>
      </c>
    </row>
    <row r="2026" spans="1:6" x14ac:dyDescent="0.25">
      <c r="A2026" s="24" t="str">
        <f>_xlfn.XLOOKUP(tbEscolas[[#This Row],[ESCOLA]],tbNucleo[ESCOLA],tbNucleo[COD ESCOLA],"")</f>
        <v/>
      </c>
      <c r="B2026" t="str" cm="1">
        <f t="array" ref="B2026">IFERROR(INDEX(tbNucleo[ESCOLA],ROUNDUP(ROW(B2025)/TotalEtapas,0)),"")</f>
        <v/>
      </c>
      <c r="E2026" t="str">
        <f>IFERROR(VLOOKUP(tbEscolas[[#This Row],[COD ETPA]],tbEtapas[],2,FALSE),"")</f>
        <v/>
      </c>
      <c r="F2026" t="str">
        <f>IFERROR(VLOOKUP(tbEscolas[[#This Row],[COD ETPA]],tbEtapas[],3,FALSE),"")</f>
        <v/>
      </c>
    </row>
    <row r="2027" spans="1:6" x14ac:dyDescent="0.25">
      <c r="A2027" s="24" t="str">
        <f>_xlfn.XLOOKUP(tbEscolas[[#This Row],[ESCOLA]],tbNucleo[ESCOLA],tbNucleo[COD ESCOLA],"")</f>
        <v/>
      </c>
      <c r="B2027" t="str" cm="1">
        <f t="array" ref="B2027">IFERROR(INDEX(tbNucleo[ESCOLA],ROUNDUP(ROW(B2026)/TotalEtapas,0)),"")</f>
        <v/>
      </c>
      <c r="E2027" t="str">
        <f>IFERROR(VLOOKUP(tbEscolas[[#This Row],[COD ETPA]],tbEtapas[],2,FALSE),"")</f>
        <v/>
      </c>
      <c r="F2027" t="str">
        <f>IFERROR(VLOOKUP(tbEscolas[[#This Row],[COD ETPA]],tbEtapas[],3,FALSE),"")</f>
        <v/>
      </c>
    </row>
    <row r="2028" spans="1:6" x14ac:dyDescent="0.25">
      <c r="A2028" s="24" t="str">
        <f>_xlfn.XLOOKUP(tbEscolas[[#This Row],[ESCOLA]],tbNucleo[ESCOLA],tbNucleo[COD ESCOLA],"")</f>
        <v/>
      </c>
      <c r="B2028" t="str" cm="1">
        <f t="array" ref="B2028">IFERROR(INDEX(tbNucleo[ESCOLA],ROUNDUP(ROW(B2027)/TotalEtapas,0)),"")</f>
        <v/>
      </c>
      <c r="E2028" t="str">
        <f>IFERROR(VLOOKUP(tbEscolas[[#This Row],[COD ETPA]],tbEtapas[],2,FALSE),"")</f>
        <v/>
      </c>
      <c r="F2028" t="str">
        <f>IFERROR(VLOOKUP(tbEscolas[[#This Row],[COD ETPA]],tbEtapas[],3,FALSE),"")</f>
        <v/>
      </c>
    </row>
    <row r="2029" spans="1:6" x14ac:dyDescent="0.25">
      <c r="A2029" s="24" t="str">
        <f>_xlfn.XLOOKUP(tbEscolas[[#This Row],[ESCOLA]],tbNucleo[ESCOLA],tbNucleo[COD ESCOLA],"")</f>
        <v/>
      </c>
      <c r="B2029" t="str" cm="1">
        <f t="array" ref="B2029">IFERROR(INDEX(tbNucleo[ESCOLA],ROUNDUP(ROW(B2028)/TotalEtapas,0)),"")</f>
        <v/>
      </c>
      <c r="E2029" t="str">
        <f>IFERROR(VLOOKUP(tbEscolas[[#This Row],[COD ETPA]],tbEtapas[],2,FALSE),"")</f>
        <v/>
      </c>
      <c r="F2029" t="str">
        <f>IFERROR(VLOOKUP(tbEscolas[[#This Row],[COD ETPA]],tbEtapas[],3,FALSE),"")</f>
        <v/>
      </c>
    </row>
    <row r="2030" spans="1:6" x14ac:dyDescent="0.25">
      <c r="A2030" s="24" t="str">
        <f>_xlfn.XLOOKUP(tbEscolas[[#This Row],[ESCOLA]],tbNucleo[ESCOLA],tbNucleo[COD ESCOLA],"")</f>
        <v/>
      </c>
      <c r="B2030" t="str" cm="1">
        <f t="array" ref="B2030">IFERROR(INDEX(tbNucleo[ESCOLA],ROUNDUP(ROW(B2029)/TotalEtapas,0)),"")</f>
        <v/>
      </c>
      <c r="E2030" t="str">
        <f>IFERROR(VLOOKUP(tbEscolas[[#This Row],[COD ETPA]],tbEtapas[],2,FALSE),"")</f>
        <v/>
      </c>
      <c r="F2030" t="str">
        <f>IFERROR(VLOOKUP(tbEscolas[[#This Row],[COD ETPA]],tbEtapas[],3,FALSE),"")</f>
        <v/>
      </c>
    </row>
    <row r="2031" spans="1:6" x14ac:dyDescent="0.25">
      <c r="A2031" s="24" t="str">
        <f>_xlfn.XLOOKUP(tbEscolas[[#This Row],[ESCOLA]],tbNucleo[ESCOLA],tbNucleo[COD ESCOLA],"")</f>
        <v/>
      </c>
      <c r="B2031" t="str" cm="1">
        <f t="array" ref="B2031">IFERROR(INDEX(tbNucleo[ESCOLA],ROUNDUP(ROW(B2030)/TotalEtapas,0)),"")</f>
        <v/>
      </c>
      <c r="E2031" t="str">
        <f>IFERROR(VLOOKUP(tbEscolas[[#This Row],[COD ETPA]],tbEtapas[],2,FALSE),"")</f>
        <v/>
      </c>
      <c r="F2031" t="str">
        <f>IFERROR(VLOOKUP(tbEscolas[[#This Row],[COD ETPA]],tbEtapas[],3,FALSE),"")</f>
        <v/>
      </c>
    </row>
    <row r="2032" spans="1:6" x14ac:dyDescent="0.25">
      <c r="A2032" s="24" t="str">
        <f>_xlfn.XLOOKUP(tbEscolas[[#This Row],[ESCOLA]],tbNucleo[ESCOLA],tbNucleo[COD ESCOLA],"")</f>
        <v/>
      </c>
      <c r="B2032" t="str" cm="1">
        <f t="array" ref="B2032">IFERROR(INDEX(tbNucleo[ESCOLA],ROUNDUP(ROW(B2031)/TotalEtapas,0)),"")</f>
        <v/>
      </c>
      <c r="E2032" t="str">
        <f>IFERROR(VLOOKUP(tbEscolas[[#This Row],[COD ETPA]],tbEtapas[],2,FALSE),"")</f>
        <v/>
      </c>
      <c r="F2032" t="str">
        <f>IFERROR(VLOOKUP(tbEscolas[[#This Row],[COD ETPA]],tbEtapas[],3,FALSE),"")</f>
        <v/>
      </c>
    </row>
    <row r="2033" spans="1:6" x14ac:dyDescent="0.25">
      <c r="A2033" s="24" t="str">
        <f>_xlfn.XLOOKUP(tbEscolas[[#This Row],[ESCOLA]],tbNucleo[ESCOLA],tbNucleo[COD ESCOLA],"")</f>
        <v/>
      </c>
      <c r="B2033" t="str" cm="1">
        <f t="array" ref="B2033">IFERROR(INDEX(tbNucleo[ESCOLA],ROUNDUP(ROW(B2032)/TotalEtapas,0)),"")</f>
        <v/>
      </c>
      <c r="E2033" t="str">
        <f>IFERROR(VLOOKUP(tbEscolas[[#This Row],[COD ETPA]],tbEtapas[],2,FALSE),"")</f>
        <v/>
      </c>
      <c r="F2033" t="str">
        <f>IFERROR(VLOOKUP(tbEscolas[[#This Row],[COD ETPA]],tbEtapas[],3,FALSE),"")</f>
        <v/>
      </c>
    </row>
    <row r="2034" spans="1:6" x14ac:dyDescent="0.25">
      <c r="A2034" s="24" t="str">
        <f>_xlfn.XLOOKUP(tbEscolas[[#This Row],[ESCOLA]],tbNucleo[ESCOLA],tbNucleo[COD ESCOLA],"")</f>
        <v/>
      </c>
      <c r="B2034" t="str" cm="1">
        <f t="array" ref="B2034">IFERROR(INDEX(tbNucleo[ESCOLA],ROUNDUP(ROW(B2033)/TotalEtapas,0)),"")</f>
        <v/>
      </c>
      <c r="E2034" t="str">
        <f>IFERROR(VLOOKUP(tbEscolas[[#This Row],[COD ETPA]],tbEtapas[],2,FALSE),"")</f>
        <v/>
      </c>
      <c r="F2034" t="str">
        <f>IFERROR(VLOOKUP(tbEscolas[[#This Row],[COD ETPA]],tbEtapas[],3,FALSE),"")</f>
        <v/>
      </c>
    </row>
    <row r="2035" spans="1:6" x14ac:dyDescent="0.25">
      <c r="A2035" s="24" t="str">
        <f>_xlfn.XLOOKUP(tbEscolas[[#This Row],[ESCOLA]],tbNucleo[ESCOLA],tbNucleo[COD ESCOLA],"")</f>
        <v/>
      </c>
      <c r="B2035" t="str" cm="1">
        <f t="array" ref="B2035">IFERROR(INDEX(tbNucleo[ESCOLA],ROUNDUP(ROW(B2034)/TotalEtapas,0)),"")</f>
        <v/>
      </c>
      <c r="E2035" t="str">
        <f>IFERROR(VLOOKUP(tbEscolas[[#This Row],[COD ETPA]],tbEtapas[],2,FALSE),"")</f>
        <v/>
      </c>
      <c r="F2035" t="str">
        <f>IFERROR(VLOOKUP(tbEscolas[[#This Row],[COD ETPA]],tbEtapas[],3,FALSE),"")</f>
        <v/>
      </c>
    </row>
    <row r="2036" spans="1:6" x14ac:dyDescent="0.25">
      <c r="A2036" s="24" t="str">
        <f>_xlfn.XLOOKUP(tbEscolas[[#This Row],[ESCOLA]],tbNucleo[ESCOLA],tbNucleo[COD ESCOLA],"")</f>
        <v/>
      </c>
      <c r="B2036" t="str" cm="1">
        <f t="array" ref="B2036">IFERROR(INDEX(tbNucleo[ESCOLA],ROUNDUP(ROW(B2035)/TotalEtapas,0)),"")</f>
        <v/>
      </c>
      <c r="E2036" t="str">
        <f>IFERROR(VLOOKUP(tbEscolas[[#This Row],[COD ETPA]],tbEtapas[],2,FALSE),"")</f>
        <v/>
      </c>
      <c r="F2036" t="str">
        <f>IFERROR(VLOOKUP(tbEscolas[[#This Row],[COD ETPA]],tbEtapas[],3,FALSE),"")</f>
        <v/>
      </c>
    </row>
    <row r="2037" spans="1:6" x14ac:dyDescent="0.25">
      <c r="A2037" s="24" t="str">
        <f>_xlfn.XLOOKUP(tbEscolas[[#This Row],[ESCOLA]],tbNucleo[ESCOLA],tbNucleo[COD ESCOLA],"")</f>
        <v/>
      </c>
      <c r="B2037" t="str" cm="1">
        <f t="array" ref="B2037">IFERROR(INDEX(tbNucleo[ESCOLA],ROUNDUP(ROW(B2036)/TotalEtapas,0)),"")</f>
        <v/>
      </c>
      <c r="E2037" t="str">
        <f>IFERROR(VLOOKUP(tbEscolas[[#This Row],[COD ETPA]],tbEtapas[],2,FALSE),"")</f>
        <v/>
      </c>
      <c r="F2037" t="str">
        <f>IFERROR(VLOOKUP(tbEscolas[[#This Row],[COD ETPA]],tbEtapas[],3,FALSE),"")</f>
        <v/>
      </c>
    </row>
    <row r="2038" spans="1:6" x14ac:dyDescent="0.25">
      <c r="A2038" s="24" t="str">
        <f>_xlfn.XLOOKUP(tbEscolas[[#This Row],[ESCOLA]],tbNucleo[ESCOLA],tbNucleo[COD ESCOLA],"")</f>
        <v/>
      </c>
      <c r="B2038" t="str" cm="1">
        <f t="array" ref="B2038">IFERROR(INDEX(tbNucleo[ESCOLA],ROUNDUP(ROW(B2037)/TotalEtapas,0)),"")</f>
        <v/>
      </c>
      <c r="E2038" t="str">
        <f>IFERROR(VLOOKUP(tbEscolas[[#This Row],[COD ETPA]],tbEtapas[],2,FALSE),"")</f>
        <v/>
      </c>
      <c r="F2038" t="str">
        <f>IFERROR(VLOOKUP(tbEscolas[[#This Row],[COD ETPA]],tbEtapas[],3,FALSE),"")</f>
        <v/>
      </c>
    </row>
    <row r="2039" spans="1:6" x14ac:dyDescent="0.25">
      <c r="A2039" s="24" t="str">
        <f>_xlfn.XLOOKUP(tbEscolas[[#This Row],[ESCOLA]],tbNucleo[ESCOLA],tbNucleo[COD ESCOLA],"")</f>
        <v/>
      </c>
      <c r="B2039" t="str" cm="1">
        <f t="array" ref="B2039">IFERROR(INDEX(tbNucleo[ESCOLA],ROUNDUP(ROW(B2038)/TotalEtapas,0)),"")</f>
        <v/>
      </c>
      <c r="E2039" t="str">
        <f>IFERROR(VLOOKUP(tbEscolas[[#This Row],[COD ETPA]],tbEtapas[],2,FALSE),"")</f>
        <v/>
      </c>
      <c r="F2039" t="str">
        <f>IFERROR(VLOOKUP(tbEscolas[[#This Row],[COD ETPA]],tbEtapas[],3,FALSE),"")</f>
        <v/>
      </c>
    </row>
    <row r="2040" spans="1:6" x14ac:dyDescent="0.25">
      <c r="A2040" s="24" t="str">
        <f>_xlfn.XLOOKUP(tbEscolas[[#This Row],[ESCOLA]],tbNucleo[ESCOLA],tbNucleo[COD ESCOLA],"")</f>
        <v/>
      </c>
      <c r="B2040" t="str" cm="1">
        <f t="array" ref="B2040">IFERROR(INDEX(tbNucleo[ESCOLA],ROUNDUP(ROW(B2039)/TotalEtapas,0)),"")</f>
        <v/>
      </c>
      <c r="E2040" t="str">
        <f>IFERROR(VLOOKUP(tbEscolas[[#This Row],[COD ETPA]],tbEtapas[],2,FALSE),"")</f>
        <v/>
      </c>
      <c r="F2040" t="str">
        <f>IFERROR(VLOOKUP(tbEscolas[[#This Row],[COD ETPA]],tbEtapas[],3,FALSE),"")</f>
        <v/>
      </c>
    </row>
    <row r="2041" spans="1:6" x14ac:dyDescent="0.25">
      <c r="A2041" s="24" t="str">
        <f>_xlfn.XLOOKUP(tbEscolas[[#This Row],[ESCOLA]],tbNucleo[ESCOLA],tbNucleo[COD ESCOLA],"")</f>
        <v/>
      </c>
      <c r="B2041" t="str" cm="1">
        <f t="array" ref="B2041">IFERROR(INDEX(tbNucleo[ESCOLA],ROUNDUP(ROW(B2040)/TotalEtapas,0)),"")</f>
        <v/>
      </c>
      <c r="E2041" t="str">
        <f>IFERROR(VLOOKUP(tbEscolas[[#This Row],[COD ETPA]],tbEtapas[],2,FALSE),"")</f>
        <v/>
      </c>
      <c r="F2041" t="str">
        <f>IFERROR(VLOOKUP(tbEscolas[[#This Row],[COD ETPA]],tbEtapas[],3,FALSE),"")</f>
        <v/>
      </c>
    </row>
    <row r="2042" spans="1:6" x14ac:dyDescent="0.25">
      <c r="A2042" s="24" t="str">
        <f>_xlfn.XLOOKUP(tbEscolas[[#This Row],[ESCOLA]],tbNucleo[ESCOLA],tbNucleo[COD ESCOLA],"")</f>
        <v/>
      </c>
      <c r="B2042" t="str" cm="1">
        <f t="array" ref="B2042">IFERROR(INDEX(tbNucleo[ESCOLA],ROUNDUP(ROW(B2041)/TotalEtapas,0)),"")</f>
        <v/>
      </c>
      <c r="E2042" t="str">
        <f>IFERROR(VLOOKUP(tbEscolas[[#This Row],[COD ETPA]],tbEtapas[],2,FALSE),"")</f>
        <v/>
      </c>
      <c r="F2042" t="str">
        <f>IFERROR(VLOOKUP(tbEscolas[[#This Row],[COD ETPA]],tbEtapas[],3,FALSE),"")</f>
        <v/>
      </c>
    </row>
    <row r="2043" spans="1:6" x14ac:dyDescent="0.25">
      <c r="A2043" s="24" t="str">
        <f>_xlfn.XLOOKUP(tbEscolas[[#This Row],[ESCOLA]],tbNucleo[ESCOLA],tbNucleo[COD ESCOLA],"")</f>
        <v/>
      </c>
      <c r="B2043" t="str" cm="1">
        <f t="array" ref="B2043">IFERROR(INDEX(tbNucleo[ESCOLA],ROUNDUP(ROW(B2042)/TotalEtapas,0)),"")</f>
        <v/>
      </c>
      <c r="E2043" t="str">
        <f>IFERROR(VLOOKUP(tbEscolas[[#This Row],[COD ETPA]],tbEtapas[],2,FALSE),"")</f>
        <v/>
      </c>
      <c r="F2043" t="str">
        <f>IFERROR(VLOOKUP(tbEscolas[[#This Row],[COD ETPA]],tbEtapas[],3,FALSE),"")</f>
        <v/>
      </c>
    </row>
    <row r="2044" spans="1:6" x14ac:dyDescent="0.25">
      <c r="A2044" s="24" t="str">
        <f>_xlfn.XLOOKUP(tbEscolas[[#This Row],[ESCOLA]],tbNucleo[ESCOLA],tbNucleo[COD ESCOLA],"")</f>
        <v/>
      </c>
      <c r="B2044" t="str" cm="1">
        <f t="array" ref="B2044">IFERROR(INDEX(tbNucleo[ESCOLA],ROUNDUP(ROW(B2043)/TotalEtapas,0)),"")</f>
        <v/>
      </c>
      <c r="E2044" t="str">
        <f>IFERROR(VLOOKUP(tbEscolas[[#This Row],[COD ETPA]],tbEtapas[],2,FALSE),"")</f>
        <v/>
      </c>
      <c r="F2044" t="str">
        <f>IFERROR(VLOOKUP(tbEscolas[[#This Row],[COD ETPA]],tbEtapas[],3,FALSE),"")</f>
        <v/>
      </c>
    </row>
    <row r="2045" spans="1:6" x14ac:dyDescent="0.25">
      <c r="A2045" s="24" t="str">
        <f>_xlfn.XLOOKUP(tbEscolas[[#This Row],[ESCOLA]],tbNucleo[ESCOLA],tbNucleo[COD ESCOLA],"")</f>
        <v/>
      </c>
      <c r="B2045" t="str" cm="1">
        <f t="array" ref="B2045">IFERROR(INDEX(tbNucleo[ESCOLA],ROUNDUP(ROW(B2044)/TotalEtapas,0)),"")</f>
        <v/>
      </c>
      <c r="E2045" t="str">
        <f>IFERROR(VLOOKUP(tbEscolas[[#This Row],[COD ETPA]],tbEtapas[],2,FALSE),"")</f>
        <v/>
      </c>
      <c r="F2045" t="str">
        <f>IFERROR(VLOOKUP(tbEscolas[[#This Row],[COD ETPA]],tbEtapas[],3,FALSE),"")</f>
        <v/>
      </c>
    </row>
    <row r="2046" spans="1:6" x14ac:dyDescent="0.25">
      <c r="A2046" s="24" t="str">
        <f>_xlfn.XLOOKUP(tbEscolas[[#This Row],[ESCOLA]],tbNucleo[ESCOLA],tbNucleo[COD ESCOLA],"")</f>
        <v/>
      </c>
      <c r="B2046" t="str" cm="1">
        <f t="array" ref="B2046">IFERROR(INDEX(tbNucleo[ESCOLA],ROUNDUP(ROW(B2045)/TotalEtapas,0)),"")</f>
        <v/>
      </c>
      <c r="E2046" t="str">
        <f>IFERROR(VLOOKUP(tbEscolas[[#This Row],[COD ETPA]],tbEtapas[],2,FALSE),"")</f>
        <v/>
      </c>
      <c r="F2046" t="str">
        <f>IFERROR(VLOOKUP(tbEscolas[[#This Row],[COD ETPA]],tbEtapas[],3,FALSE),"")</f>
        <v/>
      </c>
    </row>
    <row r="2047" spans="1:6" x14ac:dyDescent="0.25">
      <c r="A2047" s="24" t="str">
        <f>_xlfn.XLOOKUP(tbEscolas[[#This Row],[ESCOLA]],tbNucleo[ESCOLA],tbNucleo[COD ESCOLA],"")</f>
        <v/>
      </c>
      <c r="B2047" t="str" cm="1">
        <f t="array" ref="B2047">IFERROR(INDEX(tbNucleo[ESCOLA],ROUNDUP(ROW(B2046)/TotalEtapas,0)),"")</f>
        <v/>
      </c>
      <c r="E2047" t="str">
        <f>IFERROR(VLOOKUP(tbEscolas[[#This Row],[COD ETPA]],tbEtapas[],2,FALSE),"")</f>
        <v/>
      </c>
      <c r="F2047" t="str">
        <f>IFERROR(VLOOKUP(tbEscolas[[#This Row],[COD ETPA]],tbEtapas[],3,FALSE),"")</f>
        <v/>
      </c>
    </row>
    <row r="2048" spans="1:6" x14ac:dyDescent="0.25">
      <c r="A2048" s="24" t="str">
        <f>_xlfn.XLOOKUP(tbEscolas[[#This Row],[ESCOLA]],tbNucleo[ESCOLA],tbNucleo[COD ESCOLA],"")</f>
        <v/>
      </c>
      <c r="B2048" t="str" cm="1">
        <f t="array" ref="B2048">IFERROR(INDEX(tbNucleo[ESCOLA],ROUNDUP(ROW(B2047)/TotalEtapas,0)),"")</f>
        <v/>
      </c>
      <c r="E2048" t="str">
        <f>IFERROR(VLOOKUP(tbEscolas[[#This Row],[COD ETPA]],tbEtapas[],2,FALSE),"")</f>
        <v/>
      </c>
      <c r="F2048" t="str">
        <f>IFERROR(VLOOKUP(tbEscolas[[#This Row],[COD ETPA]],tbEtapas[],3,FALSE),"")</f>
        <v/>
      </c>
    </row>
    <row r="2049" spans="1:6" x14ac:dyDescent="0.25">
      <c r="A2049" s="24" t="str">
        <f>_xlfn.XLOOKUP(tbEscolas[[#This Row],[ESCOLA]],tbNucleo[ESCOLA],tbNucleo[COD ESCOLA],"")</f>
        <v/>
      </c>
      <c r="B2049" t="str" cm="1">
        <f t="array" ref="B2049">IFERROR(INDEX(tbNucleo[ESCOLA],ROUNDUP(ROW(B2048)/TotalEtapas,0)),"")</f>
        <v/>
      </c>
      <c r="E2049" t="str">
        <f>IFERROR(VLOOKUP(tbEscolas[[#This Row],[COD ETPA]],tbEtapas[],2,FALSE),"")</f>
        <v/>
      </c>
      <c r="F2049" t="str">
        <f>IFERROR(VLOOKUP(tbEscolas[[#This Row],[COD ETPA]],tbEtapas[],3,FALSE),"")</f>
        <v/>
      </c>
    </row>
    <row r="2050" spans="1:6" x14ac:dyDescent="0.25">
      <c r="A2050" s="24" t="str">
        <f>_xlfn.XLOOKUP(tbEscolas[[#This Row],[ESCOLA]],tbNucleo[ESCOLA],tbNucleo[COD ESCOLA],"")</f>
        <v/>
      </c>
      <c r="B2050" t="str" cm="1">
        <f t="array" ref="B2050">IFERROR(INDEX(tbNucleo[ESCOLA],ROUNDUP(ROW(B2049)/TotalEtapas,0)),"")</f>
        <v/>
      </c>
      <c r="E2050" t="str">
        <f>IFERROR(VLOOKUP(tbEscolas[[#This Row],[COD ETPA]],tbEtapas[],2,FALSE),"")</f>
        <v/>
      </c>
      <c r="F2050" t="str">
        <f>IFERROR(VLOOKUP(tbEscolas[[#This Row],[COD ETPA]],tbEtapas[],3,FALSE),"")</f>
        <v/>
      </c>
    </row>
    <row r="2051" spans="1:6" x14ac:dyDescent="0.25">
      <c r="A2051" s="24" t="str">
        <f>_xlfn.XLOOKUP(tbEscolas[[#This Row],[ESCOLA]],tbNucleo[ESCOLA],tbNucleo[COD ESCOLA],"")</f>
        <v/>
      </c>
      <c r="B2051" t="str" cm="1">
        <f t="array" ref="B2051">IFERROR(INDEX(tbNucleo[ESCOLA],ROUNDUP(ROW(B2050)/TotalEtapas,0)),"")</f>
        <v/>
      </c>
      <c r="E2051" t="str">
        <f>IFERROR(VLOOKUP(tbEscolas[[#This Row],[COD ETPA]],tbEtapas[],2,FALSE),"")</f>
        <v/>
      </c>
      <c r="F2051" t="str">
        <f>IFERROR(VLOOKUP(tbEscolas[[#This Row],[COD ETPA]],tbEtapas[],3,FALSE),"")</f>
        <v/>
      </c>
    </row>
    <row r="2052" spans="1:6" x14ac:dyDescent="0.25">
      <c r="A2052" s="24" t="str">
        <f>_xlfn.XLOOKUP(tbEscolas[[#This Row],[ESCOLA]],tbNucleo[ESCOLA],tbNucleo[COD ESCOLA],"")</f>
        <v/>
      </c>
      <c r="B2052" t="str" cm="1">
        <f t="array" ref="B2052">IFERROR(INDEX(tbNucleo[ESCOLA],ROUNDUP(ROW(B2051)/TotalEtapas,0)),"")</f>
        <v/>
      </c>
      <c r="E2052" t="str">
        <f>IFERROR(VLOOKUP(tbEscolas[[#This Row],[COD ETPA]],tbEtapas[],2,FALSE),"")</f>
        <v/>
      </c>
      <c r="F2052" t="str">
        <f>IFERROR(VLOOKUP(tbEscolas[[#This Row],[COD ETPA]],tbEtapas[],3,FALSE),"")</f>
        <v/>
      </c>
    </row>
    <row r="2053" spans="1:6" x14ac:dyDescent="0.25">
      <c r="A2053" s="24" t="str">
        <f>_xlfn.XLOOKUP(tbEscolas[[#This Row],[ESCOLA]],tbNucleo[ESCOLA],tbNucleo[COD ESCOLA],"")</f>
        <v/>
      </c>
      <c r="B2053" t="str" cm="1">
        <f t="array" ref="B2053">IFERROR(INDEX(tbNucleo[ESCOLA],ROUNDUP(ROW(B2052)/TotalEtapas,0)),"")</f>
        <v/>
      </c>
      <c r="E2053" t="str">
        <f>IFERROR(VLOOKUP(tbEscolas[[#This Row],[COD ETPA]],tbEtapas[],2,FALSE),"")</f>
        <v/>
      </c>
      <c r="F2053" t="str">
        <f>IFERROR(VLOOKUP(tbEscolas[[#This Row],[COD ETPA]],tbEtapas[],3,FALSE),"")</f>
        <v/>
      </c>
    </row>
    <row r="2054" spans="1:6" x14ac:dyDescent="0.25">
      <c r="A2054" s="24" t="str">
        <f>_xlfn.XLOOKUP(tbEscolas[[#This Row],[ESCOLA]],tbNucleo[ESCOLA],tbNucleo[COD ESCOLA],"")</f>
        <v/>
      </c>
      <c r="B2054" t="str" cm="1">
        <f t="array" ref="B2054">IFERROR(INDEX(tbNucleo[ESCOLA],ROUNDUP(ROW(B2053)/TotalEtapas,0)),"")</f>
        <v/>
      </c>
      <c r="E2054" t="str">
        <f>IFERROR(VLOOKUP(tbEscolas[[#This Row],[COD ETPA]],tbEtapas[],2,FALSE),"")</f>
        <v/>
      </c>
      <c r="F2054" t="str">
        <f>IFERROR(VLOOKUP(tbEscolas[[#This Row],[COD ETPA]],tbEtapas[],3,FALSE),"")</f>
        <v/>
      </c>
    </row>
    <row r="2055" spans="1:6" x14ac:dyDescent="0.25">
      <c r="A2055" s="24" t="str">
        <f>_xlfn.XLOOKUP(tbEscolas[[#This Row],[ESCOLA]],tbNucleo[ESCOLA],tbNucleo[COD ESCOLA],"")</f>
        <v/>
      </c>
      <c r="B2055" t="str" cm="1">
        <f t="array" ref="B2055">IFERROR(INDEX(tbNucleo[ESCOLA],ROUNDUP(ROW(B2054)/TotalEtapas,0)),"")</f>
        <v/>
      </c>
      <c r="E2055" t="str">
        <f>IFERROR(VLOOKUP(tbEscolas[[#This Row],[COD ETPA]],tbEtapas[],2,FALSE),"")</f>
        <v/>
      </c>
      <c r="F2055" t="str">
        <f>IFERROR(VLOOKUP(tbEscolas[[#This Row],[COD ETPA]],tbEtapas[],3,FALSE),"")</f>
        <v/>
      </c>
    </row>
    <row r="2056" spans="1:6" x14ac:dyDescent="0.25">
      <c r="A2056" s="24" t="str">
        <f>_xlfn.XLOOKUP(tbEscolas[[#This Row],[ESCOLA]],tbNucleo[ESCOLA],tbNucleo[COD ESCOLA],"")</f>
        <v/>
      </c>
      <c r="B2056" t="str" cm="1">
        <f t="array" ref="B2056">IFERROR(INDEX(tbNucleo[ESCOLA],ROUNDUP(ROW(B2055)/TotalEtapas,0)),"")</f>
        <v/>
      </c>
      <c r="E2056" t="str">
        <f>IFERROR(VLOOKUP(tbEscolas[[#This Row],[COD ETPA]],tbEtapas[],2,FALSE),"")</f>
        <v/>
      </c>
      <c r="F2056" t="str">
        <f>IFERROR(VLOOKUP(tbEscolas[[#This Row],[COD ETPA]],tbEtapas[],3,FALSE),"")</f>
        <v/>
      </c>
    </row>
    <row r="2057" spans="1:6" x14ac:dyDescent="0.25">
      <c r="A2057" s="24" t="str">
        <f>_xlfn.XLOOKUP(tbEscolas[[#This Row],[ESCOLA]],tbNucleo[ESCOLA],tbNucleo[COD ESCOLA],"")</f>
        <v/>
      </c>
      <c r="B2057" t="str" cm="1">
        <f t="array" ref="B2057">IFERROR(INDEX(tbNucleo[ESCOLA],ROUNDUP(ROW(B2056)/TotalEtapas,0)),"")</f>
        <v/>
      </c>
      <c r="E2057" t="str">
        <f>IFERROR(VLOOKUP(tbEscolas[[#This Row],[COD ETPA]],tbEtapas[],2,FALSE),"")</f>
        <v/>
      </c>
      <c r="F2057" t="str">
        <f>IFERROR(VLOOKUP(tbEscolas[[#This Row],[COD ETPA]],tbEtapas[],3,FALSE),"")</f>
        <v/>
      </c>
    </row>
    <row r="2058" spans="1:6" x14ac:dyDescent="0.25">
      <c r="A2058" s="24" t="str">
        <f>_xlfn.XLOOKUP(tbEscolas[[#This Row],[ESCOLA]],tbNucleo[ESCOLA],tbNucleo[COD ESCOLA],"")</f>
        <v/>
      </c>
      <c r="B2058" t="str" cm="1">
        <f t="array" ref="B2058">IFERROR(INDEX(tbNucleo[ESCOLA],ROUNDUP(ROW(B2057)/TotalEtapas,0)),"")</f>
        <v/>
      </c>
      <c r="E2058" t="str">
        <f>IFERROR(VLOOKUP(tbEscolas[[#This Row],[COD ETPA]],tbEtapas[],2,FALSE),"")</f>
        <v/>
      </c>
      <c r="F2058" t="str">
        <f>IFERROR(VLOOKUP(tbEscolas[[#This Row],[COD ETPA]],tbEtapas[],3,FALSE),"")</f>
        <v/>
      </c>
    </row>
    <row r="2059" spans="1:6" x14ac:dyDescent="0.25">
      <c r="A2059" s="24" t="str">
        <f>_xlfn.XLOOKUP(tbEscolas[[#This Row],[ESCOLA]],tbNucleo[ESCOLA],tbNucleo[COD ESCOLA],"")</f>
        <v/>
      </c>
      <c r="B2059" t="str" cm="1">
        <f t="array" ref="B2059">IFERROR(INDEX(tbNucleo[ESCOLA],ROUNDUP(ROW(B2058)/TotalEtapas,0)),"")</f>
        <v/>
      </c>
      <c r="E2059" t="str">
        <f>IFERROR(VLOOKUP(tbEscolas[[#This Row],[COD ETPA]],tbEtapas[],2,FALSE),"")</f>
        <v/>
      </c>
      <c r="F2059" t="str">
        <f>IFERROR(VLOOKUP(tbEscolas[[#This Row],[COD ETPA]],tbEtapas[],3,FALSE),"")</f>
        <v/>
      </c>
    </row>
    <row r="2060" spans="1:6" x14ac:dyDescent="0.25">
      <c r="A2060" s="24" t="str">
        <f>_xlfn.XLOOKUP(tbEscolas[[#This Row],[ESCOLA]],tbNucleo[ESCOLA],tbNucleo[COD ESCOLA],"")</f>
        <v/>
      </c>
      <c r="B2060" t="str" cm="1">
        <f t="array" ref="B2060">IFERROR(INDEX(tbNucleo[ESCOLA],ROUNDUP(ROW(B2059)/TotalEtapas,0)),"")</f>
        <v/>
      </c>
      <c r="E2060" t="str">
        <f>IFERROR(VLOOKUP(tbEscolas[[#This Row],[COD ETPA]],tbEtapas[],2,FALSE),"")</f>
        <v/>
      </c>
      <c r="F2060" t="str">
        <f>IFERROR(VLOOKUP(tbEscolas[[#This Row],[COD ETPA]],tbEtapas[],3,FALSE),"")</f>
        <v/>
      </c>
    </row>
    <row r="2061" spans="1:6" x14ac:dyDescent="0.25">
      <c r="A2061" s="24" t="str">
        <f>_xlfn.XLOOKUP(tbEscolas[[#This Row],[ESCOLA]],tbNucleo[ESCOLA],tbNucleo[COD ESCOLA],"")</f>
        <v/>
      </c>
      <c r="B2061" t="str" cm="1">
        <f t="array" ref="B2061">IFERROR(INDEX(tbNucleo[ESCOLA],ROUNDUP(ROW(B2060)/TotalEtapas,0)),"")</f>
        <v/>
      </c>
      <c r="E2061" t="str">
        <f>IFERROR(VLOOKUP(tbEscolas[[#This Row],[COD ETPA]],tbEtapas[],2,FALSE),"")</f>
        <v/>
      </c>
      <c r="F2061" t="str">
        <f>IFERROR(VLOOKUP(tbEscolas[[#This Row],[COD ETPA]],tbEtapas[],3,FALSE),"")</f>
        <v/>
      </c>
    </row>
    <row r="2062" spans="1:6" x14ac:dyDescent="0.25">
      <c r="A2062" s="24" t="str">
        <f>_xlfn.XLOOKUP(tbEscolas[[#This Row],[ESCOLA]],tbNucleo[ESCOLA],tbNucleo[COD ESCOLA],"")</f>
        <v/>
      </c>
      <c r="B2062" t="str" cm="1">
        <f t="array" ref="B2062">IFERROR(INDEX(tbNucleo[ESCOLA],ROUNDUP(ROW(B2061)/TotalEtapas,0)),"")</f>
        <v/>
      </c>
      <c r="E2062" t="str">
        <f>IFERROR(VLOOKUP(tbEscolas[[#This Row],[COD ETPA]],tbEtapas[],2,FALSE),"")</f>
        <v/>
      </c>
      <c r="F2062" t="str">
        <f>IFERROR(VLOOKUP(tbEscolas[[#This Row],[COD ETPA]],tbEtapas[],3,FALSE),"")</f>
        <v/>
      </c>
    </row>
    <row r="2063" spans="1:6" x14ac:dyDescent="0.25">
      <c r="A2063" s="24" t="str">
        <f>_xlfn.XLOOKUP(tbEscolas[[#This Row],[ESCOLA]],tbNucleo[ESCOLA],tbNucleo[COD ESCOLA],"")</f>
        <v/>
      </c>
      <c r="B2063" t="str" cm="1">
        <f t="array" ref="B2063">IFERROR(INDEX(tbNucleo[ESCOLA],ROUNDUP(ROW(B2062)/TotalEtapas,0)),"")</f>
        <v/>
      </c>
      <c r="E2063" t="str">
        <f>IFERROR(VLOOKUP(tbEscolas[[#This Row],[COD ETPA]],tbEtapas[],2,FALSE),"")</f>
        <v/>
      </c>
      <c r="F2063" t="str">
        <f>IFERROR(VLOOKUP(tbEscolas[[#This Row],[COD ETPA]],tbEtapas[],3,FALSE),"")</f>
        <v/>
      </c>
    </row>
    <row r="2064" spans="1:6" x14ac:dyDescent="0.25">
      <c r="A2064" s="24" t="str">
        <f>_xlfn.XLOOKUP(tbEscolas[[#This Row],[ESCOLA]],tbNucleo[ESCOLA],tbNucleo[COD ESCOLA],"")</f>
        <v/>
      </c>
      <c r="B2064" t="str" cm="1">
        <f t="array" ref="B2064">IFERROR(INDEX(tbNucleo[ESCOLA],ROUNDUP(ROW(B2063)/TotalEtapas,0)),"")</f>
        <v/>
      </c>
      <c r="E2064" t="str">
        <f>IFERROR(VLOOKUP(tbEscolas[[#This Row],[COD ETPA]],tbEtapas[],2,FALSE),"")</f>
        <v/>
      </c>
      <c r="F2064" t="str">
        <f>IFERROR(VLOOKUP(tbEscolas[[#This Row],[COD ETPA]],tbEtapas[],3,FALSE),"")</f>
        <v/>
      </c>
    </row>
    <row r="2065" spans="1:6" x14ac:dyDescent="0.25">
      <c r="A2065" s="24" t="str">
        <f>_xlfn.XLOOKUP(tbEscolas[[#This Row],[ESCOLA]],tbNucleo[ESCOLA],tbNucleo[COD ESCOLA],"")</f>
        <v/>
      </c>
      <c r="B2065" t="str" cm="1">
        <f t="array" ref="B2065">IFERROR(INDEX(tbNucleo[ESCOLA],ROUNDUP(ROW(B2064)/TotalEtapas,0)),"")</f>
        <v/>
      </c>
      <c r="E2065" t="str">
        <f>IFERROR(VLOOKUP(tbEscolas[[#This Row],[COD ETPA]],tbEtapas[],2,FALSE),"")</f>
        <v/>
      </c>
      <c r="F2065" t="str">
        <f>IFERROR(VLOOKUP(tbEscolas[[#This Row],[COD ETPA]],tbEtapas[],3,FALSE),"")</f>
        <v/>
      </c>
    </row>
    <row r="2066" spans="1:6" x14ac:dyDescent="0.25">
      <c r="A2066" s="24" t="str">
        <f>_xlfn.XLOOKUP(tbEscolas[[#This Row],[ESCOLA]],tbNucleo[ESCOLA],tbNucleo[COD ESCOLA],"")</f>
        <v/>
      </c>
      <c r="B2066" t="str" cm="1">
        <f t="array" ref="B2066">IFERROR(INDEX(tbNucleo[ESCOLA],ROUNDUP(ROW(B2065)/TotalEtapas,0)),"")</f>
        <v/>
      </c>
      <c r="E2066" t="str">
        <f>IFERROR(VLOOKUP(tbEscolas[[#This Row],[COD ETPA]],tbEtapas[],2,FALSE),"")</f>
        <v/>
      </c>
      <c r="F2066" t="str">
        <f>IFERROR(VLOOKUP(tbEscolas[[#This Row],[COD ETPA]],tbEtapas[],3,FALSE),"")</f>
        <v/>
      </c>
    </row>
    <row r="2067" spans="1:6" x14ac:dyDescent="0.25">
      <c r="A2067" s="24" t="str">
        <f>_xlfn.XLOOKUP(tbEscolas[[#This Row],[ESCOLA]],tbNucleo[ESCOLA],tbNucleo[COD ESCOLA],"")</f>
        <v/>
      </c>
      <c r="B2067" t="str" cm="1">
        <f t="array" ref="B2067">IFERROR(INDEX(tbNucleo[ESCOLA],ROUNDUP(ROW(B2066)/TotalEtapas,0)),"")</f>
        <v/>
      </c>
      <c r="E2067" t="str">
        <f>IFERROR(VLOOKUP(tbEscolas[[#This Row],[COD ETPA]],tbEtapas[],2,FALSE),"")</f>
        <v/>
      </c>
      <c r="F2067" t="str">
        <f>IFERROR(VLOOKUP(tbEscolas[[#This Row],[COD ETPA]],tbEtapas[],3,FALSE),"")</f>
        <v/>
      </c>
    </row>
    <row r="2068" spans="1:6" x14ac:dyDescent="0.25">
      <c r="A2068" s="24" t="str">
        <f>_xlfn.XLOOKUP(tbEscolas[[#This Row],[ESCOLA]],tbNucleo[ESCOLA],tbNucleo[COD ESCOLA],"")</f>
        <v/>
      </c>
      <c r="B2068" t="str" cm="1">
        <f t="array" ref="B2068">IFERROR(INDEX(tbNucleo[ESCOLA],ROUNDUP(ROW(B2067)/TotalEtapas,0)),"")</f>
        <v/>
      </c>
      <c r="E2068" t="str">
        <f>IFERROR(VLOOKUP(tbEscolas[[#This Row],[COD ETPA]],tbEtapas[],2,FALSE),"")</f>
        <v/>
      </c>
      <c r="F2068" t="str">
        <f>IFERROR(VLOOKUP(tbEscolas[[#This Row],[COD ETPA]],tbEtapas[],3,FALSE),"")</f>
        <v/>
      </c>
    </row>
    <row r="2069" spans="1:6" x14ac:dyDescent="0.25">
      <c r="A2069" s="24" t="str">
        <f>_xlfn.XLOOKUP(tbEscolas[[#This Row],[ESCOLA]],tbNucleo[ESCOLA],tbNucleo[COD ESCOLA],"")</f>
        <v/>
      </c>
      <c r="B2069" t="str" cm="1">
        <f t="array" ref="B2069">IFERROR(INDEX(tbNucleo[ESCOLA],ROUNDUP(ROW(B2068)/TotalEtapas,0)),"")</f>
        <v/>
      </c>
      <c r="E2069" t="str">
        <f>IFERROR(VLOOKUP(tbEscolas[[#This Row],[COD ETPA]],tbEtapas[],2,FALSE),"")</f>
        <v/>
      </c>
      <c r="F2069" t="str">
        <f>IFERROR(VLOOKUP(tbEscolas[[#This Row],[COD ETPA]],tbEtapas[],3,FALSE),"")</f>
        <v/>
      </c>
    </row>
    <row r="2070" spans="1:6" x14ac:dyDescent="0.25">
      <c r="A2070" s="24" t="str">
        <f>_xlfn.XLOOKUP(tbEscolas[[#This Row],[ESCOLA]],tbNucleo[ESCOLA],tbNucleo[COD ESCOLA],"")</f>
        <v/>
      </c>
      <c r="B2070" t="str" cm="1">
        <f t="array" ref="B2070">IFERROR(INDEX(tbNucleo[ESCOLA],ROUNDUP(ROW(B2069)/TotalEtapas,0)),"")</f>
        <v/>
      </c>
      <c r="E2070" t="str">
        <f>IFERROR(VLOOKUP(tbEscolas[[#This Row],[COD ETPA]],tbEtapas[],2,FALSE),"")</f>
        <v/>
      </c>
      <c r="F2070" t="str">
        <f>IFERROR(VLOOKUP(tbEscolas[[#This Row],[COD ETPA]],tbEtapas[],3,FALSE),"")</f>
        <v/>
      </c>
    </row>
    <row r="2071" spans="1:6" x14ac:dyDescent="0.25">
      <c r="A2071" s="24" t="str">
        <f>_xlfn.XLOOKUP(tbEscolas[[#This Row],[ESCOLA]],tbNucleo[ESCOLA],tbNucleo[COD ESCOLA],"")</f>
        <v/>
      </c>
      <c r="B2071" t="str" cm="1">
        <f t="array" ref="B2071">IFERROR(INDEX(tbNucleo[ESCOLA],ROUNDUP(ROW(B2070)/TotalEtapas,0)),"")</f>
        <v/>
      </c>
      <c r="E2071" t="str">
        <f>IFERROR(VLOOKUP(tbEscolas[[#This Row],[COD ETPA]],tbEtapas[],2,FALSE),"")</f>
        <v/>
      </c>
      <c r="F2071" t="str">
        <f>IFERROR(VLOOKUP(tbEscolas[[#This Row],[COD ETPA]],tbEtapas[],3,FALSE),"")</f>
        <v/>
      </c>
    </row>
    <row r="2072" spans="1:6" x14ac:dyDescent="0.25">
      <c r="A2072" s="24" t="str">
        <f>_xlfn.XLOOKUP(tbEscolas[[#This Row],[ESCOLA]],tbNucleo[ESCOLA],tbNucleo[COD ESCOLA],"")</f>
        <v/>
      </c>
      <c r="B2072" t="str" cm="1">
        <f t="array" ref="B2072">IFERROR(INDEX(tbNucleo[ESCOLA],ROUNDUP(ROW(B2071)/TotalEtapas,0)),"")</f>
        <v/>
      </c>
      <c r="E2072" t="str">
        <f>IFERROR(VLOOKUP(tbEscolas[[#This Row],[COD ETPA]],tbEtapas[],2,FALSE),"")</f>
        <v/>
      </c>
      <c r="F2072" t="str">
        <f>IFERROR(VLOOKUP(tbEscolas[[#This Row],[COD ETPA]],tbEtapas[],3,FALSE),"")</f>
        <v/>
      </c>
    </row>
    <row r="2073" spans="1:6" x14ac:dyDescent="0.25">
      <c r="A2073" s="24" t="str">
        <f>_xlfn.XLOOKUP(tbEscolas[[#This Row],[ESCOLA]],tbNucleo[ESCOLA],tbNucleo[COD ESCOLA],"")</f>
        <v/>
      </c>
      <c r="B2073" t="str" cm="1">
        <f t="array" ref="B2073">IFERROR(INDEX(tbNucleo[ESCOLA],ROUNDUP(ROW(B2072)/TotalEtapas,0)),"")</f>
        <v/>
      </c>
      <c r="E2073" t="str">
        <f>IFERROR(VLOOKUP(tbEscolas[[#This Row],[COD ETPA]],tbEtapas[],2,FALSE),"")</f>
        <v/>
      </c>
      <c r="F2073" t="str">
        <f>IFERROR(VLOOKUP(tbEscolas[[#This Row],[COD ETPA]],tbEtapas[],3,FALSE),"")</f>
        <v/>
      </c>
    </row>
    <row r="2074" spans="1:6" x14ac:dyDescent="0.25">
      <c r="A2074" s="24" t="str">
        <f>_xlfn.XLOOKUP(tbEscolas[[#This Row],[ESCOLA]],tbNucleo[ESCOLA],tbNucleo[COD ESCOLA],"")</f>
        <v/>
      </c>
      <c r="B2074" t="str" cm="1">
        <f t="array" ref="B2074">IFERROR(INDEX(tbNucleo[ESCOLA],ROUNDUP(ROW(B2073)/TotalEtapas,0)),"")</f>
        <v/>
      </c>
      <c r="E2074" t="str">
        <f>IFERROR(VLOOKUP(tbEscolas[[#This Row],[COD ETPA]],tbEtapas[],2,FALSE),"")</f>
        <v/>
      </c>
      <c r="F2074" t="str">
        <f>IFERROR(VLOOKUP(tbEscolas[[#This Row],[COD ETPA]],tbEtapas[],3,FALSE),"")</f>
        <v/>
      </c>
    </row>
    <row r="2075" spans="1:6" x14ac:dyDescent="0.25">
      <c r="A2075" s="24" t="str">
        <f>_xlfn.XLOOKUP(tbEscolas[[#This Row],[ESCOLA]],tbNucleo[ESCOLA],tbNucleo[COD ESCOLA],"")</f>
        <v/>
      </c>
      <c r="B2075" t="str" cm="1">
        <f t="array" ref="B2075">IFERROR(INDEX(tbNucleo[ESCOLA],ROUNDUP(ROW(B2074)/TotalEtapas,0)),"")</f>
        <v/>
      </c>
      <c r="E2075" t="str">
        <f>IFERROR(VLOOKUP(tbEscolas[[#This Row],[COD ETPA]],tbEtapas[],2,FALSE),"")</f>
        <v/>
      </c>
      <c r="F2075" t="str">
        <f>IFERROR(VLOOKUP(tbEscolas[[#This Row],[COD ETPA]],tbEtapas[],3,FALSE),"")</f>
        <v/>
      </c>
    </row>
    <row r="2076" spans="1:6" x14ac:dyDescent="0.25">
      <c r="A2076" s="24" t="str">
        <f>_xlfn.XLOOKUP(tbEscolas[[#This Row],[ESCOLA]],tbNucleo[ESCOLA],tbNucleo[COD ESCOLA],"")</f>
        <v/>
      </c>
      <c r="B2076" t="str" cm="1">
        <f t="array" ref="B2076">IFERROR(INDEX(tbNucleo[ESCOLA],ROUNDUP(ROW(B2075)/TotalEtapas,0)),"")</f>
        <v/>
      </c>
      <c r="E2076" t="str">
        <f>IFERROR(VLOOKUP(tbEscolas[[#This Row],[COD ETPA]],tbEtapas[],2,FALSE),"")</f>
        <v/>
      </c>
      <c r="F2076" t="str">
        <f>IFERROR(VLOOKUP(tbEscolas[[#This Row],[COD ETPA]],tbEtapas[],3,FALSE),"")</f>
        <v/>
      </c>
    </row>
    <row r="2077" spans="1:6" x14ac:dyDescent="0.25">
      <c r="A2077" s="24" t="str">
        <f>_xlfn.XLOOKUP(tbEscolas[[#This Row],[ESCOLA]],tbNucleo[ESCOLA],tbNucleo[COD ESCOLA],"")</f>
        <v/>
      </c>
      <c r="B2077" t="str" cm="1">
        <f t="array" ref="B2077">IFERROR(INDEX(tbNucleo[ESCOLA],ROUNDUP(ROW(B2076)/TotalEtapas,0)),"")</f>
        <v/>
      </c>
      <c r="E2077" t="str">
        <f>IFERROR(VLOOKUP(tbEscolas[[#This Row],[COD ETPA]],tbEtapas[],2,FALSE),"")</f>
        <v/>
      </c>
      <c r="F2077" t="str">
        <f>IFERROR(VLOOKUP(tbEscolas[[#This Row],[COD ETPA]],tbEtapas[],3,FALSE),"")</f>
        <v/>
      </c>
    </row>
    <row r="2078" spans="1:6" x14ac:dyDescent="0.25">
      <c r="A2078" s="24" t="str">
        <f>_xlfn.XLOOKUP(tbEscolas[[#This Row],[ESCOLA]],tbNucleo[ESCOLA],tbNucleo[COD ESCOLA],"")</f>
        <v/>
      </c>
      <c r="B2078" t="str" cm="1">
        <f t="array" ref="B2078">IFERROR(INDEX(tbNucleo[ESCOLA],ROUNDUP(ROW(B2077)/TotalEtapas,0)),"")</f>
        <v/>
      </c>
      <c r="E2078" t="str">
        <f>IFERROR(VLOOKUP(tbEscolas[[#This Row],[COD ETPA]],tbEtapas[],2,FALSE),"")</f>
        <v/>
      </c>
      <c r="F2078" t="str">
        <f>IFERROR(VLOOKUP(tbEscolas[[#This Row],[COD ETPA]],tbEtapas[],3,FALSE),"")</f>
        <v/>
      </c>
    </row>
    <row r="2079" spans="1:6" x14ac:dyDescent="0.25">
      <c r="A2079" s="24" t="str">
        <f>_xlfn.XLOOKUP(tbEscolas[[#This Row],[ESCOLA]],tbNucleo[ESCOLA],tbNucleo[COD ESCOLA],"")</f>
        <v/>
      </c>
      <c r="B2079" t="str" cm="1">
        <f t="array" ref="B2079">IFERROR(INDEX(tbNucleo[ESCOLA],ROUNDUP(ROW(B2078)/TotalEtapas,0)),"")</f>
        <v/>
      </c>
      <c r="E2079" t="str">
        <f>IFERROR(VLOOKUP(tbEscolas[[#This Row],[COD ETPA]],tbEtapas[],2,FALSE),"")</f>
        <v/>
      </c>
      <c r="F2079" t="str">
        <f>IFERROR(VLOOKUP(tbEscolas[[#This Row],[COD ETPA]],tbEtapas[],3,FALSE),"")</f>
        <v/>
      </c>
    </row>
    <row r="2080" spans="1:6" x14ac:dyDescent="0.25">
      <c r="A2080" s="24" t="str">
        <f>_xlfn.XLOOKUP(tbEscolas[[#This Row],[ESCOLA]],tbNucleo[ESCOLA],tbNucleo[COD ESCOLA],"")</f>
        <v/>
      </c>
      <c r="B2080" t="str" cm="1">
        <f t="array" ref="B2080">IFERROR(INDEX(tbNucleo[ESCOLA],ROUNDUP(ROW(B2079)/TotalEtapas,0)),"")</f>
        <v/>
      </c>
      <c r="E2080" t="str">
        <f>IFERROR(VLOOKUP(tbEscolas[[#This Row],[COD ETPA]],tbEtapas[],2,FALSE),"")</f>
        <v/>
      </c>
      <c r="F2080" t="str">
        <f>IFERROR(VLOOKUP(tbEscolas[[#This Row],[COD ETPA]],tbEtapas[],3,FALSE),"")</f>
        <v/>
      </c>
    </row>
    <row r="2081" spans="1:6" x14ac:dyDescent="0.25">
      <c r="A2081" s="24" t="str">
        <f>_xlfn.XLOOKUP(tbEscolas[[#This Row],[ESCOLA]],tbNucleo[ESCOLA],tbNucleo[COD ESCOLA],"")</f>
        <v/>
      </c>
      <c r="B2081" t="str" cm="1">
        <f t="array" ref="B2081">IFERROR(INDEX(tbNucleo[ESCOLA],ROUNDUP(ROW(B2080)/TotalEtapas,0)),"")</f>
        <v/>
      </c>
      <c r="E2081" t="str">
        <f>IFERROR(VLOOKUP(tbEscolas[[#This Row],[COD ETPA]],tbEtapas[],2,FALSE),"")</f>
        <v/>
      </c>
      <c r="F2081" t="str">
        <f>IFERROR(VLOOKUP(tbEscolas[[#This Row],[COD ETPA]],tbEtapas[],3,FALSE),"")</f>
        <v/>
      </c>
    </row>
    <row r="2082" spans="1:6" x14ac:dyDescent="0.25">
      <c r="A2082" s="24" t="str">
        <f>_xlfn.XLOOKUP(tbEscolas[[#This Row],[ESCOLA]],tbNucleo[ESCOLA],tbNucleo[COD ESCOLA],"")</f>
        <v/>
      </c>
      <c r="B2082" t="str" cm="1">
        <f t="array" ref="B2082">IFERROR(INDEX(tbNucleo[ESCOLA],ROUNDUP(ROW(B2081)/TotalEtapas,0)),"")</f>
        <v/>
      </c>
      <c r="E2082" t="str">
        <f>IFERROR(VLOOKUP(tbEscolas[[#This Row],[COD ETPA]],tbEtapas[],2,FALSE),"")</f>
        <v/>
      </c>
      <c r="F2082" t="str">
        <f>IFERROR(VLOOKUP(tbEscolas[[#This Row],[COD ETPA]],tbEtapas[],3,FALSE),"")</f>
        <v/>
      </c>
    </row>
    <row r="2083" spans="1:6" x14ac:dyDescent="0.25">
      <c r="A2083" s="24" t="str">
        <f>_xlfn.XLOOKUP(tbEscolas[[#This Row],[ESCOLA]],tbNucleo[ESCOLA],tbNucleo[COD ESCOLA],"")</f>
        <v/>
      </c>
      <c r="B2083" t="str" cm="1">
        <f t="array" ref="B2083">IFERROR(INDEX(tbNucleo[ESCOLA],ROUNDUP(ROW(B2082)/TotalEtapas,0)),"")</f>
        <v/>
      </c>
      <c r="E2083" t="str">
        <f>IFERROR(VLOOKUP(tbEscolas[[#This Row],[COD ETPA]],tbEtapas[],2,FALSE),"")</f>
        <v/>
      </c>
      <c r="F2083" t="str">
        <f>IFERROR(VLOOKUP(tbEscolas[[#This Row],[COD ETPA]],tbEtapas[],3,FALSE),"")</f>
        <v/>
      </c>
    </row>
    <row r="2084" spans="1:6" x14ac:dyDescent="0.25">
      <c r="A2084" s="24" t="str">
        <f>_xlfn.XLOOKUP(tbEscolas[[#This Row],[ESCOLA]],tbNucleo[ESCOLA],tbNucleo[COD ESCOLA],"")</f>
        <v/>
      </c>
      <c r="B2084" t="str" cm="1">
        <f t="array" ref="B2084">IFERROR(INDEX(tbNucleo[ESCOLA],ROUNDUP(ROW(B2083)/TotalEtapas,0)),"")</f>
        <v/>
      </c>
      <c r="E2084" t="str">
        <f>IFERROR(VLOOKUP(tbEscolas[[#This Row],[COD ETPA]],tbEtapas[],2,FALSE),"")</f>
        <v/>
      </c>
      <c r="F2084" t="str">
        <f>IFERROR(VLOOKUP(tbEscolas[[#This Row],[COD ETPA]],tbEtapas[],3,FALSE),"")</f>
        <v/>
      </c>
    </row>
    <row r="2085" spans="1:6" x14ac:dyDescent="0.25">
      <c r="A2085" s="24" t="str">
        <f>_xlfn.XLOOKUP(tbEscolas[[#This Row],[ESCOLA]],tbNucleo[ESCOLA],tbNucleo[COD ESCOLA],"")</f>
        <v/>
      </c>
      <c r="B2085" t="str" cm="1">
        <f t="array" ref="B2085">IFERROR(INDEX(tbNucleo[ESCOLA],ROUNDUP(ROW(B2084)/TotalEtapas,0)),"")</f>
        <v/>
      </c>
      <c r="E2085" t="str">
        <f>IFERROR(VLOOKUP(tbEscolas[[#This Row],[COD ETPA]],tbEtapas[],2,FALSE),"")</f>
        <v/>
      </c>
      <c r="F2085" t="str">
        <f>IFERROR(VLOOKUP(tbEscolas[[#This Row],[COD ETPA]],tbEtapas[],3,FALSE),"")</f>
        <v/>
      </c>
    </row>
    <row r="2086" spans="1:6" x14ac:dyDescent="0.25">
      <c r="A2086" s="24" t="str">
        <f>_xlfn.XLOOKUP(tbEscolas[[#This Row],[ESCOLA]],tbNucleo[ESCOLA],tbNucleo[COD ESCOLA],"")</f>
        <v/>
      </c>
      <c r="B2086" t="str" cm="1">
        <f t="array" ref="B2086">IFERROR(INDEX(tbNucleo[ESCOLA],ROUNDUP(ROW(B2085)/TotalEtapas,0)),"")</f>
        <v/>
      </c>
      <c r="E2086" t="str">
        <f>IFERROR(VLOOKUP(tbEscolas[[#This Row],[COD ETPA]],tbEtapas[],2,FALSE),"")</f>
        <v/>
      </c>
      <c r="F2086" t="str">
        <f>IFERROR(VLOOKUP(tbEscolas[[#This Row],[COD ETPA]],tbEtapas[],3,FALSE),"")</f>
        <v/>
      </c>
    </row>
    <row r="2087" spans="1:6" x14ac:dyDescent="0.25">
      <c r="A2087" s="24" t="str">
        <f>_xlfn.XLOOKUP(tbEscolas[[#This Row],[ESCOLA]],tbNucleo[ESCOLA],tbNucleo[COD ESCOLA],"")</f>
        <v/>
      </c>
      <c r="B2087" t="str" cm="1">
        <f t="array" ref="B2087">IFERROR(INDEX(tbNucleo[ESCOLA],ROUNDUP(ROW(B2086)/TotalEtapas,0)),"")</f>
        <v/>
      </c>
      <c r="E2087" t="str">
        <f>IFERROR(VLOOKUP(tbEscolas[[#This Row],[COD ETPA]],tbEtapas[],2,FALSE),"")</f>
        <v/>
      </c>
      <c r="F2087" t="str">
        <f>IFERROR(VLOOKUP(tbEscolas[[#This Row],[COD ETPA]],tbEtapas[],3,FALSE),"")</f>
        <v/>
      </c>
    </row>
    <row r="2088" spans="1:6" x14ac:dyDescent="0.25">
      <c r="A2088" s="24" t="str">
        <f>_xlfn.XLOOKUP(tbEscolas[[#This Row],[ESCOLA]],tbNucleo[ESCOLA],tbNucleo[COD ESCOLA],"")</f>
        <v/>
      </c>
      <c r="B2088" t="str" cm="1">
        <f t="array" ref="B2088">IFERROR(INDEX(tbNucleo[ESCOLA],ROUNDUP(ROW(B2087)/TotalEtapas,0)),"")</f>
        <v/>
      </c>
      <c r="E2088" t="str">
        <f>IFERROR(VLOOKUP(tbEscolas[[#This Row],[COD ETPA]],tbEtapas[],2,FALSE),"")</f>
        <v/>
      </c>
      <c r="F2088" t="str">
        <f>IFERROR(VLOOKUP(tbEscolas[[#This Row],[COD ETPA]],tbEtapas[],3,FALSE),"")</f>
        <v/>
      </c>
    </row>
    <row r="2089" spans="1:6" x14ac:dyDescent="0.25">
      <c r="A2089" s="24" t="str">
        <f>_xlfn.XLOOKUP(tbEscolas[[#This Row],[ESCOLA]],tbNucleo[ESCOLA],tbNucleo[COD ESCOLA],"")</f>
        <v/>
      </c>
      <c r="B2089" t="str" cm="1">
        <f t="array" ref="B2089">IFERROR(INDEX(tbNucleo[ESCOLA],ROUNDUP(ROW(B2088)/TotalEtapas,0)),"")</f>
        <v/>
      </c>
      <c r="E2089" t="str">
        <f>IFERROR(VLOOKUP(tbEscolas[[#This Row],[COD ETPA]],tbEtapas[],2,FALSE),"")</f>
        <v/>
      </c>
      <c r="F2089" t="str">
        <f>IFERROR(VLOOKUP(tbEscolas[[#This Row],[COD ETPA]],tbEtapas[],3,FALSE),"")</f>
        <v/>
      </c>
    </row>
    <row r="2090" spans="1:6" x14ac:dyDescent="0.25">
      <c r="A2090" s="24" t="str">
        <f>_xlfn.XLOOKUP(tbEscolas[[#This Row],[ESCOLA]],tbNucleo[ESCOLA],tbNucleo[COD ESCOLA],"")</f>
        <v/>
      </c>
      <c r="B2090" t="str" cm="1">
        <f t="array" ref="B2090">IFERROR(INDEX(tbNucleo[ESCOLA],ROUNDUP(ROW(B2089)/TotalEtapas,0)),"")</f>
        <v/>
      </c>
      <c r="E2090" t="str">
        <f>IFERROR(VLOOKUP(tbEscolas[[#This Row],[COD ETPA]],tbEtapas[],2,FALSE),"")</f>
        <v/>
      </c>
      <c r="F2090" t="str">
        <f>IFERROR(VLOOKUP(tbEscolas[[#This Row],[COD ETPA]],tbEtapas[],3,FALSE),"")</f>
        <v/>
      </c>
    </row>
    <row r="2091" spans="1:6" x14ac:dyDescent="0.25">
      <c r="A2091" s="24" t="str">
        <f>_xlfn.XLOOKUP(tbEscolas[[#This Row],[ESCOLA]],tbNucleo[ESCOLA],tbNucleo[COD ESCOLA],"")</f>
        <v/>
      </c>
      <c r="B2091" t="str" cm="1">
        <f t="array" ref="B2091">IFERROR(INDEX(tbNucleo[ESCOLA],ROUNDUP(ROW(B2090)/TotalEtapas,0)),"")</f>
        <v/>
      </c>
      <c r="E2091" t="str">
        <f>IFERROR(VLOOKUP(tbEscolas[[#This Row],[COD ETPA]],tbEtapas[],2,FALSE),"")</f>
        <v/>
      </c>
      <c r="F2091" t="str">
        <f>IFERROR(VLOOKUP(tbEscolas[[#This Row],[COD ETPA]],tbEtapas[],3,FALSE),"")</f>
        <v/>
      </c>
    </row>
    <row r="2092" spans="1:6" x14ac:dyDescent="0.25">
      <c r="A2092" s="24" t="str">
        <f>_xlfn.XLOOKUP(tbEscolas[[#This Row],[ESCOLA]],tbNucleo[ESCOLA],tbNucleo[COD ESCOLA],"")</f>
        <v/>
      </c>
      <c r="B2092" t="str" cm="1">
        <f t="array" ref="B2092">IFERROR(INDEX(tbNucleo[ESCOLA],ROUNDUP(ROW(B2091)/TotalEtapas,0)),"")</f>
        <v/>
      </c>
      <c r="E2092" t="str">
        <f>IFERROR(VLOOKUP(tbEscolas[[#This Row],[COD ETPA]],tbEtapas[],2,FALSE),"")</f>
        <v/>
      </c>
      <c r="F2092" t="str">
        <f>IFERROR(VLOOKUP(tbEscolas[[#This Row],[COD ETPA]],tbEtapas[],3,FALSE),"")</f>
        <v/>
      </c>
    </row>
    <row r="2093" spans="1:6" x14ac:dyDescent="0.25">
      <c r="A2093" s="24" t="str">
        <f>_xlfn.XLOOKUP(tbEscolas[[#This Row],[ESCOLA]],tbNucleo[ESCOLA],tbNucleo[COD ESCOLA],"")</f>
        <v/>
      </c>
      <c r="B2093" t="str" cm="1">
        <f t="array" ref="B2093">IFERROR(INDEX(tbNucleo[ESCOLA],ROUNDUP(ROW(B2092)/TotalEtapas,0)),"")</f>
        <v/>
      </c>
      <c r="E2093" t="str">
        <f>IFERROR(VLOOKUP(tbEscolas[[#This Row],[COD ETPA]],tbEtapas[],2,FALSE),"")</f>
        <v/>
      </c>
      <c r="F2093" t="str">
        <f>IFERROR(VLOOKUP(tbEscolas[[#This Row],[COD ETPA]],tbEtapas[],3,FALSE),"")</f>
        <v/>
      </c>
    </row>
    <row r="2094" spans="1:6" x14ac:dyDescent="0.25">
      <c r="A2094" s="24" t="str">
        <f>_xlfn.XLOOKUP(tbEscolas[[#This Row],[ESCOLA]],tbNucleo[ESCOLA],tbNucleo[COD ESCOLA],"")</f>
        <v/>
      </c>
      <c r="B2094" t="str" cm="1">
        <f t="array" ref="B2094">IFERROR(INDEX(tbNucleo[ESCOLA],ROUNDUP(ROW(B2093)/TotalEtapas,0)),"")</f>
        <v/>
      </c>
      <c r="E2094" t="str">
        <f>IFERROR(VLOOKUP(tbEscolas[[#This Row],[COD ETPA]],tbEtapas[],2,FALSE),"")</f>
        <v/>
      </c>
      <c r="F2094" t="str">
        <f>IFERROR(VLOOKUP(tbEscolas[[#This Row],[COD ETPA]],tbEtapas[],3,FALSE),"")</f>
        <v/>
      </c>
    </row>
    <row r="2095" spans="1:6" x14ac:dyDescent="0.25">
      <c r="A2095" s="24" t="str">
        <f>_xlfn.XLOOKUP(tbEscolas[[#This Row],[ESCOLA]],tbNucleo[ESCOLA],tbNucleo[COD ESCOLA],"")</f>
        <v/>
      </c>
      <c r="B2095" t="str" cm="1">
        <f t="array" ref="B2095">IFERROR(INDEX(tbNucleo[ESCOLA],ROUNDUP(ROW(B2094)/TotalEtapas,0)),"")</f>
        <v/>
      </c>
      <c r="E2095" t="str">
        <f>IFERROR(VLOOKUP(tbEscolas[[#This Row],[COD ETPA]],tbEtapas[],2,FALSE),"")</f>
        <v/>
      </c>
      <c r="F2095" t="str">
        <f>IFERROR(VLOOKUP(tbEscolas[[#This Row],[COD ETPA]],tbEtapas[],3,FALSE),"")</f>
        <v/>
      </c>
    </row>
    <row r="2096" spans="1:6" x14ac:dyDescent="0.25">
      <c r="A2096" s="24" t="str">
        <f>_xlfn.XLOOKUP(tbEscolas[[#This Row],[ESCOLA]],tbNucleo[ESCOLA],tbNucleo[COD ESCOLA],"")</f>
        <v/>
      </c>
      <c r="B2096" t="str" cm="1">
        <f t="array" ref="B2096">IFERROR(INDEX(tbNucleo[ESCOLA],ROUNDUP(ROW(B2095)/TotalEtapas,0)),"")</f>
        <v/>
      </c>
      <c r="E2096" t="str">
        <f>IFERROR(VLOOKUP(tbEscolas[[#This Row],[COD ETPA]],tbEtapas[],2,FALSE),"")</f>
        <v/>
      </c>
      <c r="F2096" t="str">
        <f>IFERROR(VLOOKUP(tbEscolas[[#This Row],[COD ETPA]],tbEtapas[],3,FALSE),"")</f>
        <v/>
      </c>
    </row>
    <row r="2097" spans="1:6" x14ac:dyDescent="0.25">
      <c r="A2097" s="24" t="str">
        <f>_xlfn.XLOOKUP(tbEscolas[[#This Row],[ESCOLA]],tbNucleo[ESCOLA],tbNucleo[COD ESCOLA],"")</f>
        <v/>
      </c>
      <c r="B2097" t="str" cm="1">
        <f t="array" ref="B2097">IFERROR(INDEX(tbNucleo[ESCOLA],ROUNDUP(ROW(B2096)/TotalEtapas,0)),"")</f>
        <v/>
      </c>
      <c r="E2097" t="str">
        <f>IFERROR(VLOOKUP(tbEscolas[[#This Row],[COD ETPA]],tbEtapas[],2,FALSE),"")</f>
        <v/>
      </c>
      <c r="F2097" t="str">
        <f>IFERROR(VLOOKUP(tbEscolas[[#This Row],[COD ETPA]],tbEtapas[],3,FALSE),"")</f>
        <v/>
      </c>
    </row>
    <row r="2098" spans="1:6" x14ac:dyDescent="0.25">
      <c r="A2098" s="24" t="str">
        <f>_xlfn.XLOOKUP(tbEscolas[[#This Row],[ESCOLA]],tbNucleo[ESCOLA],tbNucleo[COD ESCOLA],"")</f>
        <v/>
      </c>
      <c r="B2098" t="str" cm="1">
        <f t="array" ref="B2098">IFERROR(INDEX(tbNucleo[ESCOLA],ROUNDUP(ROW(B2097)/TotalEtapas,0)),"")</f>
        <v/>
      </c>
      <c r="E2098" t="str">
        <f>IFERROR(VLOOKUP(tbEscolas[[#This Row],[COD ETPA]],tbEtapas[],2,FALSE),"")</f>
        <v/>
      </c>
      <c r="F2098" t="str">
        <f>IFERROR(VLOOKUP(tbEscolas[[#This Row],[COD ETPA]],tbEtapas[],3,FALSE),"")</f>
        <v/>
      </c>
    </row>
    <row r="2099" spans="1:6" x14ac:dyDescent="0.25">
      <c r="A2099" s="24" t="str">
        <f>_xlfn.XLOOKUP(tbEscolas[[#This Row],[ESCOLA]],tbNucleo[ESCOLA],tbNucleo[COD ESCOLA],"")</f>
        <v/>
      </c>
      <c r="B2099" t="str" cm="1">
        <f t="array" ref="B2099">IFERROR(INDEX(tbNucleo[ESCOLA],ROUNDUP(ROW(B2098)/TotalEtapas,0)),"")</f>
        <v/>
      </c>
      <c r="E2099" t="str">
        <f>IFERROR(VLOOKUP(tbEscolas[[#This Row],[COD ETPA]],tbEtapas[],2,FALSE),"")</f>
        <v/>
      </c>
      <c r="F2099" t="str">
        <f>IFERROR(VLOOKUP(tbEscolas[[#This Row],[COD ETPA]],tbEtapas[],3,FALSE),"")</f>
        <v/>
      </c>
    </row>
    <row r="2100" spans="1:6" x14ac:dyDescent="0.25">
      <c r="A2100" s="24" t="str">
        <f>_xlfn.XLOOKUP(tbEscolas[[#This Row],[ESCOLA]],tbNucleo[ESCOLA],tbNucleo[COD ESCOLA],"")</f>
        <v/>
      </c>
      <c r="B2100" t="str" cm="1">
        <f t="array" ref="B2100">IFERROR(INDEX(tbNucleo[ESCOLA],ROUNDUP(ROW(B2099)/TotalEtapas,0)),"")</f>
        <v/>
      </c>
      <c r="E2100" t="str">
        <f>IFERROR(VLOOKUP(tbEscolas[[#This Row],[COD ETPA]],tbEtapas[],2,FALSE),"")</f>
        <v/>
      </c>
      <c r="F2100" t="str">
        <f>IFERROR(VLOOKUP(tbEscolas[[#This Row],[COD ETPA]],tbEtapas[],3,FALSE),"")</f>
        <v/>
      </c>
    </row>
    <row r="2101" spans="1:6" x14ac:dyDescent="0.25">
      <c r="A2101" s="24" t="str">
        <f>_xlfn.XLOOKUP(tbEscolas[[#This Row],[ESCOLA]],tbNucleo[ESCOLA],tbNucleo[COD ESCOLA],"")</f>
        <v/>
      </c>
      <c r="B2101" t="str" cm="1">
        <f t="array" ref="B2101">IFERROR(INDEX(tbNucleo[ESCOLA],ROUNDUP(ROW(B2100)/TotalEtapas,0)),"")</f>
        <v/>
      </c>
      <c r="E2101" t="str">
        <f>IFERROR(VLOOKUP(tbEscolas[[#This Row],[COD ETPA]],tbEtapas[],2,FALSE),"")</f>
        <v/>
      </c>
      <c r="F2101" t="str">
        <f>IFERROR(VLOOKUP(tbEscolas[[#This Row],[COD ETPA]],tbEtapas[],3,FALSE),"")</f>
        <v/>
      </c>
    </row>
    <row r="2102" spans="1:6" x14ac:dyDescent="0.25">
      <c r="A2102" s="24" t="str">
        <f>_xlfn.XLOOKUP(tbEscolas[[#This Row],[ESCOLA]],tbNucleo[ESCOLA],tbNucleo[COD ESCOLA],"")</f>
        <v/>
      </c>
      <c r="B2102" t="str" cm="1">
        <f t="array" ref="B2102">IFERROR(INDEX(tbNucleo[ESCOLA],ROUNDUP(ROW(B2101)/TotalEtapas,0)),"")</f>
        <v/>
      </c>
      <c r="E2102" t="str">
        <f>IFERROR(VLOOKUP(tbEscolas[[#This Row],[COD ETPA]],tbEtapas[],2,FALSE),"")</f>
        <v/>
      </c>
      <c r="F2102" t="str">
        <f>IFERROR(VLOOKUP(tbEscolas[[#This Row],[COD ETPA]],tbEtapas[],3,FALSE),"")</f>
        <v/>
      </c>
    </row>
    <row r="2103" spans="1:6" x14ac:dyDescent="0.25">
      <c r="A2103" s="24" t="str">
        <f>_xlfn.XLOOKUP(tbEscolas[[#This Row],[ESCOLA]],tbNucleo[ESCOLA],tbNucleo[COD ESCOLA],"")</f>
        <v/>
      </c>
      <c r="B2103" t="str" cm="1">
        <f t="array" ref="B2103">IFERROR(INDEX(tbNucleo[ESCOLA],ROUNDUP(ROW(B2102)/TotalEtapas,0)),"")</f>
        <v/>
      </c>
      <c r="E2103" t="str">
        <f>IFERROR(VLOOKUP(tbEscolas[[#This Row],[COD ETPA]],tbEtapas[],2,FALSE),"")</f>
        <v/>
      </c>
      <c r="F2103" t="str">
        <f>IFERROR(VLOOKUP(tbEscolas[[#This Row],[COD ETPA]],tbEtapas[],3,FALSE),"")</f>
        <v/>
      </c>
    </row>
    <row r="2104" spans="1:6" x14ac:dyDescent="0.25">
      <c r="A2104" s="24" t="str">
        <f>_xlfn.XLOOKUP(tbEscolas[[#This Row],[ESCOLA]],tbNucleo[ESCOLA],tbNucleo[COD ESCOLA],"")</f>
        <v/>
      </c>
      <c r="B2104" t="str" cm="1">
        <f t="array" ref="B2104">IFERROR(INDEX(tbNucleo[ESCOLA],ROUNDUP(ROW(B2103)/TotalEtapas,0)),"")</f>
        <v/>
      </c>
      <c r="E2104" t="str">
        <f>IFERROR(VLOOKUP(tbEscolas[[#This Row],[COD ETPA]],tbEtapas[],2,FALSE),"")</f>
        <v/>
      </c>
      <c r="F2104" t="str">
        <f>IFERROR(VLOOKUP(tbEscolas[[#This Row],[COD ETPA]],tbEtapas[],3,FALSE),"")</f>
        <v/>
      </c>
    </row>
    <row r="2105" spans="1:6" x14ac:dyDescent="0.25">
      <c r="A2105" s="24" t="str">
        <f>_xlfn.XLOOKUP(tbEscolas[[#This Row],[ESCOLA]],tbNucleo[ESCOLA],tbNucleo[COD ESCOLA],"")</f>
        <v/>
      </c>
      <c r="B2105" t="str" cm="1">
        <f t="array" ref="B2105">IFERROR(INDEX(tbNucleo[ESCOLA],ROUNDUP(ROW(B2104)/TotalEtapas,0)),"")</f>
        <v/>
      </c>
      <c r="E2105" t="str">
        <f>IFERROR(VLOOKUP(tbEscolas[[#This Row],[COD ETPA]],tbEtapas[],2,FALSE),"")</f>
        <v/>
      </c>
      <c r="F2105" t="str">
        <f>IFERROR(VLOOKUP(tbEscolas[[#This Row],[COD ETPA]],tbEtapas[],3,FALSE),"")</f>
        <v/>
      </c>
    </row>
    <row r="2106" spans="1:6" x14ac:dyDescent="0.25">
      <c r="A2106" s="24" t="str">
        <f>_xlfn.XLOOKUP(tbEscolas[[#This Row],[ESCOLA]],tbNucleo[ESCOLA],tbNucleo[COD ESCOLA],"")</f>
        <v/>
      </c>
      <c r="B2106" t="str" cm="1">
        <f t="array" ref="B2106">IFERROR(INDEX(tbNucleo[ESCOLA],ROUNDUP(ROW(B2105)/TotalEtapas,0)),"")</f>
        <v/>
      </c>
      <c r="E2106" t="str">
        <f>IFERROR(VLOOKUP(tbEscolas[[#This Row],[COD ETPA]],tbEtapas[],2,FALSE),"")</f>
        <v/>
      </c>
      <c r="F2106" t="str">
        <f>IFERROR(VLOOKUP(tbEscolas[[#This Row],[COD ETPA]],tbEtapas[],3,FALSE),"")</f>
        <v/>
      </c>
    </row>
    <row r="2107" spans="1:6" x14ac:dyDescent="0.25">
      <c r="A2107" s="24" t="str">
        <f>_xlfn.XLOOKUP(tbEscolas[[#This Row],[ESCOLA]],tbNucleo[ESCOLA],tbNucleo[COD ESCOLA],"")</f>
        <v/>
      </c>
      <c r="B2107" t="str" cm="1">
        <f t="array" ref="B2107">IFERROR(INDEX(tbNucleo[ESCOLA],ROUNDUP(ROW(B2106)/TotalEtapas,0)),"")</f>
        <v/>
      </c>
      <c r="E2107" t="str">
        <f>IFERROR(VLOOKUP(tbEscolas[[#This Row],[COD ETPA]],tbEtapas[],2,FALSE),"")</f>
        <v/>
      </c>
      <c r="F2107" t="str">
        <f>IFERROR(VLOOKUP(tbEscolas[[#This Row],[COD ETPA]],tbEtapas[],3,FALSE),"")</f>
        <v/>
      </c>
    </row>
    <row r="2108" spans="1:6" x14ac:dyDescent="0.25">
      <c r="A2108" s="24" t="str">
        <f>_xlfn.XLOOKUP(tbEscolas[[#This Row],[ESCOLA]],tbNucleo[ESCOLA],tbNucleo[COD ESCOLA],"")</f>
        <v/>
      </c>
      <c r="B2108" t="str" cm="1">
        <f t="array" ref="B2108">IFERROR(INDEX(tbNucleo[ESCOLA],ROUNDUP(ROW(B2107)/TotalEtapas,0)),"")</f>
        <v/>
      </c>
      <c r="E2108" t="str">
        <f>IFERROR(VLOOKUP(tbEscolas[[#This Row],[COD ETPA]],tbEtapas[],2,FALSE),"")</f>
        <v/>
      </c>
      <c r="F2108" t="str">
        <f>IFERROR(VLOOKUP(tbEscolas[[#This Row],[COD ETPA]],tbEtapas[],3,FALSE),"")</f>
        <v/>
      </c>
    </row>
    <row r="2109" spans="1:6" x14ac:dyDescent="0.25">
      <c r="A2109" s="24" t="str">
        <f>_xlfn.XLOOKUP(tbEscolas[[#This Row],[ESCOLA]],tbNucleo[ESCOLA],tbNucleo[COD ESCOLA],"")</f>
        <v/>
      </c>
      <c r="B2109" t="str" cm="1">
        <f t="array" ref="B2109">IFERROR(INDEX(tbNucleo[ESCOLA],ROUNDUP(ROW(B2108)/TotalEtapas,0)),"")</f>
        <v/>
      </c>
      <c r="E2109" t="str">
        <f>IFERROR(VLOOKUP(tbEscolas[[#This Row],[COD ETPA]],tbEtapas[],2,FALSE),"")</f>
        <v/>
      </c>
      <c r="F2109" t="str">
        <f>IFERROR(VLOOKUP(tbEscolas[[#This Row],[COD ETPA]],tbEtapas[],3,FALSE),"")</f>
        <v/>
      </c>
    </row>
    <row r="2110" spans="1:6" x14ac:dyDescent="0.25">
      <c r="A2110" s="24" t="str">
        <f>_xlfn.XLOOKUP(tbEscolas[[#This Row],[ESCOLA]],tbNucleo[ESCOLA],tbNucleo[COD ESCOLA],"")</f>
        <v/>
      </c>
      <c r="B2110" t="str" cm="1">
        <f t="array" ref="B2110">IFERROR(INDEX(tbNucleo[ESCOLA],ROUNDUP(ROW(B2109)/TotalEtapas,0)),"")</f>
        <v/>
      </c>
      <c r="E2110" t="str">
        <f>IFERROR(VLOOKUP(tbEscolas[[#This Row],[COD ETPA]],tbEtapas[],2,FALSE),"")</f>
        <v/>
      </c>
      <c r="F2110" t="str">
        <f>IFERROR(VLOOKUP(tbEscolas[[#This Row],[COD ETPA]],tbEtapas[],3,FALSE),"")</f>
        <v/>
      </c>
    </row>
    <row r="2111" spans="1:6" x14ac:dyDescent="0.25">
      <c r="A2111" s="24" t="str">
        <f>_xlfn.XLOOKUP(tbEscolas[[#This Row],[ESCOLA]],tbNucleo[ESCOLA],tbNucleo[COD ESCOLA],"")</f>
        <v/>
      </c>
      <c r="B2111" t="str" cm="1">
        <f t="array" ref="B2111">IFERROR(INDEX(tbNucleo[ESCOLA],ROUNDUP(ROW(B2110)/TotalEtapas,0)),"")</f>
        <v/>
      </c>
      <c r="E2111" t="str">
        <f>IFERROR(VLOOKUP(tbEscolas[[#This Row],[COD ETPA]],tbEtapas[],2,FALSE),"")</f>
        <v/>
      </c>
      <c r="F2111" t="str">
        <f>IFERROR(VLOOKUP(tbEscolas[[#This Row],[COD ETPA]],tbEtapas[],3,FALSE),"")</f>
        <v/>
      </c>
    </row>
    <row r="2112" spans="1:6" x14ac:dyDescent="0.25">
      <c r="A2112" s="24" t="str">
        <f>_xlfn.XLOOKUP(tbEscolas[[#This Row],[ESCOLA]],tbNucleo[ESCOLA],tbNucleo[COD ESCOLA],"")</f>
        <v/>
      </c>
      <c r="B2112" t="str" cm="1">
        <f t="array" ref="B2112">IFERROR(INDEX(tbNucleo[ESCOLA],ROUNDUP(ROW(B2111)/TotalEtapas,0)),"")</f>
        <v/>
      </c>
      <c r="E2112" t="str">
        <f>IFERROR(VLOOKUP(tbEscolas[[#This Row],[COD ETPA]],tbEtapas[],2,FALSE),"")</f>
        <v/>
      </c>
      <c r="F2112" t="str">
        <f>IFERROR(VLOOKUP(tbEscolas[[#This Row],[COD ETPA]],tbEtapas[],3,FALSE),"")</f>
        <v/>
      </c>
    </row>
    <row r="2113" spans="1:6" x14ac:dyDescent="0.25">
      <c r="A2113" s="24" t="str">
        <f>_xlfn.XLOOKUP(tbEscolas[[#This Row],[ESCOLA]],tbNucleo[ESCOLA],tbNucleo[COD ESCOLA],"")</f>
        <v/>
      </c>
      <c r="B2113" t="str" cm="1">
        <f t="array" ref="B2113">IFERROR(INDEX(tbNucleo[ESCOLA],ROUNDUP(ROW(B2112)/TotalEtapas,0)),"")</f>
        <v/>
      </c>
      <c r="E2113" t="str">
        <f>IFERROR(VLOOKUP(tbEscolas[[#This Row],[COD ETPA]],tbEtapas[],2,FALSE),"")</f>
        <v/>
      </c>
      <c r="F2113" t="str">
        <f>IFERROR(VLOOKUP(tbEscolas[[#This Row],[COD ETPA]],tbEtapas[],3,FALSE),"")</f>
        <v/>
      </c>
    </row>
    <row r="2114" spans="1:6" x14ac:dyDescent="0.25">
      <c r="A2114" s="24" t="str">
        <f>_xlfn.XLOOKUP(tbEscolas[[#This Row],[ESCOLA]],tbNucleo[ESCOLA],tbNucleo[COD ESCOLA],"")</f>
        <v/>
      </c>
      <c r="B2114" t="str" cm="1">
        <f t="array" ref="B2114">IFERROR(INDEX(tbNucleo[ESCOLA],ROUNDUP(ROW(B2113)/TotalEtapas,0)),"")</f>
        <v/>
      </c>
      <c r="E2114" t="str">
        <f>IFERROR(VLOOKUP(tbEscolas[[#This Row],[COD ETPA]],tbEtapas[],2,FALSE),"")</f>
        <v/>
      </c>
      <c r="F2114" t="str">
        <f>IFERROR(VLOOKUP(tbEscolas[[#This Row],[COD ETPA]],tbEtapas[],3,FALSE),"")</f>
        <v/>
      </c>
    </row>
    <row r="2115" spans="1:6" x14ac:dyDescent="0.25">
      <c r="A2115" s="24" t="str">
        <f>_xlfn.XLOOKUP(tbEscolas[[#This Row],[ESCOLA]],tbNucleo[ESCOLA],tbNucleo[COD ESCOLA],"")</f>
        <v/>
      </c>
      <c r="B2115" t="str" cm="1">
        <f t="array" ref="B2115">IFERROR(INDEX(tbNucleo[ESCOLA],ROUNDUP(ROW(B2114)/TotalEtapas,0)),"")</f>
        <v/>
      </c>
      <c r="E2115" t="str">
        <f>IFERROR(VLOOKUP(tbEscolas[[#This Row],[COD ETPA]],tbEtapas[],2,FALSE),"")</f>
        <v/>
      </c>
      <c r="F2115" t="str">
        <f>IFERROR(VLOOKUP(tbEscolas[[#This Row],[COD ETPA]],tbEtapas[],3,FALSE),"")</f>
        <v/>
      </c>
    </row>
    <row r="2116" spans="1:6" x14ac:dyDescent="0.25">
      <c r="A2116" s="24" t="str">
        <f>_xlfn.XLOOKUP(tbEscolas[[#This Row],[ESCOLA]],tbNucleo[ESCOLA],tbNucleo[COD ESCOLA],"")</f>
        <v/>
      </c>
      <c r="B2116" t="str" cm="1">
        <f t="array" ref="B2116">IFERROR(INDEX(tbNucleo[ESCOLA],ROUNDUP(ROW(B2115)/TotalEtapas,0)),"")</f>
        <v/>
      </c>
      <c r="E2116" t="str">
        <f>IFERROR(VLOOKUP(tbEscolas[[#This Row],[COD ETPA]],tbEtapas[],2,FALSE),"")</f>
        <v/>
      </c>
      <c r="F2116" t="str">
        <f>IFERROR(VLOOKUP(tbEscolas[[#This Row],[COD ETPA]],tbEtapas[],3,FALSE),"")</f>
        <v/>
      </c>
    </row>
    <row r="2117" spans="1:6" x14ac:dyDescent="0.25">
      <c r="A2117" s="24" t="str">
        <f>_xlfn.XLOOKUP(tbEscolas[[#This Row],[ESCOLA]],tbNucleo[ESCOLA],tbNucleo[COD ESCOLA],"")</f>
        <v/>
      </c>
      <c r="B2117" t="str" cm="1">
        <f t="array" ref="B2117">IFERROR(INDEX(tbNucleo[ESCOLA],ROUNDUP(ROW(B2116)/TotalEtapas,0)),"")</f>
        <v/>
      </c>
      <c r="E2117" t="str">
        <f>IFERROR(VLOOKUP(tbEscolas[[#This Row],[COD ETPA]],tbEtapas[],2,FALSE),"")</f>
        <v/>
      </c>
      <c r="F2117" t="str">
        <f>IFERROR(VLOOKUP(tbEscolas[[#This Row],[COD ETPA]],tbEtapas[],3,FALSE),"")</f>
        <v/>
      </c>
    </row>
    <row r="2118" spans="1:6" x14ac:dyDescent="0.25">
      <c r="A2118" s="24" t="str">
        <f>_xlfn.XLOOKUP(tbEscolas[[#This Row],[ESCOLA]],tbNucleo[ESCOLA],tbNucleo[COD ESCOLA],"")</f>
        <v/>
      </c>
      <c r="B2118" t="str" cm="1">
        <f t="array" ref="B2118">IFERROR(INDEX(tbNucleo[ESCOLA],ROUNDUP(ROW(B2117)/TotalEtapas,0)),"")</f>
        <v/>
      </c>
      <c r="E2118" t="str">
        <f>IFERROR(VLOOKUP(tbEscolas[[#This Row],[COD ETPA]],tbEtapas[],2,FALSE),"")</f>
        <v/>
      </c>
      <c r="F2118" t="str">
        <f>IFERROR(VLOOKUP(tbEscolas[[#This Row],[COD ETPA]],tbEtapas[],3,FALSE),"")</f>
        <v/>
      </c>
    </row>
    <row r="2119" spans="1:6" x14ac:dyDescent="0.25">
      <c r="A2119" s="24" t="str">
        <f>_xlfn.XLOOKUP(tbEscolas[[#This Row],[ESCOLA]],tbNucleo[ESCOLA],tbNucleo[COD ESCOLA],"")</f>
        <v/>
      </c>
      <c r="B2119" t="str" cm="1">
        <f t="array" ref="B2119">IFERROR(INDEX(tbNucleo[ESCOLA],ROUNDUP(ROW(B2118)/TotalEtapas,0)),"")</f>
        <v/>
      </c>
      <c r="E2119" t="str">
        <f>IFERROR(VLOOKUP(tbEscolas[[#This Row],[COD ETPA]],tbEtapas[],2,FALSE),"")</f>
        <v/>
      </c>
      <c r="F2119" t="str">
        <f>IFERROR(VLOOKUP(tbEscolas[[#This Row],[COD ETPA]],tbEtapas[],3,FALSE),"")</f>
        <v/>
      </c>
    </row>
    <row r="2120" spans="1:6" x14ac:dyDescent="0.25">
      <c r="A2120" s="24" t="str">
        <f>_xlfn.XLOOKUP(tbEscolas[[#This Row],[ESCOLA]],tbNucleo[ESCOLA],tbNucleo[COD ESCOLA],"")</f>
        <v/>
      </c>
      <c r="B2120" t="str" cm="1">
        <f t="array" ref="B2120">IFERROR(INDEX(tbNucleo[ESCOLA],ROUNDUP(ROW(B2119)/TotalEtapas,0)),"")</f>
        <v/>
      </c>
      <c r="E2120" t="str">
        <f>IFERROR(VLOOKUP(tbEscolas[[#This Row],[COD ETPA]],tbEtapas[],2,FALSE),"")</f>
        <v/>
      </c>
      <c r="F2120" t="str">
        <f>IFERROR(VLOOKUP(tbEscolas[[#This Row],[COD ETPA]],tbEtapas[],3,FALSE),"")</f>
        <v/>
      </c>
    </row>
    <row r="2121" spans="1:6" x14ac:dyDescent="0.25">
      <c r="A2121" s="24" t="str">
        <f>_xlfn.XLOOKUP(tbEscolas[[#This Row],[ESCOLA]],tbNucleo[ESCOLA],tbNucleo[COD ESCOLA],"")</f>
        <v/>
      </c>
      <c r="B2121" t="str" cm="1">
        <f t="array" ref="B2121">IFERROR(INDEX(tbNucleo[ESCOLA],ROUNDUP(ROW(B2120)/TotalEtapas,0)),"")</f>
        <v/>
      </c>
      <c r="E2121" t="str">
        <f>IFERROR(VLOOKUP(tbEscolas[[#This Row],[COD ETPA]],tbEtapas[],2,FALSE),"")</f>
        <v/>
      </c>
      <c r="F2121" t="str">
        <f>IFERROR(VLOOKUP(tbEscolas[[#This Row],[COD ETPA]],tbEtapas[],3,FALSE),"")</f>
        <v/>
      </c>
    </row>
    <row r="2122" spans="1:6" x14ac:dyDescent="0.25">
      <c r="A2122" s="24" t="str">
        <f>_xlfn.XLOOKUP(tbEscolas[[#This Row],[ESCOLA]],tbNucleo[ESCOLA],tbNucleo[COD ESCOLA],"")</f>
        <v/>
      </c>
      <c r="B2122" t="str" cm="1">
        <f t="array" ref="B2122">IFERROR(INDEX(tbNucleo[ESCOLA],ROUNDUP(ROW(B2121)/TotalEtapas,0)),"")</f>
        <v/>
      </c>
      <c r="E2122" t="str">
        <f>IFERROR(VLOOKUP(tbEscolas[[#This Row],[COD ETPA]],tbEtapas[],2,FALSE),"")</f>
        <v/>
      </c>
      <c r="F2122" t="str">
        <f>IFERROR(VLOOKUP(tbEscolas[[#This Row],[COD ETPA]],tbEtapas[],3,FALSE),"")</f>
        <v/>
      </c>
    </row>
    <row r="2123" spans="1:6" x14ac:dyDescent="0.25">
      <c r="A2123" s="24" t="str">
        <f>_xlfn.XLOOKUP(tbEscolas[[#This Row],[ESCOLA]],tbNucleo[ESCOLA],tbNucleo[COD ESCOLA],"")</f>
        <v/>
      </c>
      <c r="B2123" t="str" cm="1">
        <f t="array" ref="B2123">IFERROR(INDEX(tbNucleo[ESCOLA],ROUNDUP(ROW(B2122)/TotalEtapas,0)),"")</f>
        <v/>
      </c>
      <c r="E2123" t="str">
        <f>IFERROR(VLOOKUP(tbEscolas[[#This Row],[COD ETPA]],tbEtapas[],2,FALSE),"")</f>
        <v/>
      </c>
      <c r="F2123" t="str">
        <f>IFERROR(VLOOKUP(tbEscolas[[#This Row],[COD ETPA]],tbEtapas[],3,FALSE),"")</f>
        <v/>
      </c>
    </row>
    <row r="2124" spans="1:6" x14ac:dyDescent="0.25">
      <c r="A2124" s="24" t="str">
        <f>_xlfn.XLOOKUP(tbEscolas[[#This Row],[ESCOLA]],tbNucleo[ESCOLA],tbNucleo[COD ESCOLA],"")</f>
        <v/>
      </c>
      <c r="B2124" t="str" cm="1">
        <f t="array" ref="B2124">IFERROR(INDEX(tbNucleo[ESCOLA],ROUNDUP(ROW(B2123)/TotalEtapas,0)),"")</f>
        <v/>
      </c>
      <c r="E2124" t="str">
        <f>IFERROR(VLOOKUP(tbEscolas[[#This Row],[COD ETPA]],tbEtapas[],2,FALSE),"")</f>
        <v/>
      </c>
      <c r="F2124" t="str">
        <f>IFERROR(VLOOKUP(tbEscolas[[#This Row],[COD ETPA]],tbEtapas[],3,FALSE),"")</f>
        <v/>
      </c>
    </row>
    <row r="2125" spans="1:6" x14ac:dyDescent="0.25">
      <c r="A2125" s="24" t="str">
        <f>_xlfn.XLOOKUP(tbEscolas[[#This Row],[ESCOLA]],tbNucleo[ESCOLA],tbNucleo[COD ESCOLA],"")</f>
        <v/>
      </c>
      <c r="B2125" t="str" cm="1">
        <f t="array" ref="B2125">IFERROR(INDEX(tbNucleo[ESCOLA],ROUNDUP(ROW(B2124)/TotalEtapas,0)),"")</f>
        <v/>
      </c>
      <c r="E2125" t="str">
        <f>IFERROR(VLOOKUP(tbEscolas[[#This Row],[COD ETPA]],tbEtapas[],2,FALSE),"")</f>
        <v/>
      </c>
      <c r="F2125" t="str">
        <f>IFERROR(VLOOKUP(tbEscolas[[#This Row],[COD ETPA]],tbEtapas[],3,FALSE),"")</f>
        <v/>
      </c>
    </row>
    <row r="2126" spans="1:6" x14ac:dyDescent="0.25">
      <c r="A2126" s="24" t="str">
        <f>_xlfn.XLOOKUP(tbEscolas[[#This Row],[ESCOLA]],tbNucleo[ESCOLA],tbNucleo[COD ESCOLA],"")</f>
        <v/>
      </c>
      <c r="B2126" t="str" cm="1">
        <f t="array" ref="B2126">IFERROR(INDEX(tbNucleo[ESCOLA],ROUNDUP(ROW(B2125)/TotalEtapas,0)),"")</f>
        <v/>
      </c>
      <c r="E2126" t="str">
        <f>IFERROR(VLOOKUP(tbEscolas[[#This Row],[COD ETPA]],tbEtapas[],2,FALSE),"")</f>
        <v/>
      </c>
      <c r="F2126" t="str">
        <f>IFERROR(VLOOKUP(tbEscolas[[#This Row],[COD ETPA]],tbEtapas[],3,FALSE),"")</f>
        <v/>
      </c>
    </row>
    <row r="2127" spans="1:6" x14ac:dyDescent="0.25">
      <c r="A2127" s="24" t="str">
        <f>_xlfn.XLOOKUP(tbEscolas[[#This Row],[ESCOLA]],tbNucleo[ESCOLA],tbNucleo[COD ESCOLA],"")</f>
        <v/>
      </c>
      <c r="B2127" t="str" cm="1">
        <f t="array" ref="B2127">IFERROR(INDEX(tbNucleo[ESCOLA],ROUNDUP(ROW(B2126)/TotalEtapas,0)),"")</f>
        <v/>
      </c>
      <c r="E2127" t="str">
        <f>IFERROR(VLOOKUP(tbEscolas[[#This Row],[COD ETPA]],tbEtapas[],2,FALSE),"")</f>
        <v/>
      </c>
      <c r="F2127" t="str">
        <f>IFERROR(VLOOKUP(tbEscolas[[#This Row],[COD ETPA]],tbEtapas[],3,FALSE),"")</f>
        <v/>
      </c>
    </row>
    <row r="2128" spans="1:6" x14ac:dyDescent="0.25">
      <c r="A2128" s="24" t="str">
        <f>_xlfn.XLOOKUP(tbEscolas[[#This Row],[ESCOLA]],tbNucleo[ESCOLA],tbNucleo[COD ESCOLA],"")</f>
        <v/>
      </c>
      <c r="B2128" t="str" cm="1">
        <f t="array" ref="B2128">IFERROR(INDEX(tbNucleo[ESCOLA],ROUNDUP(ROW(B2127)/TotalEtapas,0)),"")</f>
        <v/>
      </c>
      <c r="E2128" t="str">
        <f>IFERROR(VLOOKUP(tbEscolas[[#This Row],[COD ETPA]],tbEtapas[],2,FALSE),"")</f>
        <v/>
      </c>
      <c r="F2128" t="str">
        <f>IFERROR(VLOOKUP(tbEscolas[[#This Row],[COD ETPA]],tbEtapas[],3,FALSE),"")</f>
        <v/>
      </c>
    </row>
    <row r="2129" spans="1:6" x14ac:dyDescent="0.25">
      <c r="A2129" s="24" t="str">
        <f>_xlfn.XLOOKUP(tbEscolas[[#This Row],[ESCOLA]],tbNucleo[ESCOLA],tbNucleo[COD ESCOLA],"")</f>
        <v/>
      </c>
      <c r="B2129" t="str" cm="1">
        <f t="array" ref="B2129">IFERROR(INDEX(tbNucleo[ESCOLA],ROUNDUP(ROW(B2128)/TotalEtapas,0)),"")</f>
        <v/>
      </c>
      <c r="E2129" t="str">
        <f>IFERROR(VLOOKUP(tbEscolas[[#This Row],[COD ETPA]],tbEtapas[],2,FALSE),"")</f>
        <v/>
      </c>
      <c r="F2129" t="str">
        <f>IFERROR(VLOOKUP(tbEscolas[[#This Row],[COD ETPA]],tbEtapas[],3,FALSE),"")</f>
        <v/>
      </c>
    </row>
    <row r="2130" spans="1:6" x14ac:dyDescent="0.25">
      <c r="A2130" s="24" t="str">
        <f>_xlfn.XLOOKUP(tbEscolas[[#This Row],[ESCOLA]],tbNucleo[ESCOLA],tbNucleo[COD ESCOLA],"")</f>
        <v/>
      </c>
      <c r="B2130" t="str" cm="1">
        <f t="array" ref="B2130">IFERROR(INDEX(tbNucleo[ESCOLA],ROUNDUP(ROW(B2129)/TotalEtapas,0)),"")</f>
        <v/>
      </c>
      <c r="E2130" t="str">
        <f>IFERROR(VLOOKUP(tbEscolas[[#This Row],[COD ETPA]],tbEtapas[],2,FALSE),"")</f>
        <v/>
      </c>
      <c r="F2130" t="str">
        <f>IFERROR(VLOOKUP(tbEscolas[[#This Row],[COD ETPA]],tbEtapas[],3,FALSE),"")</f>
        <v/>
      </c>
    </row>
    <row r="2131" spans="1:6" x14ac:dyDescent="0.25">
      <c r="A2131" s="24" t="str">
        <f>_xlfn.XLOOKUP(tbEscolas[[#This Row],[ESCOLA]],tbNucleo[ESCOLA],tbNucleo[COD ESCOLA],"")</f>
        <v/>
      </c>
      <c r="B2131" t="str" cm="1">
        <f t="array" ref="B2131">IFERROR(INDEX(tbNucleo[ESCOLA],ROUNDUP(ROW(B2130)/TotalEtapas,0)),"")</f>
        <v/>
      </c>
      <c r="E2131" t="str">
        <f>IFERROR(VLOOKUP(tbEscolas[[#This Row],[COD ETPA]],tbEtapas[],2,FALSE),"")</f>
        <v/>
      </c>
      <c r="F2131" t="str">
        <f>IFERROR(VLOOKUP(tbEscolas[[#This Row],[COD ETPA]],tbEtapas[],3,FALSE),"")</f>
        <v/>
      </c>
    </row>
    <row r="2132" spans="1:6" x14ac:dyDescent="0.25">
      <c r="A2132" s="24" t="str">
        <f>_xlfn.XLOOKUP(tbEscolas[[#This Row],[ESCOLA]],tbNucleo[ESCOLA],tbNucleo[COD ESCOLA],"")</f>
        <v/>
      </c>
      <c r="B2132" t="str" cm="1">
        <f t="array" ref="B2132">IFERROR(INDEX(tbNucleo[ESCOLA],ROUNDUP(ROW(B2131)/TotalEtapas,0)),"")</f>
        <v/>
      </c>
      <c r="E2132" t="str">
        <f>IFERROR(VLOOKUP(tbEscolas[[#This Row],[COD ETPA]],tbEtapas[],2,FALSE),"")</f>
        <v/>
      </c>
      <c r="F2132" t="str">
        <f>IFERROR(VLOOKUP(tbEscolas[[#This Row],[COD ETPA]],tbEtapas[],3,FALSE),"")</f>
        <v/>
      </c>
    </row>
    <row r="2133" spans="1:6" x14ac:dyDescent="0.25">
      <c r="A2133" s="24" t="str">
        <f>_xlfn.XLOOKUP(tbEscolas[[#This Row],[ESCOLA]],tbNucleo[ESCOLA],tbNucleo[COD ESCOLA],"")</f>
        <v/>
      </c>
      <c r="B2133" t="str" cm="1">
        <f t="array" ref="B2133">IFERROR(INDEX(tbNucleo[ESCOLA],ROUNDUP(ROW(B2132)/TotalEtapas,0)),"")</f>
        <v/>
      </c>
      <c r="E2133" t="str">
        <f>IFERROR(VLOOKUP(tbEscolas[[#This Row],[COD ETPA]],tbEtapas[],2,FALSE),"")</f>
        <v/>
      </c>
      <c r="F2133" t="str">
        <f>IFERROR(VLOOKUP(tbEscolas[[#This Row],[COD ETPA]],tbEtapas[],3,FALSE),"")</f>
        <v/>
      </c>
    </row>
    <row r="2134" spans="1:6" x14ac:dyDescent="0.25">
      <c r="A2134" s="24" t="str">
        <f>_xlfn.XLOOKUP(tbEscolas[[#This Row],[ESCOLA]],tbNucleo[ESCOLA],tbNucleo[COD ESCOLA],"")</f>
        <v/>
      </c>
      <c r="B2134" t="str" cm="1">
        <f t="array" ref="B2134">IFERROR(INDEX(tbNucleo[ESCOLA],ROUNDUP(ROW(B2133)/TotalEtapas,0)),"")</f>
        <v/>
      </c>
      <c r="E2134" t="str">
        <f>IFERROR(VLOOKUP(tbEscolas[[#This Row],[COD ETPA]],tbEtapas[],2,FALSE),"")</f>
        <v/>
      </c>
      <c r="F2134" t="str">
        <f>IFERROR(VLOOKUP(tbEscolas[[#This Row],[COD ETPA]],tbEtapas[],3,FALSE),"")</f>
        <v/>
      </c>
    </row>
    <row r="2135" spans="1:6" x14ac:dyDescent="0.25">
      <c r="A2135" s="24" t="str">
        <f>_xlfn.XLOOKUP(tbEscolas[[#This Row],[ESCOLA]],tbNucleo[ESCOLA],tbNucleo[COD ESCOLA],"")</f>
        <v/>
      </c>
      <c r="B2135" t="str" cm="1">
        <f t="array" ref="B2135">IFERROR(INDEX(tbNucleo[ESCOLA],ROUNDUP(ROW(B2134)/TotalEtapas,0)),"")</f>
        <v/>
      </c>
      <c r="E2135" t="str">
        <f>IFERROR(VLOOKUP(tbEscolas[[#This Row],[COD ETPA]],tbEtapas[],2,FALSE),"")</f>
        <v/>
      </c>
      <c r="F2135" t="str">
        <f>IFERROR(VLOOKUP(tbEscolas[[#This Row],[COD ETPA]],tbEtapas[],3,FALSE),"")</f>
        <v/>
      </c>
    </row>
    <row r="2136" spans="1:6" x14ac:dyDescent="0.25">
      <c r="A2136" s="24" t="str">
        <f>_xlfn.XLOOKUP(tbEscolas[[#This Row],[ESCOLA]],tbNucleo[ESCOLA],tbNucleo[COD ESCOLA],"")</f>
        <v/>
      </c>
      <c r="B2136" t="str" cm="1">
        <f t="array" ref="B2136">IFERROR(INDEX(tbNucleo[ESCOLA],ROUNDUP(ROW(B2135)/TotalEtapas,0)),"")</f>
        <v/>
      </c>
      <c r="E2136" t="str">
        <f>IFERROR(VLOOKUP(tbEscolas[[#This Row],[COD ETPA]],tbEtapas[],2,FALSE),"")</f>
        <v/>
      </c>
      <c r="F2136" t="str">
        <f>IFERROR(VLOOKUP(tbEscolas[[#This Row],[COD ETPA]],tbEtapas[],3,FALSE),"")</f>
        <v/>
      </c>
    </row>
    <row r="2137" spans="1:6" x14ac:dyDescent="0.25">
      <c r="A2137" s="24" t="str">
        <f>_xlfn.XLOOKUP(tbEscolas[[#This Row],[ESCOLA]],tbNucleo[ESCOLA],tbNucleo[COD ESCOLA],"")</f>
        <v/>
      </c>
      <c r="B2137" t="str" cm="1">
        <f t="array" ref="B2137">IFERROR(INDEX(tbNucleo[ESCOLA],ROUNDUP(ROW(B2136)/TotalEtapas,0)),"")</f>
        <v/>
      </c>
      <c r="E2137" t="str">
        <f>IFERROR(VLOOKUP(tbEscolas[[#This Row],[COD ETPA]],tbEtapas[],2,FALSE),"")</f>
        <v/>
      </c>
      <c r="F2137" t="str">
        <f>IFERROR(VLOOKUP(tbEscolas[[#This Row],[COD ETPA]],tbEtapas[],3,FALSE),"")</f>
        <v/>
      </c>
    </row>
    <row r="2138" spans="1:6" x14ac:dyDescent="0.25">
      <c r="A2138" s="24" t="str">
        <f>_xlfn.XLOOKUP(tbEscolas[[#This Row],[ESCOLA]],tbNucleo[ESCOLA],tbNucleo[COD ESCOLA],"")</f>
        <v/>
      </c>
      <c r="B2138" t="str" cm="1">
        <f t="array" ref="B2138">IFERROR(INDEX(tbNucleo[ESCOLA],ROUNDUP(ROW(B2137)/TotalEtapas,0)),"")</f>
        <v/>
      </c>
      <c r="E2138" t="str">
        <f>IFERROR(VLOOKUP(tbEscolas[[#This Row],[COD ETPA]],tbEtapas[],2,FALSE),"")</f>
        <v/>
      </c>
      <c r="F2138" t="str">
        <f>IFERROR(VLOOKUP(tbEscolas[[#This Row],[COD ETPA]],tbEtapas[],3,FALSE),"")</f>
        <v/>
      </c>
    </row>
    <row r="2139" spans="1:6" x14ac:dyDescent="0.25">
      <c r="A2139" s="24" t="str">
        <f>_xlfn.XLOOKUP(tbEscolas[[#This Row],[ESCOLA]],tbNucleo[ESCOLA],tbNucleo[COD ESCOLA],"")</f>
        <v/>
      </c>
      <c r="B2139" t="str" cm="1">
        <f t="array" ref="B2139">IFERROR(INDEX(tbNucleo[ESCOLA],ROUNDUP(ROW(B2138)/TotalEtapas,0)),"")</f>
        <v/>
      </c>
      <c r="E2139" t="str">
        <f>IFERROR(VLOOKUP(tbEscolas[[#This Row],[COD ETPA]],tbEtapas[],2,FALSE),"")</f>
        <v/>
      </c>
      <c r="F2139" t="str">
        <f>IFERROR(VLOOKUP(tbEscolas[[#This Row],[COD ETPA]],tbEtapas[],3,FALSE),"")</f>
        <v/>
      </c>
    </row>
    <row r="2140" spans="1:6" x14ac:dyDescent="0.25">
      <c r="A2140" s="24" t="str">
        <f>_xlfn.XLOOKUP(tbEscolas[[#This Row],[ESCOLA]],tbNucleo[ESCOLA],tbNucleo[COD ESCOLA],"")</f>
        <v/>
      </c>
      <c r="B2140" t="str" cm="1">
        <f t="array" ref="B2140">IFERROR(INDEX(tbNucleo[ESCOLA],ROUNDUP(ROW(B2139)/TotalEtapas,0)),"")</f>
        <v/>
      </c>
      <c r="E2140" t="str">
        <f>IFERROR(VLOOKUP(tbEscolas[[#This Row],[COD ETPA]],tbEtapas[],2,FALSE),"")</f>
        <v/>
      </c>
      <c r="F2140" t="str">
        <f>IFERROR(VLOOKUP(tbEscolas[[#This Row],[COD ETPA]],tbEtapas[],3,FALSE),"")</f>
        <v/>
      </c>
    </row>
    <row r="2141" spans="1:6" x14ac:dyDescent="0.25">
      <c r="A2141" s="24" t="str">
        <f>_xlfn.XLOOKUP(tbEscolas[[#This Row],[ESCOLA]],tbNucleo[ESCOLA],tbNucleo[COD ESCOLA],"")</f>
        <v/>
      </c>
      <c r="B2141" t="str" cm="1">
        <f t="array" ref="B2141">IFERROR(INDEX(tbNucleo[ESCOLA],ROUNDUP(ROW(B2140)/TotalEtapas,0)),"")</f>
        <v/>
      </c>
      <c r="E2141" t="str">
        <f>IFERROR(VLOOKUP(tbEscolas[[#This Row],[COD ETPA]],tbEtapas[],2,FALSE),"")</f>
        <v/>
      </c>
      <c r="F2141" t="str">
        <f>IFERROR(VLOOKUP(tbEscolas[[#This Row],[COD ETPA]],tbEtapas[],3,FALSE),"")</f>
        <v/>
      </c>
    </row>
    <row r="2142" spans="1:6" x14ac:dyDescent="0.25">
      <c r="A2142" s="24" t="str">
        <f>_xlfn.XLOOKUP(tbEscolas[[#This Row],[ESCOLA]],tbNucleo[ESCOLA],tbNucleo[COD ESCOLA],"")</f>
        <v/>
      </c>
      <c r="B2142" t="str" cm="1">
        <f t="array" ref="B2142">IFERROR(INDEX(tbNucleo[ESCOLA],ROUNDUP(ROW(B2141)/TotalEtapas,0)),"")</f>
        <v/>
      </c>
      <c r="E2142" t="str">
        <f>IFERROR(VLOOKUP(tbEscolas[[#This Row],[COD ETPA]],tbEtapas[],2,FALSE),"")</f>
        <v/>
      </c>
      <c r="F2142" t="str">
        <f>IFERROR(VLOOKUP(tbEscolas[[#This Row],[COD ETPA]],tbEtapas[],3,FALSE),"")</f>
        <v/>
      </c>
    </row>
    <row r="2143" spans="1:6" x14ac:dyDescent="0.25">
      <c r="A2143" s="24" t="str">
        <f>_xlfn.XLOOKUP(tbEscolas[[#This Row],[ESCOLA]],tbNucleo[ESCOLA],tbNucleo[COD ESCOLA],"")</f>
        <v/>
      </c>
      <c r="B2143" t="str" cm="1">
        <f t="array" ref="B2143">IFERROR(INDEX(tbNucleo[ESCOLA],ROUNDUP(ROW(B2142)/TotalEtapas,0)),"")</f>
        <v/>
      </c>
      <c r="E2143" t="str">
        <f>IFERROR(VLOOKUP(tbEscolas[[#This Row],[COD ETPA]],tbEtapas[],2,FALSE),"")</f>
        <v/>
      </c>
      <c r="F2143" t="str">
        <f>IFERROR(VLOOKUP(tbEscolas[[#This Row],[COD ETPA]],tbEtapas[],3,FALSE),"")</f>
        <v/>
      </c>
    </row>
    <row r="2144" spans="1:6" x14ac:dyDescent="0.25">
      <c r="A2144" s="24" t="str">
        <f>_xlfn.XLOOKUP(tbEscolas[[#This Row],[ESCOLA]],tbNucleo[ESCOLA],tbNucleo[COD ESCOLA],"")</f>
        <v/>
      </c>
      <c r="B2144" t="str" cm="1">
        <f t="array" ref="B2144">IFERROR(INDEX(tbNucleo[ESCOLA],ROUNDUP(ROW(B2143)/TotalEtapas,0)),"")</f>
        <v/>
      </c>
      <c r="E2144" t="str">
        <f>IFERROR(VLOOKUP(tbEscolas[[#This Row],[COD ETPA]],tbEtapas[],2,FALSE),"")</f>
        <v/>
      </c>
      <c r="F2144" t="str">
        <f>IFERROR(VLOOKUP(tbEscolas[[#This Row],[COD ETPA]],tbEtapas[],3,FALSE),"")</f>
        <v/>
      </c>
    </row>
    <row r="2145" spans="1:6" x14ac:dyDescent="0.25">
      <c r="A2145" s="24" t="str">
        <f>_xlfn.XLOOKUP(tbEscolas[[#This Row],[ESCOLA]],tbNucleo[ESCOLA],tbNucleo[COD ESCOLA],"")</f>
        <v/>
      </c>
      <c r="B2145" t="str" cm="1">
        <f t="array" ref="B2145">IFERROR(INDEX(tbNucleo[ESCOLA],ROUNDUP(ROW(B2144)/TotalEtapas,0)),"")</f>
        <v/>
      </c>
      <c r="E2145" t="str">
        <f>IFERROR(VLOOKUP(tbEscolas[[#This Row],[COD ETPA]],tbEtapas[],2,FALSE),"")</f>
        <v/>
      </c>
      <c r="F2145" t="str">
        <f>IFERROR(VLOOKUP(tbEscolas[[#This Row],[COD ETPA]],tbEtapas[],3,FALSE),"")</f>
        <v/>
      </c>
    </row>
    <row r="2146" spans="1:6" x14ac:dyDescent="0.25">
      <c r="A2146" s="24" t="str">
        <f>_xlfn.XLOOKUP(tbEscolas[[#This Row],[ESCOLA]],tbNucleo[ESCOLA],tbNucleo[COD ESCOLA],"")</f>
        <v/>
      </c>
      <c r="B2146" t="str" cm="1">
        <f t="array" ref="B2146">IFERROR(INDEX(tbNucleo[ESCOLA],ROUNDUP(ROW(B2145)/TotalEtapas,0)),"")</f>
        <v/>
      </c>
      <c r="E2146" t="str">
        <f>IFERROR(VLOOKUP(tbEscolas[[#This Row],[COD ETPA]],tbEtapas[],2,FALSE),"")</f>
        <v/>
      </c>
      <c r="F2146" t="str">
        <f>IFERROR(VLOOKUP(tbEscolas[[#This Row],[COD ETPA]],tbEtapas[],3,FALSE),"")</f>
        <v/>
      </c>
    </row>
    <row r="2147" spans="1:6" x14ac:dyDescent="0.25">
      <c r="A2147" s="24" t="str">
        <f>_xlfn.XLOOKUP(tbEscolas[[#This Row],[ESCOLA]],tbNucleo[ESCOLA],tbNucleo[COD ESCOLA],"")</f>
        <v/>
      </c>
      <c r="B2147" t="str" cm="1">
        <f t="array" ref="B2147">IFERROR(INDEX(tbNucleo[ESCOLA],ROUNDUP(ROW(B2146)/TotalEtapas,0)),"")</f>
        <v/>
      </c>
      <c r="E2147" t="str">
        <f>IFERROR(VLOOKUP(tbEscolas[[#This Row],[COD ETPA]],tbEtapas[],2,FALSE),"")</f>
        <v/>
      </c>
      <c r="F2147" t="str">
        <f>IFERROR(VLOOKUP(tbEscolas[[#This Row],[COD ETPA]],tbEtapas[],3,FALSE),"")</f>
        <v/>
      </c>
    </row>
    <row r="2148" spans="1:6" x14ac:dyDescent="0.25">
      <c r="A2148" s="24" t="str">
        <f>_xlfn.XLOOKUP(tbEscolas[[#This Row],[ESCOLA]],tbNucleo[ESCOLA],tbNucleo[COD ESCOLA],"")</f>
        <v/>
      </c>
      <c r="B2148" t="str" cm="1">
        <f t="array" ref="B2148">IFERROR(INDEX(tbNucleo[ESCOLA],ROUNDUP(ROW(B2147)/TotalEtapas,0)),"")</f>
        <v/>
      </c>
      <c r="E2148" t="str">
        <f>IFERROR(VLOOKUP(tbEscolas[[#This Row],[COD ETPA]],tbEtapas[],2,FALSE),"")</f>
        <v/>
      </c>
      <c r="F2148" t="str">
        <f>IFERROR(VLOOKUP(tbEscolas[[#This Row],[COD ETPA]],tbEtapas[],3,FALSE),"")</f>
        <v/>
      </c>
    </row>
    <row r="2149" spans="1:6" x14ac:dyDescent="0.25">
      <c r="A2149" s="24" t="str">
        <f>_xlfn.XLOOKUP(tbEscolas[[#This Row],[ESCOLA]],tbNucleo[ESCOLA],tbNucleo[COD ESCOLA],"")</f>
        <v/>
      </c>
      <c r="B2149" t="str" cm="1">
        <f t="array" ref="B2149">IFERROR(INDEX(tbNucleo[ESCOLA],ROUNDUP(ROW(B2148)/TotalEtapas,0)),"")</f>
        <v/>
      </c>
      <c r="E2149" t="str">
        <f>IFERROR(VLOOKUP(tbEscolas[[#This Row],[COD ETPA]],tbEtapas[],2,FALSE),"")</f>
        <v/>
      </c>
      <c r="F2149" t="str">
        <f>IFERROR(VLOOKUP(tbEscolas[[#This Row],[COD ETPA]],tbEtapas[],3,FALSE),"")</f>
        <v/>
      </c>
    </row>
    <row r="2150" spans="1:6" x14ac:dyDescent="0.25">
      <c r="A2150" s="24" t="str">
        <f>_xlfn.XLOOKUP(tbEscolas[[#This Row],[ESCOLA]],tbNucleo[ESCOLA],tbNucleo[COD ESCOLA],"")</f>
        <v/>
      </c>
      <c r="B2150" t="str" cm="1">
        <f t="array" ref="B2150">IFERROR(INDEX(tbNucleo[ESCOLA],ROUNDUP(ROW(B2149)/TotalEtapas,0)),"")</f>
        <v/>
      </c>
      <c r="E2150" t="str">
        <f>IFERROR(VLOOKUP(tbEscolas[[#This Row],[COD ETPA]],tbEtapas[],2,FALSE),"")</f>
        <v/>
      </c>
      <c r="F2150" t="str">
        <f>IFERROR(VLOOKUP(tbEscolas[[#This Row],[COD ETPA]],tbEtapas[],3,FALSE),"")</f>
        <v/>
      </c>
    </row>
    <row r="2151" spans="1:6" x14ac:dyDescent="0.25">
      <c r="A2151" s="24" t="str">
        <f>_xlfn.XLOOKUP(tbEscolas[[#This Row],[ESCOLA]],tbNucleo[ESCOLA],tbNucleo[COD ESCOLA],"")</f>
        <v/>
      </c>
      <c r="B2151" t="str" cm="1">
        <f t="array" ref="B2151">IFERROR(INDEX(tbNucleo[ESCOLA],ROUNDUP(ROW(B2150)/TotalEtapas,0)),"")</f>
        <v/>
      </c>
      <c r="E2151" t="str">
        <f>IFERROR(VLOOKUP(tbEscolas[[#This Row],[COD ETPA]],tbEtapas[],2,FALSE),"")</f>
        <v/>
      </c>
      <c r="F2151" t="str">
        <f>IFERROR(VLOOKUP(tbEscolas[[#This Row],[COD ETPA]],tbEtapas[],3,FALSE),"")</f>
        <v/>
      </c>
    </row>
    <row r="2152" spans="1:6" x14ac:dyDescent="0.25">
      <c r="A2152" s="24" t="str">
        <f>_xlfn.XLOOKUP(tbEscolas[[#This Row],[ESCOLA]],tbNucleo[ESCOLA],tbNucleo[COD ESCOLA],"")</f>
        <v/>
      </c>
      <c r="B2152" t="str" cm="1">
        <f t="array" ref="B2152">IFERROR(INDEX(tbNucleo[ESCOLA],ROUNDUP(ROW(B2151)/TotalEtapas,0)),"")</f>
        <v/>
      </c>
      <c r="E2152" t="str">
        <f>IFERROR(VLOOKUP(tbEscolas[[#This Row],[COD ETPA]],tbEtapas[],2,FALSE),"")</f>
        <v/>
      </c>
      <c r="F2152" t="str">
        <f>IFERROR(VLOOKUP(tbEscolas[[#This Row],[COD ETPA]],tbEtapas[],3,FALSE),"")</f>
        <v/>
      </c>
    </row>
    <row r="2153" spans="1:6" x14ac:dyDescent="0.25">
      <c r="A2153" s="24" t="str">
        <f>_xlfn.XLOOKUP(tbEscolas[[#This Row],[ESCOLA]],tbNucleo[ESCOLA],tbNucleo[COD ESCOLA],"")</f>
        <v/>
      </c>
      <c r="B2153" t="str" cm="1">
        <f t="array" ref="B2153">IFERROR(INDEX(tbNucleo[ESCOLA],ROUNDUP(ROW(B2152)/TotalEtapas,0)),"")</f>
        <v/>
      </c>
      <c r="E2153" t="str">
        <f>IFERROR(VLOOKUP(tbEscolas[[#This Row],[COD ETPA]],tbEtapas[],2,FALSE),"")</f>
        <v/>
      </c>
      <c r="F2153" t="str">
        <f>IFERROR(VLOOKUP(tbEscolas[[#This Row],[COD ETPA]],tbEtapas[],3,FALSE),"")</f>
        <v/>
      </c>
    </row>
    <row r="2154" spans="1:6" x14ac:dyDescent="0.25">
      <c r="A2154" s="24" t="str">
        <f>_xlfn.XLOOKUP(tbEscolas[[#This Row],[ESCOLA]],tbNucleo[ESCOLA],tbNucleo[COD ESCOLA],"")</f>
        <v/>
      </c>
      <c r="B2154" t="str" cm="1">
        <f t="array" ref="B2154">IFERROR(INDEX(tbNucleo[ESCOLA],ROUNDUP(ROW(B2153)/TotalEtapas,0)),"")</f>
        <v/>
      </c>
      <c r="E2154" t="str">
        <f>IFERROR(VLOOKUP(tbEscolas[[#This Row],[COD ETPA]],tbEtapas[],2,FALSE),"")</f>
        <v/>
      </c>
      <c r="F2154" t="str">
        <f>IFERROR(VLOOKUP(tbEscolas[[#This Row],[COD ETPA]],tbEtapas[],3,FALSE),"")</f>
        <v/>
      </c>
    </row>
    <row r="2155" spans="1:6" x14ac:dyDescent="0.25">
      <c r="A2155" s="24" t="str">
        <f>_xlfn.XLOOKUP(tbEscolas[[#This Row],[ESCOLA]],tbNucleo[ESCOLA],tbNucleo[COD ESCOLA],"")</f>
        <v/>
      </c>
      <c r="B2155" t="str" cm="1">
        <f t="array" ref="B2155">IFERROR(INDEX(tbNucleo[ESCOLA],ROUNDUP(ROW(B2154)/TotalEtapas,0)),"")</f>
        <v/>
      </c>
      <c r="E2155" t="str">
        <f>IFERROR(VLOOKUP(tbEscolas[[#This Row],[COD ETPA]],tbEtapas[],2,FALSE),"")</f>
        <v/>
      </c>
      <c r="F2155" t="str">
        <f>IFERROR(VLOOKUP(tbEscolas[[#This Row],[COD ETPA]],tbEtapas[],3,FALSE),"")</f>
        <v/>
      </c>
    </row>
    <row r="2156" spans="1:6" x14ac:dyDescent="0.25">
      <c r="A2156" s="24" t="str">
        <f>_xlfn.XLOOKUP(tbEscolas[[#This Row],[ESCOLA]],tbNucleo[ESCOLA],tbNucleo[COD ESCOLA],"")</f>
        <v/>
      </c>
      <c r="B2156" t="str" cm="1">
        <f t="array" ref="B2156">IFERROR(INDEX(tbNucleo[ESCOLA],ROUNDUP(ROW(B2155)/TotalEtapas,0)),"")</f>
        <v/>
      </c>
      <c r="E2156" t="str">
        <f>IFERROR(VLOOKUP(tbEscolas[[#This Row],[COD ETPA]],tbEtapas[],2,FALSE),"")</f>
        <v/>
      </c>
      <c r="F2156" t="str">
        <f>IFERROR(VLOOKUP(tbEscolas[[#This Row],[COD ETPA]],tbEtapas[],3,FALSE),"")</f>
        <v/>
      </c>
    </row>
    <row r="2157" spans="1:6" x14ac:dyDescent="0.25">
      <c r="A2157" s="24" t="str">
        <f>_xlfn.XLOOKUP(tbEscolas[[#This Row],[ESCOLA]],tbNucleo[ESCOLA],tbNucleo[COD ESCOLA],"")</f>
        <v/>
      </c>
      <c r="B2157" t="str" cm="1">
        <f t="array" ref="B2157">IFERROR(INDEX(tbNucleo[ESCOLA],ROUNDUP(ROW(B2156)/TotalEtapas,0)),"")</f>
        <v/>
      </c>
      <c r="E2157" t="str">
        <f>IFERROR(VLOOKUP(tbEscolas[[#This Row],[COD ETPA]],tbEtapas[],2,FALSE),"")</f>
        <v/>
      </c>
      <c r="F2157" t="str">
        <f>IFERROR(VLOOKUP(tbEscolas[[#This Row],[COD ETPA]],tbEtapas[],3,FALSE),"")</f>
        <v/>
      </c>
    </row>
    <row r="2158" spans="1:6" x14ac:dyDescent="0.25">
      <c r="A2158" s="24" t="str">
        <f>_xlfn.XLOOKUP(tbEscolas[[#This Row],[ESCOLA]],tbNucleo[ESCOLA],tbNucleo[COD ESCOLA],"")</f>
        <v/>
      </c>
      <c r="B2158" t="str" cm="1">
        <f t="array" ref="B2158">IFERROR(INDEX(tbNucleo[ESCOLA],ROUNDUP(ROW(B2157)/TotalEtapas,0)),"")</f>
        <v/>
      </c>
      <c r="E2158" t="str">
        <f>IFERROR(VLOOKUP(tbEscolas[[#This Row],[COD ETPA]],tbEtapas[],2,FALSE),"")</f>
        <v/>
      </c>
      <c r="F2158" t="str">
        <f>IFERROR(VLOOKUP(tbEscolas[[#This Row],[COD ETPA]],tbEtapas[],3,FALSE),"")</f>
        <v/>
      </c>
    </row>
    <row r="2159" spans="1:6" x14ac:dyDescent="0.25">
      <c r="A2159" s="24" t="str">
        <f>_xlfn.XLOOKUP(tbEscolas[[#This Row],[ESCOLA]],tbNucleo[ESCOLA],tbNucleo[COD ESCOLA],"")</f>
        <v/>
      </c>
      <c r="B2159" t="str" cm="1">
        <f t="array" ref="B2159">IFERROR(INDEX(tbNucleo[ESCOLA],ROUNDUP(ROW(B2158)/TotalEtapas,0)),"")</f>
        <v/>
      </c>
      <c r="E2159" t="str">
        <f>IFERROR(VLOOKUP(tbEscolas[[#This Row],[COD ETPA]],tbEtapas[],2,FALSE),"")</f>
        <v/>
      </c>
      <c r="F2159" t="str">
        <f>IFERROR(VLOOKUP(tbEscolas[[#This Row],[COD ETPA]],tbEtapas[],3,FALSE),"")</f>
        <v/>
      </c>
    </row>
    <row r="2160" spans="1:6" x14ac:dyDescent="0.25">
      <c r="A2160" s="24" t="str">
        <f>_xlfn.XLOOKUP(tbEscolas[[#This Row],[ESCOLA]],tbNucleo[ESCOLA],tbNucleo[COD ESCOLA],"")</f>
        <v/>
      </c>
      <c r="B2160" t="str" cm="1">
        <f t="array" ref="B2160">IFERROR(INDEX(tbNucleo[ESCOLA],ROUNDUP(ROW(B2159)/TotalEtapas,0)),"")</f>
        <v/>
      </c>
      <c r="E2160" t="str">
        <f>IFERROR(VLOOKUP(tbEscolas[[#This Row],[COD ETPA]],tbEtapas[],2,FALSE),"")</f>
        <v/>
      </c>
      <c r="F2160" t="str">
        <f>IFERROR(VLOOKUP(tbEscolas[[#This Row],[COD ETPA]],tbEtapas[],3,FALSE),"")</f>
        <v/>
      </c>
    </row>
    <row r="2161" spans="1:6" x14ac:dyDescent="0.25">
      <c r="A2161" s="24" t="str">
        <f>_xlfn.XLOOKUP(tbEscolas[[#This Row],[ESCOLA]],tbNucleo[ESCOLA],tbNucleo[COD ESCOLA],"")</f>
        <v/>
      </c>
      <c r="B2161" t="str" cm="1">
        <f t="array" ref="B2161">IFERROR(INDEX(tbNucleo[ESCOLA],ROUNDUP(ROW(B2160)/TotalEtapas,0)),"")</f>
        <v/>
      </c>
      <c r="E2161" t="str">
        <f>IFERROR(VLOOKUP(tbEscolas[[#This Row],[COD ETPA]],tbEtapas[],2,FALSE),"")</f>
        <v/>
      </c>
      <c r="F2161" t="str">
        <f>IFERROR(VLOOKUP(tbEscolas[[#This Row],[COD ETPA]],tbEtapas[],3,FALSE),"")</f>
        <v/>
      </c>
    </row>
    <row r="2162" spans="1:6" x14ac:dyDescent="0.25">
      <c r="A2162" s="24" t="str">
        <f>_xlfn.XLOOKUP(tbEscolas[[#This Row],[ESCOLA]],tbNucleo[ESCOLA],tbNucleo[COD ESCOLA],"")</f>
        <v/>
      </c>
      <c r="B2162" t="str" cm="1">
        <f t="array" ref="B2162">IFERROR(INDEX(tbNucleo[ESCOLA],ROUNDUP(ROW(B2161)/TotalEtapas,0)),"")</f>
        <v/>
      </c>
      <c r="E2162" t="str">
        <f>IFERROR(VLOOKUP(tbEscolas[[#This Row],[COD ETPA]],tbEtapas[],2,FALSE),"")</f>
        <v/>
      </c>
      <c r="F2162" t="str">
        <f>IFERROR(VLOOKUP(tbEscolas[[#This Row],[COD ETPA]],tbEtapas[],3,FALSE),"")</f>
        <v/>
      </c>
    </row>
    <row r="2163" spans="1:6" x14ac:dyDescent="0.25">
      <c r="A2163" s="24" t="str">
        <f>_xlfn.XLOOKUP(tbEscolas[[#This Row],[ESCOLA]],tbNucleo[ESCOLA],tbNucleo[COD ESCOLA],"")</f>
        <v/>
      </c>
      <c r="B2163" t="str" cm="1">
        <f t="array" ref="B2163">IFERROR(INDEX(tbNucleo[ESCOLA],ROUNDUP(ROW(B2162)/TotalEtapas,0)),"")</f>
        <v/>
      </c>
      <c r="E2163" t="str">
        <f>IFERROR(VLOOKUP(tbEscolas[[#This Row],[COD ETPA]],tbEtapas[],2,FALSE),"")</f>
        <v/>
      </c>
      <c r="F2163" t="str">
        <f>IFERROR(VLOOKUP(tbEscolas[[#This Row],[COD ETPA]],tbEtapas[],3,FALSE),"")</f>
        <v/>
      </c>
    </row>
    <row r="2164" spans="1:6" x14ac:dyDescent="0.25">
      <c r="A2164" s="24" t="str">
        <f>_xlfn.XLOOKUP(tbEscolas[[#This Row],[ESCOLA]],tbNucleo[ESCOLA],tbNucleo[COD ESCOLA],"")</f>
        <v/>
      </c>
      <c r="B2164" t="str" cm="1">
        <f t="array" ref="B2164">IFERROR(INDEX(tbNucleo[ESCOLA],ROUNDUP(ROW(B2163)/TotalEtapas,0)),"")</f>
        <v/>
      </c>
      <c r="E2164" t="str">
        <f>IFERROR(VLOOKUP(tbEscolas[[#This Row],[COD ETPA]],tbEtapas[],2,FALSE),"")</f>
        <v/>
      </c>
      <c r="F2164" t="str">
        <f>IFERROR(VLOOKUP(tbEscolas[[#This Row],[COD ETPA]],tbEtapas[],3,FALSE),"")</f>
        <v/>
      </c>
    </row>
    <row r="2165" spans="1:6" x14ac:dyDescent="0.25">
      <c r="A2165" s="24" t="str">
        <f>_xlfn.XLOOKUP(tbEscolas[[#This Row],[ESCOLA]],tbNucleo[ESCOLA],tbNucleo[COD ESCOLA],"")</f>
        <v/>
      </c>
      <c r="B2165" t="str" cm="1">
        <f t="array" ref="B2165">IFERROR(INDEX(tbNucleo[ESCOLA],ROUNDUP(ROW(B2164)/TotalEtapas,0)),"")</f>
        <v/>
      </c>
      <c r="E2165" t="str">
        <f>IFERROR(VLOOKUP(tbEscolas[[#This Row],[COD ETPA]],tbEtapas[],2,FALSE),"")</f>
        <v/>
      </c>
      <c r="F2165" t="str">
        <f>IFERROR(VLOOKUP(tbEscolas[[#This Row],[COD ETPA]],tbEtapas[],3,FALSE),"")</f>
        <v/>
      </c>
    </row>
    <row r="2166" spans="1:6" x14ac:dyDescent="0.25">
      <c r="A2166" s="24" t="str">
        <f>_xlfn.XLOOKUP(tbEscolas[[#This Row],[ESCOLA]],tbNucleo[ESCOLA],tbNucleo[COD ESCOLA],"")</f>
        <v/>
      </c>
      <c r="B2166" t="str" cm="1">
        <f t="array" ref="B2166">IFERROR(INDEX(tbNucleo[ESCOLA],ROUNDUP(ROW(B2165)/TotalEtapas,0)),"")</f>
        <v/>
      </c>
      <c r="E2166" t="str">
        <f>IFERROR(VLOOKUP(tbEscolas[[#This Row],[COD ETPA]],tbEtapas[],2,FALSE),"")</f>
        <v/>
      </c>
      <c r="F2166" t="str">
        <f>IFERROR(VLOOKUP(tbEscolas[[#This Row],[COD ETPA]],tbEtapas[],3,FALSE),"")</f>
        <v/>
      </c>
    </row>
    <row r="2167" spans="1:6" x14ac:dyDescent="0.25">
      <c r="A2167" s="24" t="str">
        <f>_xlfn.XLOOKUP(tbEscolas[[#This Row],[ESCOLA]],tbNucleo[ESCOLA],tbNucleo[COD ESCOLA],"")</f>
        <v/>
      </c>
      <c r="B2167" t="str" cm="1">
        <f t="array" ref="B2167">IFERROR(INDEX(tbNucleo[ESCOLA],ROUNDUP(ROW(B2166)/TotalEtapas,0)),"")</f>
        <v/>
      </c>
      <c r="E2167" t="str">
        <f>IFERROR(VLOOKUP(tbEscolas[[#This Row],[COD ETPA]],tbEtapas[],2,FALSE),"")</f>
        <v/>
      </c>
      <c r="F2167" t="str">
        <f>IFERROR(VLOOKUP(tbEscolas[[#This Row],[COD ETPA]],tbEtapas[],3,FALSE),"")</f>
        <v/>
      </c>
    </row>
    <row r="2168" spans="1:6" x14ac:dyDescent="0.25">
      <c r="A2168" s="24" t="str">
        <f>_xlfn.XLOOKUP(tbEscolas[[#This Row],[ESCOLA]],tbNucleo[ESCOLA],tbNucleo[COD ESCOLA],"")</f>
        <v/>
      </c>
      <c r="B2168" t="str" cm="1">
        <f t="array" ref="B2168">IFERROR(INDEX(tbNucleo[ESCOLA],ROUNDUP(ROW(B2167)/TotalEtapas,0)),"")</f>
        <v/>
      </c>
      <c r="E2168" t="str">
        <f>IFERROR(VLOOKUP(tbEscolas[[#This Row],[COD ETPA]],tbEtapas[],2,FALSE),"")</f>
        <v/>
      </c>
      <c r="F2168" t="str">
        <f>IFERROR(VLOOKUP(tbEscolas[[#This Row],[COD ETPA]],tbEtapas[],3,FALSE),"")</f>
        <v/>
      </c>
    </row>
    <row r="2169" spans="1:6" x14ac:dyDescent="0.25">
      <c r="A2169" s="24" t="str">
        <f>_xlfn.XLOOKUP(tbEscolas[[#This Row],[ESCOLA]],tbNucleo[ESCOLA],tbNucleo[COD ESCOLA],"")</f>
        <v/>
      </c>
      <c r="B2169" t="str" cm="1">
        <f t="array" ref="B2169">IFERROR(INDEX(tbNucleo[ESCOLA],ROUNDUP(ROW(B2168)/TotalEtapas,0)),"")</f>
        <v/>
      </c>
      <c r="E2169" t="str">
        <f>IFERROR(VLOOKUP(tbEscolas[[#This Row],[COD ETPA]],tbEtapas[],2,FALSE),"")</f>
        <v/>
      </c>
      <c r="F2169" t="str">
        <f>IFERROR(VLOOKUP(tbEscolas[[#This Row],[COD ETPA]],tbEtapas[],3,FALSE),"")</f>
        <v/>
      </c>
    </row>
    <row r="2170" spans="1:6" x14ac:dyDescent="0.25">
      <c r="A2170" s="24" t="str">
        <f>_xlfn.XLOOKUP(tbEscolas[[#This Row],[ESCOLA]],tbNucleo[ESCOLA],tbNucleo[COD ESCOLA],"")</f>
        <v/>
      </c>
      <c r="B2170" t="str" cm="1">
        <f t="array" ref="B2170">IFERROR(INDEX(tbNucleo[ESCOLA],ROUNDUP(ROW(B2169)/TotalEtapas,0)),"")</f>
        <v/>
      </c>
      <c r="E2170" t="str">
        <f>IFERROR(VLOOKUP(tbEscolas[[#This Row],[COD ETPA]],tbEtapas[],2,FALSE),"")</f>
        <v/>
      </c>
      <c r="F2170" t="str">
        <f>IFERROR(VLOOKUP(tbEscolas[[#This Row],[COD ETPA]],tbEtapas[],3,FALSE),"")</f>
        <v/>
      </c>
    </row>
    <row r="2171" spans="1:6" x14ac:dyDescent="0.25">
      <c r="A2171" s="24" t="str">
        <f>_xlfn.XLOOKUP(tbEscolas[[#This Row],[ESCOLA]],tbNucleo[ESCOLA],tbNucleo[COD ESCOLA],"")</f>
        <v/>
      </c>
      <c r="B2171" t="str" cm="1">
        <f t="array" ref="B2171">IFERROR(INDEX(tbNucleo[ESCOLA],ROUNDUP(ROW(B2170)/TotalEtapas,0)),"")</f>
        <v/>
      </c>
      <c r="E2171" t="str">
        <f>IFERROR(VLOOKUP(tbEscolas[[#This Row],[COD ETPA]],tbEtapas[],2,FALSE),"")</f>
        <v/>
      </c>
      <c r="F2171" t="str">
        <f>IFERROR(VLOOKUP(tbEscolas[[#This Row],[COD ETPA]],tbEtapas[],3,FALSE),"")</f>
        <v/>
      </c>
    </row>
    <row r="2172" spans="1:6" x14ac:dyDescent="0.25">
      <c r="A2172" s="24" t="str">
        <f>_xlfn.XLOOKUP(tbEscolas[[#This Row],[ESCOLA]],tbNucleo[ESCOLA],tbNucleo[COD ESCOLA],"")</f>
        <v/>
      </c>
      <c r="B2172" t="str" cm="1">
        <f t="array" ref="B2172">IFERROR(INDEX(tbNucleo[ESCOLA],ROUNDUP(ROW(B2171)/TotalEtapas,0)),"")</f>
        <v/>
      </c>
      <c r="E2172" t="str">
        <f>IFERROR(VLOOKUP(tbEscolas[[#This Row],[COD ETPA]],tbEtapas[],2,FALSE),"")</f>
        <v/>
      </c>
      <c r="F2172" t="str">
        <f>IFERROR(VLOOKUP(tbEscolas[[#This Row],[COD ETPA]],tbEtapas[],3,FALSE),"")</f>
        <v/>
      </c>
    </row>
    <row r="2173" spans="1:6" x14ac:dyDescent="0.25">
      <c r="A2173" s="24" t="str">
        <f>_xlfn.XLOOKUP(tbEscolas[[#This Row],[ESCOLA]],tbNucleo[ESCOLA],tbNucleo[COD ESCOLA],"")</f>
        <v/>
      </c>
      <c r="B2173" t="str" cm="1">
        <f t="array" ref="B2173">IFERROR(INDEX(tbNucleo[ESCOLA],ROUNDUP(ROW(B2172)/TotalEtapas,0)),"")</f>
        <v/>
      </c>
      <c r="E2173" t="str">
        <f>IFERROR(VLOOKUP(tbEscolas[[#This Row],[COD ETPA]],tbEtapas[],2,FALSE),"")</f>
        <v/>
      </c>
      <c r="F2173" t="str">
        <f>IFERROR(VLOOKUP(tbEscolas[[#This Row],[COD ETPA]],tbEtapas[],3,FALSE),"")</f>
        <v/>
      </c>
    </row>
    <row r="2174" spans="1:6" x14ac:dyDescent="0.25">
      <c r="A2174" s="24" t="str">
        <f>_xlfn.XLOOKUP(tbEscolas[[#This Row],[ESCOLA]],tbNucleo[ESCOLA],tbNucleo[COD ESCOLA],"")</f>
        <v/>
      </c>
      <c r="B2174" t="str" cm="1">
        <f t="array" ref="B2174">IFERROR(INDEX(tbNucleo[ESCOLA],ROUNDUP(ROW(B2173)/TotalEtapas,0)),"")</f>
        <v/>
      </c>
      <c r="E2174" t="str">
        <f>IFERROR(VLOOKUP(tbEscolas[[#This Row],[COD ETPA]],tbEtapas[],2,FALSE),"")</f>
        <v/>
      </c>
      <c r="F2174" t="str">
        <f>IFERROR(VLOOKUP(tbEscolas[[#This Row],[COD ETPA]],tbEtapas[],3,FALSE),"")</f>
        <v/>
      </c>
    </row>
    <row r="2175" spans="1:6" x14ac:dyDescent="0.25">
      <c r="A2175" s="24" t="str">
        <f>_xlfn.XLOOKUP(tbEscolas[[#This Row],[ESCOLA]],tbNucleo[ESCOLA],tbNucleo[COD ESCOLA],"")</f>
        <v/>
      </c>
      <c r="B2175" t="str" cm="1">
        <f t="array" ref="B2175">IFERROR(INDEX(tbNucleo[ESCOLA],ROUNDUP(ROW(B2174)/TotalEtapas,0)),"")</f>
        <v/>
      </c>
      <c r="E2175" t="str">
        <f>IFERROR(VLOOKUP(tbEscolas[[#This Row],[COD ETPA]],tbEtapas[],2,FALSE),"")</f>
        <v/>
      </c>
      <c r="F2175" t="str">
        <f>IFERROR(VLOOKUP(tbEscolas[[#This Row],[COD ETPA]],tbEtapas[],3,FALSE),"")</f>
        <v/>
      </c>
    </row>
    <row r="2176" spans="1:6" x14ac:dyDescent="0.25">
      <c r="A2176" s="24" t="str">
        <f>_xlfn.XLOOKUP(tbEscolas[[#This Row],[ESCOLA]],tbNucleo[ESCOLA],tbNucleo[COD ESCOLA],"")</f>
        <v/>
      </c>
      <c r="B2176" t="str" cm="1">
        <f t="array" ref="B2176">IFERROR(INDEX(tbNucleo[ESCOLA],ROUNDUP(ROW(B2175)/TotalEtapas,0)),"")</f>
        <v/>
      </c>
      <c r="E2176" t="str">
        <f>IFERROR(VLOOKUP(tbEscolas[[#This Row],[COD ETPA]],tbEtapas[],2,FALSE),"")</f>
        <v/>
      </c>
      <c r="F2176" t="str">
        <f>IFERROR(VLOOKUP(tbEscolas[[#This Row],[COD ETPA]],tbEtapas[],3,FALSE),"")</f>
        <v/>
      </c>
    </row>
    <row r="2177" spans="1:6" x14ac:dyDescent="0.25">
      <c r="A2177" s="24" t="str">
        <f>_xlfn.XLOOKUP(tbEscolas[[#This Row],[ESCOLA]],tbNucleo[ESCOLA],tbNucleo[COD ESCOLA],"")</f>
        <v/>
      </c>
      <c r="B2177" t="str" cm="1">
        <f t="array" ref="B2177">IFERROR(INDEX(tbNucleo[ESCOLA],ROUNDUP(ROW(B2176)/TotalEtapas,0)),"")</f>
        <v/>
      </c>
      <c r="E2177" t="str">
        <f>IFERROR(VLOOKUP(tbEscolas[[#This Row],[COD ETPA]],tbEtapas[],2,FALSE),"")</f>
        <v/>
      </c>
      <c r="F2177" t="str">
        <f>IFERROR(VLOOKUP(tbEscolas[[#This Row],[COD ETPA]],tbEtapas[],3,FALSE),"")</f>
        <v/>
      </c>
    </row>
    <row r="2178" spans="1:6" x14ac:dyDescent="0.25">
      <c r="A2178" s="24" t="str">
        <f>_xlfn.XLOOKUP(tbEscolas[[#This Row],[ESCOLA]],tbNucleo[ESCOLA],tbNucleo[COD ESCOLA],"")</f>
        <v/>
      </c>
      <c r="B2178" t="str" cm="1">
        <f t="array" ref="B2178">IFERROR(INDEX(tbNucleo[ESCOLA],ROUNDUP(ROW(B2177)/TotalEtapas,0)),"")</f>
        <v/>
      </c>
      <c r="E2178" t="str">
        <f>IFERROR(VLOOKUP(tbEscolas[[#This Row],[COD ETPA]],tbEtapas[],2,FALSE),"")</f>
        <v/>
      </c>
      <c r="F2178" t="str">
        <f>IFERROR(VLOOKUP(tbEscolas[[#This Row],[COD ETPA]],tbEtapas[],3,FALSE),"")</f>
        <v/>
      </c>
    </row>
    <row r="2179" spans="1:6" x14ac:dyDescent="0.25">
      <c r="A2179" s="24" t="str">
        <f>_xlfn.XLOOKUP(tbEscolas[[#This Row],[ESCOLA]],tbNucleo[ESCOLA],tbNucleo[COD ESCOLA],"")</f>
        <v/>
      </c>
      <c r="B2179" t="str" cm="1">
        <f t="array" ref="B2179">IFERROR(INDEX(tbNucleo[ESCOLA],ROUNDUP(ROW(B2178)/TotalEtapas,0)),"")</f>
        <v/>
      </c>
      <c r="E2179" t="str">
        <f>IFERROR(VLOOKUP(tbEscolas[[#This Row],[COD ETPA]],tbEtapas[],2,FALSE),"")</f>
        <v/>
      </c>
      <c r="F2179" t="str">
        <f>IFERROR(VLOOKUP(tbEscolas[[#This Row],[COD ETPA]],tbEtapas[],3,FALSE),"")</f>
        <v/>
      </c>
    </row>
    <row r="2180" spans="1:6" x14ac:dyDescent="0.25">
      <c r="A2180" s="24" t="str">
        <f>_xlfn.XLOOKUP(tbEscolas[[#This Row],[ESCOLA]],tbNucleo[ESCOLA],tbNucleo[COD ESCOLA],"")</f>
        <v/>
      </c>
      <c r="B2180" t="str" cm="1">
        <f t="array" ref="B2180">IFERROR(INDEX(tbNucleo[ESCOLA],ROUNDUP(ROW(B2179)/TotalEtapas,0)),"")</f>
        <v/>
      </c>
      <c r="E2180" t="str">
        <f>IFERROR(VLOOKUP(tbEscolas[[#This Row],[COD ETPA]],tbEtapas[],2,FALSE),"")</f>
        <v/>
      </c>
      <c r="F2180" t="str">
        <f>IFERROR(VLOOKUP(tbEscolas[[#This Row],[COD ETPA]],tbEtapas[],3,FALSE),"")</f>
        <v/>
      </c>
    </row>
    <row r="2181" spans="1:6" x14ac:dyDescent="0.25">
      <c r="A2181" s="24" t="str">
        <f>_xlfn.XLOOKUP(tbEscolas[[#This Row],[ESCOLA]],tbNucleo[ESCOLA],tbNucleo[COD ESCOLA],"")</f>
        <v/>
      </c>
      <c r="B2181" t="str" cm="1">
        <f t="array" ref="B2181">IFERROR(INDEX(tbNucleo[ESCOLA],ROUNDUP(ROW(B2180)/TotalEtapas,0)),"")</f>
        <v/>
      </c>
      <c r="E2181" t="str">
        <f>IFERROR(VLOOKUP(tbEscolas[[#This Row],[COD ETPA]],tbEtapas[],2,FALSE),"")</f>
        <v/>
      </c>
      <c r="F2181" t="str">
        <f>IFERROR(VLOOKUP(tbEscolas[[#This Row],[COD ETPA]],tbEtapas[],3,FALSE),"")</f>
        <v/>
      </c>
    </row>
    <row r="2182" spans="1:6" x14ac:dyDescent="0.25">
      <c r="A2182" s="24" t="str">
        <f>_xlfn.XLOOKUP(tbEscolas[[#This Row],[ESCOLA]],tbNucleo[ESCOLA],tbNucleo[COD ESCOLA],"")</f>
        <v/>
      </c>
      <c r="B2182" t="str" cm="1">
        <f t="array" ref="B2182">IFERROR(INDEX(tbNucleo[ESCOLA],ROUNDUP(ROW(B2181)/TotalEtapas,0)),"")</f>
        <v/>
      </c>
      <c r="E2182" t="str">
        <f>IFERROR(VLOOKUP(tbEscolas[[#This Row],[COD ETPA]],tbEtapas[],2,FALSE),"")</f>
        <v/>
      </c>
      <c r="F2182" t="str">
        <f>IFERROR(VLOOKUP(tbEscolas[[#This Row],[COD ETPA]],tbEtapas[],3,FALSE),"")</f>
        <v/>
      </c>
    </row>
    <row r="2183" spans="1:6" x14ac:dyDescent="0.25">
      <c r="A2183" s="24" t="str">
        <f>_xlfn.XLOOKUP(tbEscolas[[#This Row],[ESCOLA]],tbNucleo[ESCOLA],tbNucleo[COD ESCOLA],"")</f>
        <v/>
      </c>
      <c r="B2183" t="str" cm="1">
        <f t="array" ref="B2183">IFERROR(INDEX(tbNucleo[ESCOLA],ROUNDUP(ROW(B2182)/TotalEtapas,0)),"")</f>
        <v/>
      </c>
      <c r="E2183" t="str">
        <f>IFERROR(VLOOKUP(tbEscolas[[#This Row],[COD ETPA]],tbEtapas[],2,FALSE),"")</f>
        <v/>
      </c>
      <c r="F2183" t="str">
        <f>IFERROR(VLOOKUP(tbEscolas[[#This Row],[COD ETPA]],tbEtapas[],3,FALSE),"")</f>
        <v/>
      </c>
    </row>
    <row r="2184" spans="1:6" x14ac:dyDescent="0.25">
      <c r="A2184" s="24" t="str">
        <f>_xlfn.XLOOKUP(tbEscolas[[#This Row],[ESCOLA]],tbNucleo[ESCOLA],tbNucleo[COD ESCOLA],"")</f>
        <v/>
      </c>
      <c r="B2184" t="str" cm="1">
        <f t="array" ref="B2184">IFERROR(INDEX(tbNucleo[ESCOLA],ROUNDUP(ROW(B2183)/TotalEtapas,0)),"")</f>
        <v/>
      </c>
      <c r="E2184" t="str">
        <f>IFERROR(VLOOKUP(tbEscolas[[#This Row],[COD ETPA]],tbEtapas[],2,FALSE),"")</f>
        <v/>
      </c>
      <c r="F2184" t="str">
        <f>IFERROR(VLOOKUP(tbEscolas[[#This Row],[COD ETPA]],tbEtapas[],3,FALSE),"")</f>
        <v/>
      </c>
    </row>
    <row r="2185" spans="1:6" x14ac:dyDescent="0.25">
      <c r="A2185" s="24" t="str">
        <f>_xlfn.XLOOKUP(tbEscolas[[#This Row],[ESCOLA]],tbNucleo[ESCOLA],tbNucleo[COD ESCOLA],"")</f>
        <v/>
      </c>
      <c r="B2185" t="str" cm="1">
        <f t="array" ref="B2185">IFERROR(INDEX(tbNucleo[ESCOLA],ROUNDUP(ROW(B2184)/TotalEtapas,0)),"")</f>
        <v/>
      </c>
      <c r="E2185" t="str">
        <f>IFERROR(VLOOKUP(tbEscolas[[#This Row],[COD ETPA]],tbEtapas[],2,FALSE),"")</f>
        <v/>
      </c>
      <c r="F2185" t="str">
        <f>IFERROR(VLOOKUP(tbEscolas[[#This Row],[COD ETPA]],tbEtapas[],3,FALSE),"")</f>
        <v/>
      </c>
    </row>
    <row r="2186" spans="1:6" x14ac:dyDescent="0.25">
      <c r="A2186" s="24" t="str">
        <f>_xlfn.XLOOKUP(tbEscolas[[#This Row],[ESCOLA]],tbNucleo[ESCOLA],tbNucleo[COD ESCOLA],"")</f>
        <v/>
      </c>
      <c r="B2186" t="str" cm="1">
        <f t="array" ref="B2186">IFERROR(INDEX(tbNucleo[ESCOLA],ROUNDUP(ROW(B2185)/TotalEtapas,0)),"")</f>
        <v/>
      </c>
      <c r="E2186" t="str">
        <f>IFERROR(VLOOKUP(tbEscolas[[#This Row],[COD ETPA]],tbEtapas[],2,FALSE),"")</f>
        <v/>
      </c>
      <c r="F2186" t="str">
        <f>IFERROR(VLOOKUP(tbEscolas[[#This Row],[COD ETPA]],tbEtapas[],3,FALSE),"")</f>
        <v/>
      </c>
    </row>
    <row r="2187" spans="1:6" x14ac:dyDescent="0.25">
      <c r="A2187" s="24" t="str">
        <f>_xlfn.XLOOKUP(tbEscolas[[#This Row],[ESCOLA]],tbNucleo[ESCOLA],tbNucleo[COD ESCOLA],"")</f>
        <v/>
      </c>
      <c r="B2187" t="str" cm="1">
        <f t="array" ref="B2187">IFERROR(INDEX(tbNucleo[ESCOLA],ROUNDUP(ROW(B2186)/TotalEtapas,0)),"")</f>
        <v/>
      </c>
      <c r="E2187" t="str">
        <f>IFERROR(VLOOKUP(tbEscolas[[#This Row],[COD ETPA]],tbEtapas[],2,FALSE),"")</f>
        <v/>
      </c>
      <c r="F2187" t="str">
        <f>IFERROR(VLOOKUP(tbEscolas[[#This Row],[COD ETPA]],tbEtapas[],3,FALSE),"")</f>
        <v/>
      </c>
    </row>
    <row r="2188" spans="1:6" x14ac:dyDescent="0.25">
      <c r="A2188" s="24" t="str">
        <f>_xlfn.XLOOKUP(tbEscolas[[#This Row],[ESCOLA]],tbNucleo[ESCOLA],tbNucleo[COD ESCOLA],"")</f>
        <v/>
      </c>
      <c r="B2188" t="str" cm="1">
        <f t="array" ref="B2188">IFERROR(INDEX(tbNucleo[ESCOLA],ROUNDUP(ROW(B2187)/TotalEtapas,0)),"")</f>
        <v/>
      </c>
      <c r="E2188" t="str">
        <f>IFERROR(VLOOKUP(tbEscolas[[#This Row],[COD ETPA]],tbEtapas[],2,FALSE),"")</f>
        <v/>
      </c>
      <c r="F2188" t="str">
        <f>IFERROR(VLOOKUP(tbEscolas[[#This Row],[COD ETPA]],tbEtapas[],3,FALSE),"")</f>
        <v/>
      </c>
    </row>
    <row r="2189" spans="1:6" x14ac:dyDescent="0.25">
      <c r="A2189" s="24" t="str">
        <f>_xlfn.XLOOKUP(tbEscolas[[#This Row],[ESCOLA]],tbNucleo[ESCOLA],tbNucleo[COD ESCOLA],"")</f>
        <v/>
      </c>
      <c r="B2189" t="str" cm="1">
        <f t="array" ref="B2189">IFERROR(INDEX(tbNucleo[ESCOLA],ROUNDUP(ROW(B2188)/TotalEtapas,0)),"")</f>
        <v/>
      </c>
      <c r="E2189" t="str">
        <f>IFERROR(VLOOKUP(tbEscolas[[#This Row],[COD ETPA]],tbEtapas[],2,FALSE),"")</f>
        <v/>
      </c>
      <c r="F2189" t="str">
        <f>IFERROR(VLOOKUP(tbEscolas[[#This Row],[COD ETPA]],tbEtapas[],3,FALSE),"")</f>
        <v/>
      </c>
    </row>
    <row r="2190" spans="1:6" x14ac:dyDescent="0.25">
      <c r="A2190" s="24" t="str">
        <f>_xlfn.XLOOKUP(tbEscolas[[#This Row],[ESCOLA]],tbNucleo[ESCOLA],tbNucleo[COD ESCOLA],"")</f>
        <v/>
      </c>
      <c r="B2190" t="str" cm="1">
        <f t="array" ref="B2190">IFERROR(INDEX(tbNucleo[ESCOLA],ROUNDUP(ROW(B2189)/TotalEtapas,0)),"")</f>
        <v/>
      </c>
      <c r="E2190" t="str">
        <f>IFERROR(VLOOKUP(tbEscolas[[#This Row],[COD ETPA]],tbEtapas[],2,FALSE),"")</f>
        <v/>
      </c>
      <c r="F2190" t="str">
        <f>IFERROR(VLOOKUP(tbEscolas[[#This Row],[COD ETPA]],tbEtapas[],3,FALSE),"")</f>
        <v/>
      </c>
    </row>
    <row r="2191" spans="1:6" x14ac:dyDescent="0.25">
      <c r="A2191" s="24" t="str">
        <f>_xlfn.XLOOKUP(tbEscolas[[#This Row],[ESCOLA]],tbNucleo[ESCOLA],tbNucleo[COD ESCOLA],"")</f>
        <v/>
      </c>
      <c r="B2191" t="str" cm="1">
        <f t="array" ref="B2191">IFERROR(INDEX(tbNucleo[ESCOLA],ROUNDUP(ROW(B2190)/TotalEtapas,0)),"")</f>
        <v/>
      </c>
      <c r="E2191" t="str">
        <f>IFERROR(VLOOKUP(tbEscolas[[#This Row],[COD ETPA]],tbEtapas[],2,FALSE),"")</f>
        <v/>
      </c>
      <c r="F2191" t="str">
        <f>IFERROR(VLOOKUP(tbEscolas[[#This Row],[COD ETPA]],tbEtapas[],3,FALSE),"")</f>
        <v/>
      </c>
    </row>
    <row r="2192" spans="1:6" x14ac:dyDescent="0.25">
      <c r="A2192" s="24" t="str">
        <f>_xlfn.XLOOKUP(tbEscolas[[#This Row],[ESCOLA]],tbNucleo[ESCOLA],tbNucleo[COD ESCOLA],"")</f>
        <v/>
      </c>
      <c r="B2192" t="str" cm="1">
        <f t="array" ref="B2192">IFERROR(INDEX(tbNucleo[ESCOLA],ROUNDUP(ROW(B2191)/TotalEtapas,0)),"")</f>
        <v/>
      </c>
      <c r="E2192" t="str">
        <f>IFERROR(VLOOKUP(tbEscolas[[#This Row],[COD ETPA]],tbEtapas[],2,FALSE),"")</f>
        <v/>
      </c>
      <c r="F2192" t="str">
        <f>IFERROR(VLOOKUP(tbEscolas[[#This Row],[COD ETPA]],tbEtapas[],3,FALSE),"")</f>
        <v/>
      </c>
    </row>
    <row r="2193" spans="1:6" x14ac:dyDescent="0.25">
      <c r="A2193" s="24" t="str">
        <f>_xlfn.XLOOKUP(tbEscolas[[#This Row],[ESCOLA]],tbNucleo[ESCOLA],tbNucleo[COD ESCOLA],"")</f>
        <v/>
      </c>
      <c r="B2193" t="str" cm="1">
        <f t="array" ref="B2193">IFERROR(INDEX(tbNucleo[ESCOLA],ROUNDUP(ROW(B2192)/TotalEtapas,0)),"")</f>
        <v/>
      </c>
      <c r="E2193" t="str">
        <f>IFERROR(VLOOKUP(tbEscolas[[#This Row],[COD ETPA]],tbEtapas[],2,FALSE),"")</f>
        <v/>
      </c>
      <c r="F2193" t="str">
        <f>IFERROR(VLOOKUP(tbEscolas[[#This Row],[COD ETPA]],tbEtapas[],3,FALSE),"")</f>
        <v/>
      </c>
    </row>
    <row r="2194" spans="1:6" x14ac:dyDescent="0.25">
      <c r="A2194" s="24" t="str">
        <f>_xlfn.XLOOKUP(tbEscolas[[#This Row],[ESCOLA]],tbNucleo[ESCOLA],tbNucleo[COD ESCOLA],"")</f>
        <v/>
      </c>
      <c r="B2194" t="str" cm="1">
        <f t="array" ref="B2194">IFERROR(INDEX(tbNucleo[ESCOLA],ROUNDUP(ROW(B2193)/TotalEtapas,0)),"")</f>
        <v/>
      </c>
      <c r="E2194" t="str">
        <f>IFERROR(VLOOKUP(tbEscolas[[#This Row],[COD ETPA]],tbEtapas[],2,FALSE),"")</f>
        <v/>
      </c>
      <c r="F2194" t="str">
        <f>IFERROR(VLOOKUP(tbEscolas[[#This Row],[COD ETPA]],tbEtapas[],3,FALSE),"")</f>
        <v/>
      </c>
    </row>
    <row r="2195" spans="1:6" x14ac:dyDescent="0.25">
      <c r="A2195" s="24" t="str">
        <f>_xlfn.XLOOKUP(tbEscolas[[#This Row],[ESCOLA]],tbNucleo[ESCOLA],tbNucleo[COD ESCOLA],"")</f>
        <v/>
      </c>
      <c r="B2195" t="str" cm="1">
        <f t="array" ref="B2195">IFERROR(INDEX(tbNucleo[ESCOLA],ROUNDUP(ROW(B2194)/TotalEtapas,0)),"")</f>
        <v/>
      </c>
      <c r="E2195" t="str">
        <f>IFERROR(VLOOKUP(tbEscolas[[#This Row],[COD ETPA]],tbEtapas[],2,FALSE),"")</f>
        <v/>
      </c>
      <c r="F2195" t="str">
        <f>IFERROR(VLOOKUP(tbEscolas[[#This Row],[COD ETPA]],tbEtapas[],3,FALSE),"")</f>
        <v/>
      </c>
    </row>
    <row r="2196" spans="1:6" x14ac:dyDescent="0.25">
      <c r="A2196" s="24" t="str">
        <f>_xlfn.XLOOKUP(tbEscolas[[#This Row],[ESCOLA]],tbNucleo[ESCOLA],tbNucleo[COD ESCOLA],"")</f>
        <v/>
      </c>
      <c r="B2196" t="str" cm="1">
        <f t="array" ref="B2196">IFERROR(INDEX(tbNucleo[ESCOLA],ROUNDUP(ROW(B2195)/TotalEtapas,0)),"")</f>
        <v/>
      </c>
      <c r="E2196" t="str">
        <f>IFERROR(VLOOKUP(tbEscolas[[#This Row],[COD ETPA]],tbEtapas[],2,FALSE),"")</f>
        <v/>
      </c>
      <c r="F2196" t="str">
        <f>IFERROR(VLOOKUP(tbEscolas[[#This Row],[COD ETPA]],tbEtapas[],3,FALSE),"")</f>
        <v/>
      </c>
    </row>
    <row r="2197" spans="1:6" x14ac:dyDescent="0.25">
      <c r="A2197" s="24" t="str">
        <f>_xlfn.XLOOKUP(tbEscolas[[#This Row],[ESCOLA]],tbNucleo[ESCOLA],tbNucleo[COD ESCOLA],"")</f>
        <v/>
      </c>
      <c r="B2197" t="str" cm="1">
        <f t="array" ref="B2197">IFERROR(INDEX(tbNucleo[ESCOLA],ROUNDUP(ROW(B2196)/TotalEtapas,0)),"")</f>
        <v/>
      </c>
      <c r="E2197" t="str">
        <f>IFERROR(VLOOKUP(tbEscolas[[#This Row],[COD ETPA]],tbEtapas[],2,FALSE),"")</f>
        <v/>
      </c>
      <c r="F2197" t="str">
        <f>IFERROR(VLOOKUP(tbEscolas[[#This Row],[COD ETPA]],tbEtapas[],3,FALSE),"")</f>
        <v/>
      </c>
    </row>
    <row r="2198" spans="1:6" x14ac:dyDescent="0.25">
      <c r="A2198" s="24" t="str">
        <f>_xlfn.XLOOKUP(tbEscolas[[#This Row],[ESCOLA]],tbNucleo[ESCOLA],tbNucleo[COD ESCOLA],"")</f>
        <v/>
      </c>
      <c r="B2198" t="str" cm="1">
        <f t="array" ref="B2198">IFERROR(INDEX(tbNucleo[ESCOLA],ROUNDUP(ROW(B2197)/TotalEtapas,0)),"")</f>
        <v/>
      </c>
      <c r="E2198" t="str">
        <f>IFERROR(VLOOKUP(tbEscolas[[#This Row],[COD ETPA]],tbEtapas[],2,FALSE),"")</f>
        <v/>
      </c>
      <c r="F2198" t="str">
        <f>IFERROR(VLOOKUP(tbEscolas[[#This Row],[COD ETPA]],tbEtapas[],3,FALSE),"")</f>
        <v/>
      </c>
    </row>
    <row r="2199" spans="1:6" x14ac:dyDescent="0.25">
      <c r="A2199" s="24" t="str">
        <f>_xlfn.XLOOKUP(tbEscolas[[#This Row],[ESCOLA]],tbNucleo[ESCOLA],tbNucleo[COD ESCOLA],"")</f>
        <v/>
      </c>
      <c r="B2199" t="str" cm="1">
        <f t="array" ref="B2199">IFERROR(INDEX(tbNucleo[ESCOLA],ROUNDUP(ROW(B2198)/TotalEtapas,0)),"")</f>
        <v/>
      </c>
      <c r="E2199" t="str">
        <f>IFERROR(VLOOKUP(tbEscolas[[#This Row],[COD ETPA]],tbEtapas[],2,FALSE),"")</f>
        <v/>
      </c>
      <c r="F2199" t="str">
        <f>IFERROR(VLOOKUP(tbEscolas[[#This Row],[COD ETPA]],tbEtapas[],3,FALSE),"")</f>
        <v/>
      </c>
    </row>
    <row r="2200" spans="1:6" x14ac:dyDescent="0.25">
      <c r="A2200" s="24" t="str">
        <f>_xlfn.XLOOKUP(tbEscolas[[#This Row],[ESCOLA]],tbNucleo[ESCOLA],tbNucleo[COD ESCOLA],"")</f>
        <v/>
      </c>
      <c r="B2200" t="str" cm="1">
        <f t="array" ref="B2200">IFERROR(INDEX(tbNucleo[ESCOLA],ROUNDUP(ROW(B2199)/TotalEtapas,0)),"")</f>
        <v/>
      </c>
      <c r="E2200" t="str">
        <f>IFERROR(VLOOKUP(tbEscolas[[#This Row],[COD ETPA]],tbEtapas[],2,FALSE),"")</f>
        <v/>
      </c>
      <c r="F2200" t="str">
        <f>IFERROR(VLOOKUP(tbEscolas[[#This Row],[COD ETPA]],tbEtapas[],3,FALSE),"")</f>
        <v/>
      </c>
    </row>
    <row r="2201" spans="1:6" x14ac:dyDescent="0.25">
      <c r="A2201" s="24" t="str">
        <f>_xlfn.XLOOKUP(tbEscolas[[#This Row],[ESCOLA]],tbNucleo[ESCOLA],tbNucleo[COD ESCOLA],"")</f>
        <v/>
      </c>
      <c r="B2201" t="str" cm="1">
        <f t="array" ref="B2201">IFERROR(INDEX(tbNucleo[ESCOLA],ROUNDUP(ROW(B2200)/TotalEtapas,0)),"")</f>
        <v/>
      </c>
      <c r="E2201" t="str">
        <f>IFERROR(VLOOKUP(tbEscolas[[#This Row],[COD ETPA]],tbEtapas[],2,FALSE),"")</f>
        <v/>
      </c>
      <c r="F2201" t="str">
        <f>IFERROR(VLOOKUP(tbEscolas[[#This Row],[COD ETPA]],tbEtapas[],3,FALSE),"")</f>
        <v/>
      </c>
    </row>
    <row r="2202" spans="1:6" x14ac:dyDescent="0.25">
      <c r="A2202" s="24" t="str">
        <f>_xlfn.XLOOKUP(tbEscolas[[#This Row],[ESCOLA]],tbNucleo[ESCOLA],tbNucleo[COD ESCOLA],"")</f>
        <v/>
      </c>
      <c r="B2202" t="str" cm="1">
        <f t="array" ref="B2202">IFERROR(INDEX(tbNucleo[ESCOLA],ROUNDUP(ROW(B2201)/TotalEtapas,0)),"")</f>
        <v/>
      </c>
      <c r="E2202" t="str">
        <f>IFERROR(VLOOKUP(tbEscolas[[#This Row],[COD ETPA]],tbEtapas[],2,FALSE),"")</f>
        <v/>
      </c>
      <c r="F2202" t="str">
        <f>IFERROR(VLOOKUP(tbEscolas[[#This Row],[COD ETPA]],tbEtapas[],3,FALSE),"")</f>
        <v/>
      </c>
    </row>
    <row r="2203" spans="1:6" x14ac:dyDescent="0.25">
      <c r="A2203" s="24" t="str">
        <f>_xlfn.XLOOKUP(tbEscolas[[#This Row],[ESCOLA]],tbNucleo[ESCOLA],tbNucleo[COD ESCOLA],"")</f>
        <v/>
      </c>
      <c r="B2203" t="str" cm="1">
        <f t="array" ref="B2203">IFERROR(INDEX(tbNucleo[ESCOLA],ROUNDUP(ROW(B2202)/TotalEtapas,0)),"")</f>
        <v/>
      </c>
      <c r="E2203" t="str">
        <f>IFERROR(VLOOKUP(tbEscolas[[#This Row],[COD ETPA]],tbEtapas[],2,FALSE),"")</f>
        <v/>
      </c>
      <c r="F2203" t="str">
        <f>IFERROR(VLOOKUP(tbEscolas[[#This Row],[COD ETPA]],tbEtapas[],3,FALSE),"")</f>
        <v/>
      </c>
    </row>
    <row r="2204" spans="1:6" x14ac:dyDescent="0.25">
      <c r="A2204" s="24" t="str">
        <f>_xlfn.XLOOKUP(tbEscolas[[#This Row],[ESCOLA]],tbNucleo[ESCOLA],tbNucleo[COD ESCOLA],"")</f>
        <v/>
      </c>
      <c r="B2204" t="str" cm="1">
        <f t="array" ref="B2204">IFERROR(INDEX(tbNucleo[ESCOLA],ROUNDUP(ROW(B2203)/TotalEtapas,0)),"")</f>
        <v/>
      </c>
      <c r="E2204" t="str">
        <f>IFERROR(VLOOKUP(tbEscolas[[#This Row],[COD ETPA]],tbEtapas[],2,FALSE),"")</f>
        <v/>
      </c>
      <c r="F2204" t="str">
        <f>IFERROR(VLOOKUP(tbEscolas[[#This Row],[COD ETPA]],tbEtapas[],3,FALSE),"")</f>
        <v/>
      </c>
    </row>
    <row r="2205" spans="1:6" x14ac:dyDescent="0.25">
      <c r="A2205" s="24" t="str">
        <f>_xlfn.XLOOKUP(tbEscolas[[#This Row],[ESCOLA]],tbNucleo[ESCOLA],tbNucleo[COD ESCOLA],"")</f>
        <v/>
      </c>
      <c r="B2205" t="str" cm="1">
        <f t="array" ref="B2205">IFERROR(INDEX(tbNucleo[ESCOLA],ROUNDUP(ROW(B2204)/TotalEtapas,0)),"")</f>
        <v/>
      </c>
      <c r="E2205" t="str">
        <f>IFERROR(VLOOKUP(tbEscolas[[#This Row],[COD ETPA]],tbEtapas[],2,FALSE),"")</f>
        <v/>
      </c>
      <c r="F2205" t="str">
        <f>IFERROR(VLOOKUP(tbEscolas[[#This Row],[COD ETPA]],tbEtapas[],3,FALSE),"")</f>
        <v/>
      </c>
    </row>
    <row r="2206" spans="1:6" x14ac:dyDescent="0.25">
      <c r="A2206" s="24" t="str">
        <f>_xlfn.XLOOKUP(tbEscolas[[#This Row],[ESCOLA]],tbNucleo[ESCOLA],tbNucleo[COD ESCOLA],"")</f>
        <v/>
      </c>
      <c r="B2206" t="str" cm="1">
        <f t="array" ref="B2206">IFERROR(INDEX(tbNucleo[ESCOLA],ROUNDUP(ROW(B2205)/TotalEtapas,0)),"")</f>
        <v/>
      </c>
      <c r="E2206" t="str">
        <f>IFERROR(VLOOKUP(tbEscolas[[#This Row],[COD ETPA]],tbEtapas[],2,FALSE),"")</f>
        <v/>
      </c>
      <c r="F2206" t="str">
        <f>IFERROR(VLOOKUP(tbEscolas[[#This Row],[COD ETPA]],tbEtapas[],3,FALSE),"")</f>
        <v/>
      </c>
    </row>
    <row r="2207" spans="1:6" x14ac:dyDescent="0.25">
      <c r="A2207" s="24" t="str">
        <f>_xlfn.XLOOKUP(tbEscolas[[#This Row],[ESCOLA]],tbNucleo[ESCOLA],tbNucleo[COD ESCOLA],"")</f>
        <v/>
      </c>
      <c r="B2207" t="str" cm="1">
        <f t="array" ref="B2207">IFERROR(INDEX(tbNucleo[ESCOLA],ROUNDUP(ROW(B2206)/TotalEtapas,0)),"")</f>
        <v/>
      </c>
      <c r="E2207" t="str">
        <f>IFERROR(VLOOKUP(tbEscolas[[#This Row],[COD ETPA]],tbEtapas[],2,FALSE),"")</f>
        <v/>
      </c>
      <c r="F2207" t="str">
        <f>IFERROR(VLOOKUP(tbEscolas[[#This Row],[COD ETPA]],tbEtapas[],3,FALSE),"")</f>
        <v/>
      </c>
    </row>
    <row r="2208" spans="1:6" x14ac:dyDescent="0.25">
      <c r="A2208" s="24" t="str">
        <f>_xlfn.XLOOKUP(tbEscolas[[#This Row],[ESCOLA]],tbNucleo[ESCOLA],tbNucleo[COD ESCOLA],"")</f>
        <v/>
      </c>
      <c r="B2208" t="str" cm="1">
        <f t="array" ref="B2208">IFERROR(INDEX(tbNucleo[ESCOLA],ROUNDUP(ROW(B2207)/TotalEtapas,0)),"")</f>
        <v/>
      </c>
      <c r="E2208" t="str">
        <f>IFERROR(VLOOKUP(tbEscolas[[#This Row],[COD ETPA]],tbEtapas[],2,FALSE),"")</f>
        <v/>
      </c>
      <c r="F2208" t="str">
        <f>IFERROR(VLOOKUP(tbEscolas[[#This Row],[COD ETPA]],tbEtapas[],3,FALSE),"")</f>
        <v/>
      </c>
    </row>
    <row r="2209" spans="1:6" x14ac:dyDescent="0.25">
      <c r="A2209" s="24" t="str">
        <f>_xlfn.XLOOKUP(tbEscolas[[#This Row],[ESCOLA]],tbNucleo[ESCOLA],tbNucleo[COD ESCOLA],"")</f>
        <v/>
      </c>
      <c r="B2209" t="str" cm="1">
        <f t="array" ref="B2209">IFERROR(INDEX(tbNucleo[ESCOLA],ROUNDUP(ROW(B2208)/TotalEtapas,0)),"")</f>
        <v/>
      </c>
      <c r="E2209" t="str">
        <f>IFERROR(VLOOKUP(tbEscolas[[#This Row],[COD ETPA]],tbEtapas[],2,FALSE),"")</f>
        <v/>
      </c>
      <c r="F2209" t="str">
        <f>IFERROR(VLOOKUP(tbEscolas[[#This Row],[COD ETPA]],tbEtapas[],3,FALSE),"")</f>
        <v/>
      </c>
    </row>
    <row r="2210" spans="1:6" x14ac:dyDescent="0.25">
      <c r="A2210" s="24" t="str">
        <f>_xlfn.XLOOKUP(tbEscolas[[#This Row],[ESCOLA]],tbNucleo[ESCOLA],tbNucleo[COD ESCOLA],"")</f>
        <v/>
      </c>
      <c r="B2210" t="str" cm="1">
        <f t="array" ref="B2210">IFERROR(INDEX(tbNucleo[ESCOLA],ROUNDUP(ROW(B2209)/TotalEtapas,0)),"")</f>
        <v/>
      </c>
      <c r="E2210" t="str">
        <f>IFERROR(VLOOKUP(tbEscolas[[#This Row],[COD ETPA]],tbEtapas[],2,FALSE),"")</f>
        <v/>
      </c>
      <c r="F2210" t="str">
        <f>IFERROR(VLOOKUP(tbEscolas[[#This Row],[COD ETPA]],tbEtapas[],3,FALSE),"")</f>
        <v/>
      </c>
    </row>
    <row r="2211" spans="1:6" x14ac:dyDescent="0.25">
      <c r="A2211" s="24" t="str">
        <f>_xlfn.XLOOKUP(tbEscolas[[#This Row],[ESCOLA]],tbNucleo[ESCOLA],tbNucleo[COD ESCOLA],"")</f>
        <v/>
      </c>
      <c r="B2211" t="str" cm="1">
        <f t="array" ref="B2211">IFERROR(INDEX(tbNucleo[ESCOLA],ROUNDUP(ROW(B2210)/TotalEtapas,0)),"")</f>
        <v/>
      </c>
      <c r="E2211" t="str">
        <f>IFERROR(VLOOKUP(tbEscolas[[#This Row],[COD ETPA]],tbEtapas[],2,FALSE),"")</f>
        <v/>
      </c>
      <c r="F2211" t="str">
        <f>IFERROR(VLOOKUP(tbEscolas[[#This Row],[COD ETPA]],tbEtapas[],3,FALSE),"")</f>
        <v/>
      </c>
    </row>
    <row r="2212" spans="1:6" x14ac:dyDescent="0.25">
      <c r="A2212" s="24" t="str">
        <f>_xlfn.XLOOKUP(tbEscolas[[#This Row],[ESCOLA]],tbNucleo[ESCOLA],tbNucleo[COD ESCOLA],"")</f>
        <v/>
      </c>
      <c r="B2212" t="str" cm="1">
        <f t="array" ref="B2212">IFERROR(INDEX(tbNucleo[ESCOLA],ROUNDUP(ROW(B2211)/TotalEtapas,0)),"")</f>
        <v/>
      </c>
      <c r="E2212" t="str">
        <f>IFERROR(VLOOKUP(tbEscolas[[#This Row],[COD ETPA]],tbEtapas[],2,FALSE),"")</f>
        <v/>
      </c>
      <c r="F2212" t="str">
        <f>IFERROR(VLOOKUP(tbEscolas[[#This Row],[COD ETPA]],tbEtapas[],3,FALSE),"")</f>
        <v/>
      </c>
    </row>
    <row r="2213" spans="1:6" x14ac:dyDescent="0.25">
      <c r="A2213" s="24" t="str">
        <f>_xlfn.XLOOKUP(tbEscolas[[#This Row],[ESCOLA]],tbNucleo[ESCOLA],tbNucleo[COD ESCOLA],"")</f>
        <v/>
      </c>
      <c r="B2213" t="str" cm="1">
        <f t="array" ref="B2213">IFERROR(INDEX(tbNucleo[ESCOLA],ROUNDUP(ROW(B2212)/TotalEtapas,0)),"")</f>
        <v/>
      </c>
      <c r="E2213" t="str">
        <f>IFERROR(VLOOKUP(tbEscolas[[#This Row],[COD ETPA]],tbEtapas[],2,FALSE),"")</f>
        <v/>
      </c>
      <c r="F2213" t="str">
        <f>IFERROR(VLOOKUP(tbEscolas[[#This Row],[COD ETPA]],tbEtapas[],3,FALSE),"")</f>
        <v/>
      </c>
    </row>
    <row r="2214" spans="1:6" x14ac:dyDescent="0.25">
      <c r="A2214" s="24" t="str">
        <f>_xlfn.XLOOKUP(tbEscolas[[#This Row],[ESCOLA]],tbNucleo[ESCOLA],tbNucleo[COD ESCOLA],"")</f>
        <v/>
      </c>
      <c r="B2214" t="str" cm="1">
        <f t="array" ref="B2214">IFERROR(INDEX(tbNucleo[ESCOLA],ROUNDUP(ROW(B2213)/TotalEtapas,0)),"")</f>
        <v/>
      </c>
      <c r="E2214" t="str">
        <f>IFERROR(VLOOKUP(tbEscolas[[#This Row],[COD ETPA]],tbEtapas[],2,FALSE),"")</f>
        <v/>
      </c>
      <c r="F2214" t="str">
        <f>IFERROR(VLOOKUP(tbEscolas[[#This Row],[COD ETPA]],tbEtapas[],3,FALSE),"")</f>
        <v/>
      </c>
    </row>
    <row r="2215" spans="1:6" x14ac:dyDescent="0.25">
      <c r="A2215" s="24" t="str">
        <f>_xlfn.XLOOKUP(tbEscolas[[#This Row],[ESCOLA]],tbNucleo[ESCOLA],tbNucleo[COD ESCOLA],"")</f>
        <v/>
      </c>
      <c r="B2215" t="str" cm="1">
        <f t="array" ref="B2215">IFERROR(INDEX(tbNucleo[ESCOLA],ROUNDUP(ROW(B2214)/TotalEtapas,0)),"")</f>
        <v/>
      </c>
      <c r="E2215" t="str">
        <f>IFERROR(VLOOKUP(tbEscolas[[#This Row],[COD ETPA]],tbEtapas[],2,FALSE),"")</f>
        <v/>
      </c>
      <c r="F2215" t="str">
        <f>IFERROR(VLOOKUP(tbEscolas[[#This Row],[COD ETPA]],tbEtapas[],3,FALSE),"")</f>
        <v/>
      </c>
    </row>
    <row r="2216" spans="1:6" x14ac:dyDescent="0.25">
      <c r="A2216" s="24" t="str">
        <f>_xlfn.XLOOKUP(tbEscolas[[#This Row],[ESCOLA]],tbNucleo[ESCOLA],tbNucleo[COD ESCOLA],"")</f>
        <v/>
      </c>
      <c r="B2216" t="str" cm="1">
        <f t="array" ref="B2216">IFERROR(INDEX(tbNucleo[ESCOLA],ROUNDUP(ROW(B2215)/TotalEtapas,0)),"")</f>
        <v/>
      </c>
      <c r="E2216" t="str">
        <f>IFERROR(VLOOKUP(tbEscolas[[#This Row],[COD ETPA]],tbEtapas[],2,FALSE),"")</f>
        <v/>
      </c>
      <c r="F2216" t="str">
        <f>IFERROR(VLOOKUP(tbEscolas[[#This Row],[COD ETPA]],tbEtapas[],3,FALSE),"")</f>
        <v/>
      </c>
    </row>
    <row r="2217" spans="1:6" x14ac:dyDescent="0.25">
      <c r="A2217" s="24" t="str">
        <f>_xlfn.XLOOKUP(tbEscolas[[#This Row],[ESCOLA]],tbNucleo[ESCOLA],tbNucleo[COD ESCOLA],"")</f>
        <v/>
      </c>
      <c r="B2217" t="str" cm="1">
        <f t="array" ref="B2217">IFERROR(INDEX(tbNucleo[ESCOLA],ROUNDUP(ROW(B2216)/TotalEtapas,0)),"")</f>
        <v/>
      </c>
      <c r="E2217" t="str">
        <f>IFERROR(VLOOKUP(tbEscolas[[#This Row],[COD ETPA]],tbEtapas[],2,FALSE),"")</f>
        <v/>
      </c>
      <c r="F2217" t="str">
        <f>IFERROR(VLOOKUP(tbEscolas[[#This Row],[COD ETPA]],tbEtapas[],3,FALSE),"")</f>
        <v/>
      </c>
    </row>
    <row r="2218" spans="1:6" x14ac:dyDescent="0.25">
      <c r="A2218" s="24" t="str">
        <f>_xlfn.XLOOKUP(tbEscolas[[#This Row],[ESCOLA]],tbNucleo[ESCOLA],tbNucleo[COD ESCOLA],"")</f>
        <v/>
      </c>
      <c r="B2218" t="str" cm="1">
        <f t="array" ref="B2218">IFERROR(INDEX(tbNucleo[ESCOLA],ROUNDUP(ROW(B2217)/TotalEtapas,0)),"")</f>
        <v/>
      </c>
      <c r="E2218" t="str">
        <f>IFERROR(VLOOKUP(tbEscolas[[#This Row],[COD ETPA]],tbEtapas[],2,FALSE),"")</f>
        <v/>
      </c>
      <c r="F2218" t="str">
        <f>IFERROR(VLOOKUP(tbEscolas[[#This Row],[COD ETPA]],tbEtapas[],3,FALSE),"")</f>
        <v/>
      </c>
    </row>
    <row r="2219" spans="1:6" x14ac:dyDescent="0.25">
      <c r="A2219" s="24" t="str">
        <f>_xlfn.XLOOKUP(tbEscolas[[#This Row],[ESCOLA]],tbNucleo[ESCOLA],tbNucleo[COD ESCOLA],"")</f>
        <v/>
      </c>
      <c r="B2219" t="str" cm="1">
        <f t="array" ref="B2219">IFERROR(INDEX(tbNucleo[ESCOLA],ROUNDUP(ROW(B2218)/TotalEtapas,0)),"")</f>
        <v/>
      </c>
      <c r="E2219" t="str">
        <f>IFERROR(VLOOKUP(tbEscolas[[#This Row],[COD ETPA]],tbEtapas[],2,FALSE),"")</f>
        <v/>
      </c>
      <c r="F2219" t="str">
        <f>IFERROR(VLOOKUP(tbEscolas[[#This Row],[COD ETPA]],tbEtapas[],3,FALSE),"")</f>
        <v/>
      </c>
    </row>
    <row r="2220" spans="1:6" x14ac:dyDescent="0.25">
      <c r="A2220" s="24" t="str">
        <f>_xlfn.XLOOKUP(tbEscolas[[#This Row],[ESCOLA]],tbNucleo[ESCOLA],tbNucleo[COD ESCOLA],"")</f>
        <v/>
      </c>
      <c r="B2220" t="str" cm="1">
        <f t="array" ref="B2220">IFERROR(INDEX(tbNucleo[ESCOLA],ROUNDUP(ROW(B2219)/TotalEtapas,0)),"")</f>
        <v/>
      </c>
      <c r="E2220" t="str">
        <f>IFERROR(VLOOKUP(tbEscolas[[#This Row],[COD ETPA]],tbEtapas[],2,FALSE),"")</f>
        <v/>
      </c>
      <c r="F2220" t="str">
        <f>IFERROR(VLOOKUP(tbEscolas[[#This Row],[COD ETPA]],tbEtapas[],3,FALSE),"")</f>
        <v/>
      </c>
    </row>
    <row r="2221" spans="1:6" x14ac:dyDescent="0.25">
      <c r="A2221" s="24" t="str">
        <f>_xlfn.XLOOKUP(tbEscolas[[#This Row],[ESCOLA]],tbNucleo[ESCOLA],tbNucleo[COD ESCOLA],"")</f>
        <v/>
      </c>
      <c r="B2221" t="str" cm="1">
        <f t="array" ref="B2221">IFERROR(INDEX(tbNucleo[ESCOLA],ROUNDUP(ROW(B2220)/TotalEtapas,0)),"")</f>
        <v/>
      </c>
      <c r="E2221" t="str">
        <f>IFERROR(VLOOKUP(tbEscolas[[#This Row],[COD ETPA]],tbEtapas[],2,FALSE),"")</f>
        <v/>
      </c>
      <c r="F2221" t="str">
        <f>IFERROR(VLOOKUP(tbEscolas[[#This Row],[COD ETPA]],tbEtapas[],3,FALSE),"")</f>
        <v/>
      </c>
    </row>
    <row r="2222" spans="1:6" x14ac:dyDescent="0.25">
      <c r="A2222" s="24" t="str">
        <f>_xlfn.XLOOKUP(tbEscolas[[#This Row],[ESCOLA]],tbNucleo[ESCOLA],tbNucleo[COD ESCOLA],"")</f>
        <v/>
      </c>
      <c r="B2222" t="str" cm="1">
        <f t="array" ref="B2222">IFERROR(INDEX(tbNucleo[ESCOLA],ROUNDUP(ROW(B2221)/TotalEtapas,0)),"")</f>
        <v/>
      </c>
      <c r="E2222" t="str">
        <f>IFERROR(VLOOKUP(tbEscolas[[#This Row],[COD ETPA]],tbEtapas[],2,FALSE),"")</f>
        <v/>
      </c>
      <c r="F2222" t="str">
        <f>IFERROR(VLOOKUP(tbEscolas[[#This Row],[COD ETPA]],tbEtapas[],3,FALSE),"")</f>
        <v/>
      </c>
    </row>
    <row r="2223" spans="1:6" x14ac:dyDescent="0.25">
      <c r="A2223" s="24" t="str">
        <f>_xlfn.XLOOKUP(tbEscolas[[#This Row],[ESCOLA]],tbNucleo[ESCOLA],tbNucleo[COD ESCOLA],"")</f>
        <v/>
      </c>
      <c r="B2223" t="str" cm="1">
        <f t="array" ref="B2223">IFERROR(INDEX(tbNucleo[ESCOLA],ROUNDUP(ROW(B2222)/TotalEtapas,0)),"")</f>
        <v/>
      </c>
      <c r="E2223" t="str">
        <f>IFERROR(VLOOKUP(tbEscolas[[#This Row],[COD ETPA]],tbEtapas[],2,FALSE),"")</f>
        <v/>
      </c>
      <c r="F2223" t="str">
        <f>IFERROR(VLOOKUP(tbEscolas[[#This Row],[COD ETPA]],tbEtapas[],3,FALSE),"")</f>
        <v/>
      </c>
    </row>
    <row r="2224" spans="1:6" x14ac:dyDescent="0.25">
      <c r="A2224" s="24" t="str">
        <f>_xlfn.XLOOKUP(tbEscolas[[#This Row],[ESCOLA]],tbNucleo[ESCOLA],tbNucleo[COD ESCOLA],"")</f>
        <v/>
      </c>
      <c r="B2224" t="str" cm="1">
        <f t="array" ref="B2224">IFERROR(INDEX(tbNucleo[ESCOLA],ROUNDUP(ROW(B2223)/TotalEtapas,0)),"")</f>
        <v/>
      </c>
      <c r="E2224" t="str">
        <f>IFERROR(VLOOKUP(tbEscolas[[#This Row],[COD ETPA]],tbEtapas[],2,FALSE),"")</f>
        <v/>
      </c>
      <c r="F2224" t="str">
        <f>IFERROR(VLOOKUP(tbEscolas[[#This Row],[COD ETPA]],tbEtapas[],3,FALSE),"")</f>
        <v/>
      </c>
    </row>
    <row r="2225" spans="1:6" x14ac:dyDescent="0.25">
      <c r="A2225" s="24" t="str">
        <f>_xlfn.XLOOKUP(tbEscolas[[#This Row],[ESCOLA]],tbNucleo[ESCOLA],tbNucleo[COD ESCOLA],"")</f>
        <v/>
      </c>
      <c r="B2225" t="str" cm="1">
        <f t="array" ref="B2225">IFERROR(INDEX(tbNucleo[ESCOLA],ROUNDUP(ROW(B2224)/TotalEtapas,0)),"")</f>
        <v/>
      </c>
      <c r="E2225" t="str">
        <f>IFERROR(VLOOKUP(tbEscolas[[#This Row],[COD ETPA]],tbEtapas[],2,FALSE),"")</f>
        <v/>
      </c>
      <c r="F2225" t="str">
        <f>IFERROR(VLOOKUP(tbEscolas[[#This Row],[COD ETPA]],tbEtapas[],3,FALSE),"")</f>
        <v/>
      </c>
    </row>
    <row r="2226" spans="1:6" x14ac:dyDescent="0.25">
      <c r="A2226" s="24" t="str">
        <f>_xlfn.XLOOKUP(tbEscolas[[#This Row],[ESCOLA]],tbNucleo[ESCOLA],tbNucleo[COD ESCOLA],"")</f>
        <v/>
      </c>
      <c r="B2226" t="str" cm="1">
        <f t="array" ref="B2226">IFERROR(INDEX(tbNucleo[ESCOLA],ROUNDUP(ROW(B2225)/TotalEtapas,0)),"")</f>
        <v/>
      </c>
      <c r="E2226" t="str">
        <f>IFERROR(VLOOKUP(tbEscolas[[#This Row],[COD ETPA]],tbEtapas[],2,FALSE),"")</f>
        <v/>
      </c>
      <c r="F2226" t="str">
        <f>IFERROR(VLOOKUP(tbEscolas[[#This Row],[COD ETPA]],tbEtapas[],3,FALSE),"")</f>
        <v/>
      </c>
    </row>
    <row r="2227" spans="1:6" x14ac:dyDescent="0.25">
      <c r="A2227" s="24" t="str">
        <f>_xlfn.XLOOKUP(tbEscolas[[#This Row],[ESCOLA]],tbNucleo[ESCOLA],tbNucleo[COD ESCOLA],"")</f>
        <v/>
      </c>
      <c r="B2227" t="str" cm="1">
        <f t="array" ref="B2227">IFERROR(INDEX(tbNucleo[ESCOLA],ROUNDUP(ROW(B2226)/TotalEtapas,0)),"")</f>
        <v/>
      </c>
      <c r="E2227" t="str">
        <f>IFERROR(VLOOKUP(tbEscolas[[#This Row],[COD ETPA]],tbEtapas[],2,FALSE),"")</f>
        <v/>
      </c>
      <c r="F2227" t="str">
        <f>IFERROR(VLOOKUP(tbEscolas[[#This Row],[COD ETPA]],tbEtapas[],3,FALSE),"")</f>
        <v/>
      </c>
    </row>
    <row r="2228" spans="1:6" x14ac:dyDescent="0.25">
      <c r="A2228" s="24" t="str">
        <f>_xlfn.XLOOKUP(tbEscolas[[#This Row],[ESCOLA]],tbNucleo[ESCOLA],tbNucleo[COD ESCOLA],"")</f>
        <v/>
      </c>
      <c r="B2228" t="str" cm="1">
        <f t="array" ref="B2228">IFERROR(INDEX(tbNucleo[ESCOLA],ROUNDUP(ROW(B2227)/TotalEtapas,0)),"")</f>
        <v/>
      </c>
      <c r="E2228" t="str">
        <f>IFERROR(VLOOKUP(tbEscolas[[#This Row],[COD ETPA]],tbEtapas[],2,FALSE),"")</f>
        <v/>
      </c>
      <c r="F2228" t="str">
        <f>IFERROR(VLOOKUP(tbEscolas[[#This Row],[COD ETPA]],tbEtapas[],3,FALSE),"")</f>
        <v/>
      </c>
    </row>
    <row r="2229" spans="1:6" x14ac:dyDescent="0.25">
      <c r="A2229" s="24" t="str">
        <f>_xlfn.XLOOKUP(tbEscolas[[#This Row],[ESCOLA]],tbNucleo[ESCOLA],tbNucleo[COD ESCOLA],"")</f>
        <v/>
      </c>
      <c r="B2229" t="str" cm="1">
        <f t="array" ref="B2229">IFERROR(INDEX(tbNucleo[ESCOLA],ROUNDUP(ROW(B2228)/TotalEtapas,0)),"")</f>
        <v/>
      </c>
      <c r="E2229" t="str">
        <f>IFERROR(VLOOKUP(tbEscolas[[#This Row],[COD ETPA]],tbEtapas[],2,FALSE),"")</f>
        <v/>
      </c>
      <c r="F2229" t="str">
        <f>IFERROR(VLOOKUP(tbEscolas[[#This Row],[COD ETPA]],tbEtapas[],3,FALSE),"")</f>
        <v/>
      </c>
    </row>
    <row r="2230" spans="1:6" x14ac:dyDescent="0.25">
      <c r="A2230" s="24" t="str">
        <f>_xlfn.XLOOKUP(tbEscolas[[#This Row],[ESCOLA]],tbNucleo[ESCOLA],tbNucleo[COD ESCOLA],"")</f>
        <v/>
      </c>
      <c r="B2230" t="str" cm="1">
        <f t="array" ref="B2230">IFERROR(INDEX(tbNucleo[ESCOLA],ROUNDUP(ROW(B2229)/TotalEtapas,0)),"")</f>
        <v/>
      </c>
      <c r="E2230" t="str">
        <f>IFERROR(VLOOKUP(tbEscolas[[#This Row],[COD ETPA]],tbEtapas[],2,FALSE),"")</f>
        <v/>
      </c>
      <c r="F2230" t="str">
        <f>IFERROR(VLOOKUP(tbEscolas[[#This Row],[COD ETPA]],tbEtapas[],3,FALSE),"")</f>
        <v/>
      </c>
    </row>
    <row r="2231" spans="1:6" x14ac:dyDescent="0.25">
      <c r="A2231" s="24" t="str">
        <f>_xlfn.XLOOKUP(tbEscolas[[#This Row],[ESCOLA]],tbNucleo[ESCOLA],tbNucleo[COD ESCOLA],"")</f>
        <v/>
      </c>
      <c r="B2231" t="str" cm="1">
        <f t="array" ref="B2231">IFERROR(INDEX(tbNucleo[ESCOLA],ROUNDUP(ROW(B2230)/TotalEtapas,0)),"")</f>
        <v/>
      </c>
      <c r="E2231" t="str">
        <f>IFERROR(VLOOKUP(tbEscolas[[#This Row],[COD ETPA]],tbEtapas[],2,FALSE),"")</f>
        <v/>
      </c>
      <c r="F2231" t="str">
        <f>IFERROR(VLOOKUP(tbEscolas[[#This Row],[COD ETPA]],tbEtapas[],3,FALSE),"")</f>
        <v/>
      </c>
    </row>
    <row r="2232" spans="1:6" x14ac:dyDescent="0.25">
      <c r="A2232" s="24" t="str">
        <f>_xlfn.XLOOKUP(tbEscolas[[#This Row],[ESCOLA]],tbNucleo[ESCOLA],tbNucleo[COD ESCOLA],"")</f>
        <v/>
      </c>
      <c r="B2232" t="str" cm="1">
        <f t="array" ref="B2232">IFERROR(INDEX(tbNucleo[ESCOLA],ROUNDUP(ROW(B2231)/TotalEtapas,0)),"")</f>
        <v/>
      </c>
      <c r="E2232" t="str">
        <f>IFERROR(VLOOKUP(tbEscolas[[#This Row],[COD ETPA]],tbEtapas[],2,FALSE),"")</f>
        <v/>
      </c>
      <c r="F2232" t="str">
        <f>IFERROR(VLOOKUP(tbEscolas[[#This Row],[COD ETPA]],tbEtapas[],3,FALSE),"")</f>
        <v/>
      </c>
    </row>
    <row r="2233" spans="1:6" x14ac:dyDescent="0.25">
      <c r="A2233" s="24" t="str">
        <f>_xlfn.XLOOKUP(tbEscolas[[#This Row],[ESCOLA]],tbNucleo[ESCOLA],tbNucleo[COD ESCOLA],"")</f>
        <v/>
      </c>
      <c r="B2233" t="str" cm="1">
        <f t="array" ref="B2233">IFERROR(INDEX(tbNucleo[ESCOLA],ROUNDUP(ROW(B2232)/TotalEtapas,0)),"")</f>
        <v/>
      </c>
      <c r="E2233" t="str">
        <f>IFERROR(VLOOKUP(tbEscolas[[#This Row],[COD ETPA]],tbEtapas[],2,FALSE),"")</f>
        <v/>
      </c>
      <c r="F2233" t="str">
        <f>IFERROR(VLOOKUP(tbEscolas[[#This Row],[COD ETPA]],tbEtapas[],3,FALSE),"")</f>
        <v/>
      </c>
    </row>
    <row r="2234" spans="1:6" x14ac:dyDescent="0.25">
      <c r="A2234" s="24" t="str">
        <f>_xlfn.XLOOKUP(tbEscolas[[#This Row],[ESCOLA]],tbNucleo[ESCOLA],tbNucleo[COD ESCOLA],"")</f>
        <v/>
      </c>
      <c r="B2234" t="str" cm="1">
        <f t="array" ref="B2234">IFERROR(INDEX(tbNucleo[ESCOLA],ROUNDUP(ROW(B2233)/TotalEtapas,0)),"")</f>
        <v/>
      </c>
      <c r="E2234" t="str">
        <f>IFERROR(VLOOKUP(tbEscolas[[#This Row],[COD ETPA]],tbEtapas[],2,FALSE),"")</f>
        <v/>
      </c>
      <c r="F2234" t="str">
        <f>IFERROR(VLOOKUP(tbEscolas[[#This Row],[COD ETPA]],tbEtapas[],3,FALSE),"")</f>
        <v/>
      </c>
    </row>
    <row r="2235" spans="1:6" x14ac:dyDescent="0.25">
      <c r="A2235" s="24" t="str">
        <f>_xlfn.XLOOKUP(tbEscolas[[#This Row],[ESCOLA]],tbNucleo[ESCOLA],tbNucleo[COD ESCOLA],"")</f>
        <v/>
      </c>
      <c r="B2235" t="str" cm="1">
        <f t="array" ref="B2235">IFERROR(INDEX(tbNucleo[ESCOLA],ROUNDUP(ROW(B2234)/TotalEtapas,0)),"")</f>
        <v/>
      </c>
      <c r="E2235" t="str">
        <f>IFERROR(VLOOKUP(tbEscolas[[#This Row],[COD ETPA]],tbEtapas[],2,FALSE),"")</f>
        <v/>
      </c>
      <c r="F2235" t="str">
        <f>IFERROR(VLOOKUP(tbEscolas[[#This Row],[COD ETPA]],tbEtapas[],3,FALSE),"")</f>
        <v/>
      </c>
    </row>
    <row r="2236" spans="1:6" x14ac:dyDescent="0.25">
      <c r="A2236" s="24" t="str">
        <f>_xlfn.XLOOKUP(tbEscolas[[#This Row],[ESCOLA]],tbNucleo[ESCOLA],tbNucleo[COD ESCOLA],"")</f>
        <v/>
      </c>
      <c r="B2236" t="str" cm="1">
        <f t="array" ref="B2236">IFERROR(INDEX(tbNucleo[ESCOLA],ROUNDUP(ROW(B2235)/TotalEtapas,0)),"")</f>
        <v/>
      </c>
      <c r="E2236" t="str">
        <f>IFERROR(VLOOKUP(tbEscolas[[#This Row],[COD ETPA]],tbEtapas[],2,FALSE),"")</f>
        <v/>
      </c>
      <c r="F2236" t="str">
        <f>IFERROR(VLOOKUP(tbEscolas[[#This Row],[COD ETPA]],tbEtapas[],3,FALSE),"")</f>
        <v/>
      </c>
    </row>
    <row r="2237" spans="1:6" x14ac:dyDescent="0.25">
      <c r="A2237" s="24" t="str">
        <f>_xlfn.XLOOKUP(tbEscolas[[#This Row],[ESCOLA]],tbNucleo[ESCOLA],tbNucleo[COD ESCOLA],"")</f>
        <v/>
      </c>
      <c r="B2237" t="str" cm="1">
        <f t="array" ref="B2237">IFERROR(INDEX(tbNucleo[ESCOLA],ROUNDUP(ROW(B2236)/TotalEtapas,0)),"")</f>
        <v/>
      </c>
      <c r="E2237" t="str">
        <f>IFERROR(VLOOKUP(tbEscolas[[#This Row],[COD ETPA]],tbEtapas[],2,FALSE),"")</f>
        <v/>
      </c>
      <c r="F2237" t="str">
        <f>IFERROR(VLOOKUP(tbEscolas[[#This Row],[COD ETPA]],tbEtapas[],3,FALSE),"")</f>
        <v/>
      </c>
    </row>
    <row r="2238" spans="1:6" x14ac:dyDescent="0.25">
      <c r="A2238" s="24" t="str">
        <f>_xlfn.XLOOKUP(tbEscolas[[#This Row],[ESCOLA]],tbNucleo[ESCOLA],tbNucleo[COD ESCOLA],"")</f>
        <v/>
      </c>
      <c r="B2238" t="str" cm="1">
        <f t="array" ref="B2238">IFERROR(INDEX(tbNucleo[ESCOLA],ROUNDUP(ROW(B2237)/TotalEtapas,0)),"")</f>
        <v/>
      </c>
      <c r="E2238" t="str">
        <f>IFERROR(VLOOKUP(tbEscolas[[#This Row],[COD ETPA]],tbEtapas[],2,FALSE),"")</f>
        <v/>
      </c>
      <c r="F2238" t="str">
        <f>IFERROR(VLOOKUP(tbEscolas[[#This Row],[COD ETPA]],tbEtapas[],3,FALSE),"")</f>
        <v/>
      </c>
    </row>
    <row r="2239" spans="1:6" x14ac:dyDescent="0.25">
      <c r="A2239" s="24" t="str">
        <f>_xlfn.XLOOKUP(tbEscolas[[#This Row],[ESCOLA]],tbNucleo[ESCOLA],tbNucleo[COD ESCOLA],"")</f>
        <v/>
      </c>
      <c r="B2239" t="str" cm="1">
        <f t="array" ref="B2239">IFERROR(INDEX(tbNucleo[ESCOLA],ROUNDUP(ROW(B2238)/TotalEtapas,0)),"")</f>
        <v/>
      </c>
      <c r="E2239" t="str">
        <f>IFERROR(VLOOKUP(tbEscolas[[#This Row],[COD ETPA]],tbEtapas[],2,FALSE),"")</f>
        <v/>
      </c>
      <c r="F2239" t="str">
        <f>IFERROR(VLOOKUP(tbEscolas[[#This Row],[COD ETPA]],tbEtapas[],3,FALSE),"")</f>
        <v/>
      </c>
    </row>
    <row r="2240" spans="1:6" x14ac:dyDescent="0.25">
      <c r="A2240" s="24" t="str">
        <f>_xlfn.XLOOKUP(tbEscolas[[#This Row],[ESCOLA]],tbNucleo[ESCOLA],tbNucleo[COD ESCOLA],"")</f>
        <v/>
      </c>
      <c r="B2240" t="str" cm="1">
        <f t="array" ref="B2240">IFERROR(INDEX(tbNucleo[ESCOLA],ROUNDUP(ROW(B2239)/TotalEtapas,0)),"")</f>
        <v/>
      </c>
      <c r="E2240" t="str">
        <f>IFERROR(VLOOKUP(tbEscolas[[#This Row],[COD ETPA]],tbEtapas[],2,FALSE),"")</f>
        <v/>
      </c>
      <c r="F2240" t="str">
        <f>IFERROR(VLOOKUP(tbEscolas[[#This Row],[COD ETPA]],tbEtapas[],3,FALSE),"")</f>
        <v/>
      </c>
    </row>
    <row r="2241" spans="1:6" x14ac:dyDescent="0.25">
      <c r="A2241" s="24" t="str">
        <f>_xlfn.XLOOKUP(tbEscolas[[#This Row],[ESCOLA]],tbNucleo[ESCOLA],tbNucleo[COD ESCOLA],"")</f>
        <v/>
      </c>
      <c r="B2241" t="str" cm="1">
        <f t="array" ref="B2241">IFERROR(INDEX(tbNucleo[ESCOLA],ROUNDUP(ROW(B2240)/TotalEtapas,0)),"")</f>
        <v/>
      </c>
      <c r="E2241" t="str">
        <f>IFERROR(VLOOKUP(tbEscolas[[#This Row],[COD ETPA]],tbEtapas[],2,FALSE),"")</f>
        <v/>
      </c>
      <c r="F2241" t="str">
        <f>IFERROR(VLOOKUP(tbEscolas[[#This Row],[COD ETPA]],tbEtapas[],3,FALSE),"")</f>
        <v/>
      </c>
    </row>
    <row r="2242" spans="1:6" x14ac:dyDescent="0.25">
      <c r="A2242" s="24" t="str">
        <f>_xlfn.XLOOKUP(tbEscolas[[#This Row],[ESCOLA]],tbNucleo[ESCOLA],tbNucleo[COD ESCOLA],"")</f>
        <v/>
      </c>
      <c r="B2242" t="str" cm="1">
        <f t="array" ref="B2242">IFERROR(INDEX(tbNucleo[ESCOLA],ROUNDUP(ROW(B2241)/TotalEtapas,0)),"")</f>
        <v/>
      </c>
      <c r="E2242" t="str">
        <f>IFERROR(VLOOKUP(tbEscolas[[#This Row],[COD ETPA]],tbEtapas[],2,FALSE),"")</f>
        <v/>
      </c>
      <c r="F2242" t="str">
        <f>IFERROR(VLOOKUP(tbEscolas[[#This Row],[COD ETPA]],tbEtapas[],3,FALSE),"")</f>
        <v/>
      </c>
    </row>
    <row r="2243" spans="1:6" x14ac:dyDescent="0.25">
      <c r="A2243" s="24" t="str">
        <f>_xlfn.XLOOKUP(tbEscolas[[#This Row],[ESCOLA]],tbNucleo[ESCOLA],tbNucleo[COD ESCOLA],"")</f>
        <v/>
      </c>
      <c r="B2243" t="str" cm="1">
        <f t="array" ref="B2243">IFERROR(INDEX(tbNucleo[ESCOLA],ROUNDUP(ROW(B2242)/TotalEtapas,0)),"")</f>
        <v/>
      </c>
      <c r="E2243" t="str">
        <f>IFERROR(VLOOKUP(tbEscolas[[#This Row],[COD ETPA]],tbEtapas[],2,FALSE),"")</f>
        <v/>
      </c>
      <c r="F2243" t="str">
        <f>IFERROR(VLOOKUP(tbEscolas[[#This Row],[COD ETPA]],tbEtapas[],3,FALSE),"")</f>
        <v/>
      </c>
    </row>
    <row r="2244" spans="1:6" x14ac:dyDescent="0.25">
      <c r="A2244" s="24" t="str">
        <f>_xlfn.XLOOKUP(tbEscolas[[#This Row],[ESCOLA]],tbNucleo[ESCOLA],tbNucleo[COD ESCOLA],"")</f>
        <v/>
      </c>
      <c r="B2244" t="str" cm="1">
        <f t="array" ref="B2244">IFERROR(INDEX(tbNucleo[ESCOLA],ROUNDUP(ROW(B2243)/TotalEtapas,0)),"")</f>
        <v/>
      </c>
      <c r="E2244" t="str">
        <f>IFERROR(VLOOKUP(tbEscolas[[#This Row],[COD ETPA]],tbEtapas[],2,FALSE),"")</f>
        <v/>
      </c>
      <c r="F2244" t="str">
        <f>IFERROR(VLOOKUP(tbEscolas[[#This Row],[COD ETPA]],tbEtapas[],3,FALSE),"")</f>
        <v/>
      </c>
    </row>
    <row r="2245" spans="1:6" x14ac:dyDescent="0.25">
      <c r="A2245" s="24" t="str">
        <f>_xlfn.XLOOKUP(tbEscolas[[#This Row],[ESCOLA]],tbNucleo[ESCOLA],tbNucleo[COD ESCOLA],"")</f>
        <v/>
      </c>
      <c r="B2245" t="str" cm="1">
        <f t="array" ref="B2245">IFERROR(INDEX(tbNucleo[ESCOLA],ROUNDUP(ROW(B2244)/TotalEtapas,0)),"")</f>
        <v/>
      </c>
      <c r="E2245" t="str">
        <f>IFERROR(VLOOKUP(tbEscolas[[#This Row],[COD ETPA]],tbEtapas[],2,FALSE),"")</f>
        <v/>
      </c>
      <c r="F2245" t="str">
        <f>IFERROR(VLOOKUP(tbEscolas[[#This Row],[COD ETPA]],tbEtapas[],3,FALSE),"")</f>
        <v/>
      </c>
    </row>
    <row r="2246" spans="1:6" x14ac:dyDescent="0.25">
      <c r="A2246" s="24" t="str">
        <f>_xlfn.XLOOKUP(tbEscolas[[#This Row],[ESCOLA]],tbNucleo[ESCOLA],tbNucleo[COD ESCOLA],"")</f>
        <v/>
      </c>
      <c r="B2246" t="str" cm="1">
        <f t="array" ref="B2246">IFERROR(INDEX(tbNucleo[ESCOLA],ROUNDUP(ROW(B2245)/TotalEtapas,0)),"")</f>
        <v/>
      </c>
      <c r="E2246" t="str">
        <f>IFERROR(VLOOKUP(tbEscolas[[#This Row],[COD ETPA]],tbEtapas[],2,FALSE),"")</f>
        <v/>
      </c>
      <c r="F2246" t="str">
        <f>IFERROR(VLOOKUP(tbEscolas[[#This Row],[COD ETPA]],tbEtapas[],3,FALSE),"")</f>
        <v/>
      </c>
    </row>
    <row r="2247" spans="1:6" x14ac:dyDescent="0.25">
      <c r="A2247" s="24" t="str">
        <f>_xlfn.XLOOKUP(tbEscolas[[#This Row],[ESCOLA]],tbNucleo[ESCOLA],tbNucleo[COD ESCOLA],"")</f>
        <v/>
      </c>
      <c r="B2247" t="str" cm="1">
        <f t="array" ref="B2247">IFERROR(INDEX(tbNucleo[ESCOLA],ROUNDUP(ROW(B2246)/TotalEtapas,0)),"")</f>
        <v/>
      </c>
      <c r="E2247" t="str">
        <f>IFERROR(VLOOKUP(tbEscolas[[#This Row],[COD ETPA]],tbEtapas[],2,FALSE),"")</f>
        <v/>
      </c>
      <c r="F2247" t="str">
        <f>IFERROR(VLOOKUP(tbEscolas[[#This Row],[COD ETPA]],tbEtapas[],3,FALSE),"")</f>
        <v/>
      </c>
    </row>
    <row r="2248" spans="1:6" x14ac:dyDescent="0.25">
      <c r="A2248" s="24" t="str">
        <f>_xlfn.XLOOKUP(tbEscolas[[#This Row],[ESCOLA]],tbNucleo[ESCOLA],tbNucleo[COD ESCOLA],"")</f>
        <v/>
      </c>
      <c r="B2248" t="str" cm="1">
        <f t="array" ref="B2248">IFERROR(INDEX(tbNucleo[ESCOLA],ROUNDUP(ROW(B2247)/TotalEtapas,0)),"")</f>
        <v/>
      </c>
      <c r="E2248" t="str">
        <f>IFERROR(VLOOKUP(tbEscolas[[#This Row],[COD ETPA]],tbEtapas[],2,FALSE),"")</f>
        <v/>
      </c>
      <c r="F2248" t="str">
        <f>IFERROR(VLOOKUP(tbEscolas[[#This Row],[COD ETPA]],tbEtapas[],3,FALSE),"")</f>
        <v/>
      </c>
    </row>
    <row r="2249" spans="1:6" x14ac:dyDescent="0.25">
      <c r="A2249" s="24" t="str">
        <f>_xlfn.XLOOKUP(tbEscolas[[#This Row],[ESCOLA]],tbNucleo[ESCOLA],tbNucleo[COD ESCOLA],"")</f>
        <v/>
      </c>
      <c r="B2249" t="str" cm="1">
        <f t="array" ref="B2249">IFERROR(INDEX(tbNucleo[ESCOLA],ROUNDUP(ROW(B2248)/TotalEtapas,0)),"")</f>
        <v/>
      </c>
      <c r="E2249" t="str">
        <f>IFERROR(VLOOKUP(tbEscolas[[#This Row],[COD ETPA]],tbEtapas[],2,FALSE),"")</f>
        <v/>
      </c>
      <c r="F2249" t="str">
        <f>IFERROR(VLOOKUP(tbEscolas[[#This Row],[COD ETPA]],tbEtapas[],3,FALSE),"")</f>
        <v/>
      </c>
    </row>
    <row r="2250" spans="1:6" x14ac:dyDescent="0.25">
      <c r="A2250" s="24" t="str">
        <f>_xlfn.XLOOKUP(tbEscolas[[#This Row],[ESCOLA]],tbNucleo[ESCOLA],tbNucleo[COD ESCOLA],"")</f>
        <v/>
      </c>
      <c r="B2250" t="str" cm="1">
        <f t="array" ref="B2250">IFERROR(INDEX(tbNucleo[ESCOLA],ROUNDUP(ROW(B2249)/TotalEtapas,0)),"")</f>
        <v/>
      </c>
      <c r="E2250" t="str">
        <f>IFERROR(VLOOKUP(tbEscolas[[#This Row],[COD ETPA]],tbEtapas[],2,FALSE),"")</f>
        <v/>
      </c>
      <c r="F2250" t="str">
        <f>IFERROR(VLOOKUP(tbEscolas[[#This Row],[COD ETPA]],tbEtapas[],3,FALSE),"")</f>
        <v/>
      </c>
    </row>
    <row r="2251" spans="1:6" x14ac:dyDescent="0.25">
      <c r="A2251" s="24" t="str">
        <f>_xlfn.XLOOKUP(tbEscolas[[#This Row],[ESCOLA]],tbNucleo[ESCOLA],tbNucleo[COD ESCOLA],"")</f>
        <v/>
      </c>
      <c r="B2251" t="str" cm="1">
        <f t="array" ref="B2251">IFERROR(INDEX(tbNucleo[ESCOLA],ROUNDUP(ROW(B2250)/TotalEtapas,0)),"")</f>
        <v/>
      </c>
      <c r="E2251" t="str">
        <f>IFERROR(VLOOKUP(tbEscolas[[#This Row],[COD ETPA]],tbEtapas[],2,FALSE),"")</f>
        <v/>
      </c>
      <c r="F2251" t="str">
        <f>IFERROR(VLOOKUP(tbEscolas[[#This Row],[COD ETPA]],tbEtapas[],3,FALSE),"")</f>
        <v/>
      </c>
    </row>
    <row r="2252" spans="1:6" x14ac:dyDescent="0.25">
      <c r="A2252" s="24" t="str">
        <f>_xlfn.XLOOKUP(tbEscolas[[#This Row],[ESCOLA]],tbNucleo[ESCOLA],tbNucleo[COD ESCOLA],"")</f>
        <v/>
      </c>
      <c r="B2252" t="str" cm="1">
        <f t="array" ref="B2252">IFERROR(INDEX(tbNucleo[ESCOLA],ROUNDUP(ROW(B2251)/TotalEtapas,0)),"")</f>
        <v/>
      </c>
      <c r="E2252" t="str">
        <f>IFERROR(VLOOKUP(tbEscolas[[#This Row],[COD ETPA]],tbEtapas[],2,FALSE),"")</f>
        <v/>
      </c>
      <c r="F2252" t="str">
        <f>IFERROR(VLOOKUP(tbEscolas[[#This Row],[COD ETPA]],tbEtapas[],3,FALSE),"")</f>
        <v/>
      </c>
    </row>
    <row r="2253" spans="1:6" x14ac:dyDescent="0.25">
      <c r="A2253" s="24" t="str">
        <f>_xlfn.XLOOKUP(tbEscolas[[#This Row],[ESCOLA]],tbNucleo[ESCOLA],tbNucleo[COD ESCOLA],"")</f>
        <v/>
      </c>
      <c r="B2253" t="str" cm="1">
        <f t="array" ref="B2253">IFERROR(INDEX(tbNucleo[ESCOLA],ROUNDUP(ROW(B2252)/TotalEtapas,0)),"")</f>
        <v/>
      </c>
      <c r="E2253" t="str">
        <f>IFERROR(VLOOKUP(tbEscolas[[#This Row],[COD ETPA]],tbEtapas[],2,FALSE),"")</f>
        <v/>
      </c>
      <c r="F2253" t="str">
        <f>IFERROR(VLOOKUP(tbEscolas[[#This Row],[COD ETPA]],tbEtapas[],3,FALSE),"")</f>
        <v/>
      </c>
    </row>
    <row r="2254" spans="1:6" x14ac:dyDescent="0.25">
      <c r="A2254" s="24" t="str">
        <f>_xlfn.XLOOKUP(tbEscolas[[#This Row],[ESCOLA]],tbNucleo[ESCOLA],tbNucleo[COD ESCOLA],"")</f>
        <v/>
      </c>
      <c r="B2254" t="str" cm="1">
        <f t="array" ref="B2254">IFERROR(INDEX(tbNucleo[ESCOLA],ROUNDUP(ROW(B2253)/TotalEtapas,0)),"")</f>
        <v/>
      </c>
      <c r="E2254" t="str">
        <f>IFERROR(VLOOKUP(tbEscolas[[#This Row],[COD ETPA]],tbEtapas[],2,FALSE),"")</f>
        <v/>
      </c>
      <c r="F2254" t="str">
        <f>IFERROR(VLOOKUP(tbEscolas[[#This Row],[COD ETPA]],tbEtapas[],3,FALSE),"")</f>
        <v/>
      </c>
    </row>
    <row r="2255" spans="1:6" x14ac:dyDescent="0.25">
      <c r="A2255" s="24" t="str">
        <f>_xlfn.XLOOKUP(tbEscolas[[#This Row],[ESCOLA]],tbNucleo[ESCOLA],tbNucleo[COD ESCOLA],"")</f>
        <v/>
      </c>
      <c r="B2255" t="str" cm="1">
        <f t="array" ref="B2255">IFERROR(INDEX(tbNucleo[ESCOLA],ROUNDUP(ROW(B2254)/TotalEtapas,0)),"")</f>
        <v/>
      </c>
      <c r="E2255" t="str">
        <f>IFERROR(VLOOKUP(tbEscolas[[#This Row],[COD ETPA]],tbEtapas[],2,FALSE),"")</f>
        <v/>
      </c>
      <c r="F2255" t="str">
        <f>IFERROR(VLOOKUP(tbEscolas[[#This Row],[COD ETPA]],tbEtapas[],3,FALSE),"")</f>
        <v/>
      </c>
    </row>
    <row r="2256" spans="1:6" x14ac:dyDescent="0.25">
      <c r="A2256" s="24" t="str">
        <f>_xlfn.XLOOKUP(tbEscolas[[#This Row],[ESCOLA]],tbNucleo[ESCOLA],tbNucleo[COD ESCOLA],"")</f>
        <v/>
      </c>
      <c r="B2256" t="str" cm="1">
        <f t="array" ref="B2256">IFERROR(INDEX(tbNucleo[ESCOLA],ROUNDUP(ROW(B2255)/TotalEtapas,0)),"")</f>
        <v/>
      </c>
      <c r="E2256" t="str">
        <f>IFERROR(VLOOKUP(tbEscolas[[#This Row],[COD ETPA]],tbEtapas[],2,FALSE),"")</f>
        <v/>
      </c>
      <c r="F2256" t="str">
        <f>IFERROR(VLOOKUP(tbEscolas[[#This Row],[COD ETPA]],tbEtapas[],3,FALSE),"")</f>
        <v/>
      </c>
    </row>
    <row r="2257" spans="1:6" x14ac:dyDescent="0.25">
      <c r="A2257" s="24" t="str">
        <f>_xlfn.XLOOKUP(tbEscolas[[#This Row],[ESCOLA]],tbNucleo[ESCOLA],tbNucleo[COD ESCOLA],"")</f>
        <v/>
      </c>
      <c r="B2257" t="str" cm="1">
        <f t="array" ref="B2257">IFERROR(INDEX(tbNucleo[ESCOLA],ROUNDUP(ROW(B2256)/TotalEtapas,0)),"")</f>
        <v/>
      </c>
      <c r="E2257" t="str">
        <f>IFERROR(VLOOKUP(tbEscolas[[#This Row],[COD ETPA]],tbEtapas[],2,FALSE),"")</f>
        <v/>
      </c>
      <c r="F2257" t="str">
        <f>IFERROR(VLOOKUP(tbEscolas[[#This Row],[COD ETPA]],tbEtapas[],3,FALSE),"")</f>
        <v/>
      </c>
    </row>
    <row r="2258" spans="1:6" x14ac:dyDescent="0.25">
      <c r="A2258" s="24" t="str">
        <f>_xlfn.XLOOKUP(tbEscolas[[#This Row],[ESCOLA]],tbNucleo[ESCOLA],tbNucleo[COD ESCOLA],"")</f>
        <v/>
      </c>
      <c r="B2258" t="str" cm="1">
        <f t="array" ref="B2258">IFERROR(INDEX(tbNucleo[ESCOLA],ROUNDUP(ROW(B2257)/TotalEtapas,0)),"")</f>
        <v/>
      </c>
      <c r="E2258" t="str">
        <f>IFERROR(VLOOKUP(tbEscolas[[#This Row],[COD ETPA]],tbEtapas[],2,FALSE),"")</f>
        <v/>
      </c>
      <c r="F2258" t="str">
        <f>IFERROR(VLOOKUP(tbEscolas[[#This Row],[COD ETPA]],tbEtapas[],3,FALSE),"")</f>
        <v/>
      </c>
    </row>
    <row r="2259" spans="1:6" x14ac:dyDescent="0.25">
      <c r="A2259" s="24" t="str">
        <f>_xlfn.XLOOKUP(tbEscolas[[#This Row],[ESCOLA]],tbNucleo[ESCOLA],tbNucleo[COD ESCOLA],"")</f>
        <v/>
      </c>
      <c r="B2259" t="str" cm="1">
        <f t="array" ref="B2259">IFERROR(INDEX(tbNucleo[ESCOLA],ROUNDUP(ROW(B2258)/TotalEtapas,0)),"")</f>
        <v/>
      </c>
      <c r="E2259" t="str">
        <f>IFERROR(VLOOKUP(tbEscolas[[#This Row],[COD ETPA]],tbEtapas[],2,FALSE),"")</f>
        <v/>
      </c>
      <c r="F2259" t="str">
        <f>IFERROR(VLOOKUP(tbEscolas[[#This Row],[COD ETPA]],tbEtapas[],3,FALSE),"")</f>
        <v/>
      </c>
    </row>
    <row r="2260" spans="1:6" x14ac:dyDescent="0.25">
      <c r="A2260" s="24" t="str">
        <f>_xlfn.XLOOKUP(tbEscolas[[#This Row],[ESCOLA]],tbNucleo[ESCOLA],tbNucleo[COD ESCOLA],"")</f>
        <v/>
      </c>
      <c r="B2260" t="str" cm="1">
        <f t="array" ref="B2260">IFERROR(INDEX(tbNucleo[ESCOLA],ROUNDUP(ROW(B2259)/TotalEtapas,0)),"")</f>
        <v/>
      </c>
      <c r="E2260" t="str">
        <f>IFERROR(VLOOKUP(tbEscolas[[#This Row],[COD ETPA]],tbEtapas[],2,FALSE),"")</f>
        <v/>
      </c>
      <c r="F2260" t="str">
        <f>IFERROR(VLOOKUP(tbEscolas[[#This Row],[COD ETPA]],tbEtapas[],3,FALSE),"")</f>
        <v/>
      </c>
    </row>
    <row r="2261" spans="1:6" x14ac:dyDescent="0.25">
      <c r="A2261" s="24" t="str">
        <f>_xlfn.XLOOKUP(tbEscolas[[#This Row],[ESCOLA]],tbNucleo[ESCOLA],tbNucleo[COD ESCOLA],"")</f>
        <v/>
      </c>
      <c r="B2261" t="str" cm="1">
        <f t="array" ref="B2261">IFERROR(INDEX(tbNucleo[ESCOLA],ROUNDUP(ROW(B2260)/TotalEtapas,0)),"")</f>
        <v/>
      </c>
      <c r="E2261" t="str">
        <f>IFERROR(VLOOKUP(tbEscolas[[#This Row],[COD ETPA]],tbEtapas[],2,FALSE),"")</f>
        <v/>
      </c>
      <c r="F2261" t="str">
        <f>IFERROR(VLOOKUP(tbEscolas[[#This Row],[COD ETPA]],tbEtapas[],3,FALSE),"")</f>
        <v/>
      </c>
    </row>
    <row r="2262" spans="1:6" x14ac:dyDescent="0.25">
      <c r="A2262" s="24" t="str">
        <f>_xlfn.XLOOKUP(tbEscolas[[#This Row],[ESCOLA]],tbNucleo[ESCOLA],tbNucleo[COD ESCOLA],"")</f>
        <v/>
      </c>
      <c r="B2262" t="str" cm="1">
        <f t="array" ref="B2262">IFERROR(INDEX(tbNucleo[ESCOLA],ROUNDUP(ROW(B2261)/TotalEtapas,0)),"")</f>
        <v/>
      </c>
      <c r="E2262" t="str">
        <f>IFERROR(VLOOKUP(tbEscolas[[#This Row],[COD ETPA]],tbEtapas[],2,FALSE),"")</f>
        <v/>
      </c>
      <c r="F2262" t="str">
        <f>IFERROR(VLOOKUP(tbEscolas[[#This Row],[COD ETPA]],tbEtapas[],3,FALSE),"")</f>
        <v/>
      </c>
    </row>
    <row r="2263" spans="1:6" x14ac:dyDescent="0.25">
      <c r="A2263" s="24" t="str">
        <f>_xlfn.XLOOKUP(tbEscolas[[#This Row],[ESCOLA]],tbNucleo[ESCOLA],tbNucleo[COD ESCOLA],"")</f>
        <v/>
      </c>
      <c r="B2263" t="str" cm="1">
        <f t="array" ref="B2263">IFERROR(INDEX(tbNucleo[ESCOLA],ROUNDUP(ROW(B2262)/TotalEtapas,0)),"")</f>
        <v/>
      </c>
      <c r="E2263" t="str">
        <f>IFERROR(VLOOKUP(tbEscolas[[#This Row],[COD ETPA]],tbEtapas[],2,FALSE),"")</f>
        <v/>
      </c>
      <c r="F2263" t="str">
        <f>IFERROR(VLOOKUP(tbEscolas[[#This Row],[COD ETPA]],tbEtapas[],3,FALSE),"")</f>
        <v/>
      </c>
    </row>
    <row r="2264" spans="1:6" x14ac:dyDescent="0.25">
      <c r="A2264" s="24" t="str">
        <f>_xlfn.XLOOKUP(tbEscolas[[#This Row],[ESCOLA]],tbNucleo[ESCOLA],tbNucleo[COD ESCOLA],"")</f>
        <v/>
      </c>
      <c r="B2264" t="str" cm="1">
        <f t="array" ref="B2264">IFERROR(INDEX(tbNucleo[ESCOLA],ROUNDUP(ROW(B2263)/TotalEtapas,0)),"")</f>
        <v/>
      </c>
      <c r="E2264" t="str">
        <f>IFERROR(VLOOKUP(tbEscolas[[#This Row],[COD ETPA]],tbEtapas[],2,FALSE),"")</f>
        <v/>
      </c>
      <c r="F2264" t="str">
        <f>IFERROR(VLOOKUP(tbEscolas[[#This Row],[COD ETPA]],tbEtapas[],3,FALSE),"")</f>
        <v/>
      </c>
    </row>
    <row r="2265" spans="1:6" x14ac:dyDescent="0.25">
      <c r="A2265" s="24" t="str">
        <f>_xlfn.XLOOKUP(tbEscolas[[#This Row],[ESCOLA]],tbNucleo[ESCOLA],tbNucleo[COD ESCOLA],"")</f>
        <v/>
      </c>
      <c r="B2265" t="str" cm="1">
        <f t="array" ref="B2265">IFERROR(INDEX(tbNucleo[ESCOLA],ROUNDUP(ROW(B2264)/TotalEtapas,0)),"")</f>
        <v/>
      </c>
      <c r="E2265" t="str">
        <f>IFERROR(VLOOKUP(tbEscolas[[#This Row],[COD ETPA]],tbEtapas[],2,FALSE),"")</f>
        <v/>
      </c>
      <c r="F2265" t="str">
        <f>IFERROR(VLOOKUP(tbEscolas[[#This Row],[COD ETPA]],tbEtapas[],3,FALSE),"")</f>
        <v/>
      </c>
    </row>
    <row r="2266" spans="1:6" x14ac:dyDescent="0.25">
      <c r="A2266" s="24" t="str">
        <f>_xlfn.XLOOKUP(tbEscolas[[#This Row],[ESCOLA]],tbNucleo[ESCOLA],tbNucleo[COD ESCOLA],"")</f>
        <v/>
      </c>
      <c r="B2266" t="str" cm="1">
        <f t="array" ref="B2266">IFERROR(INDEX(tbNucleo[ESCOLA],ROUNDUP(ROW(B2265)/TotalEtapas,0)),"")</f>
        <v/>
      </c>
      <c r="E2266" t="str">
        <f>IFERROR(VLOOKUP(tbEscolas[[#This Row],[COD ETPA]],tbEtapas[],2,FALSE),"")</f>
        <v/>
      </c>
      <c r="F2266" t="str">
        <f>IFERROR(VLOOKUP(tbEscolas[[#This Row],[COD ETPA]],tbEtapas[],3,FALSE),"")</f>
        <v/>
      </c>
    </row>
    <row r="2267" spans="1:6" x14ac:dyDescent="0.25">
      <c r="A2267" s="24" t="str">
        <f>_xlfn.XLOOKUP(tbEscolas[[#This Row],[ESCOLA]],tbNucleo[ESCOLA],tbNucleo[COD ESCOLA],"")</f>
        <v/>
      </c>
      <c r="B2267" t="str" cm="1">
        <f t="array" ref="B2267">IFERROR(INDEX(tbNucleo[ESCOLA],ROUNDUP(ROW(B2266)/TotalEtapas,0)),"")</f>
        <v/>
      </c>
      <c r="E2267" t="str">
        <f>IFERROR(VLOOKUP(tbEscolas[[#This Row],[COD ETPA]],tbEtapas[],2,FALSE),"")</f>
        <v/>
      </c>
      <c r="F2267" t="str">
        <f>IFERROR(VLOOKUP(tbEscolas[[#This Row],[COD ETPA]],tbEtapas[],3,FALSE),"")</f>
        <v/>
      </c>
    </row>
    <row r="2268" spans="1:6" x14ac:dyDescent="0.25">
      <c r="A2268" s="24" t="str">
        <f>_xlfn.XLOOKUP(tbEscolas[[#This Row],[ESCOLA]],tbNucleo[ESCOLA],tbNucleo[COD ESCOLA],"")</f>
        <v/>
      </c>
      <c r="B2268" t="str" cm="1">
        <f t="array" ref="B2268">IFERROR(INDEX(tbNucleo[ESCOLA],ROUNDUP(ROW(B2267)/TotalEtapas,0)),"")</f>
        <v/>
      </c>
      <c r="E2268" t="str">
        <f>IFERROR(VLOOKUP(tbEscolas[[#This Row],[COD ETPA]],tbEtapas[],2,FALSE),"")</f>
        <v/>
      </c>
      <c r="F2268" t="str">
        <f>IFERROR(VLOOKUP(tbEscolas[[#This Row],[COD ETPA]],tbEtapas[],3,FALSE),"")</f>
        <v/>
      </c>
    </row>
    <row r="2269" spans="1:6" x14ac:dyDescent="0.25">
      <c r="A2269" s="24" t="str">
        <f>_xlfn.XLOOKUP(tbEscolas[[#This Row],[ESCOLA]],tbNucleo[ESCOLA],tbNucleo[COD ESCOLA],"")</f>
        <v/>
      </c>
      <c r="B2269" t="str" cm="1">
        <f t="array" ref="B2269">IFERROR(INDEX(tbNucleo[ESCOLA],ROUNDUP(ROW(B2268)/TotalEtapas,0)),"")</f>
        <v/>
      </c>
      <c r="E2269" t="str">
        <f>IFERROR(VLOOKUP(tbEscolas[[#This Row],[COD ETPA]],tbEtapas[],2,FALSE),"")</f>
        <v/>
      </c>
      <c r="F2269" t="str">
        <f>IFERROR(VLOOKUP(tbEscolas[[#This Row],[COD ETPA]],tbEtapas[],3,FALSE),"")</f>
        <v/>
      </c>
    </row>
    <row r="2270" spans="1:6" x14ac:dyDescent="0.25">
      <c r="A2270" s="24" t="str">
        <f>_xlfn.XLOOKUP(tbEscolas[[#This Row],[ESCOLA]],tbNucleo[ESCOLA],tbNucleo[COD ESCOLA],"")</f>
        <v/>
      </c>
      <c r="B2270" t="str" cm="1">
        <f t="array" ref="B2270">IFERROR(INDEX(tbNucleo[ESCOLA],ROUNDUP(ROW(B2269)/TotalEtapas,0)),"")</f>
        <v/>
      </c>
      <c r="E2270" t="str">
        <f>IFERROR(VLOOKUP(tbEscolas[[#This Row],[COD ETPA]],tbEtapas[],2,FALSE),"")</f>
        <v/>
      </c>
      <c r="F2270" t="str">
        <f>IFERROR(VLOOKUP(tbEscolas[[#This Row],[COD ETPA]],tbEtapas[],3,FALSE),"")</f>
        <v/>
      </c>
    </row>
    <row r="2271" spans="1:6" x14ac:dyDescent="0.25">
      <c r="A2271" s="24" t="str">
        <f>_xlfn.XLOOKUP(tbEscolas[[#This Row],[ESCOLA]],tbNucleo[ESCOLA],tbNucleo[COD ESCOLA],"")</f>
        <v/>
      </c>
      <c r="B2271" t="str" cm="1">
        <f t="array" ref="B2271">IFERROR(INDEX(tbNucleo[ESCOLA],ROUNDUP(ROW(B2270)/TotalEtapas,0)),"")</f>
        <v/>
      </c>
      <c r="E2271" t="str">
        <f>IFERROR(VLOOKUP(tbEscolas[[#This Row],[COD ETPA]],tbEtapas[],2,FALSE),"")</f>
        <v/>
      </c>
      <c r="F2271" t="str">
        <f>IFERROR(VLOOKUP(tbEscolas[[#This Row],[COD ETPA]],tbEtapas[],3,FALSE),"")</f>
        <v/>
      </c>
    </row>
    <row r="2272" spans="1:6" x14ac:dyDescent="0.25">
      <c r="A2272" s="24" t="str">
        <f>_xlfn.XLOOKUP(tbEscolas[[#This Row],[ESCOLA]],tbNucleo[ESCOLA],tbNucleo[COD ESCOLA],"")</f>
        <v/>
      </c>
      <c r="B2272" t="str" cm="1">
        <f t="array" ref="B2272">IFERROR(INDEX(tbNucleo[ESCOLA],ROUNDUP(ROW(B2271)/TotalEtapas,0)),"")</f>
        <v/>
      </c>
      <c r="E2272" t="str">
        <f>IFERROR(VLOOKUP(tbEscolas[[#This Row],[COD ETPA]],tbEtapas[],2,FALSE),"")</f>
        <v/>
      </c>
      <c r="F2272" t="str">
        <f>IFERROR(VLOOKUP(tbEscolas[[#This Row],[COD ETPA]],tbEtapas[],3,FALSE),"")</f>
        <v/>
      </c>
    </row>
    <row r="2273" spans="1:6" x14ac:dyDescent="0.25">
      <c r="A2273" s="24" t="str">
        <f>_xlfn.XLOOKUP(tbEscolas[[#This Row],[ESCOLA]],tbNucleo[ESCOLA],tbNucleo[COD ESCOLA],"")</f>
        <v/>
      </c>
      <c r="B2273" t="str" cm="1">
        <f t="array" ref="B2273">IFERROR(INDEX(tbNucleo[ESCOLA],ROUNDUP(ROW(B2272)/TotalEtapas,0)),"")</f>
        <v/>
      </c>
      <c r="E2273" t="str">
        <f>IFERROR(VLOOKUP(tbEscolas[[#This Row],[COD ETPA]],tbEtapas[],2,FALSE),"")</f>
        <v/>
      </c>
      <c r="F2273" t="str">
        <f>IFERROR(VLOOKUP(tbEscolas[[#This Row],[COD ETPA]],tbEtapas[],3,FALSE),"")</f>
        <v/>
      </c>
    </row>
    <row r="2274" spans="1:6" x14ac:dyDescent="0.25">
      <c r="A2274" s="24" t="str">
        <f>_xlfn.XLOOKUP(tbEscolas[[#This Row],[ESCOLA]],tbNucleo[ESCOLA],tbNucleo[COD ESCOLA],"")</f>
        <v/>
      </c>
      <c r="B2274" t="str" cm="1">
        <f t="array" ref="B2274">IFERROR(INDEX(tbNucleo[ESCOLA],ROUNDUP(ROW(B2273)/TotalEtapas,0)),"")</f>
        <v/>
      </c>
      <c r="E2274" t="str">
        <f>IFERROR(VLOOKUP(tbEscolas[[#This Row],[COD ETPA]],tbEtapas[],2,FALSE),"")</f>
        <v/>
      </c>
      <c r="F2274" t="str">
        <f>IFERROR(VLOOKUP(tbEscolas[[#This Row],[COD ETPA]],tbEtapas[],3,FALSE),"")</f>
        <v/>
      </c>
    </row>
    <row r="2275" spans="1:6" x14ac:dyDescent="0.25">
      <c r="A2275" s="24" t="str">
        <f>_xlfn.XLOOKUP(tbEscolas[[#This Row],[ESCOLA]],tbNucleo[ESCOLA],tbNucleo[COD ESCOLA],"")</f>
        <v/>
      </c>
      <c r="B2275" t="str" cm="1">
        <f t="array" ref="B2275">IFERROR(INDEX(tbNucleo[ESCOLA],ROUNDUP(ROW(B2274)/TotalEtapas,0)),"")</f>
        <v/>
      </c>
      <c r="E2275" t="str">
        <f>IFERROR(VLOOKUP(tbEscolas[[#This Row],[COD ETPA]],tbEtapas[],2,FALSE),"")</f>
        <v/>
      </c>
      <c r="F2275" t="str">
        <f>IFERROR(VLOOKUP(tbEscolas[[#This Row],[COD ETPA]],tbEtapas[],3,FALSE),"")</f>
        <v/>
      </c>
    </row>
    <row r="2276" spans="1:6" x14ac:dyDescent="0.25">
      <c r="A2276" s="24" t="str">
        <f>_xlfn.XLOOKUP(tbEscolas[[#This Row],[ESCOLA]],tbNucleo[ESCOLA],tbNucleo[COD ESCOLA],"")</f>
        <v/>
      </c>
      <c r="B2276" t="str" cm="1">
        <f t="array" ref="B2276">IFERROR(INDEX(tbNucleo[ESCOLA],ROUNDUP(ROW(B2275)/TotalEtapas,0)),"")</f>
        <v/>
      </c>
      <c r="E2276" t="str">
        <f>IFERROR(VLOOKUP(tbEscolas[[#This Row],[COD ETPA]],tbEtapas[],2,FALSE),"")</f>
        <v/>
      </c>
      <c r="F2276" t="str">
        <f>IFERROR(VLOOKUP(tbEscolas[[#This Row],[COD ETPA]],tbEtapas[],3,FALSE),"")</f>
        <v/>
      </c>
    </row>
    <row r="2277" spans="1:6" x14ac:dyDescent="0.25">
      <c r="A2277" s="24" t="str">
        <f>_xlfn.XLOOKUP(tbEscolas[[#This Row],[ESCOLA]],tbNucleo[ESCOLA],tbNucleo[COD ESCOLA],"")</f>
        <v/>
      </c>
      <c r="B2277" t="str" cm="1">
        <f t="array" ref="B2277">IFERROR(INDEX(tbNucleo[ESCOLA],ROUNDUP(ROW(B2276)/TotalEtapas,0)),"")</f>
        <v/>
      </c>
      <c r="E2277" t="str">
        <f>IFERROR(VLOOKUP(tbEscolas[[#This Row],[COD ETPA]],tbEtapas[],2,FALSE),"")</f>
        <v/>
      </c>
      <c r="F2277" t="str">
        <f>IFERROR(VLOOKUP(tbEscolas[[#This Row],[COD ETPA]],tbEtapas[],3,FALSE),"")</f>
        <v/>
      </c>
    </row>
    <row r="2278" spans="1:6" x14ac:dyDescent="0.25">
      <c r="A2278" s="24" t="str">
        <f>_xlfn.XLOOKUP(tbEscolas[[#This Row],[ESCOLA]],tbNucleo[ESCOLA],tbNucleo[COD ESCOLA],"")</f>
        <v/>
      </c>
      <c r="B2278" t="str" cm="1">
        <f t="array" ref="B2278">IFERROR(INDEX(tbNucleo[ESCOLA],ROUNDUP(ROW(B2277)/TotalEtapas,0)),"")</f>
        <v/>
      </c>
      <c r="E2278" t="str">
        <f>IFERROR(VLOOKUP(tbEscolas[[#This Row],[COD ETPA]],tbEtapas[],2,FALSE),"")</f>
        <v/>
      </c>
      <c r="F2278" t="str">
        <f>IFERROR(VLOOKUP(tbEscolas[[#This Row],[COD ETPA]],tbEtapas[],3,FALSE),"")</f>
        <v/>
      </c>
    </row>
    <row r="2279" spans="1:6" x14ac:dyDescent="0.25">
      <c r="A2279" s="24" t="str">
        <f>_xlfn.XLOOKUP(tbEscolas[[#This Row],[ESCOLA]],tbNucleo[ESCOLA],tbNucleo[COD ESCOLA],"")</f>
        <v/>
      </c>
      <c r="B2279" t="str" cm="1">
        <f t="array" ref="B2279">IFERROR(INDEX(tbNucleo[ESCOLA],ROUNDUP(ROW(B2278)/TotalEtapas,0)),"")</f>
        <v/>
      </c>
      <c r="E2279" t="str">
        <f>IFERROR(VLOOKUP(tbEscolas[[#This Row],[COD ETPA]],tbEtapas[],2,FALSE),"")</f>
        <v/>
      </c>
      <c r="F2279" t="str">
        <f>IFERROR(VLOOKUP(tbEscolas[[#This Row],[COD ETPA]],tbEtapas[],3,FALSE),"")</f>
        <v/>
      </c>
    </row>
    <row r="2280" spans="1:6" x14ac:dyDescent="0.25">
      <c r="A2280" s="24" t="str">
        <f>_xlfn.XLOOKUP(tbEscolas[[#This Row],[ESCOLA]],tbNucleo[ESCOLA],tbNucleo[COD ESCOLA],"")</f>
        <v/>
      </c>
      <c r="B2280" t="str" cm="1">
        <f t="array" ref="B2280">IFERROR(INDEX(tbNucleo[ESCOLA],ROUNDUP(ROW(B2279)/TotalEtapas,0)),"")</f>
        <v/>
      </c>
      <c r="E2280" t="str">
        <f>IFERROR(VLOOKUP(tbEscolas[[#This Row],[COD ETPA]],tbEtapas[],2,FALSE),"")</f>
        <v/>
      </c>
      <c r="F2280" t="str">
        <f>IFERROR(VLOOKUP(tbEscolas[[#This Row],[COD ETPA]],tbEtapas[],3,FALSE),"")</f>
        <v/>
      </c>
    </row>
    <row r="2281" spans="1:6" x14ac:dyDescent="0.25">
      <c r="A2281" s="24" t="str">
        <f>_xlfn.XLOOKUP(tbEscolas[[#This Row],[ESCOLA]],tbNucleo[ESCOLA],tbNucleo[COD ESCOLA],"")</f>
        <v/>
      </c>
      <c r="B2281" t="str" cm="1">
        <f t="array" ref="B2281">IFERROR(INDEX(tbNucleo[ESCOLA],ROUNDUP(ROW(B2280)/TotalEtapas,0)),"")</f>
        <v/>
      </c>
      <c r="E2281" t="str">
        <f>IFERROR(VLOOKUP(tbEscolas[[#This Row],[COD ETPA]],tbEtapas[],2,FALSE),"")</f>
        <v/>
      </c>
      <c r="F2281" t="str">
        <f>IFERROR(VLOOKUP(tbEscolas[[#This Row],[COD ETPA]],tbEtapas[],3,FALSE),"")</f>
        <v/>
      </c>
    </row>
    <row r="2282" spans="1:6" x14ac:dyDescent="0.25">
      <c r="A2282" s="24" t="str">
        <f>_xlfn.XLOOKUP(tbEscolas[[#This Row],[ESCOLA]],tbNucleo[ESCOLA],tbNucleo[COD ESCOLA],"")</f>
        <v/>
      </c>
      <c r="B2282" t="str" cm="1">
        <f t="array" ref="B2282">IFERROR(INDEX(tbNucleo[ESCOLA],ROUNDUP(ROW(B2281)/TotalEtapas,0)),"")</f>
        <v/>
      </c>
      <c r="E2282" t="str">
        <f>IFERROR(VLOOKUP(tbEscolas[[#This Row],[COD ETPA]],tbEtapas[],2,FALSE),"")</f>
        <v/>
      </c>
      <c r="F2282" t="str">
        <f>IFERROR(VLOOKUP(tbEscolas[[#This Row],[COD ETPA]],tbEtapas[],3,FALSE),"")</f>
        <v/>
      </c>
    </row>
    <row r="2283" spans="1:6" x14ac:dyDescent="0.25">
      <c r="A2283" s="24" t="str">
        <f>_xlfn.XLOOKUP(tbEscolas[[#This Row],[ESCOLA]],tbNucleo[ESCOLA],tbNucleo[COD ESCOLA],"")</f>
        <v/>
      </c>
      <c r="B2283" t="str" cm="1">
        <f t="array" ref="B2283">IFERROR(INDEX(tbNucleo[ESCOLA],ROUNDUP(ROW(B2282)/TotalEtapas,0)),"")</f>
        <v/>
      </c>
      <c r="E2283" t="str">
        <f>IFERROR(VLOOKUP(tbEscolas[[#This Row],[COD ETPA]],tbEtapas[],2,FALSE),"")</f>
        <v/>
      </c>
      <c r="F2283" t="str">
        <f>IFERROR(VLOOKUP(tbEscolas[[#This Row],[COD ETPA]],tbEtapas[],3,FALSE),"")</f>
        <v/>
      </c>
    </row>
    <row r="2284" spans="1:6" x14ac:dyDescent="0.25">
      <c r="A2284" s="24" t="str">
        <f>_xlfn.XLOOKUP(tbEscolas[[#This Row],[ESCOLA]],tbNucleo[ESCOLA],tbNucleo[COD ESCOLA],"")</f>
        <v/>
      </c>
      <c r="B2284" t="str" cm="1">
        <f t="array" ref="B2284">IFERROR(INDEX(tbNucleo[ESCOLA],ROUNDUP(ROW(B2283)/TotalEtapas,0)),"")</f>
        <v/>
      </c>
      <c r="E2284" t="str">
        <f>IFERROR(VLOOKUP(tbEscolas[[#This Row],[COD ETPA]],tbEtapas[],2,FALSE),"")</f>
        <v/>
      </c>
      <c r="F2284" t="str">
        <f>IFERROR(VLOOKUP(tbEscolas[[#This Row],[COD ETPA]],tbEtapas[],3,FALSE),"")</f>
        <v/>
      </c>
    </row>
    <row r="2285" spans="1:6" x14ac:dyDescent="0.25">
      <c r="A2285" s="24" t="str">
        <f>_xlfn.XLOOKUP(tbEscolas[[#This Row],[ESCOLA]],tbNucleo[ESCOLA],tbNucleo[COD ESCOLA],"")</f>
        <v/>
      </c>
      <c r="B2285" t="str" cm="1">
        <f t="array" ref="B2285">IFERROR(INDEX(tbNucleo[ESCOLA],ROUNDUP(ROW(B2284)/TotalEtapas,0)),"")</f>
        <v/>
      </c>
      <c r="E2285" t="str">
        <f>IFERROR(VLOOKUP(tbEscolas[[#This Row],[COD ETPA]],tbEtapas[],2,FALSE),"")</f>
        <v/>
      </c>
      <c r="F2285" t="str">
        <f>IFERROR(VLOOKUP(tbEscolas[[#This Row],[COD ETPA]],tbEtapas[],3,FALSE),"")</f>
        <v/>
      </c>
    </row>
    <row r="2286" spans="1:6" x14ac:dyDescent="0.25">
      <c r="A2286" s="24" t="str">
        <f>_xlfn.XLOOKUP(tbEscolas[[#This Row],[ESCOLA]],tbNucleo[ESCOLA],tbNucleo[COD ESCOLA],"")</f>
        <v/>
      </c>
      <c r="B2286" t="str" cm="1">
        <f t="array" ref="B2286">IFERROR(INDEX(tbNucleo[ESCOLA],ROUNDUP(ROW(B2285)/TotalEtapas,0)),"")</f>
        <v/>
      </c>
      <c r="E2286" t="str">
        <f>IFERROR(VLOOKUP(tbEscolas[[#This Row],[COD ETPA]],tbEtapas[],2,FALSE),"")</f>
        <v/>
      </c>
      <c r="F2286" t="str">
        <f>IFERROR(VLOOKUP(tbEscolas[[#This Row],[COD ETPA]],tbEtapas[],3,FALSE),"")</f>
        <v/>
      </c>
    </row>
    <row r="2287" spans="1:6" x14ac:dyDescent="0.25">
      <c r="A2287" s="24" t="str">
        <f>_xlfn.XLOOKUP(tbEscolas[[#This Row],[ESCOLA]],tbNucleo[ESCOLA],tbNucleo[COD ESCOLA],"")</f>
        <v/>
      </c>
      <c r="B2287" t="str" cm="1">
        <f t="array" ref="B2287">IFERROR(INDEX(tbNucleo[ESCOLA],ROUNDUP(ROW(B2286)/TotalEtapas,0)),"")</f>
        <v/>
      </c>
      <c r="E2287" t="str">
        <f>IFERROR(VLOOKUP(tbEscolas[[#This Row],[COD ETPA]],tbEtapas[],2,FALSE),"")</f>
        <v/>
      </c>
      <c r="F2287" t="str">
        <f>IFERROR(VLOOKUP(tbEscolas[[#This Row],[COD ETPA]],tbEtapas[],3,FALSE),"")</f>
        <v/>
      </c>
    </row>
    <row r="2288" spans="1:6" x14ac:dyDescent="0.25">
      <c r="A2288" s="24" t="str">
        <f>_xlfn.XLOOKUP(tbEscolas[[#This Row],[ESCOLA]],tbNucleo[ESCOLA],tbNucleo[COD ESCOLA],"")</f>
        <v/>
      </c>
      <c r="B2288" t="str" cm="1">
        <f t="array" ref="B2288">IFERROR(INDEX(tbNucleo[ESCOLA],ROUNDUP(ROW(B2287)/TotalEtapas,0)),"")</f>
        <v/>
      </c>
      <c r="E2288" t="str">
        <f>IFERROR(VLOOKUP(tbEscolas[[#This Row],[COD ETPA]],tbEtapas[],2,FALSE),"")</f>
        <v/>
      </c>
      <c r="F2288" t="str">
        <f>IFERROR(VLOOKUP(tbEscolas[[#This Row],[COD ETPA]],tbEtapas[],3,FALSE),"")</f>
        <v/>
      </c>
    </row>
    <row r="2289" spans="1:6" x14ac:dyDescent="0.25">
      <c r="A2289" s="24" t="str">
        <f>_xlfn.XLOOKUP(tbEscolas[[#This Row],[ESCOLA]],tbNucleo[ESCOLA],tbNucleo[COD ESCOLA],"")</f>
        <v/>
      </c>
      <c r="B2289" t="str" cm="1">
        <f t="array" ref="B2289">IFERROR(INDEX(tbNucleo[ESCOLA],ROUNDUP(ROW(B2288)/TotalEtapas,0)),"")</f>
        <v/>
      </c>
      <c r="E2289" t="str">
        <f>IFERROR(VLOOKUP(tbEscolas[[#This Row],[COD ETPA]],tbEtapas[],2,FALSE),"")</f>
        <v/>
      </c>
      <c r="F2289" t="str">
        <f>IFERROR(VLOOKUP(tbEscolas[[#This Row],[COD ETPA]],tbEtapas[],3,FALSE),"")</f>
        <v/>
      </c>
    </row>
    <row r="2290" spans="1:6" x14ac:dyDescent="0.25">
      <c r="A2290" s="24" t="str">
        <f>_xlfn.XLOOKUP(tbEscolas[[#This Row],[ESCOLA]],tbNucleo[ESCOLA],tbNucleo[COD ESCOLA],"")</f>
        <v/>
      </c>
      <c r="B2290" t="str" cm="1">
        <f t="array" ref="B2290">IFERROR(INDEX(tbNucleo[ESCOLA],ROUNDUP(ROW(B2289)/TotalEtapas,0)),"")</f>
        <v/>
      </c>
      <c r="E2290" t="str">
        <f>IFERROR(VLOOKUP(tbEscolas[[#This Row],[COD ETPA]],tbEtapas[],2,FALSE),"")</f>
        <v/>
      </c>
      <c r="F2290" t="str">
        <f>IFERROR(VLOOKUP(tbEscolas[[#This Row],[COD ETPA]],tbEtapas[],3,FALSE),"")</f>
        <v/>
      </c>
    </row>
    <row r="2291" spans="1:6" x14ac:dyDescent="0.25">
      <c r="A2291" s="24" t="str">
        <f>_xlfn.XLOOKUP(tbEscolas[[#This Row],[ESCOLA]],tbNucleo[ESCOLA],tbNucleo[COD ESCOLA],"")</f>
        <v/>
      </c>
      <c r="B2291" t="str" cm="1">
        <f t="array" ref="B2291">IFERROR(INDEX(tbNucleo[ESCOLA],ROUNDUP(ROW(B2290)/TotalEtapas,0)),"")</f>
        <v/>
      </c>
      <c r="E2291" t="str">
        <f>IFERROR(VLOOKUP(tbEscolas[[#This Row],[COD ETPA]],tbEtapas[],2,FALSE),"")</f>
        <v/>
      </c>
      <c r="F2291" t="str">
        <f>IFERROR(VLOOKUP(tbEscolas[[#This Row],[COD ETPA]],tbEtapas[],3,FALSE),"")</f>
        <v/>
      </c>
    </row>
    <row r="2292" spans="1:6" x14ac:dyDescent="0.25">
      <c r="A2292" s="24" t="str">
        <f>_xlfn.XLOOKUP(tbEscolas[[#This Row],[ESCOLA]],tbNucleo[ESCOLA],tbNucleo[COD ESCOLA],"")</f>
        <v/>
      </c>
      <c r="B2292" t="str" cm="1">
        <f t="array" ref="B2292">IFERROR(INDEX(tbNucleo[ESCOLA],ROUNDUP(ROW(B2291)/TotalEtapas,0)),"")</f>
        <v/>
      </c>
      <c r="E2292" t="str">
        <f>IFERROR(VLOOKUP(tbEscolas[[#This Row],[COD ETPA]],tbEtapas[],2,FALSE),"")</f>
        <v/>
      </c>
      <c r="F2292" t="str">
        <f>IFERROR(VLOOKUP(tbEscolas[[#This Row],[COD ETPA]],tbEtapas[],3,FALSE),"")</f>
        <v/>
      </c>
    </row>
    <row r="2293" spans="1:6" x14ac:dyDescent="0.25">
      <c r="A2293" s="24" t="str">
        <f>_xlfn.XLOOKUP(tbEscolas[[#This Row],[ESCOLA]],tbNucleo[ESCOLA],tbNucleo[COD ESCOLA],"")</f>
        <v/>
      </c>
      <c r="B2293" t="str" cm="1">
        <f t="array" ref="B2293">IFERROR(INDEX(tbNucleo[ESCOLA],ROUNDUP(ROW(B2292)/TotalEtapas,0)),"")</f>
        <v/>
      </c>
      <c r="E2293" t="str">
        <f>IFERROR(VLOOKUP(tbEscolas[[#This Row],[COD ETPA]],tbEtapas[],2,FALSE),"")</f>
        <v/>
      </c>
      <c r="F2293" t="str">
        <f>IFERROR(VLOOKUP(tbEscolas[[#This Row],[COD ETPA]],tbEtapas[],3,FALSE),"")</f>
        <v/>
      </c>
    </row>
    <row r="2294" spans="1:6" x14ac:dyDescent="0.25">
      <c r="A2294" s="24" t="str">
        <f>_xlfn.XLOOKUP(tbEscolas[[#This Row],[ESCOLA]],tbNucleo[ESCOLA],tbNucleo[COD ESCOLA],"")</f>
        <v/>
      </c>
      <c r="B2294" t="str" cm="1">
        <f t="array" ref="B2294">IFERROR(INDEX(tbNucleo[ESCOLA],ROUNDUP(ROW(B2293)/TotalEtapas,0)),"")</f>
        <v/>
      </c>
      <c r="E2294" t="str">
        <f>IFERROR(VLOOKUP(tbEscolas[[#This Row],[COD ETPA]],tbEtapas[],2,FALSE),"")</f>
        <v/>
      </c>
      <c r="F2294" t="str">
        <f>IFERROR(VLOOKUP(tbEscolas[[#This Row],[COD ETPA]],tbEtapas[],3,FALSE),"")</f>
        <v/>
      </c>
    </row>
    <row r="2295" spans="1:6" x14ac:dyDescent="0.25">
      <c r="A2295" s="24" t="str">
        <f>_xlfn.XLOOKUP(tbEscolas[[#This Row],[ESCOLA]],tbNucleo[ESCOLA],tbNucleo[COD ESCOLA],"")</f>
        <v/>
      </c>
      <c r="B2295" t="str" cm="1">
        <f t="array" ref="B2295">IFERROR(INDEX(tbNucleo[ESCOLA],ROUNDUP(ROW(B2294)/TotalEtapas,0)),"")</f>
        <v/>
      </c>
      <c r="E2295" t="str">
        <f>IFERROR(VLOOKUP(tbEscolas[[#This Row],[COD ETPA]],tbEtapas[],2,FALSE),"")</f>
        <v/>
      </c>
      <c r="F2295" t="str">
        <f>IFERROR(VLOOKUP(tbEscolas[[#This Row],[COD ETPA]],tbEtapas[],3,FALSE),"")</f>
        <v/>
      </c>
    </row>
    <row r="2296" spans="1:6" x14ac:dyDescent="0.25">
      <c r="A2296" s="24" t="str">
        <f>_xlfn.XLOOKUP(tbEscolas[[#This Row],[ESCOLA]],tbNucleo[ESCOLA],tbNucleo[COD ESCOLA],"")</f>
        <v/>
      </c>
      <c r="B2296" t="str" cm="1">
        <f t="array" ref="B2296">IFERROR(INDEX(tbNucleo[ESCOLA],ROUNDUP(ROW(B2295)/TotalEtapas,0)),"")</f>
        <v/>
      </c>
      <c r="E2296" t="str">
        <f>IFERROR(VLOOKUP(tbEscolas[[#This Row],[COD ETPA]],tbEtapas[],2,FALSE),"")</f>
        <v/>
      </c>
      <c r="F2296" t="str">
        <f>IFERROR(VLOOKUP(tbEscolas[[#This Row],[COD ETPA]],tbEtapas[],3,FALSE),"")</f>
        <v/>
      </c>
    </row>
    <row r="2297" spans="1:6" x14ac:dyDescent="0.25">
      <c r="A2297" s="24" t="str">
        <f>_xlfn.XLOOKUP(tbEscolas[[#This Row],[ESCOLA]],tbNucleo[ESCOLA],tbNucleo[COD ESCOLA],"")</f>
        <v/>
      </c>
      <c r="B2297" t="str" cm="1">
        <f t="array" ref="B2297">IFERROR(INDEX(tbNucleo[ESCOLA],ROUNDUP(ROW(B2296)/TotalEtapas,0)),"")</f>
        <v/>
      </c>
      <c r="E2297" t="str">
        <f>IFERROR(VLOOKUP(tbEscolas[[#This Row],[COD ETPA]],tbEtapas[],2,FALSE),"")</f>
        <v/>
      </c>
      <c r="F2297" t="str">
        <f>IFERROR(VLOOKUP(tbEscolas[[#This Row],[COD ETPA]],tbEtapas[],3,FALSE),"")</f>
        <v/>
      </c>
    </row>
    <row r="2298" spans="1:6" x14ac:dyDescent="0.25">
      <c r="A2298" s="24" t="str">
        <f>_xlfn.XLOOKUP(tbEscolas[[#This Row],[ESCOLA]],tbNucleo[ESCOLA],tbNucleo[COD ESCOLA],"")</f>
        <v/>
      </c>
      <c r="B2298" t="str" cm="1">
        <f t="array" ref="B2298">IFERROR(INDEX(tbNucleo[ESCOLA],ROUNDUP(ROW(B2297)/TotalEtapas,0)),"")</f>
        <v/>
      </c>
      <c r="E2298" t="str">
        <f>IFERROR(VLOOKUP(tbEscolas[[#This Row],[COD ETPA]],tbEtapas[],2,FALSE),"")</f>
        <v/>
      </c>
      <c r="F2298" t="str">
        <f>IFERROR(VLOOKUP(tbEscolas[[#This Row],[COD ETPA]],tbEtapas[],3,FALSE),"")</f>
        <v/>
      </c>
    </row>
    <row r="2299" spans="1:6" x14ac:dyDescent="0.25">
      <c r="A2299" s="24" t="str">
        <f>_xlfn.XLOOKUP(tbEscolas[[#This Row],[ESCOLA]],tbNucleo[ESCOLA],tbNucleo[COD ESCOLA],"")</f>
        <v/>
      </c>
      <c r="B2299" t="str" cm="1">
        <f t="array" ref="B2299">IFERROR(INDEX(tbNucleo[ESCOLA],ROUNDUP(ROW(B2298)/TotalEtapas,0)),"")</f>
        <v/>
      </c>
      <c r="E2299" t="str">
        <f>IFERROR(VLOOKUP(tbEscolas[[#This Row],[COD ETPA]],tbEtapas[],2,FALSE),"")</f>
        <v/>
      </c>
      <c r="F2299" t="str">
        <f>IFERROR(VLOOKUP(tbEscolas[[#This Row],[COD ETPA]],tbEtapas[],3,FALSE),"")</f>
        <v/>
      </c>
    </row>
    <row r="2300" spans="1:6" x14ac:dyDescent="0.25">
      <c r="A2300" s="24" t="str">
        <f>_xlfn.XLOOKUP(tbEscolas[[#This Row],[ESCOLA]],tbNucleo[ESCOLA],tbNucleo[COD ESCOLA],"")</f>
        <v/>
      </c>
      <c r="B2300" t="str" cm="1">
        <f t="array" ref="B2300">IFERROR(INDEX(tbNucleo[ESCOLA],ROUNDUP(ROW(B2299)/TotalEtapas,0)),"")</f>
        <v/>
      </c>
      <c r="E2300" t="str">
        <f>IFERROR(VLOOKUP(tbEscolas[[#This Row],[COD ETPA]],tbEtapas[],2,FALSE),"")</f>
        <v/>
      </c>
      <c r="F2300" t="str">
        <f>IFERROR(VLOOKUP(tbEscolas[[#This Row],[COD ETPA]],tbEtapas[],3,FALSE),"")</f>
        <v/>
      </c>
    </row>
    <row r="2301" spans="1:6" x14ac:dyDescent="0.25">
      <c r="A2301" s="24" t="str">
        <f>_xlfn.XLOOKUP(tbEscolas[[#This Row],[ESCOLA]],tbNucleo[ESCOLA],tbNucleo[COD ESCOLA],"")</f>
        <v/>
      </c>
      <c r="B2301" t="str" cm="1">
        <f t="array" ref="B2301">IFERROR(INDEX(tbNucleo[ESCOLA],ROUNDUP(ROW(B2300)/TotalEtapas,0)),"")</f>
        <v/>
      </c>
      <c r="E2301" t="str">
        <f>IFERROR(VLOOKUP(tbEscolas[[#This Row],[COD ETPA]],tbEtapas[],2,FALSE),"")</f>
        <v/>
      </c>
      <c r="F2301" t="str">
        <f>IFERROR(VLOOKUP(tbEscolas[[#This Row],[COD ETPA]],tbEtapas[],3,FALSE),"")</f>
        <v/>
      </c>
    </row>
    <row r="2302" spans="1:6" x14ac:dyDescent="0.25">
      <c r="A2302" s="24" t="str">
        <f>_xlfn.XLOOKUP(tbEscolas[[#This Row],[ESCOLA]],tbNucleo[ESCOLA],tbNucleo[COD ESCOLA],"")</f>
        <v/>
      </c>
      <c r="B2302" t="str" cm="1">
        <f t="array" ref="B2302">IFERROR(INDEX(tbNucleo[ESCOLA],ROUNDUP(ROW(B2301)/TotalEtapas,0)),"")</f>
        <v/>
      </c>
      <c r="E2302" t="str">
        <f>IFERROR(VLOOKUP(tbEscolas[[#This Row],[COD ETPA]],tbEtapas[],2,FALSE),"")</f>
        <v/>
      </c>
      <c r="F2302" t="str">
        <f>IFERROR(VLOOKUP(tbEscolas[[#This Row],[COD ETPA]],tbEtapas[],3,FALSE),"")</f>
        <v/>
      </c>
    </row>
    <row r="2303" spans="1:6" x14ac:dyDescent="0.25">
      <c r="A2303" s="24" t="str">
        <f>_xlfn.XLOOKUP(tbEscolas[[#This Row],[ESCOLA]],tbNucleo[ESCOLA],tbNucleo[COD ESCOLA],"")</f>
        <v/>
      </c>
      <c r="B2303" t="str" cm="1">
        <f t="array" ref="B2303">IFERROR(INDEX(tbNucleo[ESCOLA],ROUNDUP(ROW(B2302)/TotalEtapas,0)),"")</f>
        <v/>
      </c>
      <c r="E2303" t="str">
        <f>IFERROR(VLOOKUP(tbEscolas[[#This Row],[COD ETPA]],tbEtapas[],2,FALSE),"")</f>
        <v/>
      </c>
      <c r="F2303" t="str">
        <f>IFERROR(VLOOKUP(tbEscolas[[#This Row],[COD ETPA]],tbEtapas[],3,FALSE),"")</f>
        <v/>
      </c>
    </row>
    <row r="2304" spans="1:6" x14ac:dyDescent="0.25">
      <c r="A2304" s="24" t="str">
        <f>_xlfn.XLOOKUP(tbEscolas[[#This Row],[ESCOLA]],tbNucleo[ESCOLA],tbNucleo[COD ESCOLA],"")</f>
        <v/>
      </c>
      <c r="B2304" t="str" cm="1">
        <f t="array" ref="B2304">IFERROR(INDEX(tbNucleo[ESCOLA],ROUNDUP(ROW(B2303)/TotalEtapas,0)),"")</f>
        <v/>
      </c>
      <c r="E2304" t="str">
        <f>IFERROR(VLOOKUP(tbEscolas[[#This Row],[COD ETPA]],tbEtapas[],2,FALSE),"")</f>
        <v/>
      </c>
      <c r="F2304" t="str">
        <f>IFERROR(VLOOKUP(tbEscolas[[#This Row],[COD ETPA]],tbEtapas[],3,FALSE),"")</f>
        <v/>
      </c>
    </row>
    <row r="2305" spans="1:6" x14ac:dyDescent="0.25">
      <c r="A2305" s="24" t="str">
        <f>_xlfn.XLOOKUP(tbEscolas[[#This Row],[ESCOLA]],tbNucleo[ESCOLA],tbNucleo[COD ESCOLA],"")</f>
        <v/>
      </c>
      <c r="B2305" t="str" cm="1">
        <f t="array" ref="B2305">IFERROR(INDEX(tbNucleo[ESCOLA],ROUNDUP(ROW(B2304)/TotalEtapas,0)),"")</f>
        <v/>
      </c>
      <c r="E2305" t="str">
        <f>IFERROR(VLOOKUP(tbEscolas[[#This Row],[COD ETPA]],tbEtapas[],2,FALSE),"")</f>
        <v/>
      </c>
      <c r="F2305" t="str">
        <f>IFERROR(VLOOKUP(tbEscolas[[#This Row],[COD ETPA]],tbEtapas[],3,FALSE),"")</f>
        <v/>
      </c>
    </row>
    <row r="2306" spans="1:6" x14ac:dyDescent="0.25">
      <c r="A2306" s="24" t="str">
        <f>_xlfn.XLOOKUP(tbEscolas[[#This Row],[ESCOLA]],tbNucleo[ESCOLA],tbNucleo[COD ESCOLA],"")</f>
        <v/>
      </c>
      <c r="B2306" t="str" cm="1">
        <f t="array" ref="B2306">IFERROR(INDEX(tbNucleo[ESCOLA],ROUNDUP(ROW(B2305)/TotalEtapas,0)),"")</f>
        <v/>
      </c>
      <c r="E2306" t="str">
        <f>IFERROR(VLOOKUP(tbEscolas[[#This Row],[COD ETPA]],tbEtapas[],2,FALSE),"")</f>
        <v/>
      </c>
      <c r="F2306" t="str">
        <f>IFERROR(VLOOKUP(tbEscolas[[#This Row],[COD ETPA]],tbEtapas[],3,FALSE),"")</f>
        <v/>
      </c>
    </row>
    <row r="2307" spans="1:6" x14ac:dyDescent="0.25">
      <c r="A2307" s="24" t="str">
        <f>_xlfn.XLOOKUP(tbEscolas[[#This Row],[ESCOLA]],tbNucleo[ESCOLA],tbNucleo[COD ESCOLA],"")</f>
        <v/>
      </c>
      <c r="B2307" t="str" cm="1">
        <f t="array" ref="B2307">IFERROR(INDEX(tbNucleo[ESCOLA],ROUNDUP(ROW(B2306)/TotalEtapas,0)),"")</f>
        <v/>
      </c>
      <c r="E2307" t="str">
        <f>IFERROR(VLOOKUP(tbEscolas[[#This Row],[COD ETPA]],tbEtapas[],2,FALSE),"")</f>
        <v/>
      </c>
      <c r="F2307" t="str">
        <f>IFERROR(VLOOKUP(tbEscolas[[#This Row],[COD ETPA]],tbEtapas[],3,FALSE),"")</f>
        <v/>
      </c>
    </row>
    <row r="2308" spans="1:6" x14ac:dyDescent="0.25">
      <c r="A2308" s="24" t="str">
        <f>_xlfn.XLOOKUP(tbEscolas[[#This Row],[ESCOLA]],tbNucleo[ESCOLA],tbNucleo[COD ESCOLA],"")</f>
        <v/>
      </c>
      <c r="B2308" t="str" cm="1">
        <f t="array" ref="B2308">IFERROR(INDEX(tbNucleo[ESCOLA],ROUNDUP(ROW(B2307)/TotalEtapas,0)),"")</f>
        <v/>
      </c>
      <c r="E2308" t="str">
        <f>IFERROR(VLOOKUP(tbEscolas[[#This Row],[COD ETPA]],tbEtapas[],2,FALSE),"")</f>
        <v/>
      </c>
      <c r="F2308" t="str">
        <f>IFERROR(VLOOKUP(tbEscolas[[#This Row],[COD ETPA]],tbEtapas[],3,FALSE),"")</f>
        <v/>
      </c>
    </row>
    <row r="2309" spans="1:6" x14ac:dyDescent="0.25">
      <c r="A2309" s="24" t="str">
        <f>_xlfn.XLOOKUP(tbEscolas[[#This Row],[ESCOLA]],tbNucleo[ESCOLA],tbNucleo[COD ESCOLA],"")</f>
        <v/>
      </c>
      <c r="B2309" t="str" cm="1">
        <f t="array" ref="B2309">IFERROR(INDEX(tbNucleo[ESCOLA],ROUNDUP(ROW(B2308)/TotalEtapas,0)),"")</f>
        <v/>
      </c>
      <c r="E2309" t="str">
        <f>IFERROR(VLOOKUP(tbEscolas[[#This Row],[COD ETPA]],tbEtapas[],2,FALSE),"")</f>
        <v/>
      </c>
      <c r="F2309" t="str">
        <f>IFERROR(VLOOKUP(tbEscolas[[#This Row],[COD ETPA]],tbEtapas[],3,FALSE),"")</f>
        <v/>
      </c>
    </row>
    <row r="2310" spans="1:6" x14ac:dyDescent="0.25">
      <c r="A2310" s="24" t="str">
        <f>_xlfn.XLOOKUP(tbEscolas[[#This Row],[ESCOLA]],tbNucleo[ESCOLA],tbNucleo[COD ESCOLA],"")</f>
        <v/>
      </c>
      <c r="B2310" t="str" cm="1">
        <f t="array" ref="B2310">IFERROR(INDEX(tbNucleo[ESCOLA],ROUNDUP(ROW(B2309)/TotalEtapas,0)),"")</f>
        <v/>
      </c>
      <c r="E2310" t="str">
        <f>IFERROR(VLOOKUP(tbEscolas[[#This Row],[COD ETPA]],tbEtapas[],2,FALSE),"")</f>
        <v/>
      </c>
      <c r="F2310" t="str">
        <f>IFERROR(VLOOKUP(tbEscolas[[#This Row],[COD ETPA]],tbEtapas[],3,FALSE),"")</f>
        <v/>
      </c>
    </row>
    <row r="2311" spans="1:6" x14ac:dyDescent="0.25">
      <c r="A2311" s="24" t="str">
        <f>_xlfn.XLOOKUP(tbEscolas[[#This Row],[ESCOLA]],tbNucleo[ESCOLA],tbNucleo[COD ESCOLA],"")</f>
        <v/>
      </c>
      <c r="B2311" t="str" cm="1">
        <f t="array" ref="B2311">IFERROR(INDEX(tbNucleo[ESCOLA],ROUNDUP(ROW(B2310)/TotalEtapas,0)),"")</f>
        <v/>
      </c>
      <c r="E2311" t="str">
        <f>IFERROR(VLOOKUP(tbEscolas[[#This Row],[COD ETPA]],tbEtapas[],2,FALSE),"")</f>
        <v/>
      </c>
      <c r="F2311" t="str">
        <f>IFERROR(VLOOKUP(tbEscolas[[#This Row],[COD ETPA]],tbEtapas[],3,FALSE),"")</f>
        <v/>
      </c>
    </row>
    <row r="2312" spans="1:6" x14ac:dyDescent="0.25">
      <c r="A2312" s="24" t="str">
        <f>_xlfn.XLOOKUP(tbEscolas[[#This Row],[ESCOLA]],tbNucleo[ESCOLA],tbNucleo[COD ESCOLA],"")</f>
        <v/>
      </c>
      <c r="B2312" t="str" cm="1">
        <f t="array" ref="B2312">IFERROR(INDEX(tbNucleo[ESCOLA],ROUNDUP(ROW(B2311)/TotalEtapas,0)),"")</f>
        <v/>
      </c>
      <c r="E2312" t="str">
        <f>IFERROR(VLOOKUP(tbEscolas[[#This Row],[COD ETPA]],tbEtapas[],2,FALSE),"")</f>
        <v/>
      </c>
      <c r="F2312" t="str">
        <f>IFERROR(VLOOKUP(tbEscolas[[#This Row],[COD ETPA]],tbEtapas[],3,FALSE),"")</f>
        <v/>
      </c>
    </row>
    <row r="2313" spans="1:6" x14ac:dyDescent="0.25">
      <c r="A2313" s="24" t="str">
        <f>_xlfn.XLOOKUP(tbEscolas[[#This Row],[ESCOLA]],tbNucleo[ESCOLA],tbNucleo[COD ESCOLA],"")</f>
        <v/>
      </c>
      <c r="B2313" t="str" cm="1">
        <f t="array" ref="B2313">IFERROR(INDEX(tbNucleo[ESCOLA],ROUNDUP(ROW(B2312)/TotalEtapas,0)),"")</f>
        <v/>
      </c>
      <c r="E2313" t="str">
        <f>IFERROR(VLOOKUP(tbEscolas[[#This Row],[COD ETPA]],tbEtapas[],2,FALSE),"")</f>
        <v/>
      </c>
      <c r="F2313" t="str">
        <f>IFERROR(VLOOKUP(tbEscolas[[#This Row],[COD ETPA]],tbEtapas[],3,FALSE),"")</f>
        <v/>
      </c>
    </row>
    <row r="2314" spans="1:6" x14ac:dyDescent="0.25">
      <c r="A2314" s="24" t="str">
        <f>_xlfn.XLOOKUP(tbEscolas[[#This Row],[ESCOLA]],tbNucleo[ESCOLA],tbNucleo[COD ESCOLA],"")</f>
        <v/>
      </c>
      <c r="B2314" t="str" cm="1">
        <f t="array" ref="B2314">IFERROR(INDEX(tbNucleo[ESCOLA],ROUNDUP(ROW(B2313)/TotalEtapas,0)),"")</f>
        <v/>
      </c>
      <c r="E2314" t="str">
        <f>IFERROR(VLOOKUP(tbEscolas[[#This Row],[COD ETPA]],tbEtapas[],2,FALSE),"")</f>
        <v/>
      </c>
      <c r="F2314" t="str">
        <f>IFERROR(VLOOKUP(tbEscolas[[#This Row],[COD ETPA]],tbEtapas[],3,FALSE),"")</f>
        <v/>
      </c>
    </row>
    <row r="2315" spans="1:6" x14ac:dyDescent="0.25">
      <c r="A2315" s="24" t="str">
        <f>_xlfn.XLOOKUP(tbEscolas[[#This Row],[ESCOLA]],tbNucleo[ESCOLA],tbNucleo[COD ESCOLA],"")</f>
        <v/>
      </c>
      <c r="B2315" t="str" cm="1">
        <f t="array" ref="B2315">IFERROR(INDEX(tbNucleo[ESCOLA],ROUNDUP(ROW(B2314)/TotalEtapas,0)),"")</f>
        <v/>
      </c>
      <c r="E2315" t="str">
        <f>IFERROR(VLOOKUP(tbEscolas[[#This Row],[COD ETPA]],tbEtapas[],2,FALSE),"")</f>
        <v/>
      </c>
      <c r="F2315" t="str">
        <f>IFERROR(VLOOKUP(tbEscolas[[#This Row],[COD ETPA]],tbEtapas[],3,FALSE),"")</f>
        <v/>
      </c>
    </row>
    <row r="2316" spans="1:6" x14ac:dyDescent="0.25">
      <c r="A2316" s="24" t="str">
        <f>_xlfn.XLOOKUP(tbEscolas[[#This Row],[ESCOLA]],tbNucleo[ESCOLA],tbNucleo[COD ESCOLA],"")</f>
        <v/>
      </c>
      <c r="B2316" t="str" cm="1">
        <f t="array" ref="B2316">IFERROR(INDEX(tbNucleo[ESCOLA],ROUNDUP(ROW(B2315)/TotalEtapas,0)),"")</f>
        <v/>
      </c>
      <c r="E2316" t="str">
        <f>IFERROR(VLOOKUP(tbEscolas[[#This Row],[COD ETPA]],tbEtapas[],2,FALSE),"")</f>
        <v/>
      </c>
      <c r="F2316" t="str">
        <f>IFERROR(VLOOKUP(tbEscolas[[#This Row],[COD ETPA]],tbEtapas[],3,FALSE),"")</f>
        <v/>
      </c>
    </row>
    <row r="2317" spans="1:6" x14ac:dyDescent="0.25">
      <c r="A2317" s="24" t="str">
        <f>_xlfn.XLOOKUP(tbEscolas[[#This Row],[ESCOLA]],tbNucleo[ESCOLA],tbNucleo[COD ESCOLA],"")</f>
        <v/>
      </c>
      <c r="B2317" t="str" cm="1">
        <f t="array" ref="B2317">IFERROR(INDEX(tbNucleo[ESCOLA],ROUNDUP(ROW(B2316)/TotalEtapas,0)),"")</f>
        <v/>
      </c>
      <c r="E2317" t="str">
        <f>IFERROR(VLOOKUP(tbEscolas[[#This Row],[COD ETPA]],tbEtapas[],2,FALSE),"")</f>
        <v/>
      </c>
      <c r="F2317" t="str">
        <f>IFERROR(VLOOKUP(tbEscolas[[#This Row],[COD ETPA]],tbEtapas[],3,FALSE),"")</f>
        <v/>
      </c>
    </row>
    <row r="2318" spans="1:6" x14ac:dyDescent="0.25">
      <c r="A2318" s="24" t="str">
        <f>_xlfn.XLOOKUP(tbEscolas[[#This Row],[ESCOLA]],tbNucleo[ESCOLA],tbNucleo[COD ESCOLA],"")</f>
        <v/>
      </c>
      <c r="B2318" t="str" cm="1">
        <f t="array" ref="B2318">IFERROR(INDEX(tbNucleo[ESCOLA],ROUNDUP(ROW(B2317)/TotalEtapas,0)),"")</f>
        <v/>
      </c>
      <c r="E2318" t="str">
        <f>IFERROR(VLOOKUP(tbEscolas[[#This Row],[COD ETPA]],tbEtapas[],2,FALSE),"")</f>
        <v/>
      </c>
      <c r="F2318" t="str">
        <f>IFERROR(VLOOKUP(tbEscolas[[#This Row],[COD ETPA]],tbEtapas[],3,FALSE),"")</f>
        <v/>
      </c>
    </row>
    <row r="2319" spans="1:6" x14ac:dyDescent="0.25">
      <c r="A2319" s="24" t="str">
        <f>_xlfn.XLOOKUP(tbEscolas[[#This Row],[ESCOLA]],tbNucleo[ESCOLA],tbNucleo[COD ESCOLA],"")</f>
        <v/>
      </c>
      <c r="B2319" t="str" cm="1">
        <f t="array" ref="B2319">IFERROR(INDEX(tbNucleo[ESCOLA],ROUNDUP(ROW(B2318)/TotalEtapas,0)),"")</f>
        <v/>
      </c>
      <c r="E2319" t="str">
        <f>IFERROR(VLOOKUP(tbEscolas[[#This Row],[COD ETPA]],tbEtapas[],2,FALSE),"")</f>
        <v/>
      </c>
      <c r="F2319" t="str">
        <f>IFERROR(VLOOKUP(tbEscolas[[#This Row],[COD ETPA]],tbEtapas[],3,FALSE),"")</f>
        <v/>
      </c>
    </row>
    <row r="2320" spans="1:6" x14ac:dyDescent="0.25">
      <c r="A2320" s="24" t="str">
        <f>_xlfn.XLOOKUP(tbEscolas[[#This Row],[ESCOLA]],tbNucleo[ESCOLA],tbNucleo[COD ESCOLA],"")</f>
        <v/>
      </c>
      <c r="B2320" t="str" cm="1">
        <f t="array" ref="B2320">IFERROR(INDEX(tbNucleo[ESCOLA],ROUNDUP(ROW(B2319)/TotalEtapas,0)),"")</f>
        <v/>
      </c>
      <c r="E2320" t="str">
        <f>IFERROR(VLOOKUP(tbEscolas[[#This Row],[COD ETPA]],tbEtapas[],2,FALSE),"")</f>
        <v/>
      </c>
      <c r="F2320" t="str">
        <f>IFERROR(VLOOKUP(tbEscolas[[#This Row],[COD ETPA]],tbEtapas[],3,FALSE),"")</f>
        <v/>
      </c>
    </row>
    <row r="2321" spans="1:6" x14ac:dyDescent="0.25">
      <c r="A2321" s="24" t="str">
        <f>_xlfn.XLOOKUP(tbEscolas[[#This Row],[ESCOLA]],tbNucleo[ESCOLA],tbNucleo[COD ESCOLA],"")</f>
        <v/>
      </c>
      <c r="B2321" t="str" cm="1">
        <f t="array" ref="B2321">IFERROR(INDEX(tbNucleo[ESCOLA],ROUNDUP(ROW(B2320)/TotalEtapas,0)),"")</f>
        <v/>
      </c>
      <c r="E2321" t="str">
        <f>IFERROR(VLOOKUP(tbEscolas[[#This Row],[COD ETPA]],tbEtapas[],2,FALSE),"")</f>
        <v/>
      </c>
      <c r="F2321" t="str">
        <f>IFERROR(VLOOKUP(tbEscolas[[#This Row],[COD ETPA]],tbEtapas[],3,FALSE),"")</f>
        <v/>
      </c>
    </row>
    <row r="2322" spans="1:6" x14ac:dyDescent="0.25">
      <c r="A2322" s="24" t="str">
        <f>_xlfn.XLOOKUP(tbEscolas[[#This Row],[ESCOLA]],tbNucleo[ESCOLA],tbNucleo[COD ESCOLA],"")</f>
        <v/>
      </c>
      <c r="B2322" t="str" cm="1">
        <f t="array" ref="B2322">IFERROR(INDEX(tbNucleo[ESCOLA],ROUNDUP(ROW(B2321)/TotalEtapas,0)),"")</f>
        <v/>
      </c>
      <c r="E2322" t="str">
        <f>IFERROR(VLOOKUP(tbEscolas[[#This Row],[COD ETPA]],tbEtapas[],2,FALSE),"")</f>
        <v/>
      </c>
      <c r="F2322" t="str">
        <f>IFERROR(VLOOKUP(tbEscolas[[#This Row],[COD ETPA]],tbEtapas[],3,FALSE),"")</f>
        <v/>
      </c>
    </row>
    <row r="2323" spans="1:6" x14ac:dyDescent="0.25">
      <c r="A2323" s="24" t="str">
        <f>_xlfn.XLOOKUP(tbEscolas[[#This Row],[ESCOLA]],tbNucleo[ESCOLA],tbNucleo[COD ESCOLA],"")</f>
        <v/>
      </c>
      <c r="B2323" t="str" cm="1">
        <f t="array" ref="B2323">IFERROR(INDEX(tbNucleo[ESCOLA],ROUNDUP(ROW(B2322)/TotalEtapas,0)),"")</f>
        <v/>
      </c>
      <c r="E2323" t="str">
        <f>IFERROR(VLOOKUP(tbEscolas[[#This Row],[COD ETPA]],tbEtapas[],2,FALSE),"")</f>
        <v/>
      </c>
      <c r="F2323" t="str">
        <f>IFERROR(VLOOKUP(tbEscolas[[#This Row],[COD ETPA]],tbEtapas[],3,FALSE),"")</f>
        <v/>
      </c>
    </row>
    <row r="2324" spans="1:6" x14ac:dyDescent="0.25">
      <c r="A2324" s="24" t="str">
        <f>_xlfn.XLOOKUP(tbEscolas[[#This Row],[ESCOLA]],tbNucleo[ESCOLA],tbNucleo[COD ESCOLA],"")</f>
        <v/>
      </c>
      <c r="B2324" t="str" cm="1">
        <f t="array" ref="B2324">IFERROR(INDEX(tbNucleo[ESCOLA],ROUNDUP(ROW(B2323)/TotalEtapas,0)),"")</f>
        <v/>
      </c>
      <c r="E2324" t="str">
        <f>IFERROR(VLOOKUP(tbEscolas[[#This Row],[COD ETPA]],tbEtapas[],2,FALSE),"")</f>
        <v/>
      </c>
      <c r="F2324" t="str">
        <f>IFERROR(VLOOKUP(tbEscolas[[#This Row],[COD ETPA]],tbEtapas[],3,FALSE),"")</f>
        <v/>
      </c>
    </row>
    <row r="2325" spans="1:6" x14ac:dyDescent="0.25">
      <c r="A2325" s="24" t="str">
        <f>_xlfn.XLOOKUP(tbEscolas[[#This Row],[ESCOLA]],tbNucleo[ESCOLA],tbNucleo[COD ESCOLA],"")</f>
        <v/>
      </c>
      <c r="B2325" t="str" cm="1">
        <f t="array" ref="B2325">IFERROR(INDEX(tbNucleo[ESCOLA],ROUNDUP(ROW(B2324)/TotalEtapas,0)),"")</f>
        <v/>
      </c>
      <c r="E2325" t="str">
        <f>IFERROR(VLOOKUP(tbEscolas[[#This Row],[COD ETPA]],tbEtapas[],2,FALSE),"")</f>
        <v/>
      </c>
      <c r="F2325" t="str">
        <f>IFERROR(VLOOKUP(tbEscolas[[#This Row],[COD ETPA]],tbEtapas[],3,FALSE),"")</f>
        <v/>
      </c>
    </row>
    <row r="2326" spans="1:6" x14ac:dyDescent="0.25">
      <c r="A2326" s="24" t="str">
        <f>_xlfn.XLOOKUP(tbEscolas[[#This Row],[ESCOLA]],tbNucleo[ESCOLA],tbNucleo[COD ESCOLA],"")</f>
        <v/>
      </c>
      <c r="B2326" t="str" cm="1">
        <f t="array" ref="B2326">IFERROR(INDEX(tbNucleo[ESCOLA],ROUNDUP(ROW(B2325)/TotalEtapas,0)),"")</f>
        <v/>
      </c>
      <c r="E2326" t="str">
        <f>IFERROR(VLOOKUP(tbEscolas[[#This Row],[COD ETPA]],tbEtapas[],2,FALSE),"")</f>
        <v/>
      </c>
      <c r="F2326" t="str">
        <f>IFERROR(VLOOKUP(tbEscolas[[#This Row],[COD ETPA]],tbEtapas[],3,FALSE),"")</f>
        <v/>
      </c>
    </row>
    <row r="2327" spans="1:6" x14ac:dyDescent="0.25">
      <c r="A2327" s="24" t="str">
        <f>_xlfn.XLOOKUP(tbEscolas[[#This Row],[ESCOLA]],tbNucleo[ESCOLA],tbNucleo[COD ESCOLA],"")</f>
        <v/>
      </c>
      <c r="B2327" t="str" cm="1">
        <f t="array" ref="B2327">IFERROR(INDEX(tbNucleo[ESCOLA],ROUNDUP(ROW(B2326)/TotalEtapas,0)),"")</f>
        <v/>
      </c>
      <c r="E2327" t="str">
        <f>IFERROR(VLOOKUP(tbEscolas[[#This Row],[COD ETPA]],tbEtapas[],2,FALSE),"")</f>
        <v/>
      </c>
      <c r="F2327" t="str">
        <f>IFERROR(VLOOKUP(tbEscolas[[#This Row],[COD ETPA]],tbEtapas[],3,FALSE),"")</f>
        <v/>
      </c>
    </row>
    <row r="2328" spans="1:6" x14ac:dyDescent="0.25">
      <c r="A2328" s="24" t="str">
        <f>_xlfn.XLOOKUP(tbEscolas[[#This Row],[ESCOLA]],tbNucleo[ESCOLA],tbNucleo[COD ESCOLA],"")</f>
        <v/>
      </c>
      <c r="B2328" t="str" cm="1">
        <f t="array" ref="B2328">IFERROR(INDEX(tbNucleo[ESCOLA],ROUNDUP(ROW(B2327)/TotalEtapas,0)),"")</f>
        <v/>
      </c>
      <c r="E2328" t="str">
        <f>IFERROR(VLOOKUP(tbEscolas[[#This Row],[COD ETPA]],tbEtapas[],2,FALSE),"")</f>
        <v/>
      </c>
      <c r="F2328" t="str">
        <f>IFERROR(VLOOKUP(tbEscolas[[#This Row],[COD ETPA]],tbEtapas[],3,FALSE),"")</f>
        <v/>
      </c>
    </row>
    <row r="2329" spans="1:6" x14ac:dyDescent="0.25">
      <c r="A2329" s="24" t="str">
        <f>_xlfn.XLOOKUP(tbEscolas[[#This Row],[ESCOLA]],tbNucleo[ESCOLA],tbNucleo[COD ESCOLA],"")</f>
        <v/>
      </c>
      <c r="B2329" t="str" cm="1">
        <f t="array" ref="B2329">IFERROR(INDEX(tbNucleo[ESCOLA],ROUNDUP(ROW(B2328)/TotalEtapas,0)),"")</f>
        <v/>
      </c>
      <c r="E2329" t="str">
        <f>IFERROR(VLOOKUP(tbEscolas[[#This Row],[COD ETPA]],tbEtapas[],2,FALSE),"")</f>
        <v/>
      </c>
      <c r="F2329" t="str">
        <f>IFERROR(VLOOKUP(tbEscolas[[#This Row],[COD ETPA]],tbEtapas[],3,FALSE),"")</f>
        <v/>
      </c>
    </row>
    <row r="2330" spans="1:6" x14ac:dyDescent="0.25">
      <c r="A2330" s="24" t="str">
        <f>_xlfn.XLOOKUP(tbEscolas[[#This Row],[ESCOLA]],tbNucleo[ESCOLA],tbNucleo[COD ESCOLA],"")</f>
        <v/>
      </c>
      <c r="B2330" t="str" cm="1">
        <f t="array" ref="B2330">IFERROR(INDEX(tbNucleo[ESCOLA],ROUNDUP(ROW(B2329)/TotalEtapas,0)),"")</f>
        <v/>
      </c>
      <c r="E2330" t="str">
        <f>IFERROR(VLOOKUP(tbEscolas[[#This Row],[COD ETPA]],tbEtapas[],2,FALSE),"")</f>
        <v/>
      </c>
      <c r="F2330" t="str">
        <f>IFERROR(VLOOKUP(tbEscolas[[#This Row],[COD ETPA]],tbEtapas[],3,FALSE),"")</f>
        <v/>
      </c>
    </row>
    <row r="2331" spans="1:6" x14ac:dyDescent="0.25">
      <c r="A2331" s="24" t="str">
        <f>_xlfn.XLOOKUP(tbEscolas[[#This Row],[ESCOLA]],tbNucleo[ESCOLA],tbNucleo[COD ESCOLA],"")</f>
        <v/>
      </c>
      <c r="B2331" t="str" cm="1">
        <f t="array" ref="B2331">IFERROR(INDEX(tbNucleo[ESCOLA],ROUNDUP(ROW(B2330)/TotalEtapas,0)),"")</f>
        <v/>
      </c>
      <c r="E2331" t="str">
        <f>IFERROR(VLOOKUP(tbEscolas[[#This Row],[COD ETPA]],tbEtapas[],2,FALSE),"")</f>
        <v/>
      </c>
      <c r="F2331" t="str">
        <f>IFERROR(VLOOKUP(tbEscolas[[#This Row],[COD ETPA]],tbEtapas[],3,FALSE),"")</f>
        <v/>
      </c>
    </row>
    <row r="2332" spans="1:6" x14ac:dyDescent="0.25">
      <c r="A2332" s="24" t="str">
        <f>_xlfn.XLOOKUP(tbEscolas[[#This Row],[ESCOLA]],tbNucleo[ESCOLA],tbNucleo[COD ESCOLA],"")</f>
        <v/>
      </c>
      <c r="B2332" t="str" cm="1">
        <f t="array" ref="B2332">IFERROR(INDEX(tbNucleo[ESCOLA],ROUNDUP(ROW(B2331)/TotalEtapas,0)),"")</f>
        <v/>
      </c>
      <c r="E2332" t="str">
        <f>IFERROR(VLOOKUP(tbEscolas[[#This Row],[COD ETPA]],tbEtapas[],2,FALSE),"")</f>
        <v/>
      </c>
      <c r="F2332" t="str">
        <f>IFERROR(VLOOKUP(tbEscolas[[#This Row],[COD ETPA]],tbEtapas[],3,FALSE),"")</f>
        <v/>
      </c>
    </row>
    <row r="2333" spans="1:6" x14ac:dyDescent="0.25">
      <c r="A2333" s="24" t="str">
        <f>_xlfn.XLOOKUP(tbEscolas[[#This Row],[ESCOLA]],tbNucleo[ESCOLA],tbNucleo[COD ESCOLA],"")</f>
        <v/>
      </c>
      <c r="B2333" t="str" cm="1">
        <f t="array" ref="B2333">IFERROR(INDEX(tbNucleo[ESCOLA],ROUNDUP(ROW(B2332)/TotalEtapas,0)),"")</f>
        <v/>
      </c>
      <c r="E2333" t="str">
        <f>IFERROR(VLOOKUP(tbEscolas[[#This Row],[COD ETPA]],tbEtapas[],2,FALSE),"")</f>
        <v/>
      </c>
      <c r="F2333" t="str">
        <f>IFERROR(VLOOKUP(tbEscolas[[#This Row],[COD ETPA]],tbEtapas[],3,FALSE),"")</f>
        <v/>
      </c>
    </row>
    <row r="2334" spans="1:6" x14ac:dyDescent="0.25">
      <c r="A2334" s="24" t="str">
        <f>_xlfn.XLOOKUP(tbEscolas[[#This Row],[ESCOLA]],tbNucleo[ESCOLA],tbNucleo[COD ESCOLA],"")</f>
        <v/>
      </c>
      <c r="B2334" t="str" cm="1">
        <f t="array" ref="B2334">IFERROR(INDEX(tbNucleo[ESCOLA],ROUNDUP(ROW(B2333)/TotalEtapas,0)),"")</f>
        <v/>
      </c>
      <c r="E2334" t="str">
        <f>IFERROR(VLOOKUP(tbEscolas[[#This Row],[COD ETPA]],tbEtapas[],2,FALSE),"")</f>
        <v/>
      </c>
      <c r="F2334" t="str">
        <f>IFERROR(VLOOKUP(tbEscolas[[#This Row],[COD ETPA]],tbEtapas[],3,FALSE),"")</f>
        <v/>
      </c>
    </row>
    <row r="2335" spans="1:6" x14ac:dyDescent="0.25">
      <c r="A2335" s="24" t="str">
        <f>_xlfn.XLOOKUP(tbEscolas[[#This Row],[ESCOLA]],tbNucleo[ESCOLA],tbNucleo[COD ESCOLA],"")</f>
        <v/>
      </c>
      <c r="B2335" t="str" cm="1">
        <f t="array" ref="B2335">IFERROR(INDEX(tbNucleo[ESCOLA],ROUNDUP(ROW(B2334)/TotalEtapas,0)),"")</f>
        <v/>
      </c>
      <c r="E2335" t="str">
        <f>IFERROR(VLOOKUP(tbEscolas[[#This Row],[COD ETPA]],tbEtapas[],2,FALSE),"")</f>
        <v/>
      </c>
      <c r="F2335" t="str">
        <f>IFERROR(VLOOKUP(tbEscolas[[#This Row],[COD ETPA]],tbEtapas[],3,FALSE),"")</f>
        <v/>
      </c>
    </row>
    <row r="2336" spans="1:6" x14ac:dyDescent="0.25">
      <c r="A2336" s="24" t="str">
        <f>_xlfn.XLOOKUP(tbEscolas[[#This Row],[ESCOLA]],tbNucleo[ESCOLA],tbNucleo[COD ESCOLA],"")</f>
        <v/>
      </c>
      <c r="B2336" t="str" cm="1">
        <f t="array" ref="B2336">IFERROR(INDEX(tbNucleo[ESCOLA],ROUNDUP(ROW(B2335)/TotalEtapas,0)),"")</f>
        <v/>
      </c>
      <c r="E2336" t="str">
        <f>IFERROR(VLOOKUP(tbEscolas[[#This Row],[COD ETPA]],tbEtapas[],2,FALSE),"")</f>
        <v/>
      </c>
      <c r="F2336" t="str">
        <f>IFERROR(VLOOKUP(tbEscolas[[#This Row],[COD ETPA]],tbEtapas[],3,FALSE),"")</f>
        <v/>
      </c>
    </row>
    <row r="2337" spans="1:6" x14ac:dyDescent="0.25">
      <c r="A2337" s="24" t="str">
        <f>_xlfn.XLOOKUP(tbEscolas[[#This Row],[ESCOLA]],tbNucleo[ESCOLA],tbNucleo[COD ESCOLA],"")</f>
        <v/>
      </c>
      <c r="B2337" t="str" cm="1">
        <f t="array" ref="B2337">IFERROR(INDEX(tbNucleo[ESCOLA],ROUNDUP(ROW(B2336)/TotalEtapas,0)),"")</f>
        <v/>
      </c>
      <c r="E2337" t="str">
        <f>IFERROR(VLOOKUP(tbEscolas[[#This Row],[COD ETPA]],tbEtapas[],2,FALSE),"")</f>
        <v/>
      </c>
      <c r="F2337" t="str">
        <f>IFERROR(VLOOKUP(tbEscolas[[#This Row],[COD ETPA]],tbEtapas[],3,FALSE),"")</f>
        <v/>
      </c>
    </row>
    <row r="2338" spans="1:6" x14ac:dyDescent="0.25">
      <c r="A2338" s="24" t="str">
        <f>_xlfn.XLOOKUP(tbEscolas[[#This Row],[ESCOLA]],tbNucleo[ESCOLA],tbNucleo[COD ESCOLA],"")</f>
        <v/>
      </c>
      <c r="B2338" t="str" cm="1">
        <f t="array" ref="B2338">IFERROR(INDEX(tbNucleo[ESCOLA],ROUNDUP(ROW(B2337)/TotalEtapas,0)),"")</f>
        <v/>
      </c>
      <c r="E2338" t="str">
        <f>IFERROR(VLOOKUP(tbEscolas[[#This Row],[COD ETPA]],tbEtapas[],2,FALSE),"")</f>
        <v/>
      </c>
      <c r="F2338" t="str">
        <f>IFERROR(VLOOKUP(tbEscolas[[#This Row],[COD ETPA]],tbEtapas[],3,FALSE),"")</f>
        <v/>
      </c>
    </row>
    <row r="2339" spans="1:6" x14ac:dyDescent="0.25">
      <c r="A2339" s="24" t="str">
        <f>_xlfn.XLOOKUP(tbEscolas[[#This Row],[ESCOLA]],tbNucleo[ESCOLA],tbNucleo[COD ESCOLA],"")</f>
        <v/>
      </c>
      <c r="B2339" t="str" cm="1">
        <f t="array" ref="B2339">IFERROR(INDEX(tbNucleo[ESCOLA],ROUNDUP(ROW(B2338)/TotalEtapas,0)),"")</f>
        <v/>
      </c>
      <c r="E2339" t="str">
        <f>IFERROR(VLOOKUP(tbEscolas[[#This Row],[COD ETPA]],tbEtapas[],2,FALSE),"")</f>
        <v/>
      </c>
      <c r="F2339" t="str">
        <f>IFERROR(VLOOKUP(tbEscolas[[#This Row],[COD ETPA]],tbEtapas[],3,FALSE),"")</f>
        <v/>
      </c>
    </row>
    <row r="2340" spans="1:6" x14ac:dyDescent="0.25">
      <c r="A2340" s="24" t="str">
        <f>_xlfn.XLOOKUP(tbEscolas[[#This Row],[ESCOLA]],tbNucleo[ESCOLA],tbNucleo[COD ESCOLA],"")</f>
        <v/>
      </c>
      <c r="B2340" t="str" cm="1">
        <f t="array" ref="B2340">IFERROR(INDEX(tbNucleo[ESCOLA],ROUNDUP(ROW(B2339)/TotalEtapas,0)),"")</f>
        <v/>
      </c>
      <c r="E2340" t="str">
        <f>IFERROR(VLOOKUP(tbEscolas[[#This Row],[COD ETPA]],tbEtapas[],2,FALSE),"")</f>
        <v/>
      </c>
      <c r="F2340" t="str">
        <f>IFERROR(VLOOKUP(tbEscolas[[#This Row],[COD ETPA]],tbEtapas[],3,FALSE),"")</f>
        <v/>
      </c>
    </row>
    <row r="2341" spans="1:6" x14ac:dyDescent="0.25">
      <c r="A2341" s="24" t="str">
        <f>_xlfn.XLOOKUP(tbEscolas[[#This Row],[ESCOLA]],tbNucleo[ESCOLA],tbNucleo[COD ESCOLA],"")</f>
        <v/>
      </c>
      <c r="B2341" t="str" cm="1">
        <f t="array" ref="B2341">IFERROR(INDEX(tbNucleo[ESCOLA],ROUNDUP(ROW(B2340)/TotalEtapas,0)),"")</f>
        <v/>
      </c>
      <c r="E2341" t="str">
        <f>IFERROR(VLOOKUP(tbEscolas[[#This Row],[COD ETPA]],tbEtapas[],2,FALSE),"")</f>
        <v/>
      </c>
      <c r="F2341" t="str">
        <f>IFERROR(VLOOKUP(tbEscolas[[#This Row],[COD ETPA]],tbEtapas[],3,FALSE),"")</f>
        <v/>
      </c>
    </row>
    <row r="2342" spans="1:6" x14ac:dyDescent="0.25">
      <c r="A2342" s="24" t="str">
        <f>_xlfn.XLOOKUP(tbEscolas[[#This Row],[ESCOLA]],tbNucleo[ESCOLA],tbNucleo[COD ESCOLA],"")</f>
        <v/>
      </c>
      <c r="B2342" t="str" cm="1">
        <f t="array" ref="B2342">IFERROR(INDEX(tbNucleo[ESCOLA],ROUNDUP(ROW(B2341)/TotalEtapas,0)),"")</f>
        <v/>
      </c>
      <c r="E2342" t="str">
        <f>IFERROR(VLOOKUP(tbEscolas[[#This Row],[COD ETPA]],tbEtapas[],2,FALSE),"")</f>
        <v/>
      </c>
      <c r="F2342" t="str">
        <f>IFERROR(VLOOKUP(tbEscolas[[#This Row],[COD ETPA]],tbEtapas[],3,FALSE),"")</f>
        <v/>
      </c>
    </row>
    <row r="2343" spans="1:6" x14ac:dyDescent="0.25">
      <c r="A2343" s="24" t="str">
        <f>_xlfn.XLOOKUP(tbEscolas[[#This Row],[ESCOLA]],tbNucleo[ESCOLA],tbNucleo[COD ESCOLA],"")</f>
        <v/>
      </c>
      <c r="B2343" t="str" cm="1">
        <f t="array" ref="B2343">IFERROR(INDEX(tbNucleo[ESCOLA],ROUNDUP(ROW(B2342)/TotalEtapas,0)),"")</f>
        <v/>
      </c>
      <c r="E2343" t="str">
        <f>IFERROR(VLOOKUP(tbEscolas[[#This Row],[COD ETPA]],tbEtapas[],2,FALSE),"")</f>
        <v/>
      </c>
      <c r="F2343" t="str">
        <f>IFERROR(VLOOKUP(tbEscolas[[#This Row],[COD ETPA]],tbEtapas[],3,FALSE),"")</f>
        <v/>
      </c>
    </row>
    <row r="2344" spans="1:6" x14ac:dyDescent="0.25">
      <c r="A2344" s="24" t="str">
        <f>_xlfn.XLOOKUP(tbEscolas[[#This Row],[ESCOLA]],tbNucleo[ESCOLA],tbNucleo[COD ESCOLA],"")</f>
        <v/>
      </c>
      <c r="B2344" t="str" cm="1">
        <f t="array" ref="B2344">IFERROR(INDEX(tbNucleo[ESCOLA],ROUNDUP(ROW(B2343)/TotalEtapas,0)),"")</f>
        <v/>
      </c>
      <c r="E2344" t="str">
        <f>IFERROR(VLOOKUP(tbEscolas[[#This Row],[COD ETPA]],tbEtapas[],2,FALSE),"")</f>
        <v/>
      </c>
      <c r="F2344" t="str">
        <f>IFERROR(VLOOKUP(tbEscolas[[#This Row],[COD ETPA]],tbEtapas[],3,FALSE),"")</f>
        <v/>
      </c>
    </row>
    <row r="2345" spans="1:6" x14ac:dyDescent="0.25">
      <c r="A2345" s="24" t="str">
        <f>_xlfn.XLOOKUP(tbEscolas[[#This Row],[ESCOLA]],tbNucleo[ESCOLA],tbNucleo[COD ESCOLA],"")</f>
        <v/>
      </c>
      <c r="B2345" t="str" cm="1">
        <f t="array" ref="B2345">IFERROR(INDEX(tbNucleo[ESCOLA],ROUNDUP(ROW(B2344)/TotalEtapas,0)),"")</f>
        <v/>
      </c>
      <c r="E2345" t="str">
        <f>IFERROR(VLOOKUP(tbEscolas[[#This Row],[COD ETPA]],tbEtapas[],2,FALSE),"")</f>
        <v/>
      </c>
      <c r="F2345" t="str">
        <f>IFERROR(VLOOKUP(tbEscolas[[#This Row],[COD ETPA]],tbEtapas[],3,FALSE),"")</f>
        <v/>
      </c>
    </row>
    <row r="2346" spans="1:6" x14ac:dyDescent="0.25">
      <c r="A2346" s="24" t="str">
        <f>_xlfn.XLOOKUP(tbEscolas[[#This Row],[ESCOLA]],tbNucleo[ESCOLA],tbNucleo[COD ESCOLA],"")</f>
        <v/>
      </c>
      <c r="B2346" t="str" cm="1">
        <f t="array" ref="B2346">IFERROR(INDEX(tbNucleo[ESCOLA],ROUNDUP(ROW(B2345)/TotalEtapas,0)),"")</f>
        <v/>
      </c>
      <c r="E2346" t="str">
        <f>IFERROR(VLOOKUP(tbEscolas[[#This Row],[COD ETPA]],tbEtapas[],2,FALSE),"")</f>
        <v/>
      </c>
      <c r="F2346" t="str">
        <f>IFERROR(VLOOKUP(tbEscolas[[#This Row],[COD ETPA]],tbEtapas[],3,FALSE),"")</f>
        <v/>
      </c>
    </row>
    <row r="2347" spans="1:6" x14ac:dyDescent="0.25">
      <c r="A2347" s="24" t="str">
        <f>_xlfn.XLOOKUP(tbEscolas[[#This Row],[ESCOLA]],tbNucleo[ESCOLA],tbNucleo[COD ESCOLA],"")</f>
        <v/>
      </c>
      <c r="B2347" t="str" cm="1">
        <f t="array" ref="B2347">IFERROR(INDEX(tbNucleo[ESCOLA],ROUNDUP(ROW(B2346)/TotalEtapas,0)),"")</f>
        <v/>
      </c>
      <c r="E2347" t="str">
        <f>IFERROR(VLOOKUP(tbEscolas[[#This Row],[COD ETPA]],tbEtapas[],2,FALSE),"")</f>
        <v/>
      </c>
      <c r="F2347" t="str">
        <f>IFERROR(VLOOKUP(tbEscolas[[#This Row],[COD ETPA]],tbEtapas[],3,FALSE),"")</f>
        <v/>
      </c>
    </row>
    <row r="2348" spans="1:6" x14ac:dyDescent="0.25">
      <c r="A2348" s="24" t="str">
        <f>_xlfn.XLOOKUP(tbEscolas[[#This Row],[ESCOLA]],tbNucleo[ESCOLA],tbNucleo[COD ESCOLA],"")</f>
        <v/>
      </c>
      <c r="B2348" t="str" cm="1">
        <f t="array" ref="B2348">IFERROR(INDEX(tbNucleo[ESCOLA],ROUNDUP(ROW(B2347)/TotalEtapas,0)),"")</f>
        <v/>
      </c>
      <c r="E2348" t="str">
        <f>IFERROR(VLOOKUP(tbEscolas[[#This Row],[COD ETPA]],tbEtapas[],2,FALSE),"")</f>
        <v/>
      </c>
      <c r="F2348" t="str">
        <f>IFERROR(VLOOKUP(tbEscolas[[#This Row],[COD ETPA]],tbEtapas[],3,FALSE),"")</f>
        <v/>
      </c>
    </row>
    <row r="2349" spans="1:6" x14ac:dyDescent="0.25">
      <c r="A2349" s="24" t="str">
        <f>_xlfn.XLOOKUP(tbEscolas[[#This Row],[ESCOLA]],tbNucleo[ESCOLA],tbNucleo[COD ESCOLA],"")</f>
        <v/>
      </c>
      <c r="B2349" t="str" cm="1">
        <f t="array" ref="B2349">IFERROR(INDEX(tbNucleo[ESCOLA],ROUNDUP(ROW(B2348)/TotalEtapas,0)),"")</f>
        <v/>
      </c>
      <c r="E2349" t="str">
        <f>IFERROR(VLOOKUP(tbEscolas[[#This Row],[COD ETPA]],tbEtapas[],2,FALSE),"")</f>
        <v/>
      </c>
      <c r="F2349" t="str">
        <f>IFERROR(VLOOKUP(tbEscolas[[#This Row],[COD ETPA]],tbEtapas[],3,FALSE),"")</f>
        <v/>
      </c>
    </row>
    <row r="2350" spans="1:6" x14ac:dyDescent="0.25">
      <c r="A2350" s="24" t="str">
        <f>_xlfn.XLOOKUP(tbEscolas[[#This Row],[ESCOLA]],tbNucleo[ESCOLA],tbNucleo[COD ESCOLA],"")</f>
        <v/>
      </c>
      <c r="B2350" t="str" cm="1">
        <f t="array" ref="B2350">IFERROR(INDEX(tbNucleo[ESCOLA],ROUNDUP(ROW(B2349)/TotalEtapas,0)),"")</f>
        <v/>
      </c>
      <c r="E2350" t="str">
        <f>IFERROR(VLOOKUP(tbEscolas[[#This Row],[COD ETPA]],tbEtapas[],2,FALSE),"")</f>
        <v/>
      </c>
      <c r="F2350" t="str">
        <f>IFERROR(VLOOKUP(tbEscolas[[#This Row],[COD ETPA]],tbEtapas[],3,FALSE),"")</f>
        <v/>
      </c>
    </row>
    <row r="2351" spans="1:6" x14ac:dyDescent="0.25">
      <c r="A2351" s="24" t="str">
        <f>_xlfn.XLOOKUP(tbEscolas[[#This Row],[ESCOLA]],tbNucleo[ESCOLA],tbNucleo[COD ESCOLA],"")</f>
        <v/>
      </c>
      <c r="B2351" t="str" cm="1">
        <f t="array" ref="B2351">IFERROR(INDEX(tbNucleo[ESCOLA],ROUNDUP(ROW(B2350)/TotalEtapas,0)),"")</f>
        <v/>
      </c>
      <c r="E2351" t="str">
        <f>IFERROR(VLOOKUP(tbEscolas[[#This Row],[COD ETPA]],tbEtapas[],2,FALSE),"")</f>
        <v/>
      </c>
      <c r="F2351" t="str">
        <f>IFERROR(VLOOKUP(tbEscolas[[#This Row],[COD ETPA]],tbEtapas[],3,FALSE),"")</f>
        <v/>
      </c>
    </row>
    <row r="2352" spans="1:6" x14ac:dyDescent="0.25">
      <c r="A2352" s="24" t="str">
        <f>_xlfn.XLOOKUP(tbEscolas[[#This Row],[ESCOLA]],tbNucleo[ESCOLA],tbNucleo[COD ESCOLA],"")</f>
        <v/>
      </c>
      <c r="B2352" t="str" cm="1">
        <f t="array" ref="B2352">IFERROR(INDEX(tbNucleo[ESCOLA],ROUNDUP(ROW(B2351)/TotalEtapas,0)),"")</f>
        <v/>
      </c>
      <c r="E2352" t="str">
        <f>IFERROR(VLOOKUP(tbEscolas[[#This Row],[COD ETPA]],tbEtapas[],2,FALSE),"")</f>
        <v/>
      </c>
      <c r="F2352" t="str">
        <f>IFERROR(VLOOKUP(tbEscolas[[#This Row],[COD ETPA]],tbEtapas[],3,FALSE),"")</f>
        <v/>
      </c>
    </row>
    <row r="2353" spans="1:6" x14ac:dyDescent="0.25">
      <c r="A2353" s="24" t="str">
        <f>_xlfn.XLOOKUP(tbEscolas[[#This Row],[ESCOLA]],tbNucleo[ESCOLA],tbNucleo[COD ESCOLA],"")</f>
        <v/>
      </c>
      <c r="B2353" t="str" cm="1">
        <f t="array" ref="B2353">IFERROR(INDEX(tbNucleo[ESCOLA],ROUNDUP(ROW(B2352)/TotalEtapas,0)),"")</f>
        <v/>
      </c>
      <c r="E2353" t="str">
        <f>IFERROR(VLOOKUP(tbEscolas[[#This Row],[COD ETPA]],tbEtapas[],2,FALSE),"")</f>
        <v/>
      </c>
      <c r="F2353" t="str">
        <f>IFERROR(VLOOKUP(tbEscolas[[#This Row],[COD ETPA]],tbEtapas[],3,FALSE),"")</f>
        <v/>
      </c>
    </row>
    <row r="2354" spans="1:6" x14ac:dyDescent="0.25">
      <c r="A2354" s="24" t="str">
        <f>_xlfn.XLOOKUP(tbEscolas[[#This Row],[ESCOLA]],tbNucleo[ESCOLA],tbNucleo[COD ESCOLA],"")</f>
        <v/>
      </c>
      <c r="B2354" t="str" cm="1">
        <f t="array" ref="B2354">IFERROR(INDEX(tbNucleo[ESCOLA],ROUNDUP(ROW(B2353)/TotalEtapas,0)),"")</f>
        <v/>
      </c>
      <c r="E2354" t="str">
        <f>IFERROR(VLOOKUP(tbEscolas[[#This Row],[COD ETPA]],tbEtapas[],2,FALSE),"")</f>
        <v/>
      </c>
      <c r="F2354" t="str">
        <f>IFERROR(VLOOKUP(tbEscolas[[#This Row],[COD ETPA]],tbEtapas[],3,FALSE),"")</f>
        <v/>
      </c>
    </row>
    <row r="2355" spans="1:6" x14ac:dyDescent="0.25">
      <c r="A2355" s="24" t="str">
        <f>_xlfn.XLOOKUP(tbEscolas[[#This Row],[ESCOLA]],tbNucleo[ESCOLA],tbNucleo[COD ESCOLA],"")</f>
        <v/>
      </c>
      <c r="B2355" t="str" cm="1">
        <f t="array" ref="B2355">IFERROR(INDEX(tbNucleo[ESCOLA],ROUNDUP(ROW(B2354)/TotalEtapas,0)),"")</f>
        <v/>
      </c>
      <c r="E2355" t="str">
        <f>IFERROR(VLOOKUP(tbEscolas[[#This Row],[COD ETPA]],tbEtapas[],2,FALSE),"")</f>
        <v/>
      </c>
      <c r="F2355" t="str">
        <f>IFERROR(VLOOKUP(tbEscolas[[#This Row],[COD ETPA]],tbEtapas[],3,FALSE),"")</f>
        <v/>
      </c>
    </row>
    <row r="2356" spans="1:6" x14ac:dyDescent="0.25">
      <c r="A2356" s="24" t="str">
        <f>_xlfn.XLOOKUP(tbEscolas[[#This Row],[ESCOLA]],tbNucleo[ESCOLA],tbNucleo[COD ESCOLA],"")</f>
        <v/>
      </c>
      <c r="B2356" t="str" cm="1">
        <f t="array" ref="B2356">IFERROR(INDEX(tbNucleo[ESCOLA],ROUNDUP(ROW(B2355)/TotalEtapas,0)),"")</f>
        <v/>
      </c>
      <c r="E2356" t="str">
        <f>IFERROR(VLOOKUP(tbEscolas[[#This Row],[COD ETPA]],tbEtapas[],2,FALSE),"")</f>
        <v/>
      </c>
      <c r="F2356" t="str">
        <f>IFERROR(VLOOKUP(tbEscolas[[#This Row],[COD ETPA]],tbEtapas[],3,FALSE),"")</f>
        <v/>
      </c>
    </row>
    <row r="2357" spans="1:6" x14ac:dyDescent="0.25">
      <c r="A2357" s="24" t="str">
        <f>_xlfn.XLOOKUP(tbEscolas[[#This Row],[ESCOLA]],tbNucleo[ESCOLA],tbNucleo[COD ESCOLA],"")</f>
        <v/>
      </c>
      <c r="B2357" t="str" cm="1">
        <f t="array" ref="B2357">IFERROR(INDEX(tbNucleo[ESCOLA],ROUNDUP(ROW(B2356)/TotalEtapas,0)),"")</f>
        <v/>
      </c>
      <c r="E2357" t="str">
        <f>IFERROR(VLOOKUP(tbEscolas[[#This Row],[COD ETPA]],tbEtapas[],2,FALSE),"")</f>
        <v/>
      </c>
      <c r="F2357" t="str">
        <f>IFERROR(VLOOKUP(tbEscolas[[#This Row],[COD ETPA]],tbEtapas[],3,FALSE),"")</f>
        <v/>
      </c>
    </row>
    <row r="2358" spans="1:6" x14ac:dyDescent="0.25">
      <c r="A2358" s="24" t="str">
        <f>_xlfn.XLOOKUP(tbEscolas[[#This Row],[ESCOLA]],tbNucleo[ESCOLA],tbNucleo[COD ESCOLA],"")</f>
        <v/>
      </c>
      <c r="B2358" t="str" cm="1">
        <f t="array" ref="B2358">IFERROR(INDEX(tbNucleo[ESCOLA],ROUNDUP(ROW(B2357)/TotalEtapas,0)),"")</f>
        <v/>
      </c>
      <c r="E2358" t="str">
        <f>IFERROR(VLOOKUP(tbEscolas[[#This Row],[COD ETPA]],tbEtapas[],2,FALSE),"")</f>
        <v/>
      </c>
      <c r="F2358" t="str">
        <f>IFERROR(VLOOKUP(tbEscolas[[#This Row],[COD ETPA]],tbEtapas[],3,FALSE),"")</f>
        <v/>
      </c>
    </row>
    <row r="2359" spans="1:6" x14ac:dyDescent="0.25">
      <c r="A2359" s="24" t="str">
        <f>_xlfn.XLOOKUP(tbEscolas[[#This Row],[ESCOLA]],tbNucleo[ESCOLA],tbNucleo[COD ESCOLA],"")</f>
        <v/>
      </c>
      <c r="B2359" t="str" cm="1">
        <f t="array" ref="B2359">IFERROR(INDEX(tbNucleo[ESCOLA],ROUNDUP(ROW(B2358)/TotalEtapas,0)),"")</f>
        <v/>
      </c>
      <c r="E2359" t="str">
        <f>IFERROR(VLOOKUP(tbEscolas[[#This Row],[COD ETPA]],tbEtapas[],2,FALSE),"")</f>
        <v/>
      </c>
      <c r="F2359" t="str">
        <f>IFERROR(VLOOKUP(tbEscolas[[#This Row],[COD ETPA]],tbEtapas[],3,FALSE),"")</f>
        <v/>
      </c>
    </row>
    <row r="2360" spans="1:6" x14ac:dyDescent="0.25">
      <c r="A2360" s="24" t="str">
        <f>_xlfn.XLOOKUP(tbEscolas[[#This Row],[ESCOLA]],tbNucleo[ESCOLA],tbNucleo[COD ESCOLA],"")</f>
        <v/>
      </c>
      <c r="B2360" t="str" cm="1">
        <f t="array" ref="B2360">IFERROR(INDEX(tbNucleo[ESCOLA],ROUNDUP(ROW(B2359)/TotalEtapas,0)),"")</f>
        <v/>
      </c>
      <c r="E2360" t="str">
        <f>IFERROR(VLOOKUP(tbEscolas[[#This Row],[COD ETPA]],tbEtapas[],2,FALSE),"")</f>
        <v/>
      </c>
      <c r="F2360" t="str">
        <f>IFERROR(VLOOKUP(tbEscolas[[#This Row],[COD ETPA]],tbEtapas[],3,FALSE),"")</f>
        <v/>
      </c>
    </row>
    <row r="2361" spans="1:6" x14ac:dyDescent="0.25">
      <c r="A2361" s="24" t="str">
        <f>_xlfn.XLOOKUP(tbEscolas[[#This Row],[ESCOLA]],tbNucleo[ESCOLA],tbNucleo[COD ESCOLA],"")</f>
        <v/>
      </c>
      <c r="B2361" t="str" cm="1">
        <f t="array" ref="B2361">IFERROR(INDEX(tbNucleo[ESCOLA],ROUNDUP(ROW(B2360)/TotalEtapas,0)),"")</f>
        <v/>
      </c>
      <c r="E2361" t="str">
        <f>IFERROR(VLOOKUP(tbEscolas[[#This Row],[COD ETPA]],tbEtapas[],2,FALSE),"")</f>
        <v/>
      </c>
      <c r="F2361" t="str">
        <f>IFERROR(VLOOKUP(tbEscolas[[#This Row],[COD ETPA]],tbEtapas[],3,FALSE),"")</f>
        <v/>
      </c>
    </row>
    <row r="2362" spans="1:6" x14ac:dyDescent="0.25">
      <c r="A2362" s="24" t="str">
        <f>_xlfn.XLOOKUP(tbEscolas[[#This Row],[ESCOLA]],tbNucleo[ESCOLA],tbNucleo[COD ESCOLA],"")</f>
        <v/>
      </c>
      <c r="B2362" t="str" cm="1">
        <f t="array" ref="B2362">IFERROR(INDEX(tbNucleo[ESCOLA],ROUNDUP(ROW(B2361)/TotalEtapas,0)),"")</f>
        <v/>
      </c>
      <c r="E2362" t="str">
        <f>IFERROR(VLOOKUP(tbEscolas[[#This Row],[COD ETPA]],tbEtapas[],2,FALSE),"")</f>
        <v/>
      </c>
      <c r="F2362" t="str">
        <f>IFERROR(VLOOKUP(tbEscolas[[#This Row],[COD ETPA]],tbEtapas[],3,FALSE),"")</f>
        <v/>
      </c>
    </row>
    <row r="2363" spans="1:6" x14ac:dyDescent="0.25">
      <c r="A2363" s="24" t="str">
        <f>_xlfn.XLOOKUP(tbEscolas[[#This Row],[ESCOLA]],tbNucleo[ESCOLA],tbNucleo[COD ESCOLA],"")</f>
        <v/>
      </c>
      <c r="B2363" t="str" cm="1">
        <f t="array" ref="B2363">IFERROR(INDEX(tbNucleo[ESCOLA],ROUNDUP(ROW(B2362)/TotalEtapas,0)),"")</f>
        <v/>
      </c>
      <c r="E2363" t="str">
        <f>IFERROR(VLOOKUP(tbEscolas[[#This Row],[COD ETPA]],tbEtapas[],2,FALSE),"")</f>
        <v/>
      </c>
      <c r="F2363" t="str">
        <f>IFERROR(VLOOKUP(tbEscolas[[#This Row],[COD ETPA]],tbEtapas[],3,FALSE),"")</f>
        <v/>
      </c>
    </row>
    <row r="2364" spans="1:6" x14ac:dyDescent="0.25">
      <c r="A2364" s="24" t="str">
        <f>_xlfn.XLOOKUP(tbEscolas[[#This Row],[ESCOLA]],tbNucleo[ESCOLA],tbNucleo[COD ESCOLA],"")</f>
        <v/>
      </c>
      <c r="B2364" t="str" cm="1">
        <f t="array" ref="B2364">IFERROR(INDEX(tbNucleo[ESCOLA],ROUNDUP(ROW(B2363)/TotalEtapas,0)),"")</f>
        <v/>
      </c>
      <c r="E2364" t="str">
        <f>IFERROR(VLOOKUP(tbEscolas[[#This Row],[COD ETPA]],tbEtapas[],2,FALSE),"")</f>
        <v/>
      </c>
      <c r="F2364" t="str">
        <f>IFERROR(VLOOKUP(tbEscolas[[#This Row],[COD ETPA]],tbEtapas[],3,FALSE),"")</f>
        <v/>
      </c>
    </row>
    <row r="2365" spans="1:6" x14ac:dyDescent="0.25">
      <c r="A2365" s="24" t="str">
        <f>_xlfn.XLOOKUP(tbEscolas[[#This Row],[ESCOLA]],tbNucleo[ESCOLA],tbNucleo[COD ESCOLA],"")</f>
        <v/>
      </c>
      <c r="B2365" t="str" cm="1">
        <f t="array" ref="B2365">IFERROR(INDEX(tbNucleo[ESCOLA],ROUNDUP(ROW(B2364)/TotalEtapas,0)),"")</f>
        <v/>
      </c>
      <c r="E2365" t="str">
        <f>IFERROR(VLOOKUP(tbEscolas[[#This Row],[COD ETPA]],tbEtapas[],2,FALSE),"")</f>
        <v/>
      </c>
      <c r="F2365" t="str">
        <f>IFERROR(VLOOKUP(tbEscolas[[#This Row],[COD ETPA]],tbEtapas[],3,FALSE),"")</f>
        <v/>
      </c>
    </row>
    <row r="2366" spans="1:6" x14ac:dyDescent="0.25">
      <c r="A2366" s="24" t="str">
        <f>_xlfn.XLOOKUP(tbEscolas[[#This Row],[ESCOLA]],tbNucleo[ESCOLA],tbNucleo[COD ESCOLA],"")</f>
        <v/>
      </c>
      <c r="B2366" t="str" cm="1">
        <f t="array" ref="B2366">IFERROR(INDEX(tbNucleo[ESCOLA],ROUNDUP(ROW(B2365)/TotalEtapas,0)),"")</f>
        <v/>
      </c>
      <c r="E2366" t="str">
        <f>IFERROR(VLOOKUP(tbEscolas[[#This Row],[COD ETPA]],tbEtapas[],2,FALSE),"")</f>
        <v/>
      </c>
      <c r="F2366" t="str">
        <f>IFERROR(VLOOKUP(tbEscolas[[#This Row],[COD ETPA]],tbEtapas[],3,FALSE),"")</f>
        <v/>
      </c>
    </row>
    <row r="2367" spans="1:6" x14ac:dyDescent="0.25">
      <c r="A2367" s="24" t="str">
        <f>_xlfn.XLOOKUP(tbEscolas[[#This Row],[ESCOLA]],tbNucleo[ESCOLA],tbNucleo[COD ESCOLA],"")</f>
        <v/>
      </c>
      <c r="B2367" t="str" cm="1">
        <f t="array" ref="B2367">IFERROR(INDEX(tbNucleo[ESCOLA],ROUNDUP(ROW(B2366)/TotalEtapas,0)),"")</f>
        <v/>
      </c>
      <c r="E2367" t="str">
        <f>IFERROR(VLOOKUP(tbEscolas[[#This Row],[COD ETPA]],tbEtapas[],2,FALSE),"")</f>
        <v/>
      </c>
      <c r="F2367" t="str">
        <f>IFERROR(VLOOKUP(tbEscolas[[#This Row],[COD ETPA]],tbEtapas[],3,FALSE),"")</f>
        <v/>
      </c>
    </row>
    <row r="2368" spans="1:6" x14ac:dyDescent="0.25">
      <c r="A2368" s="24" t="str">
        <f>_xlfn.XLOOKUP(tbEscolas[[#This Row],[ESCOLA]],tbNucleo[ESCOLA],tbNucleo[COD ESCOLA],"")</f>
        <v/>
      </c>
      <c r="B2368" t="str" cm="1">
        <f t="array" ref="B2368">IFERROR(INDEX(tbNucleo[ESCOLA],ROUNDUP(ROW(B2367)/TotalEtapas,0)),"")</f>
        <v/>
      </c>
      <c r="E2368" t="str">
        <f>IFERROR(VLOOKUP(tbEscolas[[#This Row],[COD ETPA]],tbEtapas[],2,FALSE),"")</f>
        <v/>
      </c>
      <c r="F2368" t="str">
        <f>IFERROR(VLOOKUP(tbEscolas[[#This Row],[COD ETPA]],tbEtapas[],3,FALSE),"")</f>
        <v/>
      </c>
    </row>
    <row r="2369" spans="1:6" x14ac:dyDescent="0.25">
      <c r="A2369" s="24" t="str">
        <f>_xlfn.XLOOKUP(tbEscolas[[#This Row],[ESCOLA]],tbNucleo[ESCOLA],tbNucleo[COD ESCOLA],"")</f>
        <v/>
      </c>
      <c r="B2369" t="str" cm="1">
        <f t="array" ref="B2369">IFERROR(INDEX(tbNucleo[ESCOLA],ROUNDUP(ROW(B2368)/TotalEtapas,0)),"")</f>
        <v/>
      </c>
      <c r="E2369" t="str">
        <f>IFERROR(VLOOKUP(tbEscolas[[#This Row],[COD ETPA]],tbEtapas[],2,FALSE),"")</f>
        <v/>
      </c>
      <c r="F2369" t="str">
        <f>IFERROR(VLOOKUP(tbEscolas[[#This Row],[COD ETPA]],tbEtapas[],3,FALSE),"")</f>
        <v/>
      </c>
    </row>
    <row r="2370" spans="1:6" x14ac:dyDescent="0.25">
      <c r="A2370" s="24" t="str">
        <f>_xlfn.XLOOKUP(tbEscolas[[#This Row],[ESCOLA]],tbNucleo[ESCOLA],tbNucleo[COD ESCOLA],"")</f>
        <v/>
      </c>
      <c r="B2370" t="str" cm="1">
        <f t="array" ref="B2370">IFERROR(INDEX(tbNucleo[ESCOLA],ROUNDUP(ROW(B2369)/TotalEtapas,0)),"")</f>
        <v/>
      </c>
      <c r="E2370" t="str">
        <f>IFERROR(VLOOKUP(tbEscolas[[#This Row],[COD ETPA]],tbEtapas[],2,FALSE),"")</f>
        <v/>
      </c>
      <c r="F2370" t="str">
        <f>IFERROR(VLOOKUP(tbEscolas[[#This Row],[COD ETPA]],tbEtapas[],3,FALSE),"")</f>
        <v/>
      </c>
    </row>
    <row r="2371" spans="1:6" x14ac:dyDescent="0.25">
      <c r="A2371" s="24" t="str">
        <f>_xlfn.XLOOKUP(tbEscolas[[#This Row],[ESCOLA]],tbNucleo[ESCOLA],tbNucleo[COD ESCOLA],"")</f>
        <v/>
      </c>
      <c r="B2371" t="str" cm="1">
        <f t="array" ref="B2371">IFERROR(INDEX(tbNucleo[ESCOLA],ROUNDUP(ROW(B2370)/TotalEtapas,0)),"")</f>
        <v/>
      </c>
      <c r="E2371" t="str">
        <f>IFERROR(VLOOKUP(tbEscolas[[#This Row],[COD ETPA]],tbEtapas[],2,FALSE),"")</f>
        <v/>
      </c>
      <c r="F2371" t="str">
        <f>IFERROR(VLOOKUP(tbEscolas[[#This Row],[COD ETPA]],tbEtapas[],3,FALSE),"")</f>
        <v/>
      </c>
    </row>
    <row r="2372" spans="1:6" x14ac:dyDescent="0.25">
      <c r="A2372" s="24" t="str">
        <f>_xlfn.XLOOKUP(tbEscolas[[#This Row],[ESCOLA]],tbNucleo[ESCOLA],tbNucleo[COD ESCOLA],"")</f>
        <v/>
      </c>
      <c r="B2372" t="str" cm="1">
        <f t="array" ref="B2372">IFERROR(INDEX(tbNucleo[ESCOLA],ROUNDUP(ROW(B2371)/TotalEtapas,0)),"")</f>
        <v/>
      </c>
      <c r="E2372" t="str">
        <f>IFERROR(VLOOKUP(tbEscolas[[#This Row],[COD ETPA]],tbEtapas[],2,FALSE),"")</f>
        <v/>
      </c>
      <c r="F2372" t="str">
        <f>IFERROR(VLOOKUP(tbEscolas[[#This Row],[COD ETPA]],tbEtapas[],3,FALSE),"")</f>
        <v/>
      </c>
    </row>
    <row r="2373" spans="1:6" x14ac:dyDescent="0.25">
      <c r="A2373" s="24" t="str">
        <f>_xlfn.XLOOKUP(tbEscolas[[#This Row],[ESCOLA]],tbNucleo[ESCOLA],tbNucleo[COD ESCOLA],"")</f>
        <v/>
      </c>
      <c r="B2373" t="str" cm="1">
        <f t="array" ref="B2373">IFERROR(INDEX(tbNucleo[ESCOLA],ROUNDUP(ROW(B2372)/TotalEtapas,0)),"")</f>
        <v/>
      </c>
      <c r="E2373" t="str">
        <f>IFERROR(VLOOKUP(tbEscolas[[#This Row],[COD ETPA]],tbEtapas[],2,FALSE),"")</f>
        <v/>
      </c>
      <c r="F2373" t="str">
        <f>IFERROR(VLOOKUP(tbEscolas[[#This Row],[COD ETPA]],tbEtapas[],3,FALSE),"")</f>
        <v/>
      </c>
    </row>
    <row r="2374" spans="1:6" x14ac:dyDescent="0.25">
      <c r="A2374" s="24" t="str">
        <f>_xlfn.XLOOKUP(tbEscolas[[#This Row],[ESCOLA]],tbNucleo[ESCOLA],tbNucleo[COD ESCOLA],"")</f>
        <v/>
      </c>
      <c r="B2374" t="str" cm="1">
        <f t="array" ref="B2374">IFERROR(INDEX(tbNucleo[ESCOLA],ROUNDUP(ROW(B2373)/TotalEtapas,0)),"")</f>
        <v/>
      </c>
      <c r="E2374" t="str">
        <f>IFERROR(VLOOKUP(tbEscolas[[#This Row],[COD ETPA]],tbEtapas[],2,FALSE),"")</f>
        <v/>
      </c>
      <c r="F2374" t="str">
        <f>IFERROR(VLOOKUP(tbEscolas[[#This Row],[COD ETPA]],tbEtapas[],3,FALSE),"")</f>
        <v/>
      </c>
    </row>
    <row r="2375" spans="1:6" x14ac:dyDescent="0.25">
      <c r="A2375" s="24" t="str">
        <f>_xlfn.XLOOKUP(tbEscolas[[#This Row],[ESCOLA]],tbNucleo[ESCOLA],tbNucleo[COD ESCOLA],"")</f>
        <v/>
      </c>
      <c r="B2375" t="str" cm="1">
        <f t="array" ref="B2375">IFERROR(INDEX(tbNucleo[ESCOLA],ROUNDUP(ROW(B2374)/TotalEtapas,0)),"")</f>
        <v/>
      </c>
      <c r="E2375" t="str">
        <f>IFERROR(VLOOKUP(tbEscolas[[#This Row],[COD ETPA]],tbEtapas[],2,FALSE),"")</f>
        <v/>
      </c>
      <c r="F2375" t="str">
        <f>IFERROR(VLOOKUP(tbEscolas[[#This Row],[COD ETPA]],tbEtapas[],3,FALSE),"")</f>
        <v/>
      </c>
    </row>
    <row r="2376" spans="1:6" x14ac:dyDescent="0.25">
      <c r="A2376" s="24" t="str">
        <f>_xlfn.XLOOKUP(tbEscolas[[#This Row],[ESCOLA]],tbNucleo[ESCOLA],tbNucleo[COD ESCOLA],"")</f>
        <v/>
      </c>
      <c r="B2376" t="str" cm="1">
        <f t="array" ref="B2376">IFERROR(INDEX(tbNucleo[ESCOLA],ROUNDUP(ROW(B2375)/TotalEtapas,0)),"")</f>
        <v/>
      </c>
      <c r="E2376" t="str">
        <f>IFERROR(VLOOKUP(tbEscolas[[#This Row],[COD ETPA]],tbEtapas[],2,FALSE),"")</f>
        <v/>
      </c>
      <c r="F2376" t="str">
        <f>IFERROR(VLOOKUP(tbEscolas[[#This Row],[COD ETPA]],tbEtapas[],3,FALSE),"")</f>
        <v/>
      </c>
    </row>
    <row r="2377" spans="1:6" x14ac:dyDescent="0.25">
      <c r="A2377" s="24" t="str">
        <f>_xlfn.XLOOKUP(tbEscolas[[#This Row],[ESCOLA]],tbNucleo[ESCOLA],tbNucleo[COD ESCOLA],"")</f>
        <v/>
      </c>
      <c r="B2377" t="str" cm="1">
        <f t="array" ref="B2377">IFERROR(INDEX(tbNucleo[ESCOLA],ROUNDUP(ROW(B2376)/TotalEtapas,0)),"")</f>
        <v/>
      </c>
      <c r="E2377" t="str">
        <f>IFERROR(VLOOKUP(tbEscolas[[#This Row],[COD ETPA]],tbEtapas[],2,FALSE),"")</f>
        <v/>
      </c>
      <c r="F2377" t="str">
        <f>IFERROR(VLOOKUP(tbEscolas[[#This Row],[COD ETPA]],tbEtapas[],3,FALSE),"")</f>
        <v/>
      </c>
    </row>
    <row r="2378" spans="1:6" x14ac:dyDescent="0.25">
      <c r="A2378" s="24" t="str">
        <f>_xlfn.XLOOKUP(tbEscolas[[#This Row],[ESCOLA]],tbNucleo[ESCOLA],tbNucleo[COD ESCOLA],"")</f>
        <v/>
      </c>
      <c r="B2378" t="str" cm="1">
        <f t="array" ref="B2378">IFERROR(INDEX(tbNucleo[ESCOLA],ROUNDUP(ROW(B2377)/TotalEtapas,0)),"")</f>
        <v/>
      </c>
      <c r="E2378" t="str">
        <f>IFERROR(VLOOKUP(tbEscolas[[#This Row],[COD ETPA]],tbEtapas[],2,FALSE),"")</f>
        <v/>
      </c>
      <c r="F2378" t="str">
        <f>IFERROR(VLOOKUP(tbEscolas[[#This Row],[COD ETPA]],tbEtapas[],3,FALSE),"")</f>
        <v/>
      </c>
    </row>
    <row r="2379" spans="1:6" x14ac:dyDescent="0.25">
      <c r="A2379" s="24" t="str">
        <f>_xlfn.XLOOKUP(tbEscolas[[#This Row],[ESCOLA]],tbNucleo[ESCOLA],tbNucleo[COD ESCOLA],"")</f>
        <v/>
      </c>
      <c r="B2379" t="str" cm="1">
        <f t="array" ref="B2379">IFERROR(INDEX(tbNucleo[ESCOLA],ROUNDUP(ROW(B2378)/TotalEtapas,0)),"")</f>
        <v/>
      </c>
      <c r="E2379" t="str">
        <f>IFERROR(VLOOKUP(tbEscolas[[#This Row],[COD ETPA]],tbEtapas[],2,FALSE),"")</f>
        <v/>
      </c>
      <c r="F2379" t="str">
        <f>IFERROR(VLOOKUP(tbEscolas[[#This Row],[COD ETPA]],tbEtapas[],3,FALSE),"")</f>
        <v/>
      </c>
    </row>
    <row r="2380" spans="1:6" x14ac:dyDescent="0.25">
      <c r="A2380" s="24" t="str">
        <f>_xlfn.XLOOKUP(tbEscolas[[#This Row],[ESCOLA]],tbNucleo[ESCOLA],tbNucleo[COD ESCOLA],"")</f>
        <v/>
      </c>
      <c r="B2380" t="str" cm="1">
        <f t="array" ref="B2380">IFERROR(INDEX(tbNucleo[ESCOLA],ROUNDUP(ROW(B2379)/TotalEtapas,0)),"")</f>
        <v/>
      </c>
      <c r="E2380" t="str">
        <f>IFERROR(VLOOKUP(tbEscolas[[#This Row],[COD ETPA]],tbEtapas[],2,FALSE),"")</f>
        <v/>
      </c>
      <c r="F2380" t="str">
        <f>IFERROR(VLOOKUP(tbEscolas[[#This Row],[COD ETPA]],tbEtapas[],3,FALSE),"")</f>
        <v/>
      </c>
    </row>
    <row r="2381" spans="1:6" x14ac:dyDescent="0.25">
      <c r="A2381" s="24" t="str">
        <f>_xlfn.XLOOKUP(tbEscolas[[#This Row],[ESCOLA]],tbNucleo[ESCOLA],tbNucleo[COD ESCOLA],"")</f>
        <v/>
      </c>
      <c r="B2381" t="str" cm="1">
        <f t="array" ref="B2381">IFERROR(INDEX(tbNucleo[ESCOLA],ROUNDUP(ROW(B2380)/TotalEtapas,0)),"")</f>
        <v/>
      </c>
      <c r="E2381" t="str">
        <f>IFERROR(VLOOKUP(tbEscolas[[#This Row],[COD ETPA]],tbEtapas[],2,FALSE),"")</f>
        <v/>
      </c>
      <c r="F2381" t="str">
        <f>IFERROR(VLOOKUP(tbEscolas[[#This Row],[COD ETPA]],tbEtapas[],3,FALSE),"")</f>
        <v/>
      </c>
    </row>
    <row r="2382" spans="1:6" x14ac:dyDescent="0.25">
      <c r="A2382" s="24" t="str">
        <f>_xlfn.XLOOKUP(tbEscolas[[#This Row],[ESCOLA]],tbNucleo[ESCOLA],tbNucleo[COD ESCOLA],"")</f>
        <v/>
      </c>
      <c r="B2382" t="str" cm="1">
        <f t="array" ref="B2382">IFERROR(INDEX(tbNucleo[ESCOLA],ROUNDUP(ROW(B2381)/TotalEtapas,0)),"")</f>
        <v/>
      </c>
      <c r="E2382" t="str">
        <f>IFERROR(VLOOKUP(tbEscolas[[#This Row],[COD ETPA]],tbEtapas[],2,FALSE),"")</f>
        <v/>
      </c>
      <c r="F2382" t="str">
        <f>IFERROR(VLOOKUP(tbEscolas[[#This Row],[COD ETPA]],tbEtapas[],3,FALSE),"")</f>
        <v/>
      </c>
    </row>
    <row r="2383" spans="1:6" x14ac:dyDescent="0.25">
      <c r="A2383" s="24" t="str">
        <f>_xlfn.XLOOKUP(tbEscolas[[#This Row],[ESCOLA]],tbNucleo[ESCOLA],tbNucleo[COD ESCOLA],"")</f>
        <v/>
      </c>
      <c r="B2383" t="str" cm="1">
        <f t="array" ref="B2383">IFERROR(INDEX(tbNucleo[ESCOLA],ROUNDUP(ROW(B2382)/TotalEtapas,0)),"")</f>
        <v/>
      </c>
      <c r="E2383" t="str">
        <f>IFERROR(VLOOKUP(tbEscolas[[#This Row],[COD ETPA]],tbEtapas[],2,FALSE),"")</f>
        <v/>
      </c>
      <c r="F2383" t="str">
        <f>IFERROR(VLOOKUP(tbEscolas[[#This Row],[COD ETPA]],tbEtapas[],3,FALSE),"")</f>
        <v/>
      </c>
    </row>
    <row r="2384" spans="1:6" x14ac:dyDescent="0.25">
      <c r="A2384" s="24" t="str">
        <f>_xlfn.XLOOKUP(tbEscolas[[#This Row],[ESCOLA]],tbNucleo[ESCOLA],tbNucleo[COD ESCOLA],"")</f>
        <v/>
      </c>
      <c r="B2384" t="str" cm="1">
        <f t="array" ref="B2384">IFERROR(INDEX(tbNucleo[ESCOLA],ROUNDUP(ROW(B2383)/TotalEtapas,0)),"")</f>
        <v/>
      </c>
      <c r="E2384" t="str">
        <f>IFERROR(VLOOKUP(tbEscolas[[#This Row],[COD ETPA]],tbEtapas[],2,FALSE),"")</f>
        <v/>
      </c>
      <c r="F2384" t="str">
        <f>IFERROR(VLOOKUP(tbEscolas[[#This Row],[COD ETPA]],tbEtapas[],3,FALSE),"")</f>
        <v/>
      </c>
    </row>
    <row r="2385" spans="1:6" x14ac:dyDescent="0.25">
      <c r="A2385" s="24" t="str">
        <f>_xlfn.XLOOKUP(tbEscolas[[#This Row],[ESCOLA]],tbNucleo[ESCOLA],tbNucleo[COD ESCOLA],"")</f>
        <v/>
      </c>
      <c r="B2385" t="str" cm="1">
        <f t="array" ref="B2385">IFERROR(INDEX(tbNucleo[ESCOLA],ROUNDUP(ROW(B2384)/TotalEtapas,0)),"")</f>
        <v/>
      </c>
      <c r="E2385" t="str">
        <f>IFERROR(VLOOKUP(tbEscolas[[#This Row],[COD ETPA]],tbEtapas[],2,FALSE),"")</f>
        <v/>
      </c>
      <c r="F2385" t="str">
        <f>IFERROR(VLOOKUP(tbEscolas[[#This Row],[COD ETPA]],tbEtapas[],3,FALSE),"")</f>
        <v/>
      </c>
    </row>
    <row r="2386" spans="1:6" x14ac:dyDescent="0.25">
      <c r="A2386" s="24" t="str">
        <f>_xlfn.XLOOKUP(tbEscolas[[#This Row],[ESCOLA]],tbNucleo[ESCOLA],tbNucleo[COD ESCOLA],"")</f>
        <v/>
      </c>
      <c r="B2386" t="str" cm="1">
        <f t="array" ref="B2386">IFERROR(INDEX(tbNucleo[ESCOLA],ROUNDUP(ROW(B2385)/TotalEtapas,0)),"")</f>
        <v/>
      </c>
      <c r="E2386" t="str">
        <f>IFERROR(VLOOKUP(tbEscolas[[#This Row],[COD ETPA]],tbEtapas[],2,FALSE),"")</f>
        <v/>
      </c>
      <c r="F2386" t="str">
        <f>IFERROR(VLOOKUP(tbEscolas[[#This Row],[COD ETPA]],tbEtapas[],3,FALSE),"")</f>
        <v/>
      </c>
    </row>
    <row r="2387" spans="1:6" x14ac:dyDescent="0.25">
      <c r="A2387" s="24" t="str">
        <f>_xlfn.XLOOKUP(tbEscolas[[#This Row],[ESCOLA]],tbNucleo[ESCOLA],tbNucleo[COD ESCOLA],"")</f>
        <v/>
      </c>
      <c r="B2387" t="str" cm="1">
        <f t="array" ref="B2387">IFERROR(INDEX(tbNucleo[ESCOLA],ROUNDUP(ROW(B2386)/TotalEtapas,0)),"")</f>
        <v/>
      </c>
      <c r="E2387" t="str">
        <f>IFERROR(VLOOKUP(tbEscolas[[#This Row],[COD ETPA]],tbEtapas[],2,FALSE),"")</f>
        <v/>
      </c>
      <c r="F2387" t="str">
        <f>IFERROR(VLOOKUP(tbEscolas[[#This Row],[COD ETPA]],tbEtapas[],3,FALSE),"")</f>
        <v/>
      </c>
    </row>
    <row r="2388" spans="1:6" x14ac:dyDescent="0.25">
      <c r="A2388" s="24" t="str">
        <f>_xlfn.XLOOKUP(tbEscolas[[#This Row],[ESCOLA]],tbNucleo[ESCOLA],tbNucleo[COD ESCOLA],"")</f>
        <v/>
      </c>
      <c r="B2388" t="str" cm="1">
        <f t="array" ref="B2388">IFERROR(INDEX(tbNucleo[ESCOLA],ROUNDUP(ROW(B2387)/TotalEtapas,0)),"")</f>
        <v/>
      </c>
      <c r="E2388" t="str">
        <f>IFERROR(VLOOKUP(tbEscolas[[#This Row],[COD ETPA]],tbEtapas[],2,FALSE),"")</f>
        <v/>
      </c>
      <c r="F2388" t="str">
        <f>IFERROR(VLOOKUP(tbEscolas[[#This Row],[COD ETPA]],tbEtapas[],3,FALSE),"")</f>
        <v/>
      </c>
    </row>
    <row r="2389" spans="1:6" x14ac:dyDescent="0.25">
      <c r="A2389" s="24" t="str">
        <f>_xlfn.XLOOKUP(tbEscolas[[#This Row],[ESCOLA]],tbNucleo[ESCOLA],tbNucleo[COD ESCOLA],"")</f>
        <v/>
      </c>
      <c r="B2389" t="str" cm="1">
        <f t="array" ref="B2389">IFERROR(INDEX(tbNucleo[ESCOLA],ROUNDUP(ROW(B2388)/TotalEtapas,0)),"")</f>
        <v/>
      </c>
      <c r="E2389" t="str">
        <f>IFERROR(VLOOKUP(tbEscolas[[#This Row],[COD ETPA]],tbEtapas[],2,FALSE),"")</f>
        <v/>
      </c>
      <c r="F2389" t="str">
        <f>IFERROR(VLOOKUP(tbEscolas[[#This Row],[COD ETPA]],tbEtapas[],3,FALSE),"")</f>
        <v/>
      </c>
    </row>
    <row r="2390" spans="1:6" x14ac:dyDescent="0.25">
      <c r="A2390" s="24" t="str">
        <f>_xlfn.XLOOKUP(tbEscolas[[#This Row],[ESCOLA]],tbNucleo[ESCOLA],tbNucleo[COD ESCOLA],"")</f>
        <v/>
      </c>
      <c r="B2390" t="str" cm="1">
        <f t="array" ref="B2390">IFERROR(INDEX(tbNucleo[ESCOLA],ROUNDUP(ROW(B2389)/TotalEtapas,0)),"")</f>
        <v/>
      </c>
      <c r="E2390" t="str">
        <f>IFERROR(VLOOKUP(tbEscolas[[#This Row],[COD ETPA]],tbEtapas[],2,FALSE),"")</f>
        <v/>
      </c>
      <c r="F2390" t="str">
        <f>IFERROR(VLOOKUP(tbEscolas[[#This Row],[COD ETPA]],tbEtapas[],3,FALSE),"")</f>
        <v/>
      </c>
    </row>
    <row r="2391" spans="1:6" x14ac:dyDescent="0.25">
      <c r="A2391" s="24" t="str">
        <f>_xlfn.XLOOKUP(tbEscolas[[#This Row],[ESCOLA]],tbNucleo[ESCOLA],tbNucleo[COD ESCOLA],"")</f>
        <v/>
      </c>
      <c r="B2391" t="str" cm="1">
        <f t="array" ref="B2391">IFERROR(INDEX(tbNucleo[ESCOLA],ROUNDUP(ROW(B2390)/TotalEtapas,0)),"")</f>
        <v/>
      </c>
      <c r="E2391" t="str">
        <f>IFERROR(VLOOKUP(tbEscolas[[#This Row],[COD ETPA]],tbEtapas[],2,FALSE),"")</f>
        <v/>
      </c>
      <c r="F2391" t="str">
        <f>IFERROR(VLOOKUP(tbEscolas[[#This Row],[COD ETPA]],tbEtapas[],3,FALSE),"")</f>
        <v/>
      </c>
    </row>
    <row r="2392" spans="1:6" x14ac:dyDescent="0.25">
      <c r="A2392" s="24" t="str">
        <f>_xlfn.XLOOKUP(tbEscolas[[#This Row],[ESCOLA]],tbNucleo[ESCOLA],tbNucleo[COD ESCOLA],"")</f>
        <v/>
      </c>
      <c r="B2392" t="str" cm="1">
        <f t="array" ref="B2392">IFERROR(INDEX(tbNucleo[ESCOLA],ROUNDUP(ROW(B2391)/TotalEtapas,0)),"")</f>
        <v/>
      </c>
      <c r="E2392" t="str">
        <f>IFERROR(VLOOKUP(tbEscolas[[#This Row],[COD ETPA]],tbEtapas[],2,FALSE),"")</f>
        <v/>
      </c>
      <c r="F2392" t="str">
        <f>IFERROR(VLOOKUP(tbEscolas[[#This Row],[COD ETPA]],tbEtapas[],3,FALSE),"")</f>
        <v/>
      </c>
    </row>
    <row r="2393" spans="1:6" x14ac:dyDescent="0.25">
      <c r="A2393" s="24" t="str">
        <f>_xlfn.XLOOKUP(tbEscolas[[#This Row],[ESCOLA]],tbNucleo[ESCOLA],tbNucleo[COD ESCOLA],"")</f>
        <v/>
      </c>
      <c r="B2393" t="str" cm="1">
        <f t="array" ref="B2393">IFERROR(INDEX(tbNucleo[ESCOLA],ROUNDUP(ROW(B2392)/TotalEtapas,0)),"")</f>
        <v/>
      </c>
      <c r="E2393" t="str">
        <f>IFERROR(VLOOKUP(tbEscolas[[#This Row],[COD ETPA]],tbEtapas[],2,FALSE),"")</f>
        <v/>
      </c>
      <c r="F2393" t="str">
        <f>IFERROR(VLOOKUP(tbEscolas[[#This Row],[COD ETPA]],tbEtapas[],3,FALSE),"")</f>
        <v/>
      </c>
    </row>
    <row r="2394" spans="1:6" x14ac:dyDescent="0.25">
      <c r="A2394" s="24" t="str">
        <f>_xlfn.XLOOKUP(tbEscolas[[#This Row],[ESCOLA]],tbNucleo[ESCOLA],tbNucleo[COD ESCOLA],"")</f>
        <v/>
      </c>
      <c r="B2394" t="str" cm="1">
        <f t="array" ref="B2394">IFERROR(INDEX(tbNucleo[ESCOLA],ROUNDUP(ROW(B2393)/TotalEtapas,0)),"")</f>
        <v/>
      </c>
      <c r="E2394" t="str">
        <f>IFERROR(VLOOKUP(tbEscolas[[#This Row],[COD ETPA]],tbEtapas[],2,FALSE),"")</f>
        <v/>
      </c>
      <c r="F2394" t="str">
        <f>IFERROR(VLOOKUP(tbEscolas[[#This Row],[COD ETPA]],tbEtapas[],3,FALSE),"")</f>
        <v/>
      </c>
    </row>
    <row r="2395" spans="1:6" x14ac:dyDescent="0.25">
      <c r="A2395" s="24" t="str">
        <f>_xlfn.XLOOKUP(tbEscolas[[#This Row],[ESCOLA]],tbNucleo[ESCOLA],tbNucleo[COD ESCOLA],"")</f>
        <v/>
      </c>
      <c r="B2395" t="str" cm="1">
        <f t="array" ref="B2395">IFERROR(INDEX(tbNucleo[ESCOLA],ROUNDUP(ROW(B2394)/TotalEtapas,0)),"")</f>
        <v/>
      </c>
      <c r="E2395" t="str">
        <f>IFERROR(VLOOKUP(tbEscolas[[#This Row],[COD ETPA]],tbEtapas[],2,FALSE),"")</f>
        <v/>
      </c>
      <c r="F2395" t="str">
        <f>IFERROR(VLOOKUP(tbEscolas[[#This Row],[COD ETPA]],tbEtapas[],3,FALSE),"")</f>
        <v/>
      </c>
    </row>
    <row r="2396" spans="1:6" x14ac:dyDescent="0.25">
      <c r="A2396" s="24" t="str">
        <f>_xlfn.XLOOKUP(tbEscolas[[#This Row],[ESCOLA]],tbNucleo[ESCOLA],tbNucleo[COD ESCOLA],"")</f>
        <v/>
      </c>
      <c r="B2396" t="str" cm="1">
        <f t="array" ref="B2396">IFERROR(INDEX(tbNucleo[ESCOLA],ROUNDUP(ROW(B2395)/TotalEtapas,0)),"")</f>
        <v/>
      </c>
      <c r="E2396" t="str">
        <f>IFERROR(VLOOKUP(tbEscolas[[#This Row],[COD ETPA]],tbEtapas[],2,FALSE),"")</f>
        <v/>
      </c>
      <c r="F2396" t="str">
        <f>IFERROR(VLOOKUP(tbEscolas[[#This Row],[COD ETPA]],tbEtapas[],3,FALSE),"")</f>
        <v/>
      </c>
    </row>
    <row r="2397" spans="1:6" x14ac:dyDescent="0.25">
      <c r="A2397" s="24" t="str">
        <f>_xlfn.XLOOKUP(tbEscolas[[#This Row],[ESCOLA]],tbNucleo[ESCOLA],tbNucleo[COD ESCOLA],"")</f>
        <v/>
      </c>
      <c r="B2397" t="str" cm="1">
        <f t="array" ref="B2397">IFERROR(INDEX(tbNucleo[ESCOLA],ROUNDUP(ROW(B2396)/TotalEtapas,0)),"")</f>
        <v/>
      </c>
      <c r="E2397" t="str">
        <f>IFERROR(VLOOKUP(tbEscolas[[#This Row],[COD ETPA]],tbEtapas[],2,FALSE),"")</f>
        <v/>
      </c>
      <c r="F2397" t="str">
        <f>IFERROR(VLOOKUP(tbEscolas[[#This Row],[COD ETPA]],tbEtapas[],3,FALSE),"")</f>
        <v/>
      </c>
    </row>
    <row r="2398" spans="1:6" x14ac:dyDescent="0.25">
      <c r="A2398" s="24" t="str">
        <f>_xlfn.XLOOKUP(tbEscolas[[#This Row],[ESCOLA]],tbNucleo[ESCOLA],tbNucleo[COD ESCOLA],"")</f>
        <v/>
      </c>
      <c r="B2398" t="str" cm="1">
        <f t="array" ref="B2398">IFERROR(INDEX(tbNucleo[ESCOLA],ROUNDUP(ROW(B2397)/TotalEtapas,0)),"")</f>
        <v/>
      </c>
      <c r="E2398" t="str">
        <f>IFERROR(VLOOKUP(tbEscolas[[#This Row],[COD ETPA]],tbEtapas[],2,FALSE),"")</f>
        <v/>
      </c>
      <c r="F2398" t="str">
        <f>IFERROR(VLOOKUP(tbEscolas[[#This Row],[COD ETPA]],tbEtapas[],3,FALSE),"")</f>
        <v/>
      </c>
    </row>
    <row r="2399" spans="1:6" x14ac:dyDescent="0.25">
      <c r="A2399" s="24" t="str">
        <f>_xlfn.XLOOKUP(tbEscolas[[#This Row],[ESCOLA]],tbNucleo[ESCOLA],tbNucleo[COD ESCOLA],"")</f>
        <v/>
      </c>
      <c r="B2399" t="str" cm="1">
        <f t="array" ref="B2399">IFERROR(INDEX(tbNucleo[ESCOLA],ROUNDUP(ROW(B2398)/TotalEtapas,0)),"")</f>
        <v/>
      </c>
      <c r="E2399" t="str">
        <f>IFERROR(VLOOKUP(tbEscolas[[#This Row],[COD ETPA]],tbEtapas[],2,FALSE),"")</f>
        <v/>
      </c>
      <c r="F2399" t="str">
        <f>IFERROR(VLOOKUP(tbEscolas[[#This Row],[COD ETPA]],tbEtapas[],3,FALSE),"")</f>
        <v/>
      </c>
    </row>
    <row r="2400" spans="1:6" x14ac:dyDescent="0.25">
      <c r="A2400" s="24" t="str">
        <f>_xlfn.XLOOKUP(tbEscolas[[#This Row],[ESCOLA]],tbNucleo[ESCOLA],tbNucleo[COD ESCOLA],"")</f>
        <v/>
      </c>
      <c r="B2400" t="str" cm="1">
        <f t="array" ref="B2400">IFERROR(INDEX(tbNucleo[ESCOLA],ROUNDUP(ROW(B2399)/TotalEtapas,0)),"")</f>
        <v/>
      </c>
      <c r="E2400" t="str">
        <f>IFERROR(VLOOKUP(tbEscolas[[#This Row],[COD ETPA]],tbEtapas[],2,FALSE),"")</f>
        <v/>
      </c>
      <c r="F2400" t="str">
        <f>IFERROR(VLOOKUP(tbEscolas[[#This Row],[COD ETPA]],tbEtapas[],3,FALSE),"")</f>
        <v/>
      </c>
    </row>
    <row r="2401" spans="1:6" x14ac:dyDescent="0.25">
      <c r="A2401" s="24" t="str">
        <f>_xlfn.XLOOKUP(tbEscolas[[#This Row],[ESCOLA]],tbNucleo[ESCOLA],tbNucleo[COD ESCOLA],"")</f>
        <v/>
      </c>
      <c r="B2401" t="str" cm="1">
        <f t="array" ref="B2401">IFERROR(INDEX(tbNucleo[ESCOLA],ROUNDUP(ROW(B2400)/TotalEtapas,0)),"")</f>
        <v/>
      </c>
      <c r="E2401" t="str">
        <f>IFERROR(VLOOKUP(tbEscolas[[#This Row],[COD ETPA]],tbEtapas[],2,FALSE),"")</f>
        <v/>
      </c>
      <c r="F2401" t="str">
        <f>IFERROR(VLOOKUP(tbEscolas[[#This Row],[COD ETPA]],tbEtapas[],3,FALSE),"")</f>
        <v/>
      </c>
    </row>
    <row r="2402" spans="1:6" x14ac:dyDescent="0.25">
      <c r="A2402" s="24" t="str">
        <f>_xlfn.XLOOKUP(tbEscolas[[#This Row],[ESCOLA]],tbNucleo[ESCOLA],tbNucleo[COD ESCOLA],"")</f>
        <v/>
      </c>
      <c r="B2402" t="str" cm="1">
        <f t="array" ref="B2402">IFERROR(INDEX(tbNucleo[ESCOLA],ROUNDUP(ROW(B2401)/TotalEtapas,0)),"")</f>
        <v/>
      </c>
      <c r="E2402" t="str">
        <f>IFERROR(VLOOKUP(tbEscolas[[#This Row],[COD ETPA]],tbEtapas[],2,FALSE),"")</f>
        <v/>
      </c>
      <c r="F2402" t="str">
        <f>IFERROR(VLOOKUP(tbEscolas[[#This Row],[COD ETPA]],tbEtapas[],3,FALSE),"")</f>
        <v/>
      </c>
    </row>
    <row r="2403" spans="1:6" x14ac:dyDescent="0.25">
      <c r="A2403" s="24" t="str">
        <f>_xlfn.XLOOKUP(tbEscolas[[#This Row],[ESCOLA]],tbNucleo[ESCOLA],tbNucleo[COD ESCOLA],"")</f>
        <v/>
      </c>
      <c r="B2403" t="str" cm="1">
        <f t="array" ref="B2403">IFERROR(INDEX(tbNucleo[ESCOLA],ROUNDUP(ROW(B2402)/TotalEtapas,0)),"")</f>
        <v/>
      </c>
      <c r="E2403" t="str">
        <f>IFERROR(VLOOKUP(tbEscolas[[#This Row],[COD ETPA]],tbEtapas[],2,FALSE),"")</f>
        <v/>
      </c>
      <c r="F2403" t="str">
        <f>IFERROR(VLOOKUP(tbEscolas[[#This Row],[COD ETPA]],tbEtapas[],3,FALSE),"")</f>
        <v/>
      </c>
    </row>
    <row r="2404" spans="1:6" x14ac:dyDescent="0.25">
      <c r="A2404" s="24" t="str">
        <f>_xlfn.XLOOKUP(tbEscolas[[#This Row],[ESCOLA]],tbNucleo[ESCOLA],tbNucleo[COD ESCOLA],"")</f>
        <v/>
      </c>
      <c r="B2404" t="str" cm="1">
        <f t="array" ref="B2404">IFERROR(INDEX(tbNucleo[ESCOLA],ROUNDUP(ROW(B2403)/TotalEtapas,0)),"")</f>
        <v/>
      </c>
      <c r="E2404" t="str">
        <f>IFERROR(VLOOKUP(tbEscolas[[#This Row],[COD ETPA]],tbEtapas[],2,FALSE),"")</f>
        <v/>
      </c>
      <c r="F2404" t="str">
        <f>IFERROR(VLOOKUP(tbEscolas[[#This Row],[COD ETPA]],tbEtapas[],3,FALSE),"")</f>
        <v/>
      </c>
    </row>
    <row r="2405" spans="1:6" x14ac:dyDescent="0.25">
      <c r="A2405" s="24" t="str">
        <f>_xlfn.XLOOKUP(tbEscolas[[#This Row],[ESCOLA]],tbNucleo[ESCOLA],tbNucleo[COD ESCOLA],"")</f>
        <v/>
      </c>
      <c r="B2405" t="str" cm="1">
        <f t="array" ref="B2405">IFERROR(INDEX(tbNucleo[ESCOLA],ROUNDUP(ROW(B2404)/TotalEtapas,0)),"")</f>
        <v/>
      </c>
      <c r="E2405" t="str">
        <f>IFERROR(VLOOKUP(tbEscolas[[#This Row],[COD ETPA]],tbEtapas[],2,FALSE),"")</f>
        <v/>
      </c>
      <c r="F2405" t="str">
        <f>IFERROR(VLOOKUP(tbEscolas[[#This Row],[COD ETPA]],tbEtapas[],3,FALSE),"")</f>
        <v/>
      </c>
    </row>
    <row r="2406" spans="1:6" x14ac:dyDescent="0.25">
      <c r="A2406" s="24" t="str">
        <f>_xlfn.XLOOKUP(tbEscolas[[#This Row],[ESCOLA]],tbNucleo[ESCOLA],tbNucleo[COD ESCOLA],"")</f>
        <v/>
      </c>
      <c r="B2406" t="str" cm="1">
        <f t="array" ref="B2406">IFERROR(INDEX(tbNucleo[ESCOLA],ROUNDUP(ROW(B2405)/TotalEtapas,0)),"")</f>
        <v/>
      </c>
      <c r="E2406" t="str">
        <f>IFERROR(VLOOKUP(tbEscolas[[#This Row],[COD ETPA]],tbEtapas[],2,FALSE),"")</f>
        <v/>
      </c>
      <c r="F2406" t="str">
        <f>IFERROR(VLOOKUP(tbEscolas[[#This Row],[COD ETPA]],tbEtapas[],3,FALSE),"")</f>
        <v/>
      </c>
    </row>
    <row r="2407" spans="1:6" x14ac:dyDescent="0.25">
      <c r="A2407" s="24" t="str">
        <f>_xlfn.XLOOKUP(tbEscolas[[#This Row],[ESCOLA]],tbNucleo[ESCOLA],tbNucleo[COD ESCOLA],"")</f>
        <v/>
      </c>
      <c r="B2407" t="str" cm="1">
        <f t="array" ref="B2407">IFERROR(INDEX(tbNucleo[ESCOLA],ROUNDUP(ROW(B2406)/TotalEtapas,0)),"")</f>
        <v/>
      </c>
      <c r="E2407" t="str">
        <f>IFERROR(VLOOKUP(tbEscolas[[#This Row],[COD ETPA]],tbEtapas[],2,FALSE),"")</f>
        <v/>
      </c>
      <c r="F2407" t="str">
        <f>IFERROR(VLOOKUP(tbEscolas[[#This Row],[COD ETPA]],tbEtapas[],3,FALSE),"")</f>
        <v/>
      </c>
    </row>
    <row r="2408" spans="1:6" x14ac:dyDescent="0.25">
      <c r="A2408" s="24" t="str">
        <f>_xlfn.XLOOKUP(tbEscolas[[#This Row],[ESCOLA]],tbNucleo[ESCOLA],tbNucleo[COD ESCOLA],"")</f>
        <v/>
      </c>
      <c r="B2408" t="str" cm="1">
        <f t="array" ref="B2408">IFERROR(INDEX(tbNucleo[ESCOLA],ROUNDUP(ROW(B2407)/TotalEtapas,0)),"")</f>
        <v/>
      </c>
      <c r="E2408" t="str">
        <f>IFERROR(VLOOKUP(tbEscolas[[#This Row],[COD ETPA]],tbEtapas[],2,FALSE),"")</f>
        <v/>
      </c>
      <c r="F2408" t="str">
        <f>IFERROR(VLOOKUP(tbEscolas[[#This Row],[COD ETPA]],tbEtapas[],3,FALSE),"")</f>
        <v/>
      </c>
    </row>
    <row r="2409" spans="1:6" x14ac:dyDescent="0.25">
      <c r="A2409" s="24" t="str">
        <f>_xlfn.XLOOKUP(tbEscolas[[#This Row],[ESCOLA]],tbNucleo[ESCOLA],tbNucleo[COD ESCOLA],"")</f>
        <v/>
      </c>
      <c r="B2409" t="str" cm="1">
        <f t="array" ref="B2409">IFERROR(INDEX(tbNucleo[ESCOLA],ROUNDUP(ROW(B2408)/TotalEtapas,0)),"")</f>
        <v/>
      </c>
      <c r="E2409" t="str">
        <f>IFERROR(VLOOKUP(tbEscolas[[#This Row],[COD ETPA]],tbEtapas[],2,FALSE),"")</f>
        <v/>
      </c>
      <c r="F2409" t="str">
        <f>IFERROR(VLOOKUP(tbEscolas[[#This Row],[COD ETPA]],tbEtapas[],3,FALSE),"")</f>
        <v/>
      </c>
    </row>
    <row r="2410" spans="1:6" x14ac:dyDescent="0.25">
      <c r="A2410" s="24" t="str">
        <f>_xlfn.XLOOKUP(tbEscolas[[#This Row],[ESCOLA]],tbNucleo[ESCOLA],tbNucleo[COD ESCOLA],"")</f>
        <v/>
      </c>
      <c r="B2410" t="str" cm="1">
        <f t="array" ref="B2410">IFERROR(INDEX(tbNucleo[ESCOLA],ROUNDUP(ROW(B2409)/TotalEtapas,0)),"")</f>
        <v/>
      </c>
      <c r="E2410" t="str">
        <f>IFERROR(VLOOKUP(tbEscolas[[#This Row],[COD ETPA]],tbEtapas[],2,FALSE),"")</f>
        <v/>
      </c>
      <c r="F2410" t="str">
        <f>IFERROR(VLOOKUP(tbEscolas[[#This Row],[COD ETPA]],tbEtapas[],3,FALSE),"")</f>
        <v/>
      </c>
    </row>
    <row r="2411" spans="1:6" x14ac:dyDescent="0.25">
      <c r="A2411" s="24" t="str">
        <f>_xlfn.XLOOKUP(tbEscolas[[#This Row],[ESCOLA]],tbNucleo[ESCOLA],tbNucleo[COD ESCOLA],"")</f>
        <v/>
      </c>
      <c r="B2411" t="str" cm="1">
        <f t="array" ref="B2411">IFERROR(INDEX(tbNucleo[ESCOLA],ROUNDUP(ROW(B2410)/TotalEtapas,0)),"")</f>
        <v/>
      </c>
      <c r="E2411" t="str">
        <f>IFERROR(VLOOKUP(tbEscolas[[#This Row],[COD ETPA]],tbEtapas[],2,FALSE),"")</f>
        <v/>
      </c>
      <c r="F2411" t="str">
        <f>IFERROR(VLOOKUP(tbEscolas[[#This Row],[COD ETPA]],tbEtapas[],3,FALSE),"")</f>
        <v/>
      </c>
    </row>
    <row r="2412" spans="1:6" x14ac:dyDescent="0.25">
      <c r="A2412" s="24" t="str">
        <f>_xlfn.XLOOKUP(tbEscolas[[#This Row],[ESCOLA]],tbNucleo[ESCOLA],tbNucleo[COD ESCOLA],"")</f>
        <v/>
      </c>
      <c r="B2412" t="str" cm="1">
        <f t="array" ref="B2412">IFERROR(INDEX(tbNucleo[ESCOLA],ROUNDUP(ROW(B2411)/TotalEtapas,0)),"")</f>
        <v/>
      </c>
      <c r="E2412" t="str">
        <f>IFERROR(VLOOKUP(tbEscolas[[#This Row],[COD ETPA]],tbEtapas[],2,FALSE),"")</f>
        <v/>
      </c>
      <c r="F2412" t="str">
        <f>IFERROR(VLOOKUP(tbEscolas[[#This Row],[COD ETPA]],tbEtapas[],3,FALSE),"")</f>
        <v/>
      </c>
    </row>
    <row r="2413" spans="1:6" x14ac:dyDescent="0.25">
      <c r="A2413" s="24" t="str">
        <f>_xlfn.XLOOKUP(tbEscolas[[#This Row],[ESCOLA]],tbNucleo[ESCOLA],tbNucleo[COD ESCOLA],"")</f>
        <v/>
      </c>
      <c r="B2413" t="str" cm="1">
        <f t="array" ref="B2413">IFERROR(INDEX(tbNucleo[ESCOLA],ROUNDUP(ROW(B2412)/TotalEtapas,0)),"")</f>
        <v/>
      </c>
      <c r="E2413" t="str">
        <f>IFERROR(VLOOKUP(tbEscolas[[#This Row],[COD ETPA]],tbEtapas[],2,FALSE),"")</f>
        <v/>
      </c>
      <c r="F2413" t="str">
        <f>IFERROR(VLOOKUP(tbEscolas[[#This Row],[COD ETPA]],tbEtapas[],3,FALSE),"")</f>
        <v/>
      </c>
    </row>
    <row r="2414" spans="1:6" x14ac:dyDescent="0.25">
      <c r="A2414" s="24" t="str">
        <f>_xlfn.XLOOKUP(tbEscolas[[#This Row],[ESCOLA]],tbNucleo[ESCOLA],tbNucleo[COD ESCOLA],"")</f>
        <v/>
      </c>
      <c r="B2414" t="str" cm="1">
        <f t="array" ref="B2414">IFERROR(INDEX(tbNucleo[ESCOLA],ROUNDUP(ROW(B2413)/TotalEtapas,0)),"")</f>
        <v/>
      </c>
      <c r="E2414" t="str">
        <f>IFERROR(VLOOKUP(tbEscolas[[#This Row],[COD ETPA]],tbEtapas[],2,FALSE),"")</f>
        <v/>
      </c>
      <c r="F2414" t="str">
        <f>IFERROR(VLOOKUP(tbEscolas[[#This Row],[COD ETPA]],tbEtapas[],3,FALSE),"")</f>
        <v/>
      </c>
    </row>
    <row r="2415" spans="1:6" x14ac:dyDescent="0.25">
      <c r="A2415" s="24" t="str">
        <f>_xlfn.XLOOKUP(tbEscolas[[#This Row],[ESCOLA]],tbNucleo[ESCOLA],tbNucleo[COD ESCOLA],"")</f>
        <v/>
      </c>
      <c r="B2415" t="str" cm="1">
        <f t="array" ref="B2415">IFERROR(INDEX(tbNucleo[ESCOLA],ROUNDUP(ROW(B2414)/TotalEtapas,0)),"")</f>
        <v/>
      </c>
      <c r="E2415" t="str">
        <f>IFERROR(VLOOKUP(tbEscolas[[#This Row],[COD ETPA]],tbEtapas[],2,FALSE),"")</f>
        <v/>
      </c>
      <c r="F2415" t="str">
        <f>IFERROR(VLOOKUP(tbEscolas[[#This Row],[COD ETPA]],tbEtapas[],3,FALSE),"")</f>
        <v/>
      </c>
    </row>
    <row r="2416" spans="1:6" x14ac:dyDescent="0.25">
      <c r="A2416" s="24" t="str">
        <f>_xlfn.XLOOKUP(tbEscolas[[#This Row],[ESCOLA]],tbNucleo[ESCOLA],tbNucleo[COD ESCOLA],"")</f>
        <v/>
      </c>
      <c r="B2416" t="str" cm="1">
        <f t="array" ref="B2416">IFERROR(INDEX(tbNucleo[ESCOLA],ROUNDUP(ROW(B2415)/TotalEtapas,0)),"")</f>
        <v/>
      </c>
      <c r="E2416" t="str">
        <f>IFERROR(VLOOKUP(tbEscolas[[#This Row],[COD ETPA]],tbEtapas[],2,FALSE),"")</f>
        <v/>
      </c>
      <c r="F2416" t="str">
        <f>IFERROR(VLOOKUP(tbEscolas[[#This Row],[COD ETPA]],tbEtapas[],3,FALSE),"")</f>
        <v/>
      </c>
    </row>
    <row r="2417" spans="1:6" x14ac:dyDescent="0.25">
      <c r="A2417" s="24" t="str">
        <f>_xlfn.XLOOKUP(tbEscolas[[#This Row],[ESCOLA]],tbNucleo[ESCOLA],tbNucleo[COD ESCOLA],"")</f>
        <v/>
      </c>
      <c r="B2417" t="str" cm="1">
        <f t="array" ref="B2417">IFERROR(INDEX(tbNucleo[ESCOLA],ROUNDUP(ROW(B2416)/TotalEtapas,0)),"")</f>
        <v/>
      </c>
      <c r="E2417" t="str">
        <f>IFERROR(VLOOKUP(tbEscolas[[#This Row],[COD ETPA]],tbEtapas[],2,FALSE),"")</f>
        <v/>
      </c>
      <c r="F2417" t="str">
        <f>IFERROR(VLOOKUP(tbEscolas[[#This Row],[COD ETPA]],tbEtapas[],3,FALSE),"")</f>
        <v/>
      </c>
    </row>
    <row r="2418" spans="1:6" x14ac:dyDescent="0.25">
      <c r="A2418" s="24" t="str">
        <f>_xlfn.XLOOKUP(tbEscolas[[#This Row],[ESCOLA]],tbNucleo[ESCOLA],tbNucleo[COD ESCOLA],"")</f>
        <v/>
      </c>
      <c r="B2418" t="str" cm="1">
        <f t="array" ref="B2418">IFERROR(INDEX(tbNucleo[ESCOLA],ROUNDUP(ROW(B2417)/TotalEtapas,0)),"")</f>
        <v/>
      </c>
      <c r="E2418" t="str">
        <f>IFERROR(VLOOKUP(tbEscolas[[#This Row],[COD ETPA]],tbEtapas[],2,FALSE),"")</f>
        <v/>
      </c>
      <c r="F2418" t="str">
        <f>IFERROR(VLOOKUP(tbEscolas[[#This Row],[COD ETPA]],tbEtapas[],3,FALSE),"")</f>
        <v/>
      </c>
    </row>
    <row r="2419" spans="1:6" x14ac:dyDescent="0.25">
      <c r="A2419" s="24" t="str">
        <f>_xlfn.XLOOKUP(tbEscolas[[#This Row],[ESCOLA]],tbNucleo[ESCOLA],tbNucleo[COD ESCOLA],"")</f>
        <v/>
      </c>
      <c r="B2419" t="str" cm="1">
        <f t="array" ref="B2419">IFERROR(INDEX(tbNucleo[ESCOLA],ROUNDUP(ROW(B2418)/TotalEtapas,0)),"")</f>
        <v/>
      </c>
      <c r="E2419" t="str">
        <f>IFERROR(VLOOKUP(tbEscolas[[#This Row],[COD ETPA]],tbEtapas[],2,FALSE),"")</f>
        <v/>
      </c>
      <c r="F2419" t="str">
        <f>IFERROR(VLOOKUP(tbEscolas[[#This Row],[COD ETPA]],tbEtapas[],3,FALSE),"")</f>
        <v/>
      </c>
    </row>
    <row r="2420" spans="1:6" x14ac:dyDescent="0.25">
      <c r="A2420" s="24" t="str">
        <f>_xlfn.XLOOKUP(tbEscolas[[#This Row],[ESCOLA]],tbNucleo[ESCOLA],tbNucleo[COD ESCOLA],"")</f>
        <v/>
      </c>
      <c r="B2420" t="str" cm="1">
        <f t="array" ref="B2420">IFERROR(INDEX(tbNucleo[ESCOLA],ROUNDUP(ROW(B2419)/TotalEtapas,0)),"")</f>
        <v/>
      </c>
      <c r="E2420" t="str">
        <f>IFERROR(VLOOKUP(tbEscolas[[#This Row],[COD ETPA]],tbEtapas[],2,FALSE),"")</f>
        <v/>
      </c>
      <c r="F2420" t="str">
        <f>IFERROR(VLOOKUP(tbEscolas[[#This Row],[COD ETPA]],tbEtapas[],3,FALSE),"")</f>
        <v/>
      </c>
    </row>
    <row r="2421" spans="1:6" x14ac:dyDescent="0.25">
      <c r="A2421" s="24" t="str">
        <f>_xlfn.XLOOKUP(tbEscolas[[#This Row],[ESCOLA]],tbNucleo[ESCOLA],tbNucleo[COD ESCOLA],"")</f>
        <v/>
      </c>
      <c r="B2421" t="str" cm="1">
        <f t="array" ref="B2421">IFERROR(INDEX(tbNucleo[ESCOLA],ROUNDUP(ROW(B2420)/TotalEtapas,0)),"")</f>
        <v/>
      </c>
      <c r="E2421" t="str">
        <f>IFERROR(VLOOKUP(tbEscolas[[#This Row],[COD ETPA]],tbEtapas[],2,FALSE),"")</f>
        <v/>
      </c>
      <c r="F2421" t="str">
        <f>IFERROR(VLOOKUP(tbEscolas[[#This Row],[COD ETPA]],tbEtapas[],3,FALSE),"")</f>
        <v/>
      </c>
    </row>
    <row r="2422" spans="1:6" x14ac:dyDescent="0.25">
      <c r="A2422" s="24" t="str">
        <f>_xlfn.XLOOKUP(tbEscolas[[#This Row],[ESCOLA]],tbNucleo[ESCOLA],tbNucleo[COD ESCOLA],"")</f>
        <v/>
      </c>
      <c r="B2422" t="str" cm="1">
        <f t="array" ref="B2422">IFERROR(INDEX(tbNucleo[ESCOLA],ROUNDUP(ROW(B2421)/TotalEtapas,0)),"")</f>
        <v/>
      </c>
      <c r="E2422" t="str">
        <f>IFERROR(VLOOKUP(tbEscolas[[#This Row],[COD ETPA]],tbEtapas[],2,FALSE),"")</f>
        <v/>
      </c>
      <c r="F2422" t="str">
        <f>IFERROR(VLOOKUP(tbEscolas[[#This Row],[COD ETPA]],tbEtapas[],3,FALSE),"")</f>
        <v/>
      </c>
    </row>
    <row r="2423" spans="1:6" x14ac:dyDescent="0.25">
      <c r="A2423" s="24" t="str">
        <f>_xlfn.XLOOKUP(tbEscolas[[#This Row],[ESCOLA]],tbNucleo[ESCOLA],tbNucleo[COD ESCOLA],"")</f>
        <v/>
      </c>
      <c r="B2423" t="str" cm="1">
        <f t="array" ref="B2423">IFERROR(INDEX(tbNucleo[ESCOLA],ROUNDUP(ROW(B2422)/TotalEtapas,0)),"")</f>
        <v/>
      </c>
      <c r="E2423" t="str">
        <f>IFERROR(VLOOKUP(tbEscolas[[#This Row],[COD ETPA]],tbEtapas[],2,FALSE),"")</f>
        <v/>
      </c>
      <c r="F2423" t="str">
        <f>IFERROR(VLOOKUP(tbEscolas[[#This Row],[COD ETPA]],tbEtapas[],3,FALSE),"")</f>
        <v/>
      </c>
    </row>
    <row r="2424" spans="1:6" x14ac:dyDescent="0.25">
      <c r="A2424" s="24" t="str">
        <f>_xlfn.XLOOKUP(tbEscolas[[#This Row],[ESCOLA]],tbNucleo[ESCOLA],tbNucleo[COD ESCOLA],"")</f>
        <v/>
      </c>
      <c r="B2424" t="str" cm="1">
        <f t="array" ref="B2424">IFERROR(INDEX(tbNucleo[ESCOLA],ROUNDUP(ROW(B2423)/TotalEtapas,0)),"")</f>
        <v/>
      </c>
      <c r="E2424" t="str">
        <f>IFERROR(VLOOKUP(tbEscolas[[#This Row],[COD ETPA]],tbEtapas[],2,FALSE),"")</f>
        <v/>
      </c>
      <c r="F2424" t="str">
        <f>IFERROR(VLOOKUP(tbEscolas[[#This Row],[COD ETPA]],tbEtapas[],3,FALSE),"")</f>
        <v/>
      </c>
    </row>
    <row r="2425" spans="1:6" x14ac:dyDescent="0.25">
      <c r="A2425" s="24" t="str">
        <f>_xlfn.XLOOKUP(tbEscolas[[#This Row],[ESCOLA]],tbNucleo[ESCOLA],tbNucleo[COD ESCOLA],"")</f>
        <v/>
      </c>
      <c r="B2425" t="str" cm="1">
        <f t="array" ref="B2425">IFERROR(INDEX(tbNucleo[ESCOLA],ROUNDUP(ROW(B2424)/TotalEtapas,0)),"")</f>
        <v/>
      </c>
      <c r="E2425" t="str">
        <f>IFERROR(VLOOKUP(tbEscolas[[#This Row],[COD ETPA]],tbEtapas[],2,FALSE),"")</f>
        <v/>
      </c>
      <c r="F2425" t="str">
        <f>IFERROR(VLOOKUP(tbEscolas[[#This Row],[COD ETPA]],tbEtapas[],3,FALSE),"")</f>
        <v/>
      </c>
    </row>
    <row r="2426" spans="1:6" x14ac:dyDescent="0.25">
      <c r="A2426" s="24" t="str">
        <f>_xlfn.XLOOKUP(tbEscolas[[#This Row],[ESCOLA]],tbNucleo[ESCOLA],tbNucleo[COD ESCOLA],"")</f>
        <v/>
      </c>
      <c r="B2426" t="str" cm="1">
        <f t="array" ref="B2426">IFERROR(INDEX(tbNucleo[ESCOLA],ROUNDUP(ROW(B2425)/TotalEtapas,0)),"")</f>
        <v/>
      </c>
      <c r="E2426" t="str">
        <f>IFERROR(VLOOKUP(tbEscolas[[#This Row],[COD ETPA]],tbEtapas[],2,FALSE),"")</f>
        <v/>
      </c>
      <c r="F2426" t="str">
        <f>IFERROR(VLOOKUP(tbEscolas[[#This Row],[COD ETPA]],tbEtapas[],3,FALSE),"")</f>
        <v/>
      </c>
    </row>
    <row r="2427" spans="1:6" x14ac:dyDescent="0.25">
      <c r="A2427" s="24" t="str">
        <f>_xlfn.XLOOKUP(tbEscolas[[#This Row],[ESCOLA]],tbNucleo[ESCOLA],tbNucleo[COD ESCOLA],"")</f>
        <v/>
      </c>
      <c r="B2427" t="str" cm="1">
        <f t="array" ref="B2427">IFERROR(INDEX(tbNucleo[ESCOLA],ROUNDUP(ROW(B2426)/TotalEtapas,0)),"")</f>
        <v/>
      </c>
      <c r="E2427" t="str">
        <f>IFERROR(VLOOKUP(tbEscolas[[#This Row],[COD ETPA]],tbEtapas[],2,FALSE),"")</f>
        <v/>
      </c>
      <c r="F2427" t="str">
        <f>IFERROR(VLOOKUP(tbEscolas[[#This Row],[COD ETPA]],tbEtapas[],3,FALSE),"")</f>
        <v/>
      </c>
    </row>
    <row r="2428" spans="1:6" x14ac:dyDescent="0.25">
      <c r="A2428" s="24" t="str">
        <f>_xlfn.XLOOKUP(tbEscolas[[#This Row],[ESCOLA]],tbNucleo[ESCOLA],tbNucleo[COD ESCOLA],"")</f>
        <v/>
      </c>
      <c r="B2428" t="str" cm="1">
        <f t="array" ref="B2428">IFERROR(INDEX(tbNucleo[ESCOLA],ROUNDUP(ROW(B2427)/TotalEtapas,0)),"")</f>
        <v/>
      </c>
      <c r="E2428" t="str">
        <f>IFERROR(VLOOKUP(tbEscolas[[#This Row],[COD ETPA]],tbEtapas[],2,FALSE),"")</f>
        <v/>
      </c>
      <c r="F2428" t="str">
        <f>IFERROR(VLOOKUP(tbEscolas[[#This Row],[COD ETPA]],tbEtapas[],3,FALSE),"")</f>
        <v/>
      </c>
    </row>
    <row r="2429" spans="1:6" x14ac:dyDescent="0.25">
      <c r="A2429" s="24" t="str">
        <f>_xlfn.XLOOKUP(tbEscolas[[#This Row],[ESCOLA]],tbNucleo[ESCOLA],tbNucleo[COD ESCOLA],"")</f>
        <v/>
      </c>
      <c r="B2429" t="str" cm="1">
        <f t="array" ref="B2429">IFERROR(INDEX(tbNucleo[ESCOLA],ROUNDUP(ROW(B2428)/TotalEtapas,0)),"")</f>
        <v/>
      </c>
      <c r="E2429" t="str">
        <f>IFERROR(VLOOKUP(tbEscolas[[#This Row],[COD ETPA]],tbEtapas[],2,FALSE),"")</f>
        <v/>
      </c>
      <c r="F2429" t="str">
        <f>IFERROR(VLOOKUP(tbEscolas[[#This Row],[COD ETPA]],tbEtapas[],3,FALSE),"")</f>
        <v/>
      </c>
    </row>
    <row r="2430" spans="1:6" x14ac:dyDescent="0.25">
      <c r="A2430" s="24" t="str">
        <f>_xlfn.XLOOKUP(tbEscolas[[#This Row],[ESCOLA]],tbNucleo[ESCOLA],tbNucleo[COD ESCOLA],"")</f>
        <v/>
      </c>
      <c r="B2430" t="str" cm="1">
        <f t="array" ref="B2430">IFERROR(INDEX(tbNucleo[ESCOLA],ROUNDUP(ROW(B2429)/TotalEtapas,0)),"")</f>
        <v/>
      </c>
      <c r="E2430" t="str">
        <f>IFERROR(VLOOKUP(tbEscolas[[#This Row],[COD ETPA]],tbEtapas[],2,FALSE),"")</f>
        <v/>
      </c>
      <c r="F2430" t="str">
        <f>IFERROR(VLOOKUP(tbEscolas[[#This Row],[COD ETPA]],tbEtapas[],3,FALSE),"")</f>
        <v/>
      </c>
    </row>
    <row r="2431" spans="1:6" x14ac:dyDescent="0.25">
      <c r="A2431" s="24" t="str">
        <f>_xlfn.XLOOKUP(tbEscolas[[#This Row],[ESCOLA]],tbNucleo[ESCOLA],tbNucleo[COD ESCOLA],"")</f>
        <v/>
      </c>
      <c r="B2431" t="str" cm="1">
        <f t="array" ref="B2431">IFERROR(INDEX(tbNucleo[ESCOLA],ROUNDUP(ROW(B2430)/TotalEtapas,0)),"")</f>
        <v/>
      </c>
      <c r="E2431" t="str">
        <f>IFERROR(VLOOKUP(tbEscolas[[#This Row],[COD ETPA]],tbEtapas[],2,FALSE),"")</f>
        <v/>
      </c>
      <c r="F2431" t="str">
        <f>IFERROR(VLOOKUP(tbEscolas[[#This Row],[COD ETPA]],tbEtapas[],3,FALSE),"")</f>
        <v/>
      </c>
    </row>
    <row r="2432" spans="1:6" x14ac:dyDescent="0.25">
      <c r="A2432" s="24" t="str">
        <f>_xlfn.XLOOKUP(tbEscolas[[#This Row],[ESCOLA]],tbNucleo[ESCOLA],tbNucleo[COD ESCOLA],"")</f>
        <v/>
      </c>
      <c r="B2432" t="str" cm="1">
        <f t="array" ref="B2432">IFERROR(INDEX(tbNucleo[ESCOLA],ROUNDUP(ROW(B2431)/TotalEtapas,0)),"")</f>
        <v/>
      </c>
      <c r="E2432" t="str">
        <f>IFERROR(VLOOKUP(tbEscolas[[#This Row],[COD ETPA]],tbEtapas[],2,FALSE),"")</f>
        <v/>
      </c>
      <c r="F2432" t="str">
        <f>IFERROR(VLOOKUP(tbEscolas[[#This Row],[COD ETPA]],tbEtapas[],3,FALSE),"")</f>
        <v/>
      </c>
    </row>
    <row r="2433" spans="1:6" x14ac:dyDescent="0.25">
      <c r="A2433" s="24" t="str">
        <f>_xlfn.XLOOKUP(tbEscolas[[#This Row],[ESCOLA]],tbNucleo[ESCOLA],tbNucleo[COD ESCOLA],"")</f>
        <v/>
      </c>
      <c r="B2433" t="str" cm="1">
        <f t="array" ref="B2433">IFERROR(INDEX(tbNucleo[ESCOLA],ROUNDUP(ROW(B2432)/TotalEtapas,0)),"")</f>
        <v/>
      </c>
      <c r="E2433" t="str">
        <f>IFERROR(VLOOKUP(tbEscolas[[#This Row],[COD ETPA]],tbEtapas[],2,FALSE),"")</f>
        <v/>
      </c>
      <c r="F2433" t="str">
        <f>IFERROR(VLOOKUP(tbEscolas[[#This Row],[COD ETPA]],tbEtapas[],3,FALSE),"")</f>
        <v/>
      </c>
    </row>
    <row r="2434" spans="1:6" x14ac:dyDescent="0.25">
      <c r="A2434" s="24" t="str">
        <f>_xlfn.XLOOKUP(tbEscolas[[#This Row],[ESCOLA]],tbNucleo[ESCOLA],tbNucleo[COD ESCOLA],"")</f>
        <v/>
      </c>
      <c r="B2434" t="str" cm="1">
        <f t="array" ref="B2434">IFERROR(INDEX(tbNucleo[ESCOLA],ROUNDUP(ROW(B2433)/TotalEtapas,0)),"")</f>
        <v/>
      </c>
      <c r="E2434" t="str">
        <f>IFERROR(VLOOKUP(tbEscolas[[#This Row],[COD ETPA]],tbEtapas[],2,FALSE),"")</f>
        <v/>
      </c>
      <c r="F2434" t="str">
        <f>IFERROR(VLOOKUP(tbEscolas[[#This Row],[COD ETPA]],tbEtapas[],3,FALSE),"")</f>
        <v/>
      </c>
    </row>
    <row r="2435" spans="1:6" x14ac:dyDescent="0.25">
      <c r="A2435" s="24" t="str">
        <f>_xlfn.XLOOKUP(tbEscolas[[#This Row],[ESCOLA]],tbNucleo[ESCOLA],tbNucleo[COD ESCOLA],"")</f>
        <v/>
      </c>
      <c r="B2435" t="str" cm="1">
        <f t="array" ref="B2435">IFERROR(INDEX(tbNucleo[ESCOLA],ROUNDUP(ROW(B2434)/TotalEtapas,0)),"")</f>
        <v/>
      </c>
      <c r="E2435" t="str">
        <f>IFERROR(VLOOKUP(tbEscolas[[#This Row],[COD ETPA]],tbEtapas[],2,FALSE),"")</f>
        <v/>
      </c>
      <c r="F2435" t="str">
        <f>IFERROR(VLOOKUP(tbEscolas[[#This Row],[COD ETPA]],tbEtapas[],3,FALSE),"")</f>
        <v/>
      </c>
    </row>
    <row r="2436" spans="1:6" x14ac:dyDescent="0.25">
      <c r="A2436" s="24" t="str">
        <f>_xlfn.XLOOKUP(tbEscolas[[#This Row],[ESCOLA]],tbNucleo[ESCOLA],tbNucleo[COD ESCOLA],"")</f>
        <v/>
      </c>
      <c r="B2436" t="str" cm="1">
        <f t="array" ref="B2436">IFERROR(INDEX(tbNucleo[ESCOLA],ROUNDUP(ROW(B2435)/TotalEtapas,0)),"")</f>
        <v/>
      </c>
      <c r="E2436" t="str">
        <f>IFERROR(VLOOKUP(tbEscolas[[#This Row],[COD ETPA]],tbEtapas[],2,FALSE),"")</f>
        <v/>
      </c>
      <c r="F2436" t="str">
        <f>IFERROR(VLOOKUP(tbEscolas[[#This Row],[COD ETPA]],tbEtapas[],3,FALSE),"")</f>
        <v/>
      </c>
    </row>
    <row r="2437" spans="1:6" x14ac:dyDescent="0.25">
      <c r="A2437" s="24" t="str">
        <f>_xlfn.XLOOKUP(tbEscolas[[#This Row],[ESCOLA]],tbNucleo[ESCOLA],tbNucleo[COD ESCOLA],"")</f>
        <v/>
      </c>
      <c r="B2437" t="str" cm="1">
        <f t="array" ref="B2437">IFERROR(INDEX(tbNucleo[ESCOLA],ROUNDUP(ROW(B2436)/TotalEtapas,0)),"")</f>
        <v/>
      </c>
      <c r="E2437" t="str">
        <f>IFERROR(VLOOKUP(tbEscolas[[#This Row],[COD ETPA]],tbEtapas[],2,FALSE),"")</f>
        <v/>
      </c>
      <c r="F2437" t="str">
        <f>IFERROR(VLOOKUP(tbEscolas[[#This Row],[COD ETPA]],tbEtapas[],3,FALSE),"")</f>
        <v/>
      </c>
    </row>
    <row r="2438" spans="1:6" x14ac:dyDescent="0.25">
      <c r="A2438" s="24" t="str">
        <f>_xlfn.XLOOKUP(tbEscolas[[#This Row],[ESCOLA]],tbNucleo[ESCOLA],tbNucleo[COD ESCOLA],"")</f>
        <v/>
      </c>
      <c r="B2438" t="str" cm="1">
        <f t="array" ref="B2438">IFERROR(INDEX(tbNucleo[ESCOLA],ROUNDUP(ROW(B2437)/TotalEtapas,0)),"")</f>
        <v/>
      </c>
      <c r="E2438" t="str">
        <f>IFERROR(VLOOKUP(tbEscolas[[#This Row],[COD ETPA]],tbEtapas[],2,FALSE),"")</f>
        <v/>
      </c>
      <c r="F2438" t="str">
        <f>IFERROR(VLOOKUP(tbEscolas[[#This Row],[COD ETPA]],tbEtapas[],3,FALSE),"")</f>
        <v/>
      </c>
    </row>
    <row r="2439" spans="1:6" x14ac:dyDescent="0.25">
      <c r="A2439" s="24" t="str">
        <f>_xlfn.XLOOKUP(tbEscolas[[#This Row],[ESCOLA]],tbNucleo[ESCOLA],tbNucleo[COD ESCOLA],"")</f>
        <v/>
      </c>
      <c r="B2439" t="str" cm="1">
        <f t="array" ref="B2439">IFERROR(INDEX(tbNucleo[ESCOLA],ROUNDUP(ROW(B2438)/TotalEtapas,0)),"")</f>
        <v/>
      </c>
      <c r="E2439" t="str">
        <f>IFERROR(VLOOKUP(tbEscolas[[#This Row],[COD ETPA]],tbEtapas[],2,FALSE),"")</f>
        <v/>
      </c>
      <c r="F2439" t="str">
        <f>IFERROR(VLOOKUP(tbEscolas[[#This Row],[COD ETPA]],tbEtapas[],3,FALSE),"")</f>
        <v/>
      </c>
    </row>
    <row r="2440" spans="1:6" x14ac:dyDescent="0.25">
      <c r="A2440" s="24" t="str">
        <f>_xlfn.XLOOKUP(tbEscolas[[#This Row],[ESCOLA]],tbNucleo[ESCOLA],tbNucleo[COD ESCOLA],"")</f>
        <v/>
      </c>
      <c r="B2440" t="str" cm="1">
        <f t="array" ref="B2440">IFERROR(INDEX(tbNucleo[ESCOLA],ROUNDUP(ROW(B2439)/TotalEtapas,0)),"")</f>
        <v/>
      </c>
      <c r="E2440" t="str">
        <f>IFERROR(VLOOKUP(tbEscolas[[#This Row],[COD ETPA]],tbEtapas[],2,FALSE),"")</f>
        <v/>
      </c>
      <c r="F2440" t="str">
        <f>IFERROR(VLOOKUP(tbEscolas[[#This Row],[COD ETPA]],tbEtapas[],3,FALSE),"")</f>
        <v/>
      </c>
    </row>
    <row r="2441" spans="1:6" x14ac:dyDescent="0.25">
      <c r="A2441" s="24" t="str">
        <f>_xlfn.XLOOKUP(tbEscolas[[#This Row],[ESCOLA]],tbNucleo[ESCOLA],tbNucleo[COD ESCOLA],"")</f>
        <v/>
      </c>
      <c r="B2441" t="str" cm="1">
        <f t="array" ref="B2441">IFERROR(INDEX(tbNucleo[ESCOLA],ROUNDUP(ROW(B2440)/TotalEtapas,0)),"")</f>
        <v/>
      </c>
      <c r="E2441" t="str">
        <f>IFERROR(VLOOKUP(tbEscolas[[#This Row],[COD ETPA]],tbEtapas[],2,FALSE),"")</f>
        <v/>
      </c>
      <c r="F2441" t="str">
        <f>IFERROR(VLOOKUP(tbEscolas[[#This Row],[COD ETPA]],tbEtapas[],3,FALSE),"")</f>
        <v/>
      </c>
    </row>
    <row r="2442" spans="1:6" x14ac:dyDescent="0.25">
      <c r="A2442" s="24" t="str">
        <f>_xlfn.XLOOKUP(tbEscolas[[#This Row],[ESCOLA]],tbNucleo[ESCOLA],tbNucleo[COD ESCOLA],"")</f>
        <v/>
      </c>
      <c r="B2442" t="str" cm="1">
        <f t="array" ref="B2442">IFERROR(INDEX(tbNucleo[ESCOLA],ROUNDUP(ROW(B2441)/TotalEtapas,0)),"")</f>
        <v/>
      </c>
      <c r="E2442" t="str">
        <f>IFERROR(VLOOKUP(tbEscolas[[#This Row],[COD ETPA]],tbEtapas[],2,FALSE),"")</f>
        <v/>
      </c>
      <c r="F2442" t="str">
        <f>IFERROR(VLOOKUP(tbEscolas[[#This Row],[COD ETPA]],tbEtapas[],3,FALSE),"")</f>
        <v/>
      </c>
    </row>
    <row r="2443" spans="1:6" x14ac:dyDescent="0.25">
      <c r="A2443" s="24" t="str">
        <f>_xlfn.XLOOKUP(tbEscolas[[#This Row],[ESCOLA]],tbNucleo[ESCOLA],tbNucleo[COD ESCOLA],"")</f>
        <v/>
      </c>
      <c r="B2443" t="str" cm="1">
        <f t="array" ref="B2443">IFERROR(INDEX(tbNucleo[ESCOLA],ROUNDUP(ROW(B2442)/TotalEtapas,0)),"")</f>
        <v/>
      </c>
      <c r="E2443" t="str">
        <f>IFERROR(VLOOKUP(tbEscolas[[#This Row],[COD ETPA]],tbEtapas[],2,FALSE),"")</f>
        <v/>
      </c>
      <c r="F2443" t="str">
        <f>IFERROR(VLOOKUP(tbEscolas[[#This Row],[COD ETPA]],tbEtapas[],3,FALSE),"")</f>
        <v/>
      </c>
    </row>
    <row r="2444" spans="1:6" x14ac:dyDescent="0.25">
      <c r="A2444" s="24" t="str">
        <f>_xlfn.XLOOKUP(tbEscolas[[#This Row],[ESCOLA]],tbNucleo[ESCOLA],tbNucleo[COD ESCOLA],"")</f>
        <v/>
      </c>
      <c r="B2444" t="str" cm="1">
        <f t="array" ref="B2444">IFERROR(INDEX(tbNucleo[ESCOLA],ROUNDUP(ROW(B2443)/TotalEtapas,0)),"")</f>
        <v/>
      </c>
      <c r="E2444" t="str">
        <f>IFERROR(VLOOKUP(tbEscolas[[#This Row],[COD ETPA]],tbEtapas[],2,FALSE),"")</f>
        <v/>
      </c>
      <c r="F2444" t="str">
        <f>IFERROR(VLOOKUP(tbEscolas[[#This Row],[COD ETPA]],tbEtapas[],3,FALSE),"")</f>
        <v/>
      </c>
    </row>
    <row r="2445" spans="1:6" x14ac:dyDescent="0.25">
      <c r="A2445" s="24" t="str">
        <f>_xlfn.XLOOKUP(tbEscolas[[#This Row],[ESCOLA]],tbNucleo[ESCOLA],tbNucleo[COD ESCOLA],"")</f>
        <v/>
      </c>
      <c r="B2445" t="str" cm="1">
        <f t="array" ref="B2445">IFERROR(INDEX(tbNucleo[ESCOLA],ROUNDUP(ROW(B2444)/TotalEtapas,0)),"")</f>
        <v/>
      </c>
      <c r="E2445" t="str">
        <f>IFERROR(VLOOKUP(tbEscolas[[#This Row],[COD ETPA]],tbEtapas[],2,FALSE),"")</f>
        <v/>
      </c>
      <c r="F2445" t="str">
        <f>IFERROR(VLOOKUP(tbEscolas[[#This Row],[COD ETPA]],tbEtapas[],3,FALSE),"")</f>
        <v/>
      </c>
    </row>
    <row r="2446" spans="1:6" x14ac:dyDescent="0.25">
      <c r="A2446" s="24" t="str">
        <f>_xlfn.XLOOKUP(tbEscolas[[#This Row],[ESCOLA]],tbNucleo[ESCOLA],tbNucleo[COD ESCOLA],"")</f>
        <v/>
      </c>
      <c r="B2446" t="str" cm="1">
        <f t="array" ref="B2446">IFERROR(INDEX(tbNucleo[ESCOLA],ROUNDUP(ROW(B2445)/TotalEtapas,0)),"")</f>
        <v/>
      </c>
      <c r="E2446" t="str">
        <f>IFERROR(VLOOKUP(tbEscolas[[#This Row],[COD ETPA]],tbEtapas[],2,FALSE),"")</f>
        <v/>
      </c>
      <c r="F2446" t="str">
        <f>IFERROR(VLOOKUP(tbEscolas[[#This Row],[COD ETPA]],tbEtapas[],3,FALSE),"")</f>
        <v/>
      </c>
    </row>
    <row r="2447" spans="1:6" x14ac:dyDescent="0.25">
      <c r="A2447" s="24" t="str">
        <f>_xlfn.XLOOKUP(tbEscolas[[#This Row],[ESCOLA]],tbNucleo[ESCOLA],tbNucleo[COD ESCOLA],"")</f>
        <v/>
      </c>
      <c r="B2447" t="str" cm="1">
        <f t="array" ref="B2447">IFERROR(INDEX(tbNucleo[ESCOLA],ROUNDUP(ROW(B2446)/TotalEtapas,0)),"")</f>
        <v/>
      </c>
      <c r="E2447" t="str">
        <f>IFERROR(VLOOKUP(tbEscolas[[#This Row],[COD ETPA]],tbEtapas[],2,FALSE),"")</f>
        <v/>
      </c>
      <c r="F2447" t="str">
        <f>IFERROR(VLOOKUP(tbEscolas[[#This Row],[COD ETPA]],tbEtapas[],3,FALSE),"")</f>
        <v/>
      </c>
    </row>
    <row r="2448" spans="1:6" x14ac:dyDescent="0.25">
      <c r="A2448" s="24" t="str">
        <f>_xlfn.XLOOKUP(tbEscolas[[#This Row],[ESCOLA]],tbNucleo[ESCOLA],tbNucleo[COD ESCOLA],"")</f>
        <v/>
      </c>
      <c r="B2448" t="str" cm="1">
        <f t="array" ref="B2448">IFERROR(INDEX(tbNucleo[ESCOLA],ROUNDUP(ROW(B2447)/TotalEtapas,0)),"")</f>
        <v/>
      </c>
      <c r="E2448" t="str">
        <f>IFERROR(VLOOKUP(tbEscolas[[#This Row],[COD ETPA]],tbEtapas[],2,FALSE),"")</f>
        <v/>
      </c>
      <c r="F2448" t="str">
        <f>IFERROR(VLOOKUP(tbEscolas[[#This Row],[COD ETPA]],tbEtapas[],3,FALSE),"")</f>
        <v/>
      </c>
    </row>
    <row r="2449" spans="1:6" x14ac:dyDescent="0.25">
      <c r="A2449" s="24" t="str">
        <f>_xlfn.XLOOKUP(tbEscolas[[#This Row],[ESCOLA]],tbNucleo[ESCOLA],tbNucleo[COD ESCOLA],"")</f>
        <v/>
      </c>
      <c r="B2449" t="str" cm="1">
        <f t="array" ref="B2449">IFERROR(INDEX(tbNucleo[ESCOLA],ROUNDUP(ROW(B2448)/TotalEtapas,0)),"")</f>
        <v/>
      </c>
      <c r="E2449" t="str">
        <f>IFERROR(VLOOKUP(tbEscolas[[#This Row],[COD ETPA]],tbEtapas[],2,FALSE),"")</f>
        <v/>
      </c>
      <c r="F2449" t="str">
        <f>IFERROR(VLOOKUP(tbEscolas[[#This Row],[COD ETPA]],tbEtapas[],3,FALSE),"")</f>
        <v/>
      </c>
    </row>
    <row r="2450" spans="1:6" x14ac:dyDescent="0.25">
      <c r="A2450" s="24" t="str">
        <f>_xlfn.XLOOKUP(tbEscolas[[#This Row],[ESCOLA]],tbNucleo[ESCOLA],tbNucleo[COD ESCOLA],"")</f>
        <v/>
      </c>
      <c r="B2450" t="str" cm="1">
        <f t="array" ref="B2450">IFERROR(INDEX(tbNucleo[ESCOLA],ROUNDUP(ROW(B2449)/TotalEtapas,0)),"")</f>
        <v/>
      </c>
      <c r="E2450" t="str">
        <f>IFERROR(VLOOKUP(tbEscolas[[#This Row],[COD ETPA]],tbEtapas[],2,FALSE),"")</f>
        <v/>
      </c>
      <c r="F2450" t="str">
        <f>IFERROR(VLOOKUP(tbEscolas[[#This Row],[COD ETPA]],tbEtapas[],3,FALSE),"")</f>
        <v/>
      </c>
    </row>
    <row r="2451" spans="1:6" x14ac:dyDescent="0.25">
      <c r="A2451" s="24" t="str">
        <f>_xlfn.XLOOKUP(tbEscolas[[#This Row],[ESCOLA]],tbNucleo[ESCOLA],tbNucleo[COD ESCOLA],"")</f>
        <v/>
      </c>
      <c r="B2451" t="str" cm="1">
        <f t="array" ref="B2451">IFERROR(INDEX(tbNucleo[ESCOLA],ROUNDUP(ROW(B2450)/TotalEtapas,0)),"")</f>
        <v/>
      </c>
      <c r="E2451" t="str">
        <f>IFERROR(VLOOKUP(tbEscolas[[#This Row],[COD ETPA]],tbEtapas[],2,FALSE),"")</f>
        <v/>
      </c>
      <c r="F2451" t="str">
        <f>IFERROR(VLOOKUP(tbEscolas[[#This Row],[COD ETPA]],tbEtapas[],3,FALSE),"")</f>
        <v/>
      </c>
    </row>
    <row r="2452" spans="1:6" x14ac:dyDescent="0.25">
      <c r="A2452" s="24" t="str">
        <f>_xlfn.XLOOKUP(tbEscolas[[#This Row],[ESCOLA]],tbNucleo[ESCOLA],tbNucleo[COD ESCOLA],"")</f>
        <v/>
      </c>
      <c r="B2452" t="str" cm="1">
        <f t="array" ref="B2452">IFERROR(INDEX(tbNucleo[ESCOLA],ROUNDUP(ROW(B2451)/TotalEtapas,0)),"")</f>
        <v/>
      </c>
      <c r="E2452" t="str">
        <f>IFERROR(VLOOKUP(tbEscolas[[#This Row],[COD ETPA]],tbEtapas[],2,FALSE),"")</f>
        <v/>
      </c>
      <c r="F2452" t="str">
        <f>IFERROR(VLOOKUP(tbEscolas[[#This Row],[COD ETPA]],tbEtapas[],3,FALSE),"")</f>
        <v/>
      </c>
    </row>
    <row r="2453" spans="1:6" x14ac:dyDescent="0.25">
      <c r="A2453" s="24" t="str">
        <f>_xlfn.XLOOKUP(tbEscolas[[#This Row],[ESCOLA]],tbNucleo[ESCOLA],tbNucleo[COD ESCOLA],"")</f>
        <v/>
      </c>
      <c r="B2453" t="str" cm="1">
        <f t="array" ref="B2453">IFERROR(INDEX(tbNucleo[ESCOLA],ROUNDUP(ROW(B2452)/TotalEtapas,0)),"")</f>
        <v/>
      </c>
      <c r="E2453" t="str">
        <f>IFERROR(VLOOKUP(tbEscolas[[#This Row],[COD ETPA]],tbEtapas[],2,FALSE),"")</f>
        <v/>
      </c>
      <c r="F2453" t="str">
        <f>IFERROR(VLOOKUP(tbEscolas[[#This Row],[COD ETPA]],tbEtapas[],3,FALSE),"")</f>
        <v/>
      </c>
    </row>
    <row r="2454" spans="1:6" x14ac:dyDescent="0.25">
      <c r="A2454" s="24" t="str">
        <f>_xlfn.XLOOKUP(tbEscolas[[#This Row],[ESCOLA]],tbNucleo[ESCOLA],tbNucleo[COD ESCOLA],"")</f>
        <v/>
      </c>
      <c r="B2454" t="str" cm="1">
        <f t="array" ref="B2454">IFERROR(INDEX(tbNucleo[ESCOLA],ROUNDUP(ROW(B2453)/TotalEtapas,0)),"")</f>
        <v/>
      </c>
      <c r="E2454" t="str">
        <f>IFERROR(VLOOKUP(tbEscolas[[#This Row],[COD ETPA]],tbEtapas[],2,FALSE),"")</f>
        <v/>
      </c>
      <c r="F2454" t="str">
        <f>IFERROR(VLOOKUP(tbEscolas[[#This Row],[COD ETPA]],tbEtapas[],3,FALSE),"")</f>
        <v/>
      </c>
    </row>
    <row r="2455" spans="1:6" x14ac:dyDescent="0.25">
      <c r="A2455" s="24" t="str">
        <f>_xlfn.XLOOKUP(tbEscolas[[#This Row],[ESCOLA]],tbNucleo[ESCOLA],tbNucleo[COD ESCOLA],"")</f>
        <v/>
      </c>
      <c r="B2455" t="str" cm="1">
        <f t="array" ref="B2455">IFERROR(INDEX(tbNucleo[ESCOLA],ROUNDUP(ROW(B2454)/TotalEtapas,0)),"")</f>
        <v/>
      </c>
      <c r="E2455" t="str">
        <f>IFERROR(VLOOKUP(tbEscolas[[#This Row],[COD ETPA]],tbEtapas[],2,FALSE),"")</f>
        <v/>
      </c>
      <c r="F2455" t="str">
        <f>IFERROR(VLOOKUP(tbEscolas[[#This Row],[COD ETPA]],tbEtapas[],3,FALSE),"")</f>
        <v/>
      </c>
    </row>
    <row r="2456" spans="1:6" x14ac:dyDescent="0.25">
      <c r="A2456" s="24" t="str">
        <f>_xlfn.XLOOKUP(tbEscolas[[#This Row],[ESCOLA]],tbNucleo[ESCOLA],tbNucleo[COD ESCOLA],"")</f>
        <v/>
      </c>
      <c r="B2456" t="str" cm="1">
        <f t="array" ref="B2456">IFERROR(INDEX(tbNucleo[ESCOLA],ROUNDUP(ROW(B2455)/TotalEtapas,0)),"")</f>
        <v/>
      </c>
      <c r="E2456" t="str">
        <f>IFERROR(VLOOKUP(tbEscolas[[#This Row],[COD ETPA]],tbEtapas[],2,FALSE),"")</f>
        <v/>
      </c>
      <c r="F2456" t="str">
        <f>IFERROR(VLOOKUP(tbEscolas[[#This Row],[COD ETPA]],tbEtapas[],3,FALSE),"")</f>
        <v/>
      </c>
    </row>
    <row r="2457" spans="1:6" x14ac:dyDescent="0.25">
      <c r="A2457" s="24" t="str">
        <f>_xlfn.XLOOKUP(tbEscolas[[#This Row],[ESCOLA]],tbNucleo[ESCOLA],tbNucleo[COD ESCOLA],"")</f>
        <v/>
      </c>
      <c r="B2457" t="str" cm="1">
        <f t="array" ref="B2457">IFERROR(INDEX(tbNucleo[ESCOLA],ROUNDUP(ROW(B2456)/TotalEtapas,0)),"")</f>
        <v/>
      </c>
      <c r="E2457" t="str">
        <f>IFERROR(VLOOKUP(tbEscolas[[#This Row],[COD ETPA]],tbEtapas[],2,FALSE),"")</f>
        <v/>
      </c>
      <c r="F2457" t="str">
        <f>IFERROR(VLOOKUP(tbEscolas[[#This Row],[COD ETPA]],tbEtapas[],3,FALSE),"")</f>
        <v/>
      </c>
    </row>
    <row r="2458" spans="1:6" x14ac:dyDescent="0.25">
      <c r="A2458" s="24" t="str">
        <f>_xlfn.XLOOKUP(tbEscolas[[#This Row],[ESCOLA]],tbNucleo[ESCOLA],tbNucleo[COD ESCOLA],"")</f>
        <v/>
      </c>
      <c r="B2458" t="str" cm="1">
        <f t="array" ref="B2458">IFERROR(INDEX(tbNucleo[ESCOLA],ROUNDUP(ROW(B2457)/TotalEtapas,0)),"")</f>
        <v/>
      </c>
      <c r="E2458" t="str">
        <f>IFERROR(VLOOKUP(tbEscolas[[#This Row],[COD ETPA]],tbEtapas[],2,FALSE),"")</f>
        <v/>
      </c>
      <c r="F2458" t="str">
        <f>IFERROR(VLOOKUP(tbEscolas[[#This Row],[COD ETPA]],tbEtapas[],3,FALSE),"")</f>
        <v/>
      </c>
    </row>
    <row r="2459" spans="1:6" x14ac:dyDescent="0.25">
      <c r="A2459" s="24" t="str">
        <f>_xlfn.XLOOKUP(tbEscolas[[#This Row],[ESCOLA]],tbNucleo[ESCOLA],tbNucleo[COD ESCOLA],"")</f>
        <v/>
      </c>
      <c r="B2459" t="str" cm="1">
        <f t="array" ref="B2459">IFERROR(INDEX(tbNucleo[ESCOLA],ROUNDUP(ROW(B2458)/TotalEtapas,0)),"")</f>
        <v/>
      </c>
      <c r="E2459" t="str">
        <f>IFERROR(VLOOKUP(tbEscolas[[#This Row],[COD ETPA]],tbEtapas[],2,FALSE),"")</f>
        <v/>
      </c>
      <c r="F2459" t="str">
        <f>IFERROR(VLOOKUP(tbEscolas[[#This Row],[COD ETPA]],tbEtapas[],3,FALSE),"")</f>
        <v/>
      </c>
    </row>
    <row r="2460" spans="1:6" x14ac:dyDescent="0.25">
      <c r="A2460" s="24" t="str">
        <f>_xlfn.XLOOKUP(tbEscolas[[#This Row],[ESCOLA]],tbNucleo[ESCOLA],tbNucleo[COD ESCOLA],"")</f>
        <v/>
      </c>
      <c r="B2460" t="str" cm="1">
        <f t="array" ref="B2460">IFERROR(INDEX(tbNucleo[ESCOLA],ROUNDUP(ROW(B2459)/TotalEtapas,0)),"")</f>
        <v/>
      </c>
      <c r="E2460" t="str">
        <f>IFERROR(VLOOKUP(tbEscolas[[#This Row],[COD ETPA]],tbEtapas[],2,FALSE),"")</f>
        <v/>
      </c>
      <c r="F2460" t="str">
        <f>IFERROR(VLOOKUP(tbEscolas[[#This Row],[COD ETPA]],tbEtapas[],3,FALSE),"")</f>
        <v/>
      </c>
    </row>
    <row r="2461" spans="1:6" x14ac:dyDescent="0.25">
      <c r="A2461" s="24" t="str">
        <f>_xlfn.XLOOKUP(tbEscolas[[#This Row],[ESCOLA]],tbNucleo[ESCOLA],tbNucleo[COD ESCOLA],"")</f>
        <v/>
      </c>
      <c r="B2461" t="str" cm="1">
        <f t="array" ref="B2461">IFERROR(INDEX(tbNucleo[ESCOLA],ROUNDUP(ROW(B2460)/TotalEtapas,0)),"")</f>
        <v/>
      </c>
      <c r="E2461" t="str">
        <f>IFERROR(VLOOKUP(tbEscolas[[#This Row],[COD ETPA]],tbEtapas[],2,FALSE),"")</f>
        <v/>
      </c>
      <c r="F2461" t="str">
        <f>IFERROR(VLOOKUP(tbEscolas[[#This Row],[COD ETPA]],tbEtapas[],3,FALSE),"")</f>
        <v/>
      </c>
    </row>
    <row r="2462" spans="1:6" x14ac:dyDescent="0.25">
      <c r="A2462" s="24" t="str">
        <f>_xlfn.XLOOKUP(tbEscolas[[#This Row],[ESCOLA]],tbNucleo[ESCOLA],tbNucleo[COD ESCOLA],"")</f>
        <v/>
      </c>
      <c r="B2462" t="str" cm="1">
        <f t="array" ref="B2462">IFERROR(INDEX(tbNucleo[ESCOLA],ROUNDUP(ROW(B2461)/TotalEtapas,0)),"")</f>
        <v/>
      </c>
      <c r="E2462" t="str">
        <f>IFERROR(VLOOKUP(tbEscolas[[#This Row],[COD ETPA]],tbEtapas[],2,FALSE),"")</f>
        <v/>
      </c>
      <c r="F2462" t="str">
        <f>IFERROR(VLOOKUP(tbEscolas[[#This Row],[COD ETPA]],tbEtapas[],3,FALSE),"")</f>
        <v/>
      </c>
    </row>
    <row r="2463" spans="1:6" x14ac:dyDescent="0.25">
      <c r="A2463" s="24" t="str">
        <f>_xlfn.XLOOKUP(tbEscolas[[#This Row],[ESCOLA]],tbNucleo[ESCOLA],tbNucleo[COD ESCOLA],"")</f>
        <v/>
      </c>
      <c r="B2463" t="str" cm="1">
        <f t="array" ref="B2463">IFERROR(INDEX(tbNucleo[ESCOLA],ROUNDUP(ROW(B2462)/TotalEtapas,0)),"")</f>
        <v/>
      </c>
      <c r="E2463" t="str">
        <f>IFERROR(VLOOKUP(tbEscolas[[#This Row],[COD ETPA]],tbEtapas[],2,FALSE),"")</f>
        <v/>
      </c>
      <c r="F2463" t="str">
        <f>IFERROR(VLOOKUP(tbEscolas[[#This Row],[COD ETPA]],tbEtapas[],3,FALSE),"")</f>
        <v/>
      </c>
    </row>
    <row r="2464" spans="1:6" x14ac:dyDescent="0.25">
      <c r="A2464" s="24" t="str">
        <f>_xlfn.XLOOKUP(tbEscolas[[#This Row],[ESCOLA]],tbNucleo[ESCOLA],tbNucleo[COD ESCOLA],"")</f>
        <v/>
      </c>
      <c r="B2464" t="str" cm="1">
        <f t="array" ref="B2464">IFERROR(INDEX(tbNucleo[ESCOLA],ROUNDUP(ROW(B2463)/TotalEtapas,0)),"")</f>
        <v/>
      </c>
      <c r="E2464" t="str">
        <f>IFERROR(VLOOKUP(tbEscolas[[#This Row],[COD ETPA]],tbEtapas[],2,FALSE),"")</f>
        <v/>
      </c>
      <c r="F2464" t="str">
        <f>IFERROR(VLOOKUP(tbEscolas[[#This Row],[COD ETPA]],tbEtapas[],3,FALSE),"")</f>
        <v/>
      </c>
    </row>
    <row r="2465" spans="1:6" x14ac:dyDescent="0.25">
      <c r="A2465" s="24" t="str">
        <f>_xlfn.XLOOKUP(tbEscolas[[#This Row],[ESCOLA]],tbNucleo[ESCOLA],tbNucleo[COD ESCOLA],"")</f>
        <v/>
      </c>
      <c r="B2465" t="str" cm="1">
        <f t="array" ref="B2465">IFERROR(INDEX(tbNucleo[ESCOLA],ROUNDUP(ROW(B2464)/TotalEtapas,0)),"")</f>
        <v/>
      </c>
      <c r="E2465" t="str">
        <f>IFERROR(VLOOKUP(tbEscolas[[#This Row],[COD ETPA]],tbEtapas[],2,FALSE),"")</f>
        <v/>
      </c>
      <c r="F2465" t="str">
        <f>IFERROR(VLOOKUP(tbEscolas[[#This Row],[COD ETPA]],tbEtapas[],3,FALSE),"")</f>
        <v/>
      </c>
    </row>
    <row r="2466" spans="1:6" x14ac:dyDescent="0.25">
      <c r="A2466" s="24" t="str">
        <f>_xlfn.XLOOKUP(tbEscolas[[#This Row],[ESCOLA]],tbNucleo[ESCOLA],tbNucleo[COD ESCOLA],"")</f>
        <v/>
      </c>
      <c r="B2466" t="str" cm="1">
        <f t="array" ref="B2466">IFERROR(INDEX(tbNucleo[ESCOLA],ROUNDUP(ROW(B2465)/TotalEtapas,0)),"")</f>
        <v/>
      </c>
      <c r="E2466" t="str">
        <f>IFERROR(VLOOKUP(tbEscolas[[#This Row],[COD ETPA]],tbEtapas[],2,FALSE),"")</f>
        <v/>
      </c>
      <c r="F2466" t="str">
        <f>IFERROR(VLOOKUP(tbEscolas[[#This Row],[COD ETPA]],tbEtapas[],3,FALSE),"")</f>
        <v/>
      </c>
    </row>
    <row r="2467" spans="1:6" x14ac:dyDescent="0.25">
      <c r="A2467" s="24" t="str">
        <f>_xlfn.XLOOKUP(tbEscolas[[#This Row],[ESCOLA]],tbNucleo[ESCOLA],tbNucleo[COD ESCOLA],"")</f>
        <v/>
      </c>
      <c r="B2467" t="str" cm="1">
        <f t="array" ref="B2467">IFERROR(INDEX(tbNucleo[ESCOLA],ROUNDUP(ROW(B2466)/TotalEtapas,0)),"")</f>
        <v/>
      </c>
      <c r="E2467" t="str">
        <f>IFERROR(VLOOKUP(tbEscolas[[#This Row],[COD ETPA]],tbEtapas[],2,FALSE),"")</f>
        <v/>
      </c>
      <c r="F2467" t="str">
        <f>IFERROR(VLOOKUP(tbEscolas[[#This Row],[COD ETPA]],tbEtapas[],3,FALSE),"")</f>
        <v/>
      </c>
    </row>
    <row r="2468" spans="1:6" x14ac:dyDescent="0.25">
      <c r="A2468" s="24" t="str">
        <f>_xlfn.XLOOKUP(tbEscolas[[#This Row],[ESCOLA]],tbNucleo[ESCOLA],tbNucleo[COD ESCOLA],"")</f>
        <v/>
      </c>
      <c r="B2468" t="str" cm="1">
        <f t="array" ref="B2468">IFERROR(INDEX(tbNucleo[ESCOLA],ROUNDUP(ROW(B2467)/TotalEtapas,0)),"")</f>
        <v/>
      </c>
      <c r="E2468" t="str">
        <f>IFERROR(VLOOKUP(tbEscolas[[#This Row],[COD ETPA]],tbEtapas[],2,FALSE),"")</f>
        <v/>
      </c>
      <c r="F2468" t="str">
        <f>IFERROR(VLOOKUP(tbEscolas[[#This Row],[COD ETPA]],tbEtapas[],3,FALSE),"")</f>
        <v/>
      </c>
    </row>
    <row r="2469" spans="1:6" x14ac:dyDescent="0.25">
      <c r="A2469" s="24" t="str">
        <f>_xlfn.XLOOKUP(tbEscolas[[#This Row],[ESCOLA]],tbNucleo[ESCOLA],tbNucleo[COD ESCOLA],"")</f>
        <v/>
      </c>
      <c r="B2469" t="str" cm="1">
        <f t="array" ref="B2469">IFERROR(INDEX(tbNucleo[ESCOLA],ROUNDUP(ROW(B2468)/TotalEtapas,0)),"")</f>
        <v/>
      </c>
      <c r="E2469" t="str">
        <f>IFERROR(VLOOKUP(tbEscolas[[#This Row],[COD ETPA]],tbEtapas[],2,FALSE),"")</f>
        <v/>
      </c>
      <c r="F2469" t="str">
        <f>IFERROR(VLOOKUP(tbEscolas[[#This Row],[COD ETPA]],tbEtapas[],3,FALSE),"")</f>
        <v/>
      </c>
    </row>
    <row r="2470" spans="1:6" x14ac:dyDescent="0.25">
      <c r="A2470" s="24" t="str">
        <f>_xlfn.XLOOKUP(tbEscolas[[#This Row],[ESCOLA]],tbNucleo[ESCOLA],tbNucleo[COD ESCOLA],"")</f>
        <v/>
      </c>
      <c r="B2470" t="str" cm="1">
        <f t="array" ref="B2470">IFERROR(INDEX(tbNucleo[ESCOLA],ROUNDUP(ROW(B2469)/TotalEtapas,0)),"")</f>
        <v/>
      </c>
      <c r="E2470" t="str">
        <f>IFERROR(VLOOKUP(tbEscolas[[#This Row],[COD ETPA]],tbEtapas[],2,FALSE),"")</f>
        <v/>
      </c>
      <c r="F2470" t="str">
        <f>IFERROR(VLOOKUP(tbEscolas[[#This Row],[COD ETPA]],tbEtapas[],3,FALSE),"")</f>
        <v/>
      </c>
    </row>
    <row r="2471" spans="1:6" x14ac:dyDescent="0.25">
      <c r="A2471" s="24" t="str">
        <f>_xlfn.XLOOKUP(tbEscolas[[#This Row],[ESCOLA]],tbNucleo[ESCOLA],tbNucleo[COD ESCOLA],"")</f>
        <v/>
      </c>
      <c r="B2471" t="str" cm="1">
        <f t="array" ref="B2471">IFERROR(INDEX(tbNucleo[ESCOLA],ROUNDUP(ROW(B2470)/TotalEtapas,0)),"")</f>
        <v/>
      </c>
      <c r="E2471" t="str">
        <f>IFERROR(VLOOKUP(tbEscolas[[#This Row],[COD ETPA]],tbEtapas[],2,FALSE),"")</f>
        <v/>
      </c>
      <c r="F2471" t="str">
        <f>IFERROR(VLOOKUP(tbEscolas[[#This Row],[COD ETPA]],tbEtapas[],3,FALSE),"")</f>
        <v/>
      </c>
    </row>
    <row r="2472" spans="1:6" x14ac:dyDescent="0.25">
      <c r="A2472" s="24" t="str">
        <f>_xlfn.XLOOKUP(tbEscolas[[#This Row],[ESCOLA]],tbNucleo[ESCOLA],tbNucleo[COD ESCOLA],"")</f>
        <v/>
      </c>
      <c r="B2472" t="str" cm="1">
        <f t="array" ref="B2472">IFERROR(INDEX(tbNucleo[ESCOLA],ROUNDUP(ROW(B2471)/TotalEtapas,0)),"")</f>
        <v/>
      </c>
      <c r="E2472" t="str">
        <f>IFERROR(VLOOKUP(tbEscolas[[#This Row],[COD ETPA]],tbEtapas[],2,FALSE),"")</f>
        <v/>
      </c>
      <c r="F2472" t="str">
        <f>IFERROR(VLOOKUP(tbEscolas[[#This Row],[COD ETPA]],tbEtapas[],3,FALSE),"")</f>
        <v/>
      </c>
    </row>
    <row r="2473" spans="1:6" x14ac:dyDescent="0.25">
      <c r="A2473" s="24" t="str">
        <f>_xlfn.XLOOKUP(tbEscolas[[#This Row],[ESCOLA]],tbNucleo[ESCOLA],tbNucleo[COD ESCOLA],"")</f>
        <v/>
      </c>
      <c r="B2473" t="str" cm="1">
        <f t="array" ref="B2473">IFERROR(INDEX(tbNucleo[ESCOLA],ROUNDUP(ROW(B2472)/TotalEtapas,0)),"")</f>
        <v/>
      </c>
      <c r="E2473" t="str">
        <f>IFERROR(VLOOKUP(tbEscolas[[#This Row],[COD ETPA]],tbEtapas[],2,FALSE),"")</f>
        <v/>
      </c>
      <c r="F2473" t="str">
        <f>IFERROR(VLOOKUP(tbEscolas[[#This Row],[COD ETPA]],tbEtapas[],3,FALSE),"")</f>
        <v/>
      </c>
    </row>
    <row r="2474" spans="1:6" x14ac:dyDescent="0.25">
      <c r="A2474" s="24" t="str">
        <f>_xlfn.XLOOKUP(tbEscolas[[#This Row],[ESCOLA]],tbNucleo[ESCOLA],tbNucleo[COD ESCOLA],"")</f>
        <v/>
      </c>
      <c r="B2474" t="str" cm="1">
        <f t="array" ref="B2474">IFERROR(INDEX(tbNucleo[ESCOLA],ROUNDUP(ROW(B2473)/TotalEtapas,0)),"")</f>
        <v/>
      </c>
      <c r="E2474" t="str">
        <f>IFERROR(VLOOKUP(tbEscolas[[#This Row],[COD ETPA]],tbEtapas[],2,FALSE),"")</f>
        <v/>
      </c>
      <c r="F2474" t="str">
        <f>IFERROR(VLOOKUP(tbEscolas[[#This Row],[COD ETPA]],tbEtapas[],3,FALSE),"")</f>
        <v/>
      </c>
    </row>
    <row r="2475" spans="1:6" x14ac:dyDescent="0.25">
      <c r="A2475" s="24" t="str">
        <f>_xlfn.XLOOKUP(tbEscolas[[#This Row],[ESCOLA]],tbNucleo[ESCOLA],tbNucleo[COD ESCOLA],"")</f>
        <v/>
      </c>
      <c r="B2475" t="str" cm="1">
        <f t="array" ref="B2475">IFERROR(INDEX(tbNucleo[ESCOLA],ROUNDUP(ROW(B2474)/TotalEtapas,0)),"")</f>
        <v/>
      </c>
      <c r="E2475" t="str">
        <f>IFERROR(VLOOKUP(tbEscolas[[#This Row],[COD ETPA]],tbEtapas[],2,FALSE),"")</f>
        <v/>
      </c>
      <c r="F2475" t="str">
        <f>IFERROR(VLOOKUP(tbEscolas[[#This Row],[COD ETPA]],tbEtapas[],3,FALSE),"")</f>
        <v/>
      </c>
    </row>
    <row r="2476" spans="1:6" x14ac:dyDescent="0.25">
      <c r="A2476" s="24" t="str">
        <f>_xlfn.XLOOKUP(tbEscolas[[#This Row],[ESCOLA]],tbNucleo[ESCOLA],tbNucleo[COD ESCOLA],"")</f>
        <v/>
      </c>
      <c r="B2476" t="str" cm="1">
        <f t="array" ref="B2476">IFERROR(INDEX(tbNucleo[ESCOLA],ROUNDUP(ROW(B2475)/TotalEtapas,0)),"")</f>
        <v/>
      </c>
      <c r="E2476" t="str">
        <f>IFERROR(VLOOKUP(tbEscolas[[#This Row],[COD ETPA]],tbEtapas[],2,FALSE),"")</f>
        <v/>
      </c>
      <c r="F2476" t="str">
        <f>IFERROR(VLOOKUP(tbEscolas[[#This Row],[COD ETPA]],tbEtapas[],3,FALSE),"")</f>
        <v/>
      </c>
    </row>
    <row r="2477" spans="1:6" x14ac:dyDescent="0.25">
      <c r="A2477" s="24" t="str">
        <f>_xlfn.XLOOKUP(tbEscolas[[#This Row],[ESCOLA]],tbNucleo[ESCOLA],tbNucleo[COD ESCOLA],"")</f>
        <v/>
      </c>
      <c r="B2477" t="str" cm="1">
        <f t="array" ref="B2477">IFERROR(INDEX(tbNucleo[ESCOLA],ROUNDUP(ROW(B2476)/TotalEtapas,0)),"")</f>
        <v/>
      </c>
      <c r="E2477" t="str">
        <f>IFERROR(VLOOKUP(tbEscolas[[#This Row],[COD ETPA]],tbEtapas[],2,FALSE),"")</f>
        <v/>
      </c>
      <c r="F2477" t="str">
        <f>IFERROR(VLOOKUP(tbEscolas[[#This Row],[COD ETPA]],tbEtapas[],3,FALSE),"")</f>
        <v/>
      </c>
    </row>
    <row r="2478" spans="1:6" x14ac:dyDescent="0.25">
      <c r="A2478" s="24" t="str">
        <f>_xlfn.XLOOKUP(tbEscolas[[#This Row],[ESCOLA]],tbNucleo[ESCOLA],tbNucleo[COD ESCOLA],"")</f>
        <v/>
      </c>
      <c r="B2478" t="str" cm="1">
        <f t="array" ref="B2478">IFERROR(INDEX(tbNucleo[ESCOLA],ROUNDUP(ROW(B2477)/TotalEtapas,0)),"")</f>
        <v/>
      </c>
      <c r="E2478" t="str">
        <f>IFERROR(VLOOKUP(tbEscolas[[#This Row],[COD ETPA]],tbEtapas[],2,FALSE),"")</f>
        <v/>
      </c>
      <c r="F2478" t="str">
        <f>IFERROR(VLOOKUP(tbEscolas[[#This Row],[COD ETPA]],tbEtapas[],3,FALSE),"")</f>
        <v/>
      </c>
    </row>
    <row r="2479" spans="1:6" x14ac:dyDescent="0.25">
      <c r="A2479" s="24" t="str">
        <f>_xlfn.XLOOKUP(tbEscolas[[#This Row],[ESCOLA]],tbNucleo[ESCOLA],tbNucleo[COD ESCOLA],"")</f>
        <v/>
      </c>
      <c r="B2479" t="str" cm="1">
        <f t="array" ref="B2479">IFERROR(INDEX(tbNucleo[ESCOLA],ROUNDUP(ROW(B2478)/TotalEtapas,0)),"")</f>
        <v/>
      </c>
      <c r="E2479" t="str">
        <f>IFERROR(VLOOKUP(tbEscolas[[#This Row],[COD ETPA]],tbEtapas[],2,FALSE),"")</f>
        <v/>
      </c>
      <c r="F2479" t="str">
        <f>IFERROR(VLOOKUP(tbEscolas[[#This Row],[COD ETPA]],tbEtapas[],3,FALSE),"")</f>
        <v/>
      </c>
    </row>
    <row r="2480" spans="1:6" x14ac:dyDescent="0.25">
      <c r="A2480" s="24" t="str">
        <f>_xlfn.XLOOKUP(tbEscolas[[#This Row],[ESCOLA]],tbNucleo[ESCOLA],tbNucleo[COD ESCOLA],"")</f>
        <v/>
      </c>
      <c r="B2480" t="str" cm="1">
        <f t="array" ref="B2480">IFERROR(INDEX(tbNucleo[ESCOLA],ROUNDUP(ROW(B2479)/TotalEtapas,0)),"")</f>
        <v/>
      </c>
      <c r="E2480" t="str">
        <f>IFERROR(VLOOKUP(tbEscolas[[#This Row],[COD ETPA]],tbEtapas[],2,FALSE),"")</f>
        <v/>
      </c>
      <c r="F2480" t="str">
        <f>IFERROR(VLOOKUP(tbEscolas[[#This Row],[COD ETPA]],tbEtapas[],3,FALSE),"")</f>
        <v/>
      </c>
    </row>
    <row r="2481" spans="1:6" x14ac:dyDescent="0.25">
      <c r="A2481" s="24" t="str">
        <f>_xlfn.XLOOKUP(tbEscolas[[#This Row],[ESCOLA]],tbNucleo[ESCOLA],tbNucleo[COD ESCOLA],"")</f>
        <v/>
      </c>
      <c r="B2481" t="str" cm="1">
        <f t="array" ref="B2481">IFERROR(INDEX(tbNucleo[ESCOLA],ROUNDUP(ROW(B2480)/TotalEtapas,0)),"")</f>
        <v/>
      </c>
      <c r="E2481" t="str">
        <f>IFERROR(VLOOKUP(tbEscolas[[#This Row],[COD ETPA]],tbEtapas[],2,FALSE),"")</f>
        <v/>
      </c>
      <c r="F2481" t="str">
        <f>IFERROR(VLOOKUP(tbEscolas[[#This Row],[COD ETPA]],tbEtapas[],3,FALSE),"")</f>
        <v/>
      </c>
    </row>
    <row r="2482" spans="1:6" x14ac:dyDescent="0.25">
      <c r="A2482" s="24" t="str">
        <f>_xlfn.XLOOKUP(tbEscolas[[#This Row],[ESCOLA]],tbNucleo[ESCOLA],tbNucleo[COD ESCOLA],"")</f>
        <v/>
      </c>
      <c r="B2482" t="str" cm="1">
        <f t="array" ref="B2482">IFERROR(INDEX(tbNucleo[ESCOLA],ROUNDUP(ROW(B2481)/TotalEtapas,0)),"")</f>
        <v/>
      </c>
      <c r="E2482" t="str">
        <f>IFERROR(VLOOKUP(tbEscolas[[#This Row],[COD ETPA]],tbEtapas[],2,FALSE),"")</f>
        <v/>
      </c>
      <c r="F2482" t="str">
        <f>IFERROR(VLOOKUP(tbEscolas[[#This Row],[COD ETPA]],tbEtapas[],3,FALSE),"")</f>
        <v/>
      </c>
    </row>
    <row r="2483" spans="1:6" x14ac:dyDescent="0.25">
      <c r="A2483" s="24" t="str">
        <f>_xlfn.XLOOKUP(tbEscolas[[#This Row],[ESCOLA]],tbNucleo[ESCOLA],tbNucleo[COD ESCOLA],"")</f>
        <v/>
      </c>
      <c r="B2483" t="str" cm="1">
        <f t="array" ref="B2483">IFERROR(INDEX(tbNucleo[ESCOLA],ROUNDUP(ROW(B2482)/TotalEtapas,0)),"")</f>
        <v/>
      </c>
      <c r="E2483" t="str">
        <f>IFERROR(VLOOKUP(tbEscolas[[#This Row],[COD ETPA]],tbEtapas[],2,FALSE),"")</f>
        <v/>
      </c>
      <c r="F2483" t="str">
        <f>IFERROR(VLOOKUP(tbEscolas[[#This Row],[COD ETPA]],tbEtapas[],3,FALSE),"")</f>
        <v/>
      </c>
    </row>
    <row r="2484" spans="1:6" x14ac:dyDescent="0.25">
      <c r="A2484" s="24" t="str">
        <f>_xlfn.XLOOKUP(tbEscolas[[#This Row],[ESCOLA]],tbNucleo[ESCOLA],tbNucleo[COD ESCOLA],"")</f>
        <v/>
      </c>
      <c r="B2484" t="str" cm="1">
        <f t="array" ref="B2484">IFERROR(INDEX(tbNucleo[ESCOLA],ROUNDUP(ROW(B2483)/TotalEtapas,0)),"")</f>
        <v/>
      </c>
      <c r="E2484" t="str">
        <f>IFERROR(VLOOKUP(tbEscolas[[#This Row],[COD ETPA]],tbEtapas[],2,FALSE),"")</f>
        <v/>
      </c>
      <c r="F2484" t="str">
        <f>IFERROR(VLOOKUP(tbEscolas[[#This Row],[COD ETPA]],tbEtapas[],3,FALSE),"")</f>
        <v/>
      </c>
    </row>
    <row r="2485" spans="1:6" x14ac:dyDescent="0.25">
      <c r="A2485" s="24" t="str">
        <f>_xlfn.XLOOKUP(tbEscolas[[#This Row],[ESCOLA]],tbNucleo[ESCOLA],tbNucleo[COD ESCOLA],"")</f>
        <v/>
      </c>
      <c r="B2485" t="str" cm="1">
        <f t="array" ref="B2485">IFERROR(INDEX(tbNucleo[ESCOLA],ROUNDUP(ROW(B2484)/TotalEtapas,0)),"")</f>
        <v/>
      </c>
      <c r="E2485" t="str">
        <f>IFERROR(VLOOKUP(tbEscolas[[#This Row],[COD ETPA]],tbEtapas[],2,FALSE),"")</f>
        <v/>
      </c>
      <c r="F2485" t="str">
        <f>IFERROR(VLOOKUP(tbEscolas[[#This Row],[COD ETPA]],tbEtapas[],3,FALSE),"")</f>
        <v/>
      </c>
    </row>
    <row r="2486" spans="1:6" x14ac:dyDescent="0.25">
      <c r="A2486" s="24" t="str">
        <f>_xlfn.XLOOKUP(tbEscolas[[#This Row],[ESCOLA]],tbNucleo[ESCOLA],tbNucleo[COD ESCOLA],"")</f>
        <v/>
      </c>
      <c r="B2486" t="str" cm="1">
        <f t="array" ref="B2486">IFERROR(INDEX(tbNucleo[ESCOLA],ROUNDUP(ROW(B2485)/TotalEtapas,0)),"")</f>
        <v/>
      </c>
      <c r="E2486" t="str">
        <f>IFERROR(VLOOKUP(tbEscolas[[#This Row],[COD ETPA]],tbEtapas[],2,FALSE),"")</f>
        <v/>
      </c>
      <c r="F2486" t="str">
        <f>IFERROR(VLOOKUP(tbEscolas[[#This Row],[COD ETPA]],tbEtapas[],3,FALSE),"")</f>
        <v/>
      </c>
    </row>
    <row r="2487" spans="1:6" x14ac:dyDescent="0.25">
      <c r="A2487" s="24" t="str">
        <f>_xlfn.XLOOKUP(tbEscolas[[#This Row],[ESCOLA]],tbNucleo[ESCOLA],tbNucleo[COD ESCOLA],"")</f>
        <v/>
      </c>
      <c r="B2487" t="str" cm="1">
        <f t="array" ref="B2487">IFERROR(INDEX(tbNucleo[ESCOLA],ROUNDUP(ROW(B2486)/TotalEtapas,0)),"")</f>
        <v/>
      </c>
      <c r="E2487" t="str">
        <f>IFERROR(VLOOKUP(tbEscolas[[#This Row],[COD ETPA]],tbEtapas[],2,FALSE),"")</f>
        <v/>
      </c>
      <c r="F2487" t="str">
        <f>IFERROR(VLOOKUP(tbEscolas[[#This Row],[COD ETPA]],tbEtapas[],3,FALSE),"")</f>
        <v/>
      </c>
    </row>
    <row r="2488" spans="1:6" x14ac:dyDescent="0.25">
      <c r="A2488" s="24" t="str">
        <f>_xlfn.XLOOKUP(tbEscolas[[#This Row],[ESCOLA]],tbNucleo[ESCOLA],tbNucleo[COD ESCOLA],"")</f>
        <v/>
      </c>
      <c r="B2488" t="str" cm="1">
        <f t="array" ref="B2488">IFERROR(INDEX(tbNucleo[ESCOLA],ROUNDUP(ROW(B2487)/TotalEtapas,0)),"")</f>
        <v/>
      </c>
      <c r="E2488" t="str">
        <f>IFERROR(VLOOKUP(tbEscolas[[#This Row],[COD ETPA]],tbEtapas[],2,FALSE),"")</f>
        <v/>
      </c>
      <c r="F2488" t="str">
        <f>IFERROR(VLOOKUP(tbEscolas[[#This Row],[COD ETPA]],tbEtapas[],3,FALSE),"")</f>
        <v/>
      </c>
    </row>
    <row r="2489" spans="1:6" x14ac:dyDescent="0.25">
      <c r="A2489" s="24" t="str">
        <f>_xlfn.XLOOKUP(tbEscolas[[#This Row],[ESCOLA]],tbNucleo[ESCOLA],tbNucleo[COD ESCOLA],"")</f>
        <v/>
      </c>
      <c r="B2489" t="str" cm="1">
        <f t="array" ref="B2489">IFERROR(INDEX(tbNucleo[ESCOLA],ROUNDUP(ROW(B2488)/TotalEtapas,0)),"")</f>
        <v/>
      </c>
      <c r="E2489" t="str">
        <f>IFERROR(VLOOKUP(tbEscolas[[#This Row],[COD ETPA]],tbEtapas[],2,FALSE),"")</f>
        <v/>
      </c>
      <c r="F2489" t="str">
        <f>IFERROR(VLOOKUP(tbEscolas[[#This Row],[COD ETPA]],tbEtapas[],3,FALSE),"")</f>
        <v/>
      </c>
    </row>
    <row r="2490" spans="1:6" x14ac:dyDescent="0.25">
      <c r="A2490" s="24" t="str">
        <f>_xlfn.XLOOKUP(tbEscolas[[#This Row],[ESCOLA]],tbNucleo[ESCOLA],tbNucleo[COD ESCOLA],"")</f>
        <v/>
      </c>
      <c r="B2490" t="str" cm="1">
        <f t="array" ref="B2490">IFERROR(INDEX(tbNucleo[ESCOLA],ROUNDUP(ROW(B2489)/TotalEtapas,0)),"")</f>
        <v/>
      </c>
      <c r="E2490" t="str">
        <f>IFERROR(VLOOKUP(tbEscolas[[#This Row],[COD ETPA]],tbEtapas[],2,FALSE),"")</f>
        <v/>
      </c>
      <c r="F2490" t="str">
        <f>IFERROR(VLOOKUP(tbEscolas[[#This Row],[COD ETPA]],tbEtapas[],3,FALSE),"")</f>
        <v/>
      </c>
    </row>
    <row r="2491" spans="1:6" x14ac:dyDescent="0.25">
      <c r="A2491" s="24" t="str">
        <f>_xlfn.XLOOKUP(tbEscolas[[#This Row],[ESCOLA]],tbNucleo[ESCOLA],tbNucleo[COD ESCOLA],"")</f>
        <v/>
      </c>
      <c r="B2491" t="str" cm="1">
        <f t="array" ref="B2491">IFERROR(INDEX(tbNucleo[ESCOLA],ROUNDUP(ROW(B2490)/TotalEtapas,0)),"")</f>
        <v/>
      </c>
      <c r="E2491" t="str">
        <f>IFERROR(VLOOKUP(tbEscolas[[#This Row],[COD ETPA]],tbEtapas[],2,FALSE),"")</f>
        <v/>
      </c>
      <c r="F2491" t="str">
        <f>IFERROR(VLOOKUP(tbEscolas[[#This Row],[COD ETPA]],tbEtapas[],3,FALSE),"")</f>
        <v/>
      </c>
    </row>
    <row r="2492" spans="1:6" x14ac:dyDescent="0.25">
      <c r="A2492" s="24" t="str">
        <f>_xlfn.XLOOKUP(tbEscolas[[#This Row],[ESCOLA]],tbNucleo[ESCOLA],tbNucleo[COD ESCOLA],"")</f>
        <v/>
      </c>
      <c r="B2492" t="str" cm="1">
        <f t="array" ref="B2492">IFERROR(INDEX(tbNucleo[ESCOLA],ROUNDUP(ROW(B2491)/TotalEtapas,0)),"")</f>
        <v/>
      </c>
      <c r="E2492" t="str">
        <f>IFERROR(VLOOKUP(tbEscolas[[#This Row],[COD ETPA]],tbEtapas[],2,FALSE),"")</f>
        <v/>
      </c>
      <c r="F2492" t="str">
        <f>IFERROR(VLOOKUP(tbEscolas[[#This Row],[COD ETPA]],tbEtapas[],3,FALSE),"")</f>
        <v/>
      </c>
    </row>
    <row r="2493" spans="1:6" x14ac:dyDescent="0.25">
      <c r="A2493" s="24" t="str">
        <f>_xlfn.XLOOKUP(tbEscolas[[#This Row],[ESCOLA]],tbNucleo[ESCOLA],tbNucleo[COD ESCOLA],"")</f>
        <v/>
      </c>
      <c r="B2493" t="str" cm="1">
        <f t="array" ref="B2493">IFERROR(INDEX(tbNucleo[ESCOLA],ROUNDUP(ROW(B2492)/TotalEtapas,0)),"")</f>
        <v/>
      </c>
      <c r="E2493" t="str">
        <f>IFERROR(VLOOKUP(tbEscolas[[#This Row],[COD ETPA]],tbEtapas[],2,FALSE),"")</f>
        <v/>
      </c>
      <c r="F2493" t="str">
        <f>IFERROR(VLOOKUP(tbEscolas[[#This Row],[COD ETPA]],tbEtapas[],3,FALSE),"")</f>
        <v/>
      </c>
    </row>
    <row r="2494" spans="1:6" x14ac:dyDescent="0.25">
      <c r="A2494" s="24" t="str">
        <f>_xlfn.XLOOKUP(tbEscolas[[#This Row],[ESCOLA]],tbNucleo[ESCOLA],tbNucleo[COD ESCOLA],"")</f>
        <v/>
      </c>
      <c r="B2494" t="str" cm="1">
        <f t="array" ref="B2494">IFERROR(INDEX(tbNucleo[ESCOLA],ROUNDUP(ROW(B2493)/TotalEtapas,0)),"")</f>
        <v/>
      </c>
      <c r="E2494" t="str">
        <f>IFERROR(VLOOKUP(tbEscolas[[#This Row],[COD ETPA]],tbEtapas[],2,FALSE),"")</f>
        <v/>
      </c>
      <c r="F2494" t="str">
        <f>IFERROR(VLOOKUP(tbEscolas[[#This Row],[COD ETPA]],tbEtapas[],3,FALSE),"")</f>
        <v/>
      </c>
    </row>
    <row r="2495" spans="1:6" x14ac:dyDescent="0.25">
      <c r="A2495" s="24" t="str">
        <f>_xlfn.XLOOKUP(tbEscolas[[#This Row],[ESCOLA]],tbNucleo[ESCOLA],tbNucleo[COD ESCOLA],"")</f>
        <v/>
      </c>
      <c r="B2495" t="str" cm="1">
        <f t="array" ref="B2495">IFERROR(INDEX(tbNucleo[ESCOLA],ROUNDUP(ROW(B2494)/TotalEtapas,0)),"")</f>
        <v/>
      </c>
      <c r="E2495" t="str">
        <f>IFERROR(VLOOKUP(tbEscolas[[#This Row],[COD ETPA]],tbEtapas[],2,FALSE),"")</f>
        <v/>
      </c>
      <c r="F2495" t="str">
        <f>IFERROR(VLOOKUP(tbEscolas[[#This Row],[COD ETPA]],tbEtapas[],3,FALSE),"")</f>
        <v/>
      </c>
    </row>
    <row r="2496" spans="1:6" x14ac:dyDescent="0.25">
      <c r="A2496" s="24" t="str">
        <f>_xlfn.XLOOKUP(tbEscolas[[#This Row],[ESCOLA]],tbNucleo[ESCOLA],tbNucleo[COD ESCOLA],"")</f>
        <v/>
      </c>
      <c r="B2496" t="str" cm="1">
        <f t="array" ref="B2496">IFERROR(INDEX(tbNucleo[ESCOLA],ROUNDUP(ROW(B2495)/TotalEtapas,0)),"")</f>
        <v/>
      </c>
      <c r="E2496" t="str">
        <f>IFERROR(VLOOKUP(tbEscolas[[#This Row],[COD ETPA]],tbEtapas[],2,FALSE),"")</f>
        <v/>
      </c>
      <c r="F2496" t="str">
        <f>IFERROR(VLOOKUP(tbEscolas[[#This Row],[COD ETPA]],tbEtapas[],3,FALSE),"")</f>
        <v/>
      </c>
    </row>
    <row r="2497" spans="1:6" x14ac:dyDescent="0.25">
      <c r="A2497" s="24" t="str">
        <f>_xlfn.XLOOKUP(tbEscolas[[#This Row],[ESCOLA]],tbNucleo[ESCOLA],tbNucleo[COD ESCOLA],"")</f>
        <v/>
      </c>
      <c r="B2497" t="str" cm="1">
        <f t="array" ref="B2497">IFERROR(INDEX(tbNucleo[ESCOLA],ROUNDUP(ROW(B2496)/TotalEtapas,0)),"")</f>
        <v/>
      </c>
      <c r="E2497" t="str">
        <f>IFERROR(VLOOKUP(tbEscolas[[#This Row],[COD ETPA]],tbEtapas[],2,FALSE),"")</f>
        <v/>
      </c>
      <c r="F2497" t="str">
        <f>IFERROR(VLOOKUP(tbEscolas[[#This Row],[COD ETPA]],tbEtapas[],3,FALSE),"")</f>
        <v/>
      </c>
    </row>
    <row r="2498" spans="1:6" x14ac:dyDescent="0.25">
      <c r="A2498" s="24" t="str">
        <f>_xlfn.XLOOKUP(tbEscolas[[#This Row],[ESCOLA]],tbNucleo[ESCOLA],tbNucleo[COD ESCOLA],"")</f>
        <v/>
      </c>
      <c r="B2498" t="str" cm="1">
        <f t="array" ref="B2498">IFERROR(INDEX(tbNucleo[ESCOLA],ROUNDUP(ROW(B2497)/TotalEtapas,0)),"")</f>
        <v/>
      </c>
      <c r="E2498" t="str">
        <f>IFERROR(VLOOKUP(tbEscolas[[#This Row],[COD ETPA]],tbEtapas[],2,FALSE),"")</f>
        <v/>
      </c>
      <c r="F2498" t="str">
        <f>IFERROR(VLOOKUP(tbEscolas[[#This Row],[COD ETPA]],tbEtapas[],3,FALSE),"")</f>
        <v/>
      </c>
    </row>
    <row r="2499" spans="1:6" x14ac:dyDescent="0.25">
      <c r="A2499" s="24" t="str">
        <f>_xlfn.XLOOKUP(tbEscolas[[#This Row],[ESCOLA]],tbNucleo[ESCOLA],tbNucleo[COD ESCOLA],"")</f>
        <v/>
      </c>
      <c r="B2499" t="str" cm="1">
        <f t="array" ref="B2499">IFERROR(INDEX(tbNucleo[ESCOLA],ROUNDUP(ROW(B2498)/TotalEtapas,0)),"")</f>
        <v/>
      </c>
      <c r="E2499" t="str">
        <f>IFERROR(VLOOKUP(tbEscolas[[#This Row],[COD ETPA]],tbEtapas[],2,FALSE),"")</f>
        <v/>
      </c>
      <c r="F2499" t="str">
        <f>IFERROR(VLOOKUP(tbEscolas[[#This Row],[COD ETPA]],tbEtapas[],3,FALSE),"")</f>
        <v/>
      </c>
    </row>
    <row r="2500" spans="1:6" x14ac:dyDescent="0.25">
      <c r="A2500" s="24" t="str">
        <f>_xlfn.XLOOKUP(tbEscolas[[#This Row],[ESCOLA]],tbNucleo[ESCOLA],tbNucleo[COD ESCOLA],"")</f>
        <v/>
      </c>
      <c r="B2500" t="str" cm="1">
        <f t="array" ref="B2500">IFERROR(INDEX(tbNucleo[ESCOLA],ROUNDUP(ROW(B2499)/TotalEtapas,0)),"")</f>
        <v/>
      </c>
      <c r="E2500" t="str">
        <f>IFERROR(VLOOKUP(tbEscolas[[#This Row],[COD ETPA]],tbEtapas[],2,FALSE),"")</f>
        <v/>
      </c>
      <c r="F2500" t="str">
        <f>IFERROR(VLOOKUP(tbEscolas[[#This Row],[COD ETPA]],tbEtapas[],3,FALSE),"")</f>
        <v/>
      </c>
    </row>
    <row r="2501" spans="1:6" x14ac:dyDescent="0.25">
      <c r="A2501" s="24" t="str">
        <f>_xlfn.XLOOKUP(tbEscolas[[#This Row],[ESCOLA]],tbNucleo[ESCOLA],tbNucleo[COD ESCOLA],"")</f>
        <v/>
      </c>
      <c r="B2501" t="str" cm="1">
        <f t="array" ref="B2501">IFERROR(INDEX(tbNucleo[ESCOLA],ROUNDUP(ROW(B2500)/TotalEtapas,0)),"")</f>
        <v/>
      </c>
      <c r="E2501" t="str">
        <f>IFERROR(VLOOKUP(tbEscolas[[#This Row],[COD ETPA]],tbEtapas[],2,FALSE),"")</f>
        <v/>
      </c>
      <c r="F2501" t="str">
        <f>IFERROR(VLOOKUP(tbEscolas[[#This Row],[COD ETPA]],tbEtapas[],3,FALSE),"")</f>
        <v/>
      </c>
    </row>
    <row r="2502" spans="1:6" x14ac:dyDescent="0.25">
      <c r="A2502" s="24" t="str">
        <f>_xlfn.XLOOKUP(tbEscolas[[#This Row],[ESCOLA]],tbNucleo[ESCOLA],tbNucleo[COD ESCOLA],"")</f>
        <v/>
      </c>
      <c r="B2502" t="str" cm="1">
        <f t="array" ref="B2502">IFERROR(INDEX(tbNucleo[ESCOLA],ROUNDUP(ROW(B2501)/TotalEtapas,0)),"")</f>
        <v/>
      </c>
      <c r="E2502" t="str">
        <f>IFERROR(VLOOKUP(tbEscolas[[#This Row],[COD ETPA]],tbEtapas[],2,FALSE),"")</f>
        <v/>
      </c>
      <c r="F2502" t="str">
        <f>IFERROR(VLOOKUP(tbEscolas[[#This Row],[COD ETPA]],tbEtapas[],3,FALSE),"")</f>
        <v/>
      </c>
    </row>
    <row r="2503" spans="1:6" x14ac:dyDescent="0.25">
      <c r="A2503" s="24" t="str">
        <f>_xlfn.XLOOKUP(tbEscolas[[#This Row],[ESCOLA]],tbNucleo[ESCOLA],tbNucleo[COD ESCOLA],"")</f>
        <v/>
      </c>
      <c r="B2503" t="str" cm="1">
        <f t="array" ref="B2503">IFERROR(INDEX(tbNucleo[ESCOLA],ROUNDUP(ROW(B2502)/TotalEtapas,0)),"")</f>
        <v/>
      </c>
      <c r="E2503" t="str">
        <f>IFERROR(VLOOKUP(tbEscolas[[#This Row],[COD ETPA]],tbEtapas[],2,FALSE),"")</f>
        <v/>
      </c>
      <c r="F2503" t="str">
        <f>IFERROR(VLOOKUP(tbEscolas[[#This Row],[COD ETPA]],tbEtapas[],3,FALSE),"")</f>
        <v/>
      </c>
    </row>
    <row r="2504" spans="1:6" x14ac:dyDescent="0.25">
      <c r="A2504" s="24" t="str">
        <f>_xlfn.XLOOKUP(tbEscolas[[#This Row],[ESCOLA]],tbNucleo[ESCOLA],tbNucleo[COD ESCOLA],"")</f>
        <v/>
      </c>
      <c r="B2504" t="str" cm="1">
        <f t="array" ref="B2504">IFERROR(INDEX(tbNucleo[ESCOLA],ROUNDUP(ROW(B2503)/TotalEtapas,0)),"")</f>
        <v/>
      </c>
      <c r="E2504" t="str">
        <f>IFERROR(VLOOKUP(tbEscolas[[#This Row],[COD ETPA]],tbEtapas[],2,FALSE),"")</f>
        <v/>
      </c>
      <c r="F2504" t="str">
        <f>IFERROR(VLOOKUP(tbEscolas[[#This Row],[COD ETPA]],tbEtapas[],3,FALSE),"")</f>
        <v/>
      </c>
    </row>
    <row r="2505" spans="1:6" x14ac:dyDescent="0.25">
      <c r="A2505" s="24" t="str">
        <f>_xlfn.XLOOKUP(tbEscolas[[#This Row],[ESCOLA]],tbNucleo[ESCOLA],tbNucleo[COD ESCOLA],"")</f>
        <v/>
      </c>
      <c r="B2505" t="str" cm="1">
        <f t="array" ref="B2505">IFERROR(INDEX(tbNucleo[ESCOLA],ROUNDUP(ROW(B2504)/TotalEtapas,0)),"")</f>
        <v/>
      </c>
      <c r="E2505" t="str">
        <f>IFERROR(VLOOKUP(tbEscolas[[#This Row],[COD ETPA]],tbEtapas[],2,FALSE),"")</f>
        <v/>
      </c>
      <c r="F2505" t="str">
        <f>IFERROR(VLOOKUP(tbEscolas[[#This Row],[COD ETPA]],tbEtapas[],3,FALSE),"")</f>
        <v/>
      </c>
    </row>
    <row r="2506" spans="1:6" x14ac:dyDescent="0.25">
      <c r="A2506" s="24" t="str">
        <f>_xlfn.XLOOKUP(tbEscolas[[#This Row],[ESCOLA]],tbNucleo[ESCOLA],tbNucleo[COD ESCOLA],"")</f>
        <v/>
      </c>
      <c r="B2506" t="str" cm="1">
        <f t="array" ref="B2506">IFERROR(INDEX(tbNucleo[ESCOLA],ROUNDUP(ROW(B2505)/TotalEtapas,0)),"")</f>
        <v/>
      </c>
      <c r="E2506" t="str">
        <f>IFERROR(VLOOKUP(tbEscolas[[#This Row],[COD ETPA]],tbEtapas[],2,FALSE),"")</f>
        <v/>
      </c>
      <c r="F2506" t="str">
        <f>IFERROR(VLOOKUP(tbEscolas[[#This Row],[COD ETPA]],tbEtapas[],3,FALSE),"")</f>
        <v/>
      </c>
    </row>
    <row r="2507" spans="1:6" x14ac:dyDescent="0.25">
      <c r="A2507" s="24" t="str">
        <f>_xlfn.XLOOKUP(tbEscolas[[#This Row],[ESCOLA]],tbNucleo[ESCOLA],tbNucleo[COD ESCOLA],"")</f>
        <v/>
      </c>
      <c r="B2507" t="str" cm="1">
        <f t="array" ref="B2507">IFERROR(INDEX(tbNucleo[ESCOLA],ROUNDUP(ROW(B2506)/TotalEtapas,0)),"")</f>
        <v/>
      </c>
      <c r="E2507" t="str">
        <f>IFERROR(VLOOKUP(tbEscolas[[#This Row],[COD ETPA]],tbEtapas[],2,FALSE),"")</f>
        <v/>
      </c>
      <c r="F2507" t="str">
        <f>IFERROR(VLOOKUP(tbEscolas[[#This Row],[COD ETPA]],tbEtapas[],3,FALSE),"")</f>
        <v/>
      </c>
    </row>
    <row r="2508" spans="1:6" x14ac:dyDescent="0.25">
      <c r="A2508" s="24" t="str">
        <f>_xlfn.XLOOKUP(tbEscolas[[#This Row],[ESCOLA]],tbNucleo[ESCOLA],tbNucleo[COD ESCOLA],"")</f>
        <v/>
      </c>
      <c r="B2508" t="str" cm="1">
        <f t="array" ref="B2508">IFERROR(INDEX(tbNucleo[ESCOLA],ROUNDUP(ROW(B2507)/TotalEtapas,0)),"")</f>
        <v/>
      </c>
      <c r="E2508" t="str">
        <f>IFERROR(VLOOKUP(tbEscolas[[#This Row],[COD ETPA]],tbEtapas[],2,FALSE),"")</f>
        <v/>
      </c>
      <c r="F2508" t="str">
        <f>IFERROR(VLOOKUP(tbEscolas[[#This Row],[COD ETPA]],tbEtapas[],3,FALSE),"")</f>
        <v/>
      </c>
    </row>
    <row r="2509" spans="1:6" x14ac:dyDescent="0.25">
      <c r="A2509" s="24" t="str">
        <f>_xlfn.XLOOKUP(tbEscolas[[#This Row],[ESCOLA]],tbNucleo[ESCOLA],tbNucleo[COD ESCOLA],"")</f>
        <v/>
      </c>
      <c r="B2509" t="str" cm="1">
        <f t="array" ref="B2509">IFERROR(INDEX(tbNucleo[ESCOLA],ROUNDUP(ROW(B2508)/TotalEtapas,0)),"")</f>
        <v/>
      </c>
      <c r="E2509" t="str">
        <f>IFERROR(VLOOKUP(tbEscolas[[#This Row],[COD ETPA]],tbEtapas[],2,FALSE),"")</f>
        <v/>
      </c>
      <c r="F2509" t="str">
        <f>IFERROR(VLOOKUP(tbEscolas[[#This Row],[COD ETPA]],tbEtapas[],3,FALSE),"")</f>
        <v/>
      </c>
    </row>
    <row r="2510" spans="1:6" x14ac:dyDescent="0.25">
      <c r="A2510" s="24" t="str">
        <f>_xlfn.XLOOKUP(tbEscolas[[#This Row],[ESCOLA]],tbNucleo[ESCOLA],tbNucleo[COD ESCOLA],"")</f>
        <v/>
      </c>
      <c r="B2510" t="str" cm="1">
        <f t="array" ref="B2510">IFERROR(INDEX(tbNucleo[ESCOLA],ROUNDUP(ROW(B2509)/TotalEtapas,0)),"")</f>
        <v/>
      </c>
      <c r="E2510" t="str">
        <f>IFERROR(VLOOKUP(tbEscolas[[#This Row],[COD ETPA]],tbEtapas[],2,FALSE),"")</f>
        <v/>
      </c>
      <c r="F2510" t="str">
        <f>IFERROR(VLOOKUP(tbEscolas[[#This Row],[COD ETPA]],tbEtapas[],3,FALSE),"")</f>
        <v/>
      </c>
    </row>
    <row r="2511" spans="1:6" x14ac:dyDescent="0.25">
      <c r="A2511" s="24" t="str">
        <f>_xlfn.XLOOKUP(tbEscolas[[#This Row],[ESCOLA]],tbNucleo[ESCOLA],tbNucleo[COD ESCOLA],"")</f>
        <v/>
      </c>
      <c r="B2511" t="str" cm="1">
        <f t="array" ref="B2511">IFERROR(INDEX(tbNucleo[ESCOLA],ROUNDUP(ROW(B2510)/TotalEtapas,0)),"")</f>
        <v/>
      </c>
      <c r="E2511" t="str">
        <f>IFERROR(VLOOKUP(tbEscolas[[#This Row],[COD ETPA]],tbEtapas[],2,FALSE),"")</f>
        <v/>
      </c>
      <c r="F2511" t="str">
        <f>IFERROR(VLOOKUP(tbEscolas[[#This Row],[COD ETPA]],tbEtapas[],3,FALSE),"")</f>
        <v/>
      </c>
    </row>
    <row r="2512" spans="1:6" x14ac:dyDescent="0.25">
      <c r="A2512" s="24" t="str">
        <f>_xlfn.XLOOKUP(tbEscolas[[#This Row],[ESCOLA]],tbNucleo[ESCOLA],tbNucleo[COD ESCOLA],"")</f>
        <v/>
      </c>
      <c r="B2512" t="str" cm="1">
        <f t="array" ref="B2512">IFERROR(INDEX(tbNucleo[ESCOLA],ROUNDUP(ROW(B2511)/TotalEtapas,0)),"")</f>
        <v/>
      </c>
      <c r="E2512" t="str">
        <f>IFERROR(VLOOKUP(tbEscolas[[#This Row],[COD ETPA]],tbEtapas[],2,FALSE),"")</f>
        <v/>
      </c>
      <c r="F2512" t="str">
        <f>IFERROR(VLOOKUP(tbEscolas[[#This Row],[COD ETPA]],tbEtapas[],3,FALSE),"")</f>
        <v/>
      </c>
    </row>
    <row r="2513" spans="1:6" x14ac:dyDescent="0.25">
      <c r="A2513" s="24" t="str">
        <f>_xlfn.XLOOKUP(tbEscolas[[#This Row],[ESCOLA]],tbNucleo[ESCOLA],tbNucleo[COD ESCOLA],"")</f>
        <v/>
      </c>
      <c r="B2513" t="str" cm="1">
        <f t="array" ref="B2513">IFERROR(INDEX(tbNucleo[ESCOLA],ROUNDUP(ROW(B2512)/TotalEtapas,0)),"")</f>
        <v/>
      </c>
      <c r="E2513" t="str">
        <f>IFERROR(VLOOKUP(tbEscolas[[#This Row],[COD ETPA]],tbEtapas[],2,FALSE),"")</f>
        <v/>
      </c>
      <c r="F2513" t="str">
        <f>IFERROR(VLOOKUP(tbEscolas[[#This Row],[COD ETPA]],tbEtapas[],3,FALSE),"")</f>
        <v/>
      </c>
    </row>
    <row r="2514" spans="1:6" x14ac:dyDescent="0.25">
      <c r="A2514" s="24" t="str">
        <f>_xlfn.XLOOKUP(tbEscolas[[#This Row],[ESCOLA]],tbNucleo[ESCOLA],tbNucleo[COD ESCOLA],"")</f>
        <v/>
      </c>
      <c r="B2514" t="str" cm="1">
        <f t="array" ref="B2514">IFERROR(INDEX(tbNucleo[ESCOLA],ROUNDUP(ROW(B2513)/TotalEtapas,0)),"")</f>
        <v/>
      </c>
      <c r="E2514" t="str">
        <f>IFERROR(VLOOKUP(tbEscolas[[#This Row],[COD ETPA]],tbEtapas[],2,FALSE),"")</f>
        <v/>
      </c>
      <c r="F2514" t="str">
        <f>IFERROR(VLOOKUP(tbEscolas[[#This Row],[COD ETPA]],tbEtapas[],3,FALSE),"")</f>
        <v/>
      </c>
    </row>
    <row r="2515" spans="1:6" x14ac:dyDescent="0.25">
      <c r="A2515" s="24" t="str">
        <f>_xlfn.XLOOKUP(tbEscolas[[#This Row],[ESCOLA]],tbNucleo[ESCOLA],tbNucleo[COD ESCOLA],"")</f>
        <v/>
      </c>
      <c r="B2515" t="str" cm="1">
        <f t="array" ref="B2515">IFERROR(INDEX(tbNucleo[ESCOLA],ROUNDUP(ROW(B2514)/TotalEtapas,0)),"")</f>
        <v/>
      </c>
      <c r="E2515" t="str">
        <f>IFERROR(VLOOKUP(tbEscolas[[#This Row],[COD ETPA]],tbEtapas[],2,FALSE),"")</f>
        <v/>
      </c>
      <c r="F2515" t="str">
        <f>IFERROR(VLOOKUP(tbEscolas[[#This Row],[COD ETPA]],tbEtapas[],3,FALSE),"")</f>
        <v/>
      </c>
    </row>
    <row r="2516" spans="1:6" x14ac:dyDescent="0.25">
      <c r="A2516" s="24" t="str">
        <f>_xlfn.XLOOKUP(tbEscolas[[#This Row],[ESCOLA]],tbNucleo[ESCOLA],tbNucleo[COD ESCOLA],"")</f>
        <v/>
      </c>
      <c r="B2516" t="str" cm="1">
        <f t="array" ref="B2516">IFERROR(INDEX(tbNucleo[ESCOLA],ROUNDUP(ROW(B2515)/TotalEtapas,0)),"")</f>
        <v/>
      </c>
      <c r="E2516" t="str">
        <f>IFERROR(VLOOKUP(tbEscolas[[#This Row],[COD ETPA]],tbEtapas[],2,FALSE),"")</f>
        <v/>
      </c>
      <c r="F2516" t="str">
        <f>IFERROR(VLOOKUP(tbEscolas[[#This Row],[COD ETPA]],tbEtapas[],3,FALSE),"")</f>
        <v/>
      </c>
    </row>
    <row r="2517" spans="1:6" x14ac:dyDescent="0.25">
      <c r="A2517" s="24" t="str">
        <f>_xlfn.XLOOKUP(tbEscolas[[#This Row],[ESCOLA]],tbNucleo[ESCOLA],tbNucleo[COD ESCOLA],"")</f>
        <v/>
      </c>
      <c r="B2517" t="str" cm="1">
        <f t="array" ref="B2517">IFERROR(INDEX(tbNucleo[ESCOLA],ROUNDUP(ROW(B2516)/TotalEtapas,0)),"")</f>
        <v/>
      </c>
      <c r="E2517" t="str">
        <f>IFERROR(VLOOKUP(tbEscolas[[#This Row],[COD ETPA]],tbEtapas[],2,FALSE),"")</f>
        <v/>
      </c>
      <c r="F2517" t="str">
        <f>IFERROR(VLOOKUP(tbEscolas[[#This Row],[COD ETPA]],tbEtapas[],3,FALSE),"")</f>
        <v/>
      </c>
    </row>
    <row r="2518" spans="1:6" x14ac:dyDescent="0.25">
      <c r="A2518" s="24" t="str">
        <f>_xlfn.XLOOKUP(tbEscolas[[#This Row],[ESCOLA]],tbNucleo[ESCOLA],tbNucleo[COD ESCOLA],"")</f>
        <v/>
      </c>
      <c r="B2518" t="str" cm="1">
        <f t="array" ref="B2518">IFERROR(INDEX(tbNucleo[ESCOLA],ROUNDUP(ROW(B2517)/TotalEtapas,0)),"")</f>
        <v/>
      </c>
      <c r="E2518" t="str">
        <f>IFERROR(VLOOKUP(tbEscolas[[#This Row],[COD ETPA]],tbEtapas[],2,FALSE),"")</f>
        <v/>
      </c>
      <c r="F2518" t="str">
        <f>IFERROR(VLOOKUP(tbEscolas[[#This Row],[COD ETPA]],tbEtapas[],3,FALSE),"")</f>
        <v/>
      </c>
    </row>
    <row r="2519" spans="1:6" x14ac:dyDescent="0.25">
      <c r="A2519" s="24" t="str">
        <f>_xlfn.XLOOKUP(tbEscolas[[#This Row],[ESCOLA]],tbNucleo[ESCOLA],tbNucleo[COD ESCOLA],"")</f>
        <v/>
      </c>
      <c r="B2519" t="str" cm="1">
        <f t="array" ref="B2519">IFERROR(INDEX(tbNucleo[ESCOLA],ROUNDUP(ROW(B2518)/TotalEtapas,0)),"")</f>
        <v/>
      </c>
      <c r="E2519" t="str">
        <f>IFERROR(VLOOKUP(tbEscolas[[#This Row],[COD ETPA]],tbEtapas[],2,FALSE),"")</f>
        <v/>
      </c>
      <c r="F2519" t="str">
        <f>IFERROR(VLOOKUP(tbEscolas[[#This Row],[COD ETPA]],tbEtapas[],3,FALSE),"")</f>
        <v/>
      </c>
    </row>
    <row r="2520" spans="1:6" x14ac:dyDescent="0.25">
      <c r="A2520" s="24" t="str">
        <f>_xlfn.XLOOKUP(tbEscolas[[#This Row],[ESCOLA]],tbNucleo[ESCOLA],tbNucleo[COD ESCOLA],"")</f>
        <v/>
      </c>
      <c r="B2520" t="str" cm="1">
        <f t="array" ref="B2520">IFERROR(INDEX(tbNucleo[ESCOLA],ROUNDUP(ROW(B2519)/TotalEtapas,0)),"")</f>
        <v/>
      </c>
      <c r="E2520" t="str">
        <f>IFERROR(VLOOKUP(tbEscolas[[#This Row],[COD ETPA]],tbEtapas[],2,FALSE),"")</f>
        <v/>
      </c>
      <c r="F2520" t="str">
        <f>IFERROR(VLOOKUP(tbEscolas[[#This Row],[COD ETPA]],tbEtapas[],3,FALSE),"")</f>
        <v/>
      </c>
    </row>
    <row r="2521" spans="1:6" x14ac:dyDescent="0.25">
      <c r="A2521" s="24" t="str">
        <f>_xlfn.XLOOKUP(tbEscolas[[#This Row],[ESCOLA]],tbNucleo[ESCOLA],tbNucleo[COD ESCOLA],"")</f>
        <v/>
      </c>
      <c r="B2521" t="str" cm="1">
        <f t="array" ref="B2521">IFERROR(INDEX(tbNucleo[ESCOLA],ROUNDUP(ROW(B2520)/TotalEtapas,0)),"")</f>
        <v/>
      </c>
      <c r="E2521" t="str">
        <f>IFERROR(VLOOKUP(tbEscolas[[#This Row],[COD ETPA]],tbEtapas[],2,FALSE),"")</f>
        <v/>
      </c>
      <c r="F2521" t="str">
        <f>IFERROR(VLOOKUP(tbEscolas[[#This Row],[COD ETPA]],tbEtapas[],3,FALSE),"")</f>
        <v/>
      </c>
    </row>
    <row r="2522" spans="1:6" x14ac:dyDescent="0.25">
      <c r="A2522" s="24" t="str">
        <f>_xlfn.XLOOKUP(tbEscolas[[#This Row],[ESCOLA]],tbNucleo[ESCOLA],tbNucleo[COD ESCOLA],"")</f>
        <v/>
      </c>
      <c r="B2522" t="str" cm="1">
        <f t="array" ref="B2522">IFERROR(INDEX(tbNucleo[ESCOLA],ROUNDUP(ROW(B2521)/TotalEtapas,0)),"")</f>
        <v/>
      </c>
      <c r="E2522" t="str">
        <f>IFERROR(VLOOKUP(tbEscolas[[#This Row],[COD ETPA]],tbEtapas[],2,FALSE),"")</f>
        <v/>
      </c>
      <c r="F2522" t="str">
        <f>IFERROR(VLOOKUP(tbEscolas[[#This Row],[COD ETPA]],tbEtapas[],3,FALSE),"")</f>
        <v/>
      </c>
    </row>
    <row r="2523" spans="1:6" x14ac:dyDescent="0.25">
      <c r="A2523" s="24" t="str">
        <f>_xlfn.XLOOKUP(tbEscolas[[#This Row],[ESCOLA]],tbNucleo[ESCOLA],tbNucleo[COD ESCOLA],"")</f>
        <v/>
      </c>
      <c r="B2523" t="str" cm="1">
        <f t="array" ref="B2523">IFERROR(INDEX(tbNucleo[ESCOLA],ROUNDUP(ROW(B2522)/TotalEtapas,0)),"")</f>
        <v/>
      </c>
      <c r="E2523" t="str">
        <f>IFERROR(VLOOKUP(tbEscolas[[#This Row],[COD ETPA]],tbEtapas[],2,FALSE),"")</f>
        <v/>
      </c>
      <c r="F2523" t="str">
        <f>IFERROR(VLOOKUP(tbEscolas[[#This Row],[COD ETPA]],tbEtapas[],3,FALSE),"")</f>
        <v/>
      </c>
    </row>
    <row r="2524" spans="1:6" x14ac:dyDescent="0.25">
      <c r="A2524" s="24" t="str">
        <f>_xlfn.XLOOKUP(tbEscolas[[#This Row],[ESCOLA]],tbNucleo[ESCOLA],tbNucleo[COD ESCOLA],"")</f>
        <v/>
      </c>
      <c r="B2524" t="str" cm="1">
        <f t="array" ref="B2524">IFERROR(INDEX(tbNucleo[ESCOLA],ROUNDUP(ROW(B2523)/TotalEtapas,0)),"")</f>
        <v/>
      </c>
      <c r="E2524" t="str">
        <f>IFERROR(VLOOKUP(tbEscolas[[#This Row],[COD ETPA]],tbEtapas[],2,FALSE),"")</f>
        <v/>
      </c>
      <c r="F2524" t="str">
        <f>IFERROR(VLOOKUP(tbEscolas[[#This Row],[COD ETPA]],tbEtapas[],3,FALSE),"")</f>
        <v/>
      </c>
    </row>
    <row r="2525" spans="1:6" x14ac:dyDescent="0.25">
      <c r="A2525" s="24" t="str">
        <f>_xlfn.XLOOKUP(tbEscolas[[#This Row],[ESCOLA]],tbNucleo[ESCOLA],tbNucleo[COD ESCOLA],"")</f>
        <v/>
      </c>
      <c r="B2525" t="str" cm="1">
        <f t="array" ref="B2525">IFERROR(INDEX(tbNucleo[ESCOLA],ROUNDUP(ROW(B2524)/TotalEtapas,0)),"")</f>
        <v/>
      </c>
      <c r="E2525" t="str">
        <f>IFERROR(VLOOKUP(tbEscolas[[#This Row],[COD ETPA]],tbEtapas[],2,FALSE),"")</f>
        <v/>
      </c>
      <c r="F2525" t="str">
        <f>IFERROR(VLOOKUP(tbEscolas[[#This Row],[COD ETPA]],tbEtapas[],3,FALSE),"")</f>
        <v/>
      </c>
    </row>
    <row r="2526" spans="1:6" x14ac:dyDescent="0.25">
      <c r="A2526" s="24" t="str">
        <f>_xlfn.XLOOKUP(tbEscolas[[#This Row],[ESCOLA]],tbNucleo[ESCOLA],tbNucleo[COD ESCOLA],"")</f>
        <v/>
      </c>
      <c r="B2526" t="str" cm="1">
        <f t="array" ref="B2526">IFERROR(INDEX(tbNucleo[ESCOLA],ROUNDUP(ROW(B2525)/TotalEtapas,0)),"")</f>
        <v/>
      </c>
      <c r="E2526" t="str">
        <f>IFERROR(VLOOKUP(tbEscolas[[#This Row],[COD ETPA]],tbEtapas[],2,FALSE),"")</f>
        <v/>
      </c>
      <c r="F2526" t="str">
        <f>IFERROR(VLOOKUP(tbEscolas[[#This Row],[COD ETPA]],tbEtapas[],3,FALSE),"")</f>
        <v/>
      </c>
    </row>
    <row r="2527" spans="1:6" x14ac:dyDescent="0.25">
      <c r="A2527" s="24" t="str">
        <f>_xlfn.XLOOKUP(tbEscolas[[#This Row],[ESCOLA]],tbNucleo[ESCOLA],tbNucleo[COD ESCOLA],"")</f>
        <v/>
      </c>
      <c r="B2527" t="str" cm="1">
        <f t="array" ref="B2527">IFERROR(INDEX(tbNucleo[ESCOLA],ROUNDUP(ROW(B2526)/TotalEtapas,0)),"")</f>
        <v/>
      </c>
      <c r="E2527" t="str">
        <f>IFERROR(VLOOKUP(tbEscolas[[#This Row],[COD ETPA]],tbEtapas[],2,FALSE),"")</f>
        <v/>
      </c>
      <c r="F2527" t="str">
        <f>IFERROR(VLOOKUP(tbEscolas[[#This Row],[COD ETPA]],tbEtapas[],3,FALSE),"")</f>
        <v/>
      </c>
    </row>
    <row r="2528" spans="1:6" x14ac:dyDescent="0.25">
      <c r="A2528" s="24" t="str">
        <f>_xlfn.XLOOKUP(tbEscolas[[#This Row],[ESCOLA]],tbNucleo[ESCOLA],tbNucleo[COD ESCOLA],"")</f>
        <v/>
      </c>
      <c r="B2528" t="str" cm="1">
        <f t="array" ref="B2528">IFERROR(INDEX(tbNucleo[ESCOLA],ROUNDUP(ROW(B2527)/TotalEtapas,0)),"")</f>
        <v/>
      </c>
      <c r="E2528" t="str">
        <f>IFERROR(VLOOKUP(tbEscolas[[#This Row],[COD ETPA]],tbEtapas[],2,FALSE),"")</f>
        <v/>
      </c>
      <c r="F2528" t="str">
        <f>IFERROR(VLOOKUP(tbEscolas[[#This Row],[COD ETPA]],tbEtapas[],3,FALSE),"")</f>
        <v/>
      </c>
    </row>
    <row r="2529" spans="1:6" x14ac:dyDescent="0.25">
      <c r="A2529" s="24" t="str">
        <f>_xlfn.XLOOKUP(tbEscolas[[#This Row],[ESCOLA]],tbNucleo[ESCOLA],tbNucleo[COD ESCOLA],"")</f>
        <v/>
      </c>
      <c r="B2529" t="str" cm="1">
        <f t="array" ref="B2529">IFERROR(INDEX(tbNucleo[ESCOLA],ROUNDUP(ROW(B2528)/TotalEtapas,0)),"")</f>
        <v/>
      </c>
      <c r="E2529" t="str">
        <f>IFERROR(VLOOKUP(tbEscolas[[#This Row],[COD ETPA]],tbEtapas[],2,FALSE),"")</f>
        <v/>
      </c>
      <c r="F2529" t="str">
        <f>IFERROR(VLOOKUP(tbEscolas[[#This Row],[COD ETPA]],tbEtapas[],3,FALSE),"")</f>
        <v/>
      </c>
    </row>
    <row r="2530" spans="1:6" x14ac:dyDescent="0.25">
      <c r="A2530" s="24" t="str">
        <f>_xlfn.XLOOKUP(tbEscolas[[#This Row],[ESCOLA]],tbNucleo[ESCOLA],tbNucleo[COD ESCOLA],"")</f>
        <v/>
      </c>
      <c r="B2530" t="str" cm="1">
        <f t="array" ref="B2530">IFERROR(INDEX(tbNucleo[ESCOLA],ROUNDUP(ROW(B2529)/TotalEtapas,0)),"")</f>
        <v/>
      </c>
      <c r="E2530" t="str">
        <f>IFERROR(VLOOKUP(tbEscolas[[#This Row],[COD ETPA]],tbEtapas[],2,FALSE),"")</f>
        <v/>
      </c>
      <c r="F2530" t="str">
        <f>IFERROR(VLOOKUP(tbEscolas[[#This Row],[COD ETPA]],tbEtapas[],3,FALSE),"")</f>
        <v/>
      </c>
    </row>
    <row r="2531" spans="1:6" x14ac:dyDescent="0.25">
      <c r="A2531" s="24" t="str">
        <f>_xlfn.XLOOKUP(tbEscolas[[#This Row],[ESCOLA]],tbNucleo[ESCOLA],tbNucleo[COD ESCOLA],"")</f>
        <v/>
      </c>
      <c r="B2531" t="str" cm="1">
        <f t="array" ref="B2531">IFERROR(INDEX(tbNucleo[ESCOLA],ROUNDUP(ROW(B2530)/TotalEtapas,0)),"")</f>
        <v/>
      </c>
      <c r="E2531" t="str">
        <f>IFERROR(VLOOKUP(tbEscolas[[#This Row],[COD ETPA]],tbEtapas[],2,FALSE),"")</f>
        <v/>
      </c>
      <c r="F2531" t="str">
        <f>IFERROR(VLOOKUP(tbEscolas[[#This Row],[COD ETPA]],tbEtapas[],3,FALSE),"")</f>
        <v/>
      </c>
    </row>
    <row r="2532" spans="1:6" x14ac:dyDescent="0.25">
      <c r="A2532" s="24" t="str">
        <f>_xlfn.XLOOKUP(tbEscolas[[#This Row],[ESCOLA]],tbNucleo[ESCOLA],tbNucleo[COD ESCOLA],"")</f>
        <v/>
      </c>
      <c r="B2532" t="str" cm="1">
        <f t="array" ref="B2532">IFERROR(INDEX(tbNucleo[ESCOLA],ROUNDUP(ROW(B2531)/TotalEtapas,0)),"")</f>
        <v/>
      </c>
      <c r="E2532" t="str">
        <f>IFERROR(VLOOKUP(tbEscolas[[#This Row],[COD ETPA]],tbEtapas[],2,FALSE),"")</f>
        <v/>
      </c>
      <c r="F2532" t="str">
        <f>IFERROR(VLOOKUP(tbEscolas[[#This Row],[COD ETPA]],tbEtapas[],3,FALSE),"")</f>
        <v/>
      </c>
    </row>
    <row r="2533" spans="1:6" x14ac:dyDescent="0.25">
      <c r="A2533" s="24" t="str">
        <f>_xlfn.XLOOKUP(tbEscolas[[#This Row],[ESCOLA]],tbNucleo[ESCOLA],tbNucleo[COD ESCOLA],"")</f>
        <v/>
      </c>
      <c r="B2533" t="str" cm="1">
        <f t="array" ref="B2533">IFERROR(INDEX(tbNucleo[ESCOLA],ROUNDUP(ROW(B2532)/TotalEtapas,0)),"")</f>
        <v/>
      </c>
      <c r="E2533" t="str">
        <f>IFERROR(VLOOKUP(tbEscolas[[#This Row],[COD ETPA]],tbEtapas[],2,FALSE),"")</f>
        <v/>
      </c>
      <c r="F2533" t="str">
        <f>IFERROR(VLOOKUP(tbEscolas[[#This Row],[COD ETPA]],tbEtapas[],3,FALSE),"")</f>
        <v/>
      </c>
    </row>
    <row r="2534" spans="1:6" x14ac:dyDescent="0.25">
      <c r="A2534" s="24" t="str">
        <f>_xlfn.XLOOKUP(tbEscolas[[#This Row],[ESCOLA]],tbNucleo[ESCOLA],tbNucleo[COD ESCOLA],"")</f>
        <v/>
      </c>
      <c r="B2534" t="str" cm="1">
        <f t="array" ref="B2534">IFERROR(INDEX(tbNucleo[ESCOLA],ROUNDUP(ROW(B2533)/TotalEtapas,0)),"")</f>
        <v/>
      </c>
      <c r="E2534" t="str">
        <f>IFERROR(VLOOKUP(tbEscolas[[#This Row],[COD ETPA]],tbEtapas[],2,FALSE),"")</f>
        <v/>
      </c>
      <c r="F2534" t="str">
        <f>IFERROR(VLOOKUP(tbEscolas[[#This Row],[COD ETPA]],tbEtapas[],3,FALSE),"")</f>
        <v/>
      </c>
    </row>
    <row r="2535" spans="1:6" x14ac:dyDescent="0.25">
      <c r="A2535" s="24" t="str">
        <f>_xlfn.XLOOKUP(tbEscolas[[#This Row],[ESCOLA]],tbNucleo[ESCOLA],tbNucleo[COD ESCOLA],"")</f>
        <v/>
      </c>
      <c r="B2535" t="str" cm="1">
        <f t="array" ref="B2535">IFERROR(INDEX(tbNucleo[ESCOLA],ROUNDUP(ROW(B2534)/TotalEtapas,0)),"")</f>
        <v/>
      </c>
      <c r="E2535" t="str">
        <f>IFERROR(VLOOKUP(tbEscolas[[#This Row],[COD ETPA]],tbEtapas[],2,FALSE),"")</f>
        <v/>
      </c>
      <c r="F2535" t="str">
        <f>IFERROR(VLOOKUP(tbEscolas[[#This Row],[COD ETPA]],tbEtapas[],3,FALSE),"")</f>
        <v/>
      </c>
    </row>
    <row r="2536" spans="1:6" x14ac:dyDescent="0.25">
      <c r="A2536" s="24" t="str">
        <f>_xlfn.XLOOKUP(tbEscolas[[#This Row],[ESCOLA]],tbNucleo[ESCOLA],tbNucleo[COD ESCOLA],"")</f>
        <v/>
      </c>
      <c r="B2536" t="str" cm="1">
        <f t="array" ref="B2536">IFERROR(INDEX(tbNucleo[ESCOLA],ROUNDUP(ROW(B2535)/TotalEtapas,0)),"")</f>
        <v/>
      </c>
      <c r="E2536" t="str">
        <f>IFERROR(VLOOKUP(tbEscolas[[#This Row],[COD ETPA]],tbEtapas[],2,FALSE),"")</f>
        <v/>
      </c>
      <c r="F2536" t="str">
        <f>IFERROR(VLOOKUP(tbEscolas[[#This Row],[COD ETPA]],tbEtapas[],3,FALSE),"")</f>
        <v/>
      </c>
    </row>
    <row r="2537" spans="1:6" x14ac:dyDescent="0.25">
      <c r="A2537" s="24" t="str">
        <f>_xlfn.XLOOKUP(tbEscolas[[#This Row],[ESCOLA]],tbNucleo[ESCOLA],tbNucleo[COD ESCOLA],"")</f>
        <v/>
      </c>
      <c r="B2537" t="str" cm="1">
        <f t="array" ref="B2537">IFERROR(INDEX(tbNucleo[ESCOLA],ROUNDUP(ROW(B2536)/TotalEtapas,0)),"")</f>
        <v/>
      </c>
      <c r="E2537" t="str">
        <f>IFERROR(VLOOKUP(tbEscolas[[#This Row],[COD ETPA]],tbEtapas[],2,FALSE),"")</f>
        <v/>
      </c>
      <c r="F2537" t="str">
        <f>IFERROR(VLOOKUP(tbEscolas[[#This Row],[COD ETPA]],tbEtapas[],3,FALSE),"")</f>
        <v/>
      </c>
    </row>
    <row r="2538" spans="1:6" x14ac:dyDescent="0.25">
      <c r="A2538" s="24" t="str">
        <f>_xlfn.XLOOKUP(tbEscolas[[#This Row],[ESCOLA]],tbNucleo[ESCOLA],tbNucleo[COD ESCOLA],"")</f>
        <v/>
      </c>
      <c r="B2538" t="str" cm="1">
        <f t="array" ref="B2538">IFERROR(INDEX(tbNucleo[ESCOLA],ROUNDUP(ROW(B2537)/TotalEtapas,0)),"")</f>
        <v/>
      </c>
      <c r="E2538" t="str">
        <f>IFERROR(VLOOKUP(tbEscolas[[#This Row],[COD ETPA]],tbEtapas[],2,FALSE),"")</f>
        <v/>
      </c>
      <c r="F2538" t="str">
        <f>IFERROR(VLOOKUP(tbEscolas[[#This Row],[COD ETPA]],tbEtapas[],3,FALSE),"")</f>
        <v/>
      </c>
    </row>
    <row r="2539" spans="1:6" x14ac:dyDescent="0.25">
      <c r="A2539" s="24" t="str">
        <f>_xlfn.XLOOKUP(tbEscolas[[#This Row],[ESCOLA]],tbNucleo[ESCOLA],tbNucleo[COD ESCOLA],"")</f>
        <v/>
      </c>
      <c r="B2539" t="str" cm="1">
        <f t="array" ref="B2539">IFERROR(INDEX(tbNucleo[ESCOLA],ROUNDUP(ROW(B2538)/TotalEtapas,0)),"")</f>
        <v/>
      </c>
      <c r="E2539" t="str">
        <f>IFERROR(VLOOKUP(tbEscolas[[#This Row],[COD ETPA]],tbEtapas[],2,FALSE),"")</f>
        <v/>
      </c>
      <c r="F2539" t="str">
        <f>IFERROR(VLOOKUP(tbEscolas[[#This Row],[COD ETPA]],tbEtapas[],3,FALSE),"")</f>
        <v/>
      </c>
    </row>
    <row r="2540" spans="1:6" x14ac:dyDescent="0.25">
      <c r="A2540" s="24" t="str">
        <f>_xlfn.XLOOKUP(tbEscolas[[#This Row],[ESCOLA]],tbNucleo[ESCOLA],tbNucleo[COD ESCOLA],"")</f>
        <v/>
      </c>
      <c r="B2540" t="str" cm="1">
        <f t="array" ref="B2540">IFERROR(INDEX(tbNucleo[ESCOLA],ROUNDUP(ROW(B2539)/TotalEtapas,0)),"")</f>
        <v/>
      </c>
      <c r="E2540" t="str">
        <f>IFERROR(VLOOKUP(tbEscolas[[#This Row],[COD ETPA]],tbEtapas[],2,FALSE),"")</f>
        <v/>
      </c>
      <c r="F2540" t="str">
        <f>IFERROR(VLOOKUP(tbEscolas[[#This Row],[COD ETPA]],tbEtapas[],3,FALSE),"")</f>
        <v/>
      </c>
    </row>
    <row r="2541" spans="1:6" x14ac:dyDescent="0.25">
      <c r="A2541" s="24" t="str">
        <f>_xlfn.XLOOKUP(tbEscolas[[#This Row],[ESCOLA]],tbNucleo[ESCOLA],tbNucleo[COD ESCOLA],"")</f>
        <v/>
      </c>
      <c r="B2541" t="str" cm="1">
        <f t="array" ref="B2541">IFERROR(INDEX(tbNucleo[ESCOLA],ROUNDUP(ROW(B2540)/TotalEtapas,0)),"")</f>
        <v/>
      </c>
      <c r="E2541" t="str">
        <f>IFERROR(VLOOKUP(tbEscolas[[#This Row],[COD ETPA]],tbEtapas[],2,FALSE),"")</f>
        <v/>
      </c>
      <c r="F2541" t="str">
        <f>IFERROR(VLOOKUP(tbEscolas[[#This Row],[COD ETPA]],tbEtapas[],3,FALSE),"")</f>
        <v/>
      </c>
    </row>
    <row r="2542" spans="1:6" x14ac:dyDescent="0.25">
      <c r="A2542" s="24" t="str">
        <f>_xlfn.XLOOKUP(tbEscolas[[#This Row],[ESCOLA]],tbNucleo[ESCOLA],tbNucleo[COD ESCOLA],"")</f>
        <v/>
      </c>
      <c r="B2542" t="str" cm="1">
        <f t="array" ref="B2542">IFERROR(INDEX(tbNucleo[ESCOLA],ROUNDUP(ROW(B2541)/TotalEtapas,0)),"")</f>
        <v/>
      </c>
      <c r="E2542" t="str">
        <f>IFERROR(VLOOKUP(tbEscolas[[#This Row],[COD ETPA]],tbEtapas[],2,FALSE),"")</f>
        <v/>
      </c>
      <c r="F2542" t="str">
        <f>IFERROR(VLOOKUP(tbEscolas[[#This Row],[COD ETPA]],tbEtapas[],3,FALSE),"")</f>
        <v/>
      </c>
    </row>
    <row r="2543" spans="1:6" x14ac:dyDescent="0.25">
      <c r="A2543" s="24" t="str">
        <f>_xlfn.XLOOKUP(tbEscolas[[#This Row],[ESCOLA]],tbNucleo[ESCOLA],tbNucleo[COD ESCOLA],"")</f>
        <v/>
      </c>
      <c r="B2543" t="str" cm="1">
        <f t="array" ref="B2543">IFERROR(INDEX(tbNucleo[ESCOLA],ROUNDUP(ROW(B2542)/TotalEtapas,0)),"")</f>
        <v/>
      </c>
      <c r="E2543" t="str">
        <f>IFERROR(VLOOKUP(tbEscolas[[#This Row],[COD ETPA]],tbEtapas[],2,FALSE),"")</f>
        <v/>
      </c>
      <c r="F2543" t="str">
        <f>IFERROR(VLOOKUP(tbEscolas[[#This Row],[COD ETPA]],tbEtapas[],3,FALSE),"")</f>
        <v/>
      </c>
    </row>
    <row r="2544" spans="1:6" x14ac:dyDescent="0.25">
      <c r="A2544" s="24" t="str">
        <f>_xlfn.XLOOKUP(tbEscolas[[#This Row],[ESCOLA]],tbNucleo[ESCOLA],tbNucleo[COD ESCOLA],"")</f>
        <v/>
      </c>
      <c r="B2544" t="str" cm="1">
        <f t="array" ref="B2544">IFERROR(INDEX(tbNucleo[ESCOLA],ROUNDUP(ROW(B2543)/TotalEtapas,0)),"")</f>
        <v/>
      </c>
      <c r="E2544" t="str">
        <f>IFERROR(VLOOKUP(tbEscolas[[#This Row],[COD ETPA]],tbEtapas[],2,FALSE),"")</f>
        <v/>
      </c>
      <c r="F2544" t="str">
        <f>IFERROR(VLOOKUP(tbEscolas[[#This Row],[COD ETPA]],tbEtapas[],3,FALSE),"")</f>
        <v/>
      </c>
    </row>
    <row r="2545" spans="1:6" x14ac:dyDescent="0.25">
      <c r="A2545" s="24" t="str">
        <f>_xlfn.XLOOKUP(tbEscolas[[#This Row],[ESCOLA]],tbNucleo[ESCOLA],tbNucleo[COD ESCOLA],"")</f>
        <v/>
      </c>
      <c r="B2545" t="str" cm="1">
        <f t="array" ref="B2545">IFERROR(INDEX(tbNucleo[ESCOLA],ROUNDUP(ROW(B2544)/TotalEtapas,0)),"")</f>
        <v/>
      </c>
      <c r="E2545" t="str">
        <f>IFERROR(VLOOKUP(tbEscolas[[#This Row],[COD ETPA]],tbEtapas[],2,FALSE),"")</f>
        <v/>
      </c>
      <c r="F2545" t="str">
        <f>IFERROR(VLOOKUP(tbEscolas[[#This Row],[COD ETPA]],tbEtapas[],3,FALSE),"")</f>
        <v/>
      </c>
    </row>
    <row r="2546" spans="1:6" x14ac:dyDescent="0.25">
      <c r="A2546" s="24" t="str">
        <f>_xlfn.XLOOKUP(tbEscolas[[#This Row],[ESCOLA]],tbNucleo[ESCOLA],tbNucleo[COD ESCOLA],"")</f>
        <v/>
      </c>
      <c r="B2546" t="str" cm="1">
        <f t="array" ref="B2546">IFERROR(INDEX(tbNucleo[ESCOLA],ROUNDUP(ROW(B2545)/TotalEtapas,0)),"")</f>
        <v/>
      </c>
      <c r="E2546" t="str">
        <f>IFERROR(VLOOKUP(tbEscolas[[#This Row],[COD ETPA]],tbEtapas[],2,FALSE),"")</f>
        <v/>
      </c>
      <c r="F2546" t="str">
        <f>IFERROR(VLOOKUP(tbEscolas[[#This Row],[COD ETPA]],tbEtapas[],3,FALSE),"")</f>
        <v/>
      </c>
    </row>
    <row r="2547" spans="1:6" x14ac:dyDescent="0.25">
      <c r="A2547" s="24" t="str">
        <f>_xlfn.XLOOKUP(tbEscolas[[#This Row],[ESCOLA]],tbNucleo[ESCOLA],tbNucleo[COD ESCOLA],"")</f>
        <v/>
      </c>
      <c r="B2547" t="str" cm="1">
        <f t="array" ref="B2547">IFERROR(INDEX(tbNucleo[ESCOLA],ROUNDUP(ROW(B2546)/TotalEtapas,0)),"")</f>
        <v/>
      </c>
      <c r="E2547" t="str">
        <f>IFERROR(VLOOKUP(tbEscolas[[#This Row],[COD ETPA]],tbEtapas[],2,FALSE),"")</f>
        <v/>
      </c>
      <c r="F2547" t="str">
        <f>IFERROR(VLOOKUP(tbEscolas[[#This Row],[COD ETPA]],tbEtapas[],3,FALSE),"")</f>
        <v/>
      </c>
    </row>
    <row r="2548" spans="1:6" x14ac:dyDescent="0.25">
      <c r="A2548" s="24" t="str">
        <f>_xlfn.XLOOKUP(tbEscolas[[#This Row],[ESCOLA]],tbNucleo[ESCOLA],tbNucleo[COD ESCOLA],"")</f>
        <v/>
      </c>
      <c r="B2548" t="str" cm="1">
        <f t="array" ref="B2548">IFERROR(INDEX(tbNucleo[ESCOLA],ROUNDUP(ROW(B2547)/TotalEtapas,0)),"")</f>
        <v/>
      </c>
      <c r="E2548" t="str">
        <f>IFERROR(VLOOKUP(tbEscolas[[#This Row],[COD ETPA]],tbEtapas[],2,FALSE),"")</f>
        <v/>
      </c>
      <c r="F2548" t="str">
        <f>IFERROR(VLOOKUP(tbEscolas[[#This Row],[COD ETPA]],tbEtapas[],3,FALSE),"")</f>
        <v/>
      </c>
    </row>
    <row r="2549" spans="1:6" x14ac:dyDescent="0.25">
      <c r="A2549" s="24" t="str">
        <f>_xlfn.XLOOKUP(tbEscolas[[#This Row],[ESCOLA]],tbNucleo[ESCOLA],tbNucleo[COD ESCOLA],"")</f>
        <v/>
      </c>
      <c r="B2549" t="str" cm="1">
        <f t="array" ref="B2549">IFERROR(INDEX(tbNucleo[ESCOLA],ROUNDUP(ROW(B2548)/TotalEtapas,0)),"")</f>
        <v/>
      </c>
      <c r="E2549" t="str">
        <f>IFERROR(VLOOKUP(tbEscolas[[#This Row],[COD ETPA]],tbEtapas[],2,FALSE),"")</f>
        <v/>
      </c>
      <c r="F2549" t="str">
        <f>IFERROR(VLOOKUP(tbEscolas[[#This Row],[COD ETPA]],tbEtapas[],3,FALSE),"")</f>
        <v/>
      </c>
    </row>
    <row r="2550" spans="1:6" x14ac:dyDescent="0.25">
      <c r="A2550" s="24" t="str">
        <f>_xlfn.XLOOKUP(tbEscolas[[#This Row],[ESCOLA]],tbNucleo[ESCOLA],tbNucleo[COD ESCOLA],"")</f>
        <v/>
      </c>
      <c r="B2550" t="str" cm="1">
        <f t="array" ref="B2550">IFERROR(INDEX(tbNucleo[ESCOLA],ROUNDUP(ROW(B2549)/TotalEtapas,0)),"")</f>
        <v/>
      </c>
      <c r="E2550" t="str">
        <f>IFERROR(VLOOKUP(tbEscolas[[#This Row],[COD ETPA]],tbEtapas[],2,FALSE),"")</f>
        <v/>
      </c>
      <c r="F2550" t="str">
        <f>IFERROR(VLOOKUP(tbEscolas[[#This Row],[COD ETPA]],tbEtapas[],3,FALSE),"")</f>
        <v/>
      </c>
    </row>
    <row r="2551" spans="1:6" x14ac:dyDescent="0.25">
      <c r="A2551" s="24" t="str">
        <f>_xlfn.XLOOKUP(tbEscolas[[#This Row],[ESCOLA]],tbNucleo[ESCOLA],tbNucleo[COD ESCOLA],"")</f>
        <v/>
      </c>
      <c r="B2551" t="str" cm="1">
        <f t="array" ref="B2551">IFERROR(INDEX(tbNucleo[ESCOLA],ROUNDUP(ROW(B2550)/TotalEtapas,0)),"")</f>
        <v/>
      </c>
      <c r="E2551" t="str">
        <f>IFERROR(VLOOKUP(tbEscolas[[#This Row],[COD ETPA]],tbEtapas[],2,FALSE),"")</f>
        <v/>
      </c>
      <c r="F2551" t="str">
        <f>IFERROR(VLOOKUP(tbEscolas[[#This Row],[COD ETPA]],tbEtapas[],3,FALSE),"")</f>
        <v/>
      </c>
    </row>
    <row r="2552" spans="1:6" x14ac:dyDescent="0.25">
      <c r="A2552" s="24" t="str">
        <f>_xlfn.XLOOKUP(tbEscolas[[#This Row],[ESCOLA]],tbNucleo[ESCOLA],tbNucleo[COD ESCOLA],"")</f>
        <v/>
      </c>
      <c r="B2552" t="str" cm="1">
        <f t="array" ref="B2552">IFERROR(INDEX(tbNucleo[ESCOLA],ROUNDUP(ROW(B2551)/TotalEtapas,0)),"")</f>
        <v/>
      </c>
      <c r="E2552" t="str">
        <f>IFERROR(VLOOKUP(tbEscolas[[#This Row],[COD ETPA]],tbEtapas[],2,FALSE),"")</f>
        <v/>
      </c>
      <c r="F2552" t="str">
        <f>IFERROR(VLOOKUP(tbEscolas[[#This Row],[COD ETPA]],tbEtapas[],3,FALSE),"")</f>
        <v/>
      </c>
    </row>
    <row r="2553" spans="1:6" x14ac:dyDescent="0.25">
      <c r="A2553" s="24" t="str">
        <f>_xlfn.XLOOKUP(tbEscolas[[#This Row],[ESCOLA]],tbNucleo[ESCOLA],tbNucleo[COD ESCOLA],"")</f>
        <v/>
      </c>
      <c r="B2553" t="str" cm="1">
        <f t="array" ref="B2553">IFERROR(INDEX(tbNucleo[ESCOLA],ROUNDUP(ROW(B2552)/TotalEtapas,0)),"")</f>
        <v/>
      </c>
      <c r="E2553" t="str">
        <f>IFERROR(VLOOKUP(tbEscolas[[#This Row],[COD ETPA]],tbEtapas[],2,FALSE),"")</f>
        <v/>
      </c>
      <c r="F2553" t="str">
        <f>IFERROR(VLOOKUP(tbEscolas[[#This Row],[COD ETPA]],tbEtapas[],3,FALSE),"")</f>
        <v/>
      </c>
    </row>
    <row r="2554" spans="1:6" x14ac:dyDescent="0.25">
      <c r="A2554" s="24" t="str">
        <f>_xlfn.XLOOKUP(tbEscolas[[#This Row],[ESCOLA]],tbNucleo[ESCOLA],tbNucleo[COD ESCOLA],"")</f>
        <v/>
      </c>
      <c r="B2554" t="str" cm="1">
        <f t="array" ref="B2554">IFERROR(INDEX(tbNucleo[ESCOLA],ROUNDUP(ROW(B2553)/TotalEtapas,0)),"")</f>
        <v/>
      </c>
      <c r="E2554" t="str">
        <f>IFERROR(VLOOKUP(tbEscolas[[#This Row],[COD ETPA]],tbEtapas[],2,FALSE),"")</f>
        <v/>
      </c>
      <c r="F2554" t="str">
        <f>IFERROR(VLOOKUP(tbEscolas[[#This Row],[COD ETPA]],tbEtapas[],3,FALSE),"")</f>
        <v/>
      </c>
    </row>
    <row r="2555" spans="1:6" x14ac:dyDescent="0.25">
      <c r="A2555" s="24" t="str">
        <f>_xlfn.XLOOKUP(tbEscolas[[#This Row],[ESCOLA]],tbNucleo[ESCOLA],tbNucleo[COD ESCOLA],"")</f>
        <v/>
      </c>
      <c r="B2555" t="str" cm="1">
        <f t="array" ref="B2555">IFERROR(INDEX(tbNucleo[ESCOLA],ROUNDUP(ROW(B2554)/TotalEtapas,0)),"")</f>
        <v/>
      </c>
      <c r="E2555" t="str">
        <f>IFERROR(VLOOKUP(tbEscolas[[#This Row],[COD ETPA]],tbEtapas[],2,FALSE),"")</f>
        <v/>
      </c>
      <c r="F2555" t="str">
        <f>IFERROR(VLOOKUP(tbEscolas[[#This Row],[COD ETPA]],tbEtapas[],3,FALSE),"")</f>
        <v/>
      </c>
    </row>
    <row r="2556" spans="1:6" x14ac:dyDescent="0.25">
      <c r="A2556" s="24" t="str">
        <f>_xlfn.XLOOKUP(tbEscolas[[#This Row],[ESCOLA]],tbNucleo[ESCOLA],tbNucleo[COD ESCOLA],"")</f>
        <v/>
      </c>
      <c r="B2556" t="str" cm="1">
        <f t="array" ref="B2556">IFERROR(INDEX(tbNucleo[ESCOLA],ROUNDUP(ROW(B2555)/TotalEtapas,0)),"")</f>
        <v/>
      </c>
      <c r="E2556" t="str">
        <f>IFERROR(VLOOKUP(tbEscolas[[#This Row],[COD ETPA]],tbEtapas[],2,FALSE),"")</f>
        <v/>
      </c>
      <c r="F2556" t="str">
        <f>IFERROR(VLOOKUP(tbEscolas[[#This Row],[COD ETPA]],tbEtapas[],3,FALSE),"")</f>
        <v/>
      </c>
    </row>
    <row r="2557" spans="1:6" x14ac:dyDescent="0.25">
      <c r="A2557" s="24" t="str">
        <f>_xlfn.XLOOKUP(tbEscolas[[#This Row],[ESCOLA]],tbNucleo[ESCOLA],tbNucleo[COD ESCOLA],"")</f>
        <v/>
      </c>
      <c r="B2557" t="str" cm="1">
        <f t="array" ref="B2557">IFERROR(INDEX(tbNucleo[ESCOLA],ROUNDUP(ROW(B2556)/TotalEtapas,0)),"")</f>
        <v/>
      </c>
      <c r="E2557" t="str">
        <f>IFERROR(VLOOKUP(tbEscolas[[#This Row],[COD ETPA]],tbEtapas[],2,FALSE),"")</f>
        <v/>
      </c>
      <c r="F2557" t="str">
        <f>IFERROR(VLOOKUP(tbEscolas[[#This Row],[COD ETPA]],tbEtapas[],3,FALSE),"")</f>
        <v/>
      </c>
    </row>
    <row r="2558" spans="1:6" x14ac:dyDescent="0.25">
      <c r="A2558" s="24" t="str">
        <f>_xlfn.XLOOKUP(tbEscolas[[#This Row],[ESCOLA]],tbNucleo[ESCOLA],tbNucleo[COD ESCOLA],"")</f>
        <v/>
      </c>
      <c r="B2558" t="str" cm="1">
        <f t="array" ref="B2558">IFERROR(INDEX(tbNucleo[ESCOLA],ROUNDUP(ROW(B2557)/TotalEtapas,0)),"")</f>
        <v/>
      </c>
      <c r="E2558" t="str">
        <f>IFERROR(VLOOKUP(tbEscolas[[#This Row],[COD ETPA]],tbEtapas[],2,FALSE),"")</f>
        <v/>
      </c>
      <c r="F2558" t="str">
        <f>IFERROR(VLOOKUP(tbEscolas[[#This Row],[COD ETPA]],tbEtapas[],3,FALSE),"")</f>
        <v/>
      </c>
    </row>
    <row r="2559" spans="1:6" x14ac:dyDescent="0.25">
      <c r="A2559" s="24" t="str">
        <f>_xlfn.XLOOKUP(tbEscolas[[#This Row],[ESCOLA]],tbNucleo[ESCOLA],tbNucleo[COD ESCOLA],"")</f>
        <v/>
      </c>
      <c r="B2559" t="str" cm="1">
        <f t="array" ref="B2559">IFERROR(INDEX(tbNucleo[ESCOLA],ROUNDUP(ROW(B2558)/TotalEtapas,0)),"")</f>
        <v/>
      </c>
      <c r="E2559" t="str">
        <f>IFERROR(VLOOKUP(tbEscolas[[#This Row],[COD ETPA]],tbEtapas[],2,FALSE),"")</f>
        <v/>
      </c>
      <c r="F2559" t="str">
        <f>IFERROR(VLOOKUP(tbEscolas[[#This Row],[COD ETPA]],tbEtapas[],3,FALSE),"")</f>
        <v/>
      </c>
    </row>
    <row r="2560" spans="1:6" x14ac:dyDescent="0.25">
      <c r="A2560" s="24" t="str">
        <f>_xlfn.XLOOKUP(tbEscolas[[#This Row],[ESCOLA]],tbNucleo[ESCOLA],tbNucleo[COD ESCOLA],"")</f>
        <v/>
      </c>
      <c r="B2560" t="str" cm="1">
        <f t="array" ref="B2560">IFERROR(INDEX(tbNucleo[ESCOLA],ROUNDUP(ROW(B2559)/TotalEtapas,0)),"")</f>
        <v/>
      </c>
      <c r="E2560" t="str">
        <f>IFERROR(VLOOKUP(tbEscolas[[#This Row],[COD ETPA]],tbEtapas[],2,FALSE),"")</f>
        <v/>
      </c>
      <c r="F2560" t="str">
        <f>IFERROR(VLOOKUP(tbEscolas[[#This Row],[COD ETPA]],tbEtapas[],3,FALSE),"")</f>
        <v/>
      </c>
    </row>
    <row r="2561" spans="1:6" x14ac:dyDescent="0.25">
      <c r="A2561" s="24" t="str">
        <f>_xlfn.XLOOKUP(tbEscolas[[#This Row],[ESCOLA]],tbNucleo[ESCOLA],tbNucleo[COD ESCOLA],"")</f>
        <v/>
      </c>
      <c r="B2561" t="str" cm="1">
        <f t="array" ref="B2561">IFERROR(INDEX(tbNucleo[ESCOLA],ROUNDUP(ROW(B2560)/TotalEtapas,0)),"")</f>
        <v/>
      </c>
      <c r="E2561" t="str">
        <f>IFERROR(VLOOKUP(tbEscolas[[#This Row],[COD ETPA]],tbEtapas[],2,FALSE),"")</f>
        <v/>
      </c>
      <c r="F2561" t="str">
        <f>IFERROR(VLOOKUP(tbEscolas[[#This Row],[COD ETPA]],tbEtapas[],3,FALSE),"")</f>
        <v/>
      </c>
    </row>
    <row r="2562" spans="1:6" x14ac:dyDescent="0.25">
      <c r="A2562" s="24" t="str">
        <f>_xlfn.XLOOKUP(tbEscolas[[#This Row],[ESCOLA]],tbNucleo[ESCOLA],tbNucleo[COD ESCOLA],"")</f>
        <v/>
      </c>
      <c r="B2562" t="str" cm="1">
        <f t="array" ref="B2562">IFERROR(INDEX(tbNucleo[ESCOLA],ROUNDUP(ROW(B2561)/TotalEtapas,0)),"")</f>
        <v/>
      </c>
      <c r="E2562" t="str">
        <f>IFERROR(VLOOKUP(tbEscolas[[#This Row],[COD ETPA]],tbEtapas[],2,FALSE),"")</f>
        <v/>
      </c>
      <c r="F2562" t="str">
        <f>IFERROR(VLOOKUP(tbEscolas[[#This Row],[COD ETPA]],tbEtapas[],3,FALSE),"")</f>
        <v/>
      </c>
    </row>
    <row r="2563" spans="1:6" x14ac:dyDescent="0.25">
      <c r="A2563" s="24" t="str">
        <f>_xlfn.XLOOKUP(tbEscolas[[#This Row],[ESCOLA]],tbNucleo[ESCOLA],tbNucleo[COD ESCOLA],"")</f>
        <v/>
      </c>
      <c r="B2563" t="str" cm="1">
        <f t="array" ref="B2563">IFERROR(INDEX(tbNucleo[ESCOLA],ROUNDUP(ROW(B2562)/TotalEtapas,0)),"")</f>
        <v/>
      </c>
      <c r="E2563" t="str">
        <f>IFERROR(VLOOKUP(tbEscolas[[#This Row],[COD ETPA]],tbEtapas[],2,FALSE),"")</f>
        <v/>
      </c>
      <c r="F2563" t="str">
        <f>IFERROR(VLOOKUP(tbEscolas[[#This Row],[COD ETPA]],tbEtapas[],3,FALSE),"")</f>
        <v/>
      </c>
    </row>
    <row r="2564" spans="1:6" x14ac:dyDescent="0.25">
      <c r="A2564" s="24" t="str">
        <f>_xlfn.XLOOKUP(tbEscolas[[#This Row],[ESCOLA]],tbNucleo[ESCOLA],tbNucleo[COD ESCOLA],"")</f>
        <v/>
      </c>
      <c r="B2564" t="str" cm="1">
        <f t="array" ref="B2564">IFERROR(INDEX(tbNucleo[ESCOLA],ROUNDUP(ROW(B2563)/TotalEtapas,0)),"")</f>
        <v/>
      </c>
      <c r="E2564" t="str">
        <f>IFERROR(VLOOKUP(tbEscolas[[#This Row],[COD ETPA]],tbEtapas[],2,FALSE),"")</f>
        <v/>
      </c>
      <c r="F2564" t="str">
        <f>IFERROR(VLOOKUP(tbEscolas[[#This Row],[COD ETPA]],tbEtapas[],3,FALSE),"")</f>
        <v/>
      </c>
    </row>
    <row r="2565" spans="1:6" x14ac:dyDescent="0.25">
      <c r="A2565" s="24" t="str">
        <f>_xlfn.XLOOKUP(tbEscolas[[#This Row],[ESCOLA]],tbNucleo[ESCOLA],tbNucleo[COD ESCOLA],"")</f>
        <v/>
      </c>
      <c r="B2565" t="str" cm="1">
        <f t="array" ref="B2565">IFERROR(INDEX(tbNucleo[ESCOLA],ROUNDUP(ROW(B2564)/TotalEtapas,0)),"")</f>
        <v/>
      </c>
      <c r="E2565" t="str">
        <f>IFERROR(VLOOKUP(tbEscolas[[#This Row],[COD ETPA]],tbEtapas[],2,FALSE),"")</f>
        <v/>
      </c>
      <c r="F2565" t="str">
        <f>IFERROR(VLOOKUP(tbEscolas[[#This Row],[COD ETPA]],tbEtapas[],3,FALSE),"")</f>
        <v/>
      </c>
    </row>
    <row r="2566" spans="1:6" x14ac:dyDescent="0.25">
      <c r="A2566" s="24" t="str">
        <f>_xlfn.XLOOKUP(tbEscolas[[#This Row],[ESCOLA]],tbNucleo[ESCOLA],tbNucleo[COD ESCOLA],"")</f>
        <v/>
      </c>
      <c r="B2566" t="str" cm="1">
        <f t="array" ref="B2566">IFERROR(INDEX(tbNucleo[ESCOLA],ROUNDUP(ROW(B2565)/TotalEtapas,0)),"")</f>
        <v/>
      </c>
      <c r="E2566" t="str">
        <f>IFERROR(VLOOKUP(tbEscolas[[#This Row],[COD ETPA]],tbEtapas[],2,FALSE),"")</f>
        <v/>
      </c>
      <c r="F2566" t="str">
        <f>IFERROR(VLOOKUP(tbEscolas[[#This Row],[COD ETPA]],tbEtapas[],3,FALSE),"")</f>
        <v/>
      </c>
    </row>
    <row r="2567" spans="1:6" x14ac:dyDescent="0.25">
      <c r="A2567" s="24" t="str">
        <f>_xlfn.XLOOKUP(tbEscolas[[#This Row],[ESCOLA]],tbNucleo[ESCOLA],tbNucleo[COD ESCOLA],"")</f>
        <v/>
      </c>
      <c r="B2567" t="str" cm="1">
        <f t="array" ref="B2567">IFERROR(INDEX(tbNucleo[ESCOLA],ROUNDUP(ROW(B2566)/TotalEtapas,0)),"")</f>
        <v/>
      </c>
      <c r="E2567" t="str">
        <f>IFERROR(VLOOKUP(tbEscolas[[#This Row],[COD ETPA]],tbEtapas[],2,FALSE),"")</f>
        <v/>
      </c>
      <c r="F2567" t="str">
        <f>IFERROR(VLOOKUP(tbEscolas[[#This Row],[COD ETPA]],tbEtapas[],3,FALSE),"")</f>
        <v/>
      </c>
    </row>
    <row r="2568" spans="1:6" x14ac:dyDescent="0.25">
      <c r="A2568" s="24" t="str">
        <f>_xlfn.XLOOKUP(tbEscolas[[#This Row],[ESCOLA]],tbNucleo[ESCOLA],tbNucleo[COD ESCOLA],"")</f>
        <v/>
      </c>
      <c r="B2568" t="str" cm="1">
        <f t="array" ref="B2568">IFERROR(INDEX(tbNucleo[ESCOLA],ROUNDUP(ROW(B2567)/TotalEtapas,0)),"")</f>
        <v/>
      </c>
      <c r="E2568" t="str">
        <f>IFERROR(VLOOKUP(tbEscolas[[#This Row],[COD ETPA]],tbEtapas[],2,FALSE),"")</f>
        <v/>
      </c>
      <c r="F2568" t="str">
        <f>IFERROR(VLOOKUP(tbEscolas[[#This Row],[COD ETPA]],tbEtapas[],3,FALSE),"")</f>
        <v/>
      </c>
    </row>
    <row r="2569" spans="1:6" x14ac:dyDescent="0.25">
      <c r="A2569" s="24" t="str">
        <f>_xlfn.XLOOKUP(tbEscolas[[#This Row],[ESCOLA]],tbNucleo[ESCOLA],tbNucleo[COD ESCOLA],"")</f>
        <v/>
      </c>
      <c r="B2569" t="str" cm="1">
        <f t="array" ref="B2569">IFERROR(INDEX(tbNucleo[ESCOLA],ROUNDUP(ROW(B2568)/TotalEtapas,0)),"")</f>
        <v/>
      </c>
      <c r="E2569" t="str">
        <f>IFERROR(VLOOKUP(tbEscolas[[#This Row],[COD ETPA]],tbEtapas[],2,FALSE),"")</f>
        <v/>
      </c>
      <c r="F2569" t="str">
        <f>IFERROR(VLOOKUP(tbEscolas[[#This Row],[COD ETPA]],tbEtapas[],3,FALSE),"")</f>
        <v/>
      </c>
    </row>
    <row r="2570" spans="1:6" x14ac:dyDescent="0.25">
      <c r="A2570" s="24" t="str">
        <f>_xlfn.XLOOKUP(tbEscolas[[#This Row],[ESCOLA]],tbNucleo[ESCOLA],tbNucleo[COD ESCOLA],"")</f>
        <v/>
      </c>
      <c r="B2570" t="str" cm="1">
        <f t="array" ref="B2570">IFERROR(INDEX(tbNucleo[ESCOLA],ROUNDUP(ROW(B2569)/TotalEtapas,0)),"")</f>
        <v/>
      </c>
      <c r="E2570" t="str">
        <f>IFERROR(VLOOKUP(tbEscolas[[#This Row],[COD ETPA]],tbEtapas[],2,FALSE),"")</f>
        <v/>
      </c>
      <c r="F2570" t="str">
        <f>IFERROR(VLOOKUP(tbEscolas[[#This Row],[COD ETPA]],tbEtapas[],3,FALSE),"")</f>
        <v/>
      </c>
    </row>
    <row r="2571" spans="1:6" x14ac:dyDescent="0.25">
      <c r="A2571" s="24" t="str">
        <f>_xlfn.XLOOKUP(tbEscolas[[#This Row],[ESCOLA]],tbNucleo[ESCOLA],tbNucleo[COD ESCOLA],"")</f>
        <v/>
      </c>
      <c r="B2571" t="str" cm="1">
        <f t="array" ref="B2571">IFERROR(INDEX(tbNucleo[ESCOLA],ROUNDUP(ROW(B2570)/TotalEtapas,0)),"")</f>
        <v/>
      </c>
      <c r="E2571" t="str">
        <f>IFERROR(VLOOKUP(tbEscolas[[#This Row],[COD ETPA]],tbEtapas[],2,FALSE),"")</f>
        <v/>
      </c>
      <c r="F2571" t="str">
        <f>IFERROR(VLOOKUP(tbEscolas[[#This Row],[COD ETPA]],tbEtapas[],3,FALSE),"")</f>
        <v/>
      </c>
    </row>
    <row r="2572" spans="1:6" x14ac:dyDescent="0.25">
      <c r="A2572" s="24" t="str">
        <f>_xlfn.XLOOKUP(tbEscolas[[#This Row],[ESCOLA]],tbNucleo[ESCOLA],tbNucleo[COD ESCOLA],"")</f>
        <v/>
      </c>
      <c r="B2572" t="str" cm="1">
        <f t="array" ref="B2572">IFERROR(INDEX(tbNucleo[ESCOLA],ROUNDUP(ROW(B2571)/TotalEtapas,0)),"")</f>
        <v/>
      </c>
      <c r="E2572" t="str">
        <f>IFERROR(VLOOKUP(tbEscolas[[#This Row],[COD ETPA]],tbEtapas[],2,FALSE),"")</f>
        <v/>
      </c>
      <c r="F2572" t="str">
        <f>IFERROR(VLOOKUP(tbEscolas[[#This Row],[COD ETPA]],tbEtapas[],3,FALSE),"")</f>
        <v/>
      </c>
    </row>
    <row r="2573" spans="1:6" x14ac:dyDescent="0.25">
      <c r="A2573" s="24" t="str">
        <f>_xlfn.XLOOKUP(tbEscolas[[#This Row],[ESCOLA]],tbNucleo[ESCOLA],tbNucleo[COD ESCOLA],"")</f>
        <v/>
      </c>
      <c r="B2573" t="str" cm="1">
        <f t="array" ref="B2573">IFERROR(INDEX(tbNucleo[ESCOLA],ROUNDUP(ROW(B2572)/TotalEtapas,0)),"")</f>
        <v/>
      </c>
      <c r="E2573" t="str">
        <f>IFERROR(VLOOKUP(tbEscolas[[#This Row],[COD ETPA]],tbEtapas[],2,FALSE),"")</f>
        <v/>
      </c>
      <c r="F2573" t="str">
        <f>IFERROR(VLOOKUP(tbEscolas[[#This Row],[COD ETPA]],tbEtapas[],3,FALSE),"")</f>
        <v/>
      </c>
    </row>
    <row r="2574" spans="1:6" x14ac:dyDescent="0.25">
      <c r="A2574" s="24" t="str">
        <f>_xlfn.XLOOKUP(tbEscolas[[#This Row],[ESCOLA]],tbNucleo[ESCOLA],tbNucleo[COD ESCOLA],"")</f>
        <v/>
      </c>
      <c r="B2574" t="str" cm="1">
        <f t="array" ref="B2574">IFERROR(INDEX(tbNucleo[ESCOLA],ROUNDUP(ROW(B2573)/TotalEtapas,0)),"")</f>
        <v/>
      </c>
      <c r="E2574" t="str">
        <f>IFERROR(VLOOKUP(tbEscolas[[#This Row],[COD ETPA]],tbEtapas[],2,FALSE),"")</f>
        <v/>
      </c>
      <c r="F2574" t="str">
        <f>IFERROR(VLOOKUP(tbEscolas[[#This Row],[COD ETPA]],tbEtapas[],3,FALSE),"")</f>
        <v/>
      </c>
    </row>
    <row r="2575" spans="1:6" x14ac:dyDescent="0.25">
      <c r="A2575" s="24" t="str">
        <f>_xlfn.XLOOKUP(tbEscolas[[#This Row],[ESCOLA]],tbNucleo[ESCOLA],tbNucleo[COD ESCOLA],"")</f>
        <v/>
      </c>
      <c r="B2575" t="str" cm="1">
        <f t="array" ref="B2575">IFERROR(INDEX(tbNucleo[ESCOLA],ROUNDUP(ROW(B2574)/TotalEtapas,0)),"")</f>
        <v/>
      </c>
      <c r="E2575" t="str">
        <f>IFERROR(VLOOKUP(tbEscolas[[#This Row],[COD ETPA]],tbEtapas[],2,FALSE),"")</f>
        <v/>
      </c>
      <c r="F2575" t="str">
        <f>IFERROR(VLOOKUP(tbEscolas[[#This Row],[COD ETPA]],tbEtapas[],3,FALSE),"")</f>
        <v/>
      </c>
    </row>
    <row r="2576" spans="1:6" x14ac:dyDescent="0.25">
      <c r="A2576" s="24" t="str">
        <f>_xlfn.XLOOKUP(tbEscolas[[#This Row],[ESCOLA]],tbNucleo[ESCOLA],tbNucleo[COD ESCOLA],"")</f>
        <v/>
      </c>
      <c r="B2576" t="str" cm="1">
        <f t="array" ref="B2576">IFERROR(INDEX(tbNucleo[ESCOLA],ROUNDUP(ROW(B2575)/TotalEtapas,0)),"")</f>
        <v/>
      </c>
      <c r="E2576" t="str">
        <f>IFERROR(VLOOKUP(tbEscolas[[#This Row],[COD ETPA]],tbEtapas[],2,FALSE),"")</f>
        <v/>
      </c>
      <c r="F2576" t="str">
        <f>IFERROR(VLOOKUP(tbEscolas[[#This Row],[COD ETPA]],tbEtapas[],3,FALSE),"")</f>
        <v/>
      </c>
    </row>
    <row r="2577" spans="1:6" x14ac:dyDescent="0.25">
      <c r="A2577" s="24" t="str">
        <f>_xlfn.XLOOKUP(tbEscolas[[#This Row],[ESCOLA]],tbNucleo[ESCOLA],tbNucleo[COD ESCOLA],"")</f>
        <v/>
      </c>
      <c r="B2577" t="str" cm="1">
        <f t="array" ref="B2577">IFERROR(INDEX(tbNucleo[ESCOLA],ROUNDUP(ROW(B2576)/TotalEtapas,0)),"")</f>
        <v/>
      </c>
      <c r="E2577" t="str">
        <f>IFERROR(VLOOKUP(tbEscolas[[#This Row],[COD ETPA]],tbEtapas[],2,FALSE),"")</f>
        <v/>
      </c>
      <c r="F2577" t="str">
        <f>IFERROR(VLOOKUP(tbEscolas[[#This Row],[COD ETPA]],tbEtapas[],3,FALSE),"")</f>
        <v/>
      </c>
    </row>
    <row r="2578" spans="1:6" x14ac:dyDescent="0.25">
      <c r="A2578" s="24" t="str">
        <f>_xlfn.XLOOKUP(tbEscolas[[#This Row],[ESCOLA]],tbNucleo[ESCOLA],tbNucleo[COD ESCOLA],"")</f>
        <v/>
      </c>
      <c r="B2578" t="str" cm="1">
        <f t="array" ref="B2578">IFERROR(INDEX(tbNucleo[ESCOLA],ROUNDUP(ROW(B2577)/TotalEtapas,0)),"")</f>
        <v/>
      </c>
      <c r="E2578" t="str">
        <f>IFERROR(VLOOKUP(tbEscolas[[#This Row],[COD ETPA]],tbEtapas[],2,FALSE),"")</f>
        <v/>
      </c>
      <c r="F2578" t="str">
        <f>IFERROR(VLOOKUP(tbEscolas[[#This Row],[COD ETPA]],tbEtapas[],3,FALSE),"")</f>
        <v/>
      </c>
    </row>
    <row r="2579" spans="1:6" x14ac:dyDescent="0.25">
      <c r="A2579" s="24" t="str">
        <f>_xlfn.XLOOKUP(tbEscolas[[#This Row],[ESCOLA]],tbNucleo[ESCOLA],tbNucleo[COD ESCOLA],"")</f>
        <v/>
      </c>
      <c r="B2579" t="str" cm="1">
        <f t="array" ref="B2579">IFERROR(INDEX(tbNucleo[ESCOLA],ROUNDUP(ROW(B2578)/TotalEtapas,0)),"")</f>
        <v/>
      </c>
      <c r="E2579" t="str">
        <f>IFERROR(VLOOKUP(tbEscolas[[#This Row],[COD ETPA]],tbEtapas[],2,FALSE),"")</f>
        <v/>
      </c>
      <c r="F2579" t="str">
        <f>IFERROR(VLOOKUP(tbEscolas[[#This Row],[COD ETPA]],tbEtapas[],3,FALSE),"")</f>
        <v/>
      </c>
    </row>
    <row r="2580" spans="1:6" x14ac:dyDescent="0.25">
      <c r="A2580" s="24" t="str">
        <f>_xlfn.XLOOKUP(tbEscolas[[#This Row],[ESCOLA]],tbNucleo[ESCOLA],tbNucleo[COD ESCOLA],"")</f>
        <v/>
      </c>
      <c r="B2580" t="str" cm="1">
        <f t="array" ref="B2580">IFERROR(INDEX(tbNucleo[ESCOLA],ROUNDUP(ROW(B2579)/TotalEtapas,0)),"")</f>
        <v/>
      </c>
      <c r="E2580" t="str">
        <f>IFERROR(VLOOKUP(tbEscolas[[#This Row],[COD ETPA]],tbEtapas[],2,FALSE),"")</f>
        <v/>
      </c>
      <c r="F2580" t="str">
        <f>IFERROR(VLOOKUP(tbEscolas[[#This Row],[COD ETPA]],tbEtapas[],3,FALSE),"")</f>
        <v/>
      </c>
    </row>
    <row r="2581" spans="1:6" x14ac:dyDescent="0.25">
      <c r="A2581" s="24" t="str">
        <f>_xlfn.XLOOKUP(tbEscolas[[#This Row],[ESCOLA]],tbNucleo[ESCOLA],tbNucleo[COD ESCOLA],"")</f>
        <v/>
      </c>
      <c r="B2581" t="str" cm="1">
        <f t="array" ref="B2581">IFERROR(INDEX(tbNucleo[ESCOLA],ROUNDUP(ROW(B2580)/TotalEtapas,0)),"")</f>
        <v/>
      </c>
      <c r="E2581" t="str">
        <f>IFERROR(VLOOKUP(tbEscolas[[#This Row],[COD ETPA]],tbEtapas[],2,FALSE),"")</f>
        <v/>
      </c>
      <c r="F2581" t="str">
        <f>IFERROR(VLOOKUP(tbEscolas[[#This Row],[COD ETPA]],tbEtapas[],3,FALSE),"")</f>
        <v/>
      </c>
    </row>
    <row r="2582" spans="1:6" x14ac:dyDescent="0.25">
      <c r="A2582" s="24" t="str">
        <f>_xlfn.XLOOKUP(tbEscolas[[#This Row],[ESCOLA]],tbNucleo[ESCOLA],tbNucleo[COD ESCOLA],"")</f>
        <v/>
      </c>
      <c r="B2582" t="str" cm="1">
        <f t="array" ref="B2582">IFERROR(INDEX(tbNucleo[ESCOLA],ROUNDUP(ROW(B2581)/TotalEtapas,0)),"")</f>
        <v/>
      </c>
      <c r="E2582" t="str">
        <f>IFERROR(VLOOKUP(tbEscolas[[#This Row],[COD ETPA]],tbEtapas[],2,FALSE),"")</f>
        <v/>
      </c>
      <c r="F2582" t="str">
        <f>IFERROR(VLOOKUP(tbEscolas[[#This Row],[COD ETPA]],tbEtapas[],3,FALSE),"")</f>
        <v/>
      </c>
    </row>
    <row r="2583" spans="1:6" x14ac:dyDescent="0.25">
      <c r="A2583" s="24" t="str">
        <f>_xlfn.XLOOKUP(tbEscolas[[#This Row],[ESCOLA]],tbNucleo[ESCOLA],tbNucleo[COD ESCOLA],"")</f>
        <v/>
      </c>
      <c r="B2583" t="str" cm="1">
        <f t="array" ref="B2583">IFERROR(INDEX(tbNucleo[ESCOLA],ROUNDUP(ROW(B2582)/TotalEtapas,0)),"")</f>
        <v/>
      </c>
      <c r="E2583" t="str">
        <f>IFERROR(VLOOKUP(tbEscolas[[#This Row],[COD ETPA]],tbEtapas[],2,FALSE),"")</f>
        <v/>
      </c>
      <c r="F2583" t="str">
        <f>IFERROR(VLOOKUP(tbEscolas[[#This Row],[COD ETPA]],tbEtapas[],3,FALSE),"")</f>
        <v/>
      </c>
    </row>
    <row r="2584" spans="1:6" x14ac:dyDescent="0.25">
      <c r="A2584" s="24" t="str">
        <f>_xlfn.XLOOKUP(tbEscolas[[#This Row],[ESCOLA]],tbNucleo[ESCOLA],tbNucleo[COD ESCOLA],"")</f>
        <v/>
      </c>
      <c r="B2584" t="str" cm="1">
        <f t="array" ref="B2584">IFERROR(INDEX(tbNucleo[ESCOLA],ROUNDUP(ROW(B2583)/TotalEtapas,0)),"")</f>
        <v/>
      </c>
      <c r="E2584" t="str">
        <f>IFERROR(VLOOKUP(tbEscolas[[#This Row],[COD ETPA]],tbEtapas[],2,FALSE),"")</f>
        <v/>
      </c>
      <c r="F2584" t="str">
        <f>IFERROR(VLOOKUP(tbEscolas[[#This Row],[COD ETPA]],tbEtapas[],3,FALSE),"")</f>
        <v/>
      </c>
    </row>
    <row r="2585" spans="1:6" x14ac:dyDescent="0.25">
      <c r="A2585" s="24" t="str">
        <f>_xlfn.XLOOKUP(tbEscolas[[#This Row],[ESCOLA]],tbNucleo[ESCOLA],tbNucleo[COD ESCOLA],"")</f>
        <v/>
      </c>
      <c r="B2585" t="str" cm="1">
        <f t="array" ref="B2585">IFERROR(INDEX(tbNucleo[ESCOLA],ROUNDUP(ROW(B2584)/TotalEtapas,0)),"")</f>
        <v/>
      </c>
      <c r="E2585" t="str">
        <f>IFERROR(VLOOKUP(tbEscolas[[#This Row],[COD ETPA]],tbEtapas[],2,FALSE),"")</f>
        <v/>
      </c>
      <c r="F2585" t="str">
        <f>IFERROR(VLOOKUP(tbEscolas[[#This Row],[COD ETPA]],tbEtapas[],3,FALSE),"")</f>
        <v/>
      </c>
    </row>
    <row r="2586" spans="1:6" x14ac:dyDescent="0.25">
      <c r="A2586" s="24" t="str">
        <f>_xlfn.XLOOKUP(tbEscolas[[#This Row],[ESCOLA]],tbNucleo[ESCOLA],tbNucleo[COD ESCOLA],"")</f>
        <v/>
      </c>
      <c r="B2586" t="str" cm="1">
        <f t="array" ref="B2586">IFERROR(INDEX(tbNucleo[ESCOLA],ROUNDUP(ROW(B2585)/TotalEtapas,0)),"")</f>
        <v/>
      </c>
      <c r="E2586" t="str">
        <f>IFERROR(VLOOKUP(tbEscolas[[#This Row],[COD ETPA]],tbEtapas[],2,FALSE),"")</f>
        <v/>
      </c>
      <c r="F2586" t="str">
        <f>IFERROR(VLOOKUP(tbEscolas[[#This Row],[COD ETPA]],tbEtapas[],3,FALSE),"")</f>
        <v/>
      </c>
    </row>
    <row r="2587" spans="1:6" x14ac:dyDescent="0.25">
      <c r="A2587" s="24" t="str">
        <f>_xlfn.XLOOKUP(tbEscolas[[#This Row],[ESCOLA]],tbNucleo[ESCOLA],tbNucleo[COD ESCOLA],"")</f>
        <v/>
      </c>
      <c r="B2587" t="str" cm="1">
        <f t="array" ref="B2587">IFERROR(INDEX(tbNucleo[ESCOLA],ROUNDUP(ROW(B2586)/TotalEtapas,0)),"")</f>
        <v/>
      </c>
      <c r="E2587" t="str">
        <f>IFERROR(VLOOKUP(tbEscolas[[#This Row],[COD ETPA]],tbEtapas[],2,FALSE),"")</f>
        <v/>
      </c>
      <c r="F2587" t="str">
        <f>IFERROR(VLOOKUP(tbEscolas[[#This Row],[COD ETPA]],tbEtapas[],3,FALSE),"")</f>
        <v/>
      </c>
    </row>
    <row r="2588" spans="1:6" x14ac:dyDescent="0.25">
      <c r="A2588" s="24" t="str">
        <f>_xlfn.XLOOKUP(tbEscolas[[#This Row],[ESCOLA]],tbNucleo[ESCOLA],tbNucleo[COD ESCOLA],"")</f>
        <v/>
      </c>
      <c r="B2588" t="str" cm="1">
        <f t="array" ref="B2588">IFERROR(INDEX(tbNucleo[ESCOLA],ROUNDUP(ROW(B2587)/TotalEtapas,0)),"")</f>
        <v/>
      </c>
      <c r="E2588" t="str">
        <f>IFERROR(VLOOKUP(tbEscolas[[#This Row],[COD ETPA]],tbEtapas[],2,FALSE),"")</f>
        <v/>
      </c>
      <c r="F2588" t="str">
        <f>IFERROR(VLOOKUP(tbEscolas[[#This Row],[COD ETPA]],tbEtapas[],3,FALSE),"")</f>
        <v/>
      </c>
    </row>
    <row r="2589" spans="1:6" x14ac:dyDescent="0.25">
      <c r="A2589" s="24" t="str">
        <f>_xlfn.XLOOKUP(tbEscolas[[#This Row],[ESCOLA]],tbNucleo[ESCOLA],tbNucleo[COD ESCOLA],"")</f>
        <v/>
      </c>
      <c r="B2589" t="str" cm="1">
        <f t="array" ref="B2589">IFERROR(INDEX(tbNucleo[ESCOLA],ROUNDUP(ROW(B2588)/TotalEtapas,0)),"")</f>
        <v/>
      </c>
      <c r="E2589" t="str">
        <f>IFERROR(VLOOKUP(tbEscolas[[#This Row],[COD ETPA]],tbEtapas[],2,FALSE),"")</f>
        <v/>
      </c>
      <c r="F2589" t="str">
        <f>IFERROR(VLOOKUP(tbEscolas[[#This Row],[COD ETPA]],tbEtapas[],3,FALSE),"")</f>
        <v/>
      </c>
    </row>
    <row r="2590" spans="1:6" x14ac:dyDescent="0.25">
      <c r="A2590" s="24" t="str">
        <f>_xlfn.XLOOKUP(tbEscolas[[#This Row],[ESCOLA]],tbNucleo[ESCOLA],tbNucleo[COD ESCOLA],"")</f>
        <v/>
      </c>
      <c r="B2590" t="str" cm="1">
        <f t="array" ref="B2590">IFERROR(INDEX(tbNucleo[ESCOLA],ROUNDUP(ROW(B2589)/TotalEtapas,0)),"")</f>
        <v/>
      </c>
      <c r="E2590" t="str">
        <f>IFERROR(VLOOKUP(tbEscolas[[#This Row],[COD ETPA]],tbEtapas[],2,FALSE),"")</f>
        <v/>
      </c>
      <c r="F2590" t="str">
        <f>IFERROR(VLOOKUP(tbEscolas[[#This Row],[COD ETPA]],tbEtapas[],3,FALSE),"")</f>
        <v/>
      </c>
    </row>
    <row r="2591" spans="1:6" x14ac:dyDescent="0.25">
      <c r="A2591" s="24" t="str">
        <f>_xlfn.XLOOKUP(tbEscolas[[#This Row],[ESCOLA]],tbNucleo[ESCOLA],tbNucleo[COD ESCOLA],"")</f>
        <v/>
      </c>
      <c r="B2591" t="str" cm="1">
        <f t="array" ref="B2591">IFERROR(INDEX(tbNucleo[ESCOLA],ROUNDUP(ROW(B2590)/TotalEtapas,0)),"")</f>
        <v/>
      </c>
      <c r="E2591" t="str">
        <f>IFERROR(VLOOKUP(tbEscolas[[#This Row],[COD ETPA]],tbEtapas[],2,FALSE),"")</f>
        <v/>
      </c>
      <c r="F2591" t="str">
        <f>IFERROR(VLOOKUP(tbEscolas[[#This Row],[COD ETPA]],tbEtapas[],3,FALSE),"")</f>
        <v/>
      </c>
    </row>
    <row r="2592" spans="1:6" x14ac:dyDescent="0.25">
      <c r="A2592" s="24" t="str">
        <f>_xlfn.XLOOKUP(tbEscolas[[#This Row],[ESCOLA]],tbNucleo[ESCOLA],tbNucleo[COD ESCOLA],"")</f>
        <v/>
      </c>
      <c r="B2592" t="str" cm="1">
        <f t="array" ref="B2592">IFERROR(INDEX(tbNucleo[ESCOLA],ROUNDUP(ROW(B2591)/TotalEtapas,0)),"")</f>
        <v/>
      </c>
      <c r="E2592" t="str">
        <f>IFERROR(VLOOKUP(tbEscolas[[#This Row],[COD ETPA]],tbEtapas[],2,FALSE),"")</f>
        <v/>
      </c>
      <c r="F2592" t="str">
        <f>IFERROR(VLOOKUP(tbEscolas[[#This Row],[COD ETPA]],tbEtapas[],3,FALSE),"")</f>
        <v/>
      </c>
    </row>
    <row r="2593" spans="1:6" x14ac:dyDescent="0.25">
      <c r="A2593" s="24" t="str">
        <f>_xlfn.XLOOKUP(tbEscolas[[#This Row],[ESCOLA]],tbNucleo[ESCOLA],tbNucleo[COD ESCOLA],"")</f>
        <v/>
      </c>
      <c r="B2593" t="str" cm="1">
        <f t="array" ref="B2593">IFERROR(INDEX(tbNucleo[ESCOLA],ROUNDUP(ROW(B2592)/TotalEtapas,0)),"")</f>
        <v/>
      </c>
      <c r="E2593" t="str">
        <f>IFERROR(VLOOKUP(tbEscolas[[#This Row],[COD ETPA]],tbEtapas[],2,FALSE),"")</f>
        <v/>
      </c>
      <c r="F2593" t="str">
        <f>IFERROR(VLOOKUP(tbEscolas[[#This Row],[COD ETPA]],tbEtapas[],3,FALSE),"")</f>
        <v/>
      </c>
    </row>
    <row r="2594" spans="1:6" x14ac:dyDescent="0.25">
      <c r="A2594" s="24" t="str">
        <f>_xlfn.XLOOKUP(tbEscolas[[#This Row],[ESCOLA]],tbNucleo[ESCOLA],tbNucleo[COD ESCOLA],"")</f>
        <v/>
      </c>
      <c r="B2594" t="str" cm="1">
        <f t="array" ref="B2594">IFERROR(INDEX(tbNucleo[ESCOLA],ROUNDUP(ROW(B2593)/TotalEtapas,0)),"")</f>
        <v/>
      </c>
      <c r="E2594" t="str">
        <f>IFERROR(VLOOKUP(tbEscolas[[#This Row],[COD ETPA]],tbEtapas[],2,FALSE),"")</f>
        <v/>
      </c>
      <c r="F2594" t="str">
        <f>IFERROR(VLOOKUP(tbEscolas[[#This Row],[COD ETPA]],tbEtapas[],3,FALSE),"")</f>
        <v/>
      </c>
    </row>
    <row r="2595" spans="1:6" x14ac:dyDescent="0.25">
      <c r="A2595" s="24" t="str">
        <f>_xlfn.XLOOKUP(tbEscolas[[#This Row],[ESCOLA]],tbNucleo[ESCOLA],tbNucleo[COD ESCOLA],"")</f>
        <v/>
      </c>
      <c r="B2595" t="str" cm="1">
        <f t="array" ref="B2595">IFERROR(INDEX(tbNucleo[ESCOLA],ROUNDUP(ROW(B2594)/TotalEtapas,0)),"")</f>
        <v/>
      </c>
      <c r="E2595" t="str">
        <f>IFERROR(VLOOKUP(tbEscolas[[#This Row],[COD ETPA]],tbEtapas[],2,FALSE),"")</f>
        <v/>
      </c>
      <c r="F2595" t="str">
        <f>IFERROR(VLOOKUP(tbEscolas[[#This Row],[COD ETPA]],tbEtapas[],3,FALSE),"")</f>
        <v/>
      </c>
    </row>
    <row r="2596" spans="1:6" x14ac:dyDescent="0.25">
      <c r="A2596" s="24" t="str">
        <f>_xlfn.XLOOKUP(tbEscolas[[#This Row],[ESCOLA]],tbNucleo[ESCOLA],tbNucleo[COD ESCOLA],"")</f>
        <v/>
      </c>
      <c r="B2596" t="str" cm="1">
        <f t="array" ref="B2596">IFERROR(INDEX(tbNucleo[ESCOLA],ROUNDUP(ROW(B2595)/TotalEtapas,0)),"")</f>
        <v/>
      </c>
      <c r="E2596" t="str">
        <f>IFERROR(VLOOKUP(tbEscolas[[#This Row],[COD ETPA]],tbEtapas[],2,FALSE),"")</f>
        <v/>
      </c>
      <c r="F2596" t="str">
        <f>IFERROR(VLOOKUP(tbEscolas[[#This Row],[COD ETPA]],tbEtapas[],3,FALSE),"")</f>
        <v/>
      </c>
    </row>
    <row r="2597" spans="1:6" x14ac:dyDescent="0.25">
      <c r="A2597" s="24" t="str">
        <f>_xlfn.XLOOKUP(tbEscolas[[#This Row],[ESCOLA]],tbNucleo[ESCOLA],tbNucleo[COD ESCOLA],"")</f>
        <v/>
      </c>
      <c r="B2597" t="str" cm="1">
        <f t="array" ref="B2597">IFERROR(INDEX(tbNucleo[ESCOLA],ROUNDUP(ROW(B2596)/TotalEtapas,0)),"")</f>
        <v/>
      </c>
      <c r="E2597" t="str">
        <f>IFERROR(VLOOKUP(tbEscolas[[#This Row],[COD ETPA]],tbEtapas[],2,FALSE),"")</f>
        <v/>
      </c>
      <c r="F2597" t="str">
        <f>IFERROR(VLOOKUP(tbEscolas[[#This Row],[COD ETPA]],tbEtapas[],3,FALSE),"")</f>
        <v/>
      </c>
    </row>
    <row r="2598" spans="1:6" x14ac:dyDescent="0.25">
      <c r="A2598" s="24" t="str">
        <f>_xlfn.XLOOKUP(tbEscolas[[#This Row],[ESCOLA]],tbNucleo[ESCOLA],tbNucleo[COD ESCOLA],"")</f>
        <v/>
      </c>
      <c r="B2598" t="str" cm="1">
        <f t="array" ref="B2598">IFERROR(INDEX(tbNucleo[ESCOLA],ROUNDUP(ROW(B2597)/TotalEtapas,0)),"")</f>
        <v/>
      </c>
      <c r="E2598" t="str">
        <f>IFERROR(VLOOKUP(tbEscolas[[#This Row],[COD ETPA]],tbEtapas[],2,FALSE),"")</f>
        <v/>
      </c>
      <c r="F2598" t="str">
        <f>IFERROR(VLOOKUP(tbEscolas[[#This Row],[COD ETPA]],tbEtapas[],3,FALSE),"")</f>
        <v/>
      </c>
    </row>
    <row r="2599" spans="1:6" x14ac:dyDescent="0.25">
      <c r="A2599" s="24" t="str">
        <f>_xlfn.XLOOKUP(tbEscolas[[#This Row],[ESCOLA]],tbNucleo[ESCOLA],tbNucleo[COD ESCOLA],"")</f>
        <v/>
      </c>
      <c r="B2599" t="str" cm="1">
        <f t="array" ref="B2599">IFERROR(INDEX(tbNucleo[ESCOLA],ROUNDUP(ROW(B2598)/TotalEtapas,0)),"")</f>
        <v/>
      </c>
      <c r="E2599" t="str">
        <f>IFERROR(VLOOKUP(tbEscolas[[#This Row],[COD ETPA]],tbEtapas[],2,FALSE),"")</f>
        <v/>
      </c>
      <c r="F2599" t="str">
        <f>IFERROR(VLOOKUP(tbEscolas[[#This Row],[COD ETPA]],tbEtapas[],3,FALSE),"")</f>
        <v/>
      </c>
    </row>
    <row r="2600" spans="1:6" x14ac:dyDescent="0.25">
      <c r="A2600" s="24" t="str">
        <f>_xlfn.XLOOKUP(tbEscolas[[#This Row],[ESCOLA]],tbNucleo[ESCOLA],tbNucleo[COD ESCOLA],"")</f>
        <v/>
      </c>
      <c r="B2600" t="str" cm="1">
        <f t="array" ref="B2600">IFERROR(INDEX(tbNucleo[ESCOLA],ROUNDUP(ROW(B2599)/TotalEtapas,0)),"")</f>
        <v/>
      </c>
      <c r="E2600" t="str">
        <f>IFERROR(VLOOKUP(tbEscolas[[#This Row],[COD ETPA]],tbEtapas[],2,FALSE),"")</f>
        <v/>
      </c>
      <c r="F2600" t="str">
        <f>IFERROR(VLOOKUP(tbEscolas[[#This Row],[COD ETPA]],tbEtapas[],3,FALSE),"")</f>
        <v/>
      </c>
    </row>
    <row r="2601" spans="1:6" x14ac:dyDescent="0.25">
      <c r="A2601" s="24" t="str">
        <f>_xlfn.XLOOKUP(tbEscolas[[#This Row],[ESCOLA]],tbNucleo[ESCOLA],tbNucleo[COD ESCOLA],"")</f>
        <v/>
      </c>
      <c r="B2601" t="str" cm="1">
        <f t="array" ref="B2601">IFERROR(INDEX(tbNucleo[ESCOLA],ROUNDUP(ROW(B2600)/TotalEtapas,0)),"")</f>
        <v/>
      </c>
      <c r="E2601" t="str">
        <f>IFERROR(VLOOKUP(tbEscolas[[#This Row],[COD ETPA]],tbEtapas[],2,FALSE),"")</f>
        <v/>
      </c>
      <c r="F2601" t="str">
        <f>IFERROR(VLOOKUP(tbEscolas[[#This Row],[COD ETPA]],tbEtapas[],3,FALSE),"")</f>
        <v/>
      </c>
    </row>
    <row r="2602" spans="1:6" x14ac:dyDescent="0.25">
      <c r="A2602" s="24" t="str">
        <f>_xlfn.XLOOKUP(tbEscolas[[#This Row],[ESCOLA]],tbNucleo[ESCOLA],tbNucleo[COD ESCOLA],"")</f>
        <v/>
      </c>
      <c r="B2602" t="str" cm="1">
        <f t="array" ref="B2602">IFERROR(INDEX(tbNucleo[ESCOLA],ROUNDUP(ROW(B2601)/TotalEtapas,0)),"")</f>
        <v/>
      </c>
      <c r="E2602" t="str">
        <f>IFERROR(VLOOKUP(tbEscolas[[#This Row],[COD ETPA]],tbEtapas[],2,FALSE),"")</f>
        <v/>
      </c>
      <c r="F2602" t="str">
        <f>IFERROR(VLOOKUP(tbEscolas[[#This Row],[COD ETPA]],tbEtapas[],3,FALSE),"")</f>
        <v/>
      </c>
    </row>
    <row r="2603" spans="1:6" x14ac:dyDescent="0.25">
      <c r="A2603" s="24" t="str">
        <f>_xlfn.XLOOKUP(tbEscolas[[#This Row],[ESCOLA]],tbNucleo[ESCOLA],tbNucleo[COD ESCOLA],"")</f>
        <v/>
      </c>
      <c r="B2603" t="str" cm="1">
        <f t="array" ref="B2603">IFERROR(INDEX(tbNucleo[ESCOLA],ROUNDUP(ROW(B2602)/TotalEtapas,0)),"")</f>
        <v/>
      </c>
      <c r="E2603" t="str">
        <f>IFERROR(VLOOKUP(tbEscolas[[#This Row],[COD ETPA]],tbEtapas[],2,FALSE),"")</f>
        <v/>
      </c>
      <c r="F2603" t="str">
        <f>IFERROR(VLOOKUP(tbEscolas[[#This Row],[COD ETPA]],tbEtapas[],3,FALSE),"")</f>
        <v/>
      </c>
    </row>
    <row r="2604" spans="1:6" x14ac:dyDescent="0.25">
      <c r="A2604" s="24" t="str">
        <f>_xlfn.XLOOKUP(tbEscolas[[#This Row],[ESCOLA]],tbNucleo[ESCOLA],tbNucleo[COD ESCOLA],"")</f>
        <v/>
      </c>
      <c r="B2604" t="str" cm="1">
        <f t="array" ref="B2604">IFERROR(INDEX(tbNucleo[ESCOLA],ROUNDUP(ROW(B2603)/TotalEtapas,0)),"")</f>
        <v/>
      </c>
      <c r="E2604" t="str">
        <f>IFERROR(VLOOKUP(tbEscolas[[#This Row],[COD ETPA]],tbEtapas[],2,FALSE),"")</f>
        <v/>
      </c>
      <c r="F2604" t="str">
        <f>IFERROR(VLOOKUP(tbEscolas[[#This Row],[COD ETPA]],tbEtapas[],3,FALSE),"")</f>
        <v/>
      </c>
    </row>
    <row r="2605" spans="1:6" x14ac:dyDescent="0.25">
      <c r="A2605" s="24" t="str">
        <f>_xlfn.XLOOKUP(tbEscolas[[#This Row],[ESCOLA]],tbNucleo[ESCOLA],tbNucleo[COD ESCOLA],"")</f>
        <v/>
      </c>
      <c r="B2605" t="str" cm="1">
        <f t="array" ref="B2605">IFERROR(INDEX(tbNucleo[ESCOLA],ROUNDUP(ROW(B2604)/TotalEtapas,0)),"")</f>
        <v/>
      </c>
      <c r="E2605" t="str">
        <f>IFERROR(VLOOKUP(tbEscolas[[#This Row],[COD ETPA]],tbEtapas[],2,FALSE),"")</f>
        <v/>
      </c>
      <c r="F2605" t="str">
        <f>IFERROR(VLOOKUP(tbEscolas[[#This Row],[COD ETPA]],tbEtapas[],3,FALSE),"")</f>
        <v/>
      </c>
    </row>
    <row r="2606" spans="1:6" x14ac:dyDescent="0.25">
      <c r="A2606" s="24" t="str">
        <f>_xlfn.XLOOKUP(tbEscolas[[#This Row],[ESCOLA]],tbNucleo[ESCOLA],tbNucleo[COD ESCOLA],"")</f>
        <v/>
      </c>
      <c r="B2606" t="str" cm="1">
        <f t="array" ref="B2606">IFERROR(INDEX(tbNucleo[ESCOLA],ROUNDUP(ROW(B2605)/TotalEtapas,0)),"")</f>
        <v/>
      </c>
      <c r="E2606" t="str">
        <f>IFERROR(VLOOKUP(tbEscolas[[#This Row],[COD ETPA]],tbEtapas[],2,FALSE),"")</f>
        <v/>
      </c>
      <c r="F2606" t="str">
        <f>IFERROR(VLOOKUP(tbEscolas[[#This Row],[COD ETPA]],tbEtapas[],3,FALSE),"")</f>
        <v/>
      </c>
    </row>
    <row r="2607" spans="1:6" x14ac:dyDescent="0.25">
      <c r="A2607" s="24" t="str">
        <f>_xlfn.XLOOKUP(tbEscolas[[#This Row],[ESCOLA]],tbNucleo[ESCOLA],tbNucleo[COD ESCOLA],"")</f>
        <v/>
      </c>
      <c r="B2607" t="str" cm="1">
        <f t="array" ref="B2607">IFERROR(INDEX(tbNucleo[ESCOLA],ROUNDUP(ROW(B2606)/TotalEtapas,0)),"")</f>
        <v/>
      </c>
      <c r="E2607" t="str">
        <f>IFERROR(VLOOKUP(tbEscolas[[#This Row],[COD ETPA]],tbEtapas[],2,FALSE),"")</f>
        <v/>
      </c>
      <c r="F2607" t="str">
        <f>IFERROR(VLOOKUP(tbEscolas[[#This Row],[COD ETPA]],tbEtapas[],3,FALSE),"")</f>
        <v/>
      </c>
    </row>
    <row r="2608" spans="1:6" x14ac:dyDescent="0.25">
      <c r="A2608" s="24" t="str">
        <f>_xlfn.XLOOKUP(tbEscolas[[#This Row],[ESCOLA]],tbNucleo[ESCOLA],tbNucleo[COD ESCOLA],"")</f>
        <v/>
      </c>
      <c r="B2608" t="str" cm="1">
        <f t="array" ref="B2608">IFERROR(INDEX(tbNucleo[ESCOLA],ROUNDUP(ROW(B2607)/TotalEtapas,0)),"")</f>
        <v/>
      </c>
      <c r="E2608" t="str">
        <f>IFERROR(VLOOKUP(tbEscolas[[#This Row],[COD ETPA]],tbEtapas[],2,FALSE),"")</f>
        <v/>
      </c>
      <c r="F2608" t="str">
        <f>IFERROR(VLOOKUP(tbEscolas[[#This Row],[COD ETPA]],tbEtapas[],3,FALSE),"")</f>
        <v/>
      </c>
    </row>
    <row r="2609" spans="1:6" x14ac:dyDescent="0.25">
      <c r="A2609" s="24" t="str">
        <f>_xlfn.XLOOKUP(tbEscolas[[#This Row],[ESCOLA]],tbNucleo[ESCOLA],tbNucleo[COD ESCOLA],"")</f>
        <v/>
      </c>
      <c r="B2609" t="str" cm="1">
        <f t="array" ref="B2609">IFERROR(INDEX(tbNucleo[ESCOLA],ROUNDUP(ROW(B2608)/TotalEtapas,0)),"")</f>
        <v/>
      </c>
      <c r="E2609" t="str">
        <f>IFERROR(VLOOKUP(tbEscolas[[#This Row],[COD ETPA]],tbEtapas[],2,FALSE),"")</f>
        <v/>
      </c>
      <c r="F2609" t="str">
        <f>IFERROR(VLOOKUP(tbEscolas[[#This Row],[COD ETPA]],tbEtapas[],3,FALSE),"")</f>
        <v/>
      </c>
    </row>
    <row r="2610" spans="1:6" x14ac:dyDescent="0.25">
      <c r="A2610" s="24" t="str">
        <f>_xlfn.XLOOKUP(tbEscolas[[#This Row],[ESCOLA]],tbNucleo[ESCOLA],tbNucleo[COD ESCOLA],"")</f>
        <v/>
      </c>
      <c r="B2610" t="str" cm="1">
        <f t="array" ref="B2610">IFERROR(INDEX(tbNucleo[ESCOLA],ROUNDUP(ROW(B2609)/TotalEtapas,0)),"")</f>
        <v/>
      </c>
      <c r="E2610" t="str">
        <f>IFERROR(VLOOKUP(tbEscolas[[#This Row],[COD ETPA]],tbEtapas[],2,FALSE),"")</f>
        <v/>
      </c>
      <c r="F2610" t="str">
        <f>IFERROR(VLOOKUP(tbEscolas[[#This Row],[COD ETPA]],tbEtapas[],3,FALSE),"")</f>
        <v/>
      </c>
    </row>
    <row r="2611" spans="1:6" x14ac:dyDescent="0.25">
      <c r="A2611" s="24" t="str">
        <f>_xlfn.XLOOKUP(tbEscolas[[#This Row],[ESCOLA]],tbNucleo[ESCOLA],tbNucleo[COD ESCOLA],"")</f>
        <v/>
      </c>
      <c r="B2611" t="str" cm="1">
        <f t="array" ref="B2611">IFERROR(INDEX(tbNucleo[ESCOLA],ROUNDUP(ROW(B2610)/TotalEtapas,0)),"")</f>
        <v/>
      </c>
      <c r="E2611" t="str">
        <f>IFERROR(VLOOKUP(tbEscolas[[#This Row],[COD ETPA]],tbEtapas[],2,FALSE),"")</f>
        <v/>
      </c>
      <c r="F2611" t="str">
        <f>IFERROR(VLOOKUP(tbEscolas[[#This Row],[COD ETPA]],tbEtapas[],3,FALSE),"")</f>
        <v/>
      </c>
    </row>
    <row r="2612" spans="1:6" x14ac:dyDescent="0.25">
      <c r="A2612" s="24" t="str">
        <f>_xlfn.XLOOKUP(tbEscolas[[#This Row],[ESCOLA]],tbNucleo[ESCOLA],tbNucleo[COD ESCOLA],"")</f>
        <v/>
      </c>
      <c r="B2612" t="str" cm="1">
        <f t="array" ref="B2612">IFERROR(INDEX(tbNucleo[ESCOLA],ROUNDUP(ROW(B2611)/TotalEtapas,0)),"")</f>
        <v/>
      </c>
      <c r="E2612" t="str">
        <f>IFERROR(VLOOKUP(tbEscolas[[#This Row],[COD ETPA]],tbEtapas[],2,FALSE),"")</f>
        <v/>
      </c>
      <c r="F2612" t="str">
        <f>IFERROR(VLOOKUP(tbEscolas[[#This Row],[COD ETPA]],tbEtapas[],3,FALSE),"")</f>
        <v/>
      </c>
    </row>
    <row r="2613" spans="1:6" x14ac:dyDescent="0.25">
      <c r="A2613" s="24" t="str">
        <f>_xlfn.XLOOKUP(tbEscolas[[#This Row],[ESCOLA]],tbNucleo[ESCOLA],tbNucleo[COD ESCOLA],"")</f>
        <v/>
      </c>
      <c r="B2613" t="str" cm="1">
        <f t="array" ref="B2613">IFERROR(INDEX(tbNucleo[ESCOLA],ROUNDUP(ROW(B2612)/TotalEtapas,0)),"")</f>
        <v/>
      </c>
      <c r="E2613" t="str">
        <f>IFERROR(VLOOKUP(tbEscolas[[#This Row],[COD ETPA]],tbEtapas[],2,FALSE),"")</f>
        <v/>
      </c>
      <c r="F2613" t="str">
        <f>IFERROR(VLOOKUP(tbEscolas[[#This Row],[COD ETPA]],tbEtapas[],3,FALSE),"")</f>
        <v/>
      </c>
    </row>
    <row r="2614" spans="1:6" x14ac:dyDescent="0.25">
      <c r="A2614" s="24" t="str">
        <f>_xlfn.XLOOKUP(tbEscolas[[#This Row],[ESCOLA]],tbNucleo[ESCOLA],tbNucleo[COD ESCOLA],"")</f>
        <v/>
      </c>
      <c r="B2614" t="str" cm="1">
        <f t="array" ref="B2614">IFERROR(INDEX(tbNucleo[ESCOLA],ROUNDUP(ROW(B2613)/TotalEtapas,0)),"")</f>
        <v/>
      </c>
      <c r="E2614" t="str">
        <f>IFERROR(VLOOKUP(tbEscolas[[#This Row],[COD ETPA]],tbEtapas[],2,FALSE),"")</f>
        <v/>
      </c>
      <c r="F2614" t="str">
        <f>IFERROR(VLOOKUP(tbEscolas[[#This Row],[COD ETPA]],tbEtapas[],3,FALSE),"")</f>
        <v/>
      </c>
    </row>
    <row r="2615" spans="1:6" x14ac:dyDescent="0.25">
      <c r="A2615" s="24" t="str">
        <f>_xlfn.XLOOKUP(tbEscolas[[#This Row],[ESCOLA]],tbNucleo[ESCOLA],tbNucleo[COD ESCOLA],"")</f>
        <v/>
      </c>
      <c r="B2615" t="str" cm="1">
        <f t="array" ref="B2615">IFERROR(INDEX(tbNucleo[ESCOLA],ROUNDUP(ROW(B2614)/TotalEtapas,0)),"")</f>
        <v/>
      </c>
      <c r="E2615" t="str">
        <f>IFERROR(VLOOKUP(tbEscolas[[#This Row],[COD ETPA]],tbEtapas[],2,FALSE),"")</f>
        <v/>
      </c>
      <c r="F2615" t="str">
        <f>IFERROR(VLOOKUP(tbEscolas[[#This Row],[COD ETPA]],tbEtapas[],3,FALSE),"")</f>
        <v/>
      </c>
    </row>
    <row r="2616" spans="1:6" x14ac:dyDescent="0.25">
      <c r="A2616" s="24" t="str">
        <f>_xlfn.XLOOKUP(tbEscolas[[#This Row],[ESCOLA]],tbNucleo[ESCOLA],tbNucleo[COD ESCOLA],"")</f>
        <v/>
      </c>
      <c r="B2616" t="str" cm="1">
        <f t="array" ref="B2616">IFERROR(INDEX(tbNucleo[ESCOLA],ROUNDUP(ROW(B2615)/TotalEtapas,0)),"")</f>
        <v/>
      </c>
      <c r="E2616" t="str">
        <f>IFERROR(VLOOKUP(tbEscolas[[#This Row],[COD ETPA]],tbEtapas[],2,FALSE),"")</f>
        <v/>
      </c>
      <c r="F2616" t="str">
        <f>IFERROR(VLOOKUP(tbEscolas[[#This Row],[COD ETPA]],tbEtapas[],3,FALSE),"")</f>
        <v/>
      </c>
    </row>
    <row r="2617" spans="1:6" x14ac:dyDescent="0.25">
      <c r="A2617" s="24" t="str">
        <f>_xlfn.XLOOKUP(tbEscolas[[#This Row],[ESCOLA]],tbNucleo[ESCOLA],tbNucleo[COD ESCOLA],"")</f>
        <v/>
      </c>
      <c r="B2617" t="str" cm="1">
        <f t="array" ref="B2617">IFERROR(INDEX(tbNucleo[ESCOLA],ROUNDUP(ROW(B2616)/TotalEtapas,0)),"")</f>
        <v/>
      </c>
      <c r="E2617" t="str">
        <f>IFERROR(VLOOKUP(tbEscolas[[#This Row],[COD ETPA]],tbEtapas[],2,FALSE),"")</f>
        <v/>
      </c>
      <c r="F2617" t="str">
        <f>IFERROR(VLOOKUP(tbEscolas[[#This Row],[COD ETPA]],tbEtapas[],3,FALSE),"")</f>
        <v/>
      </c>
    </row>
    <row r="2618" spans="1:6" x14ac:dyDescent="0.25">
      <c r="A2618" s="24" t="str">
        <f>_xlfn.XLOOKUP(tbEscolas[[#This Row],[ESCOLA]],tbNucleo[ESCOLA],tbNucleo[COD ESCOLA],"")</f>
        <v/>
      </c>
      <c r="B2618" t="str" cm="1">
        <f t="array" ref="B2618">IFERROR(INDEX(tbNucleo[ESCOLA],ROUNDUP(ROW(B2617)/TotalEtapas,0)),"")</f>
        <v/>
      </c>
      <c r="E2618" t="str">
        <f>IFERROR(VLOOKUP(tbEscolas[[#This Row],[COD ETPA]],tbEtapas[],2,FALSE),"")</f>
        <v/>
      </c>
      <c r="F2618" t="str">
        <f>IFERROR(VLOOKUP(tbEscolas[[#This Row],[COD ETPA]],tbEtapas[],3,FALSE),"")</f>
        <v/>
      </c>
    </row>
    <row r="2619" spans="1:6" x14ac:dyDescent="0.25">
      <c r="A2619" s="24" t="str">
        <f>_xlfn.XLOOKUP(tbEscolas[[#This Row],[ESCOLA]],tbNucleo[ESCOLA],tbNucleo[COD ESCOLA],"")</f>
        <v/>
      </c>
      <c r="B2619" t="str" cm="1">
        <f t="array" ref="B2619">IFERROR(INDEX(tbNucleo[ESCOLA],ROUNDUP(ROW(B2618)/TotalEtapas,0)),"")</f>
        <v/>
      </c>
      <c r="E2619" t="str">
        <f>IFERROR(VLOOKUP(tbEscolas[[#This Row],[COD ETPA]],tbEtapas[],2,FALSE),"")</f>
        <v/>
      </c>
      <c r="F2619" t="str">
        <f>IFERROR(VLOOKUP(tbEscolas[[#This Row],[COD ETPA]],tbEtapas[],3,FALSE),"")</f>
        <v/>
      </c>
    </row>
    <row r="2620" spans="1:6" x14ac:dyDescent="0.25">
      <c r="A2620" s="24" t="str">
        <f>_xlfn.XLOOKUP(tbEscolas[[#This Row],[ESCOLA]],tbNucleo[ESCOLA],tbNucleo[COD ESCOLA],"")</f>
        <v/>
      </c>
      <c r="B2620" t="str" cm="1">
        <f t="array" ref="B2620">IFERROR(INDEX(tbNucleo[ESCOLA],ROUNDUP(ROW(B2619)/TotalEtapas,0)),"")</f>
        <v/>
      </c>
      <c r="E2620" t="str">
        <f>IFERROR(VLOOKUP(tbEscolas[[#This Row],[COD ETPA]],tbEtapas[],2,FALSE),"")</f>
        <v/>
      </c>
      <c r="F2620" t="str">
        <f>IFERROR(VLOOKUP(tbEscolas[[#This Row],[COD ETPA]],tbEtapas[],3,FALSE),"")</f>
        <v/>
      </c>
    </row>
    <row r="2621" spans="1:6" x14ac:dyDescent="0.25">
      <c r="A2621" s="24" t="str">
        <f>_xlfn.XLOOKUP(tbEscolas[[#This Row],[ESCOLA]],tbNucleo[ESCOLA],tbNucleo[COD ESCOLA],"")</f>
        <v/>
      </c>
      <c r="B2621" t="str" cm="1">
        <f t="array" ref="B2621">IFERROR(INDEX(tbNucleo[ESCOLA],ROUNDUP(ROW(B2620)/TotalEtapas,0)),"")</f>
        <v/>
      </c>
      <c r="E2621" t="str">
        <f>IFERROR(VLOOKUP(tbEscolas[[#This Row],[COD ETPA]],tbEtapas[],2,FALSE),"")</f>
        <v/>
      </c>
      <c r="F2621" t="str">
        <f>IFERROR(VLOOKUP(tbEscolas[[#This Row],[COD ETPA]],tbEtapas[],3,FALSE),"")</f>
        <v/>
      </c>
    </row>
    <row r="2622" spans="1:6" x14ac:dyDescent="0.25">
      <c r="A2622" s="24" t="str">
        <f>_xlfn.XLOOKUP(tbEscolas[[#This Row],[ESCOLA]],tbNucleo[ESCOLA],tbNucleo[COD ESCOLA],"")</f>
        <v/>
      </c>
      <c r="B2622" t="str" cm="1">
        <f t="array" ref="B2622">IFERROR(INDEX(tbNucleo[ESCOLA],ROUNDUP(ROW(B2621)/TotalEtapas,0)),"")</f>
        <v/>
      </c>
      <c r="E2622" t="str">
        <f>IFERROR(VLOOKUP(tbEscolas[[#This Row],[COD ETPA]],tbEtapas[],2,FALSE),"")</f>
        <v/>
      </c>
      <c r="F2622" t="str">
        <f>IFERROR(VLOOKUP(tbEscolas[[#This Row],[COD ETPA]],tbEtapas[],3,FALSE),"")</f>
        <v/>
      </c>
    </row>
    <row r="2623" spans="1:6" x14ac:dyDescent="0.25">
      <c r="A2623" s="24" t="str">
        <f>_xlfn.XLOOKUP(tbEscolas[[#This Row],[ESCOLA]],tbNucleo[ESCOLA],tbNucleo[COD ESCOLA],"")</f>
        <v/>
      </c>
      <c r="B2623" t="str" cm="1">
        <f t="array" ref="B2623">IFERROR(INDEX(tbNucleo[ESCOLA],ROUNDUP(ROW(B2622)/TotalEtapas,0)),"")</f>
        <v/>
      </c>
      <c r="E2623" t="str">
        <f>IFERROR(VLOOKUP(tbEscolas[[#This Row],[COD ETPA]],tbEtapas[],2,FALSE),"")</f>
        <v/>
      </c>
      <c r="F2623" t="str">
        <f>IFERROR(VLOOKUP(tbEscolas[[#This Row],[COD ETPA]],tbEtapas[],3,FALSE),"")</f>
        <v/>
      </c>
    </row>
    <row r="2624" spans="1:6" x14ac:dyDescent="0.25">
      <c r="A2624" s="24" t="str">
        <f>_xlfn.XLOOKUP(tbEscolas[[#This Row],[ESCOLA]],tbNucleo[ESCOLA],tbNucleo[COD ESCOLA],"")</f>
        <v/>
      </c>
      <c r="B2624" t="str" cm="1">
        <f t="array" ref="B2624">IFERROR(INDEX(tbNucleo[ESCOLA],ROUNDUP(ROW(B2623)/TotalEtapas,0)),"")</f>
        <v/>
      </c>
      <c r="E2624" t="str">
        <f>IFERROR(VLOOKUP(tbEscolas[[#This Row],[COD ETPA]],tbEtapas[],2,FALSE),"")</f>
        <v/>
      </c>
      <c r="F2624" t="str">
        <f>IFERROR(VLOOKUP(tbEscolas[[#This Row],[COD ETPA]],tbEtapas[],3,FALSE),"")</f>
        <v/>
      </c>
    </row>
    <row r="2625" spans="1:6" x14ac:dyDescent="0.25">
      <c r="A2625" s="24" t="str">
        <f>_xlfn.XLOOKUP(tbEscolas[[#This Row],[ESCOLA]],tbNucleo[ESCOLA],tbNucleo[COD ESCOLA],"")</f>
        <v/>
      </c>
      <c r="B2625" t="str" cm="1">
        <f t="array" ref="B2625">IFERROR(INDEX(tbNucleo[ESCOLA],ROUNDUP(ROW(B2624)/TotalEtapas,0)),"")</f>
        <v/>
      </c>
      <c r="E2625" t="str">
        <f>IFERROR(VLOOKUP(tbEscolas[[#This Row],[COD ETPA]],tbEtapas[],2,FALSE),"")</f>
        <v/>
      </c>
      <c r="F2625" t="str">
        <f>IFERROR(VLOOKUP(tbEscolas[[#This Row],[COD ETPA]],tbEtapas[],3,FALSE),"")</f>
        <v/>
      </c>
    </row>
    <row r="2626" spans="1:6" x14ac:dyDescent="0.25">
      <c r="A2626" s="24" t="str">
        <f>_xlfn.XLOOKUP(tbEscolas[[#This Row],[ESCOLA]],tbNucleo[ESCOLA],tbNucleo[COD ESCOLA],"")</f>
        <v/>
      </c>
      <c r="B2626" t="str" cm="1">
        <f t="array" ref="B2626">IFERROR(INDEX(tbNucleo[ESCOLA],ROUNDUP(ROW(B2625)/TotalEtapas,0)),"")</f>
        <v/>
      </c>
      <c r="E2626" t="str">
        <f>IFERROR(VLOOKUP(tbEscolas[[#This Row],[COD ETPA]],tbEtapas[],2,FALSE),"")</f>
        <v/>
      </c>
      <c r="F2626" t="str">
        <f>IFERROR(VLOOKUP(tbEscolas[[#This Row],[COD ETPA]],tbEtapas[],3,FALSE),"")</f>
        <v/>
      </c>
    </row>
    <row r="2627" spans="1:6" x14ac:dyDescent="0.25">
      <c r="A2627" s="24" t="str">
        <f>_xlfn.XLOOKUP(tbEscolas[[#This Row],[ESCOLA]],tbNucleo[ESCOLA],tbNucleo[COD ESCOLA],"")</f>
        <v/>
      </c>
      <c r="B2627" t="str" cm="1">
        <f t="array" ref="B2627">IFERROR(INDEX(tbNucleo[ESCOLA],ROUNDUP(ROW(B2626)/TotalEtapas,0)),"")</f>
        <v/>
      </c>
      <c r="E2627" t="str">
        <f>IFERROR(VLOOKUP(tbEscolas[[#This Row],[COD ETPA]],tbEtapas[],2,FALSE),"")</f>
        <v/>
      </c>
      <c r="F2627" t="str">
        <f>IFERROR(VLOOKUP(tbEscolas[[#This Row],[COD ETPA]],tbEtapas[],3,FALSE),"")</f>
        <v/>
      </c>
    </row>
    <row r="2628" spans="1:6" x14ac:dyDescent="0.25">
      <c r="A2628" s="24" t="str">
        <f>_xlfn.XLOOKUP(tbEscolas[[#This Row],[ESCOLA]],tbNucleo[ESCOLA],tbNucleo[COD ESCOLA],"")</f>
        <v/>
      </c>
      <c r="B2628" t="str" cm="1">
        <f t="array" ref="B2628">IFERROR(INDEX(tbNucleo[ESCOLA],ROUNDUP(ROW(B2627)/TotalEtapas,0)),"")</f>
        <v/>
      </c>
      <c r="E2628" t="str">
        <f>IFERROR(VLOOKUP(tbEscolas[[#This Row],[COD ETPA]],tbEtapas[],2,FALSE),"")</f>
        <v/>
      </c>
      <c r="F2628" t="str">
        <f>IFERROR(VLOOKUP(tbEscolas[[#This Row],[COD ETPA]],tbEtapas[],3,FALSE),"")</f>
        <v/>
      </c>
    </row>
    <row r="2629" spans="1:6" x14ac:dyDescent="0.25">
      <c r="A2629" s="24" t="str">
        <f>_xlfn.XLOOKUP(tbEscolas[[#This Row],[ESCOLA]],tbNucleo[ESCOLA],tbNucleo[COD ESCOLA],"")</f>
        <v/>
      </c>
      <c r="B2629" t="str" cm="1">
        <f t="array" ref="B2629">IFERROR(INDEX(tbNucleo[ESCOLA],ROUNDUP(ROW(B2628)/TotalEtapas,0)),"")</f>
        <v/>
      </c>
      <c r="E2629" t="str">
        <f>IFERROR(VLOOKUP(tbEscolas[[#This Row],[COD ETPA]],tbEtapas[],2,FALSE),"")</f>
        <v/>
      </c>
      <c r="F2629" t="str">
        <f>IFERROR(VLOOKUP(tbEscolas[[#This Row],[COD ETPA]],tbEtapas[],3,FALSE),"")</f>
        <v/>
      </c>
    </row>
    <row r="2630" spans="1:6" x14ac:dyDescent="0.25">
      <c r="A2630" s="24" t="str">
        <f>_xlfn.XLOOKUP(tbEscolas[[#This Row],[ESCOLA]],tbNucleo[ESCOLA],tbNucleo[COD ESCOLA],"")</f>
        <v/>
      </c>
      <c r="B2630" t="str" cm="1">
        <f t="array" ref="B2630">IFERROR(INDEX(tbNucleo[ESCOLA],ROUNDUP(ROW(B2629)/TotalEtapas,0)),"")</f>
        <v/>
      </c>
      <c r="E2630" t="str">
        <f>IFERROR(VLOOKUP(tbEscolas[[#This Row],[COD ETPA]],tbEtapas[],2,FALSE),"")</f>
        <v/>
      </c>
      <c r="F2630" t="str">
        <f>IFERROR(VLOOKUP(tbEscolas[[#This Row],[COD ETPA]],tbEtapas[],3,FALSE),"")</f>
        <v/>
      </c>
    </row>
    <row r="2631" spans="1:6" x14ac:dyDescent="0.25">
      <c r="A2631" s="24" t="str">
        <f>_xlfn.XLOOKUP(tbEscolas[[#This Row],[ESCOLA]],tbNucleo[ESCOLA],tbNucleo[COD ESCOLA],"")</f>
        <v/>
      </c>
      <c r="B2631" t="str" cm="1">
        <f t="array" ref="B2631">IFERROR(INDEX(tbNucleo[ESCOLA],ROUNDUP(ROW(B2630)/TotalEtapas,0)),"")</f>
        <v/>
      </c>
      <c r="E2631" t="str">
        <f>IFERROR(VLOOKUP(tbEscolas[[#This Row],[COD ETPA]],tbEtapas[],2,FALSE),"")</f>
        <v/>
      </c>
      <c r="F2631" t="str">
        <f>IFERROR(VLOOKUP(tbEscolas[[#This Row],[COD ETPA]],tbEtapas[],3,FALSE),"")</f>
        <v/>
      </c>
    </row>
    <row r="2632" spans="1:6" x14ac:dyDescent="0.25">
      <c r="A2632" s="24" t="str">
        <f>_xlfn.XLOOKUP(tbEscolas[[#This Row],[ESCOLA]],tbNucleo[ESCOLA],tbNucleo[COD ESCOLA],"")</f>
        <v/>
      </c>
      <c r="B2632" t="str" cm="1">
        <f t="array" ref="B2632">IFERROR(INDEX(tbNucleo[ESCOLA],ROUNDUP(ROW(B2631)/TotalEtapas,0)),"")</f>
        <v/>
      </c>
      <c r="E2632" t="str">
        <f>IFERROR(VLOOKUP(tbEscolas[[#This Row],[COD ETPA]],tbEtapas[],2,FALSE),"")</f>
        <v/>
      </c>
      <c r="F2632" t="str">
        <f>IFERROR(VLOOKUP(tbEscolas[[#This Row],[COD ETPA]],tbEtapas[],3,FALSE),"")</f>
        <v/>
      </c>
    </row>
    <row r="2633" spans="1:6" x14ac:dyDescent="0.25">
      <c r="A2633" s="24" t="str">
        <f>_xlfn.XLOOKUP(tbEscolas[[#This Row],[ESCOLA]],tbNucleo[ESCOLA],tbNucleo[COD ESCOLA],"")</f>
        <v/>
      </c>
      <c r="B2633" t="str" cm="1">
        <f t="array" ref="B2633">IFERROR(INDEX(tbNucleo[ESCOLA],ROUNDUP(ROW(B2632)/TotalEtapas,0)),"")</f>
        <v/>
      </c>
      <c r="E2633" t="str">
        <f>IFERROR(VLOOKUP(tbEscolas[[#This Row],[COD ETPA]],tbEtapas[],2,FALSE),"")</f>
        <v/>
      </c>
      <c r="F2633" t="str">
        <f>IFERROR(VLOOKUP(tbEscolas[[#This Row],[COD ETPA]],tbEtapas[],3,FALSE),"")</f>
        <v/>
      </c>
    </row>
    <row r="2634" spans="1:6" x14ac:dyDescent="0.25">
      <c r="A2634" s="24" t="str">
        <f>_xlfn.XLOOKUP(tbEscolas[[#This Row],[ESCOLA]],tbNucleo[ESCOLA],tbNucleo[COD ESCOLA],"")</f>
        <v/>
      </c>
      <c r="B2634" t="str" cm="1">
        <f t="array" ref="B2634">IFERROR(INDEX(tbNucleo[ESCOLA],ROUNDUP(ROW(B2633)/TotalEtapas,0)),"")</f>
        <v/>
      </c>
      <c r="E2634" t="str">
        <f>IFERROR(VLOOKUP(tbEscolas[[#This Row],[COD ETPA]],tbEtapas[],2,FALSE),"")</f>
        <v/>
      </c>
      <c r="F2634" t="str">
        <f>IFERROR(VLOOKUP(tbEscolas[[#This Row],[COD ETPA]],tbEtapas[],3,FALSE),"")</f>
        <v/>
      </c>
    </row>
    <row r="2635" spans="1:6" x14ac:dyDescent="0.25">
      <c r="A2635" s="24" t="str">
        <f>_xlfn.XLOOKUP(tbEscolas[[#This Row],[ESCOLA]],tbNucleo[ESCOLA],tbNucleo[COD ESCOLA],"")</f>
        <v/>
      </c>
      <c r="B2635" t="str" cm="1">
        <f t="array" ref="B2635">IFERROR(INDEX(tbNucleo[ESCOLA],ROUNDUP(ROW(B2634)/TotalEtapas,0)),"")</f>
        <v/>
      </c>
      <c r="E2635" t="str">
        <f>IFERROR(VLOOKUP(tbEscolas[[#This Row],[COD ETPA]],tbEtapas[],2,FALSE),"")</f>
        <v/>
      </c>
      <c r="F2635" t="str">
        <f>IFERROR(VLOOKUP(tbEscolas[[#This Row],[COD ETPA]],tbEtapas[],3,FALSE),"")</f>
        <v/>
      </c>
    </row>
    <row r="2636" spans="1:6" x14ac:dyDescent="0.25">
      <c r="A2636" s="24" t="str">
        <f>_xlfn.XLOOKUP(tbEscolas[[#This Row],[ESCOLA]],tbNucleo[ESCOLA],tbNucleo[COD ESCOLA],"")</f>
        <v/>
      </c>
      <c r="B2636" t="str" cm="1">
        <f t="array" ref="B2636">IFERROR(INDEX(tbNucleo[ESCOLA],ROUNDUP(ROW(B2635)/TotalEtapas,0)),"")</f>
        <v/>
      </c>
      <c r="E2636" t="str">
        <f>IFERROR(VLOOKUP(tbEscolas[[#This Row],[COD ETPA]],tbEtapas[],2,FALSE),"")</f>
        <v/>
      </c>
      <c r="F2636" t="str">
        <f>IFERROR(VLOOKUP(tbEscolas[[#This Row],[COD ETPA]],tbEtapas[],3,FALSE),"")</f>
        <v/>
      </c>
    </row>
    <row r="2637" spans="1:6" x14ac:dyDescent="0.25">
      <c r="A2637" s="24" t="str">
        <f>_xlfn.XLOOKUP(tbEscolas[[#This Row],[ESCOLA]],tbNucleo[ESCOLA],tbNucleo[COD ESCOLA],"")</f>
        <v/>
      </c>
      <c r="B2637" t="str" cm="1">
        <f t="array" ref="B2637">IFERROR(INDEX(tbNucleo[ESCOLA],ROUNDUP(ROW(B2636)/TotalEtapas,0)),"")</f>
        <v/>
      </c>
      <c r="E2637" t="str">
        <f>IFERROR(VLOOKUP(tbEscolas[[#This Row],[COD ETPA]],tbEtapas[],2,FALSE),"")</f>
        <v/>
      </c>
      <c r="F2637" t="str">
        <f>IFERROR(VLOOKUP(tbEscolas[[#This Row],[COD ETPA]],tbEtapas[],3,FALSE),"")</f>
        <v/>
      </c>
    </row>
    <row r="2638" spans="1:6" x14ac:dyDescent="0.25">
      <c r="A2638" s="24" t="str">
        <f>_xlfn.XLOOKUP(tbEscolas[[#This Row],[ESCOLA]],tbNucleo[ESCOLA],tbNucleo[COD ESCOLA],"")</f>
        <v/>
      </c>
      <c r="B2638" t="str" cm="1">
        <f t="array" ref="B2638">IFERROR(INDEX(tbNucleo[ESCOLA],ROUNDUP(ROW(B2637)/TotalEtapas,0)),"")</f>
        <v/>
      </c>
      <c r="E2638" t="str">
        <f>IFERROR(VLOOKUP(tbEscolas[[#This Row],[COD ETPA]],tbEtapas[],2,FALSE),"")</f>
        <v/>
      </c>
      <c r="F2638" t="str">
        <f>IFERROR(VLOOKUP(tbEscolas[[#This Row],[COD ETPA]],tbEtapas[],3,FALSE),"")</f>
        <v/>
      </c>
    </row>
    <row r="2639" spans="1:6" x14ac:dyDescent="0.25">
      <c r="A2639" s="24" t="str">
        <f>_xlfn.XLOOKUP(tbEscolas[[#This Row],[ESCOLA]],tbNucleo[ESCOLA],tbNucleo[COD ESCOLA],"")</f>
        <v/>
      </c>
      <c r="B2639" t="str" cm="1">
        <f t="array" ref="B2639">IFERROR(INDEX(tbNucleo[ESCOLA],ROUNDUP(ROW(B2638)/TotalEtapas,0)),"")</f>
        <v/>
      </c>
      <c r="E2639" t="str">
        <f>IFERROR(VLOOKUP(tbEscolas[[#This Row],[COD ETPA]],tbEtapas[],2,FALSE),"")</f>
        <v/>
      </c>
      <c r="F2639" t="str">
        <f>IFERROR(VLOOKUP(tbEscolas[[#This Row],[COD ETPA]],tbEtapas[],3,FALSE),"")</f>
        <v/>
      </c>
    </row>
    <row r="2640" spans="1:6" x14ac:dyDescent="0.25">
      <c r="A2640" s="24" t="str">
        <f>_xlfn.XLOOKUP(tbEscolas[[#This Row],[ESCOLA]],tbNucleo[ESCOLA],tbNucleo[COD ESCOLA],"")</f>
        <v/>
      </c>
      <c r="B2640" t="str" cm="1">
        <f t="array" ref="B2640">IFERROR(INDEX(tbNucleo[ESCOLA],ROUNDUP(ROW(B2639)/TotalEtapas,0)),"")</f>
        <v/>
      </c>
      <c r="E2640" t="str">
        <f>IFERROR(VLOOKUP(tbEscolas[[#This Row],[COD ETPA]],tbEtapas[],2,FALSE),"")</f>
        <v/>
      </c>
      <c r="F2640" t="str">
        <f>IFERROR(VLOOKUP(tbEscolas[[#This Row],[COD ETPA]],tbEtapas[],3,FALSE),"")</f>
        <v/>
      </c>
    </row>
    <row r="2641" spans="1:6" x14ac:dyDescent="0.25">
      <c r="A2641" s="24" t="str">
        <f>_xlfn.XLOOKUP(tbEscolas[[#This Row],[ESCOLA]],tbNucleo[ESCOLA],tbNucleo[COD ESCOLA],"")</f>
        <v/>
      </c>
      <c r="B2641" t="str" cm="1">
        <f t="array" ref="B2641">IFERROR(INDEX(tbNucleo[ESCOLA],ROUNDUP(ROW(B2640)/TotalEtapas,0)),"")</f>
        <v/>
      </c>
      <c r="E2641" t="str">
        <f>IFERROR(VLOOKUP(tbEscolas[[#This Row],[COD ETPA]],tbEtapas[],2,FALSE),"")</f>
        <v/>
      </c>
      <c r="F2641" t="str">
        <f>IFERROR(VLOOKUP(tbEscolas[[#This Row],[COD ETPA]],tbEtapas[],3,FALSE),"")</f>
        <v/>
      </c>
    </row>
    <row r="2642" spans="1:6" x14ac:dyDescent="0.25">
      <c r="A2642" s="24" t="str">
        <f>_xlfn.XLOOKUP(tbEscolas[[#This Row],[ESCOLA]],tbNucleo[ESCOLA],tbNucleo[COD ESCOLA],"")</f>
        <v/>
      </c>
      <c r="B2642" t="str" cm="1">
        <f t="array" ref="B2642">IFERROR(INDEX(tbNucleo[ESCOLA],ROUNDUP(ROW(B2641)/TotalEtapas,0)),"")</f>
        <v/>
      </c>
      <c r="E2642" t="str">
        <f>IFERROR(VLOOKUP(tbEscolas[[#This Row],[COD ETPA]],tbEtapas[],2,FALSE),"")</f>
        <v/>
      </c>
      <c r="F2642" t="str">
        <f>IFERROR(VLOOKUP(tbEscolas[[#This Row],[COD ETPA]],tbEtapas[],3,FALSE),"")</f>
        <v/>
      </c>
    </row>
    <row r="2643" spans="1:6" x14ac:dyDescent="0.25">
      <c r="A2643" s="24" t="str">
        <f>_xlfn.XLOOKUP(tbEscolas[[#This Row],[ESCOLA]],tbNucleo[ESCOLA],tbNucleo[COD ESCOLA],"")</f>
        <v/>
      </c>
      <c r="B2643" t="str" cm="1">
        <f t="array" ref="B2643">IFERROR(INDEX(tbNucleo[ESCOLA],ROUNDUP(ROW(B2642)/TotalEtapas,0)),"")</f>
        <v/>
      </c>
      <c r="E2643" t="str">
        <f>IFERROR(VLOOKUP(tbEscolas[[#This Row],[COD ETPA]],tbEtapas[],2,FALSE),"")</f>
        <v/>
      </c>
      <c r="F2643" t="str">
        <f>IFERROR(VLOOKUP(tbEscolas[[#This Row],[COD ETPA]],tbEtapas[],3,FALSE),"")</f>
        <v/>
      </c>
    </row>
    <row r="2644" spans="1:6" x14ac:dyDescent="0.25">
      <c r="A2644" s="24" t="str">
        <f>_xlfn.XLOOKUP(tbEscolas[[#This Row],[ESCOLA]],tbNucleo[ESCOLA],tbNucleo[COD ESCOLA],"")</f>
        <v/>
      </c>
      <c r="B2644" t="str" cm="1">
        <f t="array" ref="B2644">IFERROR(INDEX(tbNucleo[ESCOLA],ROUNDUP(ROW(B2643)/TotalEtapas,0)),"")</f>
        <v/>
      </c>
      <c r="E2644" t="str">
        <f>IFERROR(VLOOKUP(tbEscolas[[#This Row],[COD ETPA]],tbEtapas[],2,FALSE),"")</f>
        <v/>
      </c>
      <c r="F2644" t="str">
        <f>IFERROR(VLOOKUP(tbEscolas[[#This Row],[COD ETPA]],tbEtapas[],3,FALSE),"")</f>
        <v/>
      </c>
    </row>
    <row r="2645" spans="1:6" x14ac:dyDescent="0.25">
      <c r="A2645" s="24" t="str">
        <f>_xlfn.XLOOKUP(tbEscolas[[#This Row],[ESCOLA]],tbNucleo[ESCOLA],tbNucleo[COD ESCOLA],"")</f>
        <v/>
      </c>
      <c r="B2645" t="str" cm="1">
        <f t="array" ref="B2645">IFERROR(INDEX(tbNucleo[ESCOLA],ROUNDUP(ROW(B2644)/TotalEtapas,0)),"")</f>
        <v/>
      </c>
      <c r="E2645" t="str">
        <f>IFERROR(VLOOKUP(tbEscolas[[#This Row],[COD ETPA]],tbEtapas[],2,FALSE),"")</f>
        <v/>
      </c>
      <c r="F2645" t="str">
        <f>IFERROR(VLOOKUP(tbEscolas[[#This Row],[COD ETPA]],tbEtapas[],3,FALSE),"")</f>
        <v/>
      </c>
    </row>
    <row r="2646" spans="1:6" x14ac:dyDescent="0.25">
      <c r="A2646" s="24" t="str">
        <f>_xlfn.XLOOKUP(tbEscolas[[#This Row],[ESCOLA]],tbNucleo[ESCOLA],tbNucleo[COD ESCOLA],"")</f>
        <v/>
      </c>
      <c r="B2646" t="str" cm="1">
        <f t="array" ref="B2646">IFERROR(INDEX(tbNucleo[ESCOLA],ROUNDUP(ROW(B2645)/TotalEtapas,0)),"")</f>
        <v/>
      </c>
      <c r="E2646" t="str">
        <f>IFERROR(VLOOKUP(tbEscolas[[#This Row],[COD ETPA]],tbEtapas[],2,FALSE),"")</f>
        <v/>
      </c>
      <c r="F2646" t="str">
        <f>IFERROR(VLOOKUP(tbEscolas[[#This Row],[COD ETPA]],tbEtapas[],3,FALSE),"")</f>
        <v/>
      </c>
    </row>
    <row r="2647" spans="1:6" x14ac:dyDescent="0.25">
      <c r="A2647" s="24" t="str">
        <f>_xlfn.XLOOKUP(tbEscolas[[#This Row],[ESCOLA]],tbNucleo[ESCOLA],tbNucleo[COD ESCOLA],"")</f>
        <v/>
      </c>
      <c r="B2647" t="str" cm="1">
        <f t="array" ref="B2647">IFERROR(INDEX(tbNucleo[ESCOLA],ROUNDUP(ROW(B2646)/TotalEtapas,0)),"")</f>
        <v/>
      </c>
      <c r="E2647" t="str">
        <f>IFERROR(VLOOKUP(tbEscolas[[#This Row],[COD ETPA]],tbEtapas[],2,FALSE),"")</f>
        <v/>
      </c>
      <c r="F2647" t="str">
        <f>IFERROR(VLOOKUP(tbEscolas[[#This Row],[COD ETPA]],tbEtapas[],3,FALSE),"")</f>
        <v/>
      </c>
    </row>
    <row r="2648" spans="1:6" x14ac:dyDescent="0.25">
      <c r="A2648" s="24" t="str">
        <f>_xlfn.XLOOKUP(tbEscolas[[#This Row],[ESCOLA]],tbNucleo[ESCOLA],tbNucleo[COD ESCOLA],"")</f>
        <v/>
      </c>
      <c r="B2648" t="str" cm="1">
        <f t="array" ref="B2648">IFERROR(INDEX(tbNucleo[ESCOLA],ROUNDUP(ROW(B2647)/TotalEtapas,0)),"")</f>
        <v/>
      </c>
      <c r="E2648" t="str">
        <f>IFERROR(VLOOKUP(tbEscolas[[#This Row],[COD ETPA]],tbEtapas[],2,FALSE),"")</f>
        <v/>
      </c>
      <c r="F2648" t="str">
        <f>IFERROR(VLOOKUP(tbEscolas[[#This Row],[COD ETPA]],tbEtapas[],3,FALSE),"")</f>
        <v/>
      </c>
    </row>
    <row r="2649" spans="1:6" x14ac:dyDescent="0.25">
      <c r="A2649" s="24" t="str">
        <f>_xlfn.XLOOKUP(tbEscolas[[#This Row],[ESCOLA]],tbNucleo[ESCOLA],tbNucleo[COD ESCOLA],"")</f>
        <v/>
      </c>
      <c r="B2649" t="str" cm="1">
        <f t="array" ref="B2649">IFERROR(INDEX(tbNucleo[ESCOLA],ROUNDUP(ROW(B2648)/TotalEtapas,0)),"")</f>
        <v/>
      </c>
      <c r="E2649" t="str">
        <f>IFERROR(VLOOKUP(tbEscolas[[#This Row],[COD ETPA]],tbEtapas[],2,FALSE),"")</f>
        <v/>
      </c>
      <c r="F2649" t="str">
        <f>IFERROR(VLOOKUP(tbEscolas[[#This Row],[COD ETPA]],tbEtapas[],3,FALSE),"")</f>
        <v/>
      </c>
    </row>
    <row r="2650" spans="1:6" x14ac:dyDescent="0.25">
      <c r="A2650" s="24" t="str">
        <f>_xlfn.XLOOKUP(tbEscolas[[#This Row],[ESCOLA]],tbNucleo[ESCOLA],tbNucleo[COD ESCOLA],"")</f>
        <v/>
      </c>
      <c r="B2650" t="str" cm="1">
        <f t="array" ref="B2650">IFERROR(INDEX(tbNucleo[ESCOLA],ROUNDUP(ROW(B2649)/TotalEtapas,0)),"")</f>
        <v/>
      </c>
      <c r="E2650" t="str">
        <f>IFERROR(VLOOKUP(tbEscolas[[#This Row],[COD ETPA]],tbEtapas[],2,FALSE),"")</f>
        <v/>
      </c>
      <c r="F2650" t="str">
        <f>IFERROR(VLOOKUP(tbEscolas[[#This Row],[COD ETPA]],tbEtapas[],3,FALSE),"")</f>
        <v/>
      </c>
    </row>
    <row r="2651" spans="1:6" x14ac:dyDescent="0.25">
      <c r="A2651" s="24" t="str">
        <f>_xlfn.XLOOKUP(tbEscolas[[#This Row],[ESCOLA]],tbNucleo[ESCOLA],tbNucleo[COD ESCOLA],"")</f>
        <v/>
      </c>
      <c r="B2651" t="str" cm="1">
        <f t="array" ref="B2651">IFERROR(INDEX(tbNucleo[ESCOLA],ROUNDUP(ROW(B2650)/TotalEtapas,0)),"")</f>
        <v/>
      </c>
      <c r="E2651" t="str">
        <f>IFERROR(VLOOKUP(tbEscolas[[#This Row],[COD ETPA]],tbEtapas[],2,FALSE),"")</f>
        <v/>
      </c>
      <c r="F2651" t="str">
        <f>IFERROR(VLOOKUP(tbEscolas[[#This Row],[COD ETPA]],tbEtapas[],3,FALSE),"")</f>
        <v/>
      </c>
    </row>
    <row r="2652" spans="1:6" x14ac:dyDescent="0.25">
      <c r="A2652" s="24" t="str">
        <f>_xlfn.XLOOKUP(tbEscolas[[#This Row],[ESCOLA]],tbNucleo[ESCOLA],tbNucleo[COD ESCOLA],"")</f>
        <v/>
      </c>
      <c r="B2652" t="str" cm="1">
        <f t="array" ref="B2652">IFERROR(INDEX(tbNucleo[ESCOLA],ROUNDUP(ROW(B2651)/TotalEtapas,0)),"")</f>
        <v/>
      </c>
      <c r="E2652" t="str">
        <f>IFERROR(VLOOKUP(tbEscolas[[#This Row],[COD ETPA]],tbEtapas[],2,FALSE),"")</f>
        <v/>
      </c>
      <c r="F2652" t="str">
        <f>IFERROR(VLOOKUP(tbEscolas[[#This Row],[COD ETPA]],tbEtapas[],3,FALSE),"")</f>
        <v/>
      </c>
    </row>
    <row r="2653" spans="1:6" x14ac:dyDescent="0.25">
      <c r="A2653" s="24" t="str">
        <f>_xlfn.XLOOKUP(tbEscolas[[#This Row],[ESCOLA]],tbNucleo[ESCOLA],tbNucleo[COD ESCOLA],"")</f>
        <v/>
      </c>
      <c r="B2653" t="str" cm="1">
        <f t="array" ref="B2653">IFERROR(INDEX(tbNucleo[ESCOLA],ROUNDUP(ROW(B2652)/TotalEtapas,0)),"")</f>
        <v/>
      </c>
      <c r="E2653" t="str">
        <f>IFERROR(VLOOKUP(tbEscolas[[#This Row],[COD ETPA]],tbEtapas[],2,FALSE),"")</f>
        <v/>
      </c>
      <c r="F2653" t="str">
        <f>IFERROR(VLOOKUP(tbEscolas[[#This Row],[COD ETPA]],tbEtapas[],3,FALSE),"")</f>
        <v/>
      </c>
    </row>
    <row r="2654" spans="1:6" x14ac:dyDescent="0.25">
      <c r="A2654" s="24" t="str">
        <f>_xlfn.XLOOKUP(tbEscolas[[#This Row],[ESCOLA]],tbNucleo[ESCOLA],tbNucleo[COD ESCOLA],"")</f>
        <v/>
      </c>
      <c r="B2654" t="str" cm="1">
        <f t="array" ref="B2654">IFERROR(INDEX(tbNucleo[ESCOLA],ROUNDUP(ROW(B2653)/TotalEtapas,0)),"")</f>
        <v/>
      </c>
      <c r="E2654" t="str">
        <f>IFERROR(VLOOKUP(tbEscolas[[#This Row],[COD ETPA]],tbEtapas[],2,FALSE),"")</f>
        <v/>
      </c>
      <c r="F2654" t="str">
        <f>IFERROR(VLOOKUP(tbEscolas[[#This Row],[COD ETPA]],tbEtapas[],3,FALSE),"")</f>
        <v/>
      </c>
    </row>
    <row r="2655" spans="1:6" x14ac:dyDescent="0.25">
      <c r="A2655" s="24" t="str">
        <f>_xlfn.XLOOKUP(tbEscolas[[#This Row],[ESCOLA]],tbNucleo[ESCOLA],tbNucleo[COD ESCOLA],"")</f>
        <v/>
      </c>
      <c r="B2655" t="str" cm="1">
        <f t="array" ref="B2655">IFERROR(INDEX(tbNucleo[ESCOLA],ROUNDUP(ROW(B2654)/TotalEtapas,0)),"")</f>
        <v/>
      </c>
      <c r="E2655" t="str">
        <f>IFERROR(VLOOKUP(tbEscolas[[#This Row],[COD ETPA]],tbEtapas[],2,FALSE),"")</f>
        <v/>
      </c>
      <c r="F2655" t="str">
        <f>IFERROR(VLOOKUP(tbEscolas[[#This Row],[COD ETPA]],tbEtapas[],3,FALSE),"")</f>
        <v/>
      </c>
    </row>
    <row r="2656" spans="1:6" x14ac:dyDescent="0.25">
      <c r="A2656" s="24" t="str">
        <f>_xlfn.XLOOKUP(tbEscolas[[#This Row],[ESCOLA]],tbNucleo[ESCOLA],tbNucleo[COD ESCOLA],"")</f>
        <v/>
      </c>
      <c r="B2656" t="str" cm="1">
        <f t="array" ref="B2656">IFERROR(INDEX(tbNucleo[ESCOLA],ROUNDUP(ROW(B2655)/TotalEtapas,0)),"")</f>
        <v/>
      </c>
      <c r="E2656" t="str">
        <f>IFERROR(VLOOKUP(tbEscolas[[#This Row],[COD ETPA]],tbEtapas[],2,FALSE),"")</f>
        <v/>
      </c>
      <c r="F2656" t="str">
        <f>IFERROR(VLOOKUP(tbEscolas[[#This Row],[COD ETPA]],tbEtapas[],3,FALSE),"")</f>
        <v/>
      </c>
    </row>
    <row r="2657" spans="1:6" x14ac:dyDescent="0.25">
      <c r="A2657" s="24" t="str">
        <f>_xlfn.XLOOKUP(tbEscolas[[#This Row],[ESCOLA]],tbNucleo[ESCOLA],tbNucleo[COD ESCOLA],"")</f>
        <v/>
      </c>
      <c r="B2657" t="str" cm="1">
        <f t="array" ref="B2657">IFERROR(INDEX(tbNucleo[ESCOLA],ROUNDUP(ROW(B2656)/TotalEtapas,0)),"")</f>
        <v/>
      </c>
      <c r="E2657" t="str">
        <f>IFERROR(VLOOKUP(tbEscolas[[#This Row],[COD ETPA]],tbEtapas[],2,FALSE),"")</f>
        <v/>
      </c>
      <c r="F2657" t="str">
        <f>IFERROR(VLOOKUP(tbEscolas[[#This Row],[COD ETPA]],tbEtapas[],3,FALSE),"")</f>
        <v/>
      </c>
    </row>
    <row r="2658" spans="1:6" x14ac:dyDescent="0.25">
      <c r="A2658" s="24" t="str">
        <f>_xlfn.XLOOKUP(tbEscolas[[#This Row],[ESCOLA]],tbNucleo[ESCOLA],tbNucleo[COD ESCOLA],"")</f>
        <v/>
      </c>
      <c r="B2658" t="str" cm="1">
        <f t="array" ref="B2658">IFERROR(INDEX(tbNucleo[ESCOLA],ROUNDUP(ROW(B2657)/TotalEtapas,0)),"")</f>
        <v/>
      </c>
      <c r="E2658" t="str">
        <f>IFERROR(VLOOKUP(tbEscolas[[#This Row],[COD ETPA]],tbEtapas[],2,FALSE),"")</f>
        <v/>
      </c>
      <c r="F2658" t="str">
        <f>IFERROR(VLOOKUP(tbEscolas[[#This Row],[COD ETPA]],tbEtapas[],3,FALSE),"")</f>
        <v/>
      </c>
    </row>
    <row r="2659" spans="1:6" x14ac:dyDescent="0.25">
      <c r="A2659" s="24" t="str">
        <f>_xlfn.XLOOKUP(tbEscolas[[#This Row],[ESCOLA]],tbNucleo[ESCOLA],tbNucleo[COD ESCOLA],"")</f>
        <v/>
      </c>
      <c r="B2659" t="str" cm="1">
        <f t="array" ref="B2659">IFERROR(INDEX(tbNucleo[ESCOLA],ROUNDUP(ROW(B2658)/TotalEtapas,0)),"")</f>
        <v/>
      </c>
      <c r="E2659" t="str">
        <f>IFERROR(VLOOKUP(tbEscolas[[#This Row],[COD ETPA]],tbEtapas[],2,FALSE),"")</f>
        <v/>
      </c>
      <c r="F2659" t="str">
        <f>IFERROR(VLOOKUP(tbEscolas[[#This Row],[COD ETPA]],tbEtapas[],3,FALSE),"")</f>
        <v/>
      </c>
    </row>
    <row r="2660" spans="1:6" x14ac:dyDescent="0.25">
      <c r="A2660" s="24" t="str">
        <f>_xlfn.XLOOKUP(tbEscolas[[#This Row],[ESCOLA]],tbNucleo[ESCOLA],tbNucleo[COD ESCOLA],"")</f>
        <v/>
      </c>
      <c r="B2660" t="str" cm="1">
        <f t="array" ref="B2660">IFERROR(INDEX(tbNucleo[ESCOLA],ROUNDUP(ROW(B2659)/TotalEtapas,0)),"")</f>
        <v/>
      </c>
      <c r="E2660" t="str">
        <f>IFERROR(VLOOKUP(tbEscolas[[#This Row],[COD ETPA]],tbEtapas[],2,FALSE),"")</f>
        <v/>
      </c>
      <c r="F2660" t="str">
        <f>IFERROR(VLOOKUP(tbEscolas[[#This Row],[COD ETPA]],tbEtapas[],3,FALSE),"")</f>
        <v/>
      </c>
    </row>
    <row r="2661" spans="1:6" x14ac:dyDescent="0.25">
      <c r="A2661" s="24" t="str">
        <f>_xlfn.XLOOKUP(tbEscolas[[#This Row],[ESCOLA]],tbNucleo[ESCOLA],tbNucleo[COD ESCOLA],"")</f>
        <v/>
      </c>
      <c r="B2661" t="str" cm="1">
        <f t="array" ref="B2661">IFERROR(INDEX(tbNucleo[ESCOLA],ROUNDUP(ROW(B2660)/TotalEtapas,0)),"")</f>
        <v/>
      </c>
      <c r="E2661" t="str">
        <f>IFERROR(VLOOKUP(tbEscolas[[#This Row],[COD ETPA]],tbEtapas[],2,FALSE),"")</f>
        <v/>
      </c>
      <c r="F2661" t="str">
        <f>IFERROR(VLOOKUP(tbEscolas[[#This Row],[COD ETPA]],tbEtapas[],3,FALSE),"")</f>
        <v/>
      </c>
    </row>
    <row r="2662" spans="1:6" x14ac:dyDescent="0.25">
      <c r="A2662" s="24" t="str">
        <f>_xlfn.XLOOKUP(tbEscolas[[#This Row],[ESCOLA]],tbNucleo[ESCOLA],tbNucleo[COD ESCOLA],"")</f>
        <v/>
      </c>
      <c r="B2662" t="str" cm="1">
        <f t="array" ref="B2662">IFERROR(INDEX(tbNucleo[ESCOLA],ROUNDUP(ROW(B2661)/TotalEtapas,0)),"")</f>
        <v/>
      </c>
      <c r="E2662" t="str">
        <f>IFERROR(VLOOKUP(tbEscolas[[#This Row],[COD ETPA]],tbEtapas[],2,FALSE),"")</f>
        <v/>
      </c>
      <c r="F2662" t="str">
        <f>IFERROR(VLOOKUP(tbEscolas[[#This Row],[COD ETPA]],tbEtapas[],3,FALSE),"")</f>
        <v/>
      </c>
    </row>
    <row r="2663" spans="1:6" x14ac:dyDescent="0.25">
      <c r="A2663" s="24" t="str">
        <f>_xlfn.XLOOKUP(tbEscolas[[#This Row],[ESCOLA]],tbNucleo[ESCOLA],tbNucleo[COD ESCOLA],"")</f>
        <v/>
      </c>
      <c r="B2663" t="str" cm="1">
        <f t="array" ref="B2663">IFERROR(INDEX(tbNucleo[ESCOLA],ROUNDUP(ROW(B2662)/TotalEtapas,0)),"")</f>
        <v/>
      </c>
      <c r="E2663" t="str">
        <f>IFERROR(VLOOKUP(tbEscolas[[#This Row],[COD ETPA]],tbEtapas[],2,FALSE),"")</f>
        <v/>
      </c>
      <c r="F2663" t="str">
        <f>IFERROR(VLOOKUP(tbEscolas[[#This Row],[COD ETPA]],tbEtapas[],3,FALSE),"")</f>
        <v/>
      </c>
    </row>
    <row r="2664" spans="1:6" x14ac:dyDescent="0.25">
      <c r="A2664" s="24" t="str">
        <f>_xlfn.XLOOKUP(tbEscolas[[#This Row],[ESCOLA]],tbNucleo[ESCOLA],tbNucleo[COD ESCOLA],"")</f>
        <v/>
      </c>
      <c r="B2664" t="str" cm="1">
        <f t="array" ref="B2664">IFERROR(INDEX(tbNucleo[ESCOLA],ROUNDUP(ROW(B2663)/TotalEtapas,0)),"")</f>
        <v/>
      </c>
      <c r="E2664" t="str">
        <f>IFERROR(VLOOKUP(tbEscolas[[#This Row],[COD ETPA]],tbEtapas[],2,FALSE),"")</f>
        <v/>
      </c>
      <c r="F2664" t="str">
        <f>IFERROR(VLOOKUP(tbEscolas[[#This Row],[COD ETPA]],tbEtapas[],3,FALSE),"")</f>
        <v/>
      </c>
    </row>
    <row r="2665" spans="1:6" x14ac:dyDescent="0.25">
      <c r="A2665" s="24" t="str">
        <f>_xlfn.XLOOKUP(tbEscolas[[#This Row],[ESCOLA]],tbNucleo[ESCOLA],tbNucleo[COD ESCOLA],"")</f>
        <v/>
      </c>
      <c r="B2665" t="str" cm="1">
        <f t="array" ref="B2665">IFERROR(INDEX(tbNucleo[ESCOLA],ROUNDUP(ROW(B2664)/TotalEtapas,0)),"")</f>
        <v/>
      </c>
      <c r="E2665" t="str">
        <f>IFERROR(VLOOKUP(tbEscolas[[#This Row],[COD ETPA]],tbEtapas[],2,FALSE),"")</f>
        <v/>
      </c>
      <c r="F2665" t="str">
        <f>IFERROR(VLOOKUP(tbEscolas[[#This Row],[COD ETPA]],tbEtapas[],3,FALSE),"")</f>
        <v/>
      </c>
    </row>
    <row r="2666" spans="1:6" x14ac:dyDescent="0.25">
      <c r="A2666" s="24" t="str">
        <f>_xlfn.XLOOKUP(tbEscolas[[#This Row],[ESCOLA]],tbNucleo[ESCOLA],tbNucleo[COD ESCOLA],"")</f>
        <v/>
      </c>
      <c r="B2666" t="str" cm="1">
        <f t="array" ref="B2666">IFERROR(INDEX(tbNucleo[ESCOLA],ROUNDUP(ROW(B2665)/TotalEtapas,0)),"")</f>
        <v/>
      </c>
      <c r="E2666" t="str">
        <f>IFERROR(VLOOKUP(tbEscolas[[#This Row],[COD ETPA]],tbEtapas[],2,FALSE),"")</f>
        <v/>
      </c>
      <c r="F2666" t="str">
        <f>IFERROR(VLOOKUP(tbEscolas[[#This Row],[COD ETPA]],tbEtapas[],3,FALSE),"")</f>
        <v/>
      </c>
    </row>
    <row r="2667" spans="1:6" x14ac:dyDescent="0.25">
      <c r="A2667" s="24" t="str">
        <f>_xlfn.XLOOKUP(tbEscolas[[#This Row],[ESCOLA]],tbNucleo[ESCOLA],tbNucleo[COD ESCOLA],"")</f>
        <v/>
      </c>
      <c r="B2667" t="str" cm="1">
        <f t="array" ref="B2667">IFERROR(INDEX(tbNucleo[ESCOLA],ROUNDUP(ROW(B2666)/TotalEtapas,0)),"")</f>
        <v/>
      </c>
      <c r="E2667" t="str">
        <f>IFERROR(VLOOKUP(tbEscolas[[#This Row],[COD ETPA]],tbEtapas[],2,FALSE),"")</f>
        <v/>
      </c>
      <c r="F2667" t="str">
        <f>IFERROR(VLOOKUP(tbEscolas[[#This Row],[COD ETPA]],tbEtapas[],3,FALSE),"")</f>
        <v/>
      </c>
    </row>
    <row r="2668" spans="1:6" x14ac:dyDescent="0.25">
      <c r="A2668" s="24" t="str">
        <f>_xlfn.XLOOKUP(tbEscolas[[#This Row],[ESCOLA]],tbNucleo[ESCOLA],tbNucleo[COD ESCOLA],"")</f>
        <v/>
      </c>
      <c r="B2668" t="str" cm="1">
        <f t="array" ref="B2668">IFERROR(INDEX(tbNucleo[ESCOLA],ROUNDUP(ROW(B2667)/TotalEtapas,0)),"")</f>
        <v/>
      </c>
      <c r="E2668" t="str">
        <f>IFERROR(VLOOKUP(tbEscolas[[#This Row],[COD ETPA]],tbEtapas[],2,FALSE),"")</f>
        <v/>
      </c>
      <c r="F2668" t="str">
        <f>IFERROR(VLOOKUP(tbEscolas[[#This Row],[COD ETPA]],tbEtapas[],3,FALSE),"")</f>
        <v/>
      </c>
    </row>
    <row r="2669" spans="1:6" x14ac:dyDescent="0.25">
      <c r="A2669" s="24" t="str">
        <f>_xlfn.XLOOKUP(tbEscolas[[#This Row],[ESCOLA]],tbNucleo[ESCOLA],tbNucleo[COD ESCOLA],"")</f>
        <v/>
      </c>
      <c r="B2669" t="str" cm="1">
        <f t="array" ref="B2669">IFERROR(INDEX(tbNucleo[ESCOLA],ROUNDUP(ROW(B2668)/TotalEtapas,0)),"")</f>
        <v/>
      </c>
      <c r="E2669" t="str">
        <f>IFERROR(VLOOKUP(tbEscolas[[#This Row],[COD ETPA]],tbEtapas[],2,FALSE),"")</f>
        <v/>
      </c>
      <c r="F2669" t="str">
        <f>IFERROR(VLOOKUP(tbEscolas[[#This Row],[COD ETPA]],tbEtapas[],3,FALSE),"")</f>
        <v/>
      </c>
    </row>
    <row r="2670" spans="1:6" x14ac:dyDescent="0.25">
      <c r="A2670" s="24" t="str">
        <f>_xlfn.XLOOKUP(tbEscolas[[#This Row],[ESCOLA]],tbNucleo[ESCOLA],tbNucleo[COD ESCOLA],"")</f>
        <v/>
      </c>
      <c r="B2670" t="str" cm="1">
        <f t="array" ref="B2670">IFERROR(INDEX(tbNucleo[ESCOLA],ROUNDUP(ROW(B2669)/TotalEtapas,0)),"")</f>
        <v/>
      </c>
      <c r="E2670" t="str">
        <f>IFERROR(VLOOKUP(tbEscolas[[#This Row],[COD ETPA]],tbEtapas[],2,FALSE),"")</f>
        <v/>
      </c>
      <c r="F2670" t="str">
        <f>IFERROR(VLOOKUP(tbEscolas[[#This Row],[COD ETPA]],tbEtapas[],3,FALSE),"")</f>
        <v/>
      </c>
    </row>
    <row r="2671" spans="1:6" x14ac:dyDescent="0.25">
      <c r="A2671" s="24" t="str">
        <f>_xlfn.XLOOKUP(tbEscolas[[#This Row],[ESCOLA]],tbNucleo[ESCOLA],tbNucleo[COD ESCOLA],"")</f>
        <v/>
      </c>
      <c r="B2671" t="str" cm="1">
        <f t="array" ref="B2671">IFERROR(INDEX(tbNucleo[ESCOLA],ROUNDUP(ROW(B2670)/TotalEtapas,0)),"")</f>
        <v/>
      </c>
      <c r="E2671" t="str">
        <f>IFERROR(VLOOKUP(tbEscolas[[#This Row],[COD ETPA]],tbEtapas[],2,FALSE),"")</f>
        <v/>
      </c>
      <c r="F2671" t="str">
        <f>IFERROR(VLOOKUP(tbEscolas[[#This Row],[COD ETPA]],tbEtapas[],3,FALSE),"")</f>
        <v/>
      </c>
    </row>
    <row r="2672" spans="1:6" x14ac:dyDescent="0.25">
      <c r="A2672" s="24" t="str">
        <f>_xlfn.XLOOKUP(tbEscolas[[#This Row],[ESCOLA]],tbNucleo[ESCOLA],tbNucleo[COD ESCOLA],"")</f>
        <v/>
      </c>
      <c r="B2672" t="str" cm="1">
        <f t="array" ref="B2672">IFERROR(INDEX(tbNucleo[ESCOLA],ROUNDUP(ROW(B2671)/TotalEtapas,0)),"")</f>
        <v/>
      </c>
      <c r="E2672" t="str">
        <f>IFERROR(VLOOKUP(tbEscolas[[#This Row],[COD ETPA]],tbEtapas[],2,FALSE),"")</f>
        <v/>
      </c>
      <c r="F2672" t="str">
        <f>IFERROR(VLOOKUP(tbEscolas[[#This Row],[COD ETPA]],tbEtapas[],3,FALSE),"")</f>
        <v/>
      </c>
    </row>
    <row r="2673" spans="1:6" x14ac:dyDescent="0.25">
      <c r="A2673" s="24" t="str">
        <f>_xlfn.XLOOKUP(tbEscolas[[#This Row],[ESCOLA]],tbNucleo[ESCOLA],tbNucleo[COD ESCOLA],"")</f>
        <v/>
      </c>
      <c r="B2673" t="str" cm="1">
        <f t="array" ref="B2673">IFERROR(INDEX(tbNucleo[ESCOLA],ROUNDUP(ROW(B2672)/TotalEtapas,0)),"")</f>
        <v/>
      </c>
      <c r="E2673" t="str">
        <f>IFERROR(VLOOKUP(tbEscolas[[#This Row],[COD ETPA]],tbEtapas[],2,FALSE),"")</f>
        <v/>
      </c>
      <c r="F2673" t="str">
        <f>IFERROR(VLOOKUP(tbEscolas[[#This Row],[COD ETPA]],tbEtapas[],3,FALSE),"")</f>
        <v/>
      </c>
    </row>
    <row r="2674" spans="1:6" x14ac:dyDescent="0.25">
      <c r="A2674" s="24" t="str">
        <f>_xlfn.XLOOKUP(tbEscolas[[#This Row],[ESCOLA]],tbNucleo[ESCOLA],tbNucleo[COD ESCOLA],"")</f>
        <v/>
      </c>
      <c r="B2674" t="str" cm="1">
        <f t="array" ref="B2674">IFERROR(INDEX(tbNucleo[ESCOLA],ROUNDUP(ROW(B2673)/TotalEtapas,0)),"")</f>
        <v/>
      </c>
      <c r="E2674" t="str">
        <f>IFERROR(VLOOKUP(tbEscolas[[#This Row],[COD ETPA]],tbEtapas[],2,FALSE),"")</f>
        <v/>
      </c>
      <c r="F2674" t="str">
        <f>IFERROR(VLOOKUP(tbEscolas[[#This Row],[COD ETPA]],tbEtapas[],3,FALSE),"")</f>
        <v/>
      </c>
    </row>
    <row r="2675" spans="1:6" x14ac:dyDescent="0.25">
      <c r="A2675" s="24" t="str">
        <f>_xlfn.XLOOKUP(tbEscolas[[#This Row],[ESCOLA]],tbNucleo[ESCOLA],tbNucleo[COD ESCOLA],"")</f>
        <v/>
      </c>
      <c r="B2675" t="str" cm="1">
        <f t="array" ref="B2675">IFERROR(INDEX(tbNucleo[ESCOLA],ROUNDUP(ROW(B2674)/TotalEtapas,0)),"")</f>
        <v/>
      </c>
      <c r="E2675" t="str">
        <f>IFERROR(VLOOKUP(tbEscolas[[#This Row],[COD ETPA]],tbEtapas[],2,FALSE),"")</f>
        <v/>
      </c>
      <c r="F2675" t="str">
        <f>IFERROR(VLOOKUP(tbEscolas[[#This Row],[COD ETPA]],tbEtapas[],3,FALSE),"")</f>
        <v/>
      </c>
    </row>
    <row r="2676" spans="1:6" x14ac:dyDescent="0.25">
      <c r="A2676" s="24" t="str">
        <f>_xlfn.XLOOKUP(tbEscolas[[#This Row],[ESCOLA]],tbNucleo[ESCOLA],tbNucleo[COD ESCOLA],"")</f>
        <v/>
      </c>
      <c r="B2676" t="str" cm="1">
        <f t="array" ref="B2676">IFERROR(INDEX(tbNucleo[ESCOLA],ROUNDUP(ROW(B2675)/TotalEtapas,0)),"")</f>
        <v/>
      </c>
      <c r="E2676" t="str">
        <f>IFERROR(VLOOKUP(tbEscolas[[#This Row],[COD ETPA]],tbEtapas[],2,FALSE),"")</f>
        <v/>
      </c>
      <c r="F2676" t="str">
        <f>IFERROR(VLOOKUP(tbEscolas[[#This Row],[COD ETPA]],tbEtapas[],3,FALSE),"")</f>
        <v/>
      </c>
    </row>
    <row r="2677" spans="1:6" x14ac:dyDescent="0.25">
      <c r="A2677" s="24" t="str">
        <f>_xlfn.XLOOKUP(tbEscolas[[#This Row],[ESCOLA]],tbNucleo[ESCOLA],tbNucleo[COD ESCOLA],"")</f>
        <v/>
      </c>
      <c r="B2677" t="str" cm="1">
        <f t="array" ref="B2677">IFERROR(INDEX(tbNucleo[ESCOLA],ROUNDUP(ROW(B2676)/TotalEtapas,0)),"")</f>
        <v/>
      </c>
      <c r="E2677" t="str">
        <f>IFERROR(VLOOKUP(tbEscolas[[#This Row],[COD ETPA]],tbEtapas[],2,FALSE),"")</f>
        <v/>
      </c>
      <c r="F2677" t="str">
        <f>IFERROR(VLOOKUP(tbEscolas[[#This Row],[COD ETPA]],tbEtapas[],3,FALSE),"")</f>
        <v/>
      </c>
    </row>
    <row r="2678" spans="1:6" x14ac:dyDescent="0.25">
      <c r="A2678" s="24" t="str">
        <f>_xlfn.XLOOKUP(tbEscolas[[#This Row],[ESCOLA]],tbNucleo[ESCOLA],tbNucleo[COD ESCOLA],"")</f>
        <v/>
      </c>
      <c r="B2678" t="str" cm="1">
        <f t="array" ref="B2678">IFERROR(INDEX(tbNucleo[ESCOLA],ROUNDUP(ROW(B2677)/TotalEtapas,0)),"")</f>
        <v/>
      </c>
      <c r="E2678" t="str">
        <f>IFERROR(VLOOKUP(tbEscolas[[#This Row],[COD ETPA]],tbEtapas[],2,FALSE),"")</f>
        <v/>
      </c>
      <c r="F2678" t="str">
        <f>IFERROR(VLOOKUP(tbEscolas[[#This Row],[COD ETPA]],tbEtapas[],3,FALSE),"")</f>
        <v/>
      </c>
    </row>
    <row r="2679" spans="1:6" x14ac:dyDescent="0.25">
      <c r="A2679" s="24" t="str">
        <f>_xlfn.XLOOKUP(tbEscolas[[#This Row],[ESCOLA]],tbNucleo[ESCOLA],tbNucleo[COD ESCOLA],"")</f>
        <v/>
      </c>
      <c r="B2679" t="str" cm="1">
        <f t="array" ref="B2679">IFERROR(INDEX(tbNucleo[ESCOLA],ROUNDUP(ROW(B2678)/TotalEtapas,0)),"")</f>
        <v/>
      </c>
      <c r="E2679" t="str">
        <f>IFERROR(VLOOKUP(tbEscolas[[#This Row],[COD ETPA]],tbEtapas[],2,FALSE),"")</f>
        <v/>
      </c>
      <c r="F2679" t="str">
        <f>IFERROR(VLOOKUP(tbEscolas[[#This Row],[COD ETPA]],tbEtapas[],3,FALSE),"")</f>
        <v/>
      </c>
    </row>
    <row r="2680" spans="1:6" x14ac:dyDescent="0.25">
      <c r="A2680" s="24" t="str">
        <f>_xlfn.XLOOKUP(tbEscolas[[#This Row],[ESCOLA]],tbNucleo[ESCOLA],tbNucleo[COD ESCOLA],"")</f>
        <v/>
      </c>
      <c r="B2680" t="str" cm="1">
        <f t="array" ref="B2680">IFERROR(INDEX(tbNucleo[ESCOLA],ROUNDUP(ROW(B2679)/TotalEtapas,0)),"")</f>
        <v/>
      </c>
      <c r="E2680" t="str">
        <f>IFERROR(VLOOKUP(tbEscolas[[#This Row],[COD ETPA]],tbEtapas[],2,FALSE),"")</f>
        <v/>
      </c>
      <c r="F2680" t="str">
        <f>IFERROR(VLOOKUP(tbEscolas[[#This Row],[COD ETPA]],tbEtapas[],3,FALSE),"")</f>
        <v/>
      </c>
    </row>
    <row r="2681" spans="1:6" x14ac:dyDescent="0.25">
      <c r="A2681" s="24" t="str">
        <f>_xlfn.XLOOKUP(tbEscolas[[#This Row],[ESCOLA]],tbNucleo[ESCOLA],tbNucleo[COD ESCOLA],"")</f>
        <v/>
      </c>
      <c r="B2681" t="str" cm="1">
        <f t="array" ref="B2681">IFERROR(INDEX(tbNucleo[ESCOLA],ROUNDUP(ROW(B2680)/TotalEtapas,0)),"")</f>
        <v/>
      </c>
      <c r="E2681" t="str">
        <f>IFERROR(VLOOKUP(tbEscolas[[#This Row],[COD ETPA]],tbEtapas[],2,FALSE),"")</f>
        <v/>
      </c>
      <c r="F2681" t="str">
        <f>IFERROR(VLOOKUP(tbEscolas[[#This Row],[COD ETPA]],tbEtapas[],3,FALSE),"")</f>
        <v/>
      </c>
    </row>
    <row r="2682" spans="1:6" x14ac:dyDescent="0.25">
      <c r="A2682" s="24" t="str">
        <f>_xlfn.XLOOKUP(tbEscolas[[#This Row],[ESCOLA]],tbNucleo[ESCOLA],tbNucleo[COD ESCOLA],"")</f>
        <v/>
      </c>
      <c r="B2682" t="str" cm="1">
        <f t="array" ref="B2682">IFERROR(INDEX(tbNucleo[ESCOLA],ROUNDUP(ROW(B2681)/TotalEtapas,0)),"")</f>
        <v/>
      </c>
      <c r="E2682" t="str">
        <f>IFERROR(VLOOKUP(tbEscolas[[#This Row],[COD ETPA]],tbEtapas[],2,FALSE),"")</f>
        <v/>
      </c>
      <c r="F2682" t="str">
        <f>IFERROR(VLOOKUP(tbEscolas[[#This Row],[COD ETPA]],tbEtapas[],3,FALSE),"")</f>
        <v/>
      </c>
    </row>
    <row r="2683" spans="1:6" x14ac:dyDescent="0.25">
      <c r="A2683" s="24" t="str">
        <f>_xlfn.XLOOKUP(tbEscolas[[#This Row],[ESCOLA]],tbNucleo[ESCOLA],tbNucleo[COD ESCOLA],"")</f>
        <v/>
      </c>
      <c r="B2683" t="str" cm="1">
        <f t="array" ref="B2683">IFERROR(INDEX(tbNucleo[ESCOLA],ROUNDUP(ROW(B2682)/TotalEtapas,0)),"")</f>
        <v/>
      </c>
      <c r="E2683" t="str">
        <f>IFERROR(VLOOKUP(tbEscolas[[#This Row],[COD ETPA]],tbEtapas[],2,FALSE),"")</f>
        <v/>
      </c>
      <c r="F2683" t="str">
        <f>IFERROR(VLOOKUP(tbEscolas[[#This Row],[COD ETPA]],tbEtapas[],3,FALSE),"")</f>
        <v/>
      </c>
    </row>
    <row r="2684" spans="1:6" x14ac:dyDescent="0.25">
      <c r="A2684" s="24" t="str">
        <f>_xlfn.XLOOKUP(tbEscolas[[#This Row],[ESCOLA]],tbNucleo[ESCOLA],tbNucleo[COD ESCOLA],"")</f>
        <v/>
      </c>
      <c r="B2684" t="str" cm="1">
        <f t="array" ref="B2684">IFERROR(INDEX(tbNucleo[ESCOLA],ROUNDUP(ROW(B2683)/TotalEtapas,0)),"")</f>
        <v/>
      </c>
      <c r="E2684" t="str">
        <f>IFERROR(VLOOKUP(tbEscolas[[#This Row],[COD ETPA]],tbEtapas[],2,FALSE),"")</f>
        <v/>
      </c>
      <c r="F2684" t="str">
        <f>IFERROR(VLOOKUP(tbEscolas[[#This Row],[COD ETPA]],tbEtapas[],3,FALSE),"")</f>
        <v/>
      </c>
    </row>
    <row r="2685" spans="1:6" x14ac:dyDescent="0.25">
      <c r="A2685" s="24" t="str">
        <f>_xlfn.XLOOKUP(tbEscolas[[#This Row],[ESCOLA]],tbNucleo[ESCOLA],tbNucleo[COD ESCOLA],"")</f>
        <v/>
      </c>
      <c r="B2685" t="str" cm="1">
        <f t="array" ref="B2685">IFERROR(INDEX(tbNucleo[ESCOLA],ROUNDUP(ROW(B2684)/TotalEtapas,0)),"")</f>
        <v/>
      </c>
      <c r="E2685" t="str">
        <f>IFERROR(VLOOKUP(tbEscolas[[#This Row],[COD ETPA]],tbEtapas[],2,FALSE),"")</f>
        <v/>
      </c>
      <c r="F2685" t="str">
        <f>IFERROR(VLOOKUP(tbEscolas[[#This Row],[COD ETPA]],tbEtapas[],3,FALSE),"")</f>
        <v/>
      </c>
    </row>
    <row r="2686" spans="1:6" x14ac:dyDescent="0.25">
      <c r="A2686" s="24" t="str">
        <f>_xlfn.XLOOKUP(tbEscolas[[#This Row],[ESCOLA]],tbNucleo[ESCOLA],tbNucleo[COD ESCOLA],"")</f>
        <v/>
      </c>
      <c r="B2686" t="str" cm="1">
        <f t="array" ref="B2686">IFERROR(INDEX(tbNucleo[ESCOLA],ROUNDUP(ROW(B2685)/TotalEtapas,0)),"")</f>
        <v/>
      </c>
      <c r="E2686" t="str">
        <f>IFERROR(VLOOKUP(tbEscolas[[#This Row],[COD ETPA]],tbEtapas[],2,FALSE),"")</f>
        <v/>
      </c>
      <c r="F2686" t="str">
        <f>IFERROR(VLOOKUP(tbEscolas[[#This Row],[COD ETPA]],tbEtapas[],3,FALSE),"")</f>
        <v/>
      </c>
    </row>
    <row r="2687" spans="1:6" x14ac:dyDescent="0.25">
      <c r="A2687" s="24" t="str">
        <f>_xlfn.XLOOKUP(tbEscolas[[#This Row],[ESCOLA]],tbNucleo[ESCOLA],tbNucleo[COD ESCOLA],"")</f>
        <v/>
      </c>
      <c r="B2687" t="str" cm="1">
        <f t="array" ref="B2687">IFERROR(INDEX(tbNucleo[ESCOLA],ROUNDUP(ROW(B2686)/TotalEtapas,0)),"")</f>
        <v/>
      </c>
      <c r="E2687" t="str">
        <f>IFERROR(VLOOKUP(tbEscolas[[#This Row],[COD ETPA]],tbEtapas[],2,FALSE),"")</f>
        <v/>
      </c>
      <c r="F2687" t="str">
        <f>IFERROR(VLOOKUP(tbEscolas[[#This Row],[COD ETPA]],tbEtapas[],3,FALSE),"")</f>
        <v/>
      </c>
    </row>
    <row r="2688" spans="1:6" x14ac:dyDescent="0.25">
      <c r="A2688" s="24" t="str">
        <f>_xlfn.XLOOKUP(tbEscolas[[#This Row],[ESCOLA]],tbNucleo[ESCOLA],tbNucleo[COD ESCOLA],"")</f>
        <v/>
      </c>
      <c r="B2688" t="str" cm="1">
        <f t="array" ref="B2688">IFERROR(INDEX(tbNucleo[ESCOLA],ROUNDUP(ROW(B2687)/TotalEtapas,0)),"")</f>
        <v/>
      </c>
      <c r="E2688" t="str">
        <f>IFERROR(VLOOKUP(tbEscolas[[#This Row],[COD ETPA]],tbEtapas[],2,FALSE),"")</f>
        <v/>
      </c>
      <c r="F2688" t="str">
        <f>IFERROR(VLOOKUP(tbEscolas[[#This Row],[COD ETPA]],tbEtapas[],3,FALSE),"")</f>
        <v/>
      </c>
    </row>
    <row r="2689" spans="1:6" x14ac:dyDescent="0.25">
      <c r="A2689" s="24" t="str">
        <f>_xlfn.XLOOKUP(tbEscolas[[#This Row],[ESCOLA]],tbNucleo[ESCOLA],tbNucleo[COD ESCOLA],"")</f>
        <v/>
      </c>
      <c r="B2689" t="str" cm="1">
        <f t="array" ref="B2689">IFERROR(INDEX(tbNucleo[ESCOLA],ROUNDUP(ROW(B2688)/TotalEtapas,0)),"")</f>
        <v/>
      </c>
      <c r="E2689" t="str">
        <f>IFERROR(VLOOKUP(tbEscolas[[#This Row],[COD ETPA]],tbEtapas[],2,FALSE),"")</f>
        <v/>
      </c>
      <c r="F2689" t="str">
        <f>IFERROR(VLOOKUP(tbEscolas[[#This Row],[COD ETPA]],tbEtapas[],3,FALSE),"")</f>
        <v/>
      </c>
    </row>
    <row r="2690" spans="1:6" x14ac:dyDescent="0.25">
      <c r="A2690" s="24" t="str">
        <f>_xlfn.XLOOKUP(tbEscolas[[#This Row],[ESCOLA]],tbNucleo[ESCOLA],tbNucleo[COD ESCOLA],"")</f>
        <v/>
      </c>
      <c r="B2690" t="str" cm="1">
        <f t="array" ref="B2690">IFERROR(INDEX(tbNucleo[ESCOLA],ROUNDUP(ROW(B2689)/TotalEtapas,0)),"")</f>
        <v/>
      </c>
      <c r="E2690" t="str">
        <f>IFERROR(VLOOKUP(tbEscolas[[#This Row],[COD ETPA]],tbEtapas[],2,FALSE),"")</f>
        <v/>
      </c>
      <c r="F2690" t="str">
        <f>IFERROR(VLOOKUP(tbEscolas[[#This Row],[COD ETPA]],tbEtapas[],3,FALSE),"")</f>
        <v/>
      </c>
    </row>
    <row r="2691" spans="1:6" x14ac:dyDescent="0.25">
      <c r="A2691" s="24" t="str">
        <f>_xlfn.XLOOKUP(tbEscolas[[#This Row],[ESCOLA]],tbNucleo[ESCOLA],tbNucleo[COD ESCOLA],"")</f>
        <v/>
      </c>
      <c r="B2691" t="str" cm="1">
        <f t="array" ref="B2691">IFERROR(INDEX(tbNucleo[ESCOLA],ROUNDUP(ROW(B2690)/TotalEtapas,0)),"")</f>
        <v/>
      </c>
      <c r="E2691" t="str">
        <f>IFERROR(VLOOKUP(tbEscolas[[#This Row],[COD ETPA]],tbEtapas[],2,FALSE),"")</f>
        <v/>
      </c>
      <c r="F2691" t="str">
        <f>IFERROR(VLOOKUP(tbEscolas[[#This Row],[COD ETPA]],tbEtapas[],3,FALSE),"")</f>
        <v/>
      </c>
    </row>
    <row r="2692" spans="1:6" x14ac:dyDescent="0.25">
      <c r="A2692" s="24" t="str">
        <f>_xlfn.XLOOKUP(tbEscolas[[#This Row],[ESCOLA]],tbNucleo[ESCOLA],tbNucleo[COD ESCOLA],"")</f>
        <v/>
      </c>
      <c r="B2692" t="str" cm="1">
        <f t="array" ref="B2692">IFERROR(INDEX(tbNucleo[ESCOLA],ROUNDUP(ROW(B2691)/TotalEtapas,0)),"")</f>
        <v/>
      </c>
      <c r="E2692" t="str">
        <f>IFERROR(VLOOKUP(tbEscolas[[#This Row],[COD ETPA]],tbEtapas[],2,FALSE),"")</f>
        <v/>
      </c>
      <c r="F2692" t="str">
        <f>IFERROR(VLOOKUP(tbEscolas[[#This Row],[COD ETPA]],tbEtapas[],3,FALSE),"")</f>
        <v/>
      </c>
    </row>
    <row r="2693" spans="1:6" x14ac:dyDescent="0.25">
      <c r="A2693" s="24" t="str">
        <f>_xlfn.XLOOKUP(tbEscolas[[#This Row],[ESCOLA]],tbNucleo[ESCOLA],tbNucleo[COD ESCOLA],"")</f>
        <v/>
      </c>
      <c r="B2693" t="str" cm="1">
        <f t="array" ref="B2693">IFERROR(INDEX(tbNucleo[ESCOLA],ROUNDUP(ROW(B2692)/TotalEtapas,0)),"")</f>
        <v/>
      </c>
      <c r="E2693" t="str">
        <f>IFERROR(VLOOKUP(tbEscolas[[#This Row],[COD ETPA]],tbEtapas[],2,FALSE),"")</f>
        <v/>
      </c>
      <c r="F2693" t="str">
        <f>IFERROR(VLOOKUP(tbEscolas[[#This Row],[COD ETPA]],tbEtapas[],3,FALSE),"")</f>
        <v/>
      </c>
    </row>
    <row r="2694" spans="1:6" x14ac:dyDescent="0.25">
      <c r="A2694" s="24" t="str">
        <f>_xlfn.XLOOKUP(tbEscolas[[#This Row],[ESCOLA]],tbNucleo[ESCOLA],tbNucleo[COD ESCOLA],"")</f>
        <v/>
      </c>
      <c r="B2694" t="str" cm="1">
        <f t="array" ref="B2694">IFERROR(INDEX(tbNucleo[ESCOLA],ROUNDUP(ROW(B2693)/TotalEtapas,0)),"")</f>
        <v/>
      </c>
      <c r="E2694" t="str">
        <f>IFERROR(VLOOKUP(tbEscolas[[#This Row],[COD ETPA]],tbEtapas[],2,FALSE),"")</f>
        <v/>
      </c>
      <c r="F2694" t="str">
        <f>IFERROR(VLOOKUP(tbEscolas[[#This Row],[COD ETPA]],tbEtapas[],3,FALSE),"")</f>
        <v/>
      </c>
    </row>
    <row r="2695" spans="1:6" x14ac:dyDescent="0.25">
      <c r="A2695" s="24" t="str">
        <f>_xlfn.XLOOKUP(tbEscolas[[#This Row],[ESCOLA]],tbNucleo[ESCOLA],tbNucleo[COD ESCOLA],"")</f>
        <v/>
      </c>
      <c r="B2695" t="str" cm="1">
        <f t="array" ref="B2695">IFERROR(INDEX(tbNucleo[ESCOLA],ROUNDUP(ROW(B2694)/TotalEtapas,0)),"")</f>
        <v/>
      </c>
      <c r="E2695" t="str">
        <f>IFERROR(VLOOKUP(tbEscolas[[#This Row],[COD ETPA]],tbEtapas[],2,FALSE),"")</f>
        <v/>
      </c>
      <c r="F2695" t="str">
        <f>IFERROR(VLOOKUP(tbEscolas[[#This Row],[COD ETPA]],tbEtapas[],3,FALSE),"")</f>
        <v/>
      </c>
    </row>
    <row r="2696" spans="1:6" x14ac:dyDescent="0.25">
      <c r="A2696" s="24" t="str">
        <f>_xlfn.XLOOKUP(tbEscolas[[#This Row],[ESCOLA]],tbNucleo[ESCOLA],tbNucleo[COD ESCOLA],"")</f>
        <v/>
      </c>
      <c r="B2696" t="str" cm="1">
        <f t="array" ref="B2696">IFERROR(INDEX(tbNucleo[ESCOLA],ROUNDUP(ROW(B2695)/TotalEtapas,0)),"")</f>
        <v/>
      </c>
      <c r="E2696" t="str">
        <f>IFERROR(VLOOKUP(tbEscolas[[#This Row],[COD ETPA]],tbEtapas[],2,FALSE),"")</f>
        <v/>
      </c>
      <c r="F2696" t="str">
        <f>IFERROR(VLOOKUP(tbEscolas[[#This Row],[COD ETPA]],tbEtapas[],3,FALSE),"")</f>
        <v/>
      </c>
    </row>
    <row r="2697" spans="1:6" x14ac:dyDescent="0.25">
      <c r="A2697" s="24" t="str">
        <f>_xlfn.XLOOKUP(tbEscolas[[#This Row],[ESCOLA]],tbNucleo[ESCOLA],tbNucleo[COD ESCOLA],"")</f>
        <v/>
      </c>
      <c r="B2697" t="str" cm="1">
        <f t="array" ref="B2697">IFERROR(INDEX(tbNucleo[ESCOLA],ROUNDUP(ROW(B2696)/TotalEtapas,0)),"")</f>
        <v/>
      </c>
      <c r="E2697" t="str">
        <f>IFERROR(VLOOKUP(tbEscolas[[#This Row],[COD ETPA]],tbEtapas[],2,FALSE),"")</f>
        <v/>
      </c>
      <c r="F2697" t="str">
        <f>IFERROR(VLOOKUP(tbEscolas[[#This Row],[COD ETPA]],tbEtapas[],3,FALSE),"")</f>
        <v/>
      </c>
    </row>
    <row r="2698" spans="1:6" x14ac:dyDescent="0.25">
      <c r="A2698" s="24" t="str">
        <f>_xlfn.XLOOKUP(tbEscolas[[#This Row],[ESCOLA]],tbNucleo[ESCOLA],tbNucleo[COD ESCOLA],"")</f>
        <v/>
      </c>
      <c r="B2698" t="str" cm="1">
        <f t="array" ref="B2698">IFERROR(INDEX(tbNucleo[ESCOLA],ROUNDUP(ROW(B2697)/TotalEtapas,0)),"")</f>
        <v/>
      </c>
      <c r="E2698" t="str">
        <f>IFERROR(VLOOKUP(tbEscolas[[#This Row],[COD ETPA]],tbEtapas[],2,FALSE),"")</f>
        <v/>
      </c>
      <c r="F2698" t="str">
        <f>IFERROR(VLOOKUP(tbEscolas[[#This Row],[COD ETPA]],tbEtapas[],3,FALSE),"")</f>
        <v/>
      </c>
    </row>
    <row r="2699" spans="1:6" x14ac:dyDescent="0.25">
      <c r="A2699" s="24" t="str">
        <f>_xlfn.XLOOKUP(tbEscolas[[#This Row],[ESCOLA]],tbNucleo[ESCOLA],tbNucleo[COD ESCOLA],"")</f>
        <v/>
      </c>
      <c r="B2699" t="str" cm="1">
        <f t="array" ref="B2699">IFERROR(INDEX(tbNucleo[ESCOLA],ROUNDUP(ROW(B2698)/TotalEtapas,0)),"")</f>
        <v/>
      </c>
      <c r="E2699" t="str">
        <f>IFERROR(VLOOKUP(tbEscolas[[#This Row],[COD ETPA]],tbEtapas[],2,FALSE),"")</f>
        <v/>
      </c>
      <c r="F2699" t="str">
        <f>IFERROR(VLOOKUP(tbEscolas[[#This Row],[COD ETPA]],tbEtapas[],3,FALSE),"")</f>
        <v/>
      </c>
    </row>
    <row r="2700" spans="1:6" x14ac:dyDescent="0.25">
      <c r="A2700" s="24" t="str">
        <f>_xlfn.XLOOKUP(tbEscolas[[#This Row],[ESCOLA]],tbNucleo[ESCOLA],tbNucleo[COD ESCOLA],"")</f>
        <v/>
      </c>
      <c r="B2700" t="str" cm="1">
        <f t="array" ref="B2700">IFERROR(INDEX(tbNucleo[ESCOLA],ROUNDUP(ROW(B2699)/TotalEtapas,0)),"")</f>
        <v/>
      </c>
      <c r="E2700" t="str">
        <f>IFERROR(VLOOKUP(tbEscolas[[#This Row],[COD ETPA]],tbEtapas[],2,FALSE),"")</f>
        <v/>
      </c>
      <c r="F2700" t="str">
        <f>IFERROR(VLOOKUP(tbEscolas[[#This Row],[COD ETPA]],tbEtapas[],3,FALSE),"")</f>
        <v/>
      </c>
    </row>
    <row r="2701" spans="1:6" x14ac:dyDescent="0.25">
      <c r="A2701" s="24" t="str">
        <f>_xlfn.XLOOKUP(tbEscolas[[#This Row],[ESCOLA]],tbNucleo[ESCOLA],tbNucleo[COD ESCOLA],"")</f>
        <v/>
      </c>
      <c r="B2701" t="str" cm="1">
        <f t="array" ref="B2701">IFERROR(INDEX(tbNucleo[ESCOLA],ROUNDUP(ROW(B2700)/TotalEtapas,0)),"")</f>
        <v/>
      </c>
      <c r="E2701" t="str">
        <f>IFERROR(VLOOKUP(tbEscolas[[#This Row],[COD ETPA]],tbEtapas[],2,FALSE),"")</f>
        <v/>
      </c>
      <c r="F2701" t="str">
        <f>IFERROR(VLOOKUP(tbEscolas[[#This Row],[COD ETPA]],tbEtapas[],3,FALSE),"")</f>
        <v/>
      </c>
    </row>
    <row r="2702" spans="1:6" x14ac:dyDescent="0.25">
      <c r="A2702" s="24" t="str">
        <f>_xlfn.XLOOKUP(tbEscolas[[#This Row],[ESCOLA]],tbNucleo[ESCOLA],tbNucleo[COD ESCOLA],"")</f>
        <v/>
      </c>
      <c r="B2702" t="str" cm="1">
        <f t="array" ref="B2702">IFERROR(INDEX(tbNucleo[ESCOLA],ROUNDUP(ROW(B2701)/TotalEtapas,0)),"")</f>
        <v/>
      </c>
      <c r="E2702" t="str">
        <f>IFERROR(VLOOKUP(tbEscolas[[#This Row],[COD ETPA]],tbEtapas[],2,FALSE),"")</f>
        <v/>
      </c>
      <c r="F2702" t="str">
        <f>IFERROR(VLOOKUP(tbEscolas[[#This Row],[COD ETPA]],tbEtapas[],3,FALSE),"")</f>
        <v/>
      </c>
    </row>
    <row r="2703" spans="1:6" x14ac:dyDescent="0.25">
      <c r="A2703" s="24" t="str">
        <f>_xlfn.XLOOKUP(tbEscolas[[#This Row],[ESCOLA]],tbNucleo[ESCOLA],tbNucleo[COD ESCOLA],"")</f>
        <v/>
      </c>
      <c r="B2703" t="str" cm="1">
        <f t="array" ref="B2703">IFERROR(INDEX(tbNucleo[ESCOLA],ROUNDUP(ROW(B2702)/TotalEtapas,0)),"")</f>
        <v/>
      </c>
      <c r="E2703" t="str">
        <f>IFERROR(VLOOKUP(tbEscolas[[#This Row],[COD ETPA]],tbEtapas[],2,FALSE),"")</f>
        <v/>
      </c>
      <c r="F2703" t="str">
        <f>IFERROR(VLOOKUP(tbEscolas[[#This Row],[COD ETPA]],tbEtapas[],3,FALSE),"")</f>
        <v/>
      </c>
    </row>
    <row r="2704" spans="1:6" x14ac:dyDescent="0.25">
      <c r="A2704" s="24" t="str">
        <f>_xlfn.XLOOKUP(tbEscolas[[#This Row],[ESCOLA]],tbNucleo[ESCOLA],tbNucleo[COD ESCOLA],"")</f>
        <v/>
      </c>
      <c r="B2704" t="str" cm="1">
        <f t="array" ref="B2704">IFERROR(INDEX(tbNucleo[ESCOLA],ROUNDUP(ROW(B2703)/TotalEtapas,0)),"")</f>
        <v/>
      </c>
      <c r="E2704" t="str">
        <f>IFERROR(VLOOKUP(tbEscolas[[#This Row],[COD ETPA]],tbEtapas[],2,FALSE),"")</f>
        <v/>
      </c>
      <c r="F2704" t="str">
        <f>IFERROR(VLOOKUP(tbEscolas[[#This Row],[COD ETPA]],tbEtapas[],3,FALSE),"")</f>
        <v/>
      </c>
    </row>
    <row r="2705" spans="1:6" x14ac:dyDescent="0.25">
      <c r="A2705" s="24" t="str">
        <f>_xlfn.XLOOKUP(tbEscolas[[#This Row],[ESCOLA]],tbNucleo[ESCOLA],tbNucleo[COD ESCOLA],"")</f>
        <v/>
      </c>
      <c r="B2705" t="str" cm="1">
        <f t="array" ref="B2705">IFERROR(INDEX(tbNucleo[ESCOLA],ROUNDUP(ROW(B2704)/TotalEtapas,0)),"")</f>
        <v/>
      </c>
      <c r="E2705" t="str">
        <f>IFERROR(VLOOKUP(tbEscolas[[#This Row],[COD ETPA]],tbEtapas[],2,FALSE),"")</f>
        <v/>
      </c>
      <c r="F2705" t="str">
        <f>IFERROR(VLOOKUP(tbEscolas[[#This Row],[COD ETPA]],tbEtapas[],3,FALSE),"")</f>
        <v/>
      </c>
    </row>
    <row r="2706" spans="1:6" x14ac:dyDescent="0.25">
      <c r="A2706" s="24" t="str">
        <f>_xlfn.XLOOKUP(tbEscolas[[#This Row],[ESCOLA]],tbNucleo[ESCOLA],tbNucleo[COD ESCOLA],"")</f>
        <v/>
      </c>
      <c r="B2706" t="str" cm="1">
        <f t="array" ref="B2706">IFERROR(INDEX(tbNucleo[ESCOLA],ROUNDUP(ROW(B2705)/TotalEtapas,0)),"")</f>
        <v/>
      </c>
      <c r="E2706" t="str">
        <f>IFERROR(VLOOKUP(tbEscolas[[#This Row],[COD ETPA]],tbEtapas[],2,FALSE),"")</f>
        <v/>
      </c>
      <c r="F2706" t="str">
        <f>IFERROR(VLOOKUP(tbEscolas[[#This Row],[COD ETPA]],tbEtapas[],3,FALSE),"")</f>
        <v/>
      </c>
    </row>
    <row r="2707" spans="1:6" x14ac:dyDescent="0.25">
      <c r="A2707" s="24" t="str">
        <f>_xlfn.XLOOKUP(tbEscolas[[#This Row],[ESCOLA]],tbNucleo[ESCOLA],tbNucleo[COD ESCOLA],"")</f>
        <v/>
      </c>
      <c r="B2707" t="str" cm="1">
        <f t="array" ref="B2707">IFERROR(INDEX(tbNucleo[ESCOLA],ROUNDUP(ROW(B2706)/TotalEtapas,0)),"")</f>
        <v/>
      </c>
      <c r="E2707" t="str">
        <f>IFERROR(VLOOKUP(tbEscolas[[#This Row],[COD ETPA]],tbEtapas[],2,FALSE),"")</f>
        <v/>
      </c>
      <c r="F2707" t="str">
        <f>IFERROR(VLOOKUP(tbEscolas[[#This Row],[COD ETPA]],tbEtapas[],3,FALSE),"")</f>
        <v/>
      </c>
    </row>
    <row r="2708" spans="1:6" x14ac:dyDescent="0.25">
      <c r="A2708" s="24" t="str">
        <f>_xlfn.XLOOKUP(tbEscolas[[#This Row],[ESCOLA]],tbNucleo[ESCOLA],tbNucleo[COD ESCOLA],"")</f>
        <v/>
      </c>
      <c r="B2708" t="str" cm="1">
        <f t="array" ref="B2708">IFERROR(INDEX(tbNucleo[ESCOLA],ROUNDUP(ROW(B2707)/TotalEtapas,0)),"")</f>
        <v/>
      </c>
      <c r="E2708" t="str">
        <f>IFERROR(VLOOKUP(tbEscolas[[#This Row],[COD ETPA]],tbEtapas[],2,FALSE),"")</f>
        <v/>
      </c>
      <c r="F2708" t="str">
        <f>IFERROR(VLOOKUP(tbEscolas[[#This Row],[COD ETPA]],tbEtapas[],3,FALSE),"")</f>
        <v/>
      </c>
    </row>
    <row r="2709" spans="1:6" x14ac:dyDescent="0.25">
      <c r="A2709" s="24" t="str">
        <f>_xlfn.XLOOKUP(tbEscolas[[#This Row],[ESCOLA]],tbNucleo[ESCOLA],tbNucleo[COD ESCOLA],"")</f>
        <v/>
      </c>
      <c r="B2709" t="str" cm="1">
        <f t="array" ref="B2709">IFERROR(INDEX(tbNucleo[ESCOLA],ROUNDUP(ROW(B2708)/TotalEtapas,0)),"")</f>
        <v/>
      </c>
      <c r="E2709" t="str">
        <f>IFERROR(VLOOKUP(tbEscolas[[#This Row],[COD ETPA]],tbEtapas[],2,FALSE),"")</f>
        <v/>
      </c>
      <c r="F2709" t="str">
        <f>IFERROR(VLOOKUP(tbEscolas[[#This Row],[COD ETPA]],tbEtapas[],3,FALSE),"")</f>
        <v/>
      </c>
    </row>
    <row r="2710" spans="1:6" x14ac:dyDescent="0.25">
      <c r="A2710" s="24" t="str">
        <f>_xlfn.XLOOKUP(tbEscolas[[#This Row],[ESCOLA]],tbNucleo[ESCOLA],tbNucleo[COD ESCOLA],"")</f>
        <v/>
      </c>
      <c r="B2710" t="str" cm="1">
        <f t="array" ref="B2710">IFERROR(INDEX(tbNucleo[ESCOLA],ROUNDUP(ROW(B2709)/TotalEtapas,0)),"")</f>
        <v/>
      </c>
      <c r="E2710" t="str">
        <f>IFERROR(VLOOKUP(tbEscolas[[#This Row],[COD ETPA]],tbEtapas[],2,FALSE),"")</f>
        <v/>
      </c>
      <c r="F2710" t="str">
        <f>IFERROR(VLOOKUP(tbEscolas[[#This Row],[COD ETPA]],tbEtapas[],3,FALSE),"")</f>
        <v/>
      </c>
    </row>
    <row r="2711" spans="1:6" x14ac:dyDescent="0.25">
      <c r="A2711" s="24" t="str">
        <f>_xlfn.XLOOKUP(tbEscolas[[#This Row],[ESCOLA]],tbNucleo[ESCOLA],tbNucleo[COD ESCOLA],"")</f>
        <v/>
      </c>
      <c r="B2711" t="str" cm="1">
        <f t="array" ref="B2711">IFERROR(INDEX(tbNucleo[ESCOLA],ROUNDUP(ROW(B2710)/TotalEtapas,0)),"")</f>
        <v/>
      </c>
      <c r="E2711" t="str">
        <f>IFERROR(VLOOKUP(tbEscolas[[#This Row],[COD ETPA]],tbEtapas[],2,FALSE),"")</f>
        <v/>
      </c>
      <c r="F2711" t="str">
        <f>IFERROR(VLOOKUP(tbEscolas[[#This Row],[COD ETPA]],tbEtapas[],3,FALSE),"")</f>
        <v/>
      </c>
    </row>
    <row r="2712" spans="1:6" x14ac:dyDescent="0.25">
      <c r="A2712" s="24" t="str">
        <f>_xlfn.XLOOKUP(tbEscolas[[#This Row],[ESCOLA]],tbNucleo[ESCOLA],tbNucleo[COD ESCOLA],"")</f>
        <v/>
      </c>
      <c r="B2712" t="str" cm="1">
        <f t="array" ref="B2712">IFERROR(INDEX(tbNucleo[ESCOLA],ROUNDUP(ROW(B2711)/TotalEtapas,0)),"")</f>
        <v/>
      </c>
      <c r="E2712" t="str">
        <f>IFERROR(VLOOKUP(tbEscolas[[#This Row],[COD ETPA]],tbEtapas[],2,FALSE),"")</f>
        <v/>
      </c>
      <c r="F2712" t="str">
        <f>IFERROR(VLOOKUP(tbEscolas[[#This Row],[COD ETPA]],tbEtapas[],3,FALSE),"")</f>
        <v/>
      </c>
    </row>
    <row r="2713" spans="1:6" x14ac:dyDescent="0.25">
      <c r="A2713" s="24" t="str">
        <f>_xlfn.XLOOKUP(tbEscolas[[#This Row],[ESCOLA]],tbNucleo[ESCOLA],tbNucleo[COD ESCOLA],"")</f>
        <v/>
      </c>
      <c r="B2713" t="str" cm="1">
        <f t="array" ref="B2713">IFERROR(INDEX(tbNucleo[ESCOLA],ROUNDUP(ROW(B2712)/TotalEtapas,0)),"")</f>
        <v/>
      </c>
      <c r="E2713" t="str">
        <f>IFERROR(VLOOKUP(tbEscolas[[#This Row],[COD ETPA]],tbEtapas[],2,FALSE),"")</f>
        <v/>
      </c>
      <c r="F2713" t="str">
        <f>IFERROR(VLOOKUP(tbEscolas[[#This Row],[COD ETPA]],tbEtapas[],3,FALSE),"")</f>
        <v/>
      </c>
    </row>
    <row r="2714" spans="1:6" x14ac:dyDescent="0.25">
      <c r="A2714" s="24" t="str">
        <f>_xlfn.XLOOKUP(tbEscolas[[#This Row],[ESCOLA]],tbNucleo[ESCOLA],tbNucleo[COD ESCOLA],"")</f>
        <v/>
      </c>
      <c r="B2714" t="str" cm="1">
        <f t="array" ref="B2714">IFERROR(INDEX(tbNucleo[ESCOLA],ROUNDUP(ROW(B2713)/TotalEtapas,0)),"")</f>
        <v/>
      </c>
      <c r="E2714" t="str">
        <f>IFERROR(VLOOKUP(tbEscolas[[#This Row],[COD ETPA]],tbEtapas[],2,FALSE),"")</f>
        <v/>
      </c>
      <c r="F2714" t="str">
        <f>IFERROR(VLOOKUP(tbEscolas[[#This Row],[COD ETPA]],tbEtapas[],3,FALSE),"")</f>
        <v/>
      </c>
    </row>
    <row r="2715" spans="1:6" x14ac:dyDescent="0.25">
      <c r="A2715" s="24" t="str">
        <f>_xlfn.XLOOKUP(tbEscolas[[#This Row],[ESCOLA]],tbNucleo[ESCOLA],tbNucleo[COD ESCOLA],"")</f>
        <v/>
      </c>
      <c r="B2715" t="str" cm="1">
        <f t="array" ref="B2715">IFERROR(INDEX(tbNucleo[ESCOLA],ROUNDUP(ROW(B2714)/TotalEtapas,0)),"")</f>
        <v/>
      </c>
      <c r="E2715" t="str">
        <f>IFERROR(VLOOKUP(tbEscolas[[#This Row],[COD ETPA]],tbEtapas[],2,FALSE),"")</f>
        <v/>
      </c>
      <c r="F2715" t="str">
        <f>IFERROR(VLOOKUP(tbEscolas[[#This Row],[COD ETPA]],tbEtapas[],3,FALSE),"")</f>
        <v/>
      </c>
    </row>
    <row r="2716" spans="1:6" x14ac:dyDescent="0.25">
      <c r="A2716" s="24" t="str">
        <f>_xlfn.XLOOKUP(tbEscolas[[#This Row],[ESCOLA]],tbNucleo[ESCOLA],tbNucleo[COD ESCOLA],"")</f>
        <v/>
      </c>
      <c r="B2716" t="str" cm="1">
        <f t="array" ref="B2716">IFERROR(INDEX(tbNucleo[ESCOLA],ROUNDUP(ROW(B2715)/TotalEtapas,0)),"")</f>
        <v/>
      </c>
      <c r="E2716" t="str">
        <f>IFERROR(VLOOKUP(tbEscolas[[#This Row],[COD ETPA]],tbEtapas[],2,FALSE),"")</f>
        <v/>
      </c>
      <c r="F2716" t="str">
        <f>IFERROR(VLOOKUP(tbEscolas[[#This Row],[COD ETPA]],tbEtapas[],3,FALSE),"")</f>
        <v/>
      </c>
    </row>
    <row r="2717" spans="1:6" x14ac:dyDescent="0.25">
      <c r="A2717" s="24" t="str">
        <f>_xlfn.XLOOKUP(tbEscolas[[#This Row],[ESCOLA]],tbNucleo[ESCOLA],tbNucleo[COD ESCOLA],"")</f>
        <v/>
      </c>
      <c r="B2717" t="str" cm="1">
        <f t="array" ref="B2717">IFERROR(INDEX(tbNucleo[ESCOLA],ROUNDUP(ROW(B2716)/TotalEtapas,0)),"")</f>
        <v/>
      </c>
      <c r="E2717" t="str">
        <f>IFERROR(VLOOKUP(tbEscolas[[#This Row],[COD ETPA]],tbEtapas[],2,FALSE),"")</f>
        <v/>
      </c>
      <c r="F2717" t="str">
        <f>IFERROR(VLOOKUP(tbEscolas[[#This Row],[COD ETPA]],tbEtapas[],3,FALSE),"")</f>
        <v/>
      </c>
    </row>
    <row r="2718" spans="1:6" x14ac:dyDescent="0.25">
      <c r="A2718" s="24" t="str">
        <f>_xlfn.XLOOKUP(tbEscolas[[#This Row],[ESCOLA]],tbNucleo[ESCOLA],tbNucleo[COD ESCOLA],"")</f>
        <v/>
      </c>
      <c r="B2718" t="str" cm="1">
        <f t="array" ref="B2718">IFERROR(INDEX(tbNucleo[ESCOLA],ROUNDUP(ROW(B2717)/TotalEtapas,0)),"")</f>
        <v/>
      </c>
      <c r="E2718" t="str">
        <f>IFERROR(VLOOKUP(tbEscolas[[#This Row],[COD ETPA]],tbEtapas[],2,FALSE),"")</f>
        <v/>
      </c>
      <c r="F2718" t="str">
        <f>IFERROR(VLOOKUP(tbEscolas[[#This Row],[COD ETPA]],tbEtapas[],3,FALSE),"")</f>
        <v/>
      </c>
    </row>
    <row r="2719" spans="1:6" x14ac:dyDescent="0.25">
      <c r="A2719" s="24" t="str">
        <f>_xlfn.XLOOKUP(tbEscolas[[#This Row],[ESCOLA]],tbNucleo[ESCOLA],tbNucleo[COD ESCOLA],"")</f>
        <v/>
      </c>
      <c r="B2719" t="str" cm="1">
        <f t="array" ref="B2719">IFERROR(INDEX(tbNucleo[ESCOLA],ROUNDUP(ROW(B2718)/TotalEtapas,0)),"")</f>
        <v/>
      </c>
      <c r="E2719" t="str">
        <f>IFERROR(VLOOKUP(tbEscolas[[#This Row],[COD ETPA]],tbEtapas[],2,FALSE),"")</f>
        <v/>
      </c>
      <c r="F2719" t="str">
        <f>IFERROR(VLOOKUP(tbEscolas[[#This Row],[COD ETPA]],tbEtapas[],3,FALSE),"")</f>
        <v/>
      </c>
    </row>
    <row r="2720" spans="1:6" x14ac:dyDescent="0.25">
      <c r="A2720" s="24" t="str">
        <f>_xlfn.XLOOKUP(tbEscolas[[#This Row],[ESCOLA]],tbNucleo[ESCOLA],tbNucleo[COD ESCOLA],"")</f>
        <v/>
      </c>
      <c r="B2720" t="str" cm="1">
        <f t="array" ref="B2720">IFERROR(INDEX(tbNucleo[ESCOLA],ROUNDUP(ROW(B2719)/TotalEtapas,0)),"")</f>
        <v/>
      </c>
      <c r="E2720" t="str">
        <f>IFERROR(VLOOKUP(tbEscolas[[#This Row],[COD ETPA]],tbEtapas[],2,FALSE),"")</f>
        <v/>
      </c>
      <c r="F2720" t="str">
        <f>IFERROR(VLOOKUP(tbEscolas[[#This Row],[COD ETPA]],tbEtapas[],3,FALSE),"")</f>
        <v/>
      </c>
    </row>
    <row r="2721" spans="1:6" x14ac:dyDescent="0.25">
      <c r="A2721" s="24" t="str">
        <f>_xlfn.XLOOKUP(tbEscolas[[#This Row],[ESCOLA]],tbNucleo[ESCOLA],tbNucleo[COD ESCOLA],"")</f>
        <v/>
      </c>
      <c r="B2721" t="str" cm="1">
        <f t="array" ref="B2721">IFERROR(INDEX(tbNucleo[ESCOLA],ROUNDUP(ROW(B2720)/TotalEtapas,0)),"")</f>
        <v/>
      </c>
      <c r="E2721" t="str">
        <f>IFERROR(VLOOKUP(tbEscolas[[#This Row],[COD ETPA]],tbEtapas[],2,FALSE),"")</f>
        <v/>
      </c>
      <c r="F2721" t="str">
        <f>IFERROR(VLOOKUP(tbEscolas[[#This Row],[COD ETPA]],tbEtapas[],3,FALSE),"")</f>
        <v/>
      </c>
    </row>
    <row r="2722" spans="1:6" x14ac:dyDescent="0.25">
      <c r="A2722" s="24" t="str">
        <f>_xlfn.XLOOKUP(tbEscolas[[#This Row],[ESCOLA]],tbNucleo[ESCOLA],tbNucleo[COD ESCOLA],"")</f>
        <v/>
      </c>
      <c r="B2722" t="str" cm="1">
        <f t="array" ref="B2722">IFERROR(INDEX(tbNucleo[ESCOLA],ROUNDUP(ROW(B2721)/TotalEtapas,0)),"")</f>
        <v/>
      </c>
      <c r="E2722" t="str">
        <f>IFERROR(VLOOKUP(tbEscolas[[#This Row],[COD ETPA]],tbEtapas[],2,FALSE),"")</f>
        <v/>
      </c>
      <c r="F2722" t="str">
        <f>IFERROR(VLOOKUP(tbEscolas[[#This Row],[COD ETPA]],tbEtapas[],3,FALSE),"")</f>
        <v/>
      </c>
    </row>
    <row r="2723" spans="1:6" x14ac:dyDescent="0.25">
      <c r="A2723" s="24" t="str">
        <f>_xlfn.XLOOKUP(tbEscolas[[#This Row],[ESCOLA]],tbNucleo[ESCOLA],tbNucleo[COD ESCOLA],"")</f>
        <v/>
      </c>
      <c r="B2723" t="str" cm="1">
        <f t="array" ref="B2723">IFERROR(INDEX(tbNucleo[ESCOLA],ROUNDUP(ROW(B2722)/TotalEtapas,0)),"")</f>
        <v/>
      </c>
      <c r="E2723" t="str">
        <f>IFERROR(VLOOKUP(tbEscolas[[#This Row],[COD ETPA]],tbEtapas[],2,FALSE),"")</f>
        <v/>
      </c>
      <c r="F2723" t="str">
        <f>IFERROR(VLOOKUP(tbEscolas[[#This Row],[COD ETPA]],tbEtapas[],3,FALSE),"")</f>
        <v/>
      </c>
    </row>
    <row r="2724" spans="1:6" x14ac:dyDescent="0.25">
      <c r="A2724" s="24" t="str">
        <f>_xlfn.XLOOKUP(tbEscolas[[#This Row],[ESCOLA]],tbNucleo[ESCOLA],tbNucleo[COD ESCOLA],"")</f>
        <v/>
      </c>
      <c r="B2724" t="str" cm="1">
        <f t="array" ref="B2724">IFERROR(INDEX(tbNucleo[ESCOLA],ROUNDUP(ROW(B2723)/TotalEtapas,0)),"")</f>
        <v/>
      </c>
      <c r="E2724" t="str">
        <f>IFERROR(VLOOKUP(tbEscolas[[#This Row],[COD ETPA]],tbEtapas[],2,FALSE),"")</f>
        <v/>
      </c>
      <c r="F2724" t="str">
        <f>IFERROR(VLOOKUP(tbEscolas[[#This Row],[COD ETPA]],tbEtapas[],3,FALSE),"")</f>
        <v/>
      </c>
    </row>
    <row r="2725" spans="1:6" x14ac:dyDescent="0.25">
      <c r="A2725" s="24" t="str">
        <f>_xlfn.XLOOKUP(tbEscolas[[#This Row],[ESCOLA]],tbNucleo[ESCOLA],tbNucleo[COD ESCOLA],"")</f>
        <v/>
      </c>
      <c r="B2725" t="str" cm="1">
        <f t="array" ref="B2725">IFERROR(INDEX(tbNucleo[ESCOLA],ROUNDUP(ROW(B2724)/TotalEtapas,0)),"")</f>
        <v/>
      </c>
      <c r="E2725" t="str">
        <f>IFERROR(VLOOKUP(tbEscolas[[#This Row],[COD ETPA]],tbEtapas[],2,FALSE),"")</f>
        <v/>
      </c>
      <c r="F2725" t="str">
        <f>IFERROR(VLOOKUP(tbEscolas[[#This Row],[COD ETPA]],tbEtapas[],3,FALSE),"")</f>
        <v/>
      </c>
    </row>
    <row r="2726" spans="1:6" x14ac:dyDescent="0.25">
      <c r="A2726" s="24" t="str">
        <f>_xlfn.XLOOKUP(tbEscolas[[#This Row],[ESCOLA]],tbNucleo[ESCOLA],tbNucleo[COD ESCOLA],"")</f>
        <v/>
      </c>
      <c r="B2726" t="str" cm="1">
        <f t="array" ref="B2726">IFERROR(INDEX(tbNucleo[ESCOLA],ROUNDUP(ROW(B2725)/TotalEtapas,0)),"")</f>
        <v/>
      </c>
      <c r="E2726" t="str">
        <f>IFERROR(VLOOKUP(tbEscolas[[#This Row],[COD ETPA]],tbEtapas[],2,FALSE),"")</f>
        <v/>
      </c>
      <c r="F2726" t="str">
        <f>IFERROR(VLOOKUP(tbEscolas[[#This Row],[COD ETPA]],tbEtapas[],3,FALSE),"")</f>
        <v/>
      </c>
    </row>
    <row r="2727" spans="1:6" x14ac:dyDescent="0.25">
      <c r="A2727" s="24" t="str">
        <f>_xlfn.XLOOKUP(tbEscolas[[#This Row],[ESCOLA]],tbNucleo[ESCOLA],tbNucleo[COD ESCOLA],"")</f>
        <v/>
      </c>
      <c r="B2727" t="str" cm="1">
        <f t="array" ref="B2727">IFERROR(INDEX(tbNucleo[ESCOLA],ROUNDUP(ROW(B2726)/TotalEtapas,0)),"")</f>
        <v/>
      </c>
      <c r="E2727" t="str">
        <f>IFERROR(VLOOKUP(tbEscolas[[#This Row],[COD ETPA]],tbEtapas[],2,FALSE),"")</f>
        <v/>
      </c>
      <c r="F2727" t="str">
        <f>IFERROR(VLOOKUP(tbEscolas[[#This Row],[COD ETPA]],tbEtapas[],3,FALSE),"")</f>
        <v/>
      </c>
    </row>
    <row r="2728" spans="1:6" x14ac:dyDescent="0.25">
      <c r="A2728" s="24" t="str">
        <f>_xlfn.XLOOKUP(tbEscolas[[#This Row],[ESCOLA]],tbNucleo[ESCOLA],tbNucleo[COD ESCOLA],"")</f>
        <v/>
      </c>
      <c r="B2728" t="str" cm="1">
        <f t="array" ref="B2728">IFERROR(INDEX(tbNucleo[ESCOLA],ROUNDUP(ROW(B2727)/TotalEtapas,0)),"")</f>
        <v/>
      </c>
      <c r="E2728" t="str">
        <f>IFERROR(VLOOKUP(tbEscolas[[#This Row],[COD ETPA]],tbEtapas[],2,FALSE),"")</f>
        <v/>
      </c>
      <c r="F2728" t="str">
        <f>IFERROR(VLOOKUP(tbEscolas[[#This Row],[COD ETPA]],tbEtapas[],3,FALSE),"")</f>
        <v/>
      </c>
    </row>
    <row r="2729" spans="1:6" x14ac:dyDescent="0.25">
      <c r="A2729" s="24" t="str">
        <f>_xlfn.XLOOKUP(tbEscolas[[#This Row],[ESCOLA]],tbNucleo[ESCOLA],tbNucleo[COD ESCOLA],"")</f>
        <v/>
      </c>
      <c r="B2729" t="str" cm="1">
        <f t="array" ref="B2729">IFERROR(INDEX(tbNucleo[ESCOLA],ROUNDUP(ROW(B2728)/TotalEtapas,0)),"")</f>
        <v/>
      </c>
      <c r="E2729" t="str">
        <f>IFERROR(VLOOKUP(tbEscolas[[#This Row],[COD ETPA]],tbEtapas[],2,FALSE),"")</f>
        <v/>
      </c>
      <c r="F2729" t="str">
        <f>IFERROR(VLOOKUP(tbEscolas[[#This Row],[COD ETPA]],tbEtapas[],3,FALSE),"")</f>
        <v/>
      </c>
    </row>
    <row r="2730" spans="1:6" x14ac:dyDescent="0.25">
      <c r="A2730" s="24" t="str">
        <f>_xlfn.XLOOKUP(tbEscolas[[#This Row],[ESCOLA]],tbNucleo[ESCOLA],tbNucleo[COD ESCOLA],"")</f>
        <v/>
      </c>
      <c r="B2730" t="str" cm="1">
        <f t="array" ref="B2730">IFERROR(INDEX(tbNucleo[ESCOLA],ROUNDUP(ROW(B2729)/TotalEtapas,0)),"")</f>
        <v/>
      </c>
      <c r="E2730" t="str">
        <f>IFERROR(VLOOKUP(tbEscolas[[#This Row],[COD ETPA]],tbEtapas[],2,FALSE),"")</f>
        <v/>
      </c>
      <c r="F2730" t="str">
        <f>IFERROR(VLOOKUP(tbEscolas[[#This Row],[COD ETPA]],tbEtapas[],3,FALSE),"")</f>
        <v/>
      </c>
    </row>
    <row r="2731" spans="1:6" x14ac:dyDescent="0.25">
      <c r="A2731" s="24" t="str">
        <f>_xlfn.XLOOKUP(tbEscolas[[#This Row],[ESCOLA]],tbNucleo[ESCOLA],tbNucleo[COD ESCOLA],"")</f>
        <v/>
      </c>
      <c r="B2731" t="str" cm="1">
        <f t="array" ref="B2731">IFERROR(INDEX(tbNucleo[ESCOLA],ROUNDUP(ROW(B2730)/TotalEtapas,0)),"")</f>
        <v/>
      </c>
      <c r="E2731" t="str">
        <f>IFERROR(VLOOKUP(tbEscolas[[#This Row],[COD ETPA]],tbEtapas[],2,FALSE),"")</f>
        <v/>
      </c>
      <c r="F2731" t="str">
        <f>IFERROR(VLOOKUP(tbEscolas[[#This Row],[COD ETPA]],tbEtapas[],3,FALSE),"")</f>
        <v/>
      </c>
    </row>
    <row r="2732" spans="1:6" x14ac:dyDescent="0.25">
      <c r="A2732" s="24" t="str">
        <f>_xlfn.XLOOKUP(tbEscolas[[#This Row],[ESCOLA]],tbNucleo[ESCOLA],tbNucleo[COD ESCOLA],"")</f>
        <v/>
      </c>
      <c r="B2732" t="str" cm="1">
        <f t="array" ref="B2732">IFERROR(INDEX(tbNucleo[ESCOLA],ROUNDUP(ROW(B2731)/TotalEtapas,0)),"")</f>
        <v/>
      </c>
      <c r="E2732" t="str">
        <f>IFERROR(VLOOKUP(tbEscolas[[#This Row],[COD ETPA]],tbEtapas[],2,FALSE),"")</f>
        <v/>
      </c>
      <c r="F2732" t="str">
        <f>IFERROR(VLOOKUP(tbEscolas[[#This Row],[COD ETPA]],tbEtapas[],3,FALSE),"")</f>
        <v/>
      </c>
    </row>
    <row r="2733" spans="1:6" x14ac:dyDescent="0.25">
      <c r="A2733" s="24" t="str">
        <f>_xlfn.XLOOKUP(tbEscolas[[#This Row],[ESCOLA]],tbNucleo[ESCOLA],tbNucleo[COD ESCOLA],"")</f>
        <v/>
      </c>
      <c r="B2733" t="str" cm="1">
        <f t="array" ref="B2733">IFERROR(INDEX(tbNucleo[ESCOLA],ROUNDUP(ROW(B2732)/TotalEtapas,0)),"")</f>
        <v/>
      </c>
      <c r="E2733" t="str">
        <f>IFERROR(VLOOKUP(tbEscolas[[#This Row],[COD ETPA]],tbEtapas[],2,FALSE),"")</f>
        <v/>
      </c>
      <c r="F2733" t="str">
        <f>IFERROR(VLOOKUP(tbEscolas[[#This Row],[COD ETPA]],tbEtapas[],3,FALSE),"")</f>
        <v/>
      </c>
    </row>
    <row r="2734" spans="1:6" x14ac:dyDescent="0.25">
      <c r="A2734" s="24" t="str">
        <f>_xlfn.XLOOKUP(tbEscolas[[#This Row],[ESCOLA]],tbNucleo[ESCOLA],tbNucleo[COD ESCOLA],"")</f>
        <v/>
      </c>
      <c r="B2734" t="str" cm="1">
        <f t="array" ref="B2734">IFERROR(INDEX(tbNucleo[ESCOLA],ROUNDUP(ROW(B2733)/TotalEtapas,0)),"")</f>
        <v/>
      </c>
      <c r="E2734" t="str">
        <f>IFERROR(VLOOKUP(tbEscolas[[#This Row],[COD ETPA]],tbEtapas[],2,FALSE),"")</f>
        <v/>
      </c>
      <c r="F2734" t="str">
        <f>IFERROR(VLOOKUP(tbEscolas[[#This Row],[COD ETPA]],tbEtapas[],3,FALSE),"")</f>
        <v/>
      </c>
    </row>
    <row r="2735" spans="1:6" x14ac:dyDescent="0.25">
      <c r="A2735" s="24" t="str">
        <f>_xlfn.XLOOKUP(tbEscolas[[#This Row],[ESCOLA]],tbNucleo[ESCOLA],tbNucleo[COD ESCOLA],"")</f>
        <v/>
      </c>
      <c r="B2735" t="str" cm="1">
        <f t="array" ref="B2735">IFERROR(INDEX(tbNucleo[ESCOLA],ROUNDUP(ROW(B2734)/TotalEtapas,0)),"")</f>
        <v/>
      </c>
      <c r="E2735" t="str">
        <f>IFERROR(VLOOKUP(tbEscolas[[#This Row],[COD ETPA]],tbEtapas[],2,FALSE),"")</f>
        <v/>
      </c>
      <c r="F2735" t="str">
        <f>IFERROR(VLOOKUP(tbEscolas[[#This Row],[COD ETPA]],tbEtapas[],3,FALSE),"")</f>
        <v/>
      </c>
    </row>
    <row r="2736" spans="1:6" x14ac:dyDescent="0.25">
      <c r="A2736" s="24" t="str">
        <f>_xlfn.XLOOKUP(tbEscolas[[#This Row],[ESCOLA]],tbNucleo[ESCOLA],tbNucleo[COD ESCOLA],"")</f>
        <v/>
      </c>
      <c r="B2736" t="str" cm="1">
        <f t="array" ref="B2736">IFERROR(INDEX(tbNucleo[ESCOLA],ROUNDUP(ROW(B2735)/TotalEtapas,0)),"")</f>
        <v/>
      </c>
      <c r="E2736" t="str">
        <f>IFERROR(VLOOKUP(tbEscolas[[#This Row],[COD ETPA]],tbEtapas[],2,FALSE),"")</f>
        <v/>
      </c>
      <c r="F2736" t="str">
        <f>IFERROR(VLOOKUP(tbEscolas[[#This Row],[COD ETPA]],tbEtapas[],3,FALSE),"")</f>
        <v/>
      </c>
    </row>
    <row r="2737" spans="1:6" x14ac:dyDescent="0.25">
      <c r="A2737" s="24" t="str">
        <f>_xlfn.XLOOKUP(tbEscolas[[#This Row],[ESCOLA]],tbNucleo[ESCOLA],tbNucleo[COD ESCOLA],"")</f>
        <v/>
      </c>
      <c r="B2737" t="str" cm="1">
        <f t="array" ref="B2737">IFERROR(INDEX(tbNucleo[ESCOLA],ROUNDUP(ROW(B2736)/TotalEtapas,0)),"")</f>
        <v/>
      </c>
      <c r="E2737" t="str">
        <f>IFERROR(VLOOKUP(tbEscolas[[#This Row],[COD ETPA]],tbEtapas[],2,FALSE),"")</f>
        <v/>
      </c>
      <c r="F2737" t="str">
        <f>IFERROR(VLOOKUP(tbEscolas[[#This Row],[COD ETPA]],tbEtapas[],3,FALSE),"")</f>
        <v/>
      </c>
    </row>
    <row r="2738" spans="1:6" x14ac:dyDescent="0.25">
      <c r="A2738" s="24" t="str">
        <f>_xlfn.XLOOKUP(tbEscolas[[#This Row],[ESCOLA]],tbNucleo[ESCOLA],tbNucleo[COD ESCOLA],"")</f>
        <v/>
      </c>
      <c r="B2738" t="str" cm="1">
        <f t="array" ref="B2738">IFERROR(INDEX(tbNucleo[ESCOLA],ROUNDUP(ROW(B2737)/TotalEtapas,0)),"")</f>
        <v/>
      </c>
      <c r="E2738" t="str">
        <f>IFERROR(VLOOKUP(tbEscolas[[#This Row],[COD ETPA]],tbEtapas[],2,FALSE),"")</f>
        <v/>
      </c>
      <c r="F2738" t="str">
        <f>IFERROR(VLOOKUP(tbEscolas[[#This Row],[COD ETPA]],tbEtapas[],3,FALSE),"")</f>
        <v/>
      </c>
    </row>
    <row r="2739" spans="1:6" x14ac:dyDescent="0.25">
      <c r="A2739" s="24" t="str">
        <f>_xlfn.XLOOKUP(tbEscolas[[#This Row],[ESCOLA]],tbNucleo[ESCOLA],tbNucleo[COD ESCOLA],"")</f>
        <v/>
      </c>
      <c r="B2739" t="str" cm="1">
        <f t="array" ref="B2739">IFERROR(INDEX(tbNucleo[ESCOLA],ROUNDUP(ROW(B2738)/TotalEtapas,0)),"")</f>
        <v/>
      </c>
      <c r="E2739" t="str">
        <f>IFERROR(VLOOKUP(tbEscolas[[#This Row],[COD ETPA]],tbEtapas[],2,FALSE),"")</f>
        <v/>
      </c>
      <c r="F2739" t="str">
        <f>IFERROR(VLOOKUP(tbEscolas[[#This Row],[COD ETPA]],tbEtapas[],3,FALSE),"")</f>
        <v/>
      </c>
    </row>
    <row r="2740" spans="1:6" x14ac:dyDescent="0.25">
      <c r="A2740" s="24" t="str">
        <f>_xlfn.XLOOKUP(tbEscolas[[#This Row],[ESCOLA]],tbNucleo[ESCOLA],tbNucleo[COD ESCOLA],"")</f>
        <v/>
      </c>
      <c r="B2740" t="str" cm="1">
        <f t="array" ref="B2740">IFERROR(INDEX(tbNucleo[ESCOLA],ROUNDUP(ROW(B2739)/TotalEtapas,0)),"")</f>
        <v/>
      </c>
      <c r="E2740" t="str">
        <f>IFERROR(VLOOKUP(tbEscolas[[#This Row],[COD ETPA]],tbEtapas[],2,FALSE),"")</f>
        <v/>
      </c>
      <c r="F2740" t="str">
        <f>IFERROR(VLOOKUP(tbEscolas[[#This Row],[COD ETPA]],tbEtapas[],3,FALSE),"")</f>
        <v/>
      </c>
    </row>
    <row r="2741" spans="1:6" x14ac:dyDescent="0.25">
      <c r="A2741" s="24" t="str">
        <f>_xlfn.XLOOKUP(tbEscolas[[#This Row],[ESCOLA]],tbNucleo[ESCOLA],tbNucleo[COD ESCOLA],"")</f>
        <v/>
      </c>
      <c r="B2741" t="str" cm="1">
        <f t="array" ref="B2741">IFERROR(INDEX(tbNucleo[ESCOLA],ROUNDUP(ROW(B2740)/TotalEtapas,0)),"")</f>
        <v/>
      </c>
      <c r="E2741" t="str">
        <f>IFERROR(VLOOKUP(tbEscolas[[#This Row],[COD ETPA]],tbEtapas[],2,FALSE),"")</f>
        <v/>
      </c>
      <c r="F2741" t="str">
        <f>IFERROR(VLOOKUP(tbEscolas[[#This Row],[COD ETPA]],tbEtapas[],3,FALSE),"")</f>
        <v/>
      </c>
    </row>
    <row r="2742" spans="1:6" x14ac:dyDescent="0.25">
      <c r="A2742" s="24" t="str">
        <f>_xlfn.XLOOKUP(tbEscolas[[#This Row],[ESCOLA]],tbNucleo[ESCOLA],tbNucleo[COD ESCOLA],"")</f>
        <v/>
      </c>
      <c r="B2742" t="str" cm="1">
        <f t="array" ref="B2742">IFERROR(INDEX(tbNucleo[ESCOLA],ROUNDUP(ROW(B2741)/TotalEtapas,0)),"")</f>
        <v/>
      </c>
      <c r="E2742" t="str">
        <f>IFERROR(VLOOKUP(tbEscolas[[#This Row],[COD ETPA]],tbEtapas[],2,FALSE),"")</f>
        <v/>
      </c>
      <c r="F2742" t="str">
        <f>IFERROR(VLOOKUP(tbEscolas[[#This Row],[COD ETPA]],tbEtapas[],3,FALSE),"")</f>
        <v/>
      </c>
    </row>
    <row r="2743" spans="1:6" x14ac:dyDescent="0.25">
      <c r="A2743" s="24" t="str">
        <f>_xlfn.XLOOKUP(tbEscolas[[#This Row],[ESCOLA]],tbNucleo[ESCOLA],tbNucleo[COD ESCOLA],"")</f>
        <v/>
      </c>
      <c r="B2743" t="str" cm="1">
        <f t="array" ref="B2743">IFERROR(INDEX(tbNucleo[ESCOLA],ROUNDUP(ROW(B2742)/TotalEtapas,0)),"")</f>
        <v/>
      </c>
      <c r="E2743" t="str">
        <f>IFERROR(VLOOKUP(tbEscolas[[#This Row],[COD ETPA]],tbEtapas[],2,FALSE),"")</f>
        <v/>
      </c>
      <c r="F2743" t="str">
        <f>IFERROR(VLOOKUP(tbEscolas[[#This Row],[COD ETPA]],tbEtapas[],3,FALSE),"")</f>
        <v/>
      </c>
    </row>
    <row r="2744" spans="1:6" x14ac:dyDescent="0.25">
      <c r="A2744" s="24" t="str">
        <f>_xlfn.XLOOKUP(tbEscolas[[#This Row],[ESCOLA]],tbNucleo[ESCOLA],tbNucleo[COD ESCOLA],"")</f>
        <v/>
      </c>
      <c r="B2744" t="str" cm="1">
        <f t="array" ref="B2744">IFERROR(INDEX(tbNucleo[ESCOLA],ROUNDUP(ROW(B2743)/TotalEtapas,0)),"")</f>
        <v/>
      </c>
      <c r="E2744" t="str">
        <f>IFERROR(VLOOKUP(tbEscolas[[#This Row],[COD ETPA]],tbEtapas[],2,FALSE),"")</f>
        <v/>
      </c>
      <c r="F2744" t="str">
        <f>IFERROR(VLOOKUP(tbEscolas[[#This Row],[COD ETPA]],tbEtapas[],3,FALSE),"")</f>
        <v/>
      </c>
    </row>
    <row r="2745" spans="1:6" x14ac:dyDescent="0.25">
      <c r="A2745" s="24" t="str">
        <f>_xlfn.XLOOKUP(tbEscolas[[#This Row],[ESCOLA]],tbNucleo[ESCOLA],tbNucleo[COD ESCOLA],"")</f>
        <v/>
      </c>
      <c r="B2745" t="str" cm="1">
        <f t="array" ref="B2745">IFERROR(INDEX(tbNucleo[ESCOLA],ROUNDUP(ROW(B2744)/TotalEtapas,0)),"")</f>
        <v/>
      </c>
      <c r="E2745" t="str">
        <f>IFERROR(VLOOKUP(tbEscolas[[#This Row],[COD ETPA]],tbEtapas[],2,FALSE),"")</f>
        <v/>
      </c>
      <c r="F2745" t="str">
        <f>IFERROR(VLOOKUP(tbEscolas[[#This Row],[COD ETPA]],tbEtapas[],3,FALSE),"")</f>
        <v/>
      </c>
    </row>
    <row r="2746" spans="1:6" x14ac:dyDescent="0.25">
      <c r="A2746" s="24" t="str">
        <f>_xlfn.XLOOKUP(tbEscolas[[#This Row],[ESCOLA]],tbNucleo[ESCOLA],tbNucleo[COD ESCOLA],"")</f>
        <v/>
      </c>
      <c r="B2746" t="str" cm="1">
        <f t="array" ref="B2746">IFERROR(INDEX(tbNucleo[ESCOLA],ROUNDUP(ROW(B2745)/TotalEtapas,0)),"")</f>
        <v/>
      </c>
      <c r="E2746" t="str">
        <f>IFERROR(VLOOKUP(tbEscolas[[#This Row],[COD ETPA]],tbEtapas[],2,FALSE),"")</f>
        <v/>
      </c>
      <c r="F2746" t="str">
        <f>IFERROR(VLOOKUP(tbEscolas[[#This Row],[COD ETPA]],tbEtapas[],3,FALSE),"")</f>
        <v/>
      </c>
    </row>
    <row r="2747" spans="1:6" x14ac:dyDescent="0.25">
      <c r="A2747" s="24" t="str">
        <f>_xlfn.XLOOKUP(tbEscolas[[#This Row],[ESCOLA]],tbNucleo[ESCOLA],tbNucleo[COD ESCOLA],"")</f>
        <v/>
      </c>
      <c r="B2747" t="str" cm="1">
        <f t="array" ref="B2747">IFERROR(INDEX(tbNucleo[ESCOLA],ROUNDUP(ROW(B2746)/TotalEtapas,0)),"")</f>
        <v/>
      </c>
      <c r="E2747" t="str">
        <f>IFERROR(VLOOKUP(tbEscolas[[#This Row],[COD ETPA]],tbEtapas[],2,FALSE),"")</f>
        <v/>
      </c>
      <c r="F2747" t="str">
        <f>IFERROR(VLOOKUP(tbEscolas[[#This Row],[COD ETPA]],tbEtapas[],3,FALSE),"")</f>
        <v/>
      </c>
    </row>
    <row r="2748" spans="1:6" x14ac:dyDescent="0.25">
      <c r="A2748" s="24" t="str">
        <f>_xlfn.XLOOKUP(tbEscolas[[#This Row],[ESCOLA]],tbNucleo[ESCOLA],tbNucleo[COD ESCOLA],"")</f>
        <v/>
      </c>
      <c r="B2748" t="str" cm="1">
        <f t="array" ref="B2748">IFERROR(INDEX(tbNucleo[ESCOLA],ROUNDUP(ROW(B2747)/TotalEtapas,0)),"")</f>
        <v/>
      </c>
      <c r="E2748" t="str">
        <f>IFERROR(VLOOKUP(tbEscolas[[#This Row],[COD ETPA]],tbEtapas[],2,FALSE),"")</f>
        <v/>
      </c>
      <c r="F2748" t="str">
        <f>IFERROR(VLOOKUP(tbEscolas[[#This Row],[COD ETPA]],tbEtapas[],3,FALSE),"")</f>
        <v/>
      </c>
    </row>
    <row r="2749" spans="1:6" x14ac:dyDescent="0.25">
      <c r="A2749" s="24" t="str">
        <f>_xlfn.XLOOKUP(tbEscolas[[#This Row],[ESCOLA]],tbNucleo[ESCOLA],tbNucleo[COD ESCOLA],"")</f>
        <v/>
      </c>
      <c r="B2749" t="str" cm="1">
        <f t="array" ref="B2749">IFERROR(INDEX(tbNucleo[ESCOLA],ROUNDUP(ROW(B2748)/TotalEtapas,0)),"")</f>
        <v/>
      </c>
      <c r="E2749" t="str">
        <f>IFERROR(VLOOKUP(tbEscolas[[#This Row],[COD ETPA]],tbEtapas[],2,FALSE),"")</f>
        <v/>
      </c>
      <c r="F2749" t="str">
        <f>IFERROR(VLOOKUP(tbEscolas[[#This Row],[COD ETPA]],tbEtapas[],3,FALSE),"")</f>
        <v/>
      </c>
    </row>
    <row r="2750" spans="1:6" x14ac:dyDescent="0.25">
      <c r="A2750" s="24" t="str">
        <f>_xlfn.XLOOKUP(tbEscolas[[#This Row],[ESCOLA]],tbNucleo[ESCOLA],tbNucleo[COD ESCOLA],"")</f>
        <v/>
      </c>
      <c r="B2750" t="str" cm="1">
        <f t="array" ref="B2750">IFERROR(INDEX(tbNucleo[ESCOLA],ROUNDUP(ROW(B2749)/TotalEtapas,0)),"")</f>
        <v/>
      </c>
      <c r="E2750" t="str">
        <f>IFERROR(VLOOKUP(tbEscolas[[#This Row],[COD ETPA]],tbEtapas[],2,FALSE),"")</f>
        <v/>
      </c>
      <c r="F2750" t="str">
        <f>IFERROR(VLOOKUP(tbEscolas[[#This Row],[COD ETPA]],tbEtapas[],3,FALSE),"")</f>
        <v/>
      </c>
    </row>
    <row r="2751" spans="1:6" x14ac:dyDescent="0.25">
      <c r="A2751" s="24" t="str">
        <f>_xlfn.XLOOKUP(tbEscolas[[#This Row],[ESCOLA]],tbNucleo[ESCOLA],tbNucleo[COD ESCOLA],"")</f>
        <v/>
      </c>
      <c r="B2751" t="str" cm="1">
        <f t="array" ref="B2751">IFERROR(INDEX(tbNucleo[ESCOLA],ROUNDUP(ROW(B2750)/TotalEtapas,0)),"")</f>
        <v/>
      </c>
      <c r="E2751" t="str">
        <f>IFERROR(VLOOKUP(tbEscolas[[#This Row],[COD ETPA]],tbEtapas[],2,FALSE),"")</f>
        <v/>
      </c>
      <c r="F2751" t="str">
        <f>IFERROR(VLOOKUP(tbEscolas[[#This Row],[COD ETPA]],tbEtapas[],3,FALSE),"")</f>
        <v/>
      </c>
    </row>
    <row r="2752" spans="1:6" x14ac:dyDescent="0.25">
      <c r="A2752" s="24" t="str">
        <f>_xlfn.XLOOKUP(tbEscolas[[#This Row],[ESCOLA]],tbNucleo[ESCOLA],tbNucleo[COD ESCOLA],"")</f>
        <v/>
      </c>
      <c r="B2752" t="str" cm="1">
        <f t="array" ref="B2752">IFERROR(INDEX(tbNucleo[ESCOLA],ROUNDUP(ROW(B2751)/TotalEtapas,0)),"")</f>
        <v/>
      </c>
      <c r="E2752" t="str">
        <f>IFERROR(VLOOKUP(tbEscolas[[#This Row],[COD ETPA]],tbEtapas[],2,FALSE),"")</f>
        <v/>
      </c>
      <c r="F2752" t="str">
        <f>IFERROR(VLOOKUP(tbEscolas[[#This Row],[COD ETPA]],tbEtapas[],3,FALSE),"")</f>
        <v/>
      </c>
    </row>
    <row r="2753" spans="1:6" x14ac:dyDescent="0.25">
      <c r="A2753" s="24" t="str">
        <f>_xlfn.XLOOKUP(tbEscolas[[#This Row],[ESCOLA]],tbNucleo[ESCOLA],tbNucleo[COD ESCOLA],"")</f>
        <v/>
      </c>
      <c r="B2753" t="str" cm="1">
        <f t="array" ref="B2753">IFERROR(INDEX(tbNucleo[ESCOLA],ROUNDUP(ROW(B2752)/TotalEtapas,0)),"")</f>
        <v/>
      </c>
      <c r="E2753" t="str">
        <f>IFERROR(VLOOKUP(tbEscolas[[#This Row],[COD ETPA]],tbEtapas[],2,FALSE),"")</f>
        <v/>
      </c>
      <c r="F2753" t="str">
        <f>IFERROR(VLOOKUP(tbEscolas[[#This Row],[COD ETPA]],tbEtapas[],3,FALSE),"")</f>
        <v/>
      </c>
    </row>
    <row r="2754" spans="1:6" x14ac:dyDescent="0.25">
      <c r="A2754" s="24" t="str">
        <f>_xlfn.XLOOKUP(tbEscolas[[#This Row],[ESCOLA]],tbNucleo[ESCOLA],tbNucleo[COD ESCOLA],"")</f>
        <v/>
      </c>
      <c r="B2754" t="str" cm="1">
        <f t="array" ref="B2754">IFERROR(INDEX(tbNucleo[ESCOLA],ROUNDUP(ROW(B2753)/TotalEtapas,0)),"")</f>
        <v/>
      </c>
      <c r="E2754" t="str">
        <f>IFERROR(VLOOKUP(tbEscolas[[#This Row],[COD ETPA]],tbEtapas[],2,FALSE),"")</f>
        <v/>
      </c>
      <c r="F2754" t="str">
        <f>IFERROR(VLOOKUP(tbEscolas[[#This Row],[COD ETPA]],tbEtapas[],3,FALSE),"")</f>
        <v/>
      </c>
    </row>
    <row r="2755" spans="1:6" x14ac:dyDescent="0.25">
      <c r="A2755" s="24" t="str">
        <f>_xlfn.XLOOKUP(tbEscolas[[#This Row],[ESCOLA]],tbNucleo[ESCOLA],tbNucleo[COD ESCOLA],"")</f>
        <v/>
      </c>
      <c r="B2755" t="str" cm="1">
        <f t="array" ref="B2755">IFERROR(INDEX(tbNucleo[ESCOLA],ROUNDUP(ROW(B2754)/TotalEtapas,0)),"")</f>
        <v/>
      </c>
      <c r="E2755" t="str">
        <f>IFERROR(VLOOKUP(tbEscolas[[#This Row],[COD ETPA]],tbEtapas[],2,FALSE),"")</f>
        <v/>
      </c>
      <c r="F2755" t="str">
        <f>IFERROR(VLOOKUP(tbEscolas[[#This Row],[COD ETPA]],tbEtapas[],3,FALSE),"")</f>
        <v/>
      </c>
    </row>
    <row r="2756" spans="1:6" x14ac:dyDescent="0.25">
      <c r="A2756" s="24" t="str">
        <f>_xlfn.XLOOKUP(tbEscolas[[#This Row],[ESCOLA]],tbNucleo[ESCOLA],tbNucleo[COD ESCOLA],"")</f>
        <v/>
      </c>
      <c r="B2756" t="str" cm="1">
        <f t="array" ref="B2756">IFERROR(INDEX(tbNucleo[ESCOLA],ROUNDUP(ROW(B2755)/TotalEtapas,0)),"")</f>
        <v/>
      </c>
      <c r="E2756" t="str">
        <f>IFERROR(VLOOKUP(tbEscolas[[#This Row],[COD ETPA]],tbEtapas[],2,FALSE),"")</f>
        <v/>
      </c>
      <c r="F2756" t="str">
        <f>IFERROR(VLOOKUP(tbEscolas[[#This Row],[COD ETPA]],tbEtapas[],3,FALSE),"")</f>
        <v/>
      </c>
    </row>
    <row r="2757" spans="1:6" x14ac:dyDescent="0.25">
      <c r="A2757" s="24" t="str">
        <f>_xlfn.XLOOKUP(tbEscolas[[#This Row],[ESCOLA]],tbNucleo[ESCOLA],tbNucleo[COD ESCOLA],"")</f>
        <v/>
      </c>
      <c r="B2757" t="str" cm="1">
        <f t="array" ref="B2757">IFERROR(INDEX(tbNucleo[ESCOLA],ROUNDUP(ROW(B2756)/TotalEtapas,0)),"")</f>
        <v/>
      </c>
      <c r="E2757" t="str">
        <f>IFERROR(VLOOKUP(tbEscolas[[#This Row],[COD ETPA]],tbEtapas[],2,FALSE),"")</f>
        <v/>
      </c>
      <c r="F2757" t="str">
        <f>IFERROR(VLOOKUP(tbEscolas[[#This Row],[COD ETPA]],tbEtapas[],3,FALSE),"")</f>
        <v/>
      </c>
    </row>
    <row r="2758" spans="1:6" x14ac:dyDescent="0.25">
      <c r="A2758" s="24" t="str">
        <f>_xlfn.XLOOKUP(tbEscolas[[#This Row],[ESCOLA]],tbNucleo[ESCOLA],tbNucleo[COD ESCOLA],"")</f>
        <v/>
      </c>
      <c r="B2758" t="str" cm="1">
        <f t="array" ref="B2758">IFERROR(INDEX(tbNucleo[ESCOLA],ROUNDUP(ROW(B2757)/TotalEtapas,0)),"")</f>
        <v/>
      </c>
      <c r="E2758" t="str">
        <f>IFERROR(VLOOKUP(tbEscolas[[#This Row],[COD ETPA]],tbEtapas[],2,FALSE),"")</f>
        <v/>
      </c>
      <c r="F2758" t="str">
        <f>IFERROR(VLOOKUP(tbEscolas[[#This Row],[COD ETPA]],tbEtapas[],3,FALSE),"")</f>
        <v/>
      </c>
    </row>
    <row r="2759" spans="1:6" x14ac:dyDescent="0.25">
      <c r="A2759" s="24" t="str">
        <f>_xlfn.XLOOKUP(tbEscolas[[#This Row],[ESCOLA]],tbNucleo[ESCOLA],tbNucleo[COD ESCOLA],"")</f>
        <v/>
      </c>
      <c r="B2759" t="str" cm="1">
        <f t="array" ref="B2759">IFERROR(INDEX(tbNucleo[ESCOLA],ROUNDUP(ROW(B2758)/TotalEtapas,0)),"")</f>
        <v/>
      </c>
      <c r="E2759" t="str">
        <f>IFERROR(VLOOKUP(tbEscolas[[#This Row],[COD ETPA]],tbEtapas[],2,FALSE),"")</f>
        <v/>
      </c>
      <c r="F2759" t="str">
        <f>IFERROR(VLOOKUP(tbEscolas[[#This Row],[COD ETPA]],tbEtapas[],3,FALSE),"")</f>
        <v/>
      </c>
    </row>
    <row r="2760" spans="1:6" x14ac:dyDescent="0.25">
      <c r="A2760" s="24" t="str">
        <f>_xlfn.XLOOKUP(tbEscolas[[#This Row],[ESCOLA]],tbNucleo[ESCOLA],tbNucleo[COD ESCOLA],"")</f>
        <v/>
      </c>
      <c r="B2760" t="str" cm="1">
        <f t="array" ref="B2760">IFERROR(INDEX(tbNucleo[ESCOLA],ROUNDUP(ROW(B2759)/TotalEtapas,0)),"")</f>
        <v/>
      </c>
      <c r="E2760" t="str">
        <f>IFERROR(VLOOKUP(tbEscolas[[#This Row],[COD ETPA]],tbEtapas[],2,FALSE),"")</f>
        <v/>
      </c>
      <c r="F2760" t="str">
        <f>IFERROR(VLOOKUP(tbEscolas[[#This Row],[COD ETPA]],tbEtapas[],3,FALSE),"")</f>
        <v/>
      </c>
    </row>
    <row r="2761" spans="1:6" x14ac:dyDescent="0.25">
      <c r="A2761" s="24" t="str">
        <f>_xlfn.XLOOKUP(tbEscolas[[#This Row],[ESCOLA]],tbNucleo[ESCOLA],tbNucleo[COD ESCOLA],"")</f>
        <v/>
      </c>
      <c r="B2761" t="str" cm="1">
        <f t="array" ref="B2761">IFERROR(INDEX(tbNucleo[ESCOLA],ROUNDUP(ROW(B2760)/TotalEtapas,0)),"")</f>
        <v/>
      </c>
      <c r="E2761" t="str">
        <f>IFERROR(VLOOKUP(tbEscolas[[#This Row],[COD ETPA]],tbEtapas[],2,FALSE),"")</f>
        <v/>
      </c>
      <c r="F2761" t="str">
        <f>IFERROR(VLOOKUP(tbEscolas[[#This Row],[COD ETPA]],tbEtapas[],3,FALSE),"")</f>
        <v/>
      </c>
    </row>
    <row r="2762" spans="1:6" x14ac:dyDescent="0.25">
      <c r="A2762" s="24" t="str">
        <f>_xlfn.XLOOKUP(tbEscolas[[#This Row],[ESCOLA]],tbNucleo[ESCOLA],tbNucleo[COD ESCOLA],"")</f>
        <v/>
      </c>
      <c r="B2762" t="str" cm="1">
        <f t="array" ref="B2762">IFERROR(INDEX(tbNucleo[ESCOLA],ROUNDUP(ROW(B2761)/TotalEtapas,0)),"")</f>
        <v/>
      </c>
      <c r="E2762" t="str">
        <f>IFERROR(VLOOKUP(tbEscolas[[#This Row],[COD ETPA]],tbEtapas[],2,FALSE),"")</f>
        <v/>
      </c>
      <c r="F2762" t="str">
        <f>IFERROR(VLOOKUP(tbEscolas[[#This Row],[COD ETPA]],tbEtapas[],3,FALSE),"")</f>
        <v/>
      </c>
    </row>
    <row r="2763" spans="1:6" x14ac:dyDescent="0.25">
      <c r="A2763" s="24" t="str">
        <f>_xlfn.XLOOKUP(tbEscolas[[#This Row],[ESCOLA]],tbNucleo[ESCOLA],tbNucleo[COD ESCOLA],"")</f>
        <v/>
      </c>
      <c r="B2763" t="str" cm="1">
        <f t="array" ref="B2763">IFERROR(INDEX(tbNucleo[ESCOLA],ROUNDUP(ROW(B2762)/TotalEtapas,0)),"")</f>
        <v/>
      </c>
      <c r="E2763" t="str">
        <f>IFERROR(VLOOKUP(tbEscolas[[#This Row],[COD ETPA]],tbEtapas[],2,FALSE),"")</f>
        <v/>
      </c>
      <c r="F2763" t="str">
        <f>IFERROR(VLOOKUP(tbEscolas[[#This Row],[COD ETPA]],tbEtapas[],3,FALSE),"")</f>
        <v/>
      </c>
    </row>
    <row r="2764" spans="1:6" x14ac:dyDescent="0.25">
      <c r="A2764" s="24" t="str">
        <f>_xlfn.XLOOKUP(tbEscolas[[#This Row],[ESCOLA]],tbNucleo[ESCOLA],tbNucleo[COD ESCOLA],"")</f>
        <v/>
      </c>
      <c r="B2764" t="str" cm="1">
        <f t="array" ref="B2764">IFERROR(INDEX(tbNucleo[ESCOLA],ROUNDUP(ROW(B2763)/TotalEtapas,0)),"")</f>
        <v/>
      </c>
      <c r="E2764" t="str">
        <f>IFERROR(VLOOKUP(tbEscolas[[#This Row],[COD ETPA]],tbEtapas[],2,FALSE),"")</f>
        <v/>
      </c>
      <c r="F2764" t="str">
        <f>IFERROR(VLOOKUP(tbEscolas[[#This Row],[COD ETPA]],tbEtapas[],3,FALSE),"")</f>
        <v/>
      </c>
    </row>
    <row r="2765" spans="1:6" x14ac:dyDescent="0.25">
      <c r="A2765" s="24" t="str">
        <f>_xlfn.XLOOKUP(tbEscolas[[#This Row],[ESCOLA]],tbNucleo[ESCOLA],tbNucleo[COD ESCOLA],"")</f>
        <v/>
      </c>
      <c r="B2765" t="str" cm="1">
        <f t="array" ref="B2765">IFERROR(INDEX(tbNucleo[ESCOLA],ROUNDUP(ROW(B2764)/TotalEtapas,0)),"")</f>
        <v/>
      </c>
      <c r="E2765" t="str">
        <f>IFERROR(VLOOKUP(tbEscolas[[#This Row],[COD ETPA]],tbEtapas[],2,FALSE),"")</f>
        <v/>
      </c>
      <c r="F2765" t="str">
        <f>IFERROR(VLOOKUP(tbEscolas[[#This Row],[COD ETPA]],tbEtapas[],3,FALSE),"")</f>
        <v/>
      </c>
    </row>
    <row r="2766" spans="1:6" x14ac:dyDescent="0.25">
      <c r="A2766" s="24" t="str">
        <f>_xlfn.XLOOKUP(tbEscolas[[#This Row],[ESCOLA]],tbNucleo[ESCOLA],tbNucleo[COD ESCOLA],"")</f>
        <v/>
      </c>
      <c r="B2766" t="str" cm="1">
        <f t="array" ref="B2766">IFERROR(INDEX(tbNucleo[ESCOLA],ROUNDUP(ROW(B2765)/TotalEtapas,0)),"")</f>
        <v/>
      </c>
      <c r="E2766" t="str">
        <f>IFERROR(VLOOKUP(tbEscolas[[#This Row],[COD ETPA]],tbEtapas[],2,FALSE),"")</f>
        <v/>
      </c>
      <c r="F2766" t="str">
        <f>IFERROR(VLOOKUP(tbEscolas[[#This Row],[COD ETPA]],tbEtapas[],3,FALSE),"")</f>
        <v/>
      </c>
    </row>
    <row r="2767" spans="1:6" x14ac:dyDescent="0.25">
      <c r="A2767" s="24" t="str">
        <f>_xlfn.XLOOKUP(tbEscolas[[#This Row],[ESCOLA]],tbNucleo[ESCOLA],tbNucleo[COD ESCOLA],"")</f>
        <v/>
      </c>
      <c r="B2767" t="str" cm="1">
        <f t="array" ref="B2767">IFERROR(INDEX(tbNucleo[ESCOLA],ROUNDUP(ROW(B2766)/TotalEtapas,0)),"")</f>
        <v/>
      </c>
      <c r="E2767" t="str">
        <f>IFERROR(VLOOKUP(tbEscolas[[#This Row],[COD ETPA]],tbEtapas[],2,FALSE),"")</f>
        <v/>
      </c>
      <c r="F2767" t="str">
        <f>IFERROR(VLOOKUP(tbEscolas[[#This Row],[COD ETPA]],tbEtapas[],3,FALSE),"")</f>
        <v/>
      </c>
    </row>
    <row r="2768" spans="1:6" x14ac:dyDescent="0.25">
      <c r="A2768" s="24" t="str">
        <f>_xlfn.XLOOKUP(tbEscolas[[#This Row],[ESCOLA]],tbNucleo[ESCOLA],tbNucleo[COD ESCOLA],"")</f>
        <v/>
      </c>
      <c r="B2768" t="str" cm="1">
        <f t="array" ref="B2768">IFERROR(INDEX(tbNucleo[ESCOLA],ROUNDUP(ROW(B2767)/TotalEtapas,0)),"")</f>
        <v/>
      </c>
      <c r="E2768" t="str">
        <f>IFERROR(VLOOKUP(tbEscolas[[#This Row],[COD ETPA]],tbEtapas[],2,FALSE),"")</f>
        <v/>
      </c>
      <c r="F2768" t="str">
        <f>IFERROR(VLOOKUP(tbEscolas[[#This Row],[COD ETPA]],tbEtapas[],3,FALSE),"")</f>
        <v/>
      </c>
    </row>
    <row r="2769" spans="1:6" x14ac:dyDescent="0.25">
      <c r="A2769" s="24" t="str">
        <f>_xlfn.XLOOKUP(tbEscolas[[#This Row],[ESCOLA]],tbNucleo[ESCOLA],tbNucleo[COD ESCOLA],"")</f>
        <v/>
      </c>
      <c r="B2769" t="str" cm="1">
        <f t="array" ref="B2769">IFERROR(INDEX(tbNucleo[ESCOLA],ROUNDUP(ROW(B2768)/TotalEtapas,0)),"")</f>
        <v/>
      </c>
      <c r="E2769" t="str">
        <f>IFERROR(VLOOKUP(tbEscolas[[#This Row],[COD ETPA]],tbEtapas[],2,FALSE),"")</f>
        <v/>
      </c>
      <c r="F2769" t="str">
        <f>IFERROR(VLOOKUP(tbEscolas[[#This Row],[COD ETPA]],tbEtapas[],3,FALSE),"")</f>
        <v/>
      </c>
    </row>
    <row r="2770" spans="1:6" x14ac:dyDescent="0.25">
      <c r="A2770" s="24" t="str">
        <f>_xlfn.XLOOKUP(tbEscolas[[#This Row],[ESCOLA]],tbNucleo[ESCOLA],tbNucleo[COD ESCOLA],"")</f>
        <v/>
      </c>
      <c r="B2770" t="str" cm="1">
        <f t="array" ref="B2770">IFERROR(INDEX(tbNucleo[ESCOLA],ROUNDUP(ROW(B2769)/TotalEtapas,0)),"")</f>
        <v/>
      </c>
      <c r="E2770" t="str">
        <f>IFERROR(VLOOKUP(tbEscolas[[#This Row],[COD ETPA]],tbEtapas[],2,FALSE),"")</f>
        <v/>
      </c>
      <c r="F2770" t="str">
        <f>IFERROR(VLOOKUP(tbEscolas[[#This Row],[COD ETPA]],tbEtapas[],3,FALSE),"")</f>
        <v/>
      </c>
    </row>
    <row r="2771" spans="1:6" x14ac:dyDescent="0.25">
      <c r="A2771" s="24" t="str">
        <f>_xlfn.XLOOKUP(tbEscolas[[#This Row],[ESCOLA]],tbNucleo[ESCOLA],tbNucleo[COD ESCOLA],"")</f>
        <v/>
      </c>
      <c r="B2771" t="str" cm="1">
        <f t="array" ref="B2771">IFERROR(INDEX(tbNucleo[ESCOLA],ROUNDUP(ROW(B2770)/TotalEtapas,0)),"")</f>
        <v/>
      </c>
      <c r="E2771" t="str">
        <f>IFERROR(VLOOKUP(tbEscolas[[#This Row],[COD ETPA]],tbEtapas[],2,FALSE),"")</f>
        <v/>
      </c>
      <c r="F2771" t="str">
        <f>IFERROR(VLOOKUP(tbEscolas[[#This Row],[COD ETPA]],tbEtapas[],3,FALSE),"")</f>
        <v/>
      </c>
    </row>
    <row r="2772" spans="1:6" x14ac:dyDescent="0.25">
      <c r="A2772" s="24" t="str">
        <f>_xlfn.XLOOKUP(tbEscolas[[#This Row],[ESCOLA]],tbNucleo[ESCOLA],tbNucleo[COD ESCOLA],"")</f>
        <v/>
      </c>
      <c r="B2772" t="str" cm="1">
        <f t="array" ref="B2772">IFERROR(INDEX(tbNucleo[ESCOLA],ROUNDUP(ROW(B2771)/TotalEtapas,0)),"")</f>
        <v/>
      </c>
      <c r="E2772" t="str">
        <f>IFERROR(VLOOKUP(tbEscolas[[#This Row],[COD ETPA]],tbEtapas[],2,FALSE),"")</f>
        <v/>
      </c>
      <c r="F2772" t="str">
        <f>IFERROR(VLOOKUP(tbEscolas[[#This Row],[COD ETPA]],tbEtapas[],3,FALSE),"")</f>
        <v/>
      </c>
    </row>
    <row r="2773" spans="1:6" x14ac:dyDescent="0.25">
      <c r="A2773" s="24" t="str">
        <f>_xlfn.XLOOKUP(tbEscolas[[#This Row],[ESCOLA]],tbNucleo[ESCOLA],tbNucleo[COD ESCOLA],"")</f>
        <v/>
      </c>
      <c r="B2773" t="str" cm="1">
        <f t="array" ref="B2773">IFERROR(INDEX(tbNucleo[ESCOLA],ROUNDUP(ROW(B2772)/TotalEtapas,0)),"")</f>
        <v/>
      </c>
      <c r="E2773" t="str">
        <f>IFERROR(VLOOKUP(tbEscolas[[#This Row],[COD ETPA]],tbEtapas[],2,FALSE),"")</f>
        <v/>
      </c>
      <c r="F2773" t="str">
        <f>IFERROR(VLOOKUP(tbEscolas[[#This Row],[COD ETPA]],tbEtapas[],3,FALSE),"")</f>
        <v/>
      </c>
    </row>
    <row r="2774" spans="1:6" x14ac:dyDescent="0.25">
      <c r="A2774" s="24" t="str">
        <f>_xlfn.XLOOKUP(tbEscolas[[#This Row],[ESCOLA]],tbNucleo[ESCOLA],tbNucleo[COD ESCOLA],"")</f>
        <v/>
      </c>
      <c r="B2774" t="str" cm="1">
        <f t="array" ref="B2774">IFERROR(INDEX(tbNucleo[ESCOLA],ROUNDUP(ROW(B2773)/TotalEtapas,0)),"")</f>
        <v/>
      </c>
      <c r="E2774" t="str">
        <f>IFERROR(VLOOKUP(tbEscolas[[#This Row],[COD ETPA]],tbEtapas[],2,FALSE),"")</f>
        <v/>
      </c>
      <c r="F2774" t="str">
        <f>IFERROR(VLOOKUP(tbEscolas[[#This Row],[COD ETPA]],tbEtapas[],3,FALSE),"")</f>
        <v/>
      </c>
    </row>
    <row r="2775" spans="1:6" x14ac:dyDescent="0.25">
      <c r="A2775" s="24" t="str">
        <f>_xlfn.XLOOKUP(tbEscolas[[#This Row],[ESCOLA]],tbNucleo[ESCOLA],tbNucleo[COD ESCOLA],"")</f>
        <v/>
      </c>
      <c r="B2775" t="str" cm="1">
        <f t="array" ref="B2775">IFERROR(INDEX(tbNucleo[ESCOLA],ROUNDUP(ROW(B2774)/TotalEtapas,0)),"")</f>
        <v/>
      </c>
      <c r="E2775" t="str">
        <f>IFERROR(VLOOKUP(tbEscolas[[#This Row],[COD ETPA]],tbEtapas[],2,FALSE),"")</f>
        <v/>
      </c>
      <c r="F2775" t="str">
        <f>IFERROR(VLOOKUP(tbEscolas[[#This Row],[COD ETPA]],tbEtapas[],3,FALSE),"")</f>
        <v/>
      </c>
    </row>
    <row r="2776" spans="1:6" x14ac:dyDescent="0.25">
      <c r="A2776" s="24" t="str">
        <f>_xlfn.XLOOKUP(tbEscolas[[#This Row],[ESCOLA]],tbNucleo[ESCOLA],tbNucleo[COD ESCOLA],"")</f>
        <v/>
      </c>
      <c r="B2776" t="str" cm="1">
        <f t="array" ref="B2776">IFERROR(INDEX(tbNucleo[ESCOLA],ROUNDUP(ROW(B2775)/TotalEtapas,0)),"")</f>
        <v/>
      </c>
      <c r="E2776" t="str">
        <f>IFERROR(VLOOKUP(tbEscolas[[#This Row],[COD ETPA]],tbEtapas[],2,FALSE),"")</f>
        <v/>
      </c>
      <c r="F2776" t="str">
        <f>IFERROR(VLOOKUP(tbEscolas[[#This Row],[COD ETPA]],tbEtapas[],3,FALSE),"")</f>
        <v/>
      </c>
    </row>
    <row r="2777" spans="1:6" x14ac:dyDescent="0.25">
      <c r="A2777" s="24" t="str">
        <f>_xlfn.XLOOKUP(tbEscolas[[#This Row],[ESCOLA]],tbNucleo[ESCOLA],tbNucleo[COD ESCOLA],"")</f>
        <v/>
      </c>
      <c r="B2777" t="str" cm="1">
        <f t="array" ref="B2777">IFERROR(INDEX(tbNucleo[ESCOLA],ROUNDUP(ROW(B2776)/TotalEtapas,0)),"")</f>
        <v/>
      </c>
      <c r="E2777" t="str">
        <f>IFERROR(VLOOKUP(tbEscolas[[#This Row],[COD ETPA]],tbEtapas[],2,FALSE),"")</f>
        <v/>
      </c>
      <c r="F2777" t="str">
        <f>IFERROR(VLOOKUP(tbEscolas[[#This Row],[COD ETPA]],tbEtapas[],3,FALSE),"")</f>
        <v/>
      </c>
    </row>
    <row r="2778" spans="1:6" x14ac:dyDescent="0.25">
      <c r="A2778" s="24" t="str">
        <f>_xlfn.XLOOKUP(tbEscolas[[#This Row],[ESCOLA]],tbNucleo[ESCOLA],tbNucleo[COD ESCOLA],"")</f>
        <v/>
      </c>
      <c r="B2778" t="str" cm="1">
        <f t="array" ref="B2778">IFERROR(INDEX(tbNucleo[ESCOLA],ROUNDUP(ROW(B2777)/TotalEtapas,0)),"")</f>
        <v/>
      </c>
      <c r="E2778" t="str">
        <f>IFERROR(VLOOKUP(tbEscolas[[#This Row],[COD ETPA]],tbEtapas[],2,FALSE),"")</f>
        <v/>
      </c>
      <c r="F2778" t="str">
        <f>IFERROR(VLOOKUP(tbEscolas[[#This Row],[COD ETPA]],tbEtapas[],3,FALSE),"")</f>
        <v/>
      </c>
    </row>
    <row r="2779" spans="1:6" x14ac:dyDescent="0.25">
      <c r="A2779" s="24" t="str">
        <f>_xlfn.XLOOKUP(tbEscolas[[#This Row],[ESCOLA]],tbNucleo[ESCOLA],tbNucleo[COD ESCOLA],"")</f>
        <v/>
      </c>
      <c r="B2779" t="str" cm="1">
        <f t="array" ref="B2779">IFERROR(INDEX(tbNucleo[ESCOLA],ROUNDUP(ROW(B2778)/TotalEtapas,0)),"")</f>
        <v/>
      </c>
      <c r="E2779" t="str">
        <f>IFERROR(VLOOKUP(tbEscolas[[#This Row],[COD ETPA]],tbEtapas[],2,FALSE),"")</f>
        <v/>
      </c>
      <c r="F2779" t="str">
        <f>IFERROR(VLOOKUP(tbEscolas[[#This Row],[COD ETPA]],tbEtapas[],3,FALSE),"")</f>
        <v/>
      </c>
    </row>
    <row r="2780" spans="1:6" x14ac:dyDescent="0.25">
      <c r="A2780" s="24" t="str">
        <f>_xlfn.XLOOKUP(tbEscolas[[#This Row],[ESCOLA]],tbNucleo[ESCOLA],tbNucleo[COD ESCOLA],"")</f>
        <v/>
      </c>
      <c r="B2780" t="str" cm="1">
        <f t="array" ref="B2780">IFERROR(INDEX(tbNucleo[ESCOLA],ROUNDUP(ROW(B2779)/TotalEtapas,0)),"")</f>
        <v/>
      </c>
      <c r="E2780" t="str">
        <f>IFERROR(VLOOKUP(tbEscolas[[#This Row],[COD ETPA]],tbEtapas[],2,FALSE),"")</f>
        <v/>
      </c>
      <c r="F2780" t="str">
        <f>IFERROR(VLOOKUP(tbEscolas[[#This Row],[COD ETPA]],tbEtapas[],3,FALSE),"")</f>
        <v/>
      </c>
    </row>
    <row r="2781" spans="1:6" x14ac:dyDescent="0.25">
      <c r="A2781" s="24" t="str">
        <f>_xlfn.XLOOKUP(tbEscolas[[#This Row],[ESCOLA]],tbNucleo[ESCOLA],tbNucleo[COD ESCOLA],"")</f>
        <v/>
      </c>
      <c r="B2781" t="str" cm="1">
        <f t="array" ref="B2781">IFERROR(INDEX(tbNucleo[ESCOLA],ROUNDUP(ROW(B2780)/TotalEtapas,0)),"")</f>
        <v/>
      </c>
      <c r="E2781" t="str">
        <f>IFERROR(VLOOKUP(tbEscolas[[#This Row],[COD ETPA]],tbEtapas[],2,FALSE),"")</f>
        <v/>
      </c>
      <c r="F2781" t="str">
        <f>IFERROR(VLOOKUP(tbEscolas[[#This Row],[COD ETPA]],tbEtapas[],3,FALSE),"")</f>
        <v/>
      </c>
    </row>
    <row r="2782" spans="1:6" x14ac:dyDescent="0.25">
      <c r="A2782" s="24" t="str">
        <f>_xlfn.XLOOKUP(tbEscolas[[#This Row],[ESCOLA]],tbNucleo[ESCOLA],tbNucleo[COD ESCOLA],"")</f>
        <v/>
      </c>
      <c r="B2782" t="str" cm="1">
        <f t="array" ref="B2782">IFERROR(INDEX(tbNucleo[ESCOLA],ROUNDUP(ROW(B2781)/TotalEtapas,0)),"")</f>
        <v/>
      </c>
      <c r="E2782" t="str">
        <f>IFERROR(VLOOKUP(tbEscolas[[#This Row],[COD ETPA]],tbEtapas[],2,FALSE),"")</f>
        <v/>
      </c>
      <c r="F2782" t="str">
        <f>IFERROR(VLOOKUP(tbEscolas[[#This Row],[COD ETPA]],tbEtapas[],3,FALSE),"")</f>
        <v/>
      </c>
    </row>
    <row r="2783" spans="1:6" x14ac:dyDescent="0.25">
      <c r="A2783" s="24" t="str">
        <f>_xlfn.XLOOKUP(tbEscolas[[#This Row],[ESCOLA]],tbNucleo[ESCOLA],tbNucleo[COD ESCOLA],"")</f>
        <v/>
      </c>
      <c r="B2783" t="str" cm="1">
        <f t="array" ref="B2783">IFERROR(INDEX(tbNucleo[ESCOLA],ROUNDUP(ROW(B2782)/TotalEtapas,0)),"")</f>
        <v/>
      </c>
      <c r="E2783" t="str">
        <f>IFERROR(VLOOKUP(tbEscolas[[#This Row],[COD ETPA]],tbEtapas[],2,FALSE),"")</f>
        <v/>
      </c>
      <c r="F2783" t="str">
        <f>IFERROR(VLOOKUP(tbEscolas[[#This Row],[COD ETPA]],tbEtapas[],3,FALSE),"")</f>
        <v/>
      </c>
    </row>
    <row r="2784" spans="1:6" x14ac:dyDescent="0.25">
      <c r="A2784" s="24" t="str">
        <f>_xlfn.XLOOKUP(tbEscolas[[#This Row],[ESCOLA]],tbNucleo[ESCOLA],tbNucleo[COD ESCOLA],"")</f>
        <v/>
      </c>
      <c r="B2784" t="str" cm="1">
        <f t="array" ref="B2784">IFERROR(INDEX(tbNucleo[ESCOLA],ROUNDUP(ROW(B2783)/TotalEtapas,0)),"")</f>
        <v/>
      </c>
      <c r="E2784" t="str">
        <f>IFERROR(VLOOKUP(tbEscolas[[#This Row],[COD ETPA]],tbEtapas[],2,FALSE),"")</f>
        <v/>
      </c>
      <c r="F2784" t="str">
        <f>IFERROR(VLOOKUP(tbEscolas[[#This Row],[COD ETPA]],tbEtapas[],3,FALSE),"")</f>
        <v/>
      </c>
    </row>
    <row r="2785" spans="1:6" x14ac:dyDescent="0.25">
      <c r="A2785" s="24" t="str">
        <f>_xlfn.XLOOKUP(tbEscolas[[#This Row],[ESCOLA]],tbNucleo[ESCOLA],tbNucleo[COD ESCOLA],"")</f>
        <v/>
      </c>
      <c r="B2785" t="str" cm="1">
        <f t="array" ref="B2785">IFERROR(INDEX(tbNucleo[ESCOLA],ROUNDUP(ROW(B2784)/TotalEtapas,0)),"")</f>
        <v/>
      </c>
      <c r="E2785" t="str">
        <f>IFERROR(VLOOKUP(tbEscolas[[#This Row],[COD ETPA]],tbEtapas[],2,FALSE),"")</f>
        <v/>
      </c>
      <c r="F2785" t="str">
        <f>IFERROR(VLOOKUP(tbEscolas[[#This Row],[COD ETPA]],tbEtapas[],3,FALSE),"")</f>
        <v/>
      </c>
    </row>
    <row r="2786" spans="1:6" x14ac:dyDescent="0.25">
      <c r="A2786" s="24" t="str">
        <f>_xlfn.XLOOKUP(tbEscolas[[#This Row],[ESCOLA]],tbNucleo[ESCOLA],tbNucleo[COD ESCOLA],"")</f>
        <v/>
      </c>
      <c r="B2786" t="str" cm="1">
        <f t="array" ref="B2786">IFERROR(INDEX(tbNucleo[ESCOLA],ROUNDUP(ROW(B2785)/TotalEtapas,0)),"")</f>
        <v/>
      </c>
      <c r="E2786" t="str">
        <f>IFERROR(VLOOKUP(tbEscolas[[#This Row],[COD ETPA]],tbEtapas[],2,FALSE),"")</f>
        <v/>
      </c>
      <c r="F2786" t="str">
        <f>IFERROR(VLOOKUP(tbEscolas[[#This Row],[COD ETPA]],tbEtapas[],3,FALSE),"")</f>
        <v/>
      </c>
    </row>
    <row r="2787" spans="1:6" x14ac:dyDescent="0.25">
      <c r="A2787" s="24" t="str">
        <f>_xlfn.XLOOKUP(tbEscolas[[#This Row],[ESCOLA]],tbNucleo[ESCOLA],tbNucleo[COD ESCOLA],"")</f>
        <v/>
      </c>
      <c r="B2787" t="str" cm="1">
        <f t="array" ref="B2787">IFERROR(INDEX(tbNucleo[ESCOLA],ROUNDUP(ROW(B2786)/TotalEtapas,0)),"")</f>
        <v/>
      </c>
      <c r="E2787" t="str">
        <f>IFERROR(VLOOKUP(tbEscolas[[#This Row],[COD ETPA]],tbEtapas[],2,FALSE),"")</f>
        <v/>
      </c>
      <c r="F2787" t="str">
        <f>IFERROR(VLOOKUP(tbEscolas[[#This Row],[COD ETPA]],tbEtapas[],3,FALSE),"")</f>
        <v/>
      </c>
    </row>
    <row r="2788" spans="1:6" x14ac:dyDescent="0.25">
      <c r="A2788" s="24" t="str">
        <f>_xlfn.XLOOKUP(tbEscolas[[#This Row],[ESCOLA]],tbNucleo[ESCOLA],tbNucleo[COD ESCOLA],"")</f>
        <v/>
      </c>
      <c r="B2788" t="str" cm="1">
        <f t="array" ref="B2788">IFERROR(INDEX(tbNucleo[ESCOLA],ROUNDUP(ROW(B2787)/TotalEtapas,0)),"")</f>
        <v/>
      </c>
      <c r="E2788" t="str">
        <f>IFERROR(VLOOKUP(tbEscolas[[#This Row],[COD ETPA]],tbEtapas[],2,FALSE),"")</f>
        <v/>
      </c>
      <c r="F2788" t="str">
        <f>IFERROR(VLOOKUP(tbEscolas[[#This Row],[COD ETPA]],tbEtapas[],3,FALSE),"")</f>
        <v/>
      </c>
    </row>
    <row r="2789" spans="1:6" x14ac:dyDescent="0.25">
      <c r="A2789" s="24" t="str">
        <f>_xlfn.XLOOKUP(tbEscolas[[#This Row],[ESCOLA]],tbNucleo[ESCOLA],tbNucleo[COD ESCOLA],"")</f>
        <v/>
      </c>
      <c r="B2789" t="str" cm="1">
        <f t="array" ref="B2789">IFERROR(INDEX(tbNucleo[ESCOLA],ROUNDUP(ROW(B2788)/TotalEtapas,0)),"")</f>
        <v/>
      </c>
      <c r="E2789" t="str">
        <f>IFERROR(VLOOKUP(tbEscolas[[#This Row],[COD ETPA]],tbEtapas[],2,FALSE),"")</f>
        <v/>
      </c>
      <c r="F2789" t="str">
        <f>IFERROR(VLOOKUP(tbEscolas[[#This Row],[COD ETPA]],tbEtapas[],3,FALSE),"")</f>
        <v/>
      </c>
    </row>
    <row r="2790" spans="1:6" x14ac:dyDescent="0.25">
      <c r="A2790" s="24" t="str">
        <f>_xlfn.XLOOKUP(tbEscolas[[#This Row],[ESCOLA]],tbNucleo[ESCOLA],tbNucleo[COD ESCOLA],"")</f>
        <v/>
      </c>
      <c r="B2790" t="str" cm="1">
        <f t="array" ref="B2790">IFERROR(INDEX(tbNucleo[ESCOLA],ROUNDUP(ROW(B2789)/TotalEtapas,0)),"")</f>
        <v/>
      </c>
      <c r="E2790" t="str">
        <f>IFERROR(VLOOKUP(tbEscolas[[#This Row],[COD ETPA]],tbEtapas[],2,FALSE),"")</f>
        <v/>
      </c>
      <c r="F2790" t="str">
        <f>IFERROR(VLOOKUP(tbEscolas[[#This Row],[COD ETPA]],tbEtapas[],3,FALSE),"")</f>
        <v/>
      </c>
    </row>
    <row r="2791" spans="1:6" x14ac:dyDescent="0.25">
      <c r="A2791" s="24" t="str">
        <f>_xlfn.XLOOKUP(tbEscolas[[#This Row],[ESCOLA]],tbNucleo[ESCOLA],tbNucleo[COD ESCOLA],"")</f>
        <v/>
      </c>
      <c r="B2791" t="str" cm="1">
        <f t="array" ref="B2791">IFERROR(INDEX(tbNucleo[ESCOLA],ROUNDUP(ROW(B2790)/TotalEtapas,0)),"")</f>
        <v/>
      </c>
      <c r="E2791" t="str">
        <f>IFERROR(VLOOKUP(tbEscolas[[#This Row],[COD ETPA]],tbEtapas[],2,FALSE),"")</f>
        <v/>
      </c>
      <c r="F2791" t="str">
        <f>IFERROR(VLOOKUP(tbEscolas[[#This Row],[COD ETPA]],tbEtapas[],3,FALSE),"")</f>
        <v/>
      </c>
    </row>
    <row r="2792" spans="1:6" x14ac:dyDescent="0.25">
      <c r="A2792" s="24" t="str">
        <f>_xlfn.XLOOKUP(tbEscolas[[#This Row],[ESCOLA]],tbNucleo[ESCOLA],tbNucleo[COD ESCOLA],"")</f>
        <v/>
      </c>
      <c r="B2792" t="str" cm="1">
        <f t="array" ref="B2792">IFERROR(INDEX(tbNucleo[ESCOLA],ROUNDUP(ROW(B2791)/TotalEtapas,0)),"")</f>
        <v/>
      </c>
      <c r="E2792" t="str">
        <f>IFERROR(VLOOKUP(tbEscolas[[#This Row],[COD ETPA]],tbEtapas[],2,FALSE),"")</f>
        <v/>
      </c>
      <c r="F2792" t="str">
        <f>IFERROR(VLOOKUP(tbEscolas[[#This Row],[COD ETPA]],tbEtapas[],3,FALSE),"")</f>
        <v/>
      </c>
    </row>
    <row r="2793" spans="1:6" x14ac:dyDescent="0.25">
      <c r="A2793" s="24" t="str">
        <f>_xlfn.XLOOKUP(tbEscolas[[#This Row],[ESCOLA]],tbNucleo[ESCOLA],tbNucleo[COD ESCOLA],"")</f>
        <v/>
      </c>
      <c r="B2793" t="str" cm="1">
        <f t="array" ref="B2793">IFERROR(INDEX(tbNucleo[ESCOLA],ROUNDUP(ROW(B2792)/TotalEtapas,0)),"")</f>
        <v/>
      </c>
      <c r="E2793" t="str">
        <f>IFERROR(VLOOKUP(tbEscolas[[#This Row],[COD ETPA]],tbEtapas[],2,FALSE),"")</f>
        <v/>
      </c>
      <c r="F2793" t="str">
        <f>IFERROR(VLOOKUP(tbEscolas[[#This Row],[COD ETPA]],tbEtapas[],3,FALSE),"")</f>
        <v/>
      </c>
    </row>
    <row r="2794" spans="1:6" x14ac:dyDescent="0.25">
      <c r="A2794" s="24" t="str">
        <f>_xlfn.XLOOKUP(tbEscolas[[#This Row],[ESCOLA]],tbNucleo[ESCOLA],tbNucleo[COD ESCOLA],"")</f>
        <v/>
      </c>
      <c r="B2794" t="str" cm="1">
        <f t="array" ref="B2794">IFERROR(INDEX(tbNucleo[ESCOLA],ROUNDUP(ROW(B2793)/TotalEtapas,0)),"")</f>
        <v/>
      </c>
      <c r="E2794" t="str">
        <f>IFERROR(VLOOKUP(tbEscolas[[#This Row],[COD ETPA]],tbEtapas[],2,FALSE),"")</f>
        <v/>
      </c>
      <c r="F2794" t="str">
        <f>IFERROR(VLOOKUP(tbEscolas[[#This Row],[COD ETPA]],tbEtapas[],3,FALSE),"")</f>
        <v/>
      </c>
    </row>
    <row r="2795" spans="1:6" x14ac:dyDescent="0.25">
      <c r="A2795" s="24" t="str">
        <f>_xlfn.XLOOKUP(tbEscolas[[#This Row],[ESCOLA]],tbNucleo[ESCOLA],tbNucleo[COD ESCOLA],"")</f>
        <v/>
      </c>
      <c r="B2795" t="str" cm="1">
        <f t="array" ref="B2795">IFERROR(INDEX(tbNucleo[ESCOLA],ROUNDUP(ROW(B2794)/TotalEtapas,0)),"")</f>
        <v/>
      </c>
      <c r="E2795" t="str">
        <f>IFERROR(VLOOKUP(tbEscolas[[#This Row],[COD ETPA]],tbEtapas[],2,FALSE),"")</f>
        <v/>
      </c>
      <c r="F2795" t="str">
        <f>IFERROR(VLOOKUP(tbEscolas[[#This Row],[COD ETPA]],tbEtapas[],3,FALSE),"")</f>
        <v/>
      </c>
    </row>
    <row r="2796" spans="1:6" x14ac:dyDescent="0.25">
      <c r="A2796" s="24" t="str">
        <f>_xlfn.XLOOKUP(tbEscolas[[#This Row],[ESCOLA]],tbNucleo[ESCOLA],tbNucleo[COD ESCOLA],"")</f>
        <v/>
      </c>
      <c r="B2796" t="str" cm="1">
        <f t="array" ref="B2796">IFERROR(INDEX(tbNucleo[ESCOLA],ROUNDUP(ROW(B2795)/TotalEtapas,0)),"")</f>
        <v/>
      </c>
      <c r="E2796" t="str">
        <f>IFERROR(VLOOKUP(tbEscolas[[#This Row],[COD ETPA]],tbEtapas[],2,FALSE),"")</f>
        <v/>
      </c>
      <c r="F2796" t="str">
        <f>IFERROR(VLOOKUP(tbEscolas[[#This Row],[COD ETPA]],tbEtapas[],3,FALSE),"")</f>
        <v/>
      </c>
    </row>
    <row r="2797" spans="1:6" x14ac:dyDescent="0.25">
      <c r="A2797" s="24" t="str">
        <f>_xlfn.XLOOKUP(tbEscolas[[#This Row],[ESCOLA]],tbNucleo[ESCOLA],tbNucleo[COD ESCOLA],"")</f>
        <v/>
      </c>
      <c r="B2797" t="str" cm="1">
        <f t="array" ref="B2797">IFERROR(INDEX(tbNucleo[ESCOLA],ROUNDUP(ROW(B2796)/TotalEtapas,0)),"")</f>
        <v/>
      </c>
      <c r="E2797" t="str">
        <f>IFERROR(VLOOKUP(tbEscolas[[#This Row],[COD ETPA]],tbEtapas[],2,FALSE),"")</f>
        <v/>
      </c>
      <c r="F2797" t="str">
        <f>IFERROR(VLOOKUP(tbEscolas[[#This Row],[COD ETPA]],tbEtapas[],3,FALSE),"")</f>
        <v/>
      </c>
    </row>
    <row r="2798" spans="1:6" x14ac:dyDescent="0.25">
      <c r="A2798" s="24" t="str">
        <f>_xlfn.XLOOKUP(tbEscolas[[#This Row],[ESCOLA]],tbNucleo[ESCOLA],tbNucleo[COD ESCOLA],"")</f>
        <v/>
      </c>
      <c r="B2798" t="str" cm="1">
        <f t="array" ref="B2798">IFERROR(INDEX(tbNucleo[ESCOLA],ROUNDUP(ROW(B2797)/TotalEtapas,0)),"")</f>
        <v/>
      </c>
      <c r="E2798" t="str">
        <f>IFERROR(VLOOKUP(tbEscolas[[#This Row],[COD ETPA]],tbEtapas[],2,FALSE),"")</f>
        <v/>
      </c>
      <c r="F2798" t="str">
        <f>IFERROR(VLOOKUP(tbEscolas[[#This Row],[COD ETPA]],tbEtapas[],3,FALSE),"")</f>
        <v/>
      </c>
    </row>
    <row r="2799" spans="1:6" x14ac:dyDescent="0.25">
      <c r="A2799" s="24" t="str">
        <f>_xlfn.XLOOKUP(tbEscolas[[#This Row],[ESCOLA]],tbNucleo[ESCOLA],tbNucleo[COD ESCOLA],"")</f>
        <v/>
      </c>
      <c r="B2799" t="str" cm="1">
        <f t="array" ref="B2799">IFERROR(INDEX(tbNucleo[ESCOLA],ROUNDUP(ROW(B2798)/TotalEtapas,0)),"")</f>
        <v/>
      </c>
      <c r="E2799" t="str">
        <f>IFERROR(VLOOKUP(tbEscolas[[#This Row],[COD ETPA]],tbEtapas[],2,FALSE),"")</f>
        <v/>
      </c>
      <c r="F2799" t="str">
        <f>IFERROR(VLOOKUP(tbEscolas[[#This Row],[COD ETPA]],tbEtapas[],3,FALSE),"")</f>
        <v/>
      </c>
    </row>
    <row r="2800" spans="1:6" x14ac:dyDescent="0.25">
      <c r="A2800" s="24" t="str">
        <f>_xlfn.XLOOKUP(tbEscolas[[#This Row],[ESCOLA]],tbNucleo[ESCOLA],tbNucleo[COD ESCOLA],"")</f>
        <v/>
      </c>
      <c r="B2800" t="str" cm="1">
        <f t="array" ref="B2800">IFERROR(INDEX(tbNucleo[ESCOLA],ROUNDUP(ROW(B2799)/TotalEtapas,0)),"")</f>
        <v/>
      </c>
      <c r="E2800" t="str">
        <f>IFERROR(VLOOKUP(tbEscolas[[#This Row],[COD ETPA]],tbEtapas[],2,FALSE),"")</f>
        <v/>
      </c>
      <c r="F2800" t="str">
        <f>IFERROR(VLOOKUP(tbEscolas[[#This Row],[COD ETPA]],tbEtapas[],3,FALSE),"")</f>
        <v/>
      </c>
    </row>
    <row r="2801" spans="1:6" x14ac:dyDescent="0.25">
      <c r="A2801" s="24" t="str">
        <f>_xlfn.XLOOKUP(tbEscolas[[#This Row],[ESCOLA]],tbNucleo[ESCOLA],tbNucleo[COD ESCOLA],"")</f>
        <v/>
      </c>
      <c r="B2801" t="str" cm="1">
        <f t="array" ref="B2801">IFERROR(INDEX(tbNucleo[ESCOLA],ROUNDUP(ROW(B2800)/TotalEtapas,0)),"")</f>
        <v/>
      </c>
      <c r="E2801" t="str">
        <f>IFERROR(VLOOKUP(tbEscolas[[#This Row],[COD ETPA]],tbEtapas[],2,FALSE),"")</f>
        <v/>
      </c>
      <c r="F2801" t="str">
        <f>IFERROR(VLOOKUP(tbEscolas[[#This Row],[COD ETPA]],tbEtapas[],3,FALSE),"")</f>
        <v/>
      </c>
    </row>
    <row r="2802" spans="1:6" x14ac:dyDescent="0.25">
      <c r="A2802" s="24" t="str">
        <f>_xlfn.XLOOKUP(tbEscolas[[#This Row],[ESCOLA]],tbNucleo[ESCOLA],tbNucleo[COD ESCOLA],"")</f>
        <v/>
      </c>
      <c r="B2802" t="str" cm="1">
        <f t="array" ref="B2802">IFERROR(INDEX(tbNucleo[ESCOLA],ROUNDUP(ROW(B2801)/TotalEtapas,0)),"")</f>
        <v/>
      </c>
      <c r="E2802" t="str">
        <f>IFERROR(VLOOKUP(tbEscolas[[#This Row],[COD ETPA]],tbEtapas[],2,FALSE),"")</f>
        <v/>
      </c>
      <c r="F2802" t="str">
        <f>IFERROR(VLOOKUP(tbEscolas[[#This Row],[COD ETPA]],tbEtapas[],3,FALSE),"")</f>
        <v/>
      </c>
    </row>
    <row r="2803" spans="1:6" x14ac:dyDescent="0.25">
      <c r="A2803" s="24" t="str">
        <f>_xlfn.XLOOKUP(tbEscolas[[#This Row],[ESCOLA]],tbNucleo[ESCOLA],tbNucleo[COD ESCOLA],"")</f>
        <v/>
      </c>
      <c r="B2803" t="str" cm="1">
        <f t="array" ref="B2803">IFERROR(INDEX(tbNucleo[ESCOLA],ROUNDUP(ROW(B2802)/TotalEtapas,0)),"")</f>
        <v/>
      </c>
      <c r="E2803" t="str">
        <f>IFERROR(VLOOKUP(tbEscolas[[#This Row],[COD ETPA]],tbEtapas[],2,FALSE),"")</f>
        <v/>
      </c>
      <c r="F2803" t="str">
        <f>IFERROR(VLOOKUP(tbEscolas[[#This Row],[COD ETPA]],tbEtapas[],3,FALSE),"")</f>
        <v/>
      </c>
    </row>
    <row r="2804" spans="1:6" x14ac:dyDescent="0.25">
      <c r="A2804" s="24" t="str">
        <f>_xlfn.XLOOKUP(tbEscolas[[#This Row],[ESCOLA]],tbNucleo[ESCOLA],tbNucleo[COD ESCOLA],"")</f>
        <v/>
      </c>
      <c r="B2804" t="str" cm="1">
        <f t="array" ref="B2804">IFERROR(INDEX(tbNucleo[ESCOLA],ROUNDUP(ROW(B2803)/TotalEtapas,0)),"")</f>
        <v/>
      </c>
      <c r="E2804" t="str">
        <f>IFERROR(VLOOKUP(tbEscolas[[#This Row],[COD ETPA]],tbEtapas[],2,FALSE),"")</f>
        <v/>
      </c>
      <c r="F2804" t="str">
        <f>IFERROR(VLOOKUP(tbEscolas[[#This Row],[COD ETPA]],tbEtapas[],3,FALSE),"")</f>
        <v/>
      </c>
    </row>
    <row r="2805" spans="1:6" x14ac:dyDescent="0.25">
      <c r="A2805" s="24" t="str">
        <f>_xlfn.XLOOKUP(tbEscolas[[#This Row],[ESCOLA]],tbNucleo[ESCOLA],tbNucleo[COD ESCOLA],"")</f>
        <v/>
      </c>
      <c r="B2805" t="str" cm="1">
        <f t="array" ref="B2805">IFERROR(INDEX(tbNucleo[ESCOLA],ROUNDUP(ROW(B2804)/TotalEtapas,0)),"")</f>
        <v/>
      </c>
      <c r="E2805" t="str">
        <f>IFERROR(VLOOKUP(tbEscolas[[#This Row],[COD ETPA]],tbEtapas[],2,FALSE),"")</f>
        <v/>
      </c>
      <c r="F2805" t="str">
        <f>IFERROR(VLOOKUP(tbEscolas[[#This Row],[COD ETPA]],tbEtapas[],3,FALSE),"")</f>
        <v/>
      </c>
    </row>
    <row r="2806" spans="1:6" x14ac:dyDescent="0.25">
      <c r="A2806" s="24" t="str">
        <f>_xlfn.XLOOKUP(tbEscolas[[#This Row],[ESCOLA]],tbNucleo[ESCOLA],tbNucleo[COD ESCOLA],"")</f>
        <v/>
      </c>
      <c r="B2806" t="str" cm="1">
        <f t="array" ref="B2806">IFERROR(INDEX(tbNucleo[ESCOLA],ROUNDUP(ROW(B2805)/TotalEtapas,0)),"")</f>
        <v/>
      </c>
      <c r="E2806" t="str">
        <f>IFERROR(VLOOKUP(tbEscolas[[#This Row],[COD ETPA]],tbEtapas[],2,FALSE),"")</f>
        <v/>
      </c>
      <c r="F2806" t="str">
        <f>IFERROR(VLOOKUP(tbEscolas[[#This Row],[COD ETPA]],tbEtapas[],3,FALSE),"")</f>
        <v/>
      </c>
    </row>
    <row r="2807" spans="1:6" x14ac:dyDescent="0.25">
      <c r="A2807" s="24" t="str">
        <f>_xlfn.XLOOKUP(tbEscolas[[#This Row],[ESCOLA]],tbNucleo[ESCOLA],tbNucleo[COD ESCOLA],"")</f>
        <v/>
      </c>
      <c r="B2807" t="str" cm="1">
        <f t="array" ref="B2807">IFERROR(INDEX(tbNucleo[ESCOLA],ROUNDUP(ROW(B2806)/TotalEtapas,0)),"")</f>
        <v/>
      </c>
      <c r="E2807" t="str">
        <f>IFERROR(VLOOKUP(tbEscolas[[#This Row],[COD ETPA]],tbEtapas[],2,FALSE),"")</f>
        <v/>
      </c>
      <c r="F2807" t="str">
        <f>IFERROR(VLOOKUP(tbEscolas[[#This Row],[COD ETPA]],tbEtapas[],3,FALSE),"")</f>
        <v/>
      </c>
    </row>
    <row r="2808" spans="1:6" x14ac:dyDescent="0.25">
      <c r="A2808" s="24" t="str">
        <f>_xlfn.XLOOKUP(tbEscolas[[#This Row],[ESCOLA]],tbNucleo[ESCOLA],tbNucleo[COD ESCOLA],"")</f>
        <v/>
      </c>
      <c r="B2808" t="str" cm="1">
        <f t="array" ref="B2808">IFERROR(INDEX(tbNucleo[ESCOLA],ROUNDUP(ROW(B2807)/TotalEtapas,0)),"")</f>
        <v/>
      </c>
      <c r="E2808" t="str">
        <f>IFERROR(VLOOKUP(tbEscolas[[#This Row],[COD ETPA]],tbEtapas[],2,FALSE),"")</f>
        <v/>
      </c>
      <c r="F2808" t="str">
        <f>IFERROR(VLOOKUP(tbEscolas[[#This Row],[COD ETPA]],tbEtapas[],3,FALSE),"")</f>
        <v/>
      </c>
    </row>
    <row r="2809" spans="1:6" x14ac:dyDescent="0.25">
      <c r="A2809" s="24" t="str">
        <f>_xlfn.XLOOKUP(tbEscolas[[#This Row],[ESCOLA]],tbNucleo[ESCOLA],tbNucleo[COD ESCOLA],"")</f>
        <v/>
      </c>
      <c r="B2809" t="str" cm="1">
        <f t="array" ref="B2809">IFERROR(INDEX(tbNucleo[ESCOLA],ROUNDUP(ROW(B2808)/TotalEtapas,0)),"")</f>
        <v/>
      </c>
      <c r="E2809" t="str">
        <f>IFERROR(VLOOKUP(tbEscolas[[#This Row],[COD ETPA]],tbEtapas[],2,FALSE),"")</f>
        <v/>
      </c>
      <c r="F2809" t="str">
        <f>IFERROR(VLOOKUP(tbEscolas[[#This Row],[COD ETPA]],tbEtapas[],3,FALSE),"")</f>
        <v/>
      </c>
    </row>
    <row r="2810" spans="1:6" x14ac:dyDescent="0.25">
      <c r="A2810" s="24" t="str">
        <f>_xlfn.XLOOKUP(tbEscolas[[#This Row],[ESCOLA]],tbNucleo[ESCOLA],tbNucleo[COD ESCOLA],"")</f>
        <v/>
      </c>
      <c r="B2810" t="str" cm="1">
        <f t="array" ref="B2810">IFERROR(INDEX(tbNucleo[ESCOLA],ROUNDUP(ROW(B2809)/TotalEtapas,0)),"")</f>
        <v/>
      </c>
      <c r="E2810" t="str">
        <f>IFERROR(VLOOKUP(tbEscolas[[#This Row],[COD ETPA]],tbEtapas[],2,FALSE),"")</f>
        <v/>
      </c>
      <c r="F2810" t="str">
        <f>IFERROR(VLOOKUP(tbEscolas[[#This Row],[COD ETPA]],tbEtapas[],3,FALSE),"")</f>
        <v/>
      </c>
    </row>
    <row r="2811" spans="1:6" x14ac:dyDescent="0.25">
      <c r="A2811" s="24" t="str">
        <f>_xlfn.XLOOKUP(tbEscolas[[#This Row],[ESCOLA]],tbNucleo[ESCOLA],tbNucleo[COD ESCOLA],"")</f>
        <v/>
      </c>
      <c r="B2811" t="str" cm="1">
        <f t="array" ref="B2811">IFERROR(INDEX(tbNucleo[ESCOLA],ROUNDUP(ROW(B2810)/TotalEtapas,0)),"")</f>
        <v/>
      </c>
      <c r="E2811" t="str">
        <f>IFERROR(VLOOKUP(tbEscolas[[#This Row],[COD ETPA]],tbEtapas[],2,FALSE),"")</f>
        <v/>
      </c>
      <c r="F2811" t="str">
        <f>IFERROR(VLOOKUP(tbEscolas[[#This Row],[COD ETPA]],tbEtapas[],3,FALSE),"")</f>
        <v/>
      </c>
    </row>
    <row r="2812" spans="1:6" x14ac:dyDescent="0.25">
      <c r="A2812" s="24" t="str">
        <f>_xlfn.XLOOKUP(tbEscolas[[#This Row],[ESCOLA]],tbNucleo[ESCOLA],tbNucleo[COD ESCOLA],"")</f>
        <v/>
      </c>
      <c r="B2812" t="str" cm="1">
        <f t="array" ref="B2812">IFERROR(INDEX(tbNucleo[ESCOLA],ROUNDUP(ROW(B2811)/TotalEtapas,0)),"")</f>
        <v/>
      </c>
      <c r="E2812" t="str">
        <f>IFERROR(VLOOKUP(tbEscolas[[#This Row],[COD ETPA]],tbEtapas[],2,FALSE),"")</f>
        <v/>
      </c>
      <c r="F2812" t="str">
        <f>IFERROR(VLOOKUP(tbEscolas[[#This Row],[COD ETPA]],tbEtapas[],3,FALSE),"")</f>
        <v/>
      </c>
    </row>
    <row r="2813" spans="1:6" x14ac:dyDescent="0.25">
      <c r="A2813" s="24" t="str">
        <f>_xlfn.XLOOKUP(tbEscolas[[#This Row],[ESCOLA]],tbNucleo[ESCOLA],tbNucleo[COD ESCOLA],"")</f>
        <v/>
      </c>
      <c r="B2813" t="str" cm="1">
        <f t="array" ref="B2813">IFERROR(INDEX(tbNucleo[ESCOLA],ROUNDUP(ROW(B2812)/TotalEtapas,0)),"")</f>
        <v/>
      </c>
      <c r="E2813" t="str">
        <f>IFERROR(VLOOKUP(tbEscolas[[#This Row],[COD ETPA]],tbEtapas[],2,FALSE),"")</f>
        <v/>
      </c>
      <c r="F2813" t="str">
        <f>IFERROR(VLOOKUP(tbEscolas[[#This Row],[COD ETPA]],tbEtapas[],3,FALSE),"")</f>
        <v/>
      </c>
    </row>
    <row r="2814" spans="1:6" x14ac:dyDescent="0.25">
      <c r="A2814" s="24" t="str">
        <f>_xlfn.XLOOKUP(tbEscolas[[#This Row],[ESCOLA]],tbNucleo[ESCOLA],tbNucleo[COD ESCOLA],"")</f>
        <v/>
      </c>
      <c r="B2814" t="str" cm="1">
        <f t="array" ref="B2814">IFERROR(INDEX(tbNucleo[ESCOLA],ROUNDUP(ROW(B2813)/TotalEtapas,0)),"")</f>
        <v/>
      </c>
      <c r="E2814" t="str">
        <f>IFERROR(VLOOKUP(tbEscolas[[#This Row],[COD ETPA]],tbEtapas[],2,FALSE),"")</f>
        <v/>
      </c>
      <c r="F2814" t="str">
        <f>IFERROR(VLOOKUP(tbEscolas[[#This Row],[COD ETPA]],tbEtapas[],3,FALSE),"")</f>
        <v/>
      </c>
    </row>
    <row r="2815" spans="1:6" x14ac:dyDescent="0.25">
      <c r="A2815" s="24" t="str">
        <f>_xlfn.XLOOKUP(tbEscolas[[#This Row],[ESCOLA]],tbNucleo[ESCOLA],tbNucleo[COD ESCOLA],"")</f>
        <v/>
      </c>
      <c r="B2815" t="str" cm="1">
        <f t="array" ref="B2815">IFERROR(INDEX(tbNucleo[ESCOLA],ROUNDUP(ROW(B2814)/TotalEtapas,0)),"")</f>
        <v/>
      </c>
      <c r="E2815" t="str">
        <f>IFERROR(VLOOKUP(tbEscolas[[#This Row],[COD ETPA]],tbEtapas[],2,FALSE),"")</f>
        <v/>
      </c>
      <c r="F2815" t="str">
        <f>IFERROR(VLOOKUP(tbEscolas[[#This Row],[COD ETPA]],tbEtapas[],3,FALSE),"")</f>
        <v/>
      </c>
    </row>
    <row r="2816" spans="1:6" x14ac:dyDescent="0.25">
      <c r="A2816" s="24" t="str">
        <f>_xlfn.XLOOKUP(tbEscolas[[#This Row],[ESCOLA]],tbNucleo[ESCOLA],tbNucleo[COD ESCOLA],"")</f>
        <v/>
      </c>
      <c r="B2816" t="str" cm="1">
        <f t="array" ref="B2816">IFERROR(INDEX(tbNucleo[ESCOLA],ROUNDUP(ROW(B2815)/TotalEtapas,0)),"")</f>
        <v/>
      </c>
      <c r="E2816" t="str">
        <f>IFERROR(VLOOKUP(tbEscolas[[#This Row],[COD ETPA]],tbEtapas[],2,FALSE),"")</f>
        <v/>
      </c>
      <c r="F2816" t="str">
        <f>IFERROR(VLOOKUP(tbEscolas[[#This Row],[COD ETPA]],tbEtapas[],3,FALSE),"")</f>
        <v/>
      </c>
    </row>
    <row r="2817" spans="1:6" x14ac:dyDescent="0.25">
      <c r="A2817" s="24" t="str">
        <f>_xlfn.XLOOKUP(tbEscolas[[#This Row],[ESCOLA]],tbNucleo[ESCOLA],tbNucleo[COD ESCOLA],"")</f>
        <v/>
      </c>
      <c r="B2817" t="str" cm="1">
        <f t="array" ref="B2817">IFERROR(INDEX(tbNucleo[ESCOLA],ROUNDUP(ROW(B2816)/TotalEtapas,0)),"")</f>
        <v/>
      </c>
      <c r="E2817" t="str">
        <f>IFERROR(VLOOKUP(tbEscolas[[#This Row],[COD ETPA]],tbEtapas[],2,FALSE),"")</f>
        <v/>
      </c>
      <c r="F2817" t="str">
        <f>IFERROR(VLOOKUP(tbEscolas[[#This Row],[COD ETPA]],tbEtapas[],3,FALSE),"")</f>
        <v/>
      </c>
    </row>
    <row r="2818" spans="1:6" x14ac:dyDescent="0.25">
      <c r="A2818" s="24" t="str">
        <f>_xlfn.XLOOKUP(tbEscolas[[#This Row],[ESCOLA]],tbNucleo[ESCOLA],tbNucleo[COD ESCOLA],"")</f>
        <v/>
      </c>
      <c r="B2818" t="str" cm="1">
        <f t="array" ref="B2818">IFERROR(INDEX(tbNucleo[ESCOLA],ROUNDUP(ROW(B2817)/TotalEtapas,0)),"")</f>
        <v/>
      </c>
      <c r="E2818" t="str">
        <f>IFERROR(VLOOKUP(tbEscolas[[#This Row],[COD ETPA]],tbEtapas[],2,FALSE),"")</f>
        <v/>
      </c>
      <c r="F2818" t="str">
        <f>IFERROR(VLOOKUP(tbEscolas[[#This Row],[COD ETPA]],tbEtapas[],3,FALSE),"")</f>
        <v/>
      </c>
    </row>
    <row r="2819" spans="1:6" x14ac:dyDescent="0.25">
      <c r="A2819" s="24" t="str">
        <f>_xlfn.XLOOKUP(tbEscolas[[#This Row],[ESCOLA]],tbNucleo[ESCOLA],tbNucleo[COD ESCOLA],"")</f>
        <v/>
      </c>
      <c r="B2819" t="str" cm="1">
        <f t="array" ref="B2819">IFERROR(INDEX(tbNucleo[ESCOLA],ROUNDUP(ROW(B2818)/TotalEtapas,0)),"")</f>
        <v/>
      </c>
      <c r="E2819" t="str">
        <f>IFERROR(VLOOKUP(tbEscolas[[#This Row],[COD ETPA]],tbEtapas[],2,FALSE),"")</f>
        <v/>
      </c>
      <c r="F2819" t="str">
        <f>IFERROR(VLOOKUP(tbEscolas[[#This Row],[COD ETPA]],tbEtapas[],3,FALSE),"")</f>
        <v/>
      </c>
    </row>
    <row r="2820" spans="1:6" x14ac:dyDescent="0.25">
      <c r="A2820" s="24" t="str">
        <f>_xlfn.XLOOKUP(tbEscolas[[#This Row],[ESCOLA]],tbNucleo[ESCOLA],tbNucleo[COD ESCOLA],"")</f>
        <v/>
      </c>
      <c r="B2820" t="str" cm="1">
        <f t="array" ref="B2820">IFERROR(INDEX(tbNucleo[ESCOLA],ROUNDUP(ROW(B2819)/TotalEtapas,0)),"")</f>
        <v/>
      </c>
      <c r="E2820" t="str">
        <f>IFERROR(VLOOKUP(tbEscolas[[#This Row],[COD ETPA]],tbEtapas[],2,FALSE),"")</f>
        <v/>
      </c>
      <c r="F2820" t="str">
        <f>IFERROR(VLOOKUP(tbEscolas[[#This Row],[COD ETPA]],tbEtapas[],3,FALSE),"")</f>
        <v/>
      </c>
    </row>
    <row r="2821" spans="1:6" x14ac:dyDescent="0.25">
      <c r="A2821" s="24" t="str">
        <f>_xlfn.XLOOKUP(tbEscolas[[#This Row],[ESCOLA]],tbNucleo[ESCOLA],tbNucleo[COD ESCOLA],"")</f>
        <v/>
      </c>
      <c r="B2821" t="str" cm="1">
        <f t="array" ref="B2821">IFERROR(INDEX(tbNucleo[ESCOLA],ROUNDUP(ROW(B2820)/TotalEtapas,0)),"")</f>
        <v/>
      </c>
      <c r="E2821" t="str">
        <f>IFERROR(VLOOKUP(tbEscolas[[#This Row],[COD ETPA]],tbEtapas[],2,FALSE),"")</f>
        <v/>
      </c>
      <c r="F2821" t="str">
        <f>IFERROR(VLOOKUP(tbEscolas[[#This Row],[COD ETPA]],tbEtapas[],3,FALSE),"")</f>
        <v/>
      </c>
    </row>
    <row r="2822" spans="1:6" x14ac:dyDescent="0.25">
      <c r="A2822" s="24" t="str">
        <f>_xlfn.XLOOKUP(tbEscolas[[#This Row],[ESCOLA]],tbNucleo[ESCOLA],tbNucleo[COD ESCOLA],"")</f>
        <v/>
      </c>
      <c r="B2822" t="str" cm="1">
        <f t="array" ref="B2822">IFERROR(INDEX(tbNucleo[ESCOLA],ROUNDUP(ROW(B2821)/TotalEtapas,0)),"")</f>
        <v/>
      </c>
      <c r="E2822" t="str">
        <f>IFERROR(VLOOKUP(tbEscolas[[#This Row],[COD ETPA]],tbEtapas[],2,FALSE),"")</f>
        <v/>
      </c>
      <c r="F2822" t="str">
        <f>IFERROR(VLOOKUP(tbEscolas[[#This Row],[COD ETPA]],tbEtapas[],3,FALSE),"")</f>
        <v/>
      </c>
    </row>
    <row r="2823" spans="1:6" x14ac:dyDescent="0.25">
      <c r="A2823" s="24" t="str">
        <f>_xlfn.XLOOKUP(tbEscolas[[#This Row],[ESCOLA]],tbNucleo[ESCOLA],tbNucleo[COD ESCOLA],"")</f>
        <v/>
      </c>
      <c r="B2823" t="str" cm="1">
        <f t="array" ref="B2823">IFERROR(INDEX(tbNucleo[ESCOLA],ROUNDUP(ROW(B2822)/TotalEtapas,0)),"")</f>
        <v/>
      </c>
      <c r="E2823" t="str">
        <f>IFERROR(VLOOKUP(tbEscolas[[#This Row],[COD ETPA]],tbEtapas[],2,FALSE),"")</f>
        <v/>
      </c>
      <c r="F2823" t="str">
        <f>IFERROR(VLOOKUP(tbEscolas[[#This Row],[COD ETPA]],tbEtapas[],3,FALSE),"")</f>
        <v/>
      </c>
    </row>
    <row r="2824" spans="1:6" x14ac:dyDescent="0.25">
      <c r="A2824" s="24" t="str">
        <f>_xlfn.XLOOKUP(tbEscolas[[#This Row],[ESCOLA]],tbNucleo[ESCOLA],tbNucleo[COD ESCOLA],"")</f>
        <v/>
      </c>
      <c r="B2824" t="str" cm="1">
        <f t="array" ref="B2824">IFERROR(INDEX(tbNucleo[ESCOLA],ROUNDUP(ROW(B2823)/TotalEtapas,0)),"")</f>
        <v/>
      </c>
      <c r="E2824" t="str">
        <f>IFERROR(VLOOKUP(tbEscolas[[#This Row],[COD ETPA]],tbEtapas[],2,FALSE),"")</f>
        <v/>
      </c>
      <c r="F2824" t="str">
        <f>IFERROR(VLOOKUP(tbEscolas[[#This Row],[COD ETPA]],tbEtapas[],3,FALSE),"")</f>
        <v/>
      </c>
    </row>
    <row r="2825" spans="1:6" x14ac:dyDescent="0.25">
      <c r="A2825" s="24" t="str">
        <f>_xlfn.XLOOKUP(tbEscolas[[#This Row],[ESCOLA]],tbNucleo[ESCOLA],tbNucleo[COD ESCOLA],"")</f>
        <v/>
      </c>
      <c r="B2825" t="str" cm="1">
        <f t="array" ref="B2825">IFERROR(INDEX(tbNucleo[ESCOLA],ROUNDUP(ROW(B2824)/TotalEtapas,0)),"")</f>
        <v/>
      </c>
      <c r="E2825" t="str">
        <f>IFERROR(VLOOKUP(tbEscolas[[#This Row],[COD ETPA]],tbEtapas[],2,FALSE),"")</f>
        <v/>
      </c>
      <c r="F2825" t="str">
        <f>IFERROR(VLOOKUP(tbEscolas[[#This Row],[COD ETPA]],tbEtapas[],3,FALSE),"")</f>
        <v/>
      </c>
    </row>
    <row r="2826" spans="1:6" x14ac:dyDescent="0.25">
      <c r="A2826" s="24" t="str">
        <f>_xlfn.XLOOKUP(tbEscolas[[#This Row],[ESCOLA]],tbNucleo[ESCOLA],tbNucleo[COD ESCOLA],"")</f>
        <v/>
      </c>
      <c r="B2826" t="str" cm="1">
        <f t="array" ref="B2826">IFERROR(INDEX(tbNucleo[ESCOLA],ROUNDUP(ROW(B2825)/TotalEtapas,0)),"")</f>
        <v/>
      </c>
      <c r="E2826" t="str">
        <f>IFERROR(VLOOKUP(tbEscolas[[#This Row],[COD ETPA]],tbEtapas[],2,FALSE),"")</f>
        <v/>
      </c>
      <c r="F2826" t="str">
        <f>IFERROR(VLOOKUP(tbEscolas[[#This Row],[COD ETPA]],tbEtapas[],3,FALSE),"")</f>
        <v/>
      </c>
    </row>
    <row r="2827" spans="1:6" x14ac:dyDescent="0.25">
      <c r="A2827" s="24" t="str">
        <f>_xlfn.XLOOKUP(tbEscolas[[#This Row],[ESCOLA]],tbNucleo[ESCOLA],tbNucleo[COD ESCOLA],"")</f>
        <v/>
      </c>
      <c r="B2827" t="str" cm="1">
        <f t="array" ref="B2827">IFERROR(INDEX(tbNucleo[ESCOLA],ROUNDUP(ROW(B2826)/TotalEtapas,0)),"")</f>
        <v/>
      </c>
      <c r="E2827" t="str">
        <f>IFERROR(VLOOKUP(tbEscolas[[#This Row],[COD ETPA]],tbEtapas[],2,FALSE),"")</f>
        <v/>
      </c>
      <c r="F2827" t="str">
        <f>IFERROR(VLOOKUP(tbEscolas[[#This Row],[COD ETPA]],tbEtapas[],3,FALSE),"")</f>
        <v/>
      </c>
    </row>
    <row r="2828" spans="1:6" x14ac:dyDescent="0.25">
      <c r="A2828" s="24" t="str">
        <f>_xlfn.XLOOKUP(tbEscolas[[#This Row],[ESCOLA]],tbNucleo[ESCOLA],tbNucleo[COD ESCOLA],"")</f>
        <v/>
      </c>
      <c r="B2828" t="str" cm="1">
        <f t="array" ref="B2828">IFERROR(INDEX(tbNucleo[ESCOLA],ROUNDUP(ROW(B2827)/TotalEtapas,0)),"")</f>
        <v/>
      </c>
      <c r="E2828" t="str">
        <f>IFERROR(VLOOKUP(tbEscolas[[#This Row],[COD ETPA]],tbEtapas[],2,FALSE),"")</f>
        <v/>
      </c>
      <c r="F2828" t="str">
        <f>IFERROR(VLOOKUP(tbEscolas[[#This Row],[COD ETPA]],tbEtapas[],3,FALSE),"")</f>
        <v/>
      </c>
    </row>
    <row r="2829" spans="1:6" x14ac:dyDescent="0.25">
      <c r="A2829" s="24" t="str">
        <f>_xlfn.XLOOKUP(tbEscolas[[#This Row],[ESCOLA]],tbNucleo[ESCOLA],tbNucleo[COD ESCOLA],"")</f>
        <v/>
      </c>
      <c r="B2829" t="str" cm="1">
        <f t="array" ref="B2829">IFERROR(INDEX(tbNucleo[ESCOLA],ROUNDUP(ROW(B2828)/TotalEtapas,0)),"")</f>
        <v/>
      </c>
      <c r="E2829" t="str">
        <f>IFERROR(VLOOKUP(tbEscolas[[#This Row],[COD ETPA]],tbEtapas[],2,FALSE),"")</f>
        <v/>
      </c>
      <c r="F2829" t="str">
        <f>IFERROR(VLOOKUP(tbEscolas[[#This Row],[COD ETPA]],tbEtapas[],3,FALSE),"")</f>
        <v/>
      </c>
    </row>
    <row r="2830" spans="1:6" x14ac:dyDescent="0.25">
      <c r="A2830" s="24" t="str">
        <f>_xlfn.XLOOKUP(tbEscolas[[#This Row],[ESCOLA]],tbNucleo[ESCOLA],tbNucleo[COD ESCOLA],"")</f>
        <v/>
      </c>
      <c r="B2830" t="str" cm="1">
        <f t="array" ref="B2830">IFERROR(INDEX(tbNucleo[ESCOLA],ROUNDUP(ROW(B2829)/TotalEtapas,0)),"")</f>
        <v/>
      </c>
      <c r="E2830" t="str">
        <f>IFERROR(VLOOKUP(tbEscolas[[#This Row],[COD ETPA]],tbEtapas[],2,FALSE),"")</f>
        <v/>
      </c>
      <c r="F2830" t="str">
        <f>IFERROR(VLOOKUP(tbEscolas[[#This Row],[COD ETPA]],tbEtapas[],3,FALSE),"")</f>
        <v/>
      </c>
    </row>
    <row r="2831" spans="1:6" x14ac:dyDescent="0.25">
      <c r="A2831" s="24" t="str">
        <f>_xlfn.XLOOKUP(tbEscolas[[#This Row],[ESCOLA]],tbNucleo[ESCOLA],tbNucleo[COD ESCOLA],"")</f>
        <v/>
      </c>
      <c r="B2831" t="str" cm="1">
        <f t="array" ref="B2831">IFERROR(INDEX(tbNucleo[ESCOLA],ROUNDUP(ROW(B2830)/TotalEtapas,0)),"")</f>
        <v/>
      </c>
      <c r="E2831" t="str">
        <f>IFERROR(VLOOKUP(tbEscolas[[#This Row],[COD ETPA]],tbEtapas[],2,FALSE),"")</f>
        <v/>
      </c>
      <c r="F2831" t="str">
        <f>IFERROR(VLOOKUP(tbEscolas[[#This Row],[COD ETPA]],tbEtapas[],3,FALSE),"")</f>
        <v/>
      </c>
    </row>
    <row r="2832" spans="1:6" x14ac:dyDescent="0.25">
      <c r="A2832" s="24" t="str">
        <f>_xlfn.XLOOKUP(tbEscolas[[#This Row],[ESCOLA]],tbNucleo[ESCOLA],tbNucleo[COD ESCOLA],"")</f>
        <v/>
      </c>
      <c r="B2832" t="str" cm="1">
        <f t="array" ref="B2832">IFERROR(INDEX(tbNucleo[ESCOLA],ROUNDUP(ROW(B2831)/TotalEtapas,0)),"")</f>
        <v/>
      </c>
      <c r="E2832" t="str">
        <f>IFERROR(VLOOKUP(tbEscolas[[#This Row],[COD ETPA]],tbEtapas[],2,FALSE),"")</f>
        <v/>
      </c>
      <c r="F2832" t="str">
        <f>IFERROR(VLOOKUP(tbEscolas[[#This Row],[COD ETPA]],tbEtapas[],3,FALSE),"")</f>
        <v/>
      </c>
    </row>
    <row r="2833" spans="1:6" x14ac:dyDescent="0.25">
      <c r="A2833" s="24" t="str">
        <f>_xlfn.XLOOKUP(tbEscolas[[#This Row],[ESCOLA]],tbNucleo[ESCOLA],tbNucleo[COD ESCOLA],"")</f>
        <v/>
      </c>
      <c r="B2833" t="str" cm="1">
        <f t="array" ref="B2833">IFERROR(INDEX(tbNucleo[ESCOLA],ROUNDUP(ROW(B2832)/TotalEtapas,0)),"")</f>
        <v/>
      </c>
      <c r="E2833" t="str">
        <f>IFERROR(VLOOKUP(tbEscolas[[#This Row],[COD ETPA]],tbEtapas[],2,FALSE),"")</f>
        <v/>
      </c>
      <c r="F2833" t="str">
        <f>IFERROR(VLOOKUP(tbEscolas[[#This Row],[COD ETPA]],tbEtapas[],3,FALSE),"")</f>
        <v/>
      </c>
    </row>
    <row r="2834" spans="1:6" x14ac:dyDescent="0.25">
      <c r="A2834" s="24" t="str">
        <f>_xlfn.XLOOKUP(tbEscolas[[#This Row],[ESCOLA]],tbNucleo[ESCOLA],tbNucleo[COD ESCOLA],"")</f>
        <v/>
      </c>
      <c r="B2834" t="str" cm="1">
        <f t="array" ref="B2834">IFERROR(INDEX(tbNucleo[ESCOLA],ROUNDUP(ROW(B2833)/TotalEtapas,0)),"")</f>
        <v/>
      </c>
      <c r="E2834" t="str">
        <f>IFERROR(VLOOKUP(tbEscolas[[#This Row],[COD ETPA]],tbEtapas[],2,FALSE),"")</f>
        <v/>
      </c>
      <c r="F2834" t="str">
        <f>IFERROR(VLOOKUP(tbEscolas[[#This Row],[COD ETPA]],tbEtapas[],3,FALSE),"")</f>
        <v/>
      </c>
    </row>
    <row r="2835" spans="1:6" x14ac:dyDescent="0.25">
      <c r="A2835" s="24" t="str">
        <f>_xlfn.XLOOKUP(tbEscolas[[#This Row],[ESCOLA]],tbNucleo[ESCOLA],tbNucleo[COD ESCOLA],"")</f>
        <v/>
      </c>
      <c r="B2835" t="str" cm="1">
        <f t="array" ref="B2835">IFERROR(INDEX(tbNucleo[ESCOLA],ROUNDUP(ROW(B2834)/TotalEtapas,0)),"")</f>
        <v/>
      </c>
      <c r="E2835" t="str">
        <f>IFERROR(VLOOKUP(tbEscolas[[#This Row],[COD ETPA]],tbEtapas[],2,FALSE),"")</f>
        <v/>
      </c>
      <c r="F2835" t="str">
        <f>IFERROR(VLOOKUP(tbEscolas[[#This Row],[COD ETPA]],tbEtapas[],3,FALSE),"")</f>
        <v/>
      </c>
    </row>
    <row r="2836" spans="1:6" x14ac:dyDescent="0.25">
      <c r="A2836" s="24" t="str">
        <f>_xlfn.XLOOKUP(tbEscolas[[#This Row],[ESCOLA]],tbNucleo[ESCOLA],tbNucleo[COD ESCOLA],"")</f>
        <v/>
      </c>
      <c r="B2836" t="str" cm="1">
        <f t="array" ref="B2836">IFERROR(INDEX(tbNucleo[ESCOLA],ROUNDUP(ROW(B2835)/TotalEtapas,0)),"")</f>
        <v/>
      </c>
      <c r="E2836" t="str">
        <f>IFERROR(VLOOKUP(tbEscolas[[#This Row],[COD ETPA]],tbEtapas[],2,FALSE),"")</f>
        <v/>
      </c>
      <c r="F2836" t="str">
        <f>IFERROR(VLOOKUP(tbEscolas[[#This Row],[COD ETPA]],tbEtapas[],3,FALSE),"")</f>
        <v/>
      </c>
    </row>
    <row r="2837" spans="1:6" x14ac:dyDescent="0.25">
      <c r="A2837" s="24" t="str">
        <f>_xlfn.XLOOKUP(tbEscolas[[#This Row],[ESCOLA]],tbNucleo[ESCOLA],tbNucleo[COD ESCOLA],"")</f>
        <v/>
      </c>
      <c r="B2837" t="str" cm="1">
        <f t="array" ref="B2837">IFERROR(INDEX(tbNucleo[ESCOLA],ROUNDUP(ROW(B2836)/TotalEtapas,0)),"")</f>
        <v/>
      </c>
      <c r="E2837" t="str">
        <f>IFERROR(VLOOKUP(tbEscolas[[#This Row],[COD ETPA]],tbEtapas[],2,FALSE),"")</f>
        <v/>
      </c>
      <c r="F2837" t="str">
        <f>IFERROR(VLOOKUP(tbEscolas[[#This Row],[COD ETPA]],tbEtapas[],3,FALSE),"")</f>
        <v/>
      </c>
    </row>
    <row r="2838" spans="1:6" x14ac:dyDescent="0.25">
      <c r="A2838" s="24" t="str">
        <f>_xlfn.XLOOKUP(tbEscolas[[#This Row],[ESCOLA]],tbNucleo[ESCOLA],tbNucleo[COD ESCOLA],"")</f>
        <v/>
      </c>
      <c r="B2838" t="str" cm="1">
        <f t="array" ref="B2838">IFERROR(INDEX(tbNucleo[ESCOLA],ROUNDUP(ROW(B2837)/TotalEtapas,0)),"")</f>
        <v/>
      </c>
      <c r="E2838" t="str">
        <f>IFERROR(VLOOKUP(tbEscolas[[#This Row],[COD ETPA]],tbEtapas[],2,FALSE),"")</f>
        <v/>
      </c>
      <c r="F2838" t="str">
        <f>IFERROR(VLOOKUP(tbEscolas[[#This Row],[COD ETPA]],tbEtapas[],3,FALSE),"")</f>
        <v/>
      </c>
    </row>
    <row r="2839" spans="1:6" x14ac:dyDescent="0.25">
      <c r="A2839" s="24" t="str">
        <f>_xlfn.XLOOKUP(tbEscolas[[#This Row],[ESCOLA]],tbNucleo[ESCOLA],tbNucleo[COD ESCOLA],"")</f>
        <v/>
      </c>
      <c r="B2839" t="str" cm="1">
        <f t="array" ref="B2839">IFERROR(INDEX(tbNucleo[ESCOLA],ROUNDUP(ROW(B2838)/TotalEtapas,0)),"")</f>
        <v/>
      </c>
      <c r="E2839" t="str">
        <f>IFERROR(VLOOKUP(tbEscolas[[#This Row],[COD ETPA]],tbEtapas[],2,FALSE),"")</f>
        <v/>
      </c>
      <c r="F2839" t="str">
        <f>IFERROR(VLOOKUP(tbEscolas[[#This Row],[COD ETPA]],tbEtapas[],3,FALSE),"")</f>
        <v/>
      </c>
    </row>
    <row r="2840" spans="1:6" x14ac:dyDescent="0.25">
      <c r="A2840" s="24" t="str">
        <f>_xlfn.XLOOKUP(tbEscolas[[#This Row],[ESCOLA]],tbNucleo[ESCOLA],tbNucleo[COD ESCOLA],"")</f>
        <v/>
      </c>
      <c r="B2840" t="str" cm="1">
        <f t="array" ref="B2840">IFERROR(INDEX(tbNucleo[ESCOLA],ROUNDUP(ROW(B2839)/TotalEtapas,0)),"")</f>
        <v/>
      </c>
      <c r="E2840" t="str">
        <f>IFERROR(VLOOKUP(tbEscolas[[#This Row],[COD ETPA]],tbEtapas[],2,FALSE),"")</f>
        <v/>
      </c>
      <c r="F2840" t="str">
        <f>IFERROR(VLOOKUP(tbEscolas[[#This Row],[COD ETPA]],tbEtapas[],3,FALSE),"")</f>
        <v/>
      </c>
    </row>
    <row r="2841" spans="1:6" x14ac:dyDescent="0.25">
      <c r="A2841" s="24" t="str">
        <f>_xlfn.XLOOKUP(tbEscolas[[#This Row],[ESCOLA]],tbNucleo[ESCOLA],tbNucleo[COD ESCOLA],"")</f>
        <v/>
      </c>
      <c r="B2841" t="str" cm="1">
        <f t="array" ref="B2841">IFERROR(INDEX(tbNucleo[ESCOLA],ROUNDUP(ROW(B2840)/TotalEtapas,0)),"")</f>
        <v/>
      </c>
      <c r="E2841" t="str">
        <f>IFERROR(VLOOKUP(tbEscolas[[#This Row],[COD ETPA]],tbEtapas[],2,FALSE),"")</f>
        <v/>
      </c>
      <c r="F2841" t="str">
        <f>IFERROR(VLOOKUP(tbEscolas[[#This Row],[COD ETPA]],tbEtapas[],3,FALSE),"")</f>
        <v/>
      </c>
    </row>
    <row r="2842" spans="1:6" x14ac:dyDescent="0.25">
      <c r="A2842" s="24" t="str">
        <f>_xlfn.XLOOKUP(tbEscolas[[#This Row],[ESCOLA]],tbNucleo[ESCOLA],tbNucleo[COD ESCOLA],"")</f>
        <v/>
      </c>
      <c r="B2842" t="str" cm="1">
        <f t="array" ref="B2842">IFERROR(INDEX(tbNucleo[ESCOLA],ROUNDUP(ROW(B2841)/TotalEtapas,0)),"")</f>
        <v/>
      </c>
      <c r="E2842" t="str">
        <f>IFERROR(VLOOKUP(tbEscolas[[#This Row],[COD ETPA]],tbEtapas[],2,FALSE),"")</f>
        <v/>
      </c>
      <c r="F2842" t="str">
        <f>IFERROR(VLOOKUP(tbEscolas[[#This Row],[COD ETPA]],tbEtapas[],3,FALSE),"")</f>
        <v/>
      </c>
    </row>
    <row r="2843" spans="1:6" x14ac:dyDescent="0.25">
      <c r="A2843" s="24" t="str">
        <f>_xlfn.XLOOKUP(tbEscolas[[#This Row],[ESCOLA]],tbNucleo[ESCOLA],tbNucleo[COD ESCOLA],"")</f>
        <v/>
      </c>
      <c r="B2843" t="str" cm="1">
        <f t="array" ref="B2843">IFERROR(INDEX(tbNucleo[ESCOLA],ROUNDUP(ROW(B2842)/TotalEtapas,0)),"")</f>
        <v/>
      </c>
      <c r="E2843" t="str">
        <f>IFERROR(VLOOKUP(tbEscolas[[#This Row],[COD ETPA]],tbEtapas[],2,FALSE),"")</f>
        <v/>
      </c>
      <c r="F2843" t="str">
        <f>IFERROR(VLOOKUP(tbEscolas[[#This Row],[COD ETPA]],tbEtapas[],3,FALSE),"")</f>
        <v/>
      </c>
    </row>
    <row r="2844" spans="1:6" x14ac:dyDescent="0.25">
      <c r="A2844" s="24" t="str">
        <f>_xlfn.XLOOKUP(tbEscolas[[#This Row],[ESCOLA]],tbNucleo[ESCOLA],tbNucleo[COD ESCOLA],"")</f>
        <v/>
      </c>
      <c r="B2844" t="str" cm="1">
        <f t="array" ref="B2844">IFERROR(INDEX(tbNucleo[ESCOLA],ROUNDUP(ROW(B2843)/TotalEtapas,0)),"")</f>
        <v/>
      </c>
      <c r="E2844" t="str">
        <f>IFERROR(VLOOKUP(tbEscolas[[#This Row],[COD ETPA]],tbEtapas[],2,FALSE),"")</f>
        <v/>
      </c>
      <c r="F2844" t="str">
        <f>IFERROR(VLOOKUP(tbEscolas[[#This Row],[COD ETPA]],tbEtapas[],3,FALSE),"")</f>
        <v/>
      </c>
    </row>
    <row r="2845" spans="1:6" x14ac:dyDescent="0.25">
      <c r="A2845" s="24" t="str">
        <f>_xlfn.XLOOKUP(tbEscolas[[#This Row],[ESCOLA]],tbNucleo[ESCOLA],tbNucleo[COD ESCOLA],"")</f>
        <v/>
      </c>
      <c r="B2845" t="str" cm="1">
        <f t="array" ref="B2845">IFERROR(INDEX(tbNucleo[ESCOLA],ROUNDUP(ROW(B2844)/TotalEtapas,0)),"")</f>
        <v/>
      </c>
      <c r="E2845" t="str">
        <f>IFERROR(VLOOKUP(tbEscolas[[#This Row],[COD ETPA]],tbEtapas[],2,FALSE),"")</f>
        <v/>
      </c>
      <c r="F2845" t="str">
        <f>IFERROR(VLOOKUP(tbEscolas[[#This Row],[COD ETPA]],tbEtapas[],3,FALSE),"")</f>
        <v/>
      </c>
    </row>
    <row r="2846" spans="1:6" x14ac:dyDescent="0.25">
      <c r="A2846" s="24" t="str">
        <f>_xlfn.XLOOKUP(tbEscolas[[#This Row],[ESCOLA]],tbNucleo[ESCOLA],tbNucleo[COD ESCOLA],"")</f>
        <v/>
      </c>
      <c r="B2846" t="str" cm="1">
        <f t="array" ref="B2846">IFERROR(INDEX(tbNucleo[ESCOLA],ROUNDUP(ROW(B2845)/TotalEtapas,0)),"")</f>
        <v/>
      </c>
      <c r="E2846" t="str">
        <f>IFERROR(VLOOKUP(tbEscolas[[#This Row],[COD ETPA]],tbEtapas[],2,FALSE),"")</f>
        <v/>
      </c>
      <c r="F2846" t="str">
        <f>IFERROR(VLOOKUP(tbEscolas[[#This Row],[COD ETPA]],tbEtapas[],3,FALSE),"")</f>
        <v/>
      </c>
    </row>
    <row r="2847" spans="1:6" x14ac:dyDescent="0.25">
      <c r="A2847" s="24" t="str">
        <f>_xlfn.XLOOKUP(tbEscolas[[#This Row],[ESCOLA]],tbNucleo[ESCOLA],tbNucleo[COD ESCOLA],"")</f>
        <v/>
      </c>
      <c r="B2847" t="str" cm="1">
        <f t="array" ref="B2847">IFERROR(INDEX(tbNucleo[ESCOLA],ROUNDUP(ROW(B2846)/TotalEtapas,0)),"")</f>
        <v/>
      </c>
      <c r="E2847" t="str">
        <f>IFERROR(VLOOKUP(tbEscolas[[#This Row],[COD ETPA]],tbEtapas[],2,FALSE),"")</f>
        <v/>
      </c>
      <c r="F2847" t="str">
        <f>IFERROR(VLOOKUP(tbEscolas[[#This Row],[COD ETPA]],tbEtapas[],3,FALSE),"")</f>
        <v/>
      </c>
    </row>
    <row r="2848" spans="1:6" x14ac:dyDescent="0.25">
      <c r="A2848" s="24" t="str">
        <f>_xlfn.XLOOKUP(tbEscolas[[#This Row],[ESCOLA]],tbNucleo[ESCOLA],tbNucleo[COD ESCOLA],"")</f>
        <v/>
      </c>
      <c r="B2848" t="str" cm="1">
        <f t="array" ref="B2848">IFERROR(INDEX(tbNucleo[ESCOLA],ROUNDUP(ROW(B2847)/TotalEtapas,0)),"")</f>
        <v/>
      </c>
      <c r="E2848" t="str">
        <f>IFERROR(VLOOKUP(tbEscolas[[#This Row],[COD ETPA]],tbEtapas[],2,FALSE),"")</f>
        <v/>
      </c>
      <c r="F2848" t="str">
        <f>IFERROR(VLOOKUP(tbEscolas[[#This Row],[COD ETPA]],tbEtapas[],3,FALSE),"")</f>
        <v/>
      </c>
    </row>
    <row r="2849" spans="1:6" x14ac:dyDescent="0.25">
      <c r="A2849" s="24" t="str">
        <f>_xlfn.XLOOKUP(tbEscolas[[#This Row],[ESCOLA]],tbNucleo[ESCOLA],tbNucleo[COD ESCOLA],"")</f>
        <v/>
      </c>
      <c r="B2849" t="str" cm="1">
        <f t="array" ref="B2849">IFERROR(INDEX(tbNucleo[ESCOLA],ROUNDUP(ROW(B2848)/TotalEtapas,0)),"")</f>
        <v/>
      </c>
      <c r="E2849" t="str">
        <f>IFERROR(VLOOKUP(tbEscolas[[#This Row],[COD ETPA]],tbEtapas[],2,FALSE),"")</f>
        <v/>
      </c>
      <c r="F2849" t="str">
        <f>IFERROR(VLOOKUP(tbEscolas[[#This Row],[COD ETPA]],tbEtapas[],3,FALSE),"")</f>
        <v/>
      </c>
    </row>
    <row r="2850" spans="1:6" x14ac:dyDescent="0.25">
      <c r="A2850" s="24" t="str">
        <f>_xlfn.XLOOKUP(tbEscolas[[#This Row],[ESCOLA]],tbNucleo[ESCOLA],tbNucleo[COD ESCOLA],"")</f>
        <v/>
      </c>
      <c r="B2850" t="str" cm="1">
        <f t="array" ref="B2850">IFERROR(INDEX(tbNucleo[ESCOLA],ROUNDUP(ROW(B2849)/TotalEtapas,0)),"")</f>
        <v/>
      </c>
      <c r="E2850" t="str">
        <f>IFERROR(VLOOKUP(tbEscolas[[#This Row],[COD ETPA]],tbEtapas[],2,FALSE),"")</f>
        <v/>
      </c>
      <c r="F2850" t="str">
        <f>IFERROR(VLOOKUP(tbEscolas[[#This Row],[COD ETPA]],tbEtapas[],3,FALSE),"")</f>
        <v/>
      </c>
    </row>
    <row r="2851" spans="1:6" x14ac:dyDescent="0.25">
      <c r="A2851" s="24" t="str">
        <f>_xlfn.XLOOKUP(tbEscolas[[#This Row],[ESCOLA]],tbNucleo[ESCOLA],tbNucleo[COD ESCOLA],"")</f>
        <v/>
      </c>
      <c r="B2851" t="str" cm="1">
        <f t="array" ref="B2851">IFERROR(INDEX(tbNucleo[ESCOLA],ROUNDUP(ROW(B2850)/TotalEtapas,0)),"")</f>
        <v/>
      </c>
      <c r="E2851" t="str">
        <f>IFERROR(VLOOKUP(tbEscolas[[#This Row],[COD ETPA]],tbEtapas[],2,FALSE),"")</f>
        <v/>
      </c>
      <c r="F2851" t="str">
        <f>IFERROR(VLOOKUP(tbEscolas[[#This Row],[COD ETPA]],tbEtapas[],3,FALSE),"")</f>
        <v/>
      </c>
    </row>
    <row r="2852" spans="1:6" x14ac:dyDescent="0.25">
      <c r="A2852" s="24" t="str">
        <f>_xlfn.XLOOKUP(tbEscolas[[#This Row],[ESCOLA]],tbNucleo[ESCOLA],tbNucleo[COD ESCOLA],"")</f>
        <v/>
      </c>
      <c r="B2852" t="str" cm="1">
        <f t="array" ref="B2852">IFERROR(INDEX(tbNucleo[ESCOLA],ROUNDUP(ROW(B2851)/TotalEtapas,0)),"")</f>
        <v/>
      </c>
      <c r="E2852" t="str">
        <f>IFERROR(VLOOKUP(tbEscolas[[#This Row],[COD ETPA]],tbEtapas[],2,FALSE),"")</f>
        <v/>
      </c>
      <c r="F2852" t="str">
        <f>IFERROR(VLOOKUP(tbEscolas[[#This Row],[COD ETPA]],tbEtapas[],3,FALSE),"")</f>
        <v/>
      </c>
    </row>
    <row r="2853" spans="1:6" x14ac:dyDescent="0.25">
      <c r="A2853" s="24" t="str">
        <f>_xlfn.XLOOKUP(tbEscolas[[#This Row],[ESCOLA]],tbNucleo[ESCOLA],tbNucleo[COD ESCOLA],"")</f>
        <v/>
      </c>
      <c r="B2853" t="str" cm="1">
        <f t="array" ref="B2853">IFERROR(INDEX(tbNucleo[ESCOLA],ROUNDUP(ROW(B2852)/TotalEtapas,0)),"")</f>
        <v/>
      </c>
      <c r="E2853" t="str">
        <f>IFERROR(VLOOKUP(tbEscolas[[#This Row],[COD ETPA]],tbEtapas[],2,FALSE),"")</f>
        <v/>
      </c>
      <c r="F2853" t="str">
        <f>IFERROR(VLOOKUP(tbEscolas[[#This Row],[COD ETPA]],tbEtapas[],3,FALSE),"")</f>
        <v/>
      </c>
    </row>
    <row r="2854" spans="1:6" x14ac:dyDescent="0.25">
      <c r="A2854" s="24" t="str">
        <f>_xlfn.XLOOKUP(tbEscolas[[#This Row],[ESCOLA]],tbNucleo[ESCOLA],tbNucleo[COD ESCOLA],"")</f>
        <v/>
      </c>
      <c r="B2854" t="str" cm="1">
        <f t="array" ref="B2854">IFERROR(INDEX(tbNucleo[ESCOLA],ROUNDUP(ROW(B2853)/TotalEtapas,0)),"")</f>
        <v/>
      </c>
      <c r="E2854" t="str">
        <f>IFERROR(VLOOKUP(tbEscolas[[#This Row],[COD ETPA]],tbEtapas[],2,FALSE),"")</f>
        <v/>
      </c>
      <c r="F2854" t="str">
        <f>IFERROR(VLOOKUP(tbEscolas[[#This Row],[COD ETPA]],tbEtapas[],3,FALSE),"")</f>
        <v/>
      </c>
    </row>
    <row r="2855" spans="1:6" x14ac:dyDescent="0.25">
      <c r="A2855" s="24" t="str">
        <f>_xlfn.XLOOKUP(tbEscolas[[#This Row],[ESCOLA]],tbNucleo[ESCOLA],tbNucleo[COD ESCOLA],"")</f>
        <v/>
      </c>
      <c r="B2855" t="str" cm="1">
        <f t="array" ref="B2855">IFERROR(INDEX(tbNucleo[ESCOLA],ROUNDUP(ROW(B2854)/TotalEtapas,0)),"")</f>
        <v/>
      </c>
      <c r="E2855" t="str">
        <f>IFERROR(VLOOKUP(tbEscolas[[#This Row],[COD ETPA]],tbEtapas[],2,FALSE),"")</f>
        <v/>
      </c>
      <c r="F2855" t="str">
        <f>IFERROR(VLOOKUP(tbEscolas[[#This Row],[COD ETPA]],tbEtapas[],3,FALSE),"")</f>
        <v/>
      </c>
    </row>
    <row r="2856" spans="1:6" x14ac:dyDescent="0.25">
      <c r="A2856" s="24" t="str">
        <f>_xlfn.XLOOKUP(tbEscolas[[#This Row],[ESCOLA]],tbNucleo[ESCOLA],tbNucleo[COD ESCOLA],"")</f>
        <v/>
      </c>
      <c r="B2856" t="str" cm="1">
        <f t="array" ref="B2856">IFERROR(INDEX(tbNucleo[ESCOLA],ROUNDUP(ROW(B2855)/TotalEtapas,0)),"")</f>
        <v/>
      </c>
      <c r="E2856" t="str">
        <f>IFERROR(VLOOKUP(tbEscolas[[#This Row],[COD ETPA]],tbEtapas[],2,FALSE),"")</f>
        <v/>
      </c>
      <c r="F2856" t="str">
        <f>IFERROR(VLOOKUP(tbEscolas[[#This Row],[COD ETPA]],tbEtapas[],3,FALSE),"")</f>
        <v/>
      </c>
    </row>
    <row r="2857" spans="1:6" x14ac:dyDescent="0.25">
      <c r="A2857" s="24" t="str">
        <f>_xlfn.XLOOKUP(tbEscolas[[#This Row],[ESCOLA]],tbNucleo[ESCOLA],tbNucleo[COD ESCOLA],"")</f>
        <v/>
      </c>
      <c r="B2857" t="str" cm="1">
        <f t="array" ref="B2857">IFERROR(INDEX(tbNucleo[ESCOLA],ROUNDUP(ROW(B2856)/TotalEtapas,0)),"")</f>
        <v/>
      </c>
      <c r="E2857" t="str">
        <f>IFERROR(VLOOKUP(tbEscolas[[#This Row],[COD ETPA]],tbEtapas[],2,FALSE),"")</f>
        <v/>
      </c>
      <c r="F2857" t="str">
        <f>IFERROR(VLOOKUP(tbEscolas[[#This Row],[COD ETPA]],tbEtapas[],3,FALSE),"")</f>
        <v/>
      </c>
    </row>
    <row r="2858" spans="1:6" x14ac:dyDescent="0.25">
      <c r="A2858" s="24" t="str">
        <f>_xlfn.XLOOKUP(tbEscolas[[#This Row],[ESCOLA]],tbNucleo[ESCOLA],tbNucleo[COD ESCOLA],"")</f>
        <v/>
      </c>
      <c r="B2858" t="str" cm="1">
        <f t="array" ref="B2858">IFERROR(INDEX(tbNucleo[ESCOLA],ROUNDUP(ROW(B2857)/TotalEtapas,0)),"")</f>
        <v/>
      </c>
      <c r="E2858" t="str">
        <f>IFERROR(VLOOKUP(tbEscolas[[#This Row],[COD ETPA]],tbEtapas[],2,FALSE),"")</f>
        <v/>
      </c>
      <c r="F2858" t="str">
        <f>IFERROR(VLOOKUP(tbEscolas[[#This Row],[COD ETPA]],tbEtapas[],3,FALSE),"")</f>
        <v/>
      </c>
    </row>
    <row r="2859" spans="1:6" x14ac:dyDescent="0.25">
      <c r="A2859" s="24" t="str">
        <f>_xlfn.XLOOKUP(tbEscolas[[#This Row],[ESCOLA]],tbNucleo[ESCOLA],tbNucleo[COD ESCOLA],"")</f>
        <v/>
      </c>
      <c r="B2859" t="str" cm="1">
        <f t="array" ref="B2859">IFERROR(INDEX(tbNucleo[ESCOLA],ROUNDUP(ROW(B2858)/TotalEtapas,0)),"")</f>
        <v/>
      </c>
      <c r="E2859" t="str">
        <f>IFERROR(VLOOKUP(tbEscolas[[#This Row],[COD ETPA]],tbEtapas[],2,FALSE),"")</f>
        <v/>
      </c>
      <c r="F2859" t="str">
        <f>IFERROR(VLOOKUP(tbEscolas[[#This Row],[COD ETPA]],tbEtapas[],3,FALSE),"")</f>
        <v/>
      </c>
    </row>
    <row r="2860" spans="1:6" x14ac:dyDescent="0.25">
      <c r="A2860" s="24" t="str">
        <f>_xlfn.XLOOKUP(tbEscolas[[#This Row],[ESCOLA]],tbNucleo[ESCOLA],tbNucleo[COD ESCOLA],"")</f>
        <v/>
      </c>
      <c r="B2860" t="str" cm="1">
        <f t="array" ref="B2860">IFERROR(INDEX(tbNucleo[ESCOLA],ROUNDUP(ROW(B2859)/TotalEtapas,0)),"")</f>
        <v/>
      </c>
      <c r="E2860" t="str">
        <f>IFERROR(VLOOKUP(tbEscolas[[#This Row],[COD ETPA]],tbEtapas[],2,FALSE),"")</f>
        <v/>
      </c>
      <c r="F2860" t="str">
        <f>IFERROR(VLOOKUP(tbEscolas[[#This Row],[COD ETPA]],tbEtapas[],3,FALSE),"")</f>
        <v/>
      </c>
    </row>
    <row r="2861" spans="1:6" x14ac:dyDescent="0.25">
      <c r="A2861" s="24" t="str">
        <f>_xlfn.XLOOKUP(tbEscolas[[#This Row],[ESCOLA]],tbNucleo[ESCOLA],tbNucleo[COD ESCOLA],"")</f>
        <v/>
      </c>
      <c r="B2861" t="str" cm="1">
        <f t="array" ref="B2861">IFERROR(INDEX(tbNucleo[ESCOLA],ROUNDUP(ROW(B2860)/TotalEtapas,0)),"")</f>
        <v/>
      </c>
      <c r="E2861" t="str">
        <f>IFERROR(VLOOKUP(tbEscolas[[#This Row],[COD ETPA]],tbEtapas[],2,FALSE),"")</f>
        <v/>
      </c>
      <c r="F2861" t="str">
        <f>IFERROR(VLOOKUP(tbEscolas[[#This Row],[COD ETPA]],tbEtapas[],3,FALSE),"")</f>
        <v/>
      </c>
    </row>
    <row r="2862" spans="1:6" x14ac:dyDescent="0.25">
      <c r="A2862" s="24" t="str">
        <f>_xlfn.XLOOKUP(tbEscolas[[#This Row],[ESCOLA]],tbNucleo[ESCOLA],tbNucleo[COD ESCOLA],"")</f>
        <v/>
      </c>
      <c r="B2862" t="str" cm="1">
        <f t="array" ref="B2862">IFERROR(INDEX(tbNucleo[ESCOLA],ROUNDUP(ROW(B2861)/TotalEtapas,0)),"")</f>
        <v/>
      </c>
      <c r="E2862" t="str">
        <f>IFERROR(VLOOKUP(tbEscolas[[#This Row],[COD ETPA]],tbEtapas[],2,FALSE),"")</f>
        <v/>
      </c>
      <c r="F2862" t="str">
        <f>IFERROR(VLOOKUP(tbEscolas[[#This Row],[COD ETPA]],tbEtapas[],3,FALSE),"")</f>
        <v/>
      </c>
    </row>
    <row r="2863" spans="1:6" x14ac:dyDescent="0.25">
      <c r="A2863" s="24" t="str">
        <f>_xlfn.XLOOKUP(tbEscolas[[#This Row],[ESCOLA]],tbNucleo[ESCOLA],tbNucleo[COD ESCOLA],"")</f>
        <v/>
      </c>
      <c r="B2863" t="str" cm="1">
        <f t="array" ref="B2863">IFERROR(INDEX(tbNucleo[ESCOLA],ROUNDUP(ROW(B2862)/TotalEtapas,0)),"")</f>
        <v/>
      </c>
      <c r="E2863" t="str">
        <f>IFERROR(VLOOKUP(tbEscolas[[#This Row],[COD ETPA]],tbEtapas[],2,FALSE),"")</f>
        <v/>
      </c>
      <c r="F2863" t="str">
        <f>IFERROR(VLOOKUP(tbEscolas[[#This Row],[COD ETPA]],tbEtapas[],3,FALSE),"")</f>
        <v/>
      </c>
    </row>
    <row r="2864" spans="1:6" x14ac:dyDescent="0.25">
      <c r="A2864" s="24" t="str">
        <f>_xlfn.XLOOKUP(tbEscolas[[#This Row],[ESCOLA]],tbNucleo[ESCOLA],tbNucleo[COD ESCOLA],"")</f>
        <v/>
      </c>
      <c r="B2864" t="str" cm="1">
        <f t="array" ref="B2864">IFERROR(INDEX(tbNucleo[ESCOLA],ROUNDUP(ROW(B2863)/TotalEtapas,0)),"")</f>
        <v/>
      </c>
      <c r="E2864" t="str">
        <f>IFERROR(VLOOKUP(tbEscolas[[#This Row],[COD ETPA]],tbEtapas[],2,FALSE),"")</f>
        <v/>
      </c>
      <c r="F2864" t="str">
        <f>IFERROR(VLOOKUP(tbEscolas[[#This Row],[COD ETPA]],tbEtapas[],3,FALSE),"")</f>
        <v/>
      </c>
    </row>
    <row r="2865" spans="1:6" x14ac:dyDescent="0.25">
      <c r="A2865" s="24" t="str">
        <f>_xlfn.XLOOKUP(tbEscolas[[#This Row],[ESCOLA]],tbNucleo[ESCOLA],tbNucleo[COD ESCOLA],"")</f>
        <v/>
      </c>
      <c r="B2865" t="str" cm="1">
        <f t="array" ref="B2865">IFERROR(INDEX(tbNucleo[ESCOLA],ROUNDUP(ROW(B2864)/TotalEtapas,0)),"")</f>
        <v/>
      </c>
      <c r="E2865" t="str">
        <f>IFERROR(VLOOKUP(tbEscolas[[#This Row],[COD ETPA]],tbEtapas[],2,FALSE),"")</f>
        <v/>
      </c>
      <c r="F2865" t="str">
        <f>IFERROR(VLOOKUP(tbEscolas[[#This Row],[COD ETPA]],tbEtapas[],3,FALSE),"")</f>
        <v/>
      </c>
    </row>
    <row r="2866" spans="1:6" x14ac:dyDescent="0.25">
      <c r="A2866" s="24" t="str">
        <f>_xlfn.XLOOKUP(tbEscolas[[#This Row],[ESCOLA]],tbNucleo[ESCOLA],tbNucleo[COD ESCOLA],"")</f>
        <v/>
      </c>
      <c r="B2866" t="str" cm="1">
        <f t="array" ref="B2866">IFERROR(INDEX(tbNucleo[ESCOLA],ROUNDUP(ROW(B2865)/TotalEtapas,0)),"")</f>
        <v/>
      </c>
      <c r="E2866" t="str">
        <f>IFERROR(VLOOKUP(tbEscolas[[#This Row],[COD ETPA]],tbEtapas[],2,FALSE),"")</f>
        <v/>
      </c>
      <c r="F2866" t="str">
        <f>IFERROR(VLOOKUP(tbEscolas[[#This Row],[COD ETPA]],tbEtapas[],3,FALSE),"")</f>
        <v/>
      </c>
    </row>
    <row r="2867" spans="1:6" x14ac:dyDescent="0.25">
      <c r="A2867" s="24" t="str">
        <f>_xlfn.XLOOKUP(tbEscolas[[#This Row],[ESCOLA]],tbNucleo[ESCOLA],tbNucleo[COD ESCOLA],"")</f>
        <v/>
      </c>
      <c r="B2867" t="str" cm="1">
        <f t="array" ref="B2867">IFERROR(INDEX(tbNucleo[ESCOLA],ROUNDUP(ROW(B2866)/TotalEtapas,0)),"")</f>
        <v/>
      </c>
      <c r="E2867" t="str">
        <f>IFERROR(VLOOKUP(tbEscolas[[#This Row],[COD ETPA]],tbEtapas[],2,FALSE),"")</f>
        <v/>
      </c>
      <c r="F2867" t="str">
        <f>IFERROR(VLOOKUP(tbEscolas[[#This Row],[COD ETPA]],tbEtapas[],3,FALSE),"")</f>
        <v/>
      </c>
    </row>
    <row r="2868" spans="1:6" x14ac:dyDescent="0.25">
      <c r="A2868" s="24" t="str">
        <f>_xlfn.XLOOKUP(tbEscolas[[#This Row],[ESCOLA]],tbNucleo[ESCOLA],tbNucleo[COD ESCOLA],"")</f>
        <v/>
      </c>
      <c r="B2868" t="str" cm="1">
        <f t="array" ref="B2868">IFERROR(INDEX(tbNucleo[ESCOLA],ROUNDUP(ROW(B2867)/TotalEtapas,0)),"")</f>
        <v/>
      </c>
      <c r="E2868" t="str">
        <f>IFERROR(VLOOKUP(tbEscolas[[#This Row],[COD ETPA]],tbEtapas[],2,FALSE),"")</f>
        <v/>
      </c>
      <c r="F2868" t="str">
        <f>IFERROR(VLOOKUP(tbEscolas[[#This Row],[COD ETPA]],tbEtapas[],3,FALSE),"")</f>
        <v/>
      </c>
    </row>
    <row r="2869" spans="1:6" x14ac:dyDescent="0.25">
      <c r="A2869" s="24" t="str">
        <f>_xlfn.XLOOKUP(tbEscolas[[#This Row],[ESCOLA]],tbNucleo[ESCOLA],tbNucleo[COD ESCOLA],"")</f>
        <v/>
      </c>
      <c r="B2869" t="str" cm="1">
        <f t="array" ref="B2869">IFERROR(INDEX(tbNucleo[ESCOLA],ROUNDUP(ROW(B2868)/TotalEtapas,0)),"")</f>
        <v/>
      </c>
      <c r="E2869" t="str">
        <f>IFERROR(VLOOKUP(tbEscolas[[#This Row],[COD ETPA]],tbEtapas[],2,FALSE),"")</f>
        <v/>
      </c>
      <c r="F2869" t="str">
        <f>IFERROR(VLOOKUP(tbEscolas[[#This Row],[COD ETPA]],tbEtapas[],3,FALSE),"")</f>
        <v/>
      </c>
    </row>
    <row r="2870" spans="1:6" x14ac:dyDescent="0.25">
      <c r="A2870" s="24" t="str">
        <f>_xlfn.XLOOKUP(tbEscolas[[#This Row],[ESCOLA]],tbNucleo[ESCOLA],tbNucleo[COD ESCOLA],"")</f>
        <v/>
      </c>
      <c r="B2870" t="str" cm="1">
        <f t="array" ref="B2870">IFERROR(INDEX(tbNucleo[ESCOLA],ROUNDUP(ROW(B2869)/TotalEtapas,0)),"")</f>
        <v/>
      </c>
      <c r="E2870" t="str">
        <f>IFERROR(VLOOKUP(tbEscolas[[#This Row],[COD ETPA]],tbEtapas[],2,FALSE),"")</f>
        <v/>
      </c>
      <c r="F2870" t="str">
        <f>IFERROR(VLOOKUP(tbEscolas[[#This Row],[COD ETPA]],tbEtapas[],3,FALSE),"")</f>
        <v/>
      </c>
    </row>
    <row r="2871" spans="1:6" x14ac:dyDescent="0.25">
      <c r="A2871" s="24" t="str">
        <f>_xlfn.XLOOKUP(tbEscolas[[#This Row],[ESCOLA]],tbNucleo[ESCOLA],tbNucleo[COD ESCOLA],"")</f>
        <v/>
      </c>
      <c r="B2871" t="str" cm="1">
        <f t="array" ref="B2871">IFERROR(INDEX(tbNucleo[ESCOLA],ROUNDUP(ROW(B2870)/TotalEtapas,0)),"")</f>
        <v/>
      </c>
      <c r="E2871" t="str">
        <f>IFERROR(VLOOKUP(tbEscolas[[#This Row],[COD ETPA]],tbEtapas[],2,FALSE),"")</f>
        <v/>
      </c>
      <c r="F2871" t="str">
        <f>IFERROR(VLOOKUP(tbEscolas[[#This Row],[COD ETPA]],tbEtapas[],3,FALSE),"")</f>
        <v/>
      </c>
    </row>
    <row r="2872" spans="1:6" x14ac:dyDescent="0.25">
      <c r="A2872" s="24" t="str">
        <f>_xlfn.XLOOKUP(tbEscolas[[#This Row],[ESCOLA]],tbNucleo[ESCOLA],tbNucleo[COD ESCOLA],"")</f>
        <v/>
      </c>
      <c r="B2872" t="str" cm="1">
        <f t="array" ref="B2872">IFERROR(INDEX(tbNucleo[ESCOLA],ROUNDUP(ROW(B2871)/TotalEtapas,0)),"")</f>
        <v/>
      </c>
      <c r="E2872" t="str">
        <f>IFERROR(VLOOKUP(tbEscolas[[#This Row],[COD ETPA]],tbEtapas[],2,FALSE),"")</f>
        <v/>
      </c>
      <c r="F2872" t="str">
        <f>IFERROR(VLOOKUP(tbEscolas[[#This Row],[COD ETPA]],tbEtapas[],3,FALSE),"")</f>
        <v/>
      </c>
    </row>
    <row r="2873" spans="1:6" x14ac:dyDescent="0.25">
      <c r="A2873" s="24" t="str">
        <f>_xlfn.XLOOKUP(tbEscolas[[#This Row],[ESCOLA]],tbNucleo[ESCOLA],tbNucleo[COD ESCOLA],"")</f>
        <v/>
      </c>
      <c r="B2873" t="str" cm="1">
        <f t="array" ref="B2873">IFERROR(INDEX(tbNucleo[ESCOLA],ROUNDUP(ROW(B2872)/TotalEtapas,0)),"")</f>
        <v/>
      </c>
      <c r="E2873" t="str">
        <f>IFERROR(VLOOKUP(tbEscolas[[#This Row],[COD ETPA]],tbEtapas[],2,FALSE),"")</f>
        <v/>
      </c>
      <c r="F2873" t="str">
        <f>IFERROR(VLOOKUP(tbEscolas[[#This Row],[COD ETPA]],tbEtapas[],3,FALSE),"")</f>
        <v/>
      </c>
    </row>
    <row r="2874" spans="1:6" x14ac:dyDescent="0.25">
      <c r="A2874" s="24" t="str">
        <f>_xlfn.XLOOKUP(tbEscolas[[#This Row],[ESCOLA]],tbNucleo[ESCOLA],tbNucleo[COD ESCOLA],"")</f>
        <v/>
      </c>
      <c r="B2874" t="str" cm="1">
        <f t="array" ref="B2874">IFERROR(INDEX(tbNucleo[ESCOLA],ROUNDUP(ROW(B2873)/TotalEtapas,0)),"")</f>
        <v/>
      </c>
      <c r="E2874" t="str">
        <f>IFERROR(VLOOKUP(tbEscolas[[#This Row],[COD ETPA]],tbEtapas[],2,FALSE),"")</f>
        <v/>
      </c>
      <c r="F2874" t="str">
        <f>IFERROR(VLOOKUP(tbEscolas[[#This Row],[COD ETPA]],tbEtapas[],3,FALSE),"")</f>
        <v/>
      </c>
    </row>
    <row r="2875" spans="1:6" x14ac:dyDescent="0.25">
      <c r="A2875" s="24" t="str">
        <f>_xlfn.XLOOKUP(tbEscolas[[#This Row],[ESCOLA]],tbNucleo[ESCOLA],tbNucleo[COD ESCOLA],"")</f>
        <v/>
      </c>
      <c r="B2875" t="str" cm="1">
        <f t="array" ref="B2875">IFERROR(INDEX(tbNucleo[ESCOLA],ROUNDUP(ROW(B2874)/TotalEtapas,0)),"")</f>
        <v/>
      </c>
      <c r="E2875" t="str">
        <f>IFERROR(VLOOKUP(tbEscolas[[#This Row],[COD ETPA]],tbEtapas[],2,FALSE),"")</f>
        <v/>
      </c>
      <c r="F2875" t="str">
        <f>IFERROR(VLOOKUP(tbEscolas[[#This Row],[COD ETPA]],tbEtapas[],3,FALSE),"")</f>
        <v/>
      </c>
    </row>
    <row r="2876" spans="1:6" x14ac:dyDescent="0.25">
      <c r="A2876" s="24" t="str">
        <f>_xlfn.XLOOKUP(tbEscolas[[#This Row],[ESCOLA]],tbNucleo[ESCOLA],tbNucleo[COD ESCOLA],"")</f>
        <v/>
      </c>
      <c r="B2876" t="str" cm="1">
        <f t="array" ref="B2876">IFERROR(INDEX(tbNucleo[ESCOLA],ROUNDUP(ROW(B2875)/TotalEtapas,0)),"")</f>
        <v/>
      </c>
      <c r="E2876" t="str">
        <f>IFERROR(VLOOKUP(tbEscolas[[#This Row],[COD ETPA]],tbEtapas[],2,FALSE),"")</f>
        <v/>
      </c>
      <c r="F2876" t="str">
        <f>IFERROR(VLOOKUP(tbEscolas[[#This Row],[COD ETPA]],tbEtapas[],3,FALSE),"")</f>
        <v/>
      </c>
    </row>
    <row r="2877" spans="1:6" x14ac:dyDescent="0.25">
      <c r="A2877" s="24" t="str">
        <f>_xlfn.XLOOKUP(tbEscolas[[#This Row],[ESCOLA]],tbNucleo[ESCOLA],tbNucleo[COD ESCOLA],"")</f>
        <v/>
      </c>
      <c r="B2877" t="str" cm="1">
        <f t="array" ref="B2877">IFERROR(INDEX(tbNucleo[ESCOLA],ROUNDUP(ROW(B2876)/TotalEtapas,0)),"")</f>
        <v/>
      </c>
      <c r="E2877" t="str">
        <f>IFERROR(VLOOKUP(tbEscolas[[#This Row],[COD ETPA]],tbEtapas[],2,FALSE),"")</f>
        <v/>
      </c>
      <c r="F2877" t="str">
        <f>IFERROR(VLOOKUP(tbEscolas[[#This Row],[COD ETPA]],tbEtapas[],3,FALSE),"")</f>
        <v/>
      </c>
    </row>
    <row r="2878" spans="1:6" x14ac:dyDescent="0.25">
      <c r="A2878" s="24" t="str">
        <f>_xlfn.XLOOKUP(tbEscolas[[#This Row],[ESCOLA]],tbNucleo[ESCOLA],tbNucleo[COD ESCOLA],"")</f>
        <v/>
      </c>
      <c r="B2878" t="str" cm="1">
        <f t="array" ref="B2878">IFERROR(INDEX(tbNucleo[ESCOLA],ROUNDUP(ROW(B2877)/TotalEtapas,0)),"")</f>
        <v/>
      </c>
      <c r="E2878" t="str">
        <f>IFERROR(VLOOKUP(tbEscolas[[#This Row],[COD ETPA]],tbEtapas[],2,FALSE),"")</f>
        <v/>
      </c>
      <c r="F2878" t="str">
        <f>IFERROR(VLOOKUP(tbEscolas[[#This Row],[COD ETPA]],tbEtapas[],3,FALSE),"")</f>
        <v/>
      </c>
    </row>
    <row r="2879" spans="1:6" x14ac:dyDescent="0.25">
      <c r="A2879" s="24" t="str">
        <f>_xlfn.XLOOKUP(tbEscolas[[#This Row],[ESCOLA]],tbNucleo[ESCOLA],tbNucleo[COD ESCOLA],"")</f>
        <v/>
      </c>
      <c r="B2879" t="str" cm="1">
        <f t="array" ref="B2879">IFERROR(INDEX(tbNucleo[ESCOLA],ROUNDUP(ROW(B2878)/TotalEtapas,0)),"")</f>
        <v/>
      </c>
      <c r="E2879" t="str">
        <f>IFERROR(VLOOKUP(tbEscolas[[#This Row],[COD ETPA]],tbEtapas[],2,FALSE),"")</f>
        <v/>
      </c>
      <c r="F2879" t="str">
        <f>IFERROR(VLOOKUP(tbEscolas[[#This Row],[COD ETPA]],tbEtapas[],3,FALSE),"")</f>
        <v/>
      </c>
    </row>
    <row r="2880" spans="1:6" x14ac:dyDescent="0.25">
      <c r="A2880" s="24" t="str">
        <f>_xlfn.XLOOKUP(tbEscolas[[#This Row],[ESCOLA]],tbNucleo[ESCOLA],tbNucleo[COD ESCOLA],"")</f>
        <v/>
      </c>
      <c r="B2880" t="str" cm="1">
        <f t="array" ref="B2880">IFERROR(INDEX(tbNucleo[ESCOLA],ROUNDUP(ROW(B2879)/TotalEtapas,0)),"")</f>
        <v/>
      </c>
      <c r="E2880" t="str">
        <f>IFERROR(VLOOKUP(tbEscolas[[#This Row],[COD ETPA]],tbEtapas[],2,FALSE),"")</f>
        <v/>
      </c>
      <c r="F2880" t="str">
        <f>IFERROR(VLOOKUP(tbEscolas[[#This Row],[COD ETPA]],tbEtapas[],3,FALSE),"")</f>
        <v/>
      </c>
    </row>
    <row r="2881" spans="1:6" x14ac:dyDescent="0.25">
      <c r="A2881" s="24" t="str">
        <f>_xlfn.XLOOKUP(tbEscolas[[#This Row],[ESCOLA]],tbNucleo[ESCOLA],tbNucleo[COD ESCOLA],"")</f>
        <v/>
      </c>
      <c r="B2881" t="str" cm="1">
        <f t="array" ref="B2881">IFERROR(INDEX(tbNucleo[ESCOLA],ROUNDUP(ROW(B2880)/TotalEtapas,0)),"")</f>
        <v/>
      </c>
      <c r="E2881" t="str">
        <f>IFERROR(VLOOKUP(tbEscolas[[#This Row],[COD ETPA]],tbEtapas[],2,FALSE),"")</f>
        <v/>
      </c>
      <c r="F2881" t="str">
        <f>IFERROR(VLOOKUP(tbEscolas[[#This Row],[COD ETPA]],tbEtapas[],3,FALSE),"")</f>
        <v/>
      </c>
    </row>
    <row r="2882" spans="1:6" x14ac:dyDescent="0.25">
      <c r="A2882" s="24" t="str">
        <f>_xlfn.XLOOKUP(tbEscolas[[#This Row],[ESCOLA]],tbNucleo[ESCOLA],tbNucleo[COD ESCOLA],"")</f>
        <v/>
      </c>
      <c r="B2882" t="str" cm="1">
        <f t="array" ref="B2882">IFERROR(INDEX(tbNucleo[ESCOLA],ROUNDUP(ROW(B2881)/TotalEtapas,0)),"")</f>
        <v/>
      </c>
      <c r="E2882" t="str">
        <f>IFERROR(VLOOKUP(tbEscolas[[#This Row],[COD ETPA]],tbEtapas[],2,FALSE),"")</f>
        <v/>
      </c>
      <c r="F2882" t="str">
        <f>IFERROR(VLOOKUP(tbEscolas[[#This Row],[COD ETPA]],tbEtapas[],3,FALSE),"")</f>
        <v/>
      </c>
    </row>
    <row r="2883" spans="1:6" x14ac:dyDescent="0.25">
      <c r="A2883" s="24" t="str">
        <f>_xlfn.XLOOKUP(tbEscolas[[#This Row],[ESCOLA]],tbNucleo[ESCOLA],tbNucleo[COD ESCOLA],"")</f>
        <v/>
      </c>
      <c r="B2883" t="str" cm="1">
        <f t="array" ref="B2883">IFERROR(INDEX(tbNucleo[ESCOLA],ROUNDUP(ROW(B2882)/TotalEtapas,0)),"")</f>
        <v/>
      </c>
      <c r="E2883" t="str">
        <f>IFERROR(VLOOKUP(tbEscolas[[#This Row],[COD ETPA]],tbEtapas[],2,FALSE),"")</f>
        <v/>
      </c>
      <c r="F2883" t="str">
        <f>IFERROR(VLOOKUP(tbEscolas[[#This Row],[COD ETPA]],tbEtapas[],3,FALSE),"")</f>
        <v/>
      </c>
    </row>
    <row r="2884" spans="1:6" x14ac:dyDescent="0.25">
      <c r="A2884" s="24" t="str">
        <f>_xlfn.XLOOKUP(tbEscolas[[#This Row],[ESCOLA]],tbNucleo[ESCOLA],tbNucleo[COD ESCOLA],"")</f>
        <v/>
      </c>
      <c r="B2884" t="str" cm="1">
        <f t="array" ref="B2884">IFERROR(INDEX(tbNucleo[ESCOLA],ROUNDUP(ROW(B2883)/TotalEtapas,0)),"")</f>
        <v/>
      </c>
      <c r="E2884" t="str">
        <f>IFERROR(VLOOKUP(tbEscolas[[#This Row],[COD ETPA]],tbEtapas[],2,FALSE),"")</f>
        <v/>
      </c>
      <c r="F2884" t="str">
        <f>IFERROR(VLOOKUP(tbEscolas[[#This Row],[COD ETPA]],tbEtapas[],3,FALSE),"")</f>
        <v/>
      </c>
    </row>
    <row r="2885" spans="1:6" x14ac:dyDescent="0.25">
      <c r="A2885" s="24" t="str">
        <f>_xlfn.XLOOKUP(tbEscolas[[#This Row],[ESCOLA]],tbNucleo[ESCOLA],tbNucleo[COD ESCOLA],"")</f>
        <v/>
      </c>
      <c r="B2885" t="str" cm="1">
        <f t="array" ref="B2885">IFERROR(INDEX(tbNucleo[ESCOLA],ROUNDUP(ROW(B2884)/TotalEtapas,0)),"")</f>
        <v/>
      </c>
      <c r="E2885" t="str">
        <f>IFERROR(VLOOKUP(tbEscolas[[#This Row],[COD ETPA]],tbEtapas[],2,FALSE),"")</f>
        <v/>
      </c>
      <c r="F2885" t="str">
        <f>IFERROR(VLOOKUP(tbEscolas[[#This Row],[COD ETPA]],tbEtapas[],3,FALSE),"")</f>
        <v/>
      </c>
    </row>
    <row r="2886" spans="1:6" x14ac:dyDescent="0.25">
      <c r="A2886" s="24" t="str">
        <f>_xlfn.XLOOKUP(tbEscolas[[#This Row],[ESCOLA]],tbNucleo[ESCOLA],tbNucleo[COD ESCOLA],"")</f>
        <v/>
      </c>
      <c r="B2886" t="str" cm="1">
        <f t="array" ref="B2886">IFERROR(INDEX(tbNucleo[ESCOLA],ROUNDUP(ROW(B2885)/TotalEtapas,0)),"")</f>
        <v/>
      </c>
      <c r="E2886" t="str">
        <f>IFERROR(VLOOKUP(tbEscolas[[#This Row],[COD ETPA]],tbEtapas[],2,FALSE),"")</f>
        <v/>
      </c>
      <c r="F2886" t="str">
        <f>IFERROR(VLOOKUP(tbEscolas[[#This Row],[COD ETPA]],tbEtapas[],3,FALSE),"")</f>
        <v/>
      </c>
    </row>
    <row r="2887" spans="1:6" x14ac:dyDescent="0.25">
      <c r="A2887" s="24" t="str">
        <f>_xlfn.XLOOKUP(tbEscolas[[#This Row],[ESCOLA]],tbNucleo[ESCOLA],tbNucleo[COD ESCOLA],"")</f>
        <v/>
      </c>
      <c r="B2887" t="str" cm="1">
        <f t="array" ref="B2887">IFERROR(INDEX(tbNucleo[ESCOLA],ROUNDUP(ROW(B2886)/TotalEtapas,0)),"")</f>
        <v/>
      </c>
      <c r="E2887" t="str">
        <f>IFERROR(VLOOKUP(tbEscolas[[#This Row],[COD ETPA]],tbEtapas[],2,FALSE),"")</f>
        <v/>
      </c>
      <c r="F2887" t="str">
        <f>IFERROR(VLOOKUP(tbEscolas[[#This Row],[COD ETPA]],tbEtapas[],3,FALSE),"")</f>
        <v/>
      </c>
    </row>
    <row r="2888" spans="1:6" x14ac:dyDescent="0.25">
      <c r="A2888" s="24" t="str">
        <f>_xlfn.XLOOKUP(tbEscolas[[#This Row],[ESCOLA]],tbNucleo[ESCOLA],tbNucleo[COD ESCOLA],"")</f>
        <v/>
      </c>
      <c r="B2888" t="str" cm="1">
        <f t="array" ref="B2888">IFERROR(INDEX(tbNucleo[ESCOLA],ROUNDUP(ROW(B2887)/TotalEtapas,0)),"")</f>
        <v/>
      </c>
      <c r="E2888" t="str">
        <f>IFERROR(VLOOKUP(tbEscolas[[#This Row],[COD ETPA]],tbEtapas[],2,FALSE),"")</f>
        <v/>
      </c>
      <c r="F2888" t="str">
        <f>IFERROR(VLOOKUP(tbEscolas[[#This Row],[COD ETPA]],tbEtapas[],3,FALSE),"")</f>
        <v/>
      </c>
    </row>
    <row r="2889" spans="1:6" x14ac:dyDescent="0.25">
      <c r="A2889" s="24" t="str">
        <f>_xlfn.XLOOKUP(tbEscolas[[#This Row],[ESCOLA]],tbNucleo[ESCOLA],tbNucleo[COD ESCOLA],"")</f>
        <v/>
      </c>
      <c r="B2889" t="str" cm="1">
        <f t="array" ref="B2889">IFERROR(INDEX(tbNucleo[ESCOLA],ROUNDUP(ROW(B2888)/TotalEtapas,0)),"")</f>
        <v/>
      </c>
      <c r="E2889" t="str">
        <f>IFERROR(VLOOKUP(tbEscolas[[#This Row],[COD ETPA]],tbEtapas[],2,FALSE),"")</f>
        <v/>
      </c>
      <c r="F2889" t="str">
        <f>IFERROR(VLOOKUP(tbEscolas[[#This Row],[COD ETPA]],tbEtapas[],3,FALSE),"")</f>
        <v/>
      </c>
    </row>
    <row r="2890" spans="1:6" x14ac:dyDescent="0.25">
      <c r="A2890" s="24" t="str">
        <f>_xlfn.XLOOKUP(tbEscolas[[#This Row],[ESCOLA]],tbNucleo[ESCOLA],tbNucleo[COD ESCOLA],"")</f>
        <v/>
      </c>
      <c r="B2890" t="str" cm="1">
        <f t="array" ref="B2890">IFERROR(INDEX(tbNucleo[ESCOLA],ROUNDUP(ROW(B2889)/TotalEtapas,0)),"")</f>
        <v/>
      </c>
      <c r="E2890" t="str">
        <f>IFERROR(VLOOKUP(tbEscolas[[#This Row],[COD ETPA]],tbEtapas[],2,FALSE),"")</f>
        <v/>
      </c>
      <c r="F2890" t="str">
        <f>IFERROR(VLOOKUP(tbEscolas[[#This Row],[COD ETPA]],tbEtapas[],3,FALSE),"")</f>
        <v/>
      </c>
    </row>
    <row r="2891" spans="1:6" x14ac:dyDescent="0.25">
      <c r="A2891" s="24" t="str">
        <f>_xlfn.XLOOKUP(tbEscolas[[#This Row],[ESCOLA]],tbNucleo[ESCOLA],tbNucleo[COD ESCOLA],"")</f>
        <v/>
      </c>
      <c r="B2891" t="str" cm="1">
        <f t="array" ref="B2891">IFERROR(INDEX(tbNucleo[ESCOLA],ROUNDUP(ROW(B2890)/TotalEtapas,0)),"")</f>
        <v/>
      </c>
      <c r="E2891" t="str">
        <f>IFERROR(VLOOKUP(tbEscolas[[#This Row],[COD ETPA]],tbEtapas[],2,FALSE),"")</f>
        <v/>
      </c>
      <c r="F2891" t="str">
        <f>IFERROR(VLOOKUP(tbEscolas[[#This Row],[COD ETPA]],tbEtapas[],3,FALSE),"")</f>
        <v/>
      </c>
    </row>
    <row r="2892" spans="1:6" x14ac:dyDescent="0.25">
      <c r="A2892" s="24" t="str">
        <f>_xlfn.XLOOKUP(tbEscolas[[#This Row],[ESCOLA]],tbNucleo[ESCOLA],tbNucleo[COD ESCOLA],"")</f>
        <v/>
      </c>
      <c r="B2892" t="str" cm="1">
        <f t="array" ref="B2892">IFERROR(INDEX(tbNucleo[ESCOLA],ROUNDUP(ROW(B2891)/TotalEtapas,0)),"")</f>
        <v/>
      </c>
      <c r="E2892" t="str">
        <f>IFERROR(VLOOKUP(tbEscolas[[#This Row],[COD ETPA]],tbEtapas[],2,FALSE),"")</f>
        <v/>
      </c>
      <c r="F2892" t="str">
        <f>IFERROR(VLOOKUP(tbEscolas[[#This Row],[COD ETPA]],tbEtapas[],3,FALSE),"")</f>
        <v/>
      </c>
    </row>
    <row r="2893" spans="1:6" x14ac:dyDescent="0.25">
      <c r="A2893" s="24" t="str">
        <f>_xlfn.XLOOKUP(tbEscolas[[#This Row],[ESCOLA]],tbNucleo[ESCOLA],tbNucleo[COD ESCOLA],"")</f>
        <v/>
      </c>
      <c r="B2893" t="str" cm="1">
        <f t="array" ref="B2893">IFERROR(INDEX(tbNucleo[ESCOLA],ROUNDUP(ROW(B2892)/TotalEtapas,0)),"")</f>
        <v/>
      </c>
      <c r="E2893" t="str">
        <f>IFERROR(VLOOKUP(tbEscolas[[#This Row],[COD ETPA]],tbEtapas[],2,FALSE),"")</f>
        <v/>
      </c>
      <c r="F2893" t="str">
        <f>IFERROR(VLOOKUP(tbEscolas[[#This Row],[COD ETPA]],tbEtapas[],3,FALSE),"")</f>
        <v/>
      </c>
    </row>
    <row r="2894" spans="1:6" x14ac:dyDescent="0.25">
      <c r="A2894" s="24" t="str">
        <f>_xlfn.XLOOKUP(tbEscolas[[#This Row],[ESCOLA]],tbNucleo[ESCOLA],tbNucleo[COD ESCOLA],"")</f>
        <v/>
      </c>
      <c r="B2894" t="str" cm="1">
        <f t="array" ref="B2894">IFERROR(INDEX(tbNucleo[ESCOLA],ROUNDUP(ROW(B2893)/TotalEtapas,0)),"")</f>
        <v/>
      </c>
      <c r="E2894" t="str">
        <f>IFERROR(VLOOKUP(tbEscolas[[#This Row],[COD ETPA]],tbEtapas[],2,FALSE),"")</f>
        <v/>
      </c>
      <c r="F2894" t="str">
        <f>IFERROR(VLOOKUP(tbEscolas[[#This Row],[COD ETPA]],tbEtapas[],3,FALSE),"")</f>
        <v/>
      </c>
    </row>
    <row r="2895" spans="1:6" x14ac:dyDescent="0.25">
      <c r="A2895" s="24" t="str">
        <f>_xlfn.XLOOKUP(tbEscolas[[#This Row],[ESCOLA]],tbNucleo[ESCOLA],tbNucleo[COD ESCOLA],"")</f>
        <v/>
      </c>
      <c r="B2895" t="str" cm="1">
        <f t="array" ref="B2895">IFERROR(INDEX(tbNucleo[ESCOLA],ROUNDUP(ROW(B2894)/TotalEtapas,0)),"")</f>
        <v/>
      </c>
      <c r="E2895" t="str">
        <f>IFERROR(VLOOKUP(tbEscolas[[#This Row],[COD ETPA]],tbEtapas[],2,FALSE),"")</f>
        <v/>
      </c>
      <c r="F2895" t="str">
        <f>IFERROR(VLOOKUP(tbEscolas[[#This Row],[COD ETPA]],tbEtapas[],3,FALSE),"")</f>
        <v/>
      </c>
    </row>
    <row r="2896" spans="1:6" x14ac:dyDescent="0.25">
      <c r="A2896" s="24" t="str">
        <f>_xlfn.XLOOKUP(tbEscolas[[#This Row],[ESCOLA]],tbNucleo[ESCOLA],tbNucleo[COD ESCOLA],"")</f>
        <v/>
      </c>
      <c r="B2896" t="str" cm="1">
        <f t="array" ref="B2896">IFERROR(INDEX(tbNucleo[ESCOLA],ROUNDUP(ROW(B2895)/TotalEtapas,0)),"")</f>
        <v/>
      </c>
      <c r="E2896" t="str">
        <f>IFERROR(VLOOKUP(tbEscolas[[#This Row],[COD ETPA]],tbEtapas[],2,FALSE),"")</f>
        <v/>
      </c>
      <c r="F2896" t="str">
        <f>IFERROR(VLOOKUP(tbEscolas[[#This Row],[COD ETPA]],tbEtapas[],3,FALSE),"")</f>
        <v/>
      </c>
    </row>
    <row r="2897" spans="1:6" x14ac:dyDescent="0.25">
      <c r="A2897" s="24" t="str">
        <f>_xlfn.XLOOKUP(tbEscolas[[#This Row],[ESCOLA]],tbNucleo[ESCOLA],tbNucleo[COD ESCOLA],"")</f>
        <v/>
      </c>
      <c r="B2897" t="str" cm="1">
        <f t="array" ref="B2897">IFERROR(INDEX(tbNucleo[ESCOLA],ROUNDUP(ROW(B2896)/TotalEtapas,0)),"")</f>
        <v/>
      </c>
      <c r="E2897" t="str">
        <f>IFERROR(VLOOKUP(tbEscolas[[#This Row],[COD ETPA]],tbEtapas[],2,FALSE),"")</f>
        <v/>
      </c>
      <c r="F2897" t="str">
        <f>IFERROR(VLOOKUP(tbEscolas[[#This Row],[COD ETPA]],tbEtapas[],3,FALSE),"")</f>
        <v/>
      </c>
    </row>
    <row r="2898" spans="1:6" x14ac:dyDescent="0.25">
      <c r="A2898" s="24" t="str">
        <f>_xlfn.XLOOKUP(tbEscolas[[#This Row],[ESCOLA]],tbNucleo[ESCOLA],tbNucleo[COD ESCOLA],"")</f>
        <v/>
      </c>
      <c r="B2898" t="str" cm="1">
        <f t="array" ref="B2898">IFERROR(INDEX(tbNucleo[ESCOLA],ROUNDUP(ROW(B2897)/TotalEtapas,0)),"")</f>
        <v/>
      </c>
      <c r="E2898" t="str">
        <f>IFERROR(VLOOKUP(tbEscolas[[#This Row],[COD ETPA]],tbEtapas[],2,FALSE),"")</f>
        <v/>
      </c>
      <c r="F2898" t="str">
        <f>IFERROR(VLOOKUP(tbEscolas[[#This Row],[COD ETPA]],tbEtapas[],3,FALSE),"")</f>
        <v/>
      </c>
    </row>
    <row r="2899" spans="1:6" x14ac:dyDescent="0.25">
      <c r="A2899" s="24" t="str">
        <f>_xlfn.XLOOKUP(tbEscolas[[#This Row],[ESCOLA]],tbNucleo[ESCOLA],tbNucleo[COD ESCOLA],"")</f>
        <v/>
      </c>
      <c r="B2899" t="str" cm="1">
        <f t="array" ref="B2899">IFERROR(INDEX(tbNucleo[ESCOLA],ROUNDUP(ROW(B2898)/TotalEtapas,0)),"")</f>
        <v/>
      </c>
      <c r="E2899" t="str">
        <f>IFERROR(VLOOKUP(tbEscolas[[#This Row],[COD ETPA]],tbEtapas[],2,FALSE),"")</f>
        <v/>
      </c>
      <c r="F2899" t="str">
        <f>IFERROR(VLOOKUP(tbEscolas[[#This Row],[COD ETPA]],tbEtapas[],3,FALSE),"")</f>
        <v/>
      </c>
    </row>
    <row r="2900" spans="1:6" x14ac:dyDescent="0.25">
      <c r="A2900" s="24" t="str">
        <f>_xlfn.XLOOKUP(tbEscolas[[#This Row],[ESCOLA]],tbNucleo[ESCOLA],tbNucleo[COD ESCOLA],"")</f>
        <v/>
      </c>
      <c r="B2900" t="str" cm="1">
        <f t="array" ref="B2900">IFERROR(INDEX(tbNucleo[ESCOLA],ROUNDUP(ROW(B2899)/TotalEtapas,0)),"")</f>
        <v/>
      </c>
      <c r="E2900" t="str">
        <f>IFERROR(VLOOKUP(tbEscolas[[#This Row],[COD ETPA]],tbEtapas[],2,FALSE),"")</f>
        <v/>
      </c>
      <c r="F2900" t="str">
        <f>IFERROR(VLOOKUP(tbEscolas[[#This Row],[COD ETPA]],tbEtapas[],3,FALSE),"")</f>
        <v/>
      </c>
    </row>
    <row r="2901" spans="1:6" x14ac:dyDescent="0.25">
      <c r="A2901" s="24" t="str">
        <f>_xlfn.XLOOKUP(tbEscolas[[#This Row],[ESCOLA]],tbNucleo[ESCOLA],tbNucleo[COD ESCOLA],"")</f>
        <v/>
      </c>
      <c r="B2901" t="str" cm="1">
        <f t="array" ref="B2901">IFERROR(INDEX(tbNucleo[ESCOLA],ROUNDUP(ROW(B2900)/TotalEtapas,0)),"")</f>
        <v/>
      </c>
      <c r="E2901" t="str">
        <f>IFERROR(VLOOKUP(tbEscolas[[#This Row],[COD ETPA]],tbEtapas[],2,FALSE),"")</f>
        <v/>
      </c>
      <c r="F2901" t="str">
        <f>IFERROR(VLOOKUP(tbEscolas[[#This Row],[COD ETPA]],tbEtapas[],3,FALSE),"")</f>
        <v/>
      </c>
    </row>
    <row r="2902" spans="1:6" x14ac:dyDescent="0.25">
      <c r="A2902" s="24" t="str">
        <f>_xlfn.XLOOKUP(tbEscolas[[#This Row],[ESCOLA]],tbNucleo[ESCOLA],tbNucleo[COD ESCOLA],"")</f>
        <v/>
      </c>
      <c r="B2902" t="str" cm="1">
        <f t="array" ref="B2902">IFERROR(INDEX(tbNucleo[ESCOLA],ROUNDUP(ROW(B2901)/TotalEtapas,0)),"")</f>
        <v/>
      </c>
      <c r="E2902" t="str">
        <f>IFERROR(VLOOKUP(tbEscolas[[#This Row],[COD ETPA]],tbEtapas[],2,FALSE),"")</f>
        <v/>
      </c>
      <c r="F2902" t="str">
        <f>IFERROR(VLOOKUP(tbEscolas[[#This Row],[COD ETPA]],tbEtapas[],3,FALSE),"")</f>
        <v/>
      </c>
    </row>
    <row r="2903" spans="1:6" x14ac:dyDescent="0.25">
      <c r="A2903" s="24" t="str">
        <f>_xlfn.XLOOKUP(tbEscolas[[#This Row],[ESCOLA]],tbNucleo[ESCOLA],tbNucleo[COD ESCOLA],"")</f>
        <v/>
      </c>
      <c r="B2903" t="str" cm="1">
        <f t="array" ref="B2903">IFERROR(INDEX(tbNucleo[ESCOLA],ROUNDUP(ROW(B2902)/TotalEtapas,0)),"")</f>
        <v/>
      </c>
      <c r="E2903" t="str">
        <f>IFERROR(VLOOKUP(tbEscolas[[#This Row],[COD ETPA]],tbEtapas[],2,FALSE),"")</f>
        <v/>
      </c>
      <c r="F2903" t="str">
        <f>IFERROR(VLOOKUP(tbEscolas[[#This Row],[COD ETPA]],tbEtapas[],3,FALSE),"")</f>
        <v/>
      </c>
    </row>
    <row r="2904" spans="1:6" x14ac:dyDescent="0.25">
      <c r="A2904" s="24" t="str">
        <f>_xlfn.XLOOKUP(tbEscolas[[#This Row],[ESCOLA]],tbNucleo[ESCOLA],tbNucleo[COD ESCOLA],"")</f>
        <v/>
      </c>
      <c r="B2904" t="str" cm="1">
        <f t="array" ref="B2904">IFERROR(INDEX(tbNucleo[ESCOLA],ROUNDUP(ROW(B2903)/TotalEtapas,0)),"")</f>
        <v/>
      </c>
      <c r="E2904" t="str">
        <f>IFERROR(VLOOKUP(tbEscolas[[#This Row],[COD ETPA]],tbEtapas[],2,FALSE),"")</f>
        <v/>
      </c>
      <c r="F2904" t="str">
        <f>IFERROR(VLOOKUP(tbEscolas[[#This Row],[COD ETPA]],tbEtapas[],3,FALSE),"")</f>
        <v/>
      </c>
    </row>
    <row r="2905" spans="1:6" x14ac:dyDescent="0.25">
      <c r="A2905" s="24" t="str">
        <f>_xlfn.XLOOKUP(tbEscolas[[#This Row],[ESCOLA]],tbNucleo[ESCOLA],tbNucleo[COD ESCOLA],"")</f>
        <v/>
      </c>
      <c r="B2905" t="str" cm="1">
        <f t="array" ref="B2905">IFERROR(INDEX(tbNucleo[ESCOLA],ROUNDUP(ROW(B2904)/TotalEtapas,0)),"")</f>
        <v/>
      </c>
      <c r="E2905" t="str">
        <f>IFERROR(VLOOKUP(tbEscolas[[#This Row],[COD ETPA]],tbEtapas[],2,FALSE),"")</f>
        <v/>
      </c>
      <c r="F2905" t="str">
        <f>IFERROR(VLOOKUP(tbEscolas[[#This Row],[COD ETPA]],tbEtapas[],3,FALSE),"")</f>
        <v/>
      </c>
    </row>
    <row r="2906" spans="1:6" x14ac:dyDescent="0.25">
      <c r="A2906" s="24" t="str">
        <f>_xlfn.XLOOKUP(tbEscolas[[#This Row],[ESCOLA]],tbNucleo[ESCOLA],tbNucleo[COD ESCOLA],"")</f>
        <v/>
      </c>
      <c r="B2906" t="str" cm="1">
        <f t="array" ref="B2906">IFERROR(INDEX(tbNucleo[ESCOLA],ROUNDUP(ROW(B2905)/TotalEtapas,0)),"")</f>
        <v/>
      </c>
      <c r="E2906" t="str">
        <f>IFERROR(VLOOKUP(tbEscolas[[#This Row],[COD ETPA]],tbEtapas[],2,FALSE),"")</f>
        <v/>
      </c>
      <c r="F2906" t="str">
        <f>IFERROR(VLOOKUP(tbEscolas[[#This Row],[COD ETPA]],tbEtapas[],3,FALSE),"")</f>
        <v/>
      </c>
    </row>
    <row r="2907" spans="1:6" x14ac:dyDescent="0.25">
      <c r="A2907" s="24" t="str">
        <f>_xlfn.XLOOKUP(tbEscolas[[#This Row],[ESCOLA]],tbNucleo[ESCOLA],tbNucleo[COD ESCOLA],"")</f>
        <v/>
      </c>
      <c r="B2907" t="str" cm="1">
        <f t="array" ref="B2907">IFERROR(INDEX(tbNucleo[ESCOLA],ROUNDUP(ROW(B2906)/TotalEtapas,0)),"")</f>
        <v/>
      </c>
      <c r="E2907" t="str">
        <f>IFERROR(VLOOKUP(tbEscolas[[#This Row],[COD ETPA]],tbEtapas[],2,FALSE),"")</f>
        <v/>
      </c>
      <c r="F2907" t="str">
        <f>IFERROR(VLOOKUP(tbEscolas[[#This Row],[COD ETPA]],tbEtapas[],3,FALSE),"")</f>
        <v/>
      </c>
    </row>
    <row r="2908" spans="1:6" x14ac:dyDescent="0.25">
      <c r="A2908" s="24" t="str">
        <f>_xlfn.XLOOKUP(tbEscolas[[#This Row],[ESCOLA]],tbNucleo[ESCOLA],tbNucleo[COD ESCOLA],"")</f>
        <v/>
      </c>
      <c r="B2908" t="str" cm="1">
        <f t="array" ref="B2908">IFERROR(INDEX(tbNucleo[ESCOLA],ROUNDUP(ROW(B2907)/TotalEtapas,0)),"")</f>
        <v/>
      </c>
      <c r="E2908" t="str">
        <f>IFERROR(VLOOKUP(tbEscolas[[#This Row],[COD ETPA]],tbEtapas[],2,FALSE),"")</f>
        <v/>
      </c>
      <c r="F2908" t="str">
        <f>IFERROR(VLOOKUP(tbEscolas[[#This Row],[COD ETPA]],tbEtapas[],3,FALSE),"")</f>
        <v/>
      </c>
    </row>
    <row r="2909" spans="1:6" x14ac:dyDescent="0.25">
      <c r="A2909" s="24" t="str">
        <f>_xlfn.XLOOKUP(tbEscolas[[#This Row],[ESCOLA]],tbNucleo[ESCOLA],tbNucleo[COD ESCOLA],"")</f>
        <v/>
      </c>
      <c r="B2909" t="str" cm="1">
        <f t="array" ref="B2909">IFERROR(INDEX(tbNucleo[ESCOLA],ROUNDUP(ROW(B2908)/TotalEtapas,0)),"")</f>
        <v/>
      </c>
      <c r="E2909" t="str">
        <f>IFERROR(VLOOKUP(tbEscolas[[#This Row],[COD ETPA]],tbEtapas[],2,FALSE),"")</f>
        <v/>
      </c>
      <c r="F2909" t="str">
        <f>IFERROR(VLOOKUP(tbEscolas[[#This Row],[COD ETPA]],tbEtapas[],3,FALSE),"")</f>
        <v/>
      </c>
    </row>
    <row r="2910" spans="1:6" x14ac:dyDescent="0.25">
      <c r="A2910" s="24" t="str">
        <f>_xlfn.XLOOKUP(tbEscolas[[#This Row],[ESCOLA]],tbNucleo[ESCOLA],tbNucleo[COD ESCOLA],"")</f>
        <v/>
      </c>
      <c r="B2910" t="str" cm="1">
        <f t="array" ref="B2910">IFERROR(INDEX(tbNucleo[ESCOLA],ROUNDUP(ROW(B2909)/TotalEtapas,0)),"")</f>
        <v/>
      </c>
      <c r="E2910" t="str">
        <f>IFERROR(VLOOKUP(tbEscolas[[#This Row],[COD ETPA]],tbEtapas[],2,FALSE),"")</f>
        <v/>
      </c>
      <c r="F2910" t="str">
        <f>IFERROR(VLOOKUP(tbEscolas[[#This Row],[COD ETPA]],tbEtapas[],3,FALSE),"")</f>
        <v/>
      </c>
    </row>
    <row r="2911" spans="1:6" x14ac:dyDescent="0.25">
      <c r="A2911" s="24" t="str">
        <f>_xlfn.XLOOKUP(tbEscolas[[#This Row],[ESCOLA]],tbNucleo[ESCOLA],tbNucleo[COD ESCOLA],"")</f>
        <v/>
      </c>
      <c r="B2911" t="str" cm="1">
        <f t="array" ref="B2911">IFERROR(INDEX(tbNucleo[ESCOLA],ROUNDUP(ROW(B2910)/TotalEtapas,0)),"")</f>
        <v/>
      </c>
      <c r="E2911" t="str">
        <f>IFERROR(VLOOKUP(tbEscolas[[#This Row],[COD ETPA]],tbEtapas[],2,FALSE),"")</f>
        <v/>
      </c>
      <c r="F2911" t="str">
        <f>IFERROR(VLOOKUP(tbEscolas[[#This Row],[COD ETPA]],tbEtapas[],3,FALSE),"")</f>
        <v/>
      </c>
    </row>
    <row r="2912" spans="1:6" x14ac:dyDescent="0.25">
      <c r="A2912" s="24" t="str">
        <f>_xlfn.XLOOKUP(tbEscolas[[#This Row],[ESCOLA]],tbNucleo[ESCOLA],tbNucleo[COD ESCOLA],"")</f>
        <v/>
      </c>
      <c r="B2912" t="str" cm="1">
        <f t="array" ref="B2912">IFERROR(INDEX(tbNucleo[ESCOLA],ROUNDUP(ROW(B2911)/TotalEtapas,0)),"")</f>
        <v/>
      </c>
      <c r="E2912" t="str">
        <f>IFERROR(VLOOKUP(tbEscolas[[#This Row],[COD ETPA]],tbEtapas[],2,FALSE),"")</f>
        <v/>
      </c>
      <c r="F2912" t="str">
        <f>IFERROR(VLOOKUP(tbEscolas[[#This Row],[COD ETPA]],tbEtapas[],3,FALSE),"")</f>
        <v/>
      </c>
    </row>
    <row r="2913" spans="1:6" x14ac:dyDescent="0.25">
      <c r="A2913" s="24" t="str">
        <f>_xlfn.XLOOKUP(tbEscolas[[#This Row],[ESCOLA]],tbNucleo[ESCOLA],tbNucleo[COD ESCOLA],"")</f>
        <v/>
      </c>
      <c r="B2913" t="str" cm="1">
        <f t="array" ref="B2913">IFERROR(INDEX(tbNucleo[ESCOLA],ROUNDUP(ROW(B2912)/TotalEtapas,0)),"")</f>
        <v/>
      </c>
      <c r="E2913" t="str">
        <f>IFERROR(VLOOKUP(tbEscolas[[#This Row],[COD ETPA]],tbEtapas[],2,FALSE),"")</f>
        <v/>
      </c>
      <c r="F2913" t="str">
        <f>IFERROR(VLOOKUP(tbEscolas[[#This Row],[COD ETPA]],tbEtapas[],3,FALSE),"")</f>
        <v/>
      </c>
    </row>
    <row r="2914" spans="1:6" x14ac:dyDescent="0.25">
      <c r="A2914" s="24" t="str">
        <f>_xlfn.XLOOKUP(tbEscolas[[#This Row],[ESCOLA]],tbNucleo[ESCOLA],tbNucleo[COD ESCOLA],"")</f>
        <v/>
      </c>
      <c r="B2914" t="str" cm="1">
        <f t="array" ref="B2914">IFERROR(INDEX(tbNucleo[ESCOLA],ROUNDUP(ROW(B2913)/TotalEtapas,0)),"")</f>
        <v/>
      </c>
      <c r="E2914" t="str">
        <f>IFERROR(VLOOKUP(tbEscolas[[#This Row],[COD ETPA]],tbEtapas[],2,FALSE),"")</f>
        <v/>
      </c>
      <c r="F2914" t="str">
        <f>IFERROR(VLOOKUP(tbEscolas[[#This Row],[COD ETPA]],tbEtapas[],3,FALSE),"")</f>
        <v/>
      </c>
    </row>
    <row r="2915" spans="1:6" x14ac:dyDescent="0.25">
      <c r="A2915" s="24" t="str">
        <f>_xlfn.XLOOKUP(tbEscolas[[#This Row],[ESCOLA]],tbNucleo[ESCOLA],tbNucleo[COD ESCOLA],"")</f>
        <v/>
      </c>
      <c r="B2915" t="str" cm="1">
        <f t="array" ref="B2915">IFERROR(INDEX(tbNucleo[ESCOLA],ROUNDUP(ROW(B2914)/TotalEtapas,0)),"")</f>
        <v/>
      </c>
      <c r="E2915" t="str">
        <f>IFERROR(VLOOKUP(tbEscolas[[#This Row],[COD ETPA]],tbEtapas[],2,FALSE),"")</f>
        <v/>
      </c>
      <c r="F2915" t="str">
        <f>IFERROR(VLOOKUP(tbEscolas[[#This Row],[COD ETPA]],tbEtapas[],3,FALSE),"")</f>
        <v/>
      </c>
    </row>
    <row r="2916" spans="1:6" x14ac:dyDescent="0.25">
      <c r="A2916" s="24" t="str">
        <f>_xlfn.XLOOKUP(tbEscolas[[#This Row],[ESCOLA]],tbNucleo[ESCOLA],tbNucleo[COD ESCOLA],"")</f>
        <v/>
      </c>
      <c r="B2916" t="str" cm="1">
        <f t="array" ref="B2916">IFERROR(INDEX(tbNucleo[ESCOLA],ROUNDUP(ROW(B2915)/TotalEtapas,0)),"")</f>
        <v/>
      </c>
      <c r="E2916" t="str">
        <f>IFERROR(VLOOKUP(tbEscolas[[#This Row],[COD ETPA]],tbEtapas[],2,FALSE),"")</f>
        <v/>
      </c>
      <c r="F2916" t="str">
        <f>IFERROR(VLOOKUP(tbEscolas[[#This Row],[COD ETPA]],tbEtapas[],3,FALSE),"")</f>
        <v/>
      </c>
    </row>
    <row r="2917" spans="1:6" x14ac:dyDescent="0.25">
      <c r="A2917" s="24" t="str">
        <f>_xlfn.XLOOKUP(tbEscolas[[#This Row],[ESCOLA]],tbNucleo[ESCOLA],tbNucleo[COD ESCOLA],"")</f>
        <v/>
      </c>
      <c r="B2917" t="str" cm="1">
        <f t="array" ref="B2917">IFERROR(INDEX(tbNucleo[ESCOLA],ROUNDUP(ROW(B2916)/TotalEtapas,0)),"")</f>
        <v/>
      </c>
      <c r="E2917" t="str">
        <f>IFERROR(VLOOKUP(tbEscolas[[#This Row],[COD ETPA]],tbEtapas[],2,FALSE),"")</f>
        <v/>
      </c>
      <c r="F2917" t="str">
        <f>IFERROR(VLOOKUP(tbEscolas[[#This Row],[COD ETPA]],tbEtapas[],3,FALSE),"")</f>
        <v/>
      </c>
    </row>
    <row r="2918" spans="1:6" x14ac:dyDescent="0.25">
      <c r="A2918" s="24" t="str">
        <f>_xlfn.XLOOKUP(tbEscolas[[#This Row],[ESCOLA]],tbNucleo[ESCOLA],tbNucleo[COD ESCOLA],"")</f>
        <v/>
      </c>
      <c r="B2918" t="str" cm="1">
        <f t="array" ref="B2918">IFERROR(INDEX(tbNucleo[ESCOLA],ROUNDUP(ROW(B2917)/TotalEtapas,0)),"")</f>
        <v/>
      </c>
      <c r="E2918" t="str">
        <f>IFERROR(VLOOKUP(tbEscolas[[#This Row],[COD ETPA]],tbEtapas[],2,FALSE),"")</f>
        <v/>
      </c>
      <c r="F2918" t="str">
        <f>IFERROR(VLOOKUP(tbEscolas[[#This Row],[COD ETPA]],tbEtapas[],3,FALSE),"")</f>
        <v/>
      </c>
    </row>
    <row r="2919" spans="1:6" x14ac:dyDescent="0.25">
      <c r="A2919" s="24" t="str">
        <f>_xlfn.XLOOKUP(tbEscolas[[#This Row],[ESCOLA]],tbNucleo[ESCOLA],tbNucleo[COD ESCOLA],"")</f>
        <v/>
      </c>
      <c r="B2919" t="str" cm="1">
        <f t="array" ref="B2919">IFERROR(INDEX(tbNucleo[ESCOLA],ROUNDUP(ROW(B2918)/TotalEtapas,0)),"")</f>
        <v/>
      </c>
      <c r="E2919" t="str">
        <f>IFERROR(VLOOKUP(tbEscolas[[#This Row],[COD ETPA]],tbEtapas[],2,FALSE),"")</f>
        <v/>
      </c>
      <c r="F2919" t="str">
        <f>IFERROR(VLOOKUP(tbEscolas[[#This Row],[COD ETPA]],tbEtapas[],3,FALSE),"")</f>
        <v/>
      </c>
    </row>
    <row r="2920" spans="1:6" x14ac:dyDescent="0.25">
      <c r="A2920" s="24" t="str">
        <f>_xlfn.XLOOKUP(tbEscolas[[#This Row],[ESCOLA]],tbNucleo[ESCOLA],tbNucleo[COD ESCOLA],"")</f>
        <v/>
      </c>
      <c r="B2920" t="str" cm="1">
        <f t="array" ref="B2920">IFERROR(INDEX(tbNucleo[ESCOLA],ROUNDUP(ROW(B2919)/TotalEtapas,0)),"")</f>
        <v/>
      </c>
      <c r="E2920" t="str">
        <f>IFERROR(VLOOKUP(tbEscolas[[#This Row],[COD ETPA]],tbEtapas[],2,FALSE),"")</f>
        <v/>
      </c>
      <c r="F2920" t="str">
        <f>IFERROR(VLOOKUP(tbEscolas[[#This Row],[COD ETPA]],tbEtapas[],3,FALSE),"")</f>
        <v/>
      </c>
    </row>
    <row r="2921" spans="1:6" x14ac:dyDescent="0.25">
      <c r="A2921" s="24" t="str">
        <f>_xlfn.XLOOKUP(tbEscolas[[#This Row],[ESCOLA]],tbNucleo[ESCOLA],tbNucleo[COD ESCOLA],"")</f>
        <v/>
      </c>
      <c r="B2921" t="str" cm="1">
        <f t="array" ref="B2921">IFERROR(INDEX(tbNucleo[ESCOLA],ROUNDUP(ROW(B2920)/TotalEtapas,0)),"")</f>
        <v/>
      </c>
      <c r="E2921" t="str">
        <f>IFERROR(VLOOKUP(tbEscolas[[#This Row],[COD ETPA]],tbEtapas[],2,FALSE),"")</f>
        <v/>
      </c>
      <c r="F2921" t="str">
        <f>IFERROR(VLOOKUP(tbEscolas[[#This Row],[COD ETPA]],tbEtapas[],3,FALSE),"")</f>
        <v/>
      </c>
    </row>
    <row r="2922" spans="1:6" x14ac:dyDescent="0.25">
      <c r="A2922" s="24" t="str">
        <f>_xlfn.XLOOKUP(tbEscolas[[#This Row],[ESCOLA]],tbNucleo[ESCOLA],tbNucleo[COD ESCOLA],"")</f>
        <v/>
      </c>
      <c r="B2922" t="str" cm="1">
        <f t="array" ref="B2922">IFERROR(INDEX(tbNucleo[ESCOLA],ROUNDUP(ROW(B2921)/TotalEtapas,0)),"")</f>
        <v/>
      </c>
      <c r="E2922" t="str">
        <f>IFERROR(VLOOKUP(tbEscolas[[#This Row],[COD ETPA]],tbEtapas[],2,FALSE),"")</f>
        <v/>
      </c>
      <c r="F2922" t="str">
        <f>IFERROR(VLOOKUP(tbEscolas[[#This Row],[COD ETPA]],tbEtapas[],3,FALSE),"")</f>
        <v/>
      </c>
    </row>
    <row r="2923" spans="1:6" x14ac:dyDescent="0.25">
      <c r="A2923" s="24" t="str">
        <f>_xlfn.XLOOKUP(tbEscolas[[#This Row],[ESCOLA]],tbNucleo[ESCOLA],tbNucleo[COD ESCOLA],"")</f>
        <v/>
      </c>
      <c r="B2923" t="str" cm="1">
        <f t="array" ref="B2923">IFERROR(INDEX(tbNucleo[ESCOLA],ROUNDUP(ROW(B2922)/TotalEtapas,0)),"")</f>
        <v/>
      </c>
      <c r="E2923" t="str">
        <f>IFERROR(VLOOKUP(tbEscolas[[#This Row],[COD ETPA]],tbEtapas[],2,FALSE),"")</f>
        <v/>
      </c>
      <c r="F2923" t="str">
        <f>IFERROR(VLOOKUP(tbEscolas[[#This Row],[COD ETPA]],tbEtapas[],3,FALSE),"")</f>
        <v/>
      </c>
    </row>
    <row r="2924" spans="1:6" x14ac:dyDescent="0.25">
      <c r="A2924" s="24" t="str">
        <f>_xlfn.XLOOKUP(tbEscolas[[#This Row],[ESCOLA]],tbNucleo[ESCOLA],tbNucleo[COD ESCOLA],"")</f>
        <v/>
      </c>
      <c r="B2924" t="str" cm="1">
        <f t="array" ref="B2924">IFERROR(INDEX(tbNucleo[ESCOLA],ROUNDUP(ROW(B2923)/TotalEtapas,0)),"")</f>
        <v/>
      </c>
      <c r="E2924" t="str">
        <f>IFERROR(VLOOKUP(tbEscolas[[#This Row],[COD ETPA]],tbEtapas[],2,FALSE),"")</f>
        <v/>
      </c>
      <c r="F2924" t="str">
        <f>IFERROR(VLOOKUP(tbEscolas[[#This Row],[COD ETPA]],tbEtapas[],3,FALSE),"")</f>
        <v/>
      </c>
    </row>
    <row r="2925" spans="1:6" x14ac:dyDescent="0.25">
      <c r="A2925" s="24" t="str">
        <f>_xlfn.XLOOKUP(tbEscolas[[#This Row],[ESCOLA]],tbNucleo[ESCOLA],tbNucleo[COD ESCOLA],"")</f>
        <v/>
      </c>
      <c r="B2925" t="str" cm="1">
        <f t="array" ref="B2925">IFERROR(INDEX(tbNucleo[ESCOLA],ROUNDUP(ROW(B2924)/TotalEtapas,0)),"")</f>
        <v/>
      </c>
      <c r="E2925" t="str">
        <f>IFERROR(VLOOKUP(tbEscolas[[#This Row],[COD ETPA]],tbEtapas[],2,FALSE),"")</f>
        <v/>
      </c>
      <c r="F2925" t="str">
        <f>IFERROR(VLOOKUP(tbEscolas[[#This Row],[COD ETPA]],tbEtapas[],3,FALSE),"")</f>
        <v/>
      </c>
    </row>
    <row r="2926" spans="1:6" x14ac:dyDescent="0.25">
      <c r="A2926" s="24" t="str">
        <f>_xlfn.XLOOKUP(tbEscolas[[#This Row],[ESCOLA]],tbNucleo[ESCOLA],tbNucleo[COD ESCOLA],"")</f>
        <v/>
      </c>
      <c r="B2926" t="str" cm="1">
        <f t="array" ref="B2926">IFERROR(INDEX(tbNucleo[ESCOLA],ROUNDUP(ROW(B2925)/TotalEtapas,0)),"")</f>
        <v/>
      </c>
      <c r="E2926" t="str">
        <f>IFERROR(VLOOKUP(tbEscolas[[#This Row],[COD ETPA]],tbEtapas[],2,FALSE),"")</f>
        <v/>
      </c>
      <c r="F2926" t="str">
        <f>IFERROR(VLOOKUP(tbEscolas[[#This Row],[COD ETPA]],tbEtapas[],3,FALSE),"")</f>
        <v/>
      </c>
    </row>
    <row r="2927" spans="1:6" x14ac:dyDescent="0.25">
      <c r="A2927" s="24" t="str">
        <f>_xlfn.XLOOKUP(tbEscolas[[#This Row],[ESCOLA]],tbNucleo[ESCOLA],tbNucleo[COD ESCOLA],"")</f>
        <v/>
      </c>
      <c r="B2927" t="str" cm="1">
        <f t="array" ref="B2927">IFERROR(INDEX(tbNucleo[ESCOLA],ROUNDUP(ROW(B2926)/TotalEtapas,0)),"")</f>
        <v/>
      </c>
      <c r="E2927" t="str">
        <f>IFERROR(VLOOKUP(tbEscolas[[#This Row],[COD ETPA]],tbEtapas[],2,FALSE),"")</f>
        <v/>
      </c>
      <c r="F2927" t="str">
        <f>IFERROR(VLOOKUP(tbEscolas[[#This Row],[COD ETPA]],tbEtapas[],3,FALSE),"")</f>
        <v/>
      </c>
    </row>
    <row r="2928" spans="1:6" x14ac:dyDescent="0.25">
      <c r="A2928" s="24" t="str">
        <f>_xlfn.XLOOKUP(tbEscolas[[#This Row],[ESCOLA]],tbNucleo[ESCOLA],tbNucleo[COD ESCOLA],"")</f>
        <v/>
      </c>
      <c r="B2928" t="str" cm="1">
        <f t="array" ref="B2928">IFERROR(INDEX(tbNucleo[ESCOLA],ROUNDUP(ROW(B2927)/TotalEtapas,0)),"")</f>
        <v/>
      </c>
      <c r="E2928" t="str">
        <f>IFERROR(VLOOKUP(tbEscolas[[#This Row],[COD ETPA]],tbEtapas[],2,FALSE),"")</f>
        <v/>
      </c>
      <c r="F2928" t="str">
        <f>IFERROR(VLOOKUP(tbEscolas[[#This Row],[COD ETPA]],tbEtapas[],3,FALSE),"")</f>
        <v/>
      </c>
    </row>
    <row r="2929" spans="1:6" x14ac:dyDescent="0.25">
      <c r="A2929" s="24" t="str">
        <f>_xlfn.XLOOKUP(tbEscolas[[#This Row],[ESCOLA]],tbNucleo[ESCOLA],tbNucleo[COD ESCOLA],"")</f>
        <v/>
      </c>
      <c r="B2929" t="str" cm="1">
        <f t="array" ref="B2929">IFERROR(INDEX(tbNucleo[ESCOLA],ROUNDUP(ROW(B2928)/TotalEtapas,0)),"")</f>
        <v/>
      </c>
      <c r="E2929" t="str">
        <f>IFERROR(VLOOKUP(tbEscolas[[#This Row],[COD ETPA]],tbEtapas[],2,FALSE),"")</f>
        <v/>
      </c>
      <c r="F2929" t="str">
        <f>IFERROR(VLOOKUP(tbEscolas[[#This Row],[COD ETPA]],tbEtapas[],3,FALSE),"")</f>
        <v/>
      </c>
    </row>
    <row r="2930" spans="1:6" x14ac:dyDescent="0.25">
      <c r="A2930" s="24" t="str">
        <f>_xlfn.XLOOKUP(tbEscolas[[#This Row],[ESCOLA]],tbNucleo[ESCOLA],tbNucleo[COD ESCOLA],"")</f>
        <v/>
      </c>
      <c r="B2930" t="str" cm="1">
        <f t="array" ref="B2930">IFERROR(INDEX(tbNucleo[ESCOLA],ROUNDUP(ROW(B2929)/TotalEtapas,0)),"")</f>
        <v/>
      </c>
      <c r="E2930" t="str">
        <f>IFERROR(VLOOKUP(tbEscolas[[#This Row],[COD ETPA]],tbEtapas[],2,FALSE),"")</f>
        <v/>
      </c>
      <c r="F2930" t="str">
        <f>IFERROR(VLOOKUP(tbEscolas[[#This Row],[COD ETPA]],tbEtapas[],3,FALSE),"")</f>
        <v/>
      </c>
    </row>
    <row r="2931" spans="1:6" x14ac:dyDescent="0.25">
      <c r="A2931" s="24" t="str">
        <f>_xlfn.XLOOKUP(tbEscolas[[#This Row],[ESCOLA]],tbNucleo[ESCOLA],tbNucleo[COD ESCOLA],"")</f>
        <v/>
      </c>
      <c r="B2931" t="str" cm="1">
        <f t="array" ref="B2931">IFERROR(INDEX(tbNucleo[ESCOLA],ROUNDUP(ROW(B2930)/TotalEtapas,0)),"")</f>
        <v/>
      </c>
      <c r="E2931" t="str">
        <f>IFERROR(VLOOKUP(tbEscolas[[#This Row],[COD ETPA]],tbEtapas[],2,FALSE),"")</f>
        <v/>
      </c>
      <c r="F2931" t="str">
        <f>IFERROR(VLOOKUP(tbEscolas[[#This Row],[COD ETPA]],tbEtapas[],3,FALSE),"")</f>
        <v/>
      </c>
    </row>
    <row r="2932" spans="1:6" x14ac:dyDescent="0.25">
      <c r="A2932" s="24" t="str">
        <f>_xlfn.XLOOKUP(tbEscolas[[#This Row],[ESCOLA]],tbNucleo[ESCOLA],tbNucleo[COD ESCOLA],"")</f>
        <v/>
      </c>
      <c r="B2932" t="str" cm="1">
        <f t="array" ref="B2932">IFERROR(INDEX(tbNucleo[ESCOLA],ROUNDUP(ROW(B2931)/TotalEtapas,0)),"")</f>
        <v/>
      </c>
      <c r="E2932" t="str">
        <f>IFERROR(VLOOKUP(tbEscolas[[#This Row],[COD ETPA]],tbEtapas[],2,FALSE),"")</f>
        <v/>
      </c>
      <c r="F2932" t="str">
        <f>IFERROR(VLOOKUP(tbEscolas[[#This Row],[COD ETPA]],tbEtapas[],3,FALSE),"")</f>
        <v/>
      </c>
    </row>
    <row r="2933" spans="1:6" x14ac:dyDescent="0.25">
      <c r="A2933" s="24" t="str">
        <f>_xlfn.XLOOKUP(tbEscolas[[#This Row],[ESCOLA]],tbNucleo[ESCOLA],tbNucleo[COD ESCOLA],"")</f>
        <v/>
      </c>
      <c r="B2933" t="str" cm="1">
        <f t="array" ref="B2933">IFERROR(INDEX(tbNucleo[ESCOLA],ROUNDUP(ROW(B2932)/TotalEtapas,0)),"")</f>
        <v/>
      </c>
      <c r="E2933" t="str">
        <f>IFERROR(VLOOKUP(tbEscolas[[#This Row],[COD ETPA]],tbEtapas[],2,FALSE),"")</f>
        <v/>
      </c>
      <c r="F2933" t="str">
        <f>IFERROR(VLOOKUP(tbEscolas[[#This Row],[COD ETPA]],tbEtapas[],3,FALSE),"")</f>
        <v/>
      </c>
    </row>
    <row r="2934" spans="1:6" x14ac:dyDescent="0.25">
      <c r="A2934" s="24" t="str">
        <f>_xlfn.XLOOKUP(tbEscolas[[#This Row],[ESCOLA]],tbNucleo[ESCOLA],tbNucleo[COD ESCOLA],"")</f>
        <v/>
      </c>
      <c r="B2934" t="str" cm="1">
        <f t="array" ref="B2934">IFERROR(INDEX(tbNucleo[ESCOLA],ROUNDUP(ROW(B2933)/TotalEtapas,0)),"")</f>
        <v/>
      </c>
      <c r="E2934" t="str">
        <f>IFERROR(VLOOKUP(tbEscolas[[#This Row],[COD ETPA]],tbEtapas[],2,FALSE),"")</f>
        <v/>
      </c>
      <c r="F2934" t="str">
        <f>IFERROR(VLOOKUP(tbEscolas[[#This Row],[COD ETPA]],tbEtapas[],3,FALSE),"")</f>
        <v/>
      </c>
    </row>
    <row r="2935" spans="1:6" x14ac:dyDescent="0.25">
      <c r="A2935" s="24" t="str">
        <f>_xlfn.XLOOKUP(tbEscolas[[#This Row],[ESCOLA]],tbNucleo[ESCOLA],tbNucleo[COD ESCOLA],"")</f>
        <v/>
      </c>
      <c r="B2935" t="str" cm="1">
        <f t="array" ref="B2935">IFERROR(INDEX(tbNucleo[ESCOLA],ROUNDUP(ROW(B2934)/TotalEtapas,0)),"")</f>
        <v/>
      </c>
      <c r="E2935" t="str">
        <f>IFERROR(VLOOKUP(tbEscolas[[#This Row],[COD ETPA]],tbEtapas[],2,FALSE),"")</f>
        <v/>
      </c>
      <c r="F2935" t="str">
        <f>IFERROR(VLOOKUP(tbEscolas[[#This Row],[COD ETPA]],tbEtapas[],3,FALSE),"")</f>
        <v/>
      </c>
    </row>
    <row r="2936" spans="1:6" x14ac:dyDescent="0.25">
      <c r="A2936" s="24" t="str">
        <f>_xlfn.XLOOKUP(tbEscolas[[#This Row],[ESCOLA]],tbNucleo[ESCOLA],tbNucleo[COD ESCOLA],"")</f>
        <v/>
      </c>
      <c r="B2936" t="str" cm="1">
        <f t="array" ref="B2936">IFERROR(INDEX(tbNucleo[ESCOLA],ROUNDUP(ROW(B2935)/TotalEtapas,0)),"")</f>
        <v/>
      </c>
      <c r="E2936" t="str">
        <f>IFERROR(VLOOKUP(tbEscolas[[#This Row],[COD ETPA]],tbEtapas[],2,FALSE),"")</f>
        <v/>
      </c>
      <c r="F2936" t="str">
        <f>IFERROR(VLOOKUP(tbEscolas[[#This Row],[COD ETPA]],tbEtapas[],3,FALSE),"")</f>
        <v/>
      </c>
    </row>
    <row r="2937" spans="1:6" x14ac:dyDescent="0.25">
      <c r="A2937" s="24" t="str">
        <f>_xlfn.XLOOKUP(tbEscolas[[#This Row],[ESCOLA]],tbNucleo[ESCOLA],tbNucleo[COD ESCOLA],"")</f>
        <v/>
      </c>
      <c r="B2937" t="str" cm="1">
        <f t="array" ref="B2937">IFERROR(INDEX(tbNucleo[ESCOLA],ROUNDUP(ROW(B2936)/TotalEtapas,0)),"")</f>
        <v/>
      </c>
      <c r="E2937" t="str">
        <f>IFERROR(VLOOKUP(tbEscolas[[#This Row],[COD ETPA]],tbEtapas[],2,FALSE),"")</f>
        <v/>
      </c>
      <c r="F2937" t="str">
        <f>IFERROR(VLOOKUP(tbEscolas[[#This Row],[COD ETPA]],tbEtapas[],3,FALSE),"")</f>
        <v/>
      </c>
    </row>
    <row r="2938" spans="1:6" x14ac:dyDescent="0.25">
      <c r="A2938" s="24" t="str">
        <f>_xlfn.XLOOKUP(tbEscolas[[#This Row],[ESCOLA]],tbNucleo[ESCOLA],tbNucleo[COD ESCOLA],"")</f>
        <v/>
      </c>
      <c r="B2938" t="str" cm="1">
        <f t="array" ref="B2938">IFERROR(INDEX(tbNucleo[ESCOLA],ROUNDUP(ROW(B2937)/TotalEtapas,0)),"")</f>
        <v/>
      </c>
      <c r="E2938" t="str">
        <f>IFERROR(VLOOKUP(tbEscolas[[#This Row],[COD ETPA]],tbEtapas[],2,FALSE),"")</f>
        <v/>
      </c>
      <c r="F2938" t="str">
        <f>IFERROR(VLOOKUP(tbEscolas[[#This Row],[COD ETPA]],tbEtapas[],3,FALSE),"")</f>
        <v/>
      </c>
    </row>
    <row r="2939" spans="1:6" x14ac:dyDescent="0.25">
      <c r="A2939" s="24" t="str">
        <f>_xlfn.XLOOKUP(tbEscolas[[#This Row],[ESCOLA]],tbNucleo[ESCOLA],tbNucleo[COD ESCOLA],"")</f>
        <v/>
      </c>
      <c r="B2939" t="str" cm="1">
        <f t="array" ref="B2939">IFERROR(INDEX(tbNucleo[ESCOLA],ROUNDUP(ROW(B2938)/TotalEtapas,0)),"")</f>
        <v/>
      </c>
      <c r="E2939" t="str">
        <f>IFERROR(VLOOKUP(tbEscolas[[#This Row],[COD ETPA]],tbEtapas[],2,FALSE),"")</f>
        <v/>
      </c>
      <c r="F2939" t="str">
        <f>IFERROR(VLOOKUP(tbEscolas[[#This Row],[COD ETPA]],tbEtapas[],3,FALSE),"")</f>
        <v/>
      </c>
    </row>
    <row r="2940" spans="1:6" x14ac:dyDescent="0.25">
      <c r="A2940" s="24" t="str">
        <f>_xlfn.XLOOKUP(tbEscolas[[#This Row],[ESCOLA]],tbNucleo[ESCOLA],tbNucleo[COD ESCOLA],"")</f>
        <v/>
      </c>
      <c r="B2940" t="str" cm="1">
        <f t="array" ref="B2940">IFERROR(INDEX(tbNucleo[ESCOLA],ROUNDUP(ROW(B2939)/TotalEtapas,0)),"")</f>
        <v/>
      </c>
      <c r="E2940" t="str">
        <f>IFERROR(VLOOKUP(tbEscolas[[#This Row],[COD ETPA]],tbEtapas[],2,FALSE),"")</f>
        <v/>
      </c>
      <c r="F2940" t="str">
        <f>IFERROR(VLOOKUP(tbEscolas[[#This Row],[COD ETPA]],tbEtapas[],3,FALSE),"")</f>
        <v/>
      </c>
    </row>
    <row r="2941" spans="1:6" x14ac:dyDescent="0.25">
      <c r="A2941" s="24" t="str">
        <f>_xlfn.XLOOKUP(tbEscolas[[#This Row],[ESCOLA]],tbNucleo[ESCOLA],tbNucleo[COD ESCOLA],"")</f>
        <v/>
      </c>
      <c r="B2941" t="str" cm="1">
        <f t="array" ref="B2941">IFERROR(INDEX(tbNucleo[ESCOLA],ROUNDUP(ROW(B2940)/TotalEtapas,0)),"")</f>
        <v/>
      </c>
      <c r="E2941" t="str">
        <f>IFERROR(VLOOKUP(tbEscolas[[#This Row],[COD ETPA]],tbEtapas[],2,FALSE),"")</f>
        <v/>
      </c>
      <c r="F2941" t="str">
        <f>IFERROR(VLOOKUP(tbEscolas[[#This Row],[COD ETPA]],tbEtapas[],3,FALSE),"")</f>
        <v/>
      </c>
    </row>
    <row r="2942" spans="1:6" x14ac:dyDescent="0.25">
      <c r="A2942" s="24" t="str">
        <f>_xlfn.XLOOKUP(tbEscolas[[#This Row],[ESCOLA]],tbNucleo[ESCOLA],tbNucleo[COD ESCOLA],"")</f>
        <v/>
      </c>
      <c r="B2942" t="str" cm="1">
        <f t="array" ref="B2942">IFERROR(INDEX(tbNucleo[ESCOLA],ROUNDUP(ROW(B2941)/TotalEtapas,0)),"")</f>
        <v/>
      </c>
      <c r="E2942" t="str">
        <f>IFERROR(VLOOKUP(tbEscolas[[#This Row],[COD ETPA]],tbEtapas[],2,FALSE),"")</f>
        <v/>
      </c>
      <c r="F2942" t="str">
        <f>IFERROR(VLOOKUP(tbEscolas[[#This Row],[COD ETPA]],tbEtapas[],3,FALSE),"")</f>
        <v/>
      </c>
    </row>
    <row r="2943" spans="1:6" x14ac:dyDescent="0.25">
      <c r="A2943" s="24" t="str">
        <f>_xlfn.XLOOKUP(tbEscolas[[#This Row],[ESCOLA]],tbNucleo[ESCOLA],tbNucleo[COD ESCOLA],"")</f>
        <v/>
      </c>
      <c r="B2943" t="str" cm="1">
        <f t="array" ref="B2943">IFERROR(INDEX(tbNucleo[ESCOLA],ROUNDUP(ROW(B2942)/TotalEtapas,0)),"")</f>
        <v/>
      </c>
      <c r="E2943" t="str">
        <f>IFERROR(VLOOKUP(tbEscolas[[#This Row],[COD ETPA]],tbEtapas[],2,FALSE),"")</f>
        <v/>
      </c>
      <c r="F2943" t="str">
        <f>IFERROR(VLOOKUP(tbEscolas[[#This Row],[COD ETPA]],tbEtapas[],3,FALSE),"")</f>
        <v/>
      </c>
    </row>
    <row r="2944" spans="1:6" x14ac:dyDescent="0.25">
      <c r="A2944" s="24" t="str">
        <f>_xlfn.XLOOKUP(tbEscolas[[#This Row],[ESCOLA]],tbNucleo[ESCOLA],tbNucleo[COD ESCOLA],"")</f>
        <v/>
      </c>
      <c r="B2944" t="str" cm="1">
        <f t="array" ref="B2944">IFERROR(INDEX(tbNucleo[ESCOLA],ROUNDUP(ROW(B2943)/TotalEtapas,0)),"")</f>
        <v/>
      </c>
      <c r="E2944" t="str">
        <f>IFERROR(VLOOKUP(tbEscolas[[#This Row],[COD ETPA]],tbEtapas[],2,FALSE),"")</f>
        <v/>
      </c>
      <c r="F2944" t="str">
        <f>IFERROR(VLOOKUP(tbEscolas[[#This Row],[COD ETPA]],tbEtapas[],3,FALSE),"")</f>
        <v/>
      </c>
    </row>
    <row r="2945" spans="1:6" x14ac:dyDescent="0.25">
      <c r="A2945" s="24" t="str">
        <f>_xlfn.XLOOKUP(tbEscolas[[#This Row],[ESCOLA]],tbNucleo[ESCOLA],tbNucleo[COD ESCOLA],"")</f>
        <v/>
      </c>
      <c r="B2945" t="str" cm="1">
        <f t="array" ref="B2945">IFERROR(INDEX(tbNucleo[ESCOLA],ROUNDUP(ROW(B2944)/TotalEtapas,0)),"")</f>
        <v/>
      </c>
      <c r="E2945" t="str">
        <f>IFERROR(VLOOKUP(tbEscolas[[#This Row],[COD ETPA]],tbEtapas[],2,FALSE),"")</f>
        <v/>
      </c>
      <c r="F2945" t="str">
        <f>IFERROR(VLOOKUP(tbEscolas[[#This Row],[COD ETPA]],tbEtapas[],3,FALSE),"")</f>
        <v/>
      </c>
    </row>
    <row r="2946" spans="1:6" x14ac:dyDescent="0.25">
      <c r="A2946" s="24" t="str">
        <f>_xlfn.XLOOKUP(tbEscolas[[#This Row],[ESCOLA]],tbNucleo[ESCOLA],tbNucleo[COD ESCOLA],"")</f>
        <v/>
      </c>
      <c r="B2946" t="str" cm="1">
        <f t="array" ref="B2946">IFERROR(INDEX(tbNucleo[ESCOLA],ROUNDUP(ROW(B2945)/TotalEtapas,0)),"")</f>
        <v/>
      </c>
      <c r="E2946" t="str">
        <f>IFERROR(VLOOKUP(tbEscolas[[#This Row],[COD ETPA]],tbEtapas[],2,FALSE),"")</f>
        <v/>
      </c>
      <c r="F2946" t="str">
        <f>IFERROR(VLOOKUP(tbEscolas[[#This Row],[COD ETPA]],tbEtapas[],3,FALSE),"")</f>
        <v/>
      </c>
    </row>
    <row r="2947" spans="1:6" x14ac:dyDescent="0.25">
      <c r="A2947" s="24" t="str">
        <f>_xlfn.XLOOKUP(tbEscolas[[#This Row],[ESCOLA]],tbNucleo[ESCOLA],tbNucleo[COD ESCOLA],"")</f>
        <v/>
      </c>
      <c r="B2947" t="str" cm="1">
        <f t="array" ref="B2947">IFERROR(INDEX(tbNucleo[ESCOLA],ROUNDUP(ROW(B2946)/TotalEtapas,0)),"")</f>
        <v/>
      </c>
      <c r="E2947" t="str">
        <f>IFERROR(VLOOKUP(tbEscolas[[#This Row],[COD ETPA]],tbEtapas[],2,FALSE),"")</f>
        <v/>
      </c>
      <c r="F2947" t="str">
        <f>IFERROR(VLOOKUP(tbEscolas[[#This Row],[COD ETPA]],tbEtapas[],3,FALSE),"")</f>
        <v/>
      </c>
    </row>
    <row r="2948" spans="1:6" x14ac:dyDescent="0.25">
      <c r="A2948" s="24" t="str">
        <f>_xlfn.XLOOKUP(tbEscolas[[#This Row],[ESCOLA]],tbNucleo[ESCOLA],tbNucleo[COD ESCOLA],"")</f>
        <v/>
      </c>
      <c r="B2948" t="str" cm="1">
        <f t="array" ref="B2948">IFERROR(INDEX(tbNucleo[ESCOLA],ROUNDUP(ROW(B2947)/TotalEtapas,0)),"")</f>
        <v/>
      </c>
      <c r="E2948" t="str">
        <f>IFERROR(VLOOKUP(tbEscolas[[#This Row],[COD ETPA]],tbEtapas[],2,FALSE),"")</f>
        <v/>
      </c>
      <c r="F2948" t="str">
        <f>IFERROR(VLOOKUP(tbEscolas[[#This Row],[COD ETPA]],tbEtapas[],3,FALSE),"")</f>
        <v/>
      </c>
    </row>
    <row r="2949" spans="1:6" x14ac:dyDescent="0.25">
      <c r="A2949" s="24" t="str">
        <f>_xlfn.XLOOKUP(tbEscolas[[#This Row],[ESCOLA]],tbNucleo[ESCOLA],tbNucleo[COD ESCOLA],"")</f>
        <v/>
      </c>
      <c r="B2949" t="str" cm="1">
        <f t="array" ref="B2949">IFERROR(INDEX(tbNucleo[ESCOLA],ROUNDUP(ROW(B2948)/TotalEtapas,0)),"")</f>
        <v/>
      </c>
      <c r="E2949" t="str">
        <f>IFERROR(VLOOKUP(tbEscolas[[#This Row],[COD ETPA]],tbEtapas[],2,FALSE),"")</f>
        <v/>
      </c>
      <c r="F2949" t="str">
        <f>IFERROR(VLOOKUP(tbEscolas[[#This Row],[COD ETPA]],tbEtapas[],3,FALSE),"")</f>
        <v/>
      </c>
    </row>
    <row r="2950" spans="1:6" x14ac:dyDescent="0.25">
      <c r="A2950" s="24" t="str">
        <f>_xlfn.XLOOKUP(tbEscolas[[#This Row],[ESCOLA]],tbNucleo[ESCOLA],tbNucleo[COD ESCOLA],"")</f>
        <v/>
      </c>
      <c r="B2950" t="str" cm="1">
        <f t="array" ref="B2950">IFERROR(INDEX(tbNucleo[ESCOLA],ROUNDUP(ROW(B2949)/TotalEtapas,0)),"")</f>
        <v/>
      </c>
      <c r="E2950" t="str">
        <f>IFERROR(VLOOKUP(tbEscolas[[#This Row],[COD ETPA]],tbEtapas[],2,FALSE),"")</f>
        <v/>
      </c>
      <c r="F2950" t="str">
        <f>IFERROR(VLOOKUP(tbEscolas[[#This Row],[COD ETPA]],tbEtapas[],3,FALSE),"")</f>
        <v/>
      </c>
    </row>
    <row r="2951" spans="1:6" x14ac:dyDescent="0.25">
      <c r="A2951" s="24" t="str">
        <f>_xlfn.XLOOKUP(tbEscolas[[#This Row],[ESCOLA]],tbNucleo[ESCOLA],tbNucleo[COD ESCOLA],"")</f>
        <v/>
      </c>
      <c r="B2951" t="str" cm="1">
        <f t="array" ref="B2951">IFERROR(INDEX(tbNucleo[ESCOLA],ROUNDUP(ROW(B2950)/TotalEtapas,0)),"")</f>
        <v/>
      </c>
      <c r="E2951" t="str">
        <f>IFERROR(VLOOKUP(tbEscolas[[#This Row],[COD ETPA]],tbEtapas[],2,FALSE),"")</f>
        <v/>
      </c>
      <c r="F2951" t="str">
        <f>IFERROR(VLOOKUP(tbEscolas[[#This Row],[COD ETPA]],tbEtapas[],3,FALSE),"")</f>
        <v/>
      </c>
    </row>
    <row r="2952" spans="1:6" x14ac:dyDescent="0.25">
      <c r="A2952" s="24" t="str">
        <f>_xlfn.XLOOKUP(tbEscolas[[#This Row],[ESCOLA]],tbNucleo[ESCOLA],tbNucleo[COD ESCOLA],"")</f>
        <v/>
      </c>
      <c r="B2952" t="str" cm="1">
        <f t="array" ref="B2952">IFERROR(INDEX(tbNucleo[ESCOLA],ROUNDUP(ROW(B2951)/TotalEtapas,0)),"")</f>
        <v/>
      </c>
      <c r="E2952" t="str">
        <f>IFERROR(VLOOKUP(tbEscolas[[#This Row],[COD ETPA]],tbEtapas[],2,FALSE),"")</f>
        <v/>
      </c>
      <c r="F2952" t="str">
        <f>IFERROR(VLOOKUP(tbEscolas[[#This Row],[COD ETPA]],tbEtapas[],3,FALSE),"")</f>
        <v/>
      </c>
    </row>
    <row r="2953" spans="1:6" x14ac:dyDescent="0.25">
      <c r="A2953" s="24" t="str">
        <f>_xlfn.XLOOKUP(tbEscolas[[#This Row],[ESCOLA]],tbNucleo[ESCOLA],tbNucleo[COD ESCOLA],"")</f>
        <v/>
      </c>
      <c r="B2953" t="str" cm="1">
        <f t="array" ref="B2953">IFERROR(INDEX(tbNucleo[ESCOLA],ROUNDUP(ROW(B2952)/TotalEtapas,0)),"")</f>
        <v/>
      </c>
      <c r="E2953" t="str">
        <f>IFERROR(VLOOKUP(tbEscolas[[#This Row],[COD ETPA]],tbEtapas[],2,FALSE),"")</f>
        <v/>
      </c>
      <c r="F2953" t="str">
        <f>IFERROR(VLOOKUP(tbEscolas[[#This Row],[COD ETPA]],tbEtapas[],3,FALSE),"")</f>
        <v/>
      </c>
    </row>
    <row r="2954" spans="1:6" x14ac:dyDescent="0.25">
      <c r="A2954" s="24" t="str">
        <f>_xlfn.XLOOKUP(tbEscolas[[#This Row],[ESCOLA]],tbNucleo[ESCOLA],tbNucleo[COD ESCOLA],"")</f>
        <v/>
      </c>
      <c r="B2954" t="str" cm="1">
        <f t="array" ref="B2954">IFERROR(INDEX(tbNucleo[ESCOLA],ROUNDUP(ROW(B2953)/TotalEtapas,0)),"")</f>
        <v/>
      </c>
      <c r="E2954" t="str">
        <f>IFERROR(VLOOKUP(tbEscolas[[#This Row],[COD ETPA]],tbEtapas[],2,FALSE),"")</f>
        <v/>
      </c>
      <c r="F2954" t="str">
        <f>IFERROR(VLOOKUP(tbEscolas[[#This Row],[COD ETPA]],tbEtapas[],3,FALSE),"")</f>
        <v/>
      </c>
    </row>
    <row r="2955" spans="1:6" x14ac:dyDescent="0.25">
      <c r="A2955" s="24" t="str">
        <f>_xlfn.XLOOKUP(tbEscolas[[#This Row],[ESCOLA]],tbNucleo[ESCOLA],tbNucleo[COD ESCOLA],"")</f>
        <v/>
      </c>
      <c r="B2955" t="str" cm="1">
        <f t="array" ref="B2955">IFERROR(INDEX(tbNucleo[ESCOLA],ROUNDUP(ROW(B2954)/TotalEtapas,0)),"")</f>
        <v/>
      </c>
      <c r="E2955" t="str">
        <f>IFERROR(VLOOKUP(tbEscolas[[#This Row],[COD ETPA]],tbEtapas[],2,FALSE),"")</f>
        <v/>
      </c>
      <c r="F2955" t="str">
        <f>IFERROR(VLOOKUP(tbEscolas[[#This Row],[COD ETPA]],tbEtapas[],3,FALSE),"")</f>
        <v/>
      </c>
    </row>
    <row r="2956" spans="1:6" x14ac:dyDescent="0.25">
      <c r="A2956" s="24" t="str">
        <f>_xlfn.XLOOKUP(tbEscolas[[#This Row],[ESCOLA]],tbNucleo[ESCOLA],tbNucleo[COD ESCOLA],"")</f>
        <v/>
      </c>
      <c r="B2956" t="str" cm="1">
        <f t="array" ref="B2956">IFERROR(INDEX(tbNucleo[ESCOLA],ROUNDUP(ROW(B2955)/TotalEtapas,0)),"")</f>
        <v/>
      </c>
      <c r="E2956" t="str">
        <f>IFERROR(VLOOKUP(tbEscolas[[#This Row],[COD ETPA]],tbEtapas[],2,FALSE),"")</f>
        <v/>
      </c>
      <c r="F2956" t="str">
        <f>IFERROR(VLOOKUP(tbEscolas[[#This Row],[COD ETPA]],tbEtapas[],3,FALSE),"")</f>
        <v/>
      </c>
    </row>
    <row r="2957" spans="1:6" x14ac:dyDescent="0.25">
      <c r="A2957" s="24" t="str">
        <f>_xlfn.XLOOKUP(tbEscolas[[#This Row],[ESCOLA]],tbNucleo[ESCOLA],tbNucleo[COD ESCOLA],"")</f>
        <v/>
      </c>
      <c r="B2957" t="str" cm="1">
        <f t="array" ref="B2957">IFERROR(INDEX(tbNucleo[ESCOLA],ROUNDUP(ROW(B2956)/TotalEtapas,0)),"")</f>
        <v/>
      </c>
      <c r="E2957" t="str">
        <f>IFERROR(VLOOKUP(tbEscolas[[#This Row],[COD ETPA]],tbEtapas[],2,FALSE),"")</f>
        <v/>
      </c>
      <c r="F2957" t="str">
        <f>IFERROR(VLOOKUP(tbEscolas[[#This Row],[COD ETPA]],tbEtapas[],3,FALSE),"")</f>
        <v/>
      </c>
    </row>
    <row r="2958" spans="1:6" x14ac:dyDescent="0.25">
      <c r="A2958" s="24" t="str">
        <f>_xlfn.XLOOKUP(tbEscolas[[#This Row],[ESCOLA]],tbNucleo[ESCOLA],tbNucleo[COD ESCOLA],"")</f>
        <v/>
      </c>
      <c r="B2958" t="str" cm="1">
        <f t="array" ref="B2958">IFERROR(INDEX(tbNucleo[ESCOLA],ROUNDUP(ROW(B2957)/TotalEtapas,0)),"")</f>
        <v/>
      </c>
      <c r="E2958" t="str">
        <f>IFERROR(VLOOKUP(tbEscolas[[#This Row],[COD ETPA]],tbEtapas[],2,FALSE),"")</f>
        <v/>
      </c>
      <c r="F2958" t="str">
        <f>IFERROR(VLOOKUP(tbEscolas[[#This Row],[COD ETPA]],tbEtapas[],3,FALSE),"")</f>
        <v/>
      </c>
    </row>
    <row r="2959" spans="1:6" x14ac:dyDescent="0.25">
      <c r="A2959" s="24" t="str">
        <f>_xlfn.XLOOKUP(tbEscolas[[#This Row],[ESCOLA]],tbNucleo[ESCOLA],tbNucleo[COD ESCOLA],"")</f>
        <v/>
      </c>
      <c r="B2959" t="str" cm="1">
        <f t="array" ref="B2959">IFERROR(INDEX(tbNucleo[ESCOLA],ROUNDUP(ROW(B2958)/TotalEtapas,0)),"")</f>
        <v/>
      </c>
      <c r="E2959" t="str">
        <f>IFERROR(VLOOKUP(tbEscolas[[#This Row],[COD ETPA]],tbEtapas[],2,FALSE),"")</f>
        <v/>
      </c>
      <c r="F2959" t="str">
        <f>IFERROR(VLOOKUP(tbEscolas[[#This Row],[COD ETPA]],tbEtapas[],3,FALSE),"")</f>
        <v/>
      </c>
    </row>
    <row r="2960" spans="1:6" x14ac:dyDescent="0.25">
      <c r="A2960" s="24" t="str">
        <f>_xlfn.XLOOKUP(tbEscolas[[#This Row],[ESCOLA]],tbNucleo[ESCOLA],tbNucleo[COD ESCOLA],"")</f>
        <v/>
      </c>
      <c r="B2960" t="str" cm="1">
        <f t="array" ref="B2960">IFERROR(INDEX(tbNucleo[ESCOLA],ROUNDUP(ROW(B2959)/TotalEtapas,0)),"")</f>
        <v/>
      </c>
      <c r="E2960" t="str">
        <f>IFERROR(VLOOKUP(tbEscolas[[#This Row],[COD ETPA]],tbEtapas[],2,FALSE),"")</f>
        <v/>
      </c>
      <c r="F2960" t="str">
        <f>IFERROR(VLOOKUP(tbEscolas[[#This Row],[COD ETPA]],tbEtapas[],3,FALSE),"")</f>
        <v/>
      </c>
    </row>
    <row r="2961" spans="1:6" x14ac:dyDescent="0.25">
      <c r="A2961" s="24" t="str">
        <f>_xlfn.XLOOKUP(tbEscolas[[#This Row],[ESCOLA]],tbNucleo[ESCOLA],tbNucleo[COD ESCOLA],"")</f>
        <v/>
      </c>
      <c r="B2961" t="str" cm="1">
        <f t="array" ref="B2961">IFERROR(INDEX(tbNucleo[ESCOLA],ROUNDUP(ROW(B2960)/TotalEtapas,0)),"")</f>
        <v/>
      </c>
      <c r="E2961" t="str">
        <f>IFERROR(VLOOKUP(tbEscolas[[#This Row],[COD ETPA]],tbEtapas[],2,FALSE),"")</f>
        <v/>
      </c>
      <c r="F2961" t="str">
        <f>IFERROR(VLOOKUP(tbEscolas[[#This Row],[COD ETPA]],tbEtapas[],3,FALSE),"")</f>
        <v/>
      </c>
    </row>
    <row r="2962" spans="1:6" x14ac:dyDescent="0.25">
      <c r="A2962" s="24" t="str">
        <f>_xlfn.XLOOKUP(tbEscolas[[#This Row],[ESCOLA]],tbNucleo[ESCOLA],tbNucleo[COD ESCOLA],"")</f>
        <v/>
      </c>
      <c r="B2962" t="str" cm="1">
        <f t="array" ref="B2962">IFERROR(INDEX(tbNucleo[ESCOLA],ROUNDUP(ROW(B2961)/TotalEtapas,0)),"")</f>
        <v/>
      </c>
      <c r="E2962" t="str">
        <f>IFERROR(VLOOKUP(tbEscolas[[#This Row],[COD ETPA]],tbEtapas[],2,FALSE),"")</f>
        <v/>
      </c>
      <c r="F2962" t="str">
        <f>IFERROR(VLOOKUP(tbEscolas[[#This Row],[COD ETPA]],tbEtapas[],3,FALSE),"")</f>
        <v/>
      </c>
    </row>
    <row r="2963" spans="1:6" x14ac:dyDescent="0.25">
      <c r="A2963" s="24" t="str">
        <f>_xlfn.XLOOKUP(tbEscolas[[#This Row],[ESCOLA]],tbNucleo[ESCOLA],tbNucleo[COD ESCOLA],"")</f>
        <v/>
      </c>
      <c r="B2963" t="str" cm="1">
        <f t="array" ref="B2963">IFERROR(INDEX(tbNucleo[ESCOLA],ROUNDUP(ROW(B2962)/TotalEtapas,0)),"")</f>
        <v/>
      </c>
      <c r="E2963" t="str">
        <f>IFERROR(VLOOKUP(tbEscolas[[#This Row],[COD ETPA]],tbEtapas[],2,FALSE),"")</f>
        <v/>
      </c>
      <c r="F2963" t="str">
        <f>IFERROR(VLOOKUP(tbEscolas[[#This Row],[COD ETPA]],tbEtapas[],3,FALSE),"")</f>
        <v/>
      </c>
    </row>
    <row r="2964" spans="1:6" x14ac:dyDescent="0.25">
      <c r="A2964" s="24" t="str">
        <f>_xlfn.XLOOKUP(tbEscolas[[#This Row],[ESCOLA]],tbNucleo[ESCOLA],tbNucleo[COD ESCOLA],"")</f>
        <v/>
      </c>
      <c r="B2964" t="str" cm="1">
        <f t="array" ref="B2964">IFERROR(INDEX(tbNucleo[ESCOLA],ROUNDUP(ROW(B2963)/TotalEtapas,0)),"")</f>
        <v/>
      </c>
      <c r="E2964" t="str">
        <f>IFERROR(VLOOKUP(tbEscolas[[#This Row],[COD ETPA]],tbEtapas[],2,FALSE),"")</f>
        <v/>
      </c>
      <c r="F2964" t="str">
        <f>IFERROR(VLOOKUP(tbEscolas[[#This Row],[COD ETPA]],tbEtapas[],3,FALSE),"")</f>
        <v/>
      </c>
    </row>
    <row r="2965" spans="1:6" x14ac:dyDescent="0.25">
      <c r="A2965" s="24" t="str">
        <f>_xlfn.XLOOKUP(tbEscolas[[#This Row],[ESCOLA]],tbNucleo[ESCOLA],tbNucleo[COD ESCOLA],"")</f>
        <v/>
      </c>
      <c r="B2965" t="str" cm="1">
        <f t="array" ref="B2965">IFERROR(INDEX(tbNucleo[ESCOLA],ROUNDUP(ROW(B2964)/TotalEtapas,0)),"")</f>
        <v/>
      </c>
      <c r="E2965" t="str">
        <f>IFERROR(VLOOKUP(tbEscolas[[#This Row],[COD ETPA]],tbEtapas[],2,FALSE),"")</f>
        <v/>
      </c>
      <c r="F2965" t="str">
        <f>IFERROR(VLOOKUP(tbEscolas[[#This Row],[COD ETPA]],tbEtapas[],3,FALSE),"")</f>
        <v/>
      </c>
    </row>
    <row r="2966" spans="1:6" x14ac:dyDescent="0.25">
      <c r="A2966" s="24" t="str">
        <f>_xlfn.XLOOKUP(tbEscolas[[#This Row],[ESCOLA]],tbNucleo[ESCOLA],tbNucleo[COD ESCOLA],"")</f>
        <v/>
      </c>
      <c r="B2966" t="str" cm="1">
        <f t="array" ref="B2966">IFERROR(INDEX(tbNucleo[ESCOLA],ROUNDUP(ROW(B2965)/TotalEtapas,0)),"")</f>
        <v/>
      </c>
      <c r="E2966" t="str">
        <f>IFERROR(VLOOKUP(tbEscolas[[#This Row],[COD ETPA]],tbEtapas[],2,FALSE),"")</f>
        <v/>
      </c>
      <c r="F2966" t="str">
        <f>IFERROR(VLOOKUP(tbEscolas[[#This Row],[COD ETPA]],tbEtapas[],3,FALSE),"")</f>
        <v/>
      </c>
    </row>
    <row r="2967" spans="1:6" x14ac:dyDescent="0.25">
      <c r="A2967" s="24" t="str">
        <f>_xlfn.XLOOKUP(tbEscolas[[#This Row],[ESCOLA]],tbNucleo[ESCOLA],tbNucleo[COD ESCOLA],"")</f>
        <v/>
      </c>
      <c r="B2967" t="str" cm="1">
        <f t="array" ref="B2967">IFERROR(INDEX(tbNucleo[ESCOLA],ROUNDUP(ROW(B2966)/TotalEtapas,0)),"")</f>
        <v/>
      </c>
      <c r="E2967" t="str">
        <f>IFERROR(VLOOKUP(tbEscolas[[#This Row],[COD ETPA]],tbEtapas[],2,FALSE),"")</f>
        <v/>
      </c>
      <c r="F2967" t="str">
        <f>IFERROR(VLOOKUP(tbEscolas[[#This Row],[COD ETPA]],tbEtapas[],3,FALSE),"")</f>
        <v/>
      </c>
    </row>
    <row r="2968" spans="1:6" x14ac:dyDescent="0.25">
      <c r="A2968" s="24" t="str">
        <f>_xlfn.XLOOKUP(tbEscolas[[#This Row],[ESCOLA]],tbNucleo[ESCOLA],tbNucleo[COD ESCOLA],"")</f>
        <v/>
      </c>
      <c r="B2968" t="str" cm="1">
        <f t="array" ref="B2968">IFERROR(INDEX(tbNucleo[ESCOLA],ROUNDUP(ROW(B2967)/TotalEtapas,0)),"")</f>
        <v/>
      </c>
      <c r="E2968" t="str">
        <f>IFERROR(VLOOKUP(tbEscolas[[#This Row],[COD ETPA]],tbEtapas[],2,FALSE),"")</f>
        <v/>
      </c>
      <c r="F2968" t="str">
        <f>IFERROR(VLOOKUP(tbEscolas[[#This Row],[COD ETPA]],tbEtapas[],3,FALSE),"")</f>
        <v/>
      </c>
    </row>
    <row r="2969" spans="1:6" x14ac:dyDescent="0.25">
      <c r="A2969" s="24" t="str">
        <f>_xlfn.XLOOKUP(tbEscolas[[#This Row],[ESCOLA]],tbNucleo[ESCOLA],tbNucleo[COD ESCOLA],"")</f>
        <v/>
      </c>
      <c r="B2969" t="str" cm="1">
        <f t="array" ref="B2969">IFERROR(INDEX(tbNucleo[ESCOLA],ROUNDUP(ROW(B2968)/TotalEtapas,0)),"")</f>
        <v/>
      </c>
      <c r="E2969" t="str">
        <f>IFERROR(VLOOKUP(tbEscolas[[#This Row],[COD ETPA]],tbEtapas[],2,FALSE),"")</f>
        <v/>
      </c>
      <c r="F2969" t="str">
        <f>IFERROR(VLOOKUP(tbEscolas[[#This Row],[COD ETPA]],tbEtapas[],3,FALSE),"")</f>
        <v/>
      </c>
    </row>
    <row r="2970" spans="1:6" x14ac:dyDescent="0.25">
      <c r="A2970" s="24" t="str">
        <f>_xlfn.XLOOKUP(tbEscolas[[#This Row],[ESCOLA]],tbNucleo[ESCOLA],tbNucleo[COD ESCOLA],"")</f>
        <v/>
      </c>
      <c r="B2970" t="str" cm="1">
        <f t="array" ref="B2970">IFERROR(INDEX(tbNucleo[ESCOLA],ROUNDUP(ROW(B2969)/TotalEtapas,0)),"")</f>
        <v/>
      </c>
      <c r="E2970" t="str">
        <f>IFERROR(VLOOKUP(tbEscolas[[#This Row],[COD ETPA]],tbEtapas[],2,FALSE),"")</f>
        <v/>
      </c>
      <c r="F2970" t="str">
        <f>IFERROR(VLOOKUP(tbEscolas[[#This Row],[COD ETPA]],tbEtapas[],3,FALSE),"")</f>
        <v/>
      </c>
    </row>
    <row r="2971" spans="1:6" x14ac:dyDescent="0.25">
      <c r="A2971" s="24" t="str">
        <f>_xlfn.XLOOKUP(tbEscolas[[#This Row],[ESCOLA]],tbNucleo[ESCOLA],tbNucleo[COD ESCOLA],"")</f>
        <v/>
      </c>
      <c r="B2971" t="str" cm="1">
        <f t="array" ref="B2971">IFERROR(INDEX(tbNucleo[ESCOLA],ROUNDUP(ROW(B2970)/TotalEtapas,0)),"")</f>
        <v/>
      </c>
      <c r="E2971" t="str">
        <f>IFERROR(VLOOKUP(tbEscolas[[#This Row],[COD ETPA]],tbEtapas[],2,FALSE),"")</f>
        <v/>
      </c>
      <c r="F2971" t="str">
        <f>IFERROR(VLOOKUP(tbEscolas[[#This Row],[COD ETPA]],tbEtapas[],3,FALSE),"")</f>
        <v/>
      </c>
    </row>
    <row r="2972" spans="1:6" x14ac:dyDescent="0.25">
      <c r="A2972" s="24" t="str">
        <f>_xlfn.XLOOKUP(tbEscolas[[#This Row],[ESCOLA]],tbNucleo[ESCOLA],tbNucleo[COD ESCOLA],"")</f>
        <v/>
      </c>
      <c r="B2972" t="str" cm="1">
        <f t="array" ref="B2972">IFERROR(INDEX(tbNucleo[ESCOLA],ROUNDUP(ROW(B2971)/TotalEtapas,0)),"")</f>
        <v/>
      </c>
      <c r="E2972" t="str">
        <f>IFERROR(VLOOKUP(tbEscolas[[#This Row],[COD ETPA]],tbEtapas[],2,FALSE),"")</f>
        <v/>
      </c>
      <c r="F2972" t="str">
        <f>IFERROR(VLOOKUP(tbEscolas[[#This Row],[COD ETPA]],tbEtapas[],3,FALSE),"")</f>
        <v/>
      </c>
    </row>
    <row r="2973" spans="1:6" x14ac:dyDescent="0.25">
      <c r="A2973" s="24" t="str">
        <f>_xlfn.XLOOKUP(tbEscolas[[#This Row],[ESCOLA]],tbNucleo[ESCOLA],tbNucleo[COD ESCOLA],"")</f>
        <v/>
      </c>
      <c r="B2973" t="str" cm="1">
        <f t="array" ref="B2973">IFERROR(INDEX(tbNucleo[ESCOLA],ROUNDUP(ROW(B2972)/TotalEtapas,0)),"")</f>
        <v/>
      </c>
      <c r="E2973" t="str">
        <f>IFERROR(VLOOKUP(tbEscolas[[#This Row],[COD ETPA]],tbEtapas[],2,FALSE),"")</f>
        <v/>
      </c>
      <c r="F2973" t="str">
        <f>IFERROR(VLOOKUP(tbEscolas[[#This Row],[COD ETPA]],tbEtapas[],3,FALSE),"")</f>
        <v/>
      </c>
    </row>
    <row r="2974" spans="1:6" x14ac:dyDescent="0.25">
      <c r="A2974" s="24" t="str">
        <f>_xlfn.XLOOKUP(tbEscolas[[#This Row],[ESCOLA]],tbNucleo[ESCOLA],tbNucleo[COD ESCOLA],"")</f>
        <v/>
      </c>
      <c r="B2974" t="str" cm="1">
        <f t="array" ref="B2974">IFERROR(INDEX(tbNucleo[ESCOLA],ROUNDUP(ROW(B2973)/TotalEtapas,0)),"")</f>
        <v/>
      </c>
      <c r="E2974" t="str">
        <f>IFERROR(VLOOKUP(tbEscolas[[#This Row],[COD ETPA]],tbEtapas[],2,FALSE),"")</f>
        <v/>
      </c>
      <c r="F2974" t="str">
        <f>IFERROR(VLOOKUP(tbEscolas[[#This Row],[COD ETPA]],tbEtapas[],3,FALSE),"")</f>
        <v/>
      </c>
    </row>
    <row r="2975" spans="1:6" x14ac:dyDescent="0.25">
      <c r="A2975" s="24" t="str">
        <f>_xlfn.XLOOKUP(tbEscolas[[#This Row],[ESCOLA]],tbNucleo[ESCOLA],tbNucleo[COD ESCOLA],"")</f>
        <v/>
      </c>
      <c r="B2975" t="str" cm="1">
        <f t="array" ref="B2975">IFERROR(INDEX(tbNucleo[ESCOLA],ROUNDUP(ROW(B2974)/TotalEtapas,0)),"")</f>
        <v/>
      </c>
      <c r="E2975" t="str">
        <f>IFERROR(VLOOKUP(tbEscolas[[#This Row],[COD ETPA]],tbEtapas[],2,FALSE),"")</f>
        <v/>
      </c>
      <c r="F2975" t="str">
        <f>IFERROR(VLOOKUP(tbEscolas[[#This Row],[COD ETPA]],tbEtapas[],3,FALSE),"")</f>
        <v/>
      </c>
    </row>
    <row r="2976" spans="1:6" x14ac:dyDescent="0.25">
      <c r="A2976" s="24" t="str">
        <f>_xlfn.XLOOKUP(tbEscolas[[#This Row],[ESCOLA]],tbNucleo[ESCOLA],tbNucleo[COD ESCOLA],"")</f>
        <v/>
      </c>
      <c r="B2976" t="str" cm="1">
        <f t="array" ref="B2976">IFERROR(INDEX(tbNucleo[ESCOLA],ROUNDUP(ROW(B2975)/TotalEtapas,0)),"")</f>
        <v/>
      </c>
      <c r="E2976" t="str">
        <f>IFERROR(VLOOKUP(tbEscolas[[#This Row],[COD ETPA]],tbEtapas[],2,FALSE),"")</f>
        <v/>
      </c>
      <c r="F2976" t="str">
        <f>IFERROR(VLOOKUP(tbEscolas[[#This Row],[COD ETPA]],tbEtapas[],3,FALSE),"")</f>
        <v/>
      </c>
    </row>
    <row r="2977" spans="1:6" x14ac:dyDescent="0.25">
      <c r="A2977" s="24" t="str">
        <f>_xlfn.XLOOKUP(tbEscolas[[#This Row],[ESCOLA]],tbNucleo[ESCOLA],tbNucleo[COD ESCOLA],"")</f>
        <v/>
      </c>
      <c r="B2977" t="str" cm="1">
        <f t="array" ref="B2977">IFERROR(INDEX(tbNucleo[ESCOLA],ROUNDUP(ROW(B2976)/TotalEtapas,0)),"")</f>
        <v/>
      </c>
      <c r="E2977" t="str">
        <f>IFERROR(VLOOKUP(tbEscolas[[#This Row],[COD ETPA]],tbEtapas[],2,FALSE),"")</f>
        <v/>
      </c>
      <c r="F2977" t="str">
        <f>IFERROR(VLOOKUP(tbEscolas[[#This Row],[COD ETPA]],tbEtapas[],3,FALSE),"")</f>
        <v/>
      </c>
    </row>
    <row r="2978" spans="1:6" x14ac:dyDescent="0.25">
      <c r="A2978" s="24" t="str">
        <f>_xlfn.XLOOKUP(tbEscolas[[#This Row],[ESCOLA]],tbNucleo[ESCOLA],tbNucleo[COD ESCOLA],"")</f>
        <v/>
      </c>
      <c r="B2978" t="str" cm="1">
        <f t="array" ref="B2978">IFERROR(INDEX(tbNucleo[ESCOLA],ROUNDUP(ROW(B2977)/TotalEtapas,0)),"")</f>
        <v/>
      </c>
      <c r="E2978" t="str">
        <f>IFERROR(VLOOKUP(tbEscolas[[#This Row],[COD ETPA]],tbEtapas[],2,FALSE),"")</f>
        <v/>
      </c>
      <c r="F2978" t="str">
        <f>IFERROR(VLOOKUP(tbEscolas[[#This Row],[COD ETPA]],tbEtapas[],3,FALSE),"")</f>
        <v/>
      </c>
    </row>
    <row r="2979" spans="1:6" x14ac:dyDescent="0.25">
      <c r="A2979" s="24" t="str">
        <f>_xlfn.XLOOKUP(tbEscolas[[#This Row],[ESCOLA]],tbNucleo[ESCOLA],tbNucleo[COD ESCOLA],"")</f>
        <v/>
      </c>
      <c r="B2979" t="str" cm="1">
        <f t="array" ref="B2979">IFERROR(INDEX(tbNucleo[ESCOLA],ROUNDUP(ROW(B2978)/TotalEtapas,0)),"")</f>
        <v/>
      </c>
      <c r="E2979" t="str">
        <f>IFERROR(VLOOKUP(tbEscolas[[#This Row],[COD ETPA]],tbEtapas[],2,FALSE),"")</f>
        <v/>
      </c>
      <c r="F2979" t="str">
        <f>IFERROR(VLOOKUP(tbEscolas[[#This Row],[COD ETPA]],tbEtapas[],3,FALSE),"")</f>
        <v/>
      </c>
    </row>
    <row r="2980" spans="1:6" x14ac:dyDescent="0.25">
      <c r="A2980" s="24" t="str">
        <f>_xlfn.XLOOKUP(tbEscolas[[#This Row],[ESCOLA]],tbNucleo[ESCOLA],tbNucleo[COD ESCOLA],"")</f>
        <v/>
      </c>
      <c r="B2980" t="str" cm="1">
        <f t="array" ref="B2980">IFERROR(INDEX(tbNucleo[ESCOLA],ROUNDUP(ROW(B2979)/TotalEtapas,0)),"")</f>
        <v/>
      </c>
      <c r="E2980" t="str">
        <f>IFERROR(VLOOKUP(tbEscolas[[#This Row],[COD ETPA]],tbEtapas[],2,FALSE),"")</f>
        <v/>
      </c>
      <c r="F2980" t="str">
        <f>IFERROR(VLOOKUP(tbEscolas[[#This Row],[COD ETPA]],tbEtapas[],3,FALSE),"")</f>
        <v/>
      </c>
    </row>
    <row r="2981" spans="1:6" x14ac:dyDescent="0.25">
      <c r="A2981" s="24" t="str">
        <f>_xlfn.XLOOKUP(tbEscolas[[#This Row],[ESCOLA]],tbNucleo[ESCOLA],tbNucleo[COD ESCOLA],"")</f>
        <v/>
      </c>
      <c r="B2981" t="str" cm="1">
        <f t="array" ref="B2981">IFERROR(INDEX(tbNucleo[ESCOLA],ROUNDUP(ROW(B2980)/TotalEtapas,0)),"")</f>
        <v/>
      </c>
      <c r="E2981" t="str">
        <f>IFERROR(VLOOKUP(tbEscolas[[#This Row],[COD ETPA]],tbEtapas[],2,FALSE),"")</f>
        <v/>
      </c>
      <c r="F2981" t="str">
        <f>IFERROR(VLOOKUP(tbEscolas[[#This Row],[COD ETPA]],tbEtapas[],3,FALSE),"")</f>
        <v/>
      </c>
    </row>
    <row r="2982" spans="1:6" x14ac:dyDescent="0.25">
      <c r="A2982" s="24" t="str">
        <f>_xlfn.XLOOKUP(tbEscolas[[#This Row],[ESCOLA]],tbNucleo[ESCOLA],tbNucleo[COD ESCOLA],"")</f>
        <v/>
      </c>
      <c r="B2982" t="str" cm="1">
        <f t="array" ref="B2982">IFERROR(INDEX(tbNucleo[ESCOLA],ROUNDUP(ROW(B2981)/TotalEtapas,0)),"")</f>
        <v/>
      </c>
      <c r="E2982" t="str">
        <f>IFERROR(VLOOKUP(tbEscolas[[#This Row],[COD ETPA]],tbEtapas[],2,FALSE),"")</f>
        <v/>
      </c>
      <c r="F2982" t="str">
        <f>IFERROR(VLOOKUP(tbEscolas[[#This Row],[COD ETPA]],tbEtapas[],3,FALSE),"")</f>
        <v/>
      </c>
    </row>
    <row r="2983" spans="1:6" x14ac:dyDescent="0.25">
      <c r="A2983" s="24" t="str">
        <f>_xlfn.XLOOKUP(tbEscolas[[#This Row],[ESCOLA]],tbNucleo[ESCOLA],tbNucleo[COD ESCOLA],"")</f>
        <v/>
      </c>
      <c r="B2983" t="str" cm="1">
        <f t="array" ref="B2983">IFERROR(INDEX(tbNucleo[ESCOLA],ROUNDUP(ROW(B2982)/TotalEtapas,0)),"")</f>
        <v/>
      </c>
      <c r="E2983" t="str">
        <f>IFERROR(VLOOKUP(tbEscolas[[#This Row],[COD ETPA]],tbEtapas[],2,FALSE),"")</f>
        <v/>
      </c>
      <c r="F2983" t="str">
        <f>IFERROR(VLOOKUP(tbEscolas[[#This Row],[COD ETPA]],tbEtapas[],3,FALSE),"")</f>
        <v/>
      </c>
    </row>
    <row r="2984" spans="1:6" x14ac:dyDescent="0.25">
      <c r="A2984" s="24" t="str">
        <f>_xlfn.XLOOKUP(tbEscolas[[#This Row],[ESCOLA]],tbNucleo[ESCOLA],tbNucleo[COD ESCOLA],"")</f>
        <v/>
      </c>
      <c r="B2984" t="str" cm="1">
        <f t="array" ref="B2984">IFERROR(INDEX(tbNucleo[ESCOLA],ROUNDUP(ROW(B2983)/TotalEtapas,0)),"")</f>
        <v/>
      </c>
      <c r="E2984" t="str">
        <f>IFERROR(VLOOKUP(tbEscolas[[#This Row],[COD ETPA]],tbEtapas[],2,FALSE),"")</f>
        <v/>
      </c>
      <c r="F2984" t="str">
        <f>IFERROR(VLOOKUP(tbEscolas[[#This Row],[COD ETPA]],tbEtapas[],3,FALSE),"")</f>
        <v/>
      </c>
    </row>
    <row r="2985" spans="1:6" x14ac:dyDescent="0.25">
      <c r="A2985" s="24" t="str">
        <f>_xlfn.XLOOKUP(tbEscolas[[#This Row],[ESCOLA]],tbNucleo[ESCOLA],tbNucleo[COD ESCOLA],"")</f>
        <v/>
      </c>
      <c r="B2985" t="str" cm="1">
        <f t="array" ref="B2985">IFERROR(INDEX(tbNucleo[ESCOLA],ROUNDUP(ROW(B2984)/TotalEtapas,0)),"")</f>
        <v/>
      </c>
      <c r="E2985" t="str">
        <f>IFERROR(VLOOKUP(tbEscolas[[#This Row],[COD ETPA]],tbEtapas[],2,FALSE),"")</f>
        <v/>
      </c>
      <c r="F2985" t="str">
        <f>IFERROR(VLOOKUP(tbEscolas[[#This Row],[COD ETPA]],tbEtapas[],3,FALSE),"")</f>
        <v/>
      </c>
    </row>
    <row r="2986" spans="1:6" x14ac:dyDescent="0.25">
      <c r="A2986" s="24" t="str">
        <f>_xlfn.XLOOKUP(tbEscolas[[#This Row],[ESCOLA]],tbNucleo[ESCOLA],tbNucleo[COD ESCOLA],"")</f>
        <v/>
      </c>
      <c r="B2986" t="str" cm="1">
        <f t="array" ref="B2986">IFERROR(INDEX(tbNucleo[ESCOLA],ROUNDUP(ROW(B2985)/TotalEtapas,0)),"")</f>
        <v/>
      </c>
      <c r="E2986" t="str">
        <f>IFERROR(VLOOKUP(tbEscolas[[#This Row],[COD ETPA]],tbEtapas[],2,FALSE),"")</f>
        <v/>
      </c>
      <c r="F2986" t="str">
        <f>IFERROR(VLOOKUP(tbEscolas[[#This Row],[COD ETPA]],tbEtapas[],3,FALSE),"")</f>
        <v/>
      </c>
    </row>
    <row r="2987" spans="1:6" x14ac:dyDescent="0.25">
      <c r="A2987" s="24" t="str">
        <f>_xlfn.XLOOKUP(tbEscolas[[#This Row],[ESCOLA]],tbNucleo[ESCOLA],tbNucleo[COD ESCOLA],"")</f>
        <v/>
      </c>
      <c r="B2987" t="str" cm="1">
        <f t="array" ref="B2987">IFERROR(INDEX(tbNucleo[ESCOLA],ROUNDUP(ROW(B2986)/TotalEtapas,0)),"")</f>
        <v/>
      </c>
      <c r="E2987" t="str">
        <f>IFERROR(VLOOKUP(tbEscolas[[#This Row],[COD ETPA]],tbEtapas[],2,FALSE),"")</f>
        <v/>
      </c>
      <c r="F2987" t="str">
        <f>IFERROR(VLOOKUP(tbEscolas[[#This Row],[COD ETPA]],tbEtapas[],3,FALSE),"")</f>
        <v/>
      </c>
    </row>
    <row r="2988" spans="1:6" x14ac:dyDescent="0.25">
      <c r="A2988" s="24" t="str">
        <f>_xlfn.XLOOKUP(tbEscolas[[#This Row],[ESCOLA]],tbNucleo[ESCOLA],tbNucleo[COD ESCOLA],"")</f>
        <v/>
      </c>
      <c r="B2988" t="str" cm="1">
        <f t="array" ref="B2988">IFERROR(INDEX(tbNucleo[ESCOLA],ROUNDUP(ROW(B2987)/TotalEtapas,0)),"")</f>
        <v/>
      </c>
      <c r="E2988" t="str">
        <f>IFERROR(VLOOKUP(tbEscolas[[#This Row],[COD ETPA]],tbEtapas[],2,FALSE),"")</f>
        <v/>
      </c>
      <c r="F2988" t="str">
        <f>IFERROR(VLOOKUP(tbEscolas[[#This Row],[COD ETPA]],tbEtapas[],3,FALSE),"")</f>
        <v/>
      </c>
    </row>
    <row r="2989" spans="1:6" x14ac:dyDescent="0.25">
      <c r="A2989" s="24" t="str">
        <f>_xlfn.XLOOKUP(tbEscolas[[#This Row],[ESCOLA]],tbNucleo[ESCOLA],tbNucleo[COD ESCOLA],"")</f>
        <v/>
      </c>
      <c r="B2989" t="str" cm="1">
        <f t="array" ref="B2989">IFERROR(INDEX(tbNucleo[ESCOLA],ROUNDUP(ROW(B2988)/TotalEtapas,0)),"")</f>
        <v/>
      </c>
      <c r="E2989" t="str">
        <f>IFERROR(VLOOKUP(tbEscolas[[#This Row],[COD ETPA]],tbEtapas[],2,FALSE),"")</f>
        <v/>
      </c>
      <c r="F2989" t="str">
        <f>IFERROR(VLOOKUP(tbEscolas[[#This Row],[COD ETPA]],tbEtapas[],3,FALSE),"")</f>
        <v/>
      </c>
    </row>
    <row r="2990" spans="1:6" x14ac:dyDescent="0.25">
      <c r="A2990" s="24" t="str">
        <f>_xlfn.XLOOKUP(tbEscolas[[#This Row],[ESCOLA]],tbNucleo[ESCOLA],tbNucleo[COD ESCOLA],"")</f>
        <v/>
      </c>
      <c r="B2990" t="str" cm="1">
        <f t="array" ref="B2990">IFERROR(INDEX(tbNucleo[ESCOLA],ROUNDUP(ROW(B2989)/TotalEtapas,0)),"")</f>
        <v/>
      </c>
      <c r="E2990" t="str">
        <f>IFERROR(VLOOKUP(tbEscolas[[#This Row],[COD ETPA]],tbEtapas[],2,FALSE),"")</f>
        <v/>
      </c>
      <c r="F2990" t="str">
        <f>IFERROR(VLOOKUP(tbEscolas[[#This Row],[COD ETPA]],tbEtapas[],3,FALSE),"")</f>
        <v/>
      </c>
    </row>
    <row r="2991" spans="1:6" x14ac:dyDescent="0.25">
      <c r="A2991" s="24" t="str">
        <f>_xlfn.XLOOKUP(tbEscolas[[#This Row],[ESCOLA]],tbNucleo[ESCOLA],tbNucleo[COD ESCOLA],"")</f>
        <v/>
      </c>
      <c r="B2991" t="str" cm="1">
        <f t="array" ref="B2991">IFERROR(INDEX(tbNucleo[ESCOLA],ROUNDUP(ROW(B2990)/TotalEtapas,0)),"")</f>
        <v/>
      </c>
      <c r="E2991" t="str">
        <f>IFERROR(VLOOKUP(tbEscolas[[#This Row],[COD ETPA]],tbEtapas[],2,FALSE),"")</f>
        <v/>
      </c>
      <c r="F2991" t="str">
        <f>IFERROR(VLOOKUP(tbEscolas[[#This Row],[COD ETPA]],tbEtapas[],3,FALSE),"")</f>
        <v/>
      </c>
    </row>
    <row r="2992" spans="1:6" x14ac:dyDescent="0.25">
      <c r="A2992" s="24" t="str">
        <f>_xlfn.XLOOKUP(tbEscolas[[#This Row],[ESCOLA]],tbNucleo[ESCOLA],tbNucleo[COD ESCOLA],"")</f>
        <v/>
      </c>
      <c r="B2992" t="str" cm="1">
        <f t="array" ref="B2992">IFERROR(INDEX(tbNucleo[ESCOLA],ROUNDUP(ROW(B2991)/TotalEtapas,0)),"")</f>
        <v/>
      </c>
      <c r="E2992" t="str">
        <f>IFERROR(VLOOKUP(tbEscolas[[#This Row],[COD ETPA]],tbEtapas[],2,FALSE),"")</f>
        <v/>
      </c>
      <c r="F2992" t="str">
        <f>IFERROR(VLOOKUP(tbEscolas[[#This Row],[COD ETPA]],tbEtapas[],3,FALSE),"")</f>
        <v/>
      </c>
    </row>
    <row r="2993" spans="1:6" x14ac:dyDescent="0.25">
      <c r="A2993" s="24" t="str">
        <f>_xlfn.XLOOKUP(tbEscolas[[#This Row],[ESCOLA]],tbNucleo[ESCOLA],tbNucleo[COD ESCOLA],"")</f>
        <v/>
      </c>
      <c r="B2993" t="str" cm="1">
        <f t="array" ref="B2993">IFERROR(INDEX(tbNucleo[ESCOLA],ROUNDUP(ROW(B2992)/TotalEtapas,0)),"")</f>
        <v/>
      </c>
      <c r="E2993" t="str">
        <f>IFERROR(VLOOKUP(tbEscolas[[#This Row],[COD ETPA]],tbEtapas[],2,FALSE),"")</f>
        <v/>
      </c>
      <c r="F2993" t="str">
        <f>IFERROR(VLOOKUP(tbEscolas[[#This Row],[COD ETPA]],tbEtapas[],3,FALSE),"")</f>
        <v/>
      </c>
    </row>
    <row r="2994" spans="1:6" x14ac:dyDescent="0.25">
      <c r="A2994" s="24" t="str">
        <f>_xlfn.XLOOKUP(tbEscolas[[#This Row],[ESCOLA]],tbNucleo[ESCOLA],tbNucleo[COD ESCOLA],"")</f>
        <v/>
      </c>
      <c r="B2994" t="str" cm="1">
        <f t="array" ref="B2994">IFERROR(INDEX(tbNucleo[ESCOLA],ROUNDUP(ROW(B2993)/TotalEtapas,0)),"")</f>
        <v/>
      </c>
      <c r="E2994" t="str">
        <f>IFERROR(VLOOKUP(tbEscolas[[#This Row],[COD ETPA]],tbEtapas[],2,FALSE),"")</f>
        <v/>
      </c>
      <c r="F2994" t="str">
        <f>IFERROR(VLOOKUP(tbEscolas[[#This Row],[COD ETPA]],tbEtapas[],3,FALSE),"")</f>
        <v/>
      </c>
    </row>
    <row r="2995" spans="1:6" x14ac:dyDescent="0.25">
      <c r="A2995" s="24" t="str">
        <f>_xlfn.XLOOKUP(tbEscolas[[#This Row],[ESCOLA]],tbNucleo[ESCOLA],tbNucleo[COD ESCOLA],"")</f>
        <v/>
      </c>
      <c r="B2995" t="str" cm="1">
        <f t="array" ref="B2995">IFERROR(INDEX(tbNucleo[ESCOLA],ROUNDUP(ROW(B2994)/TotalEtapas,0)),"")</f>
        <v/>
      </c>
      <c r="E2995" t="str">
        <f>IFERROR(VLOOKUP(tbEscolas[[#This Row],[COD ETPA]],tbEtapas[],2,FALSE),"")</f>
        <v/>
      </c>
      <c r="F2995" t="str">
        <f>IFERROR(VLOOKUP(tbEscolas[[#This Row],[COD ETPA]],tbEtapas[],3,FALSE),"")</f>
        <v/>
      </c>
    </row>
    <row r="2996" spans="1:6" x14ac:dyDescent="0.25">
      <c r="A2996" s="24" t="str">
        <f>_xlfn.XLOOKUP(tbEscolas[[#This Row],[ESCOLA]],tbNucleo[ESCOLA],tbNucleo[COD ESCOLA],"")</f>
        <v/>
      </c>
      <c r="B2996" t="str" cm="1">
        <f t="array" ref="B2996">IFERROR(INDEX(tbNucleo[ESCOLA],ROUNDUP(ROW(B2995)/TotalEtapas,0)),"")</f>
        <v/>
      </c>
      <c r="E2996" t="str">
        <f>IFERROR(VLOOKUP(tbEscolas[[#This Row],[COD ETPA]],tbEtapas[],2,FALSE),"")</f>
        <v/>
      </c>
      <c r="F2996" t="str">
        <f>IFERROR(VLOOKUP(tbEscolas[[#This Row],[COD ETPA]],tbEtapas[],3,FALSE),"")</f>
        <v/>
      </c>
    </row>
    <row r="2997" spans="1:6" x14ac:dyDescent="0.25">
      <c r="A2997" s="24" t="str">
        <f>_xlfn.XLOOKUP(tbEscolas[[#This Row],[ESCOLA]],tbNucleo[ESCOLA],tbNucleo[COD ESCOLA],"")</f>
        <v/>
      </c>
      <c r="B2997" t="str" cm="1">
        <f t="array" ref="B2997">IFERROR(INDEX(tbNucleo[ESCOLA],ROUNDUP(ROW(B2996)/TotalEtapas,0)),"")</f>
        <v/>
      </c>
      <c r="E2997" t="str">
        <f>IFERROR(VLOOKUP(tbEscolas[[#This Row],[COD ETPA]],tbEtapas[],2,FALSE),"")</f>
        <v/>
      </c>
      <c r="F2997" t="str">
        <f>IFERROR(VLOOKUP(tbEscolas[[#This Row],[COD ETPA]],tbEtapas[],3,FALSE),"")</f>
        <v/>
      </c>
    </row>
    <row r="2998" spans="1:6" x14ac:dyDescent="0.25">
      <c r="A2998" s="24" t="str">
        <f>_xlfn.XLOOKUP(tbEscolas[[#This Row],[ESCOLA]],tbNucleo[ESCOLA],tbNucleo[COD ESCOLA],"")</f>
        <v/>
      </c>
      <c r="B2998" t="str" cm="1">
        <f t="array" ref="B2998">IFERROR(INDEX(tbNucleo[ESCOLA],ROUNDUP(ROW(B2997)/TotalEtapas,0)),"")</f>
        <v/>
      </c>
      <c r="E2998" t="str">
        <f>IFERROR(VLOOKUP(tbEscolas[[#This Row],[COD ETPA]],tbEtapas[],2,FALSE),"")</f>
        <v/>
      </c>
      <c r="F2998" t="str">
        <f>IFERROR(VLOOKUP(tbEscolas[[#This Row],[COD ETPA]],tbEtapas[],3,FALSE),"")</f>
        <v/>
      </c>
    </row>
    <row r="2999" spans="1:6" x14ac:dyDescent="0.25">
      <c r="A2999" s="24" t="str">
        <f>_xlfn.XLOOKUP(tbEscolas[[#This Row],[ESCOLA]],tbNucleo[ESCOLA],tbNucleo[COD ESCOLA],"")</f>
        <v/>
      </c>
      <c r="B2999" t="str" cm="1">
        <f t="array" ref="B2999">IFERROR(INDEX(tbNucleo[ESCOLA],ROUNDUP(ROW(B2998)/TotalEtapas,0)),"")</f>
        <v/>
      </c>
      <c r="E2999" t="str">
        <f>IFERROR(VLOOKUP(tbEscolas[[#This Row],[COD ETPA]],tbEtapas[],2,FALSE),"")</f>
        <v/>
      </c>
      <c r="F2999" t="str">
        <f>IFERROR(VLOOKUP(tbEscolas[[#This Row],[COD ETPA]],tbEtapas[],3,FALSE),"")</f>
        <v/>
      </c>
    </row>
    <row r="3000" spans="1:6" x14ac:dyDescent="0.25">
      <c r="A3000" s="24" t="str">
        <f>_xlfn.XLOOKUP(tbEscolas[[#This Row],[ESCOLA]],tbNucleo[ESCOLA],tbNucleo[COD ESCOLA],"")</f>
        <v/>
      </c>
      <c r="B3000" t="str" cm="1">
        <f t="array" ref="B3000">IFERROR(INDEX(tbNucleo[ESCOLA],ROUNDUP(ROW(B2999)/TotalEtapas,0)),"")</f>
        <v/>
      </c>
      <c r="E3000" t="str">
        <f>IFERROR(VLOOKUP(tbEscolas[[#This Row],[COD ETPA]],tbEtapas[],2,FALSE),"")</f>
        <v/>
      </c>
      <c r="F3000" t="str">
        <f>IFERROR(VLOOKUP(tbEscolas[[#This Row],[COD ETPA]],tbEtapas[],3,FALSE),"")</f>
        <v/>
      </c>
    </row>
    <row r="3001" spans="1:6" x14ac:dyDescent="0.25">
      <c r="A3001" s="24" t="str">
        <f>_xlfn.XLOOKUP(tbEscolas[[#This Row],[ESCOLA]],tbNucleo[ESCOLA],tbNucleo[COD ESCOLA],"")</f>
        <v/>
      </c>
      <c r="B3001" t="str" cm="1">
        <f t="array" ref="B3001">IFERROR(INDEX(tbNucleo[ESCOLA],ROUNDUP(ROW(B3000)/TotalEtapas,0)),"")</f>
        <v/>
      </c>
      <c r="E3001" t="str">
        <f>IFERROR(VLOOKUP(tbEscolas[[#This Row],[COD ETPA]],tbEtapas[],2,FALSE),"")</f>
        <v/>
      </c>
      <c r="F3001" t="str">
        <f>IFERROR(VLOOKUP(tbEscolas[[#This Row],[COD ETPA]],tbEtapas[],3,FALSE),"")</f>
        <v/>
      </c>
    </row>
    <row r="3002" spans="1:6" x14ac:dyDescent="0.25">
      <c r="A3002" s="24" t="str">
        <f>_xlfn.XLOOKUP(tbEscolas[[#This Row],[ESCOLA]],tbNucleo[ESCOLA],tbNucleo[COD ESCOLA],"")</f>
        <v/>
      </c>
      <c r="B3002" t="str" cm="1">
        <f t="array" ref="B3002">IFERROR(INDEX(tbNucleo[ESCOLA],ROUNDUP(ROW(B3001)/TotalEtapas,0)),"")</f>
        <v/>
      </c>
      <c r="E3002" t="str">
        <f>IFERROR(VLOOKUP(tbEscolas[[#This Row],[COD ETPA]],tbEtapas[],2,FALSE),"")</f>
        <v/>
      </c>
      <c r="F3002" t="str">
        <f>IFERROR(VLOOKUP(tbEscolas[[#This Row],[COD ETPA]],tbEtapas[],3,FALSE),"")</f>
        <v/>
      </c>
    </row>
    <row r="3003" spans="1:6" x14ac:dyDescent="0.25">
      <c r="A3003" s="24" t="str">
        <f>_xlfn.XLOOKUP(tbEscolas[[#This Row],[ESCOLA]],tbNucleo[ESCOLA],tbNucleo[COD ESCOLA],"")</f>
        <v/>
      </c>
      <c r="B3003" t="str" cm="1">
        <f t="array" ref="B3003">IFERROR(INDEX(tbNucleo[ESCOLA],ROUNDUP(ROW(B3002)/TotalEtapas,0)),"")</f>
        <v/>
      </c>
      <c r="E3003" t="str">
        <f>IFERROR(VLOOKUP(tbEscolas[[#This Row],[COD ETPA]],tbEtapas[],2,FALSE),"")</f>
        <v/>
      </c>
      <c r="F3003" t="str">
        <f>IFERROR(VLOOKUP(tbEscolas[[#This Row],[COD ETPA]],tbEtapas[],3,FALSE),"")</f>
        <v/>
      </c>
    </row>
    <row r="3004" spans="1:6" x14ac:dyDescent="0.25">
      <c r="A3004" s="24" t="str">
        <f>_xlfn.XLOOKUP(tbEscolas[[#This Row],[ESCOLA]],tbNucleo[ESCOLA],tbNucleo[COD ESCOLA],"")</f>
        <v/>
      </c>
      <c r="B3004" t="str" cm="1">
        <f t="array" ref="B3004">IFERROR(INDEX(tbNucleo[ESCOLA],ROUNDUP(ROW(B3003)/TotalEtapas,0)),"")</f>
        <v/>
      </c>
      <c r="E3004" t="str">
        <f>IFERROR(VLOOKUP(tbEscolas[[#This Row],[COD ETPA]],tbEtapas[],2,FALSE),"")</f>
        <v/>
      </c>
      <c r="F3004" t="str">
        <f>IFERROR(VLOOKUP(tbEscolas[[#This Row],[COD ETPA]],tbEtapas[],3,FALSE),"")</f>
        <v/>
      </c>
    </row>
    <row r="3005" spans="1:6" x14ac:dyDescent="0.25">
      <c r="A3005" s="24" t="str">
        <f>_xlfn.XLOOKUP(tbEscolas[[#This Row],[ESCOLA]],tbNucleo[ESCOLA],tbNucleo[COD ESCOLA],"")</f>
        <v/>
      </c>
      <c r="B3005" t="str" cm="1">
        <f t="array" ref="B3005">IFERROR(INDEX(tbNucleo[ESCOLA],ROUNDUP(ROW(B3004)/TotalEtapas,0)),"")</f>
        <v/>
      </c>
      <c r="E3005" t="str">
        <f>IFERROR(VLOOKUP(tbEscolas[[#This Row],[COD ETPA]],tbEtapas[],2,FALSE),"")</f>
        <v/>
      </c>
      <c r="F3005" t="str">
        <f>IFERROR(VLOOKUP(tbEscolas[[#This Row],[COD ETPA]],tbEtapas[],3,FALSE),"")</f>
        <v/>
      </c>
    </row>
    <row r="3006" spans="1:6" x14ac:dyDescent="0.25">
      <c r="A3006" s="24" t="str">
        <f>_xlfn.XLOOKUP(tbEscolas[[#This Row],[ESCOLA]],tbNucleo[ESCOLA],tbNucleo[COD ESCOLA],"")</f>
        <v/>
      </c>
      <c r="B3006" t="str" cm="1">
        <f t="array" ref="B3006">IFERROR(INDEX(tbNucleo[ESCOLA],ROUNDUP(ROW(B3005)/TotalEtapas,0)),"")</f>
        <v/>
      </c>
      <c r="E3006" t="str">
        <f>IFERROR(VLOOKUP(tbEscolas[[#This Row],[COD ETPA]],tbEtapas[],2,FALSE),"")</f>
        <v/>
      </c>
      <c r="F3006" t="str">
        <f>IFERROR(VLOOKUP(tbEscolas[[#This Row],[COD ETPA]],tbEtapas[],3,FALSE),"")</f>
        <v/>
      </c>
    </row>
    <row r="3007" spans="1:6" x14ac:dyDescent="0.25">
      <c r="A3007" s="24" t="str">
        <f>_xlfn.XLOOKUP(tbEscolas[[#This Row],[ESCOLA]],tbNucleo[ESCOLA],tbNucleo[COD ESCOLA],"")</f>
        <v/>
      </c>
      <c r="B3007" t="str" cm="1">
        <f t="array" ref="B3007">IFERROR(INDEX(tbNucleo[ESCOLA],ROUNDUP(ROW(B3006)/TotalEtapas,0)),"")</f>
        <v/>
      </c>
      <c r="E3007" t="str">
        <f>IFERROR(VLOOKUP(tbEscolas[[#This Row],[COD ETPA]],tbEtapas[],2,FALSE),"")</f>
        <v/>
      </c>
      <c r="F3007" t="str">
        <f>IFERROR(VLOOKUP(tbEscolas[[#This Row],[COD ETPA]],tbEtapas[],3,FALSE),"")</f>
        <v/>
      </c>
    </row>
    <row r="3008" spans="1:6" x14ac:dyDescent="0.25">
      <c r="A3008" s="24" t="str">
        <f>_xlfn.XLOOKUP(tbEscolas[[#This Row],[ESCOLA]],tbNucleo[ESCOLA],tbNucleo[COD ESCOLA],"")</f>
        <v/>
      </c>
      <c r="B3008" t="str" cm="1">
        <f t="array" ref="B3008">IFERROR(INDEX(tbNucleo[ESCOLA],ROUNDUP(ROW(B3007)/TotalEtapas,0)),"")</f>
        <v/>
      </c>
      <c r="E3008" t="str">
        <f>IFERROR(VLOOKUP(tbEscolas[[#This Row],[COD ETPA]],tbEtapas[],2,FALSE),"")</f>
        <v/>
      </c>
      <c r="F3008" t="str">
        <f>IFERROR(VLOOKUP(tbEscolas[[#This Row],[COD ETPA]],tbEtapas[],3,FALSE),"")</f>
        <v/>
      </c>
    </row>
    <row r="3009" spans="1:6" x14ac:dyDescent="0.25">
      <c r="A3009" s="24" t="str">
        <f>_xlfn.XLOOKUP(tbEscolas[[#This Row],[ESCOLA]],tbNucleo[ESCOLA],tbNucleo[COD ESCOLA],"")</f>
        <v/>
      </c>
      <c r="B3009" t="str" cm="1">
        <f t="array" ref="B3009">IFERROR(INDEX(tbNucleo[ESCOLA],ROUNDUP(ROW(B3008)/TotalEtapas,0)),"")</f>
        <v/>
      </c>
      <c r="E3009" t="str">
        <f>IFERROR(VLOOKUP(tbEscolas[[#This Row],[COD ETPA]],tbEtapas[],2,FALSE),"")</f>
        <v/>
      </c>
      <c r="F3009" t="str">
        <f>IFERROR(VLOOKUP(tbEscolas[[#This Row],[COD ETPA]],tbEtapas[],3,FALSE),"")</f>
        <v/>
      </c>
    </row>
    <row r="3010" spans="1:6" x14ac:dyDescent="0.25">
      <c r="A3010" s="24" t="str">
        <f>_xlfn.XLOOKUP(tbEscolas[[#This Row],[ESCOLA]],tbNucleo[ESCOLA],tbNucleo[COD ESCOLA],"")</f>
        <v/>
      </c>
      <c r="B3010" t="str" cm="1">
        <f t="array" ref="B3010">IFERROR(INDEX(tbNucleo[ESCOLA],ROUNDUP(ROW(B3009)/TotalEtapas,0)),"")</f>
        <v/>
      </c>
      <c r="E3010" t="str">
        <f>IFERROR(VLOOKUP(tbEscolas[[#This Row],[COD ETPA]],tbEtapas[],2,FALSE),"")</f>
        <v/>
      </c>
      <c r="F3010" t="str">
        <f>IFERROR(VLOOKUP(tbEscolas[[#This Row],[COD ETPA]],tbEtapas[],3,FALSE),"")</f>
        <v/>
      </c>
    </row>
    <row r="3011" spans="1:6" x14ac:dyDescent="0.25">
      <c r="A3011" s="24" t="str">
        <f>_xlfn.XLOOKUP(tbEscolas[[#This Row],[ESCOLA]],tbNucleo[ESCOLA],tbNucleo[COD ESCOLA],"")</f>
        <v/>
      </c>
      <c r="B3011" t="str" cm="1">
        <f t="array" ref="B3011">IFERROR(INDEX(tbNucleo[ESCOLA],ROUNDUP(ROW(B3010)/TotalEtapas,0)),"")</f>
        <v/>
      </c>
      <c r="E3011" t="str">
        <f>IFERROR(VLOOKUP(tbEscolas[[#This Row],[COD ETPA]],tbEtapas[],2,FALSE),"")</f>
        <v/>
      </c>
      <c r="F3011" t="str">
        <f>IFERROR(VLOOKUP(tbEscolas[[#This Row],[COD ETPA]],tbEtapas[],3,FALSE),"")</f>
        <v/>
      </c>
    </row>
    <row r="3012" spans="1:6" x14ac:dyDescent="0.25">
      <c r="A3012" s="24" t="str">
        <f>_xlfn.XLOOKUP(tbEscolas[[#This Row],[ESCOLA]],tbNucleo[ESCOLA],tbNucleo[COD ESCOLA],"")</f>
        <v/>
      </c>
      <c r="B3012" t="str" cm="1">
        <f t="array" ref="B3012">IFERROR(INDEX(tbNucleo[ESCOLA],ROUNDUP(ROW(B3011)/TotalEtapas,0)),"")</f>
        <v/>
      </c>
      <c r="E3012" t="str">
        <f>IFERROR(VLOOKUP(tbEscolas[[#This Row],[COD ETPA]],tbEtapas[],2,FALSE),"")</f>
        <v/>
      </c>
      <c r="F3012" t="str">
        <f>IFERROR(VLOOKUP(tbEscolas[[#This Row],[COD ETPA]],tbEtapas[],3,FALSE),"")</f>
        <v/>
      </c>
    </row>
    <row r="3013" spans="1:6" x14ac:dyDescent="0.25">
      <c r="A3013" s="24" t="str">
        <f>_xlfn.XLOOKUP(tbEscolas[[#This Row],[ESCOLA]],tbNucleo[ESCOLA],tbNucleo[COD ESCOLA],"")</f>
        <v/>
      </c>
      <c r="B3013" t="str" cm="1">
        <f t="array" ref="B3013">IFERROR(INDEX(tbNucleo[ESCOLA],ROUNDUP(ROW(B3012)/TotalEtapas,0)),"")</f>
        <v/>
      </c>
      <c r="E3013" t="str">
        <f>IFERROR(VLOOKUP(tbEscolas[[#This Row],[COD ETPA]],tbEtapas[],2,FALSE),"")</f>
        <v/>
      </c>
      <c r="F3013" t="str">
        <f>IFERROR(VLOOKUP(tbEscolas[[#This Row],[COD ETPA]],tbEtapas[],3,FALSE),"")</f>
        <v/>
      </c>
    </row>
    <row r="3014" spans="1:6" x14ac:dyDescent="0.25">
      <c r="A3014" s="24" t="str">
        <f>_xlfn.XLOOKUP(tbEscolas[[#This Row],[ESCOLA]],tbNucleo[ESCOLA],tbNucleo[COD ESCOLA],"")</f>
        <v/>
      </c>
      <c r="B3014" t="str" cm="1">
        <f t="array" ref="B3014">IFERROR(INDEX(tbNucleo[ESCOLA],ROUNDUP(ROW(B3013)/TotalEtapas,0)),"")</f>
        <v/>
      </c>
      <c r="E3014" t="str">
        <f>IFERROR(VLOOKUP(tbEscolas[[#This Row],[COD ETPA]],tbEtapas[],2,FALSE),"")</f>
        <v/>
      </c>
      <c r="F3014" t="str">
        <f>IFERROR(VLOOKUP(tbEscolas[[#This Row],[COD ETPA]],tbEtapas[],3,FALSE),"")</f>
        <v/>
      </c>
    </row>
    <row r="3015" spans="1:6" x14ac:dyDescent="0.25">
      <c r="A3015" s="24" t="str">
        <f>_xlfn.XLOOKUP(tbEscolas[[#This Row],[ESCOLA]],tbNucleo[ESCOLA],tbNucleo[COD ESCOLA],"")</f>
        <v/>
      </c>
      <c r="B3015" t="str" cm="1">
        <f t="array" ref="B3015">IFERROR(INDEX(tbNucleo[ESCOLA],ROUNDUP(ROW(B3014)/TotalEtapas,0)),"")</f>
        <v/>
      </c>
      <c r="E3015" t="str">
        <f>IFERROR(VLOOKUP(tbEscolas[[#This Row],[COD ETPA]],tbEtapas[],2,FALSE),"")</f>
        <v/>
      </c>
      <c r="F3015" t="str">
        <f>IFERROR(VLOOKUP(tbEscolas[[#This Row],[COD ETPA]],tbEtapas[],3,FALSE),"")</f>
        <v/>
      </c>
    </row>
    <row r="3016" spans="1:6" x14ac:dyDescent="0.25">
      <c r="A3016" s="24" t="str">
        <f>_xlfn.XLOOKUP(tbEscolas[[#This Row],[ESCOLA]],tbNucleo[ESCOLA],tbNucleo[COD ESCOLA],"")</f>
        <v/>
      </c>
      <c r="B3016" t="str" cm="1">
        <f t="array" ref="B3016">IFERROR(INDEX(tbNucleo[ESCOLA],ROUNDUP(ROW(B3015)/TotalEtapas,0)),"")</f>
        <v/>
      </c>
      <c r="E3016" t="str">
        <f>IFERROR(VLOOKUP(tbEscolas[[#This Row],[COD ETPA]],tbEtapas[],2,FALSE),"")</f>
        <v/>
      </c>
      <c r="F3016" t="str">
        <f>IFERROR(VLOOKUP(tbEscolas[[#This Row],[COD ETPA]],tbEtapas[],3,FALSE),"")</f>
        <v/>
      </c>
    </row>
    <row r="3017" spans="1:6" x14ac:dyDescent="0.25">
      <c r="A3017" s="24" t="str">
        <f>_xlfn.XLOOKUP(tbEscolas[[#This Row],[ESCOLA]],tbNucleo[ESCOLA],tbNucleo[COD ESCOLA],"")</f>
        <v/>
      </c>
      <c r="B3017" t="str" cm="1">
        <f t="array" ref="B3017">IFERROR(INDEX(tbNucleo[ESCOLA],ROUNDUP(ROW(B3016)/TotalEtapas,0)),"")</f>
        <v/>
      </c>
      <c r="E3017" t="str">
        <f>IFERROR(VLOOKUP(tbEscolas[[#This Row],[COD ETPA]],tbEtapas[],2,FALSE),"")</f>
        <v/>
      </c>
      <c r="F3017" t="str">
        <f>IFERROR(VLOOKUP(tbEscolas[[#This Row],[COD ETPA]],tbEtapas[],3,FALSE),"")</f>
        <v/>
      </c>
    </row>
    <row r="3018" spans="1:6" x14ac:dyDescent="0.25">
      <c r="A3018" s="24" t="str">
        <f>_xlfn.XLOOKUP(tbEscolas[[#This Row],[ESCOLA]],tbNucleo[ESCOLA],tbNucleo[COD ESCOLA],"")</f>
        <v/>
      </c>
      <c r="B3018" t="str" cm="1">
        <f t="array" ref="B3018">IFERROR(INDEX(tbNucleo[ESCOLA],ROUNDUP(ROW(B3017)/TotalEtapas,0)),"")</f>
        <v/>
      </c>
      <c r="E3018" t="str">
        <f>IFERROR(VLOOKUP(tbEscolas[[#This Row],[COD ETPA]],tbEtapas[],2,FALSE),"")</f>
        <v/>
      </c>
      <c r="F3018" t="str">
        <f>IFERROR(VLOOKUP(tbEscolas[[#This Row],[COD ETPA]],tbEtapas[],3,FALSE),"")</f>
        <v/>
      </c>
    </row>
    <row r="3019" spans="1:6" x14ac:dyDescent="0.25">
      <c r="A3019" s="24" t="str">
        <f>_xlfn.XLOOKUP(tbEscolas[[#This Row],[ESCOLA]],tbNucleo[ESCOLA],tbNucleo[COD ESCOLA],"")</f>
        <v/>
      </c>
      <c r="B3019" t="str" cm="1">
        <f t="array" ref="B3019">IFERROR(INDEX(tbNucleo[ESCOLA],ROUNDUP(ROW(B3018)/TotalEtapas,0)),"")</f>
        <v/>
      </c>
      <c r="E3019" t="str">
        <f>IFERROR(VLOOKUP(tbEscolas[[#This Row],[COD ETPA]],tbEtapas[],2,FALSE),"")</f>
        <v/>
      </c>
      <c r="F3019" t="str">
        <f>IFERROR(VLOOKUP(tbEscolas[[#This Row],[COD ETPA]],tbEtapas[],3,FALSE),"")</f>
        <v/>
      </c>
    </row>
    <row r="3020" spans="1:6" x14ac:dyDescent="0.25">
      <c r="A3020" s="24" t="str">
        <f>_xlfn.XLOOKUP(tbEscolas[[#This Row],[ESCOLA]],tbNucleo[ESCOLA],tbNucleo[COD ESCOLA],"")</f>
        <v/>
      </c>
      <c r="B3020" t="str" cm="1">
        <f t="array" ref="B3020">IFERROR(INDEX(tbNucleo[ESCOLA],ROUNDUP(ROW(B3019)/TotalEtapas,0)),"")</f>
        <v/>
      </c>
      <c r="E3020" t="str">
        <f>IFERROR(VLOOKUP(tbEscolas[[#This Row],[COD ETPA]],tbEtapas[],2,FALSE),"")</f>
        <v/>
      </c>
      <c r="F3020" t="str">
        <f>IFERROR(VLOOKUP(tbEscolas[[#This Row],[COD ETPA]],tbEtapas[],3,FALSE),"")</f>
        <v/>
      </c>
    </row>
    <row r="3021" spans="1:6" x14ac:dyDescent="0.25">
      <c r="A3021" s="24" t="str">
        <f>_xlfn.XLOOKUP(tbEscolas[[#This Row],[ESCOLA]],tbNucleo[ESCOLA],tbNucleo[COD ESCOLA],"")</f>
        <v/>
      </c>
      <c r="B3021" t="str" cm="1">
        <f t="array" ref="B3021">IFERROR(INDEX(tbNucleo[ESCOLA],ROUNDUP(ROW(B3020)/TotalEtapas,0)),"")</f>
        <v/>
      </c>
      <c r="E3021" t="str">
        <f>IFERROR(VLOOKUP(tbEscolas[[#This Row],[COD ETPA]],tbEtapas[],2,FALSE),"")</f>
        <v/>
      </c>
      <c r="F3021" t="str">
        <f>IFERROR(VLOOKUP(tbEscolas[[#This Row],[COD ETPA]],tbEtapas[],3,FALSE),"")</f>
        <v/>
      </c>
    </row>
    <row r="3022" spans="1:6" x14ac:dyDescent="0.25">
      <c r="A3022" s="24" t="str">
        <f>_xlfn.XLOOKUP(tbEscolas[[#This Row],[ESCOLA]],tbNucleo[ESCOLA],tbNucleo[COD ESCOLA],"")</f>
        <v/>
      </c>
      <c r="B3022" t="str" cm="1">
        <f t="array" ref="B3022">IFERROR(INDEX(tbNucleo[ESCOLA],ROUNDUP(ROW(B3021)/TotalEtapas,0)),"")</f>
        <v/>
      </c>
      <c r="E3022" t="str">
        <f>IFERROR(VLOOKUP(tbEscolas[[#This Row],[COD ETPA]],tbEtapas[],2,FALSE),"")</f>
        <v/>
      </c>
      <c r="F3022" t="str">
        <f>IFERROR(VLOOKUP(tbEscolas[[#This Row],[COD ETPA]],tbEtapas[],3,FALSE),"")</f>
        <v/>
      </c>
    </row>
    <row r="3023" spans="1:6" x14ac:dyDescent="0.25">
      <c r="A3023" s="24" t="str">
        <f>_xlfn.XLOOKUP(tbEscolas[[#This Row],[ESCOLA]],tbNucleo[ESCOLA],tbNucleo[COD ESCOLA],"")</f>
        <v/>
      </c>
      <c r="B3023" t="str" cm="1">
        <f t="array" ref="B3023">IFERROR(INDEX(tbNucleo[ESCOLA],ROUNDUP(ROW(B3022)/TotalEtapas,0)),"")</f>
        <v/>
      </c>
      <c r="E3023" t="str">
        <f>IFERROR(VLOOKUP(tbEscolas[[#This Row],[COD ETPA]],tbEtapas[],2,FALSE),"")</f>
        <v/>
      </c>
      <c r="F3023" t="str">
        <f>IFERROR(VLOOKUP(tbEscolas[[#This Row],[COD ETPA]],tbEtapas[],3,FALSE),"")</f>
        <v/>
      </c>
    </row>
    <row r="3024" spans="1:6" x14ac:dyDescent="0.25">
      <c r="A3024" s="24" t="str">
        <f>_xlfn.XLOOKUP(tbEscolas[[#This Row],[ESCOLA]],tbNucleo[ESCOLA],tbNucleo[COD ESCOLA],"")</f>
        <v/>
      </c>
      <c r="B3024" t="str" cm="1">
        <f t="array" ref="B3024">IFERROR(INDEX(tbNucleo[ESCOLA],ROUNDUP(ROW(B3023)/TotalEtapas,0)),"")</f>
        <v/>
      </c>
      <c r="E3024" t="str">
        <f>IFERROR(VLOOKUP(tbEscolas[[#This Row],[COD ETPA]],tbEtapas[],2,FALSE),"")</f>
        <v/>
      </c>
      <c r="F3024" t="str">
        <f>IFERROR(VLOOKUP(tbEscolas[[#This Row],[COD ETPA]],tbEtapas[],3,FALSE),"")</f>
        <v/>
      </c>
    </row>
    <row r="3025" spans="1:6" x14ac:dyDescent="0.25">
      <c r="A3025" s="24" t="str">
        <f>_xlfn.XLOOKUP(tbEscolas[[#This Row],[ESCOLA]],tbNucleo[ESCOLA],tbNucleo[COD ESCOLA],"")</f>
        <v/>
      </c>
      <c r="B3025" t="str" cm="1">
        <f t="array" ref="B3025">IFERROR(INDEX(tbNucleo[ESCOLA],ROUNDUP(ROW(B3024)/TotalEtapas,0)),"")</f>
        <v/>
      </c>
      <c r="E3025" t="str">
        <f>IFERROR(VLOOKUP(tbEscolas[[#This Row],[COD ETPA]],tbEtapas[],2,FALSE),"")</f>
        <v/>
      </c>
      <c r="F3025" t="str">
        <f>IFERROR(VLOOKUP(tbEscolas[[#This Row],[COD ETPA]],tbEtapas[],3,FALSE),"")</f>
        <v/>
      </c>
    </row>
    <row r="3026" spans="1:6" x14ac:dyDescent="0.25">
      <c r="A3026" s="24" t="str">
        <f>_xlfn.XLOOKUP(tbEscolas[[#This Row],[ESCOLA]],tbNucleo[ESCOLA],tbNucleo[COD ESCOLA],"")</f>
        <v/>
      </c>
      <c r="B3026" t="str" cm="1">
        <f t="array" ref="B3026">IFERROR(INDEX(tbNucleo[ESCOLA],ROUNDUP(ROW(B3025)/TotalEtapas,0)),"")</f>
        <v/>
      </c>
      <c r="E3026" t="str">
        <f>IFERROR(VLOOKUP(tbEscolas[[#This Row],[COD ETPA]],tbEtapas[],2,FALSE),"")</f>
        <v/>
      </c>
      <c r="F3026" t="str">
        <f>IFERROR(VLOOKUP(tbEscolas[[#This Row],[COD ETPA]],tbEtapas[],3,FALSE),"")</f>
        <v/>
      </c>
    </row>
    <row r="3027" spans="1:6" x14ac:dyDescent="0.25">
      <c r="A3027" s="24" t="str">
        <f>_xlfn.XLOOKUP(tbEscolas[[#This Row],[ESCOLA]],tbNucleo[ESCOLA],tbNucleo[COD ESCOLA],"")</f>
        <v/>
      </c>
      <c r="B3027" t="str" cm="1">
        <f t="array" ref="B3027">IFERROR(INDEX(tbNucleo[ESCOLA],ROUNDUP(ROW(B3026)/TotalEtapas,0)),"")</f>
        <v/>
      </c>
      <c r="E3027" t="str">
        <f>IFERROR(VLOOKUP(tbEscolas[[#This Row],[COD ETPA]],tbEtapas[],2,FALSE),"")</f>
        <v/>
      </c>
      <c r="F3027" t="str">
        <f>IFERROR(VLOOKUP(tbEscolas[[#This Row],[COD ETPA]],tbEtapas[],3,FALSE),"")</f>
        <v/>
      </c>
    </row>
    <row r="3028" spans="1:6" x14ac:dyDescent="0.25">
      <c r="A3028" s="24" t="str">
        <f>_xlfn.XLOOKUP(tbEscolas[[#This Row],[ESCOLA]],tbNucleo[ESCOLA],tbNucleo[COD ESCOLA],"")</f>
        <v/>
      </c>
      <c r="B3028" t="str" cm="1">
        <f t="array" ref="B3028">IFERROR(INDEX(tbNucleo[ESCOLA],ROUNDUP(ROW(B3027)/TotalEtapas,0)),"")</f>
        <v/>
      </c>
      <c r="E3028" t="str">
        <f>IFERROR(VLOOKUP(tbEscolas[[#This Row],[COD ETPA]],tbEtapas[],2,FALSE),"")</f>
        <v/>
      </c>
      <c r="F3028" t="str">
        <f>IFERROR(VLOOKUP(tbEscolas[[#This Row],[COD ETPA]],tbEtapas[],3,FALSE),"")</f>
        <v/>
      </c>
    </row>
    <row r="3029" spans="1:6" x14ac:dyDescent="0.25">
      <c r="A3029" s="24" t="str">
        <f>_xlfn.XLOOKUP(tbEscolas[[#This Row],[ESCOLA]],tbNucleo[ESCOLA],tbNucleo[COD ESCOLA],"")</f>
        <v/>
      </c>
      <c r="B3029" t="str" cm="1">
        <f t="array" ref="B3029">IFERROR(INDEX(tbNucleo[ESCOLA],ROUNDUP(ROW(B3028)/TotalEtapas,0)),"")</f>
        <v/>
      </c>
      <c r="E3029" t="str">
        <f>IFERROR(VLOOKUP(tbEscolas[[#This Row],[COD ETPA]],tbEtapas[],2,FALSE),"")</f>
        <v/>
      </c>
      <c r="F3029" t="str">
        <f>IFERROR(VLOOKUP(tbEscolas[[#This Row],[COD ETPA]],tbEtapas[],3,FALSE),"")</f>
        <v/>
      </c>
    </row>
    <row r="3030" spans="1:6" x14ac:dyDescent="0.25">
      <c r="A3030" s="24" t="str">
        <f>_xlfn.XLOOKUP(tbEscolas[[#This Row],[ESCOLA]],tbNucleo[ESCOLA],tbNucleo[COD ESCOLA],"")</f>
        <v/>
      </c>
      <c r="B3030" t="str" cm="1">
        <f t="array" ref="B3030">IFERROR(INDEX(tbNucleo[ESCOLA],ROUNDUP(ROW(B3029)/TotalEtapas,0)),"")</f>
        <v/>
      </c>
      <c r="E3030" t="str">
        <f>IFERROR(VLOOKUP(tbEscolas[[#This Row],[COD ETPA]],tbEtapas[],2,FALSE),"")</f>
        <v/>
      </c>
      <c r="F3030" t="str">
        <f>IFERROR(VLOOKUP(tbEscolas[[#This Row],[COD ETPA]],tbEtapas[],3,FALSE),"")</f>
        <v/>
      </c>
    </row>
    <row r="3031" spans="1:6" x14ac:dyDescent="0.25">
      <c r="A3031" s="24" t="str">
        <f>_xlfn.XLOOKUP(tbEscolas[[#This Row],[ESCOLA]],tbNucleo[ESCOLA],tbNucleo[COD ESCOLA],"")</f>
        <v/>
      </c>
      <c r="B3031" t="str" cm="1">
        <f t="array" ref="B3031">IFERROR(INDEX(tbNucleo[ESCOLA],ROUNDUP(ROW(B3030)/TotalEtapas,0)),"")</f>
        <v/>
      </c>
      <c r="E3031" t="str">
        <f>IFERROR(VLOOKUP(tbEscolas[[#This Row],[COD ETPA]],tbEtapas[],2,FALSE),"")</f>
        <v/>
      </c>
      <c r="F3031" t="str">
        <f>IFERROR(VLOOKUP(tbEscolas[[#This Row],[COD ETPA]],tbEtapas[],3,FALSE),"")</f>
        <v/>
      </c>
    </row>
    <row r="3032" spans="1:6" x14ac:dyDescent="0.25">
      <c r="A3032" s="24" t="str">
        <f>_xlfn.XLOOKUP(tbEscolas[[#This Row],[ESCOLA]],tbNucleo[ESCOLA],tbNucleo[COD ESCOLA],"")</f>
        <v/>
      </c>
      <c r="B3032" t="str" cm="1">
        <f t="array" ref="B3032">IFERROR(INDEX(tbNucleo[ESCOLA],ROUNDUP(ROW(B3031)/TotalEtapas,0)),"")</f>
        <v/>
      </c>
      <c r="E3032" t="str">
        <f>IFERROR(VLOOKUP(tbEscolas[[#This Row],[COD ETPA]],tbEtapas[],2,FALSE),"")</f>
        <v/>
      </c>
      <c r="F3032" t="str">
        <f>IFERROR(VLOOKUP(tbEscolas[[#This Row],[COD ETPA]],tbEtapas[],3,FALSE),"")</f>
        <v/>
      </c>
    </row>
    <row r="3033" spans="1:6" x14ac:dyDescent="0.25">
      <c r="A3033" s="24" t="str">
        <f>_xlfn.XLOOKUP(tbEscolas[[#This Row],[ESCOLA]],tbNucleo[ESCOLA],tbNucleo[COD ESCOLA],"")</f>
        <v/>
      </c>
      <c r="B3033" t="str" cm="1">
        <f t="array" ref="B3033">IFERROR(INDEX(tbNucleo[ESCOLA],ROUNDUP(ROW(B3032)/TotalEtapas,0)),"")</f>
        <v/>
      </c>
      <c r="E3033" t="str">
        <f>IFERROR(VLOOKUP(tbEscolas[[#This Row],[COD ETPA]],tbEtapas[],2,FALSE),"")</f>
        <v/>
      </c>
      <c r="F3033" t="str">
        <f>IFERROR(VLOOKUP(tbEscolas[[#This Row],[COD ETPA]],tbEtapas[],3,FALSE),"")</f>
        <v/>
      </c>
    </row>
    <row r="3034" spans="1:6" x14ac:dyDescent="0.25">
      <c r="A3034" s="24" t="str">
        <f>_xlfn.XLOOKUP(tbEscolas[[#This Row],[ESCOLA]],tbNucleo[ESCOLA],tbNucleo[COD ESCOLA],"")</f>
        <v/>
      </c>
      <c r="B3034" t="str" cm="1">
        <f t="array" ref="B3034">IFERROR(INDEX(tbNucleo[ESCOLA],ROUNDUP(ROW(B3033)/TotalEtapas,0)),"")</f>
        <v/>
      </c>
      <c r="E3034" t="str">
        <f>IFERROR(VLOOKUP(tbEscolas[[#This Row],[COD ETPA]],tbEtapas[],2,FALSE),"")</f>
        <v/>
      </c>
      <c r="F3034" t="str">
        <f>IFERROR(VLOOKUP(tbEscolas[[#This Row],[COD ETPA]],tbEtapas[],3,FALSE),"")</f>
        <v/>
      </c>
    </row>
    <row r="3035" spans="1:6" x14ac:dyDescent="0.25">
      <c r="A3035" s="24" t="str">
        <f>_xlfn.XLOOKUP(tbEscolas[[#This Row],[ESCOLA]],tbNucleo[ESCOLA],tbNucleo[COD ESCOLA],"")</f>
        <v/>
      </c>
      <c r="B3035" t="str" cm="1">
        <f t="array" ref="B3035">IFERROR(INDEX(tbNucleo[ESCOLA],ROUNDUP(ROW(B3034)/TotalEtapas,0)),"")</f>
        <v/>
      </c>
      <c r="E3035" t="str">
        <f>IFERROR(VLOOKUP(tbEscolas[[#This Row],[COD ETPA]],tbEtapas[],2,FALSE),"")</f>
        <v/>
      </c>
      <c r="F3035" t="str">
        <f>IFERROR(VLOOKUP(tbEscolas[[#This Row],[COD ETPA]],tbEtapas[],3,FALSE),"")</f>
        <v/>
      </c>
    </row>
    <row r="3036" spans="1:6" x14ac:dyDescent="0.25">
      <c r="A3036" s="24" t="str">
        <f>_xlfn.XLOOKUP(tbEscolas[[#This Row],[ESCOLA]],tbNucleo[ESCOLA],tbNucleo[COD ESCOLA],"")</f>
        <v/>
      </c>
      <c r="B3036" t="str" cm="1">
        <f t="array" ref="B3036">IFERROR(INDEX(tbNucleo[ESCOLA],ROUNDUP(ROW(B3035)/TotalEtapas,0)),"")</f>
        <v/>
      </c>
      <c r="E3036" t="str">
        <f>IFERROR(VLOOKUP(tbEscolas[[#This Row],[COD ETPA]],tbEtapas[],2,FALSE),"")</f>
        <v/>
      </c>
      <c r="F3036" t="str">
        <f>IFERROR(VLOOKUP(tbEscolas[[#This Row],[COD ETPA]],tbEtapas[],3,FALSE),"")</f>
        <v/>
      </c>
    </row>
    <row r="3037" spans="1:6" x14ac:dyDescent="0.25">
      <c r="A3037" s="24" t="str">
        <f>_xlfn.XLOOKUP(tbEscolas[[#This Row],[ESCOLA]],tbNucleo[ESCOLA],tbNucleo[COD ESCOLA],"")</f>
        <v/>
      </c>
      <c r="B3037" t="str" cm="1">
        <f t="array" ref="B3037">IFERROR(INDEX(tbNucleo[ESCOLA],ROUNDUP(ROW(B3036)/TotalEtapas,0)),"")</f>
        <v/>
      </c>
      <c r="E3037" t="str">
        <f>IFERROR(VLOOKUP(tbEscolas[[#This Row],[COD ETPA]],tbEtapas[],2,FALSE),"")</f>
        <v/>
      </c>
      <c r="F3037" t="str">
        <f>IFERROR(VLOOKUP(tbEscolas[[#This Row],[COD ETPA]],tbEtapas[],3,FALSE),"")</f>
        <v/>
      </c>
    </row>
    <row r="3038" spans="1:6" x14ac:dyDescent="0.25">
      <c r="A3038" s="24" t="str">
        <f>_xlfn.XLOOKUP(tbEscolas[[#This Row],[ESCOLA]],tbNucleo[ESCOLA],tbNucleo[COD ESCOLA],"")</f>
        <v/>
      </c>
      <c r="B3038" t="str" cm="1">
        <f t="array" ref="B3038">IFERROR(INDEX(tbNucleo[ESCOLA],ROUNDUP(ROW(B3037)/TotalEtapas,0)),"")</f>
        <v/>
      </c>
      <c r="E3038" t="str">
        <f>IFERROR(VLOOKUP(tbEscolas[[#This Row],[COD ETPA]],tbEtapas[],2,FALSE),"")</f>
        <v/>
      </c>
      <c r="F3038" t="str">
        <f>IFERROR(VLOOKUP(tbEscolas[[#This Row],[COD ETPA]],tbEtapas[],3,FALSE),"")</f>
        <v/>
      </c>
    </row>
    <row r="3039" spans="1:6" x14ac:dyDescent="0.25">
      <c r="A3039" s="24" t="str">
        <f>_xlfn.XLOOKUP(tbEscolas[[#This Row],[ESCOLA]],tbNucleo[ESCOLA],tbNucleo[COD ESCOLA],"")</f>
        <v/>
      </c>
      <c r="B3039" t="str" cm="1">
        <f t="array" ref="B3039">IFERROR(INDEX(tbNucleo[ESCOLA],ROUNDUP(ROW(B3038)/TotalEtapas,0)),"")</f>
        <v/>
      </c>
      <c r="E3039" t="str">
        <f>IFERROR(VLOOKUP(tbEscolas[[#This Row],[COD ETPA]],tbEtapas[],2,FALSE),"")</f>
        <v/>
      </c>
      <c r="F3039" t="str">
        <f>IFERROR(VLOOKUP(tbEscolas[[#This Row],[COD ETPA]],tbEtapas[],3,FALSE),"")</f>
        <v/>
      </c>
    </row>
    <row r="3040" spans="1:6" x14ac:dyDescent="0.25">
      <c r="A3040" s="24" t="str">
        <f>_xlfn.XLOOKUP(tbEscolas[[#This Row],[ESCOLA]],tbNucleo[ESCOLA],tbNucleo[COD ESCOLA],"")</f>
        <v/>
      </c>
      <c r="B3040" t="str" cm="1">
        <f t="array" ref="B3040">IFERROR(INDEX(tbNucleo[ESCOLA],ROUNDUP(ROW(B3039)/TotalEtapas,0)),"")</f>
        <v/>
      </c>
      <c r="E3040" t="str">
        <f>IFERROR(VLOOKUP(tbEscolas[[#This Row],[COD ETPA]],tbEtapas[],2,FALSE),"")</f>
        <v/>
      </c>
      <c r="F3040" t="str">
        <f>IFERROR(VLOOKUP(tbEscolas[[#This Row],[COD ETPA]],tbEtapas[],3,FALSE),"")</f>
        <v/>
      </c>
    </row>
    <row r="3041" spans="1:6" x14ac:dyDescent="0.25">
      <c r="A3041" s="24" t="str">
        <f>_xlfn.XLOOKUP(tbEscolas[[#This Row],[ESCOLA]],tbNucleo[ESCOLA],tbNucleo[COD ESCOLA],"")</f>
        <v/>
      </c>
      <c r="B3041" t="str" cm="1">
        <f t="array" ref="B3041">IFERROR(INDEX(tbNucleo[ESCOLA],ROUNDUP(ROW(B3040)/TotalEtapas,0)),"")</f>
        <v/>
      </c>
      <c r="E3041" t="str">
        <f>IFERROR(VLOOKUP(tbEscolas[[#This Row],[COD ETPA]],tbEtapas[],2,FALSE),"")</f>
        <v/>
      </c>
      <c r="F3041" t="str">
        <f>IFERROR(VLOOKUP(tbEscolas[[#This Row],[COD ETPA]],tbEtapas[],3,FALSE),"")</f>
        <v/>
      </c>
    </row>
    <row r="3042" spans="1:6" x14ac:dyDescent="0.25">
      <c r="A3042" s="24" t="str">
        <f>_xlfn.XLOOKUP(tbEscolas[[#This Row],[ESCOLA]],tbNucleo[ESCOLA],tbNucleo[COD ESCOLA],"")</f>
        <v/>
      </c>
      <c r="B3042" t="str" cm="1">
        <f t="array" ref="B3042">IFERROR(INDEX(tbNucleo[ESCOLA],ROUNDUP(ROW(B3041)/TotalEtapas,0)),"")</f>
        <v/>
      </c>
      <c r="E3042" t="str">
        <f>IFERROR(VLOOKUP(tbEscolas[[#This Row],[COD ETPA]],tbEtapas[],2,FALSE),"")</f>
        <v/>
      </c>
      <c r="F3042" t="str">
        <f>IFERROR(VLOOKUP(tbEscolas[[#This Row],[COD ETPA]],tbEtapas[],3,FALSE),"")</f>
        <v/>
      </c>
    </row>
    <row r="3043" spans="1:6" x14ac:dyDescent="0.25">
      <c r="A3043" s="24" t="str">
        <f>_xlfn.XLOOKUP(tbEscolas[[#This Row],[ESCOLA]],tbNucleo[ESCOLA],tbNucleo[COD ESCOLA],"")</f>
        <v/>
      </c>
      <c r="B3043" t="str" cm="1">
        <f t="array" ref="B3043">IFERROR(INDEX(tbNucleo[ESCOLA],ROUNDUP(ROW(B3042)/TotalEtapas,0)),"")</f>
        <v/>
      </c>
      <c r="E3043" t="str">
        <f>IFERROR(VLOOKUP(tbEscolas[[#This Row],[COD ETPA]],tbEtapas[],2,FALSE),"")</f>
        <v/>
      </c>
      <c r="F3043" t="str">
        <f>IFERROR(VLOOKUP(tbEscolas[[#This Row],[COD ETPA]],tbEtapas[],3,FALSE),"")</f>
        <v/>
      </c>
    </row>
    <row r="3044" spans="1:6" x14ac:dyDescent="0.25">
      <c r="A3044" s="24" t="str">
        <f>_xlfn.XLOOKUP(tbEscolas[[#This Row],[ESCOLA]],tbNucleo[ESCOLA],tbNucleo[COD ESCOLA],"")</f>
        <v/>
      </c>
      <c r="B3044" t="str" cm="1">
        <f t="array" ref="B3044">IFERROR(INDEX(tbNucleo[ESCOLA],ROUNDUP(ROW(B3043)/TotalEtapas,0)),"")</f>
        <v/>
      </c>
      <c r="E3044" t="str">
        <f>IFERROR(VLOOKUP(tbEscolas[[#This Row],[COD ETPA]],tbEtapas[],2,FALSE),"")</f>
        <v/>
      </c>
      <c r="F3044" t="str">
        <f>IFERROR(VLOOKUP(tbEscolas[[#This Row],[COD ETPA]],tbEtapas[],3,FALSE),"")</f>
        <v/>
      </c>
    </row>
    <row r="3045" spans="1:6" x14ac:dyDescent="0.25">
      <c r="A3045" s="24" t="str">
        <f>_xlfn.XLOOKUP(tbEscolas[[#This Row],[ESCOLA]],tbNucleo[ESCOLA],tbNucleo[COD ESCOLA],"")</f>
        <v/>
      </c>
      <c r="B3045" t="str" cm="1">
        <f t="array" ref="B3045">IFERROR(INDEX(tbNucleo[ESCOLA],ROUNDUP(ROW(B3044)/TotalEtapas,0)),"")</f>
        <v/>
      </c>
      <c r="E3045" t="str">
        <f>IFERROR(VLOOKUP(tbEscolas[[#This Row],[COD ETPA]],tbEtapas[],2,FALSE),"")</f>
        <v/>
      </c>
      <c r="F3045" t="str">
        <f>IFERROR(VLOOKUP(tbEscolas[[#This Row],[COD ETPA]],tbEtapas[],3,FALSE),"")</f>
        <v/>
      </c>
    </row>
    <row r="3046" spans="1:6" x14ac:dyDescent="0.25">
      <c r="A3046" s="24" t="str">
        <f>_xlfn.XLOOKUP(tbEscolas[[#This Row],[ESCOLA]],tbNucleo[ESCOLA],tbNucleo[COD ESCOLA],"")</f>
        <v/>
      </c>
      <c r="B3046" t="str" cm="1">
        <f t="array" ref="B3046">IFERROR(INDEX(tbNucleo[ESCOLA],ROUNDUP(ROW(B3045)/TotalEtapas,0)),"")</f>
        <v/>
      </c>
      <c r="E3046" t="str">
        <f>IFERROR(VLOOKUP(tbEscolas[[#This Row],[COD ETPA]],tbEtapas[],2,FALSE),"")</f>
        <v/>
      </c>
      <c r="F3046" t="str">
        <f>IFERROR(VLOOKUP(tbEscolas[[#This Row],[COD ETPA]],tbEtapas[],3,FALSE),"")</f>
        <v/>
      </c>
    </row>
    <row r="3047" spans="1:6" x14ac:dyDescent="0.25">
      <c r="A3047" s="24" t="str">
        <f>_xlfn.XLOOKUP(tbEscolas[[#This Row],[ESCOLA]],tbNucleo[ESCOLA],tbNucleo[COD ESCOLA],"")</f>
        <v/>
      </c>
      <c r="B3047" t="str" cm="1">
        <f t="array" ref="B3047">IFERROR(INDEX(tbNucleo[ESCOLA],ROUNDUP(ROW(B3046)/TotalEtapas,0)),"")</f>
        <v/>
      </c>
      <c r="E3047" t="str">
        <f>IFERROR(VLOOKUP(tbEscolas[[#This Row],[COD ETPA]],tbEtapas[],2,FALSE),"")</f>
        <v/>
      </c>
      <c r="F3047" t="str">
        <f>IFERROR(VLOOKUP(tbEscolas[[#This Row],[COD ETPA]],tbEtapas[],3,FALSE),"")</f>
        <v/>
      </c>
    </row>
    <row r="3048" spans="1:6" x14ac:dyDescent="0.25">
      <c r="A3048" s="24" t="str">
        <f>_xlfn.XLOOKUP(tbEscolas[[#This Row],[ESCOLA]],tbNucleo[ESCOLA],tbNucleo[COD ESCOLA],"")</f>
        <v/>
      </c>
      <c r="B3048" t="str" cm="1">
        <f t="array" ref="B3048">IFERROR(INDEX(tbNucleo[ESCOLA],ROUNDUP(ROW(B3047)/TotalEtapas,0)),"")</f>
        <v/>
      </c>
      <c r="E3048" t="str">
        <f>IFERROR(VLOOKUP(tbEscolas[[#This Row],[COD ETPA]],tbEtapas[],2,FALSE),"")</f>
        <v/>
      </c>
      <c r="F3048" t="str">
        <f>IFERROR(VLOOKUP(tbEscolas[[#This Row],[COD ETPA]],tbEtapas[],3,FALSE),"")</f>
        <v/>
      </c>
    </row>
    <row r="3049" spans="1:6" x14ac:dyDescent="0.25">
      <c r="A3049" s="24" t="str">
        <f>_xlfn.XLOOKUP(tbEscolas[[#This Row],[ESCOLA]],tbNucleo[ESCOLA],tbNucleo[COD ESCOLA],"")</f>
        <v/>
      </c>
      <c r="B3049" t="str" cm="1">
        <f t="array" ref="B3049">IFERROR(INDEX(tbNucleo[ESCOLA],ROUNDUP(ROW(B3048)/TotalEtapas,0)),"")</f>
        <v/>
      </c>
      <c r="E3049" t="str">
        <f>IFERROR(VLOOKUP(tbEscolas[[#This Row],[COD ETPA]],tbEtapas[],2,FALSE),"")</f>
        <v/>
      </c>
      <c r="F3049" t="str">
        <f>IFERROR(VLOOKUP(tbEscolas[[#This Row],[COD ETPA]],tbEtapas[],3,FALSE),"")</f>
        <v/>
      </c>
    </row>
    <row r="3050" spans="1:6" x14ac:dyDescent="0.25">
      <c r="A3050" s="24" t="str">
        <f>_xlfn.XLOOKUP(tbEscolas[[#This Row],[ESCOLA]],tbNucleo[ESCOLA],tbNucleo[COD ESCOLA],"")</f>
        <v/>
      </c>
      <c r="B3050" t="str" cm="1">
        <f t="array" ref="B3050">IFERROR(INDEX(tbNucleo[ESCOLA],ROUNDUP(ROW(B3049)/TotalEtapas,0)),"")</f>
        <v/>
      </c>
      <c r="E3050" t="str">
        <f>IFERROR(VLOOKUP(tbEscolas[[#This Row],[COD ETPA]],tbEtapas[],2,FALSE),"")</f>
        <v/>
      </c>
      <c r="F3050" t="str">
        <f>IFERROR(VLOOKUP(tbEscolas[[#This Row],[COD ETPA]],tbEtapas[],3,FALSE),"")</f>
        <v/>
      </c>
    </row>
    <row r="3051" spans="1:6" x14ac:dyDescent="0.25">
      <c r="A3051" s="24" t="str">
        <f>_xlfn.XLOOKUP(tbEscolas[[#This Row],[ESCOLA]],tbNucleo[ESCOLA],tbNucleo[COD ESCOLA],"")</f>
        <v/>
      </c>
      <c r="B3051" t="str" cm="1">
        <f t="array" ref="B3051">IFERROR(INDEX(tbNucleo[ESCOLA],ROUNDUP(ROW(B3050)/TotalEtapas,0)),"")</f>
        <v/>
      </c>
      <c r="E3051" t="str">
        <f>IFERROR(VLOOKUP(tbEscolas[[#This Row],[COD ETPA]],tbEtapas[],2,FALSE),"")</f>
        <v/>
      </c>
      <c r="F3051" t="str">
        <f>IFERROR(VLOOKUP(tbEscolas[[#This Row],[COD ETPA]],tbEtapas[],3,FALSE),"")</f>
        <v/>
      </c>
    </row>
    <row r="3052" spans="1:6" x14ac:dyDescent="0.25">
      <c r="A3052" s="24" t="str">
        <f>_xlfn.XLOOKUP(tbEscolas[[#This Row],[ESCOLA]],tbNucleo[ESCOLA],tbNucleo[COD ESCOLA],"")</f>
        <v/>
      </c>
      <c r="B3052" t="str" cm="1">
        <f t="array" ref="B3052">IFERROR(INDEX(tbNucleo[ESCOLA],ROUNDUP(ROW(B3051)/TotalEtapas,0)),"")</f>
        <v/>
      </c>
      <c r="E3052" t="str">
        <f>IFERROR(VLOOKUP(tbEscolas[[#This Row],[COD ETPA]],tbEtapas[],2,FALSE),"")</f>
        <v/>
      </c>
      <c r="F3052" t="str">
        <f>IFERROR(VLOOKUP(tbEscolas[[#This Row],[COD ETPA]],tbEtapas[],3,FALSE),"")</f>
        <v/>
      </c>
    </row>
    <row r="3053" spans="1:6" x14ac:dyDescent="0.25">
      <c r="A3053" s="24" t="str">
        <f>_xlfn.XLOOKUP(tbEscolas[[#This Row],[ESCOLA]],tbNucleo[ESCOLA],tbNucleo[COD ESCOLA],"")</f>
        <v/>
      </c>
      <c r="B3053" t="str" cm="1">
        <f t="array" ref="B3053">IFERROR(INDEX(tbNucleo[ESCOLA],ROUNDUP(ROW(B3052)/TotalEtapas,0)),"")</f>
        <v/>
      </c>
      <c r="E3053" t="str">
        <f>IFERROR(VLOOKUP(tbEscolas[[#This Row],[COD ETPA]],tbEtapas[],2,FALSE),"")</f>
        <v/>
      </c>
      <c r="F3053" t="str">
        <f>IFERROR(VLOOKUP(tbEscolas[[#This Row],[COD ETPA]],tbEtapas[],3,FALSE),"")</f>
        <v/>
      </c>
    </row>
    <row r="3054" spans="1:6" x14ac:dyDescent="0.25">
      <c r="A3054" s="24" t="str">
        <f>_xlfn.XLOOKUP(tbEscolas[[#This Row],[ESCOLA]],tbNucleo[ESCOLA],tbNucleo[COD ESCOLA],"")</f>
        <v/>
      </c>
      <c r="B3054" t="str" cm="1">
        <f t="array" ref="B3054">IFERROR(INDEX(tbNucleo[ESCOLA],ROUNDUP(ROW(B3053)/TotalEtapas,0)),"")</f>
        <v/>
      </c>
      <c r="E3054" t="str">
        <f>IFERROR(VLOOKUP(tbEscolas[[#This Row],[COD ETPA]],tbEtapas[],2,FALSE),"")</f>
        <v/>
      </c>
      <c r="F3054" t="str">
        <f>IFERROR(VLOOKUP(tbEscolas[[#This Row],[COD ETPA]],tbEtapas[],3,FALSE),"")</f>
        <v/>
      </c>
    </row>
    <row r="3055" spans="1:6" x14ac:dyDescent="0.25">
      <c r="A3055" s="24" t="str">
        <f>_xlfn.XLOOKUP(tbEscolas[[#This Row],[ESCOLA]],tbNucleo[ESCOLA],tbNucleo[COD ESCOLA],"")</f>
        <v/>
      </c>
      <c r="B3055" t="str" cm="1">
        <f t="array" ref="B3055">IFERROR(INDEX(tbNucleo[ESCOLA],ROUNDUP(ROW(B3054)/TotalEtapas,0)),"")</f>
        <v/>
      </c>
      <c r="E3055" t="str">
        <f>IFERROR(VLOOKUP(tbEscolas[[#This Row],[COD ETPA]],tbEtapas[],2,FALSE),"")</f>
        <v/>
      </c>
      <c r="F3055" t="str">
        <f>IFERROR(VLOOKUP(tbEscolas[[#This Row],[COD ETPA]],tbEtapas[],3,FALSE),"")</f>
        <v/>
      </c>
    </row>
    <row r="3056" spans="1:6" x14ac:dyDescent="0.25">
      <c r="A3056" s="24" t="str">
        <f>_xlfn.XLOOKUP(tbEscolas[[#This Row],[ESCOLA]],tbNucleo[ESCOLA],tbNucleo[COD ESCOLA],"")</f>
        <v/>
      </c>
      <c r="B3056" t="str" cm="1">
        <f t="array" ref="B3056">IFERROR(INDEX(tbNucleo[ESCOLA],ROUNDUP(ROW(B3055)/TotalEtapas,0)),"")</f>
        <v/>
      </c>
      <c r="E3056" t="str">
        <f>IFERROR(VLOOKUP(tbEscolas[[#This Row],[COD ETPA]],tbEtapas[],2,FALSE),"")</f>
        <v/>
      </c>
      <c r="F3056" t="str">
        <f>IFERROR(VLOOKUP(tbEscolas[[#This Row],[COD ETPA]],tbEtapas[],3,FALSE),"")</f>
        <v/>
      </c>
    </row>
    <row r="3057" spans="1:6" x14ac:dyDescent="0.25">
      <c r="A3057" s="24" t="str">
        <f>_xlfn.XLOOKUP(tbEscolas[[#This Row],[ESCOLA]],tbNucleo[ESCOLA],tbNucleo[COD ESCOLA],"")</f>
        <v/>
      </c>
      <c r="B3057" t="str" cm="1">
        <f t="array" ref="B3057">IFERROR(INDEX(tbNucleo[ESCOLA],ROUNDUP(ROW(B3056)/TotalEtapas,0)),"")</f>
        <v/>
      </c>
      <c r="E3057" t="str">
        <f>IFERROR(VLOOKUP(tbEscolas[[#This Row],[COD ETPA]],tbEtapas[],2,FALSE),"")</f>
        <v/>
      </c>
      <c r="F3057" t="str">
        <f>IFERROR(VLOOKUP(tbEscolas[[#This Row],[COD ETPA]],tbEtapas[],3,FALSE),"")</f>
        <v/>
      </c>
    </row>
    <row r="3058" spans="1:6" x14ac:dyDescent="0.25">
      <c r="A3058" s="24" t="str">
        <f>_xlfn.XLOOKUP(tbEscolas[[#This Row],[ESCOLA]],tbNucleo[ESCOLA],tbNucleo[COD ESCOLA],"")</f>
        <v/>
      </c>
      <c r="B3058" t="str" cm="1">
        <f t="array" ref="B3058">IFERROR(INDEX(tbNucleo[ESCOLA],ROUNDUP(ROW(B3057)/TotalEtapas,0)),"")</f>
        <v/>
      </c>
      <c r="E3058" t="str">
        <f>IFERROR(VLOOKUP(tbEscolas[[#This Row],[COD ETPA]],tbEtapas[],2,FALSE),"")</f>
        <v/>
      </c>
      <c r="F3058" t="str">
        <f>IFERROR(VLOOKUP(tbEscolas[[#This Row],[COD ETPA]],tbEtapas[],3,FALSE),"")</f>
        <v/>
      </c>
    </row>
    <row r="3059" spans="1:6" x14ac:dyDescent="0.25">
      <c r="A3059" s="24" t="str">
        <f>_xlfn.XLOOKUP(tbEscolas[[#This Row],[ESCOLA]],tbNucleo[ESCOLA],tbNucleo[COD ESCOLA],"")</f>
        <v/>
      </c>
      <c r="B3059" t="str" cm="1">
        <f t="array" ref="B3059">IFERROR(INDEX(tbNucleo[ESCOLA],ROUNDUP(ROW(B3058)/TotalEtapas,0)),"")</f>
        <v/>
      </c>
      <c r="E3059" t="str">
        <f>IFERROR(VLOOKUP(tbEscolas[[#This Row],[COD ETPA]],tbEtapas[],2,FALSE),"")</f>
        <v/>
      </c>
      <c r="F3059" t="str">
        <f>IFERROR(VLOOKUP(tbEscolas[[#This Row],[COD ETPA]],tbEtapas[],3,FALSE),"")</f>
        <v/>
      </c>
    </row>
    <row r="3060" spans="1:6" x14ac:dyDescent="0.25">
      <c r="A3060" s="24" t="str">
        <f>_xlfn.XLOOKUP(tbEscolas[[#This Row],[ESCOLA]],tbNucleo[ESCOLA],tbNucleo[COD ESCOLA],"")</f>
        <v/>
      </c>
      <c r="B3060" t="str" cm="1">
        <f t="array" ref="B3060">IFERROR(INDEX(tbNucleo[ESCOLA],ROUNDUP(ROW(B3059)/TotalEtapas,0)),"")</f>
        <v/>
      </c>
      <c r="E3060" t="str">
        <f>IFERROR(VLOOKUP(tbEscolas[[#This Row],[COD ETPA]],tbEtapas[],2,FALSE),"")</f>
        <v/>
      </c>
      <c r="F3060" t="str">
        <f>IFERROR(VLOOKUP(tbEscolas[[#This Row],[COD ETPA]],tbEtapas[],3,FALSE),"")</f>
        <v/>
      </c>
    </row>
    <row r="3061" spans="1:6" x14ac:dyDescent="0.25">
      <c r="A3061" s="24" t="str">
        <f>_xlfn.XLOOKUP(tbEscolas[[#This Row],[ESCOLA]],tbNucleo[ESCOLA],tbNucleo[COD ESCOLA],"")</f>
        <v/>
      </c>
      <c r="B3061" t="str" cm="1">
        <f t="array" ref="B3061">IFERROR(INDEX(tbNucleo[ESCOLA],ROUNDUP(ROW(B3060)/TotalEtapas,0)),"")</f>
        <v/>
      </c>
      <c r="E3061" t="str">
        <f>IFERROR(VLOOKUP(tbEscolas[[#This Row],[COD ETPA]],tbEtapas[],2,FALSE),"")</f>
        <v/>
      </c>
      <c r="F3061" t="str">
        <f>IFERROR(VLOOKUP(tbEscolas[[#This Row],[COD ETPA]],tbEtapas[],3,FALSE),"")</f>
        <v/>
      </c>
    </row>
    <row r="3062" spans="1:6" x14ac:dyDescent="0.25">
      <c r="A3062" s="24" t="str">
        <f>_xlfn.XLOOKUP(tbEscolas[[#This Row],[ESCOLA]],tbNucleo[ESCOLA],tbNucleo[COD ESCOLA],"")</f>
        <v/>
      </c>
      <c r="B3062" t="str" cm="1">
        <f t="array" ref="B3062">IFERROR(INDEX(tbNucleo[ESCOLA],ROUNDUP(ROW(B3061)/TotalEtapas,0)),"")</f>
        <v/>
      </c>
      <c r="E3062" t="str">
        <f>IFERROR(VLOOKUP(tbEscolas[[#This Row],[COD ETPA]],tbEtapas[],2,FALSE),"")</f>
        <v/>
      </c>
      <c r="F3062" t="str">
        <f>IFERROR(VLOOKUP(tbEscolas[[#This Row],[COD ETPA]],tbEtapas[],3,FALSE),"")</f>
        <v/>
      </c>
    </row>
    <row r="3063" spans="1:6" x14ac:dyDescent="0.25">
      <c r="A3063" s="24" t="str">
        <f>_xlfn.XLOOKUP(tbEscolas[[#This Row],[ESCOLA]],tbNucleo[ESCOLA],tbNucleo[COD ESCOLA],"")</f>
        <v/>
      </c>
      <c r="B3063" t="str" cm="1">
        <f t="array" ref="B3063">IFERROR(INDEX(tbNucleo[ESCOLA],ROUNDUP(ROW(B3062)/TotalEtapas,0)),"")</f>
        <v/>
      </c>
      <c r="E3063" t="str">
        <f>IFERROR(VLOOKUP(tbEscolas[[#This Row],[COD ETPA]],tbEtapas[],2,FALSE),"")</f>
        <v/>
      </c>
      <c r="F3063" t="str">
        <f>IFERROR(VLOOKUP(tbEscolas[[#This Row],[COD ETPA]],tbEtapas[],3,FALSE),"")</f>
        <v/>
      </c>
    </row>
    <row r="3064" spans="1:6" x14ac:dyDescent="0.25">
      <c r="A3064" s="24" t="str">
        <f>_xlfn.XLOOKUP(tbEscolas[[#This Row],[ESCOLA]],tbNucleo[ESCOLA],tbNucleo[COD ESCOLA],"")</f>
        <v/>
      </c>
      <c r="B3064" t="str" cm="1">
        <f t="array" ref="B3064">IFERROR(INDEX(tbNucleo[ESCOLA],ROUNDUP(ROW(B3063)/TotalEtapas,0)),"")</f>
        <v/>
      </c>
      <c r="E3064" t="str">
        <f>IFERROR(VLOOKUP(tbEscolas[[#This Row],[COD ETPA]],tbEtapas[],2,FALSE),"")</f>
        <v/>
      </c>
      <c r="F3064" t="str">
        <f>IFERROR(VLOOKUP(tbEscolas[[#This Row],[COD ETPA]],tbEtapas[],3,FALSE),"")</f>
        <v/>
      </c>
    </row>
    <row r="3065" spans="1:6" x14ac:dyDescent="0.25">
      <c r="A3065" s="24" t="str">
        <f>_xlfn.XLOOKUP(tbEscolas[[#This Row],[ESCOLA]],tbNucleo[ESCOLA],tbNucleo[COD ESCOLA],"")</f>
        <v/>
      </c>
      <c r="B3065" t="str" cm="1">
        <f t="array" ref="B3065">IFERROR(INDEX(tbNucleo[ESCOLA],ROUNDUP(ROW(B3064)/TotalEtapas,0)),"")</f>
        <v/>
      </c>
      <c r="E3065" t="str">
        <f>IFERROR(VLOOKUP(tbEscolas[[#This Row],[COD ETPA]],tbEtapas[],2,FALSE),"")</f>
        <v/>
      </c>
      <c r="F3065" t="str">
        <f>IFERROR(VLOOKUP(tbEscolas[[#This Row],[COD ETPA]],tbEtapas[],3,FALSE),"")</f>
        <v/>
      </c>
    </row>
    <row r="3066" spans="1:6" x14ac:dyDescent="0.25">
      <c r="A3066" s="24" t="str">
        <f>_xlfn.XLOOKUP(tbEscolas[[#This Row],[ESCOLA]],tbNucleo[ESCOLA],tbNucleo[COD ESCOLA],"")</f>
        <v/>
      </c>
      <c r="B3066" t="str" cm="1">
        <f t="array" ref="B3066">IFERROR(INDEX(tbNucleo[ESCOLA],ROUNDUP(ROW(B3065)/TotalEtapas,0)),"")</f>
        <v/>
      </c>
      <c r="E3066" t="str">
        <f>IFERROR(VLOOKUP(tbEscolas[[#This Row],[COD ETPA]],tbEtapas[],2,FALSE),"")</f>
        <v/>
      </c>
      <c r="F3066" t="str">
        <f>IFERROR(VLOOKUP(tbEscolas[[#This Row],[COD ETPA]],tbEtapas[],3,FALSE),"")</f>
        <v/>
      </c>
    </row>
    <row r="3067" spans="1:6" x14ac:dyDescent="0.25">
      <c r="A3067" s="24" t="str">
        <f>_xlfn.XLOOKUP(tbEscolas[[#This Row],[ESCOLA]],tbNucleo[ESCOLA],tbNucleo[COD ESCOLA],"")</f>
        <v/>
      </c>
      <c r="B3067" t="str" cm="1">
        <f t="array" ref="B3067">IFERROR(INDEX(tbNucleo[ESCOLA],ROUNDUP(ROW(B3066)/TotalEtapas,0)),"")</f>
        <v/>
      </c>
      <c r="E3067" t="str">
        <f>IFERROR(VLOOKUP(tbEscolas[[#This Row],[COD ETPA]],tbEtapas[],2,FALSE),"")</f>
        <v/>
      </c>
      <c r="F3067" t="str">
        <f>IFERROR(VLOOKUP(tbEscolas[[#This Row],[COD ETPA]],tbEtapas[],3,FALSE),"")</f>
        <v/>
      </c>
    </row>
    <row r="3068" spans="1:6" x14ac:dyDescent="0.25">
      <c r="A3068" s="24" t="str">
        <f>_xlfn.XLOOKUP(tbEscolas[[#This Row],[ESCOLA]],tbNucleo[ESCOLA],tbNucleo[COD ESCOLA],"")</f>
        <v/>
      </c>
      <c r="B3068" t="str" cm="1">
        <f t="array" ref="B3068">IFERROR(INDEX(tbNucleo[ESCOLA],ROUNDUP(ROW(B3067)/TotalEtapas,0)),"")</f>
        <v/>
      </c>
      <c r="E3068" t="str">
        <f>IFERROR(VLOOKUP(tbEscolas[[#This Row],[COD ETPA]],tbEtapas[],2,FALSE),"")</f>
        <v/>
      </c>
      <c r="F3068" t="str">
        <f>IFERROR(VLOOKUP(tbEscolas[[#This Row],[COD ETPA]],tbEtapas[],3,FALSE),"")</f>
        <v/>
      </c>
    </row>
    <row r="3069" spans="1:6" x14ac:dyDescent="0.25">
      <c r="A3069" s="24" t="str">
        <f>_xlfn.XLOOKUP(tbEscolas[[#This Row],[ESCOLA]],tbNucleo[ESCOLA],tbNucleo[COD ESCOLA],"")</f>
        <v/>
      </c>
      <c r="B3069" t="str" cm="1">
        <f t="array" ref="B3069">IFERROR(INDEX(tbNucleo[ESCOLA],ROUNDUP(ROW(B3068)/TotalEtapas,0)),"")</f>
        <v/>
      </c>
      <c r="E3069" t="str">
        <f>IFERROR(VLOOKUP(tbEscolas[[#This Row],[COD ETPA]],tbEtapas[],2,FALSE),"")</f>
        <v/>
      </c>
      <c r="F3069" t="str">
        <f>IFERROR(VLOOKUP(tbEscolas[[#This Row],[COD ETPA]],tbEtapas[],3,FALSE),"")</f>
        <v/>
      </c>
    </row>
    <row r="3070" spans="1:6" x14ac:dyDescent="0.25">
      <c r="A3070" s="24" t="str">
        <f>_xlfn.XLOOKUP(tbEscolas[[#This Row],[ESCOLA]],tbNucleo[ESCOLA],tbNucleo[COD ESCOLA],"")</f>
        <v/>
      </c>
      <c r="B3070" t="str" cm="1">
        <f t="array" ref="B3070">IFERROR(INDEX(tbNucleo[ESCOLA],ROUNDUP(ROW(B3069)/TotalEtapas,0)),"")</f>
        <v/>
      </c>
      <c r="E3070" t="str">
        <f>IFERROR(VLOOKUP(tbEscolas[[#This Row],[COD ETPA]],tbEtapas[],2,FALSE),"")</f>
        <v/>
      </c>
      <c r="F3070" t="str">
        <f>IFERROR(VLOOKUP(tbEscolas[[#This Row],[COD ETPA]],tbEtapas[],3,FALSE),"")</f>
        <v/>
      </c>
    </row>
    <row r="3071" spans="1:6" x14ac:dyDescent="0.25">
      <c r="A3071" s="24" t="str">
        <f>_xlfn.XLOOKUP(tbEscolas[[#This Row],[ESCOLA]],tbNucleo[ESCOLA],tbNucleo[COD ESCOLA],"")</f>
        <v/>
      </c>
      <c r="B3071" t="str" cm="1">
        <f t="array" ref="B3071">IFERROR(INDEX(tbNucleo[ESCOLA],ROUNDUP(ROW(B3070)/TotalEtapas,0)),"")</f>
        <v/>
      </c>
      <c r="E3071" t="str">
        <f>IFERROR(VLOOKUP(tbEscolas[[#This Row],[COD ETPA]],tbEtapas[],2,FALSE),"")</f>
        <v/>
      </c>
      <c r="F3071" t="str">
        <f>IFERROR(VLOOKUP(tbEscolas[[#This Row],[COD ETPA]],tbEtapas[],3,FALSE),"")</f>
        <v/>
      </c>
    </row>
    <row r="3072" spans="1:6" x14ac:dyDescent="0.25">
      <c r="A3072" s="24" t="str">
        <f>_xlfn.XLOOKUP(tbEscolas[[#This Row],[ESCOLA]],tbNucleo[ESCOLA],tbNucleo[COD ESCOLA],"")</f>
        <v/>
      </c>
      <c r="B3072" t="str" cm="1">
        <f t="array" ref="B3072">IFERROR(INDEX(tbNucleo[ESCOLA],ROUNDUP(ROW(B3071)/TotalEtapas,0)),"")</f>
        <v/>
      </c>
      <c r="E3072" t="str">
        <f>IFERROR(VLOOKUP(tbEscolas[[#This Row],[COD ETPA]],tbEtapas[],2,FALSE),"")</f>
        <v/>
      </c>
      <c r="F3072" t="str">
        <f>IFERROR(VLOOKUP(tbEscolas[[#This Row],[COD ETPA]],tbEtapas[],3,FALSE),"")</f>
        <v/>
      </c>
    </row>
    <row r="3073" spans="1:6" x14ac:dyDescent="0.25">
      <c r="A3073" s="24" t="str">
        <f>_xlfn.XLOOKUP(tbEscolas[[#This Row],[ESCOLA]],tbNucleo[ESCOLA],tbNucleo[COD ESCOLA],"")</f>
        <v/>
      </c>
      <c r="B3073" t="str" cm="1">
        <f t="array" ref="B3073">IFERROR(INDEX(tbNucleo[ESCOLA],ROUNDUP(ROW(B3072)/TotalEtapas,0)),"")</f>
        <v/>
      </c>
      <c r="E3073" t="str">
        <f>IFERROR(VLOOKUP(tbEscolas[[#This Row],[COD ETPA]],tbEtapas[],2,FALSE),"")</f>
        <v/>
      </c>
      <c r="F3073" t="str">
        <f>IFERROR(VLOOKUP(tbEscolas[[#This Row],[COD ETPA]],tbEtapas[],3,FALSE),"")</f>
        <v/>
      </c>
    </row>
    <row r="3074" spans="1:6" x14ac:dyDescent="0.25">
      <c r="A3074" s="24" t="str">
        <f>_xlfn.XLOOKUP(tbEscolas[[#This Row],[ESCOLA]],tbNucleo[ESCOLA],tbNucleo[COD ESCOLA],"")</f>
        <v/>
      </c>
      <c r="B3074" t="str" cm="1">
        <f t="array" ref="B3074">IFERROR(INDEX(tbNucleo[ESCOLA],ROUNDUP(ROW(B3073)/TotalEtapas,0)),"")</f>
        <v/>
      </c>
      <c r="E3074" t="str">
        <f>IFERROR(VLOOKUP(tbEscolas[[#This Row],[COD ETPA]],tbEtapas[],2,FALSE),"")</f>
        <v/>
      </c>
      <c r="F3074" t="str">
        <f>IFERROR(VLOOKUP(tbEscolas[[#This Row],[COD ETPA]],tbEtapas[],3,FALSE),"")</f>
        <v/>
      </c>
    </row>
    <row r="3075" spans="1:6" x14ac:dyDescent="0.25">
      <c r="A3075" s="24" t="str">
        <f>_xlfn.XLOOKUP(tbEscolas[[#This Row],[ESCOLA]],tbNucleo[ESCOLA],tbNucleo[COD ESCOLA],"")</f>
        <v/>
      </c>
      <c r="B3075" t="str" cm="1">
        <f t="array" ref="B3075">IFERROR(INDEX(tbNucleo[ESCOLA],ROUNDUP(ROW(B3074)/TotalEtapas,0)),"")</f>
        <v/>
      </c>
      <c r="E3075" t="str">
        <f>IFERROR(VLOOKUP(tbEscolas[[#This Row],[COD ETPA]],tbEtapas[],2,FALSE),"")</f>
        <v/>
      </c>
      <c r="F3075" t="str">
        <f>IFERROR(VLOOKUP(tbEscolas[[#This Row],[COD ETPA]],tbEtapas[],3,FALSE),"")</f>
        <v/>
      </c>
    </row>
    <row r="3076" spans="1:6" x14ac:dyDescent="0.25">
      <c r="A3076" s="24" t="str">
        <f>_xlfn.XLOOKUP(tbEscolas[[#This Row],[ESCOLA]],tbNucleo[ESCOLA],tbNucleo[COD ESCOLA],"")</f>
        <v/>
      </c>
      <c r="B3076" t="str" cm="1">
        <f t="array" ref="B3076">IFERROR(INDEX(tbNucleo[ESCOLA],ROUNDUP(ROW(B3075)/TotalEtapas,0)),"")</f>
        <v/>
      </c>
      <c r="E3076" t="str">
        <f>IFERROR(VLOOKUP(tbEscolas[[#This Row],[COD ETPA]],tbEtapas[],2,FALSE),"")</f>
        <v/>
      </c>
      <c r="F3076" t="str">
        <f>IFERROR(VLOOKUP(tbEscolas[[#This Row],[COD ETPA]],tbEtapas[],3,FALSE),"")</f>
        <v/>
      </c>
    </row>
    <row r="3077" spans="1:6" x14ac:dyDescent="0.25">
      <c r="A3077" s="24" t="str">
        <f>_xlfn.XLOOKUP(tbEscolas[[#This Row],[ESCOLA]],tbNucleo[ESCOLA],tbNucleo[COD ESCOLA],"")</f>
        <v/>
      </c>
      <c r="B3077" t="str" cm="1">
        <f t="array" ref="B3077">IFERROR(INDEX(tbNucleo[ESCOLA],ROUNDUP(ROW(B3076)/TotalEtapas,0)),"")</f>
        <v/>
      </c>
      <c r="E3077" t="str">
        <f>IFERROR(VLOOKUP(tbEscolas[[#This Row],[COD ETPA]],tbEtapas[],2,FALSE),"")</f>
        <v/>
      </c>
      <c r="F3077" t="str">
        <f>IFERROR(VLOOKUP(tbEscolas[[#This Row],[COD ETPA]],tbEtapas[],3,FALSE),"")</f>
        <v/>
      </c>
    </row>
    <row r="3078" spans="1:6" x14ac:dyDescent="0.25">
      <c r="A3078" s="24" t="str">
        <f>_xlfn.XLOOKUP(tbEscolas[[#This Row],[ESCOLA]],tbNucleo[ESCOLA],tbNucleo[COD ESCOLA],"")</f>
        <v/>
      </c>
      <c r="B3078" t="str" cm="1">
        <f t="array" ref="B3078">IFERROR(INDEX(tbNucleo[ESCOLA],ROUNDUP(ROW(B3077)/TotalEtapas,0)),"")</f>
        <v/>
      </c>
      <c r="E3078" t="str">
        <f>IFERROR(VLOOKUP(tbEscolas[[#This Row],[COD ETPA]],tbEtapas[],2,FALSE),"")</f>
        <v/>
      </c>
      <c r="F3078" t="str">
        <f>IFERROR(VLOOKUP(tbEscolas[[#This Row],[COD ETPA]],tbEtapas[],3,FALSE),"")</f>
        <v/>
      </c>
    </row>
    <row r="3079" spans="1:6" x14ac:dyDescent="0.25">
      <c r="A3079" s="24" t="str">
        <f>_xlfn.XLOOKUP(tbEscolas[[#This Row],[ESCOLA]],tbNucleo[ESCOLA],tbNucleo[COD ESCOLA],"")</f>
        <v/>
      </c>
      <c r="B3079" t="str" cm="1">
        <f t="array" ref="B3079">IFERROR(INDEX(tbNucleo[ESCOLA],ROUNDUP(ROW(B3078)/TotalEtapas,0)),"")</f>
        <v/>
      </c>
      <c r="E3079" t="str">
        <f>IFERROR(VLOOKUP(tbEscolas[[#This Row],[COD ETPA]],tbEtapas[],2,FALSE),"")</f>
        <v/>
      </c>
      <c r="F3079" t="str">
        <f>IFERROR(VLOOKUP(tbEscolas[[#This Row],[COD ETPA]],tbEtapas[],3,FALSE),"")</f>
        <v/>
      </c>
    </row>
    <row r="3080" spans="1:6" x14ac:dyDescent="0.25">
      <c r="A3080" s="24" t="str">
        <f>_xlfn.XLOOKUP(tbEscolas[[#This Row],[ESCOLA]],tbNucleo[ESCOLA],tbNucleo[COD ESCOLA],"")</f>
        <v/>
      </c>
      <c r="B3080" t="str" cm="1">
        <f t="array" ref="B3080">IFERROR(INDEX(tbNucleo[ESCOLA],ROUNDUP(ROW(B3079)/TotalEtapas,0)),"")</f>
        <v/>
      </c>
      <c r="E3080" t="str">
        <f>IFERROR(VLOOKUP(tbEscolas[[#This Row],[COD ETPA]],tbEtapas[],2,FALSE),"")</f>
        <v/>
      </c>
      <c r="F3080" t="str">
        <f>IFERROR(VLOOKUP(tbEscolas[[#This Row],[COD ETPA]],tbEtapas[],3,FALSE),"")</f>
        <v/>
      </c>
    </row>
    <row r="3081" spans="1:6" x14ac:dyDescent="0.25">
      <c r="A3081" s="24" t="str">
        <f>_xlfn.XLOOKUP(tbEscolas[[#This Row],[ESCOLA]],tbNucleo[ESCOLA],tbNucleo[COD ESCOLA],"")</f>
        <v/>
      </c>
      <c r="B3081" t="str" cm="1">
        <f t="array" ref="B3081">IFERROR(INDEX(tbNucleo[ESCOLA],ROUNDUP(ROW(B3080)/TotalEtapas,0)),"")</f>
        <v/>
      </c>
      <c r="E3081" t="str">
        <f>IFERROR(VLOOKUP(tbEscolas[[#This Row],[COD ETPA]],tbEtapas[],2,FALSE),"")</f>
        <v/>
      </c>
      <c r="F3081" t="str">
        <f>IFERROR(VLOOKUP(tbEscolas[[#This Row],[COD ETPA]],tbEtapas[],3,FALSE),"")</f>
        <v/>
      </c>
    </row>
    <row r="3082" spans="1:6" x14ac:dyDescent="0.25">
      <c r="A3082" s="24" t="str">
        <f>_xlfn.XLOOKUP(tbEscolas[[#This Row],[ESCOLA]],tbNucleo[ESCOLA],tbNucleo[COD ESCOLA],"")</f>
        <v/>
      </c>
      <c r="B3082" t="str" cm="1">
        <f t="array" ref="B3082">IFERROR(INDEX(tbNucleo[ESCOLA],ROUNDUP(ROW(B3081)/TotalEtapas,0)),"")</f>
        <v/>
      </c>
      <c r="E3082" t="str">
        <f>IFERROR(VLOOKUP(tbEscolas[[#This Row],[COD ETPA]],tbEtapas[],2,FALSE),"")</f>
        <v/>
      </c>
      <c r="F3082" t="str">
        <f>IFERROR(VLOOKUP(tbEscolas[[#This Row],[COD ETPA]],tbEtapas[],3,FALSE),"")</f>
        <v/>
      </c>
    </row>
    <row r="3083" spans="1:6" x14ac:dyDescent="0.25">
      <c r="A3083" s="24" t="str">
        <f>_xlfn.XLOOKUP(tbEscolas[[#This Row],[ESCOLA]],tbNucleo[ESCOLA],tbNucleo[COD ESCOLA],"")</f>
        <v/>
      </c>
      <c r="B3083" t="str" cm="1">
        <f t="array" ref="B3083">IFERROR(INDEX(tbNucleo[ESCOLA],ROUNDUP(ROW(B3082)/TotalEtapas,0)),"")</f>
        <v/>
      </c>
      <c r="E3083" t="str">
        <f>IFERROR(VLOOKUP(tbEscolas[[#This Row],[COD ETPA]],tbEtapas[],2,FALSE),"")</f>
        <v/>
      </c>
      <c r="F3083" t="str">
        <f>IFERROR(VLOOKUP(tbEscolas[[#This Row],[COD ETPA]],tbEtapas[],3,FALSE),"")</f>
        <v/>
      </c>
    </row>
    <row r="3084" spans="1:6" x14ac:dyDescent="0.25">
      <c r="A3084" s="24" t="str">
        <f>_xlfn.XLOOKUP(tbEscolas[[#This Row],[ESCOLA]],tbNucleo[ESCOLA],tbNucleo[COD ESCOLA],"")</f>
        <v/>
      </c>
      <c r="B3084" t="str" cm="1">
        <f t="array" ref="B3084">IFERROR(INDEX(tbNucleo[ESCOLA],ROUNDUP(ROW(B3083)/TotalEtapas,0)),"")</f>
        <v/>
      </c>
      <c r="E3084" t="str">
        <f>IFERROR(VLOOKUP(tbEscolas[[#This Row],[COD ETPA]],tbEtapas[],2,FALSE),"")</f>
        <v/>
      </c>
      <c r="F3084" t="str">
        <f>IFERROR(VLOOKUP(tbEscolas[[#This Row],[COD ETPA]],tbEtapas[],3,FALSE),"")</f>
        <v/>
      </c>
    </row>
    <row r="3085" spans="1:6" x14ac:dyDescent="0.25">
      <c r="A3085" s="24" t="str">
        <f>_xlfn.XLOOKUP(tbEscolas[[#This Row],[ESCOLA]],tbNucleo[ESCOLA],tbNucleo[COD ESCOLA],"")</f>
        <v/>
      </c>
      <c r="B3085" t="str" cm="1">
        <f t="array" ref="B3085">IFERROR(INDEX(tbNucleo[ESCOLA],ROUNDUP(ROW(B3084)/TotalEtapas,0)),"")</f>
        <v/>
      </c>
      <c r="E3085" t="str">
        <f>IFERROR(VLOOKUP(tbEscolas[[#This Row],[COD ETPA]],tbEtapas[],2,FALSE),"")</f>
        <v/>
      </c>
      <c r="F3085" t="str">
        <f>IFERROR(VLOOKUP(tbEscolas[[#This Row],[COD ETPA]],tbEtapas[],3,FALSE),"")</f>
        <v/>
      </c>
    </row>
    <row r="3086" spans="1:6" x14ac:dyDescent="0.25">
      <c r="A3086" s="24" t="str">
        <f>_xlfn.XLOOKUP(tbEscolas[[#This Row],[ESCOLA]],tbNucleo[ESCOLA],tbNucleo[COD ESCOLA],"")</f>
        <v/>
      </c>
      <c r="B3086" t="str" cm="1">
        <f t="array" ref="B3086">IFERROR(INDEX(tbNucleo[ESCOLA],ROUNDUP(ROW(B3085)/TotalEtapas,0)),"")</f>
        <v/>
      </c>
      <c r="E3086" t="str">
        <f>IFERROR(VLOOKUP(tbEscolas[[#This Row],[COD ETPA]],tbEtapas[],2,FALSE),"")</f>
        <v/>
      </c>
      <c r="F3086" t="str">
        <f>IFERROR(VLOOKUP(tbEscolas[[#This Row],[COD ETPA]],tbEtapas[],3,FALSE),"")</f>
        <v/>
      </c>
    </row>
    <row r="3087" spans="1:6" x14ac:dyDescent="0.25">
      <c r="A3087" s="24" t="str">
        <f>_xlfn.XLOOKUP(tbEscolas[[#This Row],[ESCOLA]],tbNucleo[ESCOLA],tbNucleo[COD ESCOLA],"")</f>
        <v/>
      </c>
      <c r="B3087" t="str" cm="1">
        <f t="array" ref="B3087">IFERROR(INDEX(tbNucleo[ESCOLA],ROUNDUP(ROW(B3086)/TotalEtapas,0)),"")</f>
        <v/>
      </c>
      <c r="E3087" t="str">
        <f>IFERROR(VLOOKUP(tbEscolas[[#This Row],[COD ETPA]],tbEtapas[],2,FALSE),"")</f>
        <v/>
      </c>
      <c r="F3087" t="str">
        <f>IFERROR(VLOOKUP(tbEscolas[[#This Row],[COD ETPA]],tbEtapas[],3,FALSE),"")</f>
        <v/>
      </c>
    </row>
    <row r="3088" spans="1:6" x14ac:dyDescent="0.25">
      <c r="A3088" s="24" t="str">
        <f>_xlfn.XLOOKUP(tbEscolas[[#This Row],[ESCOLA]],tbNucleo[ESCOLA],tbNucleo[COD ESCOLA],"")</f>
        <v/>
      </c>
      <c r="B3088" t="str" cm="1">
        <f t="array" ref="B3088">IFERROR(INDEX(tbNucleo[ESCOLA],ROUNDUP(ROW(B3087)/TotalEtapas,0)),"")</f>
        <v/>
      </c>
      <c r="E3088" t="str">
        <f>IFERROR(VLOOKUP(tbEscolas[[#This Row],[COD ETPA]],tbEtapas[],2,FALSE),"")</f>
        <v/>
      </c>
      <c r="F3088" t="str">
        <f>IFERROR(VLOOKUP(tbEscolas[[#This Row],[COD ETPA]],tbEtapas[],3,FALSE),"")</f>
        <v/>
      </c>
    </row>
    <row r="3089" spans="1:6" x14ac:dyDescent="0.25">
      <c r="A3089" s="24" t="str">
        <f>_xlfn.XLOOKUP(tbEscolas[[#This Row],[ESCOLA]],tbNucleo[ESCOLA],tbNucleo[COD ESCOLA],"")</f>
        <v/>
      </c>
      <c r="B3089" t="str" cm="1">
        <f t="array" ref="B3089">IFERROR(INDEX(tbNucleo[ESCOLA],ROUNDUP(ROW(B3088)/TotalEtapas,0)),"")</f>
        <v/>
      </c>
      <c r="E3089" t="str">
        <f>IFERROR(VLOOKUP(tbEscolas[[#This Row],[COD ETPA]],tbEtapas[],2,FALSE),"")</f>
        <v/>
      </c>
      <c r="F3089" t="str">
        <f>IFERROR(VLOOKUP(tbEscolas[[#This Row],[COD ETPA]],tbEtapas[],3,FALSE),"")</f>
        <v/>
      </c>
    </row>
    <row r="3090" spans="1:6" x14ac:dyDescent="0.25">
      <c r="A3090" s="24" t="str">
        <f>_xlfn.XLOOKUP(tbEscolas[[#This Row],[ESCOLA]],tbNucleo[ESCOLA],tbNucleo[COD ESCOLA],"")</f>
        <v/>
      </c>
      <c r="B3090" t="str" cm="1">
        <f t="array" ref="B3090">IFERROR(INDEX(tbNucleo[ESCOLA],ROUNDUP(ROW(B3089)/TotalEtapas,0)),"")</f>
        <v/>
      </c>
      <c r="E3090" t="str">
        <f>IFERROR(VLOOKUP(tbEscolas[[#This Row],[COD ETPA]],tbEtapas[],2,FALSE),"")</f>
        <v/>
      </c>
      <c r="F3090" t="str">
        <f>IFERROR(VLOOKUP(tbEscolas[[#This Row],[COD ETPA]],tbEtapas[],3,FALSE),"")</f>
        <v/>
      </c>
    </row>
    <row r="3091" spans="1:6" x14ac:dyDescent="0.25">
      <c r="A3091" s="24" t="str">
        <f>_xlfn.XLOOKUP(tbEscolas[[#This Row],[ESCOLA]],tbNucleo[ESCOLA],tbNucleo[COD ESCOLA],"")</f>
        <v/>
      </c>
      <c r="B3091" t="str" cm="1">
        <f t="array" ref="B3091">IFERROR(INDEX(tbNucleo[ESCOLA],ROUNDUP(ROW(B3090)/TotalEtapas,0)),"")</f>
        <v/>
      </c>
      <c r="E3091" t="str">
        <f>IFERROR(VLOOKUP(tbEscolas[[#This Row],[COD ETPA]],tbEtapas[],2,FALSE),"")</f>
        <v/>
      </c>
      <c r="F3091" t="str">
        <f>IFERROR(VLOOKUP(tbEscolas[[#This Row],[COD ETPA]],tbEtapas[],3,FALSE),"")</f>
        <v/>
      </c>
    </row>
    <row r="3092" spans="1:6" x14ac:dyDescent="0.25">
      <c r="A3092" s="24" t="str">
        <f>_xlfn.XLOOKUP(tbEscolas[[#This Row],[ESCOLA]],tbNucleo[ESCOLA],tbNucleo[COD ESCOLA],"")</f>
        <v/>
      </c>
      <c r="B3092" t="str" cm="1">
        <f t="array" ref="B3092">IFERROR(INDEX(tbNucleo[ESCOLA],ROUNDUP(ROW(B3091)/TotalEtapas,0)),"")</f>
        <v/>
      </c>
      <c r="E3092" t="str">
        <f>IFERROR(VLOOKUP(tbEscolas[[#This Row],[COD ETPA]],tbEtapas[],2,FALSE),"")</f>
        <v/>
      </c>
      <c r="F3092" t="str">
        <f>IFERROR(VLOOKUP(tbEscolas[[#This Row],[COD ETPA]],tbEtapas[],3,FALSE),"")</f>
        <v/>
      </c>
    </row>
    <row r="3093" spans="1:6" x14ac:dyDescent="0.25">
      <c r="A3093" s="24" t="str">
        <f>_xlfn.XLOOKUP(tbEscolas[[#This Row],[ESCOLA]],tbNucleo[ESCOLA],tbNucleo[COD ESCOLA],"")</f>
        <v/>
      </c>
      <c r="B3093" t="str" cm="1">
        <f t="array" ref="B3093">IFERROR(INDEX(tbNucleo[ESCOLA],ROUNDUP(ROW(B3092)/TotalEtapas,0)),"")</f>
        <v/>
      </c>
      <c r="E3093" t="str">
        <f>IFERROR(VLOOKUP(tbEscolas[[#This Row],[COD ETPA]],tbEtapas[],2,FALSE),"")</f>
        <v/>
      </c>
      <c r="F3093" t="str">
        <f>IFERROR(VLOOKUP(tbEscolas[[#This Row],[COD ETPA]],tbEtapas[],3,FALSE),"")</f>
        <v/>
      </c>
    </row>
    <row r="3094" spans="1:6" x14ac:dyDescent="0.25">
      <c r="A3094" s="24" t="str">
        <f>_xlfn.XLOOKUP(tbEscolas[[#This Row],[ESCOLA]],tbNucleo[ESCOLA],tbNucleo[COD ESCOLA],"")</f>
        <v/>
      </c>
      <c r="B3094" t="str" cm="1">
        <f t="array" ref="B3094">IFERROR(INDEX(tbNucleo[ESCOLA],ROUNDUP(ROW(B3093)/TotalEtapas,0)),"")</f>
        <v/>
      </c>
      <c r="E3094" t="str">
        <f>IFERROR(VLOOKUP(tbEscolas[[#This Row],[COD ETPA]],tbEtapas[],2,FALSE),"")</f>
        <v/>
      </c>
      <c r="F3094" t="str">
        <f>IFERROR(VLOOKUP(tbEscolas[[#This Row],[COD ETPA]],tbEtapas[],3,FALSE),"")</f>
        <v/>
      </c>
    </row>
    <row r="3095" spans="1:6" x14ac:dyDescent="0.25">
      <c r="A3095" s="24" t="str">
        <f>_xlfn.XLOOKUP(tbEscolas[[#This Row],[ESCOLA]],tbNucleo[ESCOLA],tbNucleo[COD ESCOLA],"")</f>
        <v/>
      </c>
      <c r="B3095" t="str" cm="1">
        <f t="array" ref="B3095">IFERROR(INDEX(tbNucleo[ESCOLA],ROUNDUP(ROW(B3094)/TotalEtapas,0)),"")</f>
        <v/>
      </c>
      <c r="E3095" t="str">
        <f>IFERROR(VLOOKUP(tbEscolas[[#This Row],[COD ETPA]],tbEtapas[],2,FALSE),"")</f>
        <v/>
      </c>
      <c r="F3095" t="str">
        <f>IFERROR(VLOOKUP(tbEscolas[[#This Row],[COD ETPA]],tbEtapas[],3,FALSE),"")</f>
        <v/>
      </c>
    </row>
    <row r="3096" spans="1:6" x14ac:dyDescent="0.25">
      <c r="A3096" s="24" t="str">
        <f>_xlfn.XLOOKUP(tbEscolas[[#This Row],[ESCOLA]],tbNucleo[ESCOLA],tbNucleo[COD ESCOLA],"")</f>
        <v/>
      </c>
      <c r="B3096" t="str" cm="1">
        <f t="array" ref="B3096">IFERROR(INDEX(tbNucleo[ESCOLA],ROUNDUP(ROW(B3095)/TotalEtapas,0)),"")</f>
        <v/>
      </c>
      <c r="E3096" t="str">
        <f>IFERROR(VLOOKUP(tbEscolas[[#This Row],[COD ETPA]],tbEtapas[],2,FALSE),"")</f>
        <v/>
      </c>
      <c r="F3096" t="str">
        <f>IFERROR(VLOOKUP(tbEscolas[[#This Row],[COD ETPA]],tbEtapas[],3,FALSE),"")</f>
        <v/>
      </c>
    </row>
    <row r="3097" spans="1:6" x14ac:dyDescent="0.25">
      <c r="A3097" s="24" t="str">
        <f>_xlfn.XLOOKUP(tbEscolas[[#This Row],[ESCOLA]],tbNucleo[ESCOLA],tbNucleo[COD ESCOLA],"")</f>
        <v/>
      </c>
      <c r="B3097" t="str" cm="1">
        <f t="array" ref="B3097">IFERROR(INDEX(tbNucleo[ESCOLA],ROUNDUP(ROW(B3096)/TotalEtapas,0)),"")</f>
        <v/>
      </c>
      <c r="E3097" t="str">
        <f>IFERROR(VLOOKUP(tbEscolas[[#This Row],[COD ETPA]],tbEtapas[],2,FALSE),"")</f>
        <v/>
      </c>
      <c r="F3097" t="str">
        <f>IFERROR(VLOOKUP(tbEscolas[[#This Row],[COD ETPA]],tbEtapas[],3,FALSE),"")</f>
        <v/>
      </c>
    </row>
    <row r="3098" spans="1:6" x14ac:dyDescent="0.25">
      <c r="A3098" s="24" t="str">
        <f>_xlfn.XLOOKUP(tbEscolas[[#This Row],[ESCOLA]],tbNucleo[ESCOLA],tbNucleo[COD ESCOLA],"")</f>
        <v/>
      </c>
      <c r="B3098" t="str" cm="1">
        <f t="array" ref="B3098">IFERROR(INDEX(tbNucleo[ESCOLA],ROUNDUP(ROW(B3097)/TotalEtapas,0)),"")</f>
        <v/>
      </c>
      <c r="E3098" t="str">
        <f>IFERROR(VLOOKUP(tbEscolas[[#This Row],[COD ETPA]],tbEtapas[],2,FALSE),"")</f>
        <v/>
      </c>
      <c r="F3098" t="str">
        <f>IFERROR(VLOOKUP(tbEscolas[[#This Row],[COD ETPA]],tbEtapas[],3,FALSE),"")</f>
        <v/>
      </c>
    </row>
    <row r="3099" spans="1:6" x14ac:dyDescent="0.25">
      <c r="A3099" s="24" t="str">
        <f>_xlfn.XLOOKUP(tbEscolas[[#This Row],[ESCOLA]],tbNucleo[ESCOLA],tbNucleo[COD ESCOLA],"")</f>
        <v/>
      </c>
      <c r="B3099" t="str" cm="1">
        <f t="array" ref="B3099">IFERROR(INDEX(tbNucleo[ESCOLA],ROUNDUP(ROW(B3098)/TotalEtapas,0)),"")</f>
        <v/>
      </c>
      <c r="E3099" t="str">
        <f>IFERROR(VLOOKUP(tbEscolas[[#This Row],[COD ETPA]],tbEtapas[],2,FALSE),"")</f>
        <v/>
      </c>
      <c r="F3099" t="str">
        <f>IFERROR(VLOOKUP(tbEscolas[[#This Row],[COD ETPA]],tbEtapas[],3,FALSE),"")</f>
        <v/>
      </c>
    </row>
    <row r="3100" spans="1:6" x14ac:dyDescent="0.25">
      <c r="A3100" s="24" t="str">
        <f>_xlfn.XLOOKUP(tbEscolas[[#This Row],[ESCOLA]],tbNucleo[ESCOLA],tbNucleo[COD ESCOLA],"")</f>
        <v/>
      </c>
      <c r="B3100" t="str" cm="1">
        <f t="array" ref="B3100">IFERROR(INDEX(tbNucleo[ESCOLA],ROUNDUP(ROW(B3099)/TotalEtapas,0)),"")</f>
        <v/>
      </c>
      <c r="E3100" t="str">
        <f>IFERROR(VLOOKUP(tbEscolas[[#This Row],[COD ETPA]],tbEtapas[],2,FALSE),"")</f>
        <v/>
      </c>
      <c r="F3100" t="str">
        <f>IFERROR(VLOOKUP(tbEscolas[[#This Row],[COD ETPA]],tbEtapas[],3,FALSE),"")</f>
        <v/>
      </c>
    </row>
    <row r="3101" spans="1:6" x14ac:dyDescent="0.25">
      <c r="A3101" s="24" t="str">
        <f>_xlfn.XLOOKUP(tbEscolas[[#This Row],[ESCOLA]],tbNucleo[ESCOLA],tbNucleo[COD ESCOLA],"")</f>
        <v/>
      </c>
      <c r="B3101" t="str" cm="1">
        <f t="array" ref="B3101">IFERROR(INDEX(tbNucleo[ESCOLA],ROUNDUP(ROW(B3100)/TotalEtapas,0)),"")</f>
        <v/>
      </c>
      <c r="E3101" t="str">
        <f>IFERROR(VLOOKUP(tbEscolas[[#This Row],[COD ETPA]],tbEtapas[],2,FALSE),"")</f>
        <v/>
      </c>
      <c r="F3101" t="str">
        <f>IFERROR(VLOOKUP(tbEscolas[[#This Row],[COD ETPA]],tbEtapas[],3,FALSE),"")</f>
        <v/>
      </c>
    </row>
    <row r="3102" spans="1:6" x14ac:dyDescent="0.25">
      <c r="A3102" s="24" t="str">
        <f>_xlfn.XLOOKUP(tbEscolas[[#This Row],[ESCOLA]],tbNucleo[ESCOLA],tbNucleo[COD ESCOLA],"")</f>
        <v/>
      </c>
      <c r="B3102" t="str" cm="1">
        <f t="array" ref="B3102">IFERROR(INDEX(tbNucleo[ESCOLA],ROUNDUP(ROW(B3101)/TotalEtapas,0)),"")</f>
        <v/>
      </c>
      <c r="E3102" t="str">
        <f>IFERROR(VLOOKUP(tbEscolas[[#This Row],[COD ETPA]],tbEtapas[],2,FALSE),"")</f>
        <v/>
      </c>
      <c r="F3102" t="str">
        <f>IFERROR(VLOOKUP(tbEscolas[[#This Row],[COD ETPA]],tbEtapas[],3,FALSE),"")</f>
        <v/>
      </c>
    </row>
    <row r="3103" spans="1:6" x14ac:dyDescent="0.25">
      <c r="A3103" s="24" t="str">
        <f>_xlfn.XLOOKUP(tbEscolas[[#This Row],[ESCOLA]],tbNucleo[ESCOLA],tbNucleo[COD ESCOLA],"")</f>
        <v/>
      </c>
      <c r="B3103" t="str" cm="1">
        <f t="array" ref="B3103">IFERROR(INDEX(tbNucleo[ESCOLA],ROUNDUP(ROW(B3102)/TotalEtapas,0)),"")</f>
        <v/>
      </c>
      <c r="E3103" t="str">
        <f>IFERROR(VLOOKUP(tbEscolas[[#This Row],[COD ETPA]],tbEtapas[],2,FALSE),"")</f>
        <v/>
      </c>
      <c r="F3103" t="str">
        <f>IFERROR(VLOOKUP(tbEscolas[[#This Row],[COD ETPA]],tbEtapas[],3,FALSE),"")</f>
        <v/>
      </c>
    </row>
    <row r="3104" spans="1:6" x14ac:dyDescent="0.25">
      <c r="A3104" s="24" t="str">
        <f>_xlfn.XLOOKUP(tbEscolas[[#This Row],[ESCOLA]],tbNucleo[ESCOLA],tbNucleo[COD ESCOLA],"")</f>
        <v/>
      </c>
      <c r="B3104" t="str" cm="1">
        <f t="array" ref="B3104">IFERROR(INDEX(tbNucleo[ESCOLA],ROUNDUP(ROW(B3103)/TotalEtapas,0)),"")</f>
        <v/>
      </c>
      <c r="E3104" t="str">
        <f>IFERROR(VLOOKUP(tbEscolas[[#This Row],[COD ETPA]],tbEtapas[],2,FALSE),"")</f>
        <v/>
      </c>
      <c r="F3104" t="str">
        <f>IFERROR(VLOOKUP(tbEscolas[[#This Row],[COD ETPA]],tbEtapas[],3,FALSE),"")</f>
        <v/>
      </c>
    </row>
    <row r="3105" spans="1:6" x14ac:dyDescent="0.25">
      <c r="A3105" s="24" t="str">
        <f>_xlfn.XLOOKUP(tbEscolas[[#This Row],[ESCOLA]],tbNucleo[ESCOLA],tbNucleo[COD ESCOLA],"")</f>
        <v/>
      </c>
      <c r="B3105" t="str" cm="1">
        <f t="array" ref="B3105">IFERROR(INDEX(tbNucleo[ESCOLA],ROUNDUP(ROW(B3104)/TotalEtapas,0)),"")</f>
        <v/>
      </c>
      <c r="E3105" t="str">
        <f>IFERROR(VLOOKUP(tbEscolas[[#This Row],[COD ETPA]],tbEtapas[],2,FALSE),"")</f>
        <v/>
      </c>
      <c r="F3105" t="str">
        <f>IFERROR(VLOOKUP(tbEscolas[[#This Row],[COD ETPA]],tbEtapas[],3,FALSE),"")</f>
        <v/>
      </c>
    </row>
    <row r="3106" spans="1:6" x14ac:dyDescent="0.25">
      <c r="A3106" s="24" t="str">
        <f>_xlfn.XLOOKUP(tbEscolas[[#This Row],[ESCOLA]],tbNucleo[ESCOLA],tbNucleo[COD ESCOLA],"")</f>
        <v/>
      </c>
      <c r="B3106" t="str" cm="1">
        <f t="array" ref="B3106">IFERROR(INDEX(tbNucleo[ESCOLA],ROUNDUP(ROW(B3105)/TotalEtapas,0)),"")</f>
        <v/>
      </c>
      <c r="E3106" t="str">
        <f>IFERROR(VLOOKUP(tbEscolas[[#This Row],[COD ETPA]],tbEtapas[],2,FALSE),"")</f>
        <v/>
      </c>
      <c r="F3106" t="str">
        <f>IFERROR(VLOOKUP(tbEscolas[[#This Row],[COD ETPA]],tbEtapas[],3,FALSE),"")</f>
        <v/>
      </c>
    </row>
    <row r="3107" spans="1:6" x14ac:dyDescent="0.25">
      <c r="A3107" s="24" t="str">
        <f>_xlfn.XLOOKUP(tbEscolas[[#This Row],[ESCOLA]],tbNucleo[ESCOLA],tbNucleo[COD ESCOLA],"")</f>
        <v/>
      </c>
      <c r="B3107" t="str" cm="1">
        <f t="array" ref="B3107">IFERROR(INDEX(tbNucleo[ESCOLA],ROUNDUP(ROW(B3106)/TotalEtapas,0)),"")</f>
        <v/>
      </c>
      <c r="E3107" t="str">
        <f>IFERROR(VLOOKUP(tbEscolas[[#This Row],[COD ETPA]],tbEtapas[],2,FALSE),"")</f>
        <v/>
      </c>
      <c r="F3107" t="str">
        <f>IFERROR(VLOOKUP(tbEscolas[[#This Row],[COD ETPA]],tbEtapas[],3,FALSE),"")</f>
        <v/>
      </c>
    </row>
    <row r="3108" spans="1:6" x14ac:dyDescent="0.25">
      <c r="A3108" s="24" t="str">
        <f>_xlfn.XLOOKUP(tbEscolas[[#This Row],[ESCOLA]],tbNucleo[ESCOLA],tbNucleo[COD ESCOLA],"")</f>
        <v/>
      </c>
      <c r="B3108" t="str" cm="1">
        <f t="array" ref="B3108">IFERROR(INDEX(tbNucleo[ESCOLA],ROUNDUP(ROW(B3107)/TotalEtapas,0)),"")</f>
        <v/>
      </c>
      <c r="E3108" t="str">
        <f>IFERROR(VLOOKUP(tbEscolas[[#This Row],[COD ETPA]],tbEtapas[],2,FALSE),"")</f>
        <v/>
      </c>
      <c r="F3108" t="str">
        <f>IFERROR(VLOOKUP(tbEscolas[[#This Row],[COD ETPA]],tbEtapas[],3,FALSE),"")</f>
        <v/>
      </c>
    </row>
    <row r="3109" spans="1:6" x14ac:dyDescent="0.25">
      <c r="A3109" s="24" t="str">
        <f>_xlfn.XLOOKUP(tbEscolas[[#This Row],[ESCOLA]],tbNucleo[ESCOLA],tbNucleo[COD ESCOLA],"")</f>
        <v/>
      </c>
      <c r="B3109" t="str" cm="1">
        <f t="array" ref="B3109">IFERROR(INDEX(tbNucleo[ESCOLA],ROUNDUP(ROW(B3108)/TotalEtapas,0)),"")</f>
        <v/>
      </c>
      <c r="E3109" t="str">
        <f>IFERROR(VLOOKUP(tbEscolas[[#This Row],[COD ETPA]],tbEtapas[],2,FALSE),"")</f>
        <v/>
      </c>
      <c r="F3109" t="str">
        <f>IFERROR(VLOOKUP(tbEscolas[[#This Row],[COD ETPA]],tbEtapas[],3,FALSE),"")</f>
        <v/>
      </c>
    </row>
    <row r="3110" spans="1:6" x14ac:dyDescent="0.25">
      <c r="A3110" s="24" t="str">
        <f>_xlfn.XLOOKUP(tbEscolas[[#This Row],[ESCOLA]],tbNucleo[ESCOLA],tbNucleo[COD ESCOLA],"")</f>
        <v/>
      </c>
      <c r="B3110" t="str" cm="1">
        <f t="array" ref="B3110">IFERROR(INDEX(tbNucleo[ESCOLA],ROUNDUP(ROW(B3109)/TotalEtapas,0)),"")</f>
        <v/>
      </c>
      <c r="E3110" t="str">
        <f>IFERROR(VLOOKUP(tbEscolas[[#This Row],[COD ETPA]],tbEtapas[],2,FALSE),"")</f>
        <v/>
      </c>
      <c r="F3110" t="str">
        <f>IFERROR(VLOOKUP(tbEscolas[[#This Row],[COD ETPA]],tbEtapas[],3,FALSE),"")</f>
        <v/>
      </c>
    </row>
    <row r="3111" spans="1:6" x14ac:dyDescent="0.25">
      <c r="A3111" s="24" t="str">
        <f>_xlfn.XLOOKUP(tbEscolas[[#This Row],[ESCOLA]],tbNucleo[ESCOLA],tbNucleo[COD ESCOLA],"")</f>
        <v/>
      </c>
      <c r="B3111" t="str" cm="1">
        <f t="array" ref="B3111">IFERROR(INDEX(tbNucleo[ESCOLA],ROUNDUP(ROW(B3110)/TotalEtapas,0)),"")</f>
        <v/>
      </c>
      <c r="E3111" t="str">
        <f>IFERROR(VLOOKUP(tbEscolas[[#This Row],[COD ETPA]],tbEtapas[],2,FALSE),"")</f>
        <v/>
      </c>
      <c r="F3111" t="str">
        <f>IFERROR(VLOOKUP(tbEscolas[[#This Row],[COD ETPA]],tbEtapas[],3,FALSE),"")</f>
        <v/>
      </c>
    </row>
    <row r="3112" spans="1:6" x14ac:dyDescent="0.25">
      <c r="A3112" s="24" t="str">
        <f>_xlfn.XLOOKUP(tbEscolas[[#This Row],[ESCOLA]],tbNucleo[ESCOLA],tbNucleo[COD ESCOLA],"")</f>
        <v/>
      </c>
      <c r="B3112" t="str" cm="1">
        <f t="array" ref="B3112">IFERROR(INDEX(tbNucleo[ESCOLA],ROUNDUP(ROW(B3111)/TotalEtapas,0)),"")</f>
        <v/>
      </c>
      <c r="E3112" t="str">
        <f>IFERROR(VLOOKUP(tbEscolas[[#This Row],[COD ETPA]],tbEtapas[],2,FALSE),"")</f>
        <v/>
      </c>
      <c r="F3112" t="str">
        <f>IFERROR(VLOOKUP(tbEscolas[[#This Row],[COD ETPA]],tbEtapas[],3,FALSE),"")</f>
        <v/>
      </c>
    </row>
    <row r="3113" spans="1:6" x14ac:dyDescent="0.25">
      <c r="A3113" s="24" t="str">
        <f>_xlfn.XLOOKUP(tbEscolas[[#This Row],[ESCOLA]],tbNucleo[ESCOLA],tbNucleo[COD ESCOLA],"")</f>
        <v/>
      </c>
      <c r="B3113" t="str" cm="1">
        <f t="array" ref="B3113">IFERROR(INDEX(tbNucleo[ESCOLA],ROUNDUP(ROW(B3112)/TotalEtapas,0)),"")</f>
        <v/>
      </c>
      <c r="E3113" t="str">
        <f>IFERROR(VLOOKUP(tbEscolas[[#This Row],[COD ETPA]],tbEtapas[],2,FALSE),"")</f>
        <v/>
      </c>
      <c r="F3113" t="str">
        <f>IFERROR(VLOOKUP(tbEscolas[[#This Row],[COD ETPA]],tbEtapas[],3,FALSE),"")</f>
        <v/>
      </c>
    </row>
    <row r="3114" spans="1:6" x14ac:dyDescent="0.25">
      <c r="A3114" s="24" t="str">
        <f>_xlfn.XLOOKUP(tbEscolas[[#This Row],[ESCOLA]],tbNucleo[ESCOLA],tbNucleo[COD ESCOLA],"")</f>
        <v/>
      </c>
      <c r="B3114" t="str" cm="1">
        <f t="array" ref="B3114">IFERROR(INDEX(tbNucleo[ESCOLA],ROUNDUP(ROW(B3113)/TotalEtapas,0)),"")</f>
        <v/>
      </c>
      <c r="E3114" t="str">
        <f>IFERROR(VLOOKUP(tbEscolas[[#This Row],[COD ETPA]],tbEtapas[],2,FALSE),"")</f>
        <v/>
      </c>
      <c r="F3114" t="str">
        <f>IFERROR(VLOOKUP(tbEscolas[[#This Row],[COD ETPA]],tbEtapas[],3,FALSE),"")</f>
        <v/>
      </c>
    </row>
    <row r="3115" spans="1:6" x14ac:dyDescent="0.25">
      <c r="A3115" s="24" t="str">
        <f>_xlfn.XLOOKUP(tbEscolas[[#This Row],[ESCOLA]],tbNucleo[ESCOLA],tbNucleo[COD ESCOLA],"")</f>
        <v/>
      </c>
      <c r="B3115" t="str" cm="1">
        <f t="array" ref="B3115">IFERROR(INDEX(tbNucleo[ESCOLA],ROUNDUP(ROW(B3114)/TotalEtapas,0)),"")</f>
        <v/>
      </c>
      <c r="E3115" t="str">
        <f>IFERROR(VLOOKUP(tbEscolas[[#This Row],[COD ETPA]],tbEtapas[],2,FALSE),"")</f>
        <v/>
      </c>
      <c r="F3115" t="str">
        <f>IFERROR(VLOOKUP(tbEscolas[[#This Row],[COD ETPA]],tbEtapas[],3,FALSE),"")</f>
        <v/>
      </c>
    </row>
    <row r="3116" spans="1:6" x14ac:dyDescent="0.25">
      <c r="A3116" s="24" t="str">
        <f>_xlfn.XLOOKUP(tbEscolas[[#This Row],[ESCOLA]],tbNucleo[ESCOLA],tbNucleo[COD ESCOLA],"")</f>
        <v/>
      </c>
      <c r="B3116" t="str" cm="1">
        <f t="array" ref="B3116">IFERROR(INDEX(tbNucleo[ESCOLA],ROUNDUP(ROW(B3115)/TotalEtapas,0)),"")</f>
        <v/>
      </c>
      <c r="E3116" t="str">
        <f>IFERROR(VLOOKUP(tbEscolas[[#This Row],[COD ETPA]],tbEtapas[],2,FALSE),"")</f>
        <v/>
      </c>
      <c r="F3116" t="str">
        <f>IFERROR(VLOOKUP(tbEscolas[[#This Row],[COD ETPA]],tbEtapas[],3,FALSE),"")</f>
        <v/>
      </c>
    </row>
    <row r="3117" spans="1:6" x14ac:dyDescent="0.25">
      <c r="A3117" s="24" t="str">
        <f>_xlfn.XLOOKUP(tbEscolas[[#This Row],[ESCOLA]],tbNucleo[ESCOLA],tbNucleo[COD ESCOLA],"")</f>
        <v/>
      </c>
      <c r="B3117" t="str" cm="1">
        <f t="array" ref="B3117">IFERROR(INDEX(tbNucleo[ESCOLA],ROUNDUP(ROW(B3116)/TotalEtapas,0)),"")</f>
        <v/>
      </c>
      <c r="E3117" t="str">
        <f>IFERROR(VLOOKUP(tbEscolas[[#This Row],[COD ETPA]],tbEtapas[],2,FALSE),"")</f>
        <v/>
      </c>
      <c r="F3117" t="str">
        <f>IFERROR(VLOOKUP(tbEscolas[[#This Row],[COD ETPA]],tbEtapas[],3,FALSE),"")</f>
        <v/>
      </c>
    </row>
    <row r="3118" spans="1:6" x14ac:dyDescent="0.25">
      <c r="A3118" s="24" t="str">
        <f>_xlfn.XLOOKUP(tbEscolas[[#This Row],[ESCOLA]],tbNucleo[ESCOLA],tbNucleo[COD ESCOLA],"")</f>
        <v/>
      </c>
      <c r="B3118" t="str" cm="1">
        <f t="array" ref="B3118">IFERROR(INDEX(tbNucleo[ESCOLA],ROUNDUP(ROW(B3117)/TotalEtapas,0)),"")</f>
        <v/>
      </c>
      <c r="E3118" t="str">
        <f>IFERROR(VLOOKUP(tbEscolas[[#This Row],[COD ETPA]],tbEtapas[],2,FALSE),"")</f>
        <v/>
      </c>
      <c r="F3118" t="str">
        <f>IFERROR(VLOOKUP(tbEscolas[[#This Row],[COD ETPA]],tbEtapas[],3,FALSE),"")</f>
        <v/>
      </c>
    </row>
    <row r="3119" spans="1:6" x14ac:dyDescent="0.25">
      <c r="A3119" s="24" t="str">
        <f>_xlfn.XLOOKUP(tbEscolas[[#This Row],[ESCOLA]],tbNucleo[ESCOLA],tbNucleo[COD ESCOLA],"")</f>
        <v/>
      </c>
      <c r="B3119" t="str" cm="1">
        <f t="array" ref="B3119">IFERROR(INDEX(tbNucleo[ESCOLA],ROUNDUP(ROW(B3118)/TotalEtapas,0)),"")</f>
        <v/>
      </c>
      <c r="E3119" t="str">
        <f>IFERROR(VLOOKUP(tbEscolas[[#This Row],[COD ETPA]],tbEtapas[],2,FALSE),"")</f>
        <v/>
      </c>
      <c r="F3119" t="str">
        <f>IFERROR(VLOOKUP(tbEscolas[[#This Row],[COD ETPA]],tbEtapas[],3,FALSE),"")</f>
        <v/>
      </c>
    </row>
    <row r="3120" spans="1:6" x14ac:dyDescent="0.25">
      <c r="A3120" s="24" t="str">
        <f>_xlfn.XLOOKUP(tbEscolas[[#This Row],[ESCOLA]],tbNucleo[ESCOLA],tbNucleo[COD ESCOLA],"")</f>
        <v/>
      </c>
      <c r="B3120" t="str" cm="1">
        <f t="array" ref="B3120">IFERROR(INDEX(tbNucleo[ESCOLA],ROUNDUP(ROW(B3119)/TotalEtapas,0)),"")</f>
        <v/>
      </c>
      <c r="E3120" t="str">
        <f>IFERROR(VLOOKUP(tbEscolas[[#This Row],[COD ETPA]],tbEtapas[],2,FALSE),"")</f>
        <v/>
      </c>
      <c r="F3120" t="str">
        <f>IFERROR(VLOOKUP(tbEscolas[[#This Row],[COD ETPA]],tbEtapas[],3,FALSE),"")</f>
        <v/>
      </c>
    </row>
    <row r="3121" spans="1:6" x14ac:dyDescent="0.25">
      <c r="A3121" s="24" t="str">
        <f>_xlfn.XLOOKUP(tbEscolas[[#This Row],[ESCOLA]],tbNucleo[ESCOLA],tbNucleo[COD ESCOLA],"")</f>
        <v/>
      </c>
      <c r="B3121" t="str" cm="1">
        <f t="array" ref="B3121">IFERROR(INDEX(tbNucleo[ESCOLA],ROUNDUP(ROW(B3120)/TotalEtapas,0)),"")</f>
        <v/>
      </c>
      <c r="E3121" t="str">
        <f>IFERROR(VLOOKUP(tbEscolas[[#This Row],[COD ETPA]],tbEtapas[],2,FALSE),"")</f>
        <v/>
      </c>
      <c r="F3121" t="str">
        <f>IFERROR(VLOOKUP(tbEscolas[[#This Row],[COD ETPA]],tbEtapas[],3,FALSE),"")</f>
        <v/>
      </c>
    </row>
    <row r="3122" spans="1:6" x14ac:dyDescent="0.25">
      <c r="A3122" s="24" t="str">
        <f>_xlfn.XLOOKUP(tbEscolas[[#This Row],[ESCOLA]],tbNucleo[ESCOLA],tbNucleo[COD ESCOLA],"")</f>
        <v/>
      </c>
      <c r="B3122" t="str" cm="1">
        <f t="array" ref="B3122">IFERROR(INDEX(tbNucleo[ESCOLA],ROUNDUP(ROW(B3121)/TotalEtapas,0)),"")</f>
        <v/>
      </c>
      <c r="E3122" t="str">
        <f>IFERROR(VLOOKUP(tbEscolas[[#This Row],[COD ETPA]],tbEtapas[],2,FALSE),"")</f>
        <v/>
      </c>
      <c r="F3122" t="str">
        <f>IFERROR(VLOOKUP(tbEscolas[[#This Row],[COD ETPA]],tbEtapas[],3,FALSE),"")</f>
        <v/>
      </c>
    </row>
    <row r="3123" spans="1:6" x14ac:dyDescent="0.25">
      <c r="A3123" s="24" t="str">
        <f>_xlfn.XLOOKUP(tbEscolas[[#This Row],[ESCOLA]],tbNucleo[ESCOLA],tbNucleo[COD ESCOLA],"")</f>
        <v/>
      </c>
      <c r="B3123" t="str" cm="1">
        <f t="array" ref="B3123">IFERROR(INDEX(tbNucleo[ESCOLA],ROUNDUP(ROW(B3122)/TotalEtapas,0)),"")</f>
        <v/>
      </c>
      <c r="E3123" t="str">
        <f>IFERROR(VLOOKUP(tbEscolas[[#This Row],[COD ETPA]],tbEtapas[],2,FALSE),"")</f>
        <v/>
      </c>
      <c r="F3123" t="str">
        <f>IFERROR(VLOOKUP(tbEscolas[[#This Row],[COD ETPA]],tbEtapas[],3,FALSE),"")</f>
        <v/>
      </c>
    </row>
    <row r="3124" spans="1:6" x14ac:dyDescent="0.25">
      <c r="A3124" s="24" t="str">
        <f>_xlfn.XLOOKUP(tbEscolas[[#This Row],[ESCOLA]],tbNucleo[ESCOLA],tbNucleo[COD ESCOLA],"")</f>
        <v/>
      </c>
      <c r="B3124" t="str" cm="1">
        <f t="array" ref="B3124">IFERROR(INDEX(tbNucleo[ESCOLA],ROUNDUP(ROW(B3123)/TotalEtapas,0)),"")</f>
        <v/>
      </c>
      <c r="E3124" t="str">
        <f>IFERROR(VLOOKUP(tbEscolas[[#This Row],[COD ETPA]],tbEtapas[],2,FALSE),"")</f>
        <v/>
      </c>
      <c r="F3124" t="str">
        <f>IFERROR(VLOOKUP(tbEscolas[[#This Row],[COD ETPA]],tbEtapas[],3,FALSE),"")</f>
        <v/>
      </c>
    </row>
    <row r="3125" spans="1:6" x14ac:dyDescent="0.25">
      <c r="A3125" s="24" t="str">
        <f>_xlfn.XLOOKUP(tbEscolas[[#This Row],[ESCOLA]],tbNucleo[ESCOLA],tbNucleo[COD ESCOLA],"")</f>
        <v/>
      </c>
      <c r="B3125" t="str" cm="1">
        <f t="array" ref="B3125">IFERROR(INDEX(tbNucleo[ESCOLA],ROUNDUP(ROW(B3124)/TotalEtapas,0)),"")</f>
        <v/>
      </c>
      <c r="E3125" t="str">
        <f>IFERROR(VLOOKUP(tbEscolas[[#This Row],[COD ETPA]],tbEtapas[],2,FALSE),"")</f>
        <v/>
      </c>
      <c r="F3125" t="str">
        <f>IFERROR(VLOOKUP(tbEscolas[[#This Row],[COD ETPA]],tbEtapas[],3,FALSE),"")</f>
        <v/>
      </c>
    </row>
    <row r="3126" spans="1:6" x14ac:dyDescent="0.25">
      <c r="A3126" s="24" t="str">
        <f>_xlfn.XLOOKUP(tbEscolas[[#This Row],[ESCOLA]],tbNucleo[ESCOLA],tbNucleo[COD ESCOLA],"")</f>
        <v/>
      </c>
      <c r="B3126" t="str" cm="1">
        <f t="array" ref="B3126">IFERROR(INDEX(tbNucleo[ESCOLA],ROUNDUP(ROW(B3125)/TotalEtapas,0)),"")</f>
        <v/>
      </c>
      <c r="E3126" t="str">
        <f>IFERROR(VLOOKUP(tbEscolas[[#This Row],[COD ETPA]],tbEtapas[],2,FALSE),"")</f>
        <v/>
      </c>
      <c r="F3126" t="str">
        <f>IFERROR(VLOOKUP(tbEscolas[[#This Row],[COD ETPA]],tbEtapas[],3,FALSE),"")</f>
        <v/>
      </c>
    </row>
    <row r="3127" spans="1:6" x14ac:dyDescent="0.25">
      <c r="A3127" s="24" t="str">
        <f>_xlfn.XLOOKUP(tbEscolas[[#This Row],[ESCOLA]],tbNucleo[ESCOLA],tbNucleo[COD ESCOLA],"")</f>
        <v/>
      </c>
      <c r="B3127" t="str" cm="1">
        <f t="array" ref="B3127">IFERROR(INDEX(tbNucleo[ESCOLA],ROUNDUP(ROW(B3126)/TotalEtapas,0)),"")</f>
        <v/>
      </c>
      <c r="E3127" t="str">
        <f>IFERROR(VLOOKUP(tbEscolas[[#This Row],[COD ETPA]],tbEtapas[],2,FALSE),"")</f>
        <v/>
      </c>
      <c r="F3127" t="str">
        <f>IFERROR(VLOOKUP(tbEscolas[[#This Row],[COD ETPA]],tbEtapas[],3,FALSE),"")</f>
        <v/>
      </c>
    </row>
    <row r="3128" spans="1:6" x14ac:dyDescent="0.25">
      <c r="A3128" s="24" t="str">
        <f>_xlfn.XLOOKUP(tbEscolas[[#This Row],[ESCOLA]],tbNucleo[ESCOLA],tbNucleo[COD ESCOLA],"")</f>
        <v/>
      </c>
      <c r="B3128" t="str" cm="1">
        <f t="array" ref="B3128">IFERROR(INDEX(tbNucleo[ESCOLA],ROUNDUP(ROW(B3127)/TotalEtapas,0)),"")</f>
        <v/>
      </c>
      <c r="E3128" t="str">
        <f>IFERROR(VLOOKUP(tbEscolas[[#This Row],[COD ETPA]],tbEtapas[],2,FALSE),"")</f>
        <v/>
      </c>
      <c r="F3128" t="str">
        <f>IFERROR(VLOOKUP(tbEscolas[[#This Row],[COD ETPA]],tbEtapas[],3,FALSE),"")</f>
        <v/>
      </c>
    </row>
    <row r="3129" spans="1:6" x14ac:dyDescent="0.25">
      <c r="A3129" s="24" t="str">
        <f>_xlfn.XLOOKUP(tbEscolas[[#This Row],[ESCOLA]],tbNucleo[ESCOLA],tbNucleo[COD ESCOLA],"")</f>
        <v/>
      </c>
      <c r="B3129" t="str" cm="1">
        <f t="array" ref="B3129">IFERROR(INDEX(tbNucleo[ESCOLA],ROUNDUP(ROW(B3128)/TotalEtapas,0)),"")</f>
        <v/>
      </c>
      <c r="E3129" t="str">
        <f>IFERROR(VLOOKUP(tbEscolas[[#This Row],[COD ETPA]],tbEtapas[],2,FALSE),"")</f>
        <v/>
      </c>
      <c r="F3129" t="str">
        <f>IFERROR(VLOOKUP(tbEscolas[[#This Row],[COD ETPA]],tbEtapas[],3,FALSE),"")</f>
        <v/>
      </c>
    </row>
    <row r="3130" spans="1:6" x14ac:dyDescent="0.25">
      <c r="A3130" s="24" t="str">
        <f>_xlfn.XLOOKUP(tbEscolas[[#This Row],[ESCOLA]],tbNucleo[ESCOLA],tbNucleo[COD ESCOLA],"")</f>
        <v/>
      </c>
      <c r="B3130" t="str" cm="1">
        <f t="array" ref="B3130">IFERROR(INDEX(tbNucleo[ESCOLA],ROUNDUP(ROW(B3129)/TotalEtapas,0)),"")</f>
        <v/>
      </c>
      <c r="E3130" t="str">
        <f>IFERROR(VLOOKUP(tbEscolas[[#This Row],[COD ETPA]],tbEtapas[],2,FALSE),"")</f>
        <v/>
      </c>
      <c r="F3130" t="str">
        <f>IFERROR(VLOOKUP(tbEscolas[[#This Row],[COD ETPA]],tbEtapas[],3,FALSE),"")</f>
        <v/>
      </c>
    </row>
    <row r="3131" spans="1:6" x14ac:dyDescent="0.25">
      <c r="A3131" s="24" t="str">
        <f>_xlfn.XLOOKUP(tbEscolas[[#This Row],[ESCOLA]],tbNucleo[ESCOLA],tbNucleo[COD ESCOLA],"")</f>
        <v/>
      </c>
      <c r="B3131" t="str" cm="1">
        <f t="array" ref="B3131">IFERROR(INDEX(tbNucleo[ESCOLA],ROUNDUP(ROW(B3130)/TotalEtapas,0)),"")</f>
        <v/>
      </c>
      <c r="E3131" t="str">
        <f>IFERROR(VLOOKUP(tbEscolas[[#This Row],[COD ETPA]],tbEtapas[],2,FALSE),"")</f>
        <v/>
      </c>
      <c r="F3131" t="str">
        <f>IFERROR(VLOOKUP(tbEscolas[[#This Row],[COD ETPA]],tbEtapas[],3,FALSE),"")</f>
        <v/>
      </c>
    </row>
    <row r="3132" spans="1:6" x14ac:dyDescent="0.25">
      <c r="A3132" s="24" t="str">
        <f>_xlfn.XLOOKUP(tbEscolas[[#This Row],[ESCOLA]],tbNucleo[ESCOLA],tbNucleo[COD ESCOLA],"")</f>
        <v/>
      </c>
      <c r="B3132" t="str" cm="1">
        <f t="array" ref="B3132">IFERROR(INDEX(tbNucleo[ESCOLA],ROUNDUP(ROW(B3131)/TotalEtapas,0)),"")</f>
        <v/>
      </c>
      <c r="E3132" t="str">
        <f>IFERROR(VLOOKUP(tbEscolas[[#This Row],[COD ETPA]],tbEtapas[],2,FALSE),"")</f>
        <v/>
      </c>
      <c r="F3132" t="str">
        <f>IFERROR(VLOOKUP(tbEscolas[[#This Row],[COD ETPA]],tbEtapas[],3,FALSE),"")</f>
        <v/>
      </c>
    </row>
    <row r="3133" spans="1:6" x14ac:dyDescent="0.25">
      <c r="A3133" s="24" t="str">
        <f>_xlfn.XLOOKUP(tbEscolas[[#This Row],[ESCOLA]],tbNucleo[ESCOLA],tbNucleo[COD ESCOLA],"")</f>
        <v/>
      </c>
      <c r="B3133" t="str" cm="1">
        <f t="array" ref="B3133">IFERROR(INDEX(tbNucleo[ESCOLA],ROUNDUP(ROW(B3132)/TotalEtapas,0)),"")</f>
        <v/>
      </c>
      <c r="E3133" t="str">
        <f>IFERROR(VLOOKUP(tbEscolas[[#This Row],[COD ETPA]],tbEtapas[],2,FALSE),"")</f>
        <v/>
      </c>
      <c r="F3133" t="str">
        <f>IFERROR(VLOOKUP(tbEscolas[[#This Row],[COD ETPA]],tbEtapas[],3,FALSE),"")</f>
        <v/>
      </c>
    </row>
    <row r="3134" spans="1:6" x14ac:dyDescent="0.25">
      <c r="A3134" s="24" t="str">
        <f>_xlfn.XLOOKUP(tbEscolas[[#This Row],[ESCOLA]],tbNucleo[ESCOLA],tbNucleo[COD ESCOLA],"")</f>
        <v/>
      </c>
      <c r="B3134" t="str" cm="1">
        <f t="array" ref="B3134">IFERROR(INDEX(tbNucleo[ESCOLA],ROUNDUP(ROW(B3133)/TotalEtapas,0)),"")</f>
        <v/>
      </c>
      <c r="E3134" t="str">
        <f>IFERROR(VLOOKUP(tbEscolas[[#This Row],[COD ETPA]],tbEtapas[],2,FALSE),"")</f>
        <v/>
      </c>
      <c r="F3134" t="str">
        <f>IFERROR(VLOOKUP(tbEscolas[[#This Row],[COD ETPA]],tbEtapas[],3,FALSE),"")</f>
        <v/>
      </c>
    </row>
    <row r="3135" spans="1:6" x14ac:dyDescent="0.25">
      <c r="A3135" s="24" t="str">
        <f>_xlfn.XLOOKUP(tbEscolas[[#This Row],[ESCOLA]],tbNucleo[ESCOLA],tbNucleo[COD ESCOLA],"")</f>
        <v/>
      </c>
      <c r="B3135" t="str" cm="1">
        <f t="array" ref="B3135">IFERROR(INDEX(tbNucleo[ESCOLA],ROUNDUP(ROW(B3134)/TotalEtapas,0)),"")</f>
        <v/>
      </c>
      <c r="E3135" t="str">
        <f>IFERROR(VLOOKUP(tbEscolas[[#This Row],[COD ETPA]],tbEtapas[],2,FALSE),"")</f>
        <v/>
      </c>
      <c r="F3135" t="str">
        <f>IFERROR(VLOOKUP(tbEscolas[[#This Row],[COD ETPA]],tbEtapas[],3,FALSE),"")</f>
        <v/>
      </c>
    </row>
    <row r="3136" spans="1:6" x14ac:dyDescent="0.25">
      <c r="A3136" s="24" t="str">
        <f>_xlfn.XLOOKUP(tbEscolas[[#This Row],[ESCOLA]],tbNucleo[ESCOLA],tbNucleo[COD ESCOLA],"")</f>
        <v/>
      </c>
      <c r="B3136" t="str" cm="1">
        <f t="array" ref="B3136">IFERROR(INDEX(tbNucleo[ESCOLA],ROUNDUP(ROW(B3135)/TotalEtapas,0)),"")</f>
        <v/>
      </c>
      <c r="E3136" t="str">
        <f>IFERROR(VLOOKUP(tbEscolas[[#This Row],[COD ETPA]],tbEtapas[],2,FALSE),"")</f>
        <v/>
      </c>
      <c r="F3136" t="str">
        <f>IFERROR(VLOOKUP(tbEscolas[[#This Row],[COD ETPA]],tbEtapas[],3,FALSE),"")</f>
        <v/>
      </c>
    </row>
    <row r="3137" spans="1:6" x14ac:dyDescent="0.25">
      <c r="A3137" s="24" t="str">
        <f>_xlfn.XLOOKUP(tbEscolas[[#This Row],[ESCOLA]],tbNucleo[ESCOLA],tbNucleo[COD ESCOLA],"")</f>
        <v/>
      </c>
      <c r="B3137" t="str" cm="1">
        <f t="array" ref="B3137">IFERROR(INDEX(tbNucleo[ESCOLA],ROUNDUP(ROW(B3136)/TotalEtapas,0)),"")</f>
        <v/>
      </c>
      <c r="E3137" t="str">
        <f>IFERROR(VLOOKUP(tbEscolas[[#This Row],[COD ETPA]],tbEtapas[],2,FALSE),"")</f>
        <v/>
      </c>
      <c r="F3137" t="str">
        <f>IFERROR(VLOOKUP(tbEscolas[[#This Row],[COD ETPA]],tbEtapas[],3,FALSE),"")</f>
        <v/>
      </c>
    </row>
    <row r="3138" spans="1:6" x14ac:dyDescent="0.25">
      <c r="A3138" s="24" t="str">
        <f>_xlfn.XLOOKUP(tbEscolas[[#This Row],[ESCOLA]],tbNucleo[ESCOLA],tbNucleo[COD ESCOLA],"")</f>
        <v/>
      </c>
      <c r="B3138" t="str" cm="1">
        <f t="array" ref="B3138">IFERROR(INDEX(tbNucleo[ESCOLA],ROUNDUP(ROW(B3137)/TotalEtapas,0)),"")</f>
        <v/>
      </c>
      <c r="E3138" t="str">
        <f>IFERROR(VLOOKUP(tbEscolas[[#This Row],[COD ETPA]],tbEtapas[],2,FALSE),"")</f>
        <v/>
      </c>
      <c r="F3138" t="str">
        <f>IFERROR(VLOOKUP(tbEscolas[[#This Row],[COD ETPA]],tbEtapas[],3,FALSE),"")</f>
        <v/>
      </c>
    </row>
    <row r="3139" spans="1:6" x14ac:dyDescent="0.25">
      <c r="A3139" s="24" t="str">
        <f>_xlfn.XLOOKUP(tbEscolas[[#This Row],[ESCOLA]],tbNucleo[ESCOLA],tbNucleo[COD ESCOLA],"")</f>
        <v/>
      </c>
      <c r="B3139" t="str" cm="1">
        <f t="array" ref="B3139">IFERROR(INDEX(tbNucleo[ESCOLA],ROUNDUP(ROW(B3138)/TotalEtapas,0)),"")</f>
        <v/>
      </c>
      <c r="E3139" t="str">
        <f>IFERROR(VLOOKUP(tbEscolas[[#This Row],[COD ETPA]],tbEtapas[],2,FALSE),"")</f>
        <v/>
      </c>
      <c r="F3139" t="str">
        <f>IFERROR(VLOOKUP(tbEscolas[[#This Row],[COD ETPA]],tbEtapas[],3,FALSE),"")</f>
        <v/>
      </c>
    </row>
    <row r="3140" spans="1:6" x14ac:dyDescent="0.25">
      <c r="A3140" s="24" t="str">
        <f>_xlfn.XLOOKUP(tbEscolas[[#This Row],[ESCOLA]],tbNucleo[ESCOLA],tbNucleo[COD ESCOLA],"")</f>
        <v/>
      </c>
      <c r="B3140" t="str" cm="1">
        <f t="array" ref="B3140">IFERROR(INDEX(tbNucleo[ESCOLA],ROUNDUP(ROW(B3139)/TotalEtapas,0)),"")</f>
        <v/>
      </c>
      <c r="E3140" t="str">
        <f>IFERROR(VLOOKUP(tbEscolas[[#This Row],[COD ETPA]],tbEtapas[],2,FALSE),"")</f>
        <v/>
      </c>
      <c r="F3140" t="str">
        <f>IFERROR(VLOOKUP(tbEscolas[[#This Row],[COD ETPA]],tbEtapas[],3,FALSE),"")</f>
        <v/>
      </c>
    </row>
    <row r="3141" spans="1:6" x14ac:dyDescent="0.25">
      <c r="A3141" s="24" t="str">
        <f>_xlfn.XLOOKUP(tbEscolas[[#This Row],[ESCOLA]],tbNucleo[ESCOLA],tbNucleo[COD ESCOLA],"")</f>
        <v/>
      </c>
      <c r="B3141" t="str" cm="1">
        <f t="array" ref="B3141">IFERROR(INDEX(tbNucleo[ESCOLA],ROUNDUP(ROW(B3140)/TotalEtapas,0)),"")</f>
        <v/>
      </c>
      <c r="E3141" t="str">
        <f>IFERROR(VLOOKUP(tbEscolas[[#This Row],[COD ETPA]],tbEtapas[],2,FALSE),"")</f>
        <v/>
      </c>
      <c r="F3141" t="str">
        <f>IFERROR(VLOOKUP(tbEscolas[[#This Row],[COD ETPA]],tbEtapas[],3,FALSE),"")</f>
        <v/>
      </c>
    </row>
    <row r="3142" spans="1:6" x14ac:dyDescent="0.25">
      <c r="A3142" s="24" t="str">
        <f>_xlfn.XLOOKUP(tbEscolas[[#This Row],[ESCOLA]],tbNucleo[ESCOLA],tbNucleo[COD ESCOLA],"")</f>
        <v/>
      </c>
      <c r="B3142" t="str" cm="1">
        <f t="array" ref="B3142">IFERROR(INDEX(tbNucleo[ESCOLA],ROUNDUP(ROW(B3141)/TotalEtapas,0)),"")</f>
        <v/>
      </c>
      <c r="E3142" t="str">
        <f>IFERROR(VLOOKUP(tbEscolas[[#This Row],[COD ETPA]],tbEtapas[],2,FALSE),"")</f>
        <v/>
      </c>
      <c r="F3142" t="str">
        <f>IFERROR(VLOOKUP(tbEscolas[[#This Row],[COD ETPA]],tbEtapas[],3,FALSE),"")</f>
        <v/>
      </c>
    </row>
    <row r="3143" spans="1:6" x14ac:dyDescent="0.25">
      <c r="A3143" s="24" t="str">
        <f>_xlfn.XLOOKUP(tbEscolas[[#This Row],[ESCOLA]],tbNucleo[ESCOLA],tbNucleo[COD ESCOLA],"")</f>
        <v/>
      </c>
      <c r="B3143" t="str" cm="1">
        <f t="array" ref="B3143">IFERROR(INDEX(tbNucleo[ESCOLA],ROUNDUP(ROW(B3142)/TotalEtapas,0)),"")</f>
        <v/>
      </c>
      <c r="E3143" t="str">
        <f>IFERROR(VLOOKUP(tbEscolas[[#This Row],[COD ETPA]],tbEtapas[],2,FALSE),"")</f>
        <v/>
      </c>
      <c r="F3143" t="str">
        <f>IFERROR(VLOOKUP(tbEscolas[[#This Row],[COD ETPA]],tbEtapas[],3,FALSE),"")</f>
        <v/>
      </c>
    </row>
    <row r="3144" spans="1:6" x14ac:dyDescent="0.25">
      <c r="A3144" s="24" t="str">
        <f>_xlfn.XLOOKUP(tbEscolas[[#This Row],[ESCOLA]],tbNucleo[ESCOLA],tbNucleo[COD ESCOLA],"")</f>
        <v/>
      </c>
      <c r="B3144" t="str" cm="1">
        <f t="array" ref="B3144">IFERROR(INDEX(tbNucleo[ESCOLA],ROUNDUP(ROW(B3143)/TotalEtapas,0)),"")</f>
        <v/>
      </c>
      <c r="E3144" t="str">
        <f>IFERROR(VLOOKUP(tbEscolas[[#This Row],[COD ETPA]],tbEtapas[],2,FALSE),"")</f>
        <v/>
      </c>
      <c r="F3144" t="str">
        <f>IFERROR(VLOOKUP(tbEscolas[[#This Row],[COD ETPA]],tbEtapas[],3,FALSE),"")</f>
        <v/>
      </c>
    </row>
    <row r="3145" spans="1:6" x14ac:dyDescent="0.25">
      <c r="A3145" s="24" t="str">
        <f>_xlfn.XLOOKUP(tbEscolas[[#This Row],[ESCOLA]],tbNucleo[ESCOLA],tbNucleo[COD ESCOLA],"")</f>
        <v/>
      </c>
      <c r="B3145" t="str" cm="1">
        <f t="array" ref="B3145">IFERROR(INDEX(tbNucleo[ESCOLA],ROUNDUP(ROW(B3144)/TotalEtapas,0)),"")</f>
        <v/>
      </c>
      <c r="E3145" t="str">
        <f>IFERROR(VLOOKUP(tbEscolas[[#This Row],[COD ETPA]],tbEtapas[],2,FALSE),"")</f>
        <v/>
      </c>
      <c r="F3145" t="str">
        <f>IFERROR(VLOOKUP(tbEscolas[[#This Row],[COD ETPA]],tbEtapas[],3,FALSE),"")</f>
        <v/>
      </c>
    </row>
    <row r="3146" spans="1:6" x14ac:dyDescent="0.25">
      <c r="A3146" s="24" t="str">
        <f>_xlfn.XLOOKUP(tbEscolas[[#This Row],[ESCOLA]],tbNucleo[ESCOLA],tbNucleo[COD ESCOLA],"")</f>
        <v/>
      </c>
      <c r="B3146" t="str" cm="1">
        <f t="array" ref="B3146">IFERROR(INDEX(tbNucleo[ESCOLA],ROUNDUP(ROW(B3145)/TotalEtapas,0)),"")</f>
        <v/>
      </c>
      <c r="E3146" t="str">
        <f>IFERROR(VLOOKUP(tbEscolas[[#This Row],[COD ETPA]],tbEtapas[],2,FALSE),"")</f>
        <v/>
      </c>
      <c r="F3146" t="str">
        <f>IFERROR(VLOOKUP(tbEscolas[[#This Row],[COD ETPA]],tbEtapas[],3,FALSE),"")</f>
        <v/>
      </c>
    </row>
    <row r="3147" spans="1:6" x14ac:dyDescent="0.25">
      <c r="A3147" s="24" t="str">
        <f>_xlfn.XLOOKUP(tbEscolas[[#This Row],[ESCOLA]],tbNucleo[ESCOLA],tbNucleo[COD ESCOLA],"")</f>
        <v/>
      </c>
      <c r="B3147" t="str" cm="1">
        <f t="array" ref="B3147">IFERROR(INDEX(tbNucleo[ESCOLA],ROUNDUP(ROW(B3146)/TotalEtapas,0)),"")</f>
        <v/>
      </c>
      <c r="E3147" t="str">
        <f>IFERROR(VLOOKUP(tbEscolas[[#This Row],[COD ETPA]],tbEtapas[],2,FALSE),"")</f>
        <v/>
      </c>
      <c r="F3147" t="str">
        <f>IFERROR(VLOOKUP(tbEscolas[[#This Row],[COD ETPA]],tbEtapas[],3,FALSE),"")</f>
        <v/>
      </c>
    </row>
    <row r="3148" spans="1:6" x14ac:dyDescent="0.25">
      <c r="A3148" s="24" t="str">
        <f>_xlfn.XLOOKUP(tbEscolas[[#This Row],[ESCOLA]],tbNucleo[ESCOLA],tbNucleo[COD ESCOLA],"")</f>
        <v/>
      </c>
      <c r="B3148" t="str" cm="1">
        <f t="array" ref="B3148">IFERROR(INDEX(tbNucleo[ESCOLA],ROUNDUP(ROW(B3147)/TotalEtapas,0)),"")</f>
        <v/>
      </c>
      <c r="E3148" t="str">
        <f>IFERROR(VLOOKUP(tbEscolas[[#This Row],[COD ETPA]],tbEtapas[],2,FALSE),"")</f>
        <v/>
      </c>
      <c r="F3148" t="str">
        <f>IFERROR(VLOOKUP(tbEscolas[[#This Row],[COD ETPA]],tbEtapas[],3,FALSE),"")</f>
        <v/>
      </c>
    </row>
    <row r="3149" spans="1:6" x14ac:dyDescent="0.25">
      <c r="A3149" s="24" t="str">
        <f>_xlfn.XLOOKUP(tbEscolas[[#This Row],[ESCOLA]],tbNucleo[ESCOLA],tbNucleo[COD ESCOLA],"")</f>
        <v/>
      </c>
      <c r="B3149" t="str" cm="1">
        <f t="array" ref="B3149">IFERROR(INDEX(tbNucleo[ESCOLA],ROUNDUP(ROW(B3148)/TotalEtapas,0)),"")</f>
        <v/>
      </c>
      <c r="E3149" t="str">
        <f>IFERROR(VLOOKUP(tbEscolas[[#This Row],[COD ETPA]],tbEtapas[],2,FALSE),"")</f>
        <v/>
      </c>
      <c r="F3149" t="str">
        <f>IFERROR(VLOOKUP(tbEscolas[[#This Row],[COD ETPA]],tbEtapas[],3,FALSE),"")</f>
        <v/>
      </c>
    </row>
    <row r="3150" spans="1:6" x14ac:dyDescent="0.25">
      <c r="A3150" s="24" t="str">
        <f>_xlfn.XLOOKUP(tbEscolas[[#This Row],[ESCOLA]],tbNucleo[ESCOLA],tbNucleo[COD ESCOLA],"")</f>
        <v/>
      </c>
      <c r="B3150" t="str" cm="1">
        <f t="array" ref="B3150">IFERROR(INDEX(tbNucleo[ESCOLA],ROUNDUP(ROW(B3149)/TotalEtapas,0)),"")</f>
        <v/>
      </c>
      <c r="E3150" t="str">
        <f>IFERROR(VLOOKUP(tbEscolas[[#This Row],[COD ETPA]],tbEtapas[],2,FALSE),"")</f>
        <v/>
      </c>
      <c r="F3150" t="str">
        <f>IFERROR(VLOOKUP(tbEscolas[[#This Row],[COD ETPA]],tbEtapas[],3,FALSE),"")</f>
        <v/>
      </c>
    </row>
    <row r="3151" spans="1:6" x14ac:dyDescent="0.25">
      <c r="A3151" s="24" t="str">
        <f>_xlfn.XLOOKUP(tbEscolas[[#This Row],[ESCOLA]],tbNucleo[ESCOLA],tbNucleo[COD ESCOLA],"")</f>
        <v/>
      </c>
      <c r="B3151" t="str" cm="1">
        <f t="array" ref="B3151">IFERROR(INDEX(tbNucleo[ESCOLA],ROUNDUP(ROW(B3150)/TotalEtapas,0)),"")</f>
        <v/>
      </c>
      <c r="E3151" t="str">
        <f>IFERROR(VLOOKUP(tbEscolas[[#This Row],[COD ETPA]],tbEtapas[],2,FALSE),"")</f>
        <v/>
      </c>
      <c r="F3151" t="str">
        <f>IFERROR(VLOOKUP(tbEscolas[[#This Row],[COD ETPA]],tbEtapas[],3,FALSE),"")</f>
        <v/>
      </c>
    </row>
    <row r="3152" spans="1:6" x14ac:dyDescent="0.25">
      <c r="A3152" s="24" t="str">
        <f>_xlfn.XLOOKUP(tbEscolas[[#This Row],[ESCOLA]],tbNucleo[ESCOLA],tbNucleo[COD ESCOLA],"")</f>
        <v/>
      </c>
      <c r="B3152" t="str" cm="1">
        <f t="array" ref="B3152">IFERROR(INDEX(tbNucleo[ESCOLA],ROUNDUP(ROW(B3151)/TotalEtapas,0)),"")</f>
        <v/>
      </c>
      <c r="E3152" t="str">
        <f>IFERROR(VLOOKUP(tbEscolas[[#This Row],[COD ETPA]],tbEtapas[],2,FALSE),"")</f>
        <v/>
      </c>
      <c r="F3152" t="str">
        <f>IFERROR(VLOOKUP(tbEscolas[[#This Row],[COD ETPA]],tbEtapas[],3,FALSE),"")</f>
        <v/>
      </c>
    </row>
    <row r="3153" spans="1:6" x14ac:dyDescent="0.25">
      <c r="A3153" s="24" t="str">
        <f>_xlfn.XLOOKUP(tbEscolas[[#This Row],[ESCOLA]],tbNucleo[ESCOLA],tbNucleo[COD ESCOLA],"")</f>
        <v/>
      </c>
      <c r="B3153" t="str" cm="1">
        <f t="array" ref="B3153">IFERROR(INDEX(tbNucleo[ESCOLA],ROUNDUP(ROW(B3152)/TotalEtapas,0)),"")</f>
        <v/>
      </c>
      <c r="E3153" t="str">
        <f>IFERROR(VLOOKUP(tbEscolas[[#This Row],[COD ETPA]],tbEtapas[],2,FALSE),"")</f>
        <v/>
      </c>
      <c r="F3153" t="str">
        <f>IFERROR(VLOOKUP(tbEscolas[[#This Row],[COD ETPA]],tbEtapas[],3,FALSE),"")</f>
        <v/>
      </c>
    </row>
    <row r="3154" spans="1:6" x14ac:dyDescent="0.25">
      <c r="A3154" s="24" t="str">
        <f>_xlfn.XLOOKUP(tbEscolas[[#This Row],[ESCOLA]],tbNucleo[ESCOLA],tbNucleo[COD ESCOLA],"")</f>
        <v/>
      </c>
      <c r="B3154" t="str" cm="1">
        <f t="array" ref="B3154">IFERROR(INDEX(tbNucleo[ESCOLA],ROUNDUP(ROW(B3153)/TotalEtapas,0)),"")</f>
        <v/>
      </c>
      <c r="E3154" t="str">
        <f>IFERROR(VLOOKUP(tbEscolas[[#This Row],[COD ETPA]],tbEtapas[],2,FALSE),"")</f>
        <v/>
      </c>
      <c r="F3154" t="str">
        <f>IFERROR(VLOOKUP(tbEscolas[[#This Row],[COD ETPA]],tbEtapas[],3,FALSE),"")</f>
        <v/>
      </c>
    </row>
    <row r="3155" spans="1:6" x14ac:dyDescent="0.25">
      <c r="A3155" s="24" t="str">
        <f>_xlfn.XLOOKUP(tbEscolas[[#This Row],[ESCOLA]],tbNucleo[ESCOLA],tbNucleo[COD ESCOLA],"")</f>
        <v/>
      </c>
      <c r="B3155" t="str" cm="1">
        <f t="array" ref="B3155">IFERROR(INDEX(tbNucleo[ESCOLA],ROUNDUP(ROW(B3154)/TotalEtapas,0)),"")</f>
        <v/>
      </c>
      <c r="E3155" t="str">
        <f>IFERROR(VLOOKUP(tbEscolas[[#This Row],[COD ETPA]],tbEtapas[],2,FALSE),"")</f>
        <v/>
      </c>
      <c r="F3155" t="str">
        <f>IFERROR(VLOOKUP(tbEscolas[[#This Row],[COD ETPA]],tbEtapas[],3,FALSE),"")</f>
        <v/>
      </c>
    </row>
    <row r="3156" spans="1:6" x14ac:dyDescent="0.25">
      <c r="A3156" s="24" t="str">
        <f>_xlfn.XLOOKUP(tbEscolas[[#This Row],[ESCOLA]],tbNucleo[ESCOLA],tbNucleo[COD ESCOLA],"")</f>
        <v/>
      </c>
      <c r="B3156" t="str" cm="1">
        <f t="array" ref="B3156">IFERROR(INDEX(tbNucleo[ESCOLA],ROUNDUP(ROW(B3155)/TotalEtapas,0)),"")</f>
        <v/>
      </c>
      <c r="E3156" t="str">
        <f>IFERROR(VLOOKUP(tbEscolas[[#This Row],[COD ETPA]],tbEtapas[],2,FALSE),"")</f>
        <v/>
      </c>
      <c r="F3156" t="str">
        <f>IFERROR(VLOOKUP(tbEscolas[[#This Row],[COD ETPA]],tbEtapas[],3,FALSE),"")</f>
        <v/>
      </c>
    </row>
    <row r="3157" spans="1:6" x14ac:dyDescent="0.25">
      <c r="A3157" s="24" t="str">
        <f>_xlfn.XLOOKUP(tbEscolas[[#This Row],[ESCOLA]],tbNucleo[ESCOLA],tbNucleo[COD ESCOLA],"")</f>
        <v/>
      </c>
      <c r="B3157" t="str" cm="1">
        <f t="array" ref="B3157">IFERROR(INDEX(tbNucleo[ESCOLA],ROUNDUP(ROW(B3156)/TotalEtapas,0)),"")</f>
        <v/>
      </c>
      <c r="E3157" t="str">
        <f>IFERROR(VLOOKUP(tbEscolas[[#This Row],[COD ETPA]],tbEtapas[],2,FALSE),"")</f>
        <v/>
      </c>
      <c r="F3157" t="str">
        <f>IFERROR(VLOOKUP(tbEscolas[[#This Row],[COD ETPA]],tbEtapas[],3,FALSE),"")</f>
        <v/>
      </c>
    </row>
    <row r="3158" spans="1:6" x14ac:dyDescent="0.25">
      <c r="A3158" s="24" t="str">
        <f>_xlfn.XLOOKUP(tbEscolas[[#This Row],[ESCOLA]],tbNucleo[ESCOLA],tbNucleo[COD ESCOLA],"")</f>
        <v/>
      </c>
      <c r="B3158" t="str" cm="1">
        <f t="array" ref="B3158">IFERROR(INDEX(tbNucleo[ESCOLA],ROUNDUP(ROW(B3157)/TotalEtapas,0)),"")</f>
        <v/>
      </c>
      <c r="E3158" t="str">
        <f>IFERROR(VLOOKUP(tbEscolas[[#This Row],[COD ETPA]],tbEtapas[],2,FALSE),"")</f>
        <v/>
      </c>
      <c r="F3158" t="str">
        <f>IFERROR(VLOOKUP(tbEscolas[[#This Row],[COD ETPA]],tbEtapas[],3,FALSE),"")</f>
        <v/>
      </c>
    </row>
    <row r="3159" spans="1:6" x14ac:dyDescent="0.25">
      <c r="A3159" s="24" t="str">
        <f>_xlfn.XLOOKUP(tbEscolas[[#This Row],[ESCOLA]],tbNucleo[ESCOLA],tbNucleo[COD ESCOLA],"")</f>
        <v/>
      </c>
      <c r="B3159" t="str" cm="1">
        <f t="array" ref="B3159">IFERROR(INDEX(tbNucleo[ESCOLA],ROUNDUP(ROW(B3158)/TotalEtapas,0)),"")</f>
        <v/>
      </c>
      <c r="E3159" t="str">
        <f>IFERROR(VLOOKUP(tbEscolas[[#This Row],[COD ETPA]],tbEtapas[],2,FALSE),"")</f>
        <v/>
      </c>
      <c r="F3159" t="str">
        <f>IFERROR(VLOOKUP(tbEscolas[[#This Row],[COD ETPA]],tbEtapas[],3,FALSE),"")</f>
        <v/>
      </c>
    </row>
    <row r="3160" spans="1:6" x14ac:dyDescent="0.25">
      <c r="A3160" s="24" t="str">
        <f>_xlfn.XLOOKUP(tbEscolas[[#This Row],[ESCOLA]],tbNucleo[ESCOLA],tbNucleo[COD ESCOLA],"")</f>
        <v/>
      </c>
      <c r="B3160" t="str" cm="1">
        <f t="array" ref="B3160">IFERROR(INDEX(tbNucleo[ESCOLA],ROUNDUP(ROW(B3159)/TotalEtapas,0)),"")</f>
        <v/>
      </c>
      <c r="E3160" t="str">
        <f>IFERROR(VLOOKUP(tbEscolas[[#This Row],[COD ETPA]],tbEtapas[],2,FALSE),"")</f>
        <v/>
      </c>
      <c r="F3160" t="str">
        <f>IFERROR(VLOOKUP(tbEscolas[[#This Row],[COD ETPA]],tbEtapas[],3,FALSE),"")</f>
        <v/>
      </c>
    </row>
    <row r="3161" spans="1:6" x14ac:dyDescent="0.25">
      <c r="A3161" s="24" t="str">
        <f>_xlfn.XLOOKUP(tbEscolas[[#This Row],[ESCOLA]],tbNucleo[ESCOLA],tbNucleo[COD ESCOLA],"")</f>
        <v/>
      </c>
      <c r="B3161" t="str" cm="1">
        <f t="array" ref="B3161">IFERROR(INDEX(tbNucleo[ESCOLA],ROUNDUP(ROW(B3160)/TotalEtapas,0)),"")</f>
        <v/>
      </c>
      <c r="E3161" t="str">
        <f>IFERROR(VLOOKUP(tbEscolas[[#This Row],[COD ETPA]],tbEtapas[],2,FALSE),"")</f>
        <v/>
      </c>
      <c r="F3161" t="str">
        <f>IFERROR(VLOOKUP(tbEscolas[[#This Row],[COD ETPA]],tbEtapas[],3,FALSE),"")</f>
        <v/>
      </c>
    </row>
    <row r="3162" spans="1:6" x14ac:dyDescent="0.25">
      <c r="A3162" s="24" t="str">
        <f>_xlfn.XLOOKUP(tbEscolas[[#This Row],[ESCOLA]],tbNucleo[ESCOLA],tbNucleo[COD ESCOLA],"")</f>
        <v/>
      </c>
      <c r="B3162" t="str" cm="1">
        <f t="array" ref="B3162">IFERROR(INDEX(tbNucleo[ESCOLA],ROUNDUP(ROW(B3161)/TotalEtapas,0)),"")</f>
        <v/>
      </c>
      <c r="E3162" t="str">
        <f>IFERROR(VLOOKUP(tbEscolas[[#This Row],[COD ETPA]],tbEtapas[],2,FALSE),"")</f>
        <v/>
      </c>
      <c r="F3162" t="str">
        <f>IFERROR(VLOOKUP(tbEscolas[[#This Row],[COD ETPA]],tbEtapas[],3,FALSE),"")</f>
        <v/>
      </c>
    </row>
    <row r="3163" spans="1:6" x14ac:dyDescent="0.25">
      <c r="A3163" s="24" t="str">
        <f>_xlfn.XLOOKUP(tbEscolas[[#This Row],[ESCOLA]],tbNucleo[ESCOLA],tbNucleo[COD ESCOLA],"")</f>
        <v/>
      </c>
      <c r="B3163" t="str" cm="1">
        <f t="array" ref="B3163">IFERROR(INDEX(tbNucleo[ESCOLA],ROUNDUP(ROW(B3162)/TotalEtapas,0)),"")</f>
        <v/>
      </c>
      <c r="E3163" t="str">
        <f>IFERROR(VLOOKUP(tbEscolas[[#This Row],[COD ETPA]],tbEtapas[],2,FALSE),"")</f>
        <v/>
      </c>
      <c r="F3163" t="str">
        <f>IFERROR(VLOOKUP(tbEscolas[[#This Row],[COD ETPA]],tbEtapas[],3,FALSE),"")</f>
        <v/>
      </c>
    </row>
    <row r="3164" spans="1:6" x14ac:dyDescent="0.25">
      <c r="A3164" s="24" t="str">
        <f>_xlfn.XLOOKUP(tbEscolas[[#This Row],[ESCOLA]],tbNucleo[ESCOLA],tbNucleo[COD ESCOLA],"")</f>
        <v/>
      </c>
      <c r="B3164" t="str" cm="1">
        <f t="array" ref="B3164">IFERROR(INDEX(tbNucleo[ESCOLA],ROUNDUP(ROW(B3163)/TotalEtapas,0)),"")</f>
        <v/>
      </c>
      <c r="E3164" t="str">
        <f>IFERROR(VLOOKUP(tbEscolas[[#This Row],[COD ETPA]],tbEtapas[],2,FALSE),"")</f>
        <v/>
      </c>
      <c r="F3164" t="str">
        <f>IFERROR(VLOOKUP(tbEscolas[[#This Row],[COD ETPA]],tbEtapas[],3,FALSE),"")</f>
        <v/>
      </c>
    </row>
    <row r="3165" spans="1:6" x14ac:dyDescent="0.25">
      <c r="A3165" s="24" t="str">
        <f>_xlfn.XLOOKUP(tbEscolas[[#This Row],[ESCOLA]],tbNucleo[ESCOLA],tbNucleo[COD ESCOLA],"")</f>
        <v/>
      </c>
      <c r="B3165" t="str" cm="1">
        <f t="array" ref="B3165">IFERROR(INDEX(tbNucleo[ESCOLA],ROUNDUP(ROW(B3164)/TotalEtapas,0)),"")</f>
        <v/>
      </c>
      <c r="E3165" t="str">
        <f>IFERROR(VLOOKUP(tbEscolas[[#This Row],[COD ETPA]],tbEtapas[],2,FALSE),"")</f>
        <v/>
      </c>
      <c r="F3165" t="str">
        <f>IFERROR(VLOOKUP(tbEscolas[[#This Row],[COD ETPA]],tbEtapas[],3,FALSE),"")</f>
        <v/>
      </c>
    </row>
    <row r="3166" spans="1:6" x14ac:dyDescent="0.25">
      <c r="A3166" s="24" t="str">
        <f>_xlfn.XLOOKUP(tbEscolas[[#This Row],[ESCOLA]],tbNucleo[ESCOLA],tbNucleo[COD ESCOLA],"")</f>
        <v/>
      </c>
      <c r="B3166" t="str" cm="1">
        <f t="array" ref="B3166">IFERROR(INDEX(tbNucleo[ESCOLA],ROUNDUP(ROW(B3165)/TotalEtapas,0)),"")</f>
        <v/>
      </c>
      <c r="E3166" t="str">
        <f>IFERROR(VLOOKUP(tbEscolas[[#This Row],[COD ETPA]],tbEtapas[],2,FALSE),"")</f>
        <v/>
      </c>
      <c r="F3166" t="str">
        <f>IFERROR(VLOOKUP(tbEscolas[[#This Row],[COD ETPA]],tbEtapas[],3,FALSE),"")</f>
        <v/>
      </c>
    </row>
    <row r="3167" spans="1:6" x14ac:dyDescent="0.25">
      <c r="A3167" s="24" t="str">
        <f>_xlfn.XLOOKUP(tbEscolas[[#This Row],[ESCOLA]],tbNucleo[ESCOLA],tbNucleo[COD ESCOLA],"")</f>
        <v/>
      </c>
      <c r="B3167" t="str" cm="1">
        <f t="array" ref="B3167">IFERROR(INDEX(tbNucleo[ESCOLA],ROUNDUP(ROW(B3166)/TotalEtapas,0)),"")</f>
        <v/>
      </c>
      <c r="E3167" t="str">
        <f>IFERROR(VLOOKUP(tbEscolas[[#This Row],[COD ETPA]],tbEtapas[],2,FALSE),"")</f>
        <v/>
      </c>
      <c r="F3167" t="str">
        <f>IFERROR(VLOOKUP(tbEscolas[[#This Row],[COD ETPA]],tbEtapas[],3,FALSE),"")</f>
        <v/>
      </c>
    </row>
    <row r="3168" spans="1:6" x14ac:dyDescent="0.25">
      <c r="A3168" s="24" t="str">
        <f>_xlfn.XLOOKUP(tbEscolas[[#This Row],[ESCOLA]],tbNucleo[ESCOLA],tbNucleo[COD ESCOLA],"")</f>
        <v/>
      </c>
      <c r="B3168" t="str" cm="1">
        <f t="array" ref="B3168">IFERROR(INDEX(tbNucleo[ESCOLA],ROUNDUP(ROW(B3167)/TotalEtapas,0)),"")</f>
        <v/>
      </c>
      <c r="E3168" t="str">
        <f>IFERROR(VLOOKUP(tbEscolas[[#This Row],[COD ETPA]],tbEtapas[],2,FALSE),"")</f>
        <v/>
      </c>
      <c r="F3168" t="str">
        <f>IFERROR(VLOOKUP(tbEscolas[[#This Row],[COD ETPA]],tbEtapas[],3,FALSE),"")</f>
        <v/>
      </c>
    </row>
    <row r="3169" spans="1:6" x14ac:dyDescent="0.25">
      <c r="A3169" s="24" t="str">
        <f>_xlfn.XLOOKUP(tbEscolas[[#This Row],[ESCOLA]],tbNucleo[ESCOLA],tbNucleo[COD ESCOLA],"")</f>
        <v/>
      </c>
      <c r="B3169" t="str" cm="1">
        <f t="array" ref="B3169">IFERROR(INDEX(tbNucleo[ESCOLA],ROUNDUP(ROW(B3168)/TotalEtapas,0)),"")</f>
        <v/>
      </c>
      <c r="E3169" t="str">
        <f>IFERROR(VLOOKUP(tbEscolas[[#This Row],[COD ETPA]],tbEtapas[],2,FALSE),"")</f>
        <v/>
      </c>
      <c r="F3169" t="str">
        <f>IFERROR(VLOOKUP(tbEscolas[[#This Row],[COD ETPA]],tbEtapas[],3,FALSE),"")</f>
        <v/>
      </c>
    </row>
    <row r="3170" spans="1:6" x14ac:dyDescent="0.25">
      <c r="A3170" s="24" t="str">
        <f>_xlfn.XLOOKUP(tbEscolas[[#This Row],[ESCOLA]],tbNucleo[ESCOLA],tbNucleo[COD ESCOLA],"")</f>
        <v/>
      </c>
      <c r="B3170" t="str" cm="1">
        <f t="array" ref="B3170">IFERROR(INDEX(tbNucleo[ESCOLA],ROUNDUP(ROW(B3169)/TotalEtapas,0)),"")</f>
        <v/>
      </c>
      <c r="E3170" t="str">
        <f>IFERROR(VLOOKUP(tbEscolas[[#This Row],[COD ETPA]],tbEtapas[],2,FALSE),"")</f>
        <v/>
      </c>
      <c r="F3170" t="str">
        <f>IFERROR(VLOOKUP(tbEscolas[[#This Row],[COD ETPA]],tbEtapas[],3,FALSE),"")</f>
        <v/>
      </c>
    </row>
    <row r="3171" spans="1:6" x14ac:dyDescent="0.25">
      <c r="A3171" s="24" t="str">
        <f>_xlfn.XLOOKUP(tbEscolas[[#This Row],[ESCOLA]],tbNucleo[ESCOLA],tbNucleo[COD ESCOLA],"")</f>
        <v/>
      </c>
      <c r="B3171" t="str" cm="1">
        <f t="array" ref="B3171">IFERROR(INDEX(tbNucleo[ESCOLA],ROUNDUP(ROW(B3170)/TotalEtapas,0)),"")</f>
        <v/>
      </c>
      <c r="E3171" t="str">
        <f>IFERROR(VLOOKUP(tbEscolas[[#This Row],[COD ETPA]],tbEtapas[],2,FALSE),"")</f>
        <v/>
      </c>
      <c r="F3171" t="str">
        <f>IFERROR(VLOOKUP(tbEscolas[[#This Row],[COD ETPA]],tbEtapas[],3,FALSE),"")</f>
        <v/>
      </c>
    </row>
    <row r="3172" spans="1:6" x14ac:dyDescent="0.25">
      <c r="A3172" s="24" t="str">
        <f>_xlfn.XLOOKUP(tbEscolas[[#This Row],[ESCOLA]],tbNucleo[ESCOLA],tbNucleo[COD ESCOLA],"")</f>
        <v/>
      </c>
      <c r="B3172" t="str" cm="1">
        <f t="array" ref="B3172">IFERROR(INDEX(tbNucleo[ESCOLA],ROUNDUP(ROW(B3171)/TotalEtapas,0)),"")</f>
        <v/>
      </c>
      <c r="E3172" t="str">
        <f>IFERROR(VLOOKUP(tbEscolas[[#This Row],[COD ETPA]],tbEtapas[],2,FALSE),"")</f>
        <v/>
      </c>
      <c r="F3172" t="str">
        <f>IFERROR(VLOOKUP(tbEscolas[[#This Row],[COD ETPA]],tbEtapas[],3,FALSE),"")</f>
        <v/>
      </c>
    </row>
    <row r="3173" spans="1:6" x14ac:dyDescent="0.25">
      <c r="A3173" s="24" t="str">
        <f>_xlfn.XLOOKUP(tbEscolas[[#This Row],[ESCOLA]],tbNucleo[ESCOLA],tbNucleo[COD ESCOLA],"")</f>
        <v/>
      </c>
      <c r="B3173" t="str" cm="1">
        <f t="array" ref="B3173">IFERROR(INDEX(tbNucleo[ESCOLA],ROUNDUP(ROW(B3172)/TotalEtapas,0)),"")</f>
        <v/>
      </c>
      <c r="E3173" t="str">
        <f>IFERROR(VLOOKUP(tbEscolas[[#This Row],[COD ETPA]],tbEtapas[],2,FALSE),"")</f>
        <v/>
      </c>
      <c r="F3173" t="str">
        <f>IFERROR(VLOOKUP(tbEscolas[[#This Row],[COD ETPA]],tbEtapas[],3,FALSE),"")</f>
        <v/>
      </c>
    </row>
    <row r="3174" spans="1:6" x14ac:dyDescent="0.25">
      <c r="A3174" s="24" t="str">
        <f>_xlfn.XLOOKUP(tbEscolas[[#This Row],[ESCOLA]],tbNucleo[ESCOLA],tbNucleo[COD ESCOLA],"")</f>
        <v/>
      </c>
      <c r="B3174" t="str" cm="1">
        <f t="array" ref="B3174">IFERROR(INDEX(tbNucleo[ESCOLA],ROUNDUP(ROW(B3173)/TotalEtapas,0)),"")</f>
        <v/>
      </c>
      <c r="E3174" t="str">
        <f>IFERROR(VLOOKUP(tbEscolas[[#This Row],[COD ETPA]],tbEtapas[],2,FALSE),"")</f>
        <v/>
      </c>
      <c r="F3174" t="str">
        <f>IFERROR(VLOOKUP(tbEscolas[[#This Row],[COD ETPA]],tbEtapas[],3,FALSE),"")</f>
        <v/>
      </c>
    </row>
    <row r="3175" spans="1:6" x14ac:dyDescent="0.25">
      <c r="A3175" s="24" t="str">
        <f>_xlfn.XLOOKUP(tbEscolas[[#This Row],[ESCOLA]],tbNucleo[ESCOLA],tbNucleo[COD ESCOLA],"")</f>
        <v/>
      </c>
      <c r="B3175" t="str" cm="1">
        <f t="array" ref="B3175">IFERROR(INDEX(tbNucleo[ESCOLA],ROUNDUP(ROW(B3174)/TotalEtapas,0)),"")</f>
        <v/>
      </c>
      <c r="E3175" t="str">
        <f>IFERROR(VLOOKUP(tbEscolas[[#This Row],[COD ETPA]],tbEtapas[],2,FALSE),"")</f>
        <v/>
      </c>
      <c r="F3175" t="str">
        <f>IFERROR(VLOOKUP(tbEscolas[[#This Row],[COD ETPA]],tbEtapas[],3,FALSE),"")</f>
        <v/>
      </c>
    </row>
    <row r="3176" spans="1:6" x14ac:dyDescent="0.25">
      <c r="A3176" s="24" t="str">
        <f>_xlfn.XLOOKUP(tbEscolas[[#This Row],[ESCOLA]],tbNucleo[ESCOLA],tbNucleo[COD ESCOLA],"")</f>
        <v/>
      </c>
      <c r="B3176" t="str" cm="1">
        <f t="array" ref="B3176">IFERROR(INDEX(tbNucleo[ESCOLA],ROUNDUP(ROW(B3175)/TotalEtapas,0)),"")</f>
        <v/>
      </c>
      <c r="E3176" t="str">
        <f>IFERROR(VLOOKUP(tbEscolas[[#This Row],[COD ETPA]],tbEtapas[],2,FALSE),"")</f>
        <v/>
      </c>
      <c r="F3176" t="str">
        <f>IFERROR(VLOOKUP(tbEscolas[[#This Row],[COD ETPA]],tbEtapas[],3,FALSE),"")</f>
        <v/>
      </c>
    </row>
    <row r="3177" spans="1:6" x14ac:dyDescent="0.25">
      <c r="A3177" s="24" t="str">
        <f>_xlfn.XLOOKUP(tbEscolas[[#This Row],[ESCOLA]],tbNucleo[ESCOLA],tbNucleo[COD ESCOLA],"")</f>
        <v/>
      </c>
      <c r="B3177" t="str" cm="1">
        <f t="array" ref="B3177">IFERROR(INDEX(tbNucleo[ESCOLA],ROUNDUP(ROW(B3176)/TotalEtapas,0)),"")</f>
        <v/>
      </c>
      <c r="E3177" t="str">
        <f>IFERROR(VLOOKUP(tbEscolas[[#This Row],[COD ETPA]],tbEtapas[],2,FALSE),"")</f>
        <v/>
      </c>
      <c r="F3177" t="str">
        <f>IFERROR(VLOOKUP(tbEscolas[[#This Row],[COD ETPA]],tbEtapas[],3,FALSE),"")</f>
        <v/>
      </c>
    </row>
    <row r="3178" spans="1:6" x14ac:dyDescent="0.25">
      <c r="A3178" s="24" t="str">
        <f>_xlfn.XLOOKUP(tbEscolas[[#This Row],[ESCOLA]],tbNucleo[ESCOLA],tbNucleo[COD ESCOLA],"")</f>
        <v/>
      </c>
      <c r="B3178" t="str" cm="1">
        <f t="array" ref="B3178">IFERROR(INDEX(tbNucleo[ESCOLA],ROUNDUP(ROW(B3177)/TotalEtapas,0)),"")</f>
        <v/>
      </c>
      <c r="E3178" t="str">
        <f>IFERROR(VLOOKUP(tbEscolas[[#This Row],[COD ETPA]],tbEtapas[],2,FALSE),"")</f>
        <v/>
      </c>
      <c r="F3178" t="str">
        <f>IFERROR(VLOOKUP(tbEscolas[[#This Row],[COD ETPA]],tbEtapas[],3,FALSE),"")</f>
        <v/>
      </c>
    </row>
    <row r="3179" spans="1:6" x14ac:dyDescent="0.25">
      <c r="A3179" s="24" t="str">
        <f>_xlfn.XLOOKUP(tbEscolas[[#This Row],[ESCOLA]],tbNucleo[ESCOLA],tbNucleo[COD ESCOLA],"")</f>
        <v/>
      </c>
      <c r="B3179" t="str" cm="1">
        <f t="array" ref="B3179">IFERROR(INDEX(tbNucleo[ESCOLA],ROUNDUP(ROW(B3178)/TotalEtapas,0)),"")</f>
        <v/>
      </c>
      <c r="E3179" t="str">
        <f>IFERROR(VLOOKUP(tbEscolas[[#This Row],[COD ETPA]],tbEtapas[],2,FALSE),"")</f>
        <v/>
      </c>
      <c r="F3179" t="str">
        <f>IFERROR(VLOOKUP(tbEscolas[[#This Row],[COD ETPA]],tbEtapas[],3,FALSE),"")</f>
        <v/>
      </c>
    </row>
    <row r="3180" spans="1:6" x14ac:dyDescent="0.25">
      <c r="A3180" s="24" t="str">
        <f>_xlfn.XLOOKUP(tbEscolas[[#This Row],[ESCOLA]],tbNucleo[ESCOLA],tbNucleo[COD ESCOLA],"")</f>
        <v/>
      </c>
      <c r="B3180" t="str" cm="1">
        <f t="array" ref="B3180">IFERROR(INDEX(tbNucleo[ESCOLA],ROUNDUP(ROW(B3179)/TotalEtapas,0)),"")</f>
        <v/>
      </c>
      <c r="E3180" t="str">
        <f>IFERROR(VLOOKUP(tbEscolas[[#This Row],[COD ETPA]],tbEtapas[],2,FALSE),"")</f>
        <v/>
      </c>
      <c r="F3180" t="str">
        <f>IFERROR(VLOOKUP(tbEscolas[[#This Row],[COD ETPA]],tbEtapas[],3,FALSE),"")</f>
        <v/>
      </c>
    </row>
    <row r="3181" spans="1:6" x14ac:dyDescent="0.25">
      <c r="A3181" s="24" t="str">
        <f>_xlfn.XLOOKUP(tbEscolas[[#This Row],[ESCOLA]],tbNucleo[ESCOLA],tbNucleo[COD ESCOLA],"")</f>
        <v/>
      </c>
      <c r="B3181" t="str" cm="1">
        <f t="array" ref="B3181">IFERROR(INDEX(tbNucleo[ESCOLA],ROUNDUP(ROW(B3180)/TotalEtapas,0)),"")</f>
        <v/>
      </c>
      <c r="E3181" t="str">
        <f>IFERROR(VLOOKUP(tbEscolas[[#This Row],[COD ETPA]],tbEtapas[],2,FALSE),"")</f>
        <v/>
      </c>
      <c r="F3181" t="str">
        <f>IFERROR(VLOOKUP(tbEscolas[[#This Row],[COD ETPA]],tbEtapas[],3,FALSE),"")</f>
        <v/>
      </c>
    </row>
    <row r="3182" spans="1:6" x14ac:dyDescent="0.25">
      <c r="A3182" s="24" t="str">
        <f>_xlfn.XLOOKUP(tbEscolas[[#This Row],[ESCOLA]],tbNucleo[ESCOLA],tbNucleo[COD ESCOLA],"")</f>
        <v/>
      </c>
      <c r="B3182" t="str" cm="1">
        <f t="array" ref="B3182">IFERROR(INDEX(tbNucleo[ESCOLA],ROUNDUP(ROW(B3181)/TotalEtapas,0)),"")</f>
        <v/>
      </c>
      <c r="E3182" t="str">
        <f>IFERROR(VLOOKUP(tbEscolas[[#This Row],[COD ETPA]],tbEtapas[],2,FALSE),"")</f>
        <v/>
      </c>
      <c r="F3182" t="str">
        <f>IFERROR(VLOOKUP(tbEscolas[[#This Row],[COD ETPA]],tbEtapas[],3,FALSE),"")</f>
        <v/>
      </c>
    </row>
    <row r="3183" spans="1:6" x14ac:dyDescent="0.25">
      <c r="A3183" s="24" t="str">
        <f>_xlfn.XLOOKUP(tbEscolas[[#This Row],[ESCOLA]],tbNucleo[ESCOLA],tbNucleo[COD ESCOLA],"")</f>
        <v/>
      </c>
      <c r="B3183" t="str" cm="1">
        <f t="array" ref="B3183">IFERROR(INDEX(tbNucleo[ESCOLA],ROUNDUP(ROW(B3182)/TotalEtapas,0)),"")</f>
        <v/>
      </c>
      <c r="E3183" t="str">
        <f>IFERROR(VLOOKUP(tbEscolas[[#This Row],[COD ETPA]],tbEtapas[],2,FALSE),"")</f>
        <v/>
      </c>
      <c r="F3183" t="str">
        <f>IFERROR(VLOOKUP(tbEscolas[[#This Row],[COD ETPA]],tbEtapas[],3,FALSE),"")</f>
        <v/>
      </c>
    </row>
    <row r="3184" spans="1:6" x14ac:dyDescent="0.25">
      <c r="A3184" s="24" t="str">
        <f>_xlfn.XLOOKUP(tbEscolas[[#This Row],[ESCOLA]],tbNucleo[ESCOLA],tbNucleo[COD ESCOLA],"")</f>
        <v/>
      </c>
      <c r="B3184" t="str" cm="1">
        <f t="array" ref="B3184">IFERROR(INDEX(tbNucleo[ESCOLA],ROUNDUP(ROW(B3183)/TotalEtapas,0)),"")</f>
        <v/>
      </c>
      <c r="E3184" t="str">
        <f>IFERROR(VLOOKUP(tbEscolas[[#This Row],[COD ETPA]],tbEtapas[],2,FALSE),"")</f>
        <v/>
      </c>
      <c r="F3184" t="str">
        <f>IFERROR(VLOOKUP(tbEscolas[[#This Row],[COD ETPA]],tbEtapas[],3,FALSE),"")</f>
        <v/>
      </c>
    </row>
    <row r="3185" spans="1:6" x14ac:dyDescent="0.25">
      <c r="A3185" s="24" t="str">
        <f>_xlfn.XLOOKUP(tbEscolas[[#This Row],[ESCOLA]],tbNucleo[ESCOLA],tbNucleo[COD ESCOLA],"")</f>
        <v/>
      </c>
      <c r="B3185" t="str" cm="1">
        <f t="array" ref="B3185">IFERROR(INDEX(tbNucleo[ESCOLA],ROUNDUP(ROW(B3184)/TotalEtapas,0)),"")</f>
        <v/>
      </c>
      <c r="E3185" t="str">
        <f>IFERROR(VLOOKUP(tbEscolas[[#This Row],[COD ETPA]],tbEtapas[],2,FALSE),"")</f>
        <v/>
      </c>
      <c r="F3185" t="str">
        <f>IFERROR(VLOOKUP(tbEscolas[[#This Row],[COD ETPA]],tbEtapas[],3,FALSE),"")</f>
        <v/>
      </c>
    </row>
    <row r="3186" spans="1:6" x14ac:dyDescent="0.25">
      <c r="A3186" s="24" t="str">
        <f>_xlfn.XLOOKUP(tbEscolas[[#This Row],[ESCOLA]],tbNucleo[ESCOLA],tbNucleo[COD ESCOLA],"")</f>
        <v/>
      </c>
      <c r="B3186" t="str" cm="1">
        <f t="array" ref="B3186">IFERROR(INDEX(tbNucleo[ESCOLA],ROUNDUP(ROW(B3185)/TotalEtapas,0)),"")</f>
        <v/>
      </c>
      <c r="E3186" t="str">
        <f>IFERROR(VLOOKUP(tbEscolas[[#This Row],[COD ETPA]],tbEtapas[],2,FALSE),"")</f>
        <v/>
      </c>
      <c r="F3186" t="str">
        <f>IFERROR(VLOOKUP(tbEscolas[[#This Row],[COD ETPA]],tbEtapas[],3,FALSE),"")</f>
        <v/>
      </c>
    </row>
    <row r="3187" spans="1:6" x14ac:dyDescent="0.25">
      <c r="A3187" s="24" t="str">
        <f>_xlfn.XLOOKUP(tbEscolas[[#This Row],[ESCOLA]],tbNucleo[ESCOLA],tbNucleo[COD ESCOLA],"")</f>
        <v/>
      </c>
      <c r="B3187" t="str" cm="1">
        <f t="array" ref="B3187">IFERROR(INDEX(tbNucleo[ESCOLA],ROUNDUP(ROW(B3186)/TotalEtapas,0)),"")</f>
        <v/>
      </c>
      <c r="E3187" t="str">
        <f>IFERROR(VLOOKUP(tbEscolas[[#This Row],[COD ETPA]],tbEtapas[],2,FALSE),"")</f>
        <v/>
      </c>
      <c r="F3187" t="str">
        <f>IFERROR(VLOOKUP(tbEscolas[[#This Row],[COD ETPA]],tbEtapas[],3,FALSE),"")</f>
        <v/>
      </c>
    </row>
    <row r="3188" spans="1:6" x14ac:dyDescent="0.25">
      <c r="A3188" s="24" t="str">
        <f>_xlfn.XLOOKUP(tbEscolas[[#This Row],[ESCOLA]],tbNucleo[ESCOLA],tbNucleo[COD ESCOLA],"")</f>
        <v/>
      </c>
      <c r="B3188" t="str" cm="1">
        <f t="array" ref="B3188">IFERROR(INDEX(tbNucleo[ESCOLA],ROUNDUP(ROW(B3187)/TotalEtapas,0)),"")</f>
        <v/>
      </c>
      <c r="E3188" t="str">
        <f>IFERROR(VLOOKUP(tbEscolas[[#This Row],[COD ETPA]],tbEtapas[],2,FALSE),"")</f>
        <v/>
      </c>
      <c r="F3188" t="str">
        <f>IFERROR(VLOOKUP(tbEscolas[[#This Row],[COD ETPA]],tbEtapas[],3,FALSE),"")</f>
        <v/>
      </c>
    </row>
    <row r="3189" spans="1:6" x14ac:dyDescent="0.25">
      <c r="A3189" s="24" t="str">
        <f>_xlfn.XLOOKUP(tbEscolas[[#This Row],[ESCOLA]],tbNucleo[ESCOLA],tbNucleo[COD ESCOLA],"")</f>
        <v/>
      </c>
      <c r="B3189" t="str" cm="1">
        <f t="array" ref="B3189">IFERROR(INDEX(tbNucleo[ESCOLA],ROUNDUP(ROW(B3188)/TotalEtapas,0)),"")</f>
        <v/>
      </c>
      <c r="E3189" t="str">
        <f>IFERROR(VLOOKUP(tbEscolas[[#This Row],[COD ETPA]],tbEtapas[],2,FALSE),"")</f>
        <v/>
      </c>
      <c r="F3189" t="str">
        <f>IFERROR(VLOOKUP(tbEscolas[[#This Row],[COD ETPA]],tbEtapas[],3,FALSE),"")</f>
        <v/>
      </c>
    </row>
    <row r="3190" spans="1:6" x14ac:dyDescent="0.25">
      <c r="A3190" s="24" t="str">
        <f>_xlfn.XLOOKUP(tbEscolas[[#This Row],[ESCOLA]],tbNucleo[ESCOLA],tbNucleo[COD ESCOLA],"")</f>
        <v/>
      </c>
      <c r="B3190" t="str" cm="1">
        <f t="array" ref="B3190">IFERROR(INDEX(tbNucleo[ESCOLA],ROUNDUP(ROW(B3189)/TotalEtapas,0)),"")</f>
        <v/>
      </c>
      <c r="E3190" t="str">
        <f>IFERROR(VLOOKUP(tbEscolas[[#This Row],[COD ETPA]],tbEtapas[],2,FALSE),"")</f>
        <v/>
      </c>
      <c r="F3190" t="str">
        <f>IFERROR(VLOOKUP(tbEscolas[[#This Row],[COD ETPA]],tbEtapas[],3,FALSE),"")</f>
        <v/>
      </c>
    </row>
    <row r="3191" spans="1:6" x14ac:dyDescent="0.25">
      <c r="A3191" s="24" t="str">
        <f>_xlfn.XLOOKUP(tbEscolas[[#This Row],[ESCOLA]],tbNucleo[ESCOLA],tbNucleo[COD ESCOLA],"")</f>
        <v/>
      </c>
      <c r="B3191" t="str" cm="1">
        <f t="array" ref="B3191">IFERROR(INDEX(tbNucleo[ESCOLA],ROUNDUP(ROW(B3190)/TotalEtapas,0)),"")</f>
        <v/>
      </c>
      <c r="E3191" t="str">
        <f>IFERROR(VLOOKUP(tbEscolas[[#This Row],[COD ETPA]],tbEtapas[],2,FALSE),"")</f>
        <v/>
      </c>
      <c r="F3191" t="str">
        <f>IFERROR(VLOOKUP(tbEscolas[[#This Row],[COD ETPA]],tbEtapas[],3,FALSE),"")</f>
        <v/>
      </c>
    </row>
    <row r="3192" spans="1:6" x14ac:dyDescent="0.25">
      <c r="A3192" s="24" t="str">
        <f>_xlfn.XLOOKUP(tbEscolas[[#This Row],[ESCOLA]],tbNucleo[ESCOLA],tbNucleo[COD ESCOLA],"")</f>
        <v/>
      </c>
      <c r="B3192" t="str" cm="1">
        <f t="array" ref="B3192">IFERROR(INDEX(tbNucleo[ESCOLA],ROUNDUP(ROW(B3191)/TotalEtapas,0)),"")</f>
        <v/>
      </c>
      <c r="E3192" t="str">
        <f>IFERROR(VLOOKUP(tbEscolas[[#This Row],[COD ETPA]],tbEtapas[],2,FALSE),"")</f>
        <v/>
      </c>
      <c r="F3192" t="str">
        <f>IFERROR(VLOOKUP(tbEscolas[[#This Row],[COD ETPA]],tbEtapas[],3,FALSE),"")</f>
        <v/>
      </c>
    </row>
    <row r="3193" spans="1:6" x14ac:dyDescent="0.25">
      <c r="A3193" s="24" t="str">
        <f>_xlfn.XLOOKUP(tbEscolas[[#This Row],[ESCOLA]],tbNucleo[ESCOLA],tbNucleo[COD ESCOLA],"")</f>
        <v/>
      </c>
      <c r="B3193" t="str" cm="1">
        <f t="array" ref="B3193">IFERROR(INDEX(tbNucleo[ESCOLA],ROUNDUP(ROW(B3192)/TotalEtapas,0)),"")</f>
        <v/>
      </c>
      <c r="E3193" t="str">
        <f>IFERROR(VLOOKUP(tbEscolas[[#This Row],[COD ETPA]],tbEtapas[],2,FALSE),"")</f>
        <v/>
      </c>
      <c r="F3193" t="str">
        <f>IFERROR(VLOOKUP(tbEscolas[[#This Row],[COD ETPA]],tbEtapas[],3,FALSE),"")</f>
        <v/>
      </c>
    </row>
    <row r="3194" spans="1:6" x14ac:dyDescent="0.25">
      <c r="A3194" s="24" t="str">
        <f>_xlfn.XLOOKUP(tbEscolas[[#This Row],[ESCOLA]],tbNucleo[ESCOLA],tbNucleo[COD ESCOLA],"")</f>
        <v/>
      </c>
      <c r="B3194" t="str" cm="1">
        <f t="array" ref="B3194">IFERROR(INDEX(tbNucleo[ESCOLA],ROUNDUP(ROW(B3193)/TotalEtapas,0)),"")</f>
        <v/>
      </c>
      <c r="E3194" t="str">
        <f>IFERROR(VLOOKUP(tbEscolas[[#This Row],[COD ETPA]],tbEtapas[],2,FALSE),"")</f>
        <v/>
      </c>
      <c r="F3194" t="str">
        <f>IFERROR(VLOOKUP(tbEscolas[[#This Row],[COD ETPA]],tbEtapas[],3,FALSE),"")</f>
        <v/>
      </c>
    </row>
    <row r="3195" spans="1:6" x14ac:dyDescent="0.25">
      <c r="A3195" s="24" t="str">
        <f>_xlfn.XLOOKUP(tbEscolas[[#This Row],[ESCOLA]],tbNucleo[ESCOLA],tbNucleo[COD ESCOLA],"")</f>
        <v/>
      </c>
      <c r="B3195" t="str" cm="1">
        <f t="array" ref="B3195">IFERROR(INDEX(tbNucleo[ESCOLA],ROUNDUP(ROW(B3194)/TotalEtapas,0)),"")</f>
        <v/>
      </c>
      <c r="E3195" t="str">
        <f>IFERROR(VLOOKUP(tbEscolas[[#This Row],[COD ETPA]],tbEtapas[],2,FALSE),"")</f>
        <v/>
      </c>
      <c r="F3195" t="str">
        <f>IFERROR(VLOOKUP(tbEscolas[[#This Row],[COD ETPA]],tbEtapas[],3,FALSE),"")</f>
        <v/>
      </c>
    </row>
    <row r="3196" spans="1:6" x14ac:dyDescent="0.25">
      <c r="A3196" s="24" t="str">
        <f>_xlfn.XLOOKUP(tbEscolas[[#This Row],[ESCOLA]],tbNucleo[ESCOLA],tbNucleo[COD ESCOLA],"")</f>
        <v/>
      </c>
      <c r="B3196" t="str" cm="1">
        <f t="array" ref="B3196">IFERROR(INDEX(tbNucleo[ESCOLA],ROUNDUP(ROW(B3195)/TotalEtapas,0)),"")</f>
        <v/>
      </c>
      <c r="E3196" t="str">
        <f>IFERROR(VLOOKUP(tbEscolas[[#This Row],[COD ETPA]],tbEtapas[],2,FALSE),"")</f>
        <v/>
      </c>
      <c r="F3196" t="str">
        <f>IFERROR(VLOOKUP(tbEscolas[[#This Row],[COD ETPA]],tbEtapas[],3,FALSE),"")</f>
        <v/>
      </c>
    </row>
    <row r="3197" spans="1:6" x14ac:dyDescent="0.25">
      <c r="A3197" s="24" t="str">
        <f>_xlfn.XLOOKUP(tbEscolas[[#This Row],[ESCOLA]],tbNucleo[ESCOLA],tbNucleo[COD ESCOLA],"")</f>
        <v/>
      </c>
      <c r="B3197" t="str" cm="1">
        <f t="array" ref="B3197">IFERROR(INDEX(tbNucleo[ESCOLA],ROUNDUP(ROW(B3196)/TotalEtapas,0)),"")</f>
        <v/>
      </c>
      <c r="E3197" t="str">
        <f>IFERROR(VLOOKUP(tbEscolas[[#This Row],[COD ETPA]],tbEtapas[],2,FALSE),"")</f>
        <v/>
      </c>
      <c r="F3197" t="str">
        <f>IFERROR(VLOOKUP(tbEscolas[[#This Row],[COD ETPA]],tbEtapas[],3,FALSE),"")</f>
        <v/>
      </c>
    </row>
    <row r="3198" spans="1:6" x14ac:dyDescent="0.25">
      <c r="A3198" s="24" t="str">
        <f>_xlfn.XLOOKUP(tbEscolas[[#This Row],[ESCOLA]],tbNucleo[ESCOLA],tbNucleo[COD ESCOLA],"")</f>
        <v/>
      </c>
      <c r="B3198" t="str" cm="1">
        <f t="array" ref="B3198">IFERROR(INDEX(tbNucleo[ESCOLA],ROUNDUP(ROW(B3197)/TotalEtapas,0)),"")</f>
        <v/>
      </c>
      <c r="E3198" t="str">
        <f>IFERROR(VLOOKUP(tbEscolas[[#This Row],[COD ETPA]],tbEtapas[],2,FALSE),"")</f>
        <v/>
      </c>
      <c r="F3198" t="str">
        <f>IFERROR(VLOOKUP(tbEscolas[[#This Row],[COD ETPA]],tbEtapas[],3,FALSE),"")</f>
        <v/>
      </c>
    </row>
    <row r="3199" spans="1:6" x14ac:dyDescent="0.25">
      <c r="A3199" s="24" t="str">
        <f>_xlfn.XLOOKUP(tbEscolas[[#This Row],[ESCOLA]],tbNucleo[ESCOLA],tbNucleo[COD ESCOLA],"")</f>
        <v/>
      </c>
      <c r="B3199" t="str" cm="1">
        <f t="array" ref="B3199">IFERROR(INDEX(tbNucleo[ESCOLA],ROUNDUP(ROW(B3198)/TotalEtapas,0)),"")</f>
        <v/>
      </c>
      <c r="E3199" t="str">
        <f>IFERROR(VLOOKUP(tbEscolas[[#This Row],[COD ETPA]],tbEtapas[],2,FALSE),"")</f>
        <v/>
      </c>
      <c r="F3199" t="str">
        <f>IFERROR(VLOOKUP(tbEscolas[[#This Row],[COD ETPA]],tbEtapas[],3,FALSE),"")</f>
        <v/>
      </c>
    </row>
    <row r="3200" spans="1:6" x14ac:dyDescent="0.25">
      <c r="A3200" s="24" t="str">
        <f>_xlfn.XLOOKUP(tbEscolas[[#This Row],[ESCOLA]],tbNucleo[ESCOLA],tbNucleo[COD ESCOLA],"")</f>
        <v/>
      </c>
      <c r="B3200" t="str" cm="1">
        <f t="array" ref="B3200">IFERROR(INDEX(tbNucleo[ESCOLA],ROUNDUP(ROW(B3199)/TotalEtapas,0)),"")</f>
        <v/>
      </c>
      <c r="E3200" t="str">
        <f>IFERROR(VLOOKUP(tbEscolas[[#This Row],[COD ETPA]],tbEtapas[],2,FALSE),"")</f>
        <v/>
      </c>
      <c r="F3200" t="str">
        <f>IFERROR(VLOOKUP(tbEscolas[[#This Row],[COD ETPA]],tbEtapas[],3,FALSE),"")</f>
        <v/>
      </c>
    </row>
    <row r="3201" spans="1:6" x14ac:dyDescent="0.25">
      <c r="A3201" s="24" t="str">
        <f>_xlfn.XLOOKUP(tbEscolas[[#This Row],[ESCOLA]],tbNucleo[ESCOLA],tbNucleo[COD ESCOLA],"")</f>
        <v/>
      </c>
      <c r="B3201" t="str" cm="1">
        <f t="array" ref="B3201">IFERROR(INDEX(tbNucleo[ESCOLA],ROUNDUP(ROW(B3200)/TotalEtapas,0)),"")</f>
        <v/>
      </c>
      <c r="E3201" t="str">
        <f>IFERROR(VLOOKUP(tbEscolas[[#This Row],[COD ETPA]],tbEtapas[],2,FALSE),"")</f>
        <v/>
      </c>
      <c r="F3201" t="str">
        <f>IFERROR(VLOOKUP(tbEscolas[[#This Row],[COD ETPA]],tbEtapas[],3,FALSE),"")</f>
        <v/>
      </c>
    </row>
    <row r="3202" spans="1:6" x14ac:dyDescent="0.25">
      <c r="A3202" s="24" t="str">
        <f>_xlfn.XLOOKUP(tbEscolas[[#This Row],[ESCOLA]],tbNucleo[ESCOLA],tbNucleo[COD ESCOLA],"")</f>
        <v/>
      </c>
      <c r="B3202" t="str" cm="1">
        <f t="array" ref="B3202">IFERROR(INDEX(tbNucleo[ESCOLA],ROUNDUP(ROW(B3201)/TotalEtapas,0)),"")</f>
        <v/>
      </c>
      <c r="E3202" t="str">
        <f>IFERROR(VLOOKUP(tbEscolas[[#This Row],[COD ETPA]],tbEtapas[],2,FALSE),"")</f>
        <v/>
      </c>
      <c r="F3202" t="str">
        <f>IFERROR(VLOOKUP(tbEscolas[[#This Row],[COD ETPA]],tbEtapas[],3,FALSE),"")</f>
        <v/>
      </c>
    </row>
    <row r="3203" spans="1:6" x14ac:dyDescent="0.25">
      <c r="A3203" s="24" t="str">
        <f>_xlfn.XLOOKUP(tbEscolas[[#This Row],[ESCOLA]],tbNucleo[ESCOLA],tbNucleo[COD ESCOLA],"")</f>
        <v/>
      </c>
      <c r="B3203" t="str" cm="1">
        <f t="array" ref="B3203">IFERROR(INDEX(tbNucleo[ESCOLA],ROUNDUP(ROW(B3202)/TotalEtapas,0)),"")</f>
        <v/>
      </c>
      <c r="E3203" t="str">
        <f>IFERROR(VLOOKUP(tbEscolas[[#This Row],[COD ETPA]],tbEtapas[],2,FALSE),"")</f>
        <v/>
      </c>
      <c r="F3203" t="str">
        <f>IFERROR(VLOOKUP(tbEscolas[[#This Row],[COD ETPA]],tbEtapas[],3,FALSE),"")</f>
        <v/>
      </c>
    </row>
    <row r="3204" spans="1:6" x14ac:dyDescent="0.25">
      <c r="A3204" s="24" t="str">
        <f>_xlfn.XLOOKUP(tbEscolas[[#This Row],[ESCOLA]],tbNucleo[ESCOLA],tbNucleo[COD ESCOLA],"")</f>
        <v/>
      </c>
      <c r="B3204" t="str" cm="1">
        <f t="array" ref="B3204">IFERROR(INDEX(tbNucleo[ESCOLA],ROUNDUP(ROW(B3203)/TotalEtapas,0)),"")</f>
        <v/>
      </c>
      <c r="E3204" t="str">
        <f>IFERROR(VLOOKUP(tbEscolas[[#This Row],[COD ETPA]],tbEtapas[],2,FALSE),"")</f>
        <v/>
      </c>
      <c r="F3204" t="str">
        <f>IFERROR(VLOOKUP(tbEscolas[[#This Row],[COD ETPA]],tbEtapas[],3,FALSE),"")</f>
        <v/>
      </c>
    </row>
    <row r="3205" spans="1:6" x14ac:dyDescent="0.25">
      <c r="A3205" s="24" t="str">
        <f>_xlfn.XLOOKUP(tbEscolas[[#This Row],[ESCOLA]],tbNucleo[ESCOLA],tbNucleo[COD ESCOLA],"")</f>
        <v/>
      </c>
      <c r="B3205" t="str" cm="1">
        <f t="array" ref="B3205">IFERROR(INDEX(tbNucleo[ESCOLA],ROUNDUP(ROW(B3204)/TotalEtapas,0)),"")</f>
        <v/>
      </c>
      <c r="E3205" t="str">
        <f>IFERROR(VLOOKUP(tbEscolas[[#This Row],[COD ETPA]],tbEtapas[],2,FALSE),"")</f>
        <v/>
      </c>
      <c r="F3205" t="str">
        <f>IFERROR(VLOOKUP(tbEscolas[[#This Row],[COD ETPA]],tbEtapas[],3,FALSE),"")</f>
        <v/>
      </c>
    </row>
    <row r="3206" spans="1:6" x14ac:dyDescent="0.25">
      <c r="A3206" s="24" t="str">
        <f>_xlfn.XLOOKUP(tbEscolas[[#This Row],[ESCOLA]],tbNucleo[ESCOLA],tbNucleo[COD ESCOLA],"")</f>
        <v/>
      </c>
      <c r="B3206" t="str" cm="1">
        <f t="array" ref="B3206">IFERROR(INDEX(tbNucleo[ESCOLA],ROUNDUP(ROW(B3205)/TotalEtapas,0)),"")</f>
        <v/>
      </c>
      <c r="E3206" t="str">
        <f>IFERROR(VLOOKUP(tbEscolas[[#This Row],[COD ETPA]],tbEtapas[],2,FALSE),"")</f>
        <v/>
      </c>
      <c r="F3206" t="str">
        <f>IFERROR(VLOOKUP(tbEscolas[[#This Row],[COD ETPA]],tbEtapas[],3,FALSE),"")</f>
        <v/>
      </c>
    </row>
    <row r="3207" spans="1:6" x14ac:dyDescent="0.25">
      <c r="A3207" s="24" t="str">
        <f>_xlfn.XLOOKUP(tbEscolas[[#This Row],[ESCOLA]],tbNucleo[ESCOLA],tbNucleo[COD ESCOLA],"")</f>
        <v/>
      </c>
      <c r="B3207" t="str" cm="1">
        <f t="array" ref="B3207">IFERROR(INDEX(tbNucleo[ESCOLA],ROUNDUP(ROW(B3206)/TotalEtapas,0)),"")</f>
        <v/>
      </c>
      <c r="E3207" t="str">
        <f>IFERROR(VLOOKUP(tbEscolas[[#This Row],[COD ETPA]],tbEtapas[],2,FALSE),"")</f>
        <v/>
      </c>
      <c r="F3207" t="str">
        <f>IFERROR(VLOOKUP(tbEscolas[[#This Row],[COD ETPA]],tbEtapas[],3,FALSE),"")</f>
        <v/>
      </c>
    </row>
    <row r="3208" spans="1:6" x14ac:dyDescent="0.25">
      <c r="A3208" s="24" t="str">
        <f>_xlfn.XLOOKUP(tbEscolas[[#This Row],[ESCOLA]],tbNucleo[ESCOLA],tbNucleo[COD ESCOLA],"")</f>
        <v/>
      </c>
      <c r="B3208" t="str" cm="1">
        <f t="array" ref="B3208">IFERROR(INDEX(tbNucleo[ESCOLA],ROUNDUP(ROW(B3207)/TotalEtapas,0)),"")</f>
        <v/>
      </c>
      <c r="E3208" t="str">
        <f>IFERROR(VLOOKUP(tbEscolas[[#This Row],[COD ETPA]],tbEtapas[],2,FALSE),"")</f>
        <v/>
      </c>
      <c r="F3208" t="str">
        <f>IFERROR(VLOOKUP(tbEscolas[[#This Row],[COD ETPA]],tbEtapas[],3,FALSE),"")</f>
        <v/>
      </c>
    </row>
    <row r="3209" spans="1:6" x14ac:dyDescent="0.25">
      <c r="A3209" s="24" t="str">
        <f>_xlfn.XLOOKUP(tbEscolas[[#This Row],[ESCOLA]],tbNucleo[ESCOLA],tbNucleo[COD ESCOLA],"")</f>
        <v/>
      </c>
      <c r="B3209" t="str" cm="1">
        <f t="array" ref="B3209">IFERROR(INDEX(tbNucleo[ESCOLA],ROUNDUP(ROW(B3208)/TotalEtapas,0)),"")</f>
        <v/>
      </c>
      <c r="E3209" t="str">
        <f>IFERROR(VLOOKUP(tbEscolas[[#This Row],[COD ETPA]],tbEtapas[],2,FALSE),"")</f>
        <v/>
      </c>
      <c r="F3209" t="str">
        <f>IFERROR(VLOOKUP(tbEscolas[[#This Row],[COD ETPA]],tbEtapas[],3,FALSE),"")</f>
        <v/>
      </c>
    </row>
    <row r="3210" spans="1:6" x14ac:dyDescent="0.25">
      <c r="A3210" s="24" t="str">
        <f>_xlfn.XLOOKUP(tbEscolas[[#This Row],[ESCOLA]],tbNucleo[ESCOLA],tbNucleo[COD ESCOLA],"")</f>
        <v/>
      </c>
      <c r="B3210" t="str" cm="1">
        <f t="array" ref="B3210">IFERROR(INDEX(tbNucleo[ESCOLA],ROUNDUP(ROW(B3209)/TotalEtapas,0)),"")</f>
        <v/>
      </c>
      <c r="E3210" t="str">
        <f>IFERROR(VLOOKUP(tbEscolas[[#This Row],[COD ETPA]],tbEtapas[],2,FALSE),"")</f>
        <v/>
      </c>
      <c r="F3210" t="str">
        <f>IFERROR(VLOOKUP(tbEscolas[[#This Row],[COD ETPA]],tbEtapas[],3,FALSE),"")</f>
        <v/>
      </c>
    </row>
    <row r="3211" spans="1:6" x14ac:dyDescent="0.25">
      <c r="A3211" s="24" t="str">
        <f>_xlfn.XLOOKUP(tbEscolas[[#This Row],[ESCOLA]],tbNucleo[ESCOLA],tbNucleo[COD ESCOLA],"")</f>
        <v/>
      </c>
      <c r="B3211" t="str" cm="1">
        <f t="array" ref="B3211">IFERROR(INDEX(tbNucleo[ESCOLA],ROUNDUP(ROW(B3210)/TotalEtapas,0)),"")</f>
        <v/>
      </c>
      <c r="E3211" t="str">
        <f>IFERROR(VLOOKUP(tbEscolas[[#This Row],[COD ETPA]],tbEtapas[],2,FALSE),"")</f>
        <v/>
      </c>
      <c r="F3211" t="str">
        <f>IFERROR(VLOOKUP(tbEscolas[[#This Row],[COD ETPA]],tbEtapas[],3,FALSE),"")</f>
        <v/>
      </c>
    </row>
    <row r="3212" spans="1:6" x14ac:dyDescent="0.25">
      <c r="A3212" s="24" t="str">
        <f>_xlfn.XLOOKUP(tbEscolas[[#This Row],[ESCOLA]],tbNucleo[ESCOLA],tbNucleo[COD ESCOLA],"")</f>
        <v/>
      </c>
      <c r="B3212" t="str" cm="1">
        <f t="array" ref="B3212">IFERROR(INDEX(tbNucleo[ESCOLA],ROUNDUP(ROW(B3211)/TotalEtapas,0)),"")</f>
        <v/>
      </c>
      <c r="E3212" t="str">
        <f>IFERROR(VLOOKUP(tbEscolas[[#This Row],[COD ETPA]],tbEtapas[],2,FALSE),"")</f>
        <v/>
      </c>
      <c r="F3212" t="str">
        <f>IFERROR(VLOOKUP(tbEscolas[[#This Row],[COD ETPA]],tbEtapas[],3,FALSE),"")</f>
        <v/>
      </c>
    </row>
    <row r="3213" spans="1:6" x14ac:dyDescent="0.25">
      <c r="A3213" s="24" t="str">
        <f>_xlfn.XLOOKUP(tbEscolas[[#This Row],[ESCOLA]],tbNucleo[ESCOLA],tbNucleo[COD ESCOLA],"")</f>
        <v/>
      </c>
      <c r="B3213" t="str" cm="1">
        <f t="array" ref="B3213">IFERROR(INDEX(tbNucleo[ESCOLA],ROUNDUP(ROW(B3212)/TotalEtapas,0)),"")</f>
        <v/>
      </c>
      <c r="E3213" t="str">
        <f>IFERROR(VLOOKUP(tbEscolas[[#This Row],[COD ETPA]],tbEtapas[],2,FALSE),"")</f>
        <v/>
      </c>
      <c r="F3213" t="str">
        <f>IFERROR(VLOOKUP(tbEscolas[[#This Row],[COD ETPA]],tbEtapas[],3,FALSE),"")</f>
        <v/>
      </c>
    </row>
    <row r="3214" spans="1:6" x14ac:dyDescent="0.25">
      <c r="A3214" s="24" t="str">
        <f>_xlfn.XLOOKUP(tbEscolas[[#This Row],[ESCOLA]],tbNucleo[ESCOLA],tbNucleo[COD ESCOLA],"")</f>
        <v/>
      </c>
      <c r="B3214" t="str" cm="1">
        <f t="array" ref="B3214">IFERROR(INDEX(tbNucleo[ESCOLA],ROUNDUP(ROW(B3213)/TotalEtapas,0)),"")</f>
        <v/>
      </c>
      <c r="E3214" t="str">
        <f>IFERROR(VLOOKUP(tbEscolas[[#This Row],[COD ETPA]],tbEtapas[],2,FALSE),"")</f>
        <v/>
      </c>
      <c r="F3214" t="str">
        <f>IFERROR(VLOOKUP(tbEscolas[[#This Row],[COD ETPA]],tbEtapas[],3,FALSE),"")</f>
        <v/>
      </c>
    </row>
    <row r="3215" spans="1:6" x14ac:dyDescent="0.25">
      <c r="A3215" s="24" t="str">
        <f>_xlfn.XLOOKUP(tbEscolas[[#This Row],[ESCOLA]],tbNucleo[ESCOLA],tbNucleo[COD ESCOLA],"")</f>
        <v/>
      </c>
      <c r="B3215" t="str" cm="1">
        <f t="array" ref="B3215">IFERROR(INDEX(tbNucleo[ESCOLA],ROUNDUP(ROW(B3214)/TotalEtapas,0)),"")</f>
        <v/>
      </c>
      <c r="E3215" t="str">
        <f>IFERROR(VLOOKUP(tbEscolas[[#This Row],[COD ETPA]],tbEtapas[],2,FALSE),"")</f>
        <v/>
      </c>
      <c r="F3215" t="str">
        <f>IFERROR(VLOOKUP(tbEscolas[[#This Row],[COD ETPA]],tbEtapas[],3,FALSE),"")</f>
        <v/>
      </c>
    </row>
    <row r="3216" spans="1:6" x14ac:dyDescent="0.25">
      <c r="A3216" s="24" t="str">
        <f>_xlfn.XLOOKUP(tbEscolas[[#This Row],[ESCOLA]],tbNucleo[ESCOLA],tbNucleo[COD ESCOLA],"")</f>
        <v/>
      </c>
      <c r="B3216" t="str" cm="1">
        <f t="array" ref="B3216">IFERROR(INDEX(tbNucleo[ESCOLA],ROUNDUP(ROW(B3215)/TotalEtapas,0)),"")</f>
        <v/>
      </c>
      <c r="E3216" t="str">
        <f>IFERROR(VLOOKUP(tbEscolas[[#This Row],[COD ETPA]],tbEtapas[],2,FALSE),"")</f>
        <v/>
      </c>
      <c r="F3216" t="str">
        <f>IFERROR(VLOOKUP(tbEscolas[[#This Row],[COD ETPA]],tbEtapas[],3,FALSE),"")</f>
        <v/>
      </c>
    </row>
    <row r="3217" spans="1:6" x14ac:dyDescent="0.25">
      <c r="A3217" s="24" t="str">
        <f>_xlfn.XLOOKUP(tbEscolas[[#This Row],[ESCOLA]],tbNucleo[ESCOLA],tbNucleo[COD ESCOLA],"")</f>
        <v/>
      </c>
      <c r="B3217" t="str" cm="1">
        <f t="array" ref="B3217">IFERROR(INDEX(tbNucleo[ESCOLA],ROUNDUP(ROW(B3216)/TotalEtapas,0)),"")</f>
        <v/>
      </c>
      <c r="E3217" t="str">
        <f>IFERROR(VLOOKUP(tbEscolas[[#This Row],[COD ETPA]],tbEtapas[],2,FALSE),"")</f>
        <v/>
      </c>
      <c r="F3217" t="str">
        <f>IFERROR(VLOOKUP(tbEscolas[[#This Row],[COD ETPA]],tbEtapas[],3,FALSE),"")</f>
        <v/>
      </c>
    </row>
    <row r="3218" spans="1:6" x14ac:dyDescent="0.25">
      <c r="A3218" s="24" t="str">
        <f>_xlfn.XLOOKUP(tbEscolas[[#This Row],[ESCOLA]],tbNucleo[ESCOLA],tbNucleo[COD ESCOLA],"")</f>
        <v/>
      </c>
      <c r="B3218" t="str" cm="1">
        <f t="array" ref="B3218">IFERROR(INDEX(tbNucleo[ESCOLA],ROUNDUP(ROW(B3217)/TotalEtapas,0)),"")</f>
        <v/>
      </c>
      <c r="E3218" t="str">
        <f>IFERROR(VLOOKUP(tbEscolas[[#This Row],[COD ETPA]],tbEtapas[],2,FALSE),"")</f>
        <v/>
      </c>
      <c r="F3218" t="str">
        <f>IFERROR(VLOOKUP(tbEscolas[[#This Row],[COD ETPA]],tbEtapas[],3,FALSE),"")</f>
        <v/>
      </c>
    </row>
    <row r="3219" spans="1:6" x14ac:dyDescent="0.25">
      <c r="A3219" s="24" t="str">
        <f>_xlfn.XLOOKUP(tbEscolas[[#This Row],[ESCOLA]],tbNucleo[ESCOLA],tbNucleo[COD ESCOLA],"")</f>
        <v/>
      </c>
      <c r="B3219" t="str" cm="1">
        <f t="array" ref="B3219">IFERROR(INDEX(tbNucleo[ESCOLA],ROUNDUP(ROW(B3218)/TotalEtapas,0)),"")</f>
        <v/>
      </c>
      <c r="E3219" t="str">
        <f>IFERROR(VLOOKUP(tbEscolas[[#This Row],[COD ETPA]],tbEtapas[],2,FALSE),"")</f>
        <v/>
      </c>
      <c r="F3219" t="str">
        <f>IFERROR(VLOOKUP(tbEscolas[[#This Row],[COD ETPA]],tbEtapas[],3,FALSE),"")</f>
        <v/>
      </c>
    </row>
    <row r="3220" spans="1:6" x14ac:dyDescent="0.25">
      <c r="A3220" s="24" t="str">
        <f>_xlfn.XLOOKUP(tbEscolas[[#This Row],[ESCOLA]],tbNucleo[ESCOLA],tbNucleo[COD ESCOLA],"")</f>
        <v/>
      </c>
      <c r="B3220" t="str" cm="1">
        <f t="array" ref="B3220">IFERROR(INDEX(tbNucleo[ESCOLA],ROUNDUP(ROW(B3219)/TotalEtapas,0)),"")</f>
        <v/>
      </c>
      <c r="E3220" t="str">
        <f>IFERROR(VLOOKUP(tbEscolas[[#This Row],[COD ETPA]],tbEtapas[],2,FALSE),"")</f>
        <v/>
      </c>
      <c r="F3220" t="str">
        <f>IFERROR(VLOOKUP(tbEscolas[[#This Row],[COD ETPA]],tbEtapas[],3,FALSE),"")</f>
        <v/>
      </c>
    </row>
    <row r="3221" spans="1:6" x14ac:dyDescent="0.25">
      <c r="A3221" s="24" t="str">
        <f>_xlfn.XLOOKUP(tbEscolas[[#This Row],[ESCOLA]],tbNucleo[ESCOLA],tbNucleo[COD ESCOLA],"")</f>
        <v/>
      </c>
      <c r="B3221" t="str" cm="1">
        <f t="array" ref="B3221">IFERROR(INDEX(tbNucleo[ESCOLA],ROUNDUP(ROW(B3220)/TotalEtapas,0)),"")</f>
        <v/>
      </c>
      <c r="E3221" t="str">
        <f>IFERROR(VLOOKUP(tbEscolas[[#This Row],[COD ETPA]],tbEtapas[],2,FALSE),"")</f>
        <v/>
      </c>
      <c r="F3221" t="str">
        <f>IFERROR(VLOOKUP(tbEscolas[[#This Row],[COD ETPA]],tbEtapas[],3,FALSE),"")</f>
        <v/>
      </c>
    </row>
    <row r="3222" spans="1:6" x14ac:dyDescent="0.25">
      <c r="A3222" s="24" t="str">
        <f>_xlfn.XLOOKUP(tbEscolas[[#This Row],[ESCOLA]],tbNucleo[ESCOLA],tbNucleo[COD ESCOLA],"")</f>
        <v/>
      </c>
      <c r="B3222" t="str" cm="1">
        <f t="array" ref="B3222">IFERROR(INDEX(tbNucleo[ESCOLA],ROUNDUP(ROW(B3221)/TotalEtapas,0)),"")</f>
        <v/>
      </c>
      <c r="E3222" t="str">
        <f>IFERROR(VLOOKUP(tbEscolas[[#This Row],[COD ETPA]],tbEtapas[],2,FALSE),"")</f>
        <v/>
      </c>
      <c r="F3222" t="str">
        <f>IFERROR(VLOOKUP(tbEscolas[[#This Row],[COD ETPA]],tbEtapas[],3,FALSE),"")</f>
        <v/>
      </c>
    </row>
    <row r="3223" spans="1:6" x14ac:dyDescent="0.25">
      <c r="A3223" s="24" t="str">
        <f>_xlfn.XLOOKUP(tbEscolas[[#This Row],[ESCOLA]],tbNucleo[ESCOLA],tbNucleo[COD ESCOLA],"")</f>
        <v/>
      </c>
      <c r="B3223" t="str" cm="1">
        <f t="array" ref="B3223">IFERROR(INDEX(tbNucleo[ESCOLA],ROUNDUP(ROW(B3222)/TotalEtapas,0)),"")</f>
        <v/>
      </c>
      <c r="E3223" t="str">
        <f>IFERROR(VLOOKUP(tbEscolas[[#This Row],[COD ETPA]],tbEtapas[],2,FALSE),"")</f>
        <v/>
      </c>
      <c r="F3223" t="str">
        <f>IFERROR(VLOOKUP(tbEscolas[[#This Row],[COD ETPA]],tbEtapas[],3,FALSE),"")</f>
        <v/>
      </c>
    </row>
    <row r="3224" spans="1:6" x14ac:dyDescent="0.25">
      <c r="A3224" s="24" t="str">
        <f>_xlfn.XLOOKUP(tbEscolas[[#This Row],[ESCOLA]],tbNucleo[ESCOLA],tbNucleo[COD ESCOLA],"")</f>
        <v/>
      </c>
      <c r="B3224" t="str" cm="1">
        <f t="array" ref="B3224">IFERROR(INDEX(tbNucleo[ESCOLA],ROUNDUP(ROW(B3223)/TotalEtapas,0)),"")</f>
        <v/>
      </c>
      <c r="E3224" t="str">
        <f>IFERROR(VLOOKUP(tbEscolas[[#This Row],[COD ETPA]],tbEtapas[],2,FALSE),"")</f>
        <v/>
      </c>
      <c r="F3224" t="str">
        <f>IFERROR(VLOOKUP(tbEscolas[[#This Row],[COD ETPA]],tbEtapas[],3,FALSE),"")</f>
        <v/>
      </c>
    </row>
    <row r="3225" spans="1:6" x14ac:dyDescent="0.25">
      <c r="A3225" s="24" t="str">
        <f>_xlfn.XLOOKUP(tbEscolas[[#This Row],[ESCOLA]],tbNucleo[ESCOLA],tbNucleo[COD ESCOLA],"")</f>
        <v/>
      </c>
      <c r="B3225" t="str" cm="1">
        <f t="array" ref="B3225">IFERROR(INDEX(tbNucleo[ESCOLA],ROUNDUP(ROW(B3224)/TotalEtapas,0)),"")</f>
        <v/>
      </c>
      <c r="E3225" t="str">
        <f>IFERROR(VLOOKUP(tbEscolas[[#This Row],[COD ETPA]],tbEtapas[],2,FALSE),"")</f>
        <v/>
      </c>
      <c r="F3225" t="str">
        <f>IFERROR(VLOOKUP(tbEscolas[[#This Row],[COD ETPA]],tbEtapas[],3,FALSE),"")</f>
        <v/>
      </c>
    </row>
    <row r="3226" spans="1:6" x14ac:dyDescent="0.25">
      <c r="A3226" s="24" t="str">
        <f>_xlfn.XLOOKUP(tbEscolas[[#This Row],[ESCOLA]],tbNucleo[ESCOLA],tbNucleo[COD ESCOLA],"")</f>
        <v/>
      </c>
      <c r="B3226" t="str" cm="1">
        <f t="array" ref="B3226">IFERROR(INDEX(tbNucleo[ESCOLA],ROUNDUP(ROW(B3225)/TotalEtapas,0)),"")</f>
        <v/>
      </c>
      <c r="E3226" t="str">
        <f>IFERROR(VLOOKUP(tbEscolas[[#This Row],[COD ETPA]],tbEtapas[],2,FALSE),"")</f>
        <v/>
      </c>
      <c r="F3226" t="str">
        <f>IFERROR(VLOOKUP(tbEscolas[[#This Row],[COD ETPA]],tbEtapas[],3,FALSE),"")</f>
        <v/>
      </c>
    </row>
    <row r="3227" spans="1:6" x14ac:dyDescent="0.25">
      <c r="A3227" s="24" t="str">
        <f>_xlfn.XLOOKUP(tbEscolas[[#This Row],[ESCOLA]],tbNucleo[ESCOLA],tbNucleo[COD ESCOLA],"")</f>
        <v/>
      </c>
      <c r="B3227" t="str" cm="1">
        <f t="array" ref="B3227">IFERROR(INDEX(tbNucleo[ESCOLA],ROUNDUP(ROW(B3226)/TotalEtapas,0)),"")</f>
        <v/>
      </c>
      <c r="E3227" t="str">
        <f>IFERROR(VLOOKUP(tbEscolas[[#This Row],[COD ETPA]],tbEtapas[],2,FALSE),"")</f>
        <v/>
      </c>
      <c r="F3227" t="str">
        <f>IFERROR(VLOOKUP(tbEscolas[[#This Row],[COD ETPA]],tbEtapas[],3,FALSE),"")</f>
        <v/>
      </c>
    </row>
    <row r="3228" spans="1:6" x14ac:dyDescent="0.25">
      <c r="A3228" s="24" t="str">
        <f>_xlfn.XLOOKUP(tbEscolas[[#This Row],[ESCOLA]],tbNucleo[ESCOLA],tbNucleo[COD ESCOLA],"")</f>
        <v/>
      </c>
      <c r="B3228" t="str" cm="1">
        <f t="array" ref="B3228">IFERROR(INDEX(tbNucleo[ESCOLA],ROUNDUP(ROW(B3227)/TotalEtapas,0)),"")</f>
        <v/>
      </c>
      <c r="E3228" t="str">
        <f>IFERROR(VLOOKUP(tbEscolas[[#This Row],[COD ETPA]],tbEtapas[],2,FALSE),"")</f>
        <v/>
      </c>
      <c r="F3228" t="str">
        <f>IFERROR(VLOOKUP(tbEscolas[[#This Row],[COD ETPA]],tbEtapas[],3,FALSE),"")</f>
        <v/>
      </c>
    </row>
    <row r="3229" spans="1:6" x14ac:dyDescent="0.25">
      <c r="A3229" s="24" t="str">
        <f>_xlfn.XLOOKUP(tbEscolas[[#This Row],[ESCOLA]],tbNucleo[ESCOLA],tbNucleo[COD ESCOLA],"")</f>
        <v/>
      </c>
      <c r="B3229" t="str" cm="1">
        <f t="array" ref="B3229">IFERROR(INDEX(tbNucleo[ESCOLA],ROUNDUP(ROW(B3228)/TotalEtapas,0)),"")</f>
        <v/>
      </c>
      <c r="E3229" t="str">
        <f>IFERROR(VLOOKUP(tbEscolas[[#This Row],[COD ETPA]],tbEtapas[],2,FALSE),"")</f>
        <v/>
      </c>
      <c r="F3229" t="str">
        <f>IFERROR(VLOOKUP(tbEscolas[[#This Row],[COD ETPA]],tbEtapas[],3,FALSE),"")</f>
        <v/>
      </c>
    </row>
    <row r="3230" spans="1:6" x14ac:dyDescent="0.25">
      <c r="A3230" s="24" t="str">
        <f>_xlfn.XLOOKUP(tbEscolas[[#This Row],[ESCOLA]],tbNucleo[ESCOLA],tbNucleo[COD ESCOLA],"")</f>
        <v/>
      </c>
      <c r="B3230" t="str" cm="1">
        <f t="array" ref="B3230">IFERROR(INDEX(tbNucleo[ESCOLA],ROUNDUP(ROW(B3229)/TotalEtapas,0)),"")</f>
        <v/>
      </c>
      <c r="E3230" t="str">
        <f>IFERROR(VLOOKUP(tbEscolas[[#This Row],[COD ETPA]],tbEtapas[],2,FALSE),"")</f>
        <v/>
      </c>
      <c r="F3230" t="str">
        <f>IFERROR(VLOOKUP(tbEscolas[[#This Row],[COD ETPA]],tbEtapas[],3,FALSE),"")</f>
        <v/>
      </c>
    </row>
    <row r="3231" spans="1:6" x14ac:dyDescent="0.25">
      <c r="A3231" s="24" t="str">
        <f>_xlfn.XLOOKUP(tbEscolas[[#This Row],[ESCOLA]],tbNucleo[ESCOLA],tbNucleo[COD ESCOLA],"")</f>
        <v/>
      </c>
      <c r="B3231" t="str" cm="1">
        <f t="array" ref="B3231">IFERROR(INDEX(tbNucleo[ESCOLA],ROUNDUP(ROW(B3230)/TotalEtapas,0)),"")</f>
        <v/>
      </c>
      <c r="E3231" t="str">
        <f>IFERROR(VLOOKUP(tbEscolas[[#This Row],[COD ETPA]],tbEtapas[],2,FALSE),"")</f>
        <v/>
      </c>
      <c r="F3231" t="str">
        <f>IFERROR(VLOOKUP(tbEscolas[[#This Row],[COD ETPA]],tbEtapas[],3,FALSE),"")</f>
        <v/>
      </c>
    </row>
    <row r="3232" spans="1:6" x14ac:dyDescent="0.25">
      <c r="A3232" s="24" t="str">
        <f>_xlfn.XLOOKUP(tbEscolas[[#This Row],[ESCOLA]],tbNucleo[ESCOLA],tbNucleo[COD ESCOLA],"")</f>
        <v/>
      </c>
      <c r="B3232" t="str" cm="1">
        <f t="array" ref="B3232">IFERROR(INDEX(tbNucleo[ESCOLA],ROUNDUP(ROW(B3231)/TotalEtapas,0)),"")</f>
        <v/>
      </c>
      <c r="E3232" t="str">
        <f>IFERROR(VLOOKUP(tbEscolas[[#This Row],[COD ETPA]],tbEtapas[],2,FALSE),"")</f>
        <v/>
      </c>
      <c r="F3232" t="str">
        <f>IFERROR(VLOOKUP(tbEscolas[[#This Row],[COD ETPA]],tbEtapas[],3,FALSE),"")</f>
        <v/>
      </c>
    </row>
    <row r="3233" spans="1:6" x14ac:dyDescent="0.25">
      <c r="A3233" s="24" t="str">
        <f>_xlfn.XLOOKUP(tbEscolas[[#This Row],[ESCOLA]],tbNucleo[ESCOLA],tbNucleo[COD ESCOLA],"")</f>
        <v/>
      </c>
      <c r="B3233" t="str" cm="1">
        <f t="array" ref="B3233">IFERROR(INDEX(tbNucleo[ESCOLA],ROUNDUP(ROW(B3232)/TotalEtapas,0)),"")</f>
        <v/>
      </c>
      <c r="E3233" t="str">
        <f>IFERROR(VLOOKUP(tbEscolas[[#This Row],[COD ETPA]],tbEtapas[],2,FALSE),"")</f>
        <v/>
      </c>
      <c r="F3233" t="str">
        <f>IFERROR(VLOOKUP(tbEscolas[[#This Row],[COD ETPA]],tbEtapas[],3,FALSE),"")</f>
        <v/>
      </c>
    </row>
    <row r="3234" spans="1:6" x14ac:dyDescent="0.25">
      <c r="A3234" s="24" t="str">
        <f>_xlfn.XLOOKUP(tbEscolas[[#This Row],[ESCOLA]],tbNucleo[ESCOLA],tbNucleo[COD ESCOLA],"")</f>
        <v/>
      </c>
      <c r="B3234" t="str" cm="1">
        <f t="array" ref="B3234">IFERROR(INDEX(tbNucleo[ESCOLA],ROUNDUP(ROW(B3233)/TotalEtapas,0)),"")</f>
        <v/>
      </c>
      <c r="E3234" t="str">
        <f>IFERROR(VLOOKUP(tbEscolas[[#This Row],[COD ETPA]],tbEtapas[],2,FALSE),"")</f>
        <v/>
      </c>
      <c r="F3234" t="str">
        <f>IFERROR(VLOOKUP(tbEscolas[[#This Row],[COD ETPA]],tbEtapas[],3,FALSE),"")</f>
        <v/>
      </c>
    </row>
    <row r="3235" spans="1:6" x14ac:dyDescent="0.25">
      <c r="A3235" s="24" t="str">
        <f>_xlfn.XLOOKUP(tbEscolas[[#This Row],[ESCOLA]],tbNucleo[ESCOLA],tbNucleo[COD ESCOLA],"")</f>
        <v/>
      </c>
      <c r="B3235" t="str" cm="1">
        <f t="array" ref="B3235">IFERROR(INDEX(tbNucleo[ESCOLA],ROUNDUP(ROW(B3234)/TotalEtapas,0)),"")</f>
        <v/>
      </c>
      <c r="E3235" t="str">
        <f>IFERROR(VLOOKUP(tbEscolas[[#This Row],[COD ETPA]],tbEtapas[],2,FALSE),"")</f>
        <v/>
      </c>
      <c r="F3235" t="str">
        <f>IFERROR(VLOOKUP(tbEscolas[[#This Row],[COD ETPA]],tbEtapas[],3,FALSE),"")</f>
        <v/>
      </c>
    </row>
    <row r="3236" spans="1:6" x14ac:dyDescent="0.25">
      <c r="A3236" s="24" t="str">
        <f>_xlfn.XLOOKUP(tbEscolas[[#This Row],[ESCOLA]],tbNucleo[ESCOLA],tbNucleo[COD ESCOLA],"")</f>
        <v/>
      </c>
      <c r="B3236" t="str" cm="1">
        <f t="array" ref="B3236">IFERROR(INDEX(tbNucleo[ESCOLA],ROUNDUP(ROW(B3235)/TotalEtapas,0)),"")</f>
        <v/>
      </c>
      <c r="E3236" t="str">
        <f>IFERROR(VLOOKUP(tbEscolas[[#This Row],[COD ETPA]],tbEtapas[],2,FALSE),"")</f>
        <v/>
      </c>
      <c r="F3236" t="str">
        <f>IFERROR(VLOOKUP(tbEscolas[[#This Row],[COD ETPA]],tbEtapas[],3,FALSE),"")</f>
        <v/>
      </c>
    </row>
    <row r="3237" spans="1:6" x14ac:dyDescent="0.25">
      <c r="A3237" s="24" t="str">
        <f>_xlfn.XLOOKUP(tbEscolas[[#This Row],[ESCOLA]],tbNucleo[ESCOLA],tbNucleo[COD ESCOLA],"")</f>
        <v/>
      </c>
      <c r="B3237" t="str" cm="1">
        <f t="array" ref="B3237">IFERROR(INDEX(tbNucleo[ESCOLA],ROUNDUP(ROW(B3236)/TotalEtapas,0)),"")</f>
        <v/>
      </c>
      <c r="E3237" t="str">
        <f>IFERROR(VLOOKUP(tbEscolas[[#This Row],[COD ETPA]],tbEtapas[],2,FALSE),"")</f>
        <v/>
      </c>
      <c r="F3237" t="str">
        <f>IFERROR(VLOOKUP(tbEscolas[[#This Row],[COD ETPA]],tbEtapas[],3,FALSE),"")</f>
        <v/>
      </c>
    </row>
    <row r="3238" spans="1:6" x14ac:dyDescent="0.25">
      <c r="A3238" s="24" t="str">
        <f>_xlfn.XLOOKUP(tbEscolas[[#This Row],[ESCOLA]],tbNucleo[ESCOLA],tbNucleo[COD ESCOLA],"")</f>
        <v/>
      </c>
      <c r="B3238" t="str" cm="1">
        <f t="array" ref="B3238">IFERROR(INDEX(tbNucleo[ESCOLA],ROUNDUP(ROW(B3237)/TotalEtapas,0)),"")</f>
        <v/>
      </c>
      <c r="E3238" t="str">
        <f>IFERROR(VLOOKUP(tbEscolas[[#This Row],[COD ETPA]],tbEtapas[],2,FALSE),"")</f>
        <v/>
      </c>
      <c r="F3238" t="str">
        <f>IFERROR(VLOOKUP(tbEscolas[[#This Row],[COD ETPA]],tbEtapas[],3,FALSE),"")</f>
        <v/>
      </c>
    </row>
    <row r="3239" spans="1:6" x14ac:dyDescent="0.25">
      <c r="A3239" s="24" t="str">
        <f>_xlfn.XLOOKUP(tbEscolas[[#This Row],[ESCOLA]],tbNucleo[ESCOLA],tbNucleo[COD ESCOLA],"")</f>
        <v/>
      </c>
      <c r="B3239" t="str" cm="1">
        <f t="array" ref="B3239">IFERROR(INDEX(tbNucleo[ESCOLA],ROUNDUP(ROW(B3238)/TotalEtapas,0)),"")</f>
        <v/>
      </c>
      <c r="E3239" t="str">
        <f>IFERROR(VLOOKUP(tbEscolas[[#This Row],[COD ETPA]],tbEtapas[],2,FALSE),"")</f>
        <v/>
      </c>
      <c r="F3239" t="str">
        <f>IFERROR(VLOOKUP(tbEscolas[[#This Row],[COD ETPA]],tbEtapas[],3,FALSE),"")</f>
        <v/>
      </c>
    </row>
    <row r="3240" spans="1:6" x14ac:dyDescent="0.25">
      <c r="A3240" s="24" t="str">
        <f>_xlfn.XLOOKUP(tbEscolas[[#This Row],[ESCOLA]],tbNucleo[ESCOLA],tbNucleo[COD ESCOLA],"")</f>
        <v/>
      </c>
      <c r="B3240" t="str" cm="1">
        <f t="array" ref="B3240">IFERROR(INDEX(tbNucleo[ESCOLA],ROUNDUP(ROW(B3239)/TotalEtapas,0)),"")</f>
        <v/>
      </c>
      <c r="E3240" t="str">
        <f>IFERROR(VLOOKUP(tbEscolas[[#This Row],[COD ETPA]],tbEtapas[],2,FALSE),"")</f>
        <v/>
      </c>
      <c r="F3240" t="str">
        <f>IFERROR(VLOOKUP(tbEscolas[[#This Row],[COD ETPA]],tbEtapas[],3,FALSE),"")</f>
        <v/>
      </c>
    </row>
    <row r="3241" spans="1:6" x14ac:dyDescent="0.25">
      <c r="A3241" s="24" t="str">
        <f>_xlfn.XLOOKUP(tbEscolas[[#This Row],[ESCOLA]],tbNucleo[ESCOLA],tbNucleo[COD ESCOLA],"")</f>
        <v/>
      </c>
      <c r="B3241" t="str" cm="1">
        <f t="array" ref="B3241">IFERROR(INDEX(tbNucleo[ESCOLA],ROUNDUP(ROW(B3240)/TotalEtapas,0)),"")</f>
        <v/>
      </c>
      <c r="E3241" t="str">
        <f>IFERROR(VLOOKUP(tbEscolas[[#This Row],[COD ETPA]],tbEtapas[],2,FALSE),"")</f>
        <v/>
      </c>
      <c r="F3241" t="str">
        <f>IFERROR(VLOOKUP(tbEscolas[[#This Row],[COD ETPA]],tbEtapas[],3,FALSE),"")</f>
        <v/>
      </c>
    </row>
    <row r="3242" spans="1:6" x14ac:dyDescent="0.25">
      <c r="A3242" s="24" t="str">
        <f>_xlfn.XLOOKUP(tbEscolas[[#This Row],[ESCOLA]],tbNucleo[ESCOLA],tbNucleo[COD ESCOLA],"")</f>
        <v/>
      </c>
      <c r="B3242" t="str" cm="1">
        <f t="array" ref="B3242">IFERROR(INDEX(tbNucleo[ESCOLA],ROUNDUP(ROW(B3241)/TotalEtapas,0)),"")</f>
        <v/>
      </c>
      <c r="E3242" t="str">
        <f>IFERROR(VLOOKUP(tbEscolas[[#This Row],[COD ETPA]],tbEtapas[],2,FALSE),"")</f>
        <v/>
      </c>
      <c r="F3242" t="str">
        <f>IFERROR(VLOOKUP(tbEscolas[[#This Row],[COD ETPA]],tbEtapas[],3,FALSE),"")</f>
        <v/>
      </c>
    </row>
    <row r="3243" spans="1:6" x14ac:dyDescent="0.25">
      <c r="A3243" s="24" t="str">
        <f>_xlfn.XLOOKUP(tbEscolas[[#This Row],[ESCOLA]],tbNucleo[ESCOLA],tbNucleo[COD ESCOLA],"")</f>
        <v/>
      </c>
      <c r="B3243" t="str" cm="1">
        <f t="array" ref="B3243">IFERROR(INDEX(tbNucleo[ESCOLA],ROUNDUP(ROW(B3242)/TotalEtapas,0)),"")</f>
        <v/>
      </c>
      <c r="E3243" t="str">
        <f>IFERROR(VLOOKUP(tbEscolas[[#This Row],[COD ETPA]],tbEtapas[],2,FALSE),"")</f>
        <v/>
      </c>
      <c r="F3243" t="str">
        <f>IFERROR(VLOOKUP(tbEscolas[[#This Row],[COD ETPA]],tbEtapas[],3,FALSE),"")</f>
        <v/>
      </c>
    </row>
    <row r="3244" spans="1:6" x14ac:dyDescent="0.25">
      <c r="A3244" s="24" t="str">
        <f>_xlfn.XLOOKUP(tbEscolas[[#This Row],[ESCOLA]],tbNucleo[ESCOLA],tbNucleo[COD ESCOLA],"")</f>
        <v/>
      </c>
      <c r="B3244" t="str" cm="1">
        <f t="array" ref="B3244">IFERROR(INDEX(tbNucleo[ESCOLA],ROUNDUP(ROW(B3243)/TotalEtapas,0)),"")</f>
        <v/>
      </c>
      <c r="E3244" t="str">
        <f>IFERROR(VLOOKUP(tbEscolas[[#This Row],[COD ETPA]],tbEtapas[],2,FALSE),"")</f>
        <v/>
      </c>
      <c r="F3244" t="str">
        <f>IFERROR(VLOOKUP(tbEscolas[[#This Row],[COD ETPA]],tbEtapas[],3,FALSE),"")</f>
        <v/>
      </c>
    </row>
    <row r="3245" spans="1:6" x14ac:dyDescent="0.25">
      <c r="A3245" s="24" t="str">
        <f>_xlfn.XLOOKUP(tbEscolas[[#This Row],[ESCOLA]],tbNucleo[ESCOLA],tbNucleo[COD ESCOLA],"")</f>
        <v/>
      </c>
      <c r="B3245" t="str" cm="1">
        <f t="array" ref="B3245">IFERROR(INDEX(tbNucleo[ESCOLA],ROUNDUP(ROW(B3244)/TotalEtapas,0)),"")</f>
        <v/>
      </c>
      <c r="E3245" t="str">
        <f>IFERROR(VLOOKUP(tbEscolas[[#This Row],[COD ETPA]],tbEtapas[],2,FALSE),"")</f>
        <v/>
      </c>
      <c r="F3245" t="str">
        <f>IFERROR(VLOOKUP(tbEscolas[[#This Row],[COD ETPA]],tbEtapas[],3,FALSE),"")</f>
        <v/>
      </c>
    </row>
    <row r="3246" spans="1:6" x14ac:dyDescent="0.25">
      <c r="A3246" s="24" t="str">
        <f>_xlfn.XLOOKUP(tbEscolas[[#This Row],[ESCOLA]],tbNucleo[ESCOLA],tbNucleo[COD ESCOLA],"")</f>
        <v/>
      </c>
      <c r="B3246" t="str" cm="1">
        <f t="array" ref="B3246">IFERROR(INDEX(tbNucleo[ESCOLA],ROUNDUP(ROW(B3245)/TotalEtapas,0)),"")</f>
        <v/>
      </c>
      <c r="E3246" t="str">
        <f>IFERROR(VLOOKUP(tbEscolas[[#This Row],[COD ETPA]],tbEtapas[],2,FALSE),"")</f>
        <v/>
      </c>
      <c r="F3246" t="str">
        <f>IFERROR(VLOOKUP(tbEscolas[[#This Row],[COD ETPA]],tbEtapas[],3,FALSE),"")</f>
        <v/>
      </c>
    </row>
    <row r="3247" spans="1:6" x14ac:dyDescent="0.25">
      <c r="A3247" s="24" t="str">
        <f>_xlfn.XLOOKUP(tbEscolas[[#This Row],[ESCOLA]],tbNucleo[ESCOLA],tbNucleo[COD ESCOLA],"")</f>
        <v/>
      </c>
      <c r="B3247" t="str" cm="1">
        <f t="array" ref="B3247">IFERROR(INDEX(tbNucleo[ESCOLA],ROUNDUP(ROW(B3246)/TotalEtapas,0)),"")</f>
        <v/>
      </c>
      <c r="E3247" t="str">
        <f>IFERROR(VLOOKUP(tbEscolas[[#This Row],[COD ETPA]],tbEtapas[],2,FALSE),"")</f>
        <v/>
      </c>
      <c r="F3247" t="str">
        <f>IFERROR(VLOOKUP(tbEscolas[[#This Row],[COD ETPA]],tbEtapas[],3,FALSE),"")</f>
        <v/>
      </c>
    </row>
    <row r="3248" spans="1:6" x14ac:dyDescent="0.25">
      <c r="A3248" s="24" t="str">
        <f>_xlfn.XLOOKUP(tbEscolas[[#This Row],[ESCOLA]],tbNucleo[ESCOLA],tbNucleo[COD ESCOLA],"")</f>
        <v/>
      </c>
      <c r="B3248" t="str" cm="1">
        <f t="array" ref="B3248">IFERROR(INDEX(tbNucleo[ESCOLA],ROUNDUP(ROW(B3247)/TotalEtapas,0)),"")</f>
        <v/>
      </c>
      <c r="E3248" t="str">
        <f>IFERROR(VLOOKUP(tbEscolas[[#This Row],[COD ETPA]],tbEtapas[],2,FALSE),"")</f>
        <v/>
      </c>
      <c r="F3248" t="str">
        <f>IFERROR(VLOOKUP(tbEscolas[[#This Row],[COD ETPA]],tbEtapas[],3,FALSE),"")</f>
        <v/>
      </c>
    </row>
    <row r="3249" spans="1:6" x14ac:dyDescent="0.25">
      <c r="A3249" s="24" t="str">
        <f>_xlfn.XLOOKUP(tbEscolas[[#This Row],[ESCOLA]],tbNucleo[ESCOLA],tbNucleo[COD ESCOLA],"")</f>
        <v/>
      </c>
      <c r="B3249" t="str" cm="1">
        <f t="array" ref="B3249">IFERROR(INDEX(tbNucleo[ESCOLA],ROUNDUP(ROW(B3248)/TotalEtapas,0)),"")</f>
        <v/>
      </c>
      <c r="E3249" t="str">
        <f>IFERROR(VLOOKUP(tbEscolas[[#This Row],[COD ETPA]],tbEtapas[],2,FALSE),"")</f>
        <v/>
      </c>
      <c r="F3249" t="str">
        <f>IFERROR(VLOOKUP(tbEscolas[[#This Row],[COD ETPA]],tbEtapas[],3,FALSE),"")</f>
        <v/>
      </c>
    </row>
    <row r="3250" spans="1:6" x14ac:dyDescent="0.25">
      <c r="A3250" s="24" t="str">
        <f>_xlfn.XLOOKUP(tbEscolas[[#This Row],[ESCOLA]],tbNucleo[ESCOLA],tbNucleo[COD ESCOLA],"")</f>
        <v/>
      </c>
      <c r="B3250" t="str" cm="1">
        <f t="array" ref="B3250">IFERROR(INDEX(tbNucleo[ESCOLA],ROUNDUP(ROW(B3249)/TotalEtapas,0)),"")</f>
        <v/>
      </c>
      <c r="E3250" t="str">
        <f>IFERROR(VLOOKUP(tbEscolas[[#This Row],[COD ETPA]],tbEtapas[],2,FALSE),"")</f>
        <v/>
      </c>
      <c r="F3250" t="str">
        <f>IFERROR(VLOOKUP(tbEscolas[[#This Row],[COD ETPA]],tbEtapas[],3,FALSE),"")</f>
        <v/>
      </c>
    </row>
    <row r="3251" spans="1:6" x14ac:dyDescent="0.25">
      <c r="A3251" s="24" t="str">
        <f>_xlfn.XLOOKUP(tbEscolas[[#This Row],[ESCOLA]],tbNucleo[ESCOLA],tbNucleo[COD ESCOLA],"")</f>
        <v/>
      </c>
      <c r="B3251" t="str" cm="1">
        <f t="array" ref="B3251">IFERROR(INDEX(tbNucleo[ESCOLA],ROUNDUP(ROW(B3250)/TotalEtapas,0)),"")</f>
        <v/>
      </c>
      <c r="E3251" t="str">
        <f>IFERROR(VLOOKUP(tbEscolas[[#This Row],[COD ETPA]],tbEtapas[],2,FALSE),"")</f>
        <v/>
      </c>
      <c r="F3251" t="str">
        <f>IFERROR(VLOOKUP(tbEscolas[[#This Row],[COD ETPA]],tbEtapas[],3,FALSE),"")</f>
        <v/>
      </c>
    </row>
    <row r="3252" spans="1:6" x14ac:dyDescent="0.25">
      <c r="A3252" s="24" t="str">
        <f>_xlfn.XLOOKUP(tbEscolas[[#This Row],[ESCOLA]],tbNucleo[ESCOLA],tbNucleo[COD ESCOLA],"")</f>
        <v/>
      </c>
      <c r="B3252" t="str" cm="1">
        <f t="array" ref="B3252">IFERROR(INDEX(tbNucleo[ESCOLA],ROUNDUP(ROW(B3251)/TotalEtapas,0)),"")</f>
        <v/>
      </c>
      <c r="E3252" t="str">
        <f>IFERROR(VLOOKUP(tbEscolas[[#This Row],[COD ETPA]],tbEtapas[],2,FALSE),"")</f>
        <v/>
      </c>
      <c r="F3252" t="str">
        <f>IFERROR(VLOOKUP(tbEscolas[[#This Row],[COD ETPA]],tbEtapas[],3,FALSE),"")</f>
        <v/>
      </c>
    </row>
    <row r="3253" spans="1:6" x14ac:dyDescent="0.25">
      <c r="A3253" s="24" t="str">
        <f>_xlfn.XLOOKUP(tbEscolas[[#This Row],[ESCOLA]],tbNucleo[ESCOLA],tbNucleo[COD ESCOLA],"")</f>
        <v/>
      </c>
      <c r="B3253" t="str" cm="1">
        <f t="array" ref="B3253">IFERROR(INDEX(tbNucleo[ESCOLA],ROUNDUP(ROW(B3252)/TotalEtapas,0)),"")</f>
        <v/>
      </c>
      <c r="E3253" t="str">
        <f>IFERROR(VLOOKUP(tbEscolas[[#This Row],[COD ETPA]],tbEtapas[],2,FALSE),"")</f>
        <v/>
      </c>
      <c r="F3253" t="str">
        <f>IFERROR(VLOOKUP(tbEscolas[[#This Row],[COD ETPA]],tbEtapas[],3,FALSE),"")</f>
        <v/>
      </c>
    </row>
    <row r="3254" spans="1:6" x14ac:dyDescent="0.25">
      <c r="A3254" s="24" t="str">
        <f>_xlfn.XLOOKUP(tbEscolas[[#This Row],[ESCOLA]],tbNucleo[ESCOLA],tbNucleo[COD ESCOLA],"")</f>
        <v/>
      </c>
      <c r="B3254" t="str" cm="1">
        <f t="array" ref="B3254">IFERROR(INDEX(tbNucleo[ESCOLA],ROUNDUP(ROW(B3253)/TotalEtapas,0)),"")</f>
        <v/>
      </c>
      <c r="E3254" t="str">
        <f>IFERROR(VLOOKUP(tbEscolas[[#This Row],[COD ETPA]],tbEtapas[],2,FALSE),"")</f>
        <v/>
      </c>
      <c r="F3254" t="str">
        <f>IFERROR(VLOOKUP(tbEscolas[[#This Row],[COD ETPA]],tbEtapas[],3,FALSE),"")</f>
        <v/>
      </c>
    </row>
    <row r="3255" spans="1:6" x14ac:dyDescent="0.25">
      <c r="A3255" s="24" t="str">
        <f>_xlfn.XLOOKUP(tbEscolas[[#This Row],[ESCOLA]],tbNucleo[ESCOLA],tbNucleo[COD ESCOLA],"")</f>
        <v/>
      </c>
      <c r="B3255" t="str" cm="1">
        <f t="array" ref="B3255">IFERROR(INDEX(tbNucleo[ESCOLA],ROUNDUP(ROW(B3254)/TotalEtapas,0)),"")</f>
        <v/>
      </c>
      <c r="E3255" t="str">
        <f>IFERROR(VLOOKUP(tbEscolas[[#This Row],[COD ETPA]],tbEtapas[],2,FALSE),"")</f>
        <v/>
      </c>
      <c r="F3255" t="str">
        <f>IFERROR(VLOOKUP(tbEscolas[[#This Row],[COD ETPA]],tbEtapas[],3,FALSE),"")</f>
        <v/>
      </c>
    </row>
    <row r="3256" spans="1:6" x14ac:dyDescent="0.25">
      <c r="A3256" s="24" t="str">
        <f>_xlfn.XLOOKUP(tbEscolas[[#This Row],[ESCOLA]],tbNucleo[ESCOLA],tbNucleo[COD ESCOLA],"")</f>
        <v/>
      </c>
      <c r="B3256" t="str" cm="1">
        <f t="array" ref="B3256">IFERROR(INDEX(tbNucleo[ESCOLA],ROUNDUP(ROW(B3255)/TotalEtapas,0)),"")</f>
        <v/>
      </c>
      <c r="E3256" t="str">
        <f>IFERROR(VLOOKUP(tbEscolas[[#This Row],[COD ETPA]],tbEtapas[],2,FALSE),"")</f>
        <v/>
      </c>
      <c r="F3256" t="str">
        <f>IFERROR(VLOOKUP(tbEscolas[[#This Row],[COD ETPA]],tbEtapas[],3,FALSE),"")</f>
        <v/>
      </c>
    </row>
    <row r="3257" spans="1:6" x14ac:dyDescent="0.25">
      <c r="A3257" s="24" t="str">
        <f>_xlfn.XLOOKUP(tbEscolas[[#This Row],[ESCOLA]],tbNucleo[ESCOLA],tbNucleo[COD ESCOLA],"")</f>
        <v/>
      </c>
      <c r="B3257" t="str" cm="1">
        <f t="array" ref="B3257">IFERROR(INDEX(tbNucleo[ESCOLA],ROUNDUP(ROW(B3256)/TotalEtapas,0)),"")</f>
        <v/>
      </c>
      <c r="E3257" t="str">
        <f>IFERROR(VLOOKUP(tbEscolas[[#This Row],[COD ETPA]],tbEtapas[],2,FALSE),"")</f>
        <v/>
      </c>
      <c r="F3257" t="str">
        <f>IFERROR(VLOOKUP(tbEscolas[[#This Row],[COD ETPA]],tbEtapas[],3,FALSE),"")</f>
        <v/>
      </c>
    </row>
    <row r="3258" spans="1:6" x14ac:dyDescent="0.25">
      <c r="A3258" s="24" t="str">
        <f>_xlfn.XLOOKUP(tbEscolas[[#This Row],[ESCOLA]],tbNucleo[ESCOLA],tbNucleo[COD ESCOLA],"")</f>
        <v/>
      </c>
      <c r="B3258" t="str" cm="1">
        <f t="array" ref="B3258">IFERROR(INDEX(tbNucleo[ESCOLA],ROUNDUP(ROW(B3257)/TotalEtapas,0)),"")</f>
        <v/>
      </c>
      <c r="E3258" t="str">
        <f>IFERROR(VLOOKUP(tbEscolas[[#This Row],[COD ETPA]],tbEtapas[],2,FALSE),"")</f>
        <v/>
      </c>
      <c r="F3258" t="str">
        <f>IFERROR(VLOOKUP(tbEscolas[[#This Row],[COD ETPA]],tbEtapas[],3,FALSE),"")</f>
        <v/>
      </c>
    </row>
    <row r="3259" spans="1:6" x14ac:dyDescent="0.25">
      <c r="A3259" s="24" t="str">
        <f>_xlfn.XLOOKUP(tbEscolas[[#This Row],[ESCOLA]],tbNucleo[ESCOLA],tbNucleo[COD ESCOLA],"")</f>
        <v/>
      </c>
      <c r="B3259" t="str" cm="1">
        <f t="array" ref="B3259">IFERROR(INDEX(tbNucleo[ESCOLA],ROUNDUP(ROW(B3258)/TotalEtapas,0)),"")</f>
        <v/>
      </c>
      <c r="E3259" t="str">
        <f>IFERROR(VLOOKUP(tbEscolas[[#This Row],[COD ETPA]],tbEtapas[],2,FALSE),"")</f>
        <v/>
      </c>
      <c r="F3259" t="str">
        <f>IFERROR(VLOOKUP(tbEscolas[[#This Row],[COD ETPA]],tbEtapas[],3,FALSE),"")</f>
        <v/>
      </c>
    </row>
    <row r="3260" spans="1:6" x14ac:dyDescent="0.25">
      <c r="A3260" s="24" t="str">
        <f>_xlfn.XLOOKUP(tbEscolas[[#This Row],[ESCOLA]],tbNucleo[ESCOLA],tbNucleo[COD ESCOLA],"")</f>
        <v/>
      </c>
      <c r="B3260" t="str" cm="1">
        <f t="array" ref="B3260">IFERROR(INDEX(tbNucleo[ESCOLA],ROUNDUP(ROW(B3259)/TotalEtapas,0)),"")</f>
        <v/>
      </c>
      <c r="E3260" t="str">
        <f>IFERROR(VLOOKUP(tbEscolas[[#This Row],[COD ETPA]],tbEtapas[],2,FALSE),"")</f>
        <v/>
      </c>
      <c r="F3260" t="str">
        <f>IFERROR(VLOOKUP(tbEscolas[[#This Row],[COD ETPA]],tbEtapas[],3,FALSE),"")</f>
        <v/>
      </c>
    </row>
    <row r="3261" spans="1:6" x14ac:dyDescent="0.25">
      <c r="A3261" s="24" t="str">
        <f>_xlfn.XLOOKUP(tbEscolas[[#This Row],[ESCOLA]],tbNucleo[ESCOLA],tbNucleo[COD ESCOLA],"")</f>
        <v/>
      </c>
      <c r="B3261" t="str" cm="1">
        <f t="array" ref="B3261">IFERROR(INDEX(tbNucleo[ESCOLA],ROUNDUP(ROW(B3260)/TotalEtapas,0)),"")</f>
        <v/>
      </c>
      <c r="E3261" t="str">
        <f>IFERROR(VLOOKUP(tbEscolas[[#This Row],[COD ETPA]],tbEtapas[],2,FALSE),"")</f>
        <v/>
      </c>
      <c r="F3261" t="str">
        <f>IFERROR(VLOOKUP(tbEscolas[[#This Row],[COD ETPA]],tbEtapas[],3,FALSE),"")</f>
        <v/>
      </c>
    </row>
    <row r="3262" spans="1:6" x14ac:dyDescent="0.25">
      <c r="A3262" s="24" t="str">
        <f>_xlfn.XLOOKUP(tbEscolas[[#This Row],[ESCOLA]],tbNucleo[ESCOLA],tbNucleo[COD ESCOLA],"")</f>
        <v/>
      </c>
      <c r="B3262" t="str" cm="1">
        <f t="array" ref="B3262">IFERROR(INDEX(tbNucleo[ESCOLA],ROUNDUP(ROW(B3261)/TotalEtapas,0)),"")</f>
        <v/>
      </c>
      <c r="E3262" t="str">
        <f>IFERROR(VLOOKUP(tbEscolas[[#This Row],[COD ETPA]],tbEtapas[],2,FALSE),"")</f>
        <v/>
      </c>
      <c r="F3262" t="str">
        <f>IFERROR(VLOOKUP(tbEscolas[[#This Row],[COD ETPA]],tbEtapas[],3,FALSE),"")</f>
        <v/>
      </c>
    </row>
    <row r="3263" spans="1:6" x14ac:dyDescent="0.25">
      <c r="A3263" s="24" t="str">
        <f>_xlfn.XLOOKUP(tbEscolas[[#This Row],[ESCOLA]],tbNucleo[ESCOLA],tbNucleo[COD ESCOLA],"")</f>
        <v/>
      </c>
      <c r="B3263" t="str" cm="1">
        <f t="array" ref="B3263">IFERROR(INDEX(tbNucleo[ESCOLA],ROUNDUP(ROW(B3262)/TotalEtapas,0)),"")</f>
        <v/>
      </c>
      <c r="E3263" t="str">
        <f>IFERROR(VLOOKUP(tbEscolas[[#This Row],[COD ETPA]],tbEtapas[],2,FALSE),"")</f>
        <v/>
      </c>
      <c r="F3263" t="str">
        <f>IFERROR(VLOOKUP(tbEscolas[[#This Row],[COD ETPA]],tbEtapas[],3,FALSE),"")</f>
        <v/>
      </c>
    </row>
    <row r="3264" spans="1:6" x14ac:dyDescent="0.25">
      <c r="A3264" s="24" t="str">
        <f>_xlfn.XLOOKUP(tbEscolas[[#This Row],[ESCOLA]],tbNucleo[ESCOLA],tbNucleo[COD ESCOLA],"")</f>
        <v/>
      </c>
      <c r="B3264" t="str" cm="1">
        <f t="array" ref="B3264">IFERROR(INDEX(tbNucleo[ESCOLA],ROUNDUP(ROW(B3263)/TotalEtapas,0)),"")</f>
        <v/>
      </c>
      <c r="E3264" t="str">
        <f>IFERROR(VLOOKUP(tbEscolas[[#This Row],[COD ETPA]],tbEtapas[],2,FALSE),"")</f>
        <v/>
      </c>
      <c r="F3264" t="str">
        <f>IFERROR(VLOOKUP(tbEscolas[[#This Row],[COD ETPA]],tbEtapas[],3,FALSE),"")</f>
        <v/>
      </c>
    </row>
    <row r="3265" spans="1:6" x14ac:dyDescent="0.25">
      <c r="A3265" s="24" t="str">
        <f>_xlfn.XLOOKUP(tbEscolas[[#This Row],[ESCOLA]],tbNucleo[ESCOLA],tbNucleo[COD ESCOLA],"")</f>
        <v/>
      </c>
      <c r="B3265" t="str" cm="1">
        <f t="array" ref="B3265">IFERROR(INDEX(tbNucleo[ESCOLA],ROUNDUP(ROW(B3264)/TotalEtapas,0)),"")</f>
        <v/>
      </c>
      <c r="E3265" t="str">
        <f>IFERROR(VLOOKUP(tbEscolas[[#This Row],[COD ETPA]],tbEtapas[],2,FALSE),"")</f>
        <v/>
      </c>
      <c r="F3265" t="str">
        <f>IFERROR(VLOOKUP(tbEscolas[[#This Row],[COD ETPA]],tbEtapas[],3,FALSE),"")</f>
        <v/>
      </c>
    </row>
    <row r="3266" spans="1:6" x14ac:dyDescent="0.25">
      <c r="A3266" s="24" t="str">
        <f>_xlfn.XLOOKUP(tbEscolas[[#This Row],[ESCOLA]],tbNucleo[ESCOLA],tbNucleo[COD ESCOLA],"")</f>
        <v/>
      </c>
      <c r="B3266" t="str" cm="1">
        <f t="array" ref="B3266">IFERROR(INDEX(tbNucleo[ESCOLA],ROUNDUP(ROW(B3265)/TotalEtapas,0)),"")</f>
        <v/>
      </c>
      <c r="E3266" t="str">
        <f>IFERROR(VLOOKUP(tbEscolas[[#This Row],[COD ETPA]],tbEtapas[],2,FALSE),"")</f>
        <v/>
      </c>
      <c r="F3266" t="str">
        <f>IFERROR(VLOOKUP(tbEscolas[[#This Row],[COD ETPA]],tbEtapas[],3,FALSE),"")</f>
        <v/>
      </c>
    </row>
    <row r="3267" spans="1:6" x14ac:dyDescent="0.25">
      <c r="A3267" s="24" t="str">
        <f>_xlfn.XLOOKUP(tbEscolas[[#This Row],[ESCOLA]],tbNucleo[ESCOLA],tbNucleo[COD ESCOLA],"")</f>
        <v/>
      </c>
      <c r="B3267" t="str" cm="1">
        <f t="array" ref="B3267">IFERROR(INDEX(tbNucleo[ESCOLA],ROUNDUP(ROW(B3266)/TotalEtapas,0)),"")</f>
        <v/>
      </c>
      <c r="E3267" t="str">
        <f>IFERROR(VLOOKUP(tbEscolas[[#This Row],[COD ETPA]],tbEtapas[],2,FALSE),"")</f>
        <v/>
      </c>
      <c r="F3267" t="str">
        <f>IFERROR(VLOOKUP(tbEscolas[[#This Row],[COD ETPA]],tbEtapas[],3,FALSE),"")</f>
        <v/>
      </c>
    </row>
    <row r="3268" spans="1:6" x14ac:dyDescent="0.25">
      <c r="A3268" s="24" t="str">
        <f>_xlfn.XLOOKUP(tbEscolas[[#This Row],[ESCOLA]],tbNucleo[ESCOLA],tbNucleo[COD ESCOLA],"")</f>
        <v/>
      </c>
      <c r="B3268" t="str" cm="1">
        <f t="array" ref="B3268">IFERROR(INDEX(tbNucleo[ESCOLA],ROUNDUP(ROW(B3267)/TotalEtapas,0)),"")</f>
        <v/>
      </c>
      <c r="E3268" t="str">
        <f>IFERROR(VLOOKUP(tbEscolas[[#This Row],[COD ETPA]],tbEtapas[],2,FALSE),"")</f>
        <v/>
      </c>
      <c r="F3268" t="str">
        <f>IFERROR(VLOOKUP(tbEscolas[[#This Row],[COD ETPA]],tbEtapas[],3,FALSE),"")</f>
        <v/>
      </c>
    </row>
    <row r="3269" spans="1:6" x14ac:dyDescent="0.25">
      <c r="A3269" s="24" t="str">
        <f>_xlfn.XLOOKUP(tbEscolas[[#This Row],[ESCOLA]],tbNucleo[ESCOLA],tbNucleo[COD ESCOLA],"")</f>
        <v/>
      </c>
      <c r="B3269" t="str" cm="1">
        <f t="array" ref="B3269">IFERROR(INDEX(tbNucleo[ESCOLA],ROUNDUP(ROW(B3268)/TotalEtapas,0)),"")</f>
        <v/>
      </c>
      <c r="E3269" t="str">
        <f>IFERROR(VLOOKUP(tbEscolas[[#This Row],[COD ETPA]],tbEtapas[],2,FALSE),"")</f>
        <v/>
      </c>
      <c r="F3269" t="str">
        <f>IFERROR(VLOOKUP(tbEscolas[[#This Row],[COD ETPA]],tbEtapas[],3,FALSE),"")</f>
        <v/>
      </c>
    </row>
    <row r="3270" spans="1:6" x14ac:dyDescent="0.25">
      <c r="A3270" s="24" t="str">
        <f>_xlfn.XLOOKUP(tbEscolas[[#This Row],[ESCOLA]],tbNucleo[ESCOLA],tbNucleo[COD ESCOLA],"")</f>
        <v/>
      </c>
      <c r="B3270" t="str" cm="1">
        <f t="array" ref="B3270">IFERROR(INDEX(tbNucleo[ESCOLA],ROUNDUP(ROW(B3269)/TotalEtapas,0)),"")</f>
        <v/>
      </c>
      <c r="E3270" t="str">
        <f>IFERROR(VLOOKUP(tbEscolas[[#This Row],[COD ETPA]],tbEtapas[],2,FALSE),"")</f>
        <v/>
      </c>
      <c r="F3270" t="str">
        <f>IFERROR(VLOOKUP(tbEscolas[[#This Row],[COD ETPA]],tbEtapas[],3,FALSE),"")</f>
        <v/>
      </c>
    </row>
    <row r="3271" spans="1:6" x14ac:dyDescent="0.25">
      <c r="A3271" s="24" t="str">
        <f>_xlfn.XLOOKUP(tbEscolas[[#This Row],[ESCOLA]],tbNucleo[ESCOLA],tbNucleo[COD ESCOLA],"")</f>
        <v/>
      </c>
      <c r="B3271" t="str" cm="1">
        <f t="array" ref="B3271">IFERROR(INDEX(tbNucleo[ESCOLA],ROUNDUP(ROW(B3270)/TotalEtapas,0)),"")</f>
        <v/>
      </c>
      <c r="E3271" t="str">
        <f>IFERROR(VLOOKUP(tbEscolas[[#This Row],[COD ETPA]],tbEtapas[],2,FALSE),"")</f>
        <v/>
      </c>
      <c r="F3271" t="str">
        <f>IFERROR(VLOOKUP(tbEscolas[[#This Row],[COD ETPA]],tbEtapas[],3,FALSE),"")</f>
        <v/>
      </c>
    </row>
    <row r="3272" spans="1:6" x14ac:dyDescent="0.25">
      <c r="A3272" s="24" t="str">
        <f>_xlfn.XLOOKUP(tbEscolas[[#This Row],[ESCOLA]],tbNucleo[ESCOLA],tbNucleo[COD ESCOLA],"")</f>
        <v/>
      </c>
      <c r="B3272" t="str" cm="1">
        <f t="array" ref="B3272">IFERROR(INDEX(tbNucleo[ESCOLA],ROUNDUP(ROW(B3271)/TotalEtapas,0)),"")</f>
        <v/>
      </c>
      <c r="E3272" t="str">
        <f>IFERROR(VLOOKUP(tbEscolas[[#This Row],[COD ETPA]],tbEtapas[],2,FALSE),"")</f>
        <v/>
      </c>
      <c r="F3272" t="str">
        <f>IFERROR(VLOOKUP(tbEscolas[[#This Row],[COD ETPA]],tbEtapas[],3,FALSE),"")</f>
        <v/>
      </c>
    </row>
    <row r="3273" spans="1:6" x14ac:dyDescent="0.25">
      <c r="A3273" s="24" t="str">
        <f>_xlfn.XLOOKUP(tbEscolas[[#This Row],[ESCOLA]],tbNucleo[ESCOLA],tbNucleo[COD ESCOLA],"")</f>
        <v/>
      </c>
      <c r="B3273" t="str" cm="1">
        <f t="array" ref="B3273">IFERROR(INDEX(tbNucleo[ESCOLA],ROUNDUP(ROW(B3272)/TotalEtapas,0)),"")</f>
        <v/>
      </c>
      <c r="E3273" t="str">
        <f>IFERROR(VLOOKUP(tbEscolas[[#This Row],[COD ETPA]],tbEtapas[],2,FALSE),"")</f>
        <v/>
      </c>
      <c r="F3273" t="str">
        <f>IFERROR(VLOOKUP(tbEscolas[[#This Row],[COD ETPA]],tbEtapas[],3,FALSE),"")</f>
        <v/>
      </c>
    </row>
    <row r="3274" spans="1:6" x14ac:dyDescent="0.25">
      <c r="A3274" s="24" t="str">
        <f>_xlfn.XLOOKUP(tbEscolas[[#This Row],[ESCOLA]],tbNucleo[ESCOLA],tbNucleo[COD ESCOLA],"")</f>
        <v/>
      </c>
      <c r="B3274" t="str" cm="1">
        <f t="array" ref="B3274">IFERROR(INDEX(tbNucleo[ESCOLA],ROUNDUP(ROW(B3273)/TotalEtapas,0)),"")</f>
        <v/>
      </c>
      <c r="E3274" t="str">
        <f>IFERROR(VLOOKUP(tbEscolas[[#This Row],[COD ETPA]],tbEtapas[],2,FALSE),"")</f>
        <v/>
      </c>
      <c r="F3274" t="str">
        <f>IFERROR(VLOOKUP(tbEscolas[[#This Row],[COD ETPA]],tbEtapas[],3,FALSE),"")</f>
        <v/>
      </c>
    </row>
    <row r="3275" spans="1:6" x14ac:dyDescent="0.25">
      <c r="A3275" s="24" t="str">
        <f>_xlfn.XLOOKUP(tbEscolas[[#This Row],[ESCOLA]],tbNucleo[ESCOLA],tbNucleo[COD ESCOLA],"")</f>
        <v/>
      </c>
      <c r="B3275" t="str" cm="1">
        <f t="array" ref="B3275">IFERROR(INDEX(tbNucleo[ESCOLA],ROUNDUP(ROW(B3274)/TotalEtapas,0)),"")</f>
        <v/>
      </c>
      <c r="E3275" t="str">
        <f>IFERROR(VLOOKUP(tbEscolas[[#This Row],[COD ETPA]],tbEtapas[],2,FALSE),"")</f>
        <v/>
      </c>
      <c r="F3275" t="str">
        <f>IFERROR(VLOOKUP(tbEscolas[[#This Row],[COD ETPA]],tbEtapas[],3,FALSE),"")</f>
        <v/>
      </c>
    </row>
    <row r="3276" spans="1:6" x14ac:dyDescent="0.25">
      <c r="A3276" s="24" t="str">
        <f>_xlfn.XLOOKUP(tbEscolas[[#This Row],[ESCOLA]],tbNucleo[ESCOLA],tbNucleo[COD ESCOLA],"")</f>
        <v/>
      </c>
      <c r="B3276" t="str" cm="1">
        <f t="array" ref="B3276">IFERROR(INDEX(tbNucleo[ESCOLA],ROUNDUP(ROW(B3275)/TotalEtapas,0)),"")</f>
        <v/>
      </c>
      <c r="E3276" t="str">
        <f>IFERROR(VLOOKUP(tbEscolas[[#This Row],[COD ETPA]],tbEtapas[],2,FALSE),"")</f>
        <v/>
      </c>
      <c r="F3276" t="str">
        <f>IFERROR(VLOOKUP(tbEscolas[[#This Row],[COD ETPA]],tbEtapas[],3,FALSE),"")</f>
        <v/>
      </c>
    </row>
    <row r="3277" spans="1:6" x14ac:dyDescent="0.25">
      <c r="A3277" s="24" t="str">
        <f>_xlfn.XLOOKUP(tbEscolas[[#This Row],[ESCOLA]],tbNucleo[ESCOLA],tbNucleo[COD ESCOLA],"")</f>
        <v/>
      </c>
      <c r="B3277" t="str" cm="1">
        <f t="array" ref="B3277">IFERROR(INDEX(tbNucleo[ESCOLA],ROUNDUP(ROW(B3276)/TotalEtapas,0)),"")</f>
        <v/>
      </c>
      <c r="E3277" t="str">
        <f>IFERROR(VLOOKUP(tbEscolas[[#This Row],[COD ETPA]],tbEtapas[],2,FALSE),"")</f>
        <v/>
      </c>
      <c r="F3277" t="str">
        <f>IFERROR(VLOOKUP(tbEscolas[[#This Row],[COD ETPA]],tbEtapas[],3,FALSE),"")</f>
        <v/>
      </c>
    </row>
    <row r="3278" spans="1:6" x14ac:dyDescent="0.25">
      <c r="A3278" s="24" t="str">
        <f>_xlfn.XLOOKUP(tbEscolas[[#This Row],[ESCOLA]],tbNucleo[ESCOLA],tbNucleo[COD ESCOLA],"")</f>
        <v/>
      </c>
      <c r="B3278" t="str" cm="1">
        <f t="array" ref="B3278">IFERROR(INDEX(tbNucleo[ESCOLA],ROUNDUP(ROW(B3277)/TotalEtapas,0)),"")</f>
        <v/>
      </c>
      <c r="E3278" t="str">
        <f>IFERROR(VLOOKUP(tbEscolas[[#This Row],[COD ETPA]],tbEtapas[],2,FALSE),"")</f>
        <v/>
      </c>
      <c r="F3278" t="str">
        <f>IFERROR(VLOOKUP(tbEscolas[[#This Row],[COD ETPA]],tbEtapas[],3,FALSE),"")</f>
        <v/>
      </c>
    </row>
    <row r="3279" spans="1:6" x14ac:dyDescent="0.25">
      <c r="A3279" s="24" t="str">
        <f>_xlfn.XLOOKUP(tbEscolas[[#This Row],[ESCOLA]],tbNucleo[ESCOLA],tbNucleo[COD ESCOLA],"")</f>
        <v/>
      </c>
      <c r="B3279" t="str" cm="1">
        <f t="array" ref="B3279">IFERROR(INDEX(tbNucleo[ESCOLA],ROUNDUP(ROW(B3278)/TotalEtapas,0)),"")</f>
        <v/>
      </c>
      <c r="E3279" t="str">
        <f>IFERROR(VLOOKUP(tbEscolas[[#This Row],[COD ETPA]],tbEtapas[],2,FALSE),"")</f>
        <v/>
      </c>
      <c r="F3279" t="str">
        <f>IFERROR(VLOOKUP(tbEscolas[[#This Row],[COD ETPA]],tbEtapas[],3,FALSE),"")</f>
        <v/>
      </c>
    </row>
    <row r="3280" spans="1:6" x14ac:dyDescent="0.25">
      <c r="A3280" s="24" t="str">
        <f>_xlfn.XLOOKUP(tbEscolas[[#This Row],[ESCOLA]],tbNucleo[ESCOLA],tbNucleo[COD ESCOLA],"")</f>
        <v/>
      </c>
      <c r="B3280" t="str" cm="1">
        <f t="array" ref="B3280">IFERROR(INDEX(tbNucleo[ESCOLA],ROUNDUP(ROW(B3279)/TotalEtapas,0)),"")</f>
        <v/>
      </c>
      <c r="E3280" t="str">
        <f>IFERROR(VLOOKUP(tbEscolas[[#This Row],[COD ETPA]],tbEtapas[],2,FALSE),"")</f>
        <v/>
      </c>
      <c r="F3280" t="str">
        <f>IFERROR(VLOOKUP(tbEscolas[[#This Row],[COD ETPA]],tbEtapas[],3,FALSE),"")</f>
        <v/>
      </c>
    </row>
    <row r="3281" spans="1:6" x14ac:dyDescent="0.25">
      <c r="A3281" s="24" t="str">
        <f>_xlfn.XLOOKUP(tbEscolas[[#This Row],[ESCOLA]],tbNucleo[ESCOLA],tbNucleo[COD ESCOLA],"")</f>
        <v/>
      </c>
      <c r="B3281" t="str" cm="1">
        <f t="array" ref="B3281">IFERROR(INDEX(tbNucleo[ESCOLA],ROUNDUP(ROW(B3280)/TotalEtapas,0)),"")</f>
        <v/>
      </c>
      <c r="E3281" t="str">
        <f>IFERROR(VLOOKUP(tbEscolas[[#This Row],[COD ETPA]],tbEtapas[],2,FALSE),"")</f>
        <v/>
      </c>
      <c r="F3281" t="str">
        <f>IFERROR(VLOOKUP(tbEscolas[[#This Row],[COD ETPA]],tbEtapas[],3,FALSE),"")</f>
        <v/>
      </c>
    </row>
    <row r="3282" spans="1:6" x14ac:dyDescent="0.25">
      <c r="A3282" s="24" t="str">
        <f>_xlfn.XLOOKUP(tbEscolas[[#This Row],[ESCOLA]],tbNucleo[ESCOLA],tbNucleo[COD ESCOLA],"")</f>
        <v/>
      </c>
      <c r="B3282" t="str" cm="1">
        <f t="array" ref="B3282">IFERROR(INDEX(tbNucleo[ESCOLA],ROUNDUP(ROW(B3281)/TotalEtapas,0)),"")</f>
        <v/>
      </c>
      <c r="E3282" t="str">
        <f>IFERROR(VLOOKUP(tbEscolas[[#This Row],[COD ETPA]],tbEtapas[],2,FALSE),"")</f>
        <v/>
      </c>
      <c r="F3282" t="str">
        <f>IFERROR(VLOOKUP(tbEscolas[[#This Row],[COD ETPA]],tbEtapas[],3,FALSE),"")</f>
        <v/>
      </c>
    </row>
    <row r="3283" spans="1:6" x14ac:dyDescent="0.25">
      <c r="A3283" s="24" t="str">
        <f>_xlfn.XLOOKUP(tbEscolas[[#This Row],[ESCOLA]],tbNucleo[ESCOLA],tbNucleo[COD ESCOLA],"")</f>
        <v/>
      </c>
      <c r="B3283" t="str" cm="1">
        <f t="array" ref="B3283">IFERROR(INDEX(tbNucleo[ESCOLA],ROUNDUP(ROW(B3282)/TotalEtapas,0)),"")</f>
        <v/>
      </c>
      <c r="E3283" t="str">
        <f>IFERROR(VLOOKUP(tbEscolas[[#This Row],[COD ETPA]],tbEtapas[],2,FALSE),"")</f>
        <v/>
      </c>
      <c r="F3283" t="str">
        <f>IFERROR(VLOOKUP(tbEscolas[[#This Row],[COD ETPA]],tbEtapas[],3,FALSE),"")</f>
        <v/>
      </c>
    </row>
    <row r="3284" spans="1:6" x14ac:dyDescent="0.25">
      <c r="A3284" s="24" t="str">
        <f>_xlfn.XLOOKUP(tbEscolas[[#This Row],[ESCOLA]],tbNucleo[ESCOLA],tbNucleo[COD ESCOLA],"")</f>
        <v/>
      </c>
      <c r="B3284" t="str" cm="1">
        <f t="array" ref="B3284">IFERROR(INDEX(tbNucleo[ESCOLA],ROUNDUP(ROW(B3283)/TotalEtapas,0)),"")</f>
        <v/>
      </c>
      <c r="E3284" t="str">
        <f>IFERROR(VLOOKUP(tbEscolas[[#This Row],[COD ETPA]],tbEtapas[],2,FALSE),"")</f>
        <v/>
      </c>
      <c r="F3284" t="str">
        <f>IFERROR(VLOOKUP(tbEscolas[[#This Row],[COD ETPA]],tbEtapas[],3,FALSE),"")</f>
        <v/>
      </c>
    </row>
    <row r="3285" spans="1:6" x14ac:dyDescent="0.25">
      <c r="A3285" s="24" t="str">
        <f>_xlfn.XLOOKUP(tbEscolas[[#This Row],[ESCOLA]],tbNucleo[ESCOLA],tbNucleo[COD ESCOLA],"")</f>
        <v/>
      </c>
      <c r="B3285" t="str" cm="1">
        <f t="array" ref="B3285">IFERROR(INDEX(tbNucleo[ESCOLA],ROUNDUP(ROW(B3284)/TotalEtapas,0)),"")</f>
        <v/>
      </c>
      <c r="E3285" t="str">
        <f>IFERROR(VLOOKUP(tbEscolas[[#This Row],[COD ETPA]],tbEtapas[],2,FALSE),"")</f>
        <v/>
      </c>
      <c r="F3285" t="str">
        <f>IFERROR(VLOOKUP(tbEscolas[[#This Row],[COD ETPA]],tbEtapas[],3,FALSE),"")</f>
        <v/>
      </c>
    </row>
    <row r="3286" spans="1:6" x14ac:dyDescent="0.25">
      <c r="A3286" s="24" t="str">
        <f>_xlfn.XLOOKUP(tbEscolas[[#This Row],[ESCOLA]],tbNucleo[ESCOLA],tbNucleo[COD ESCOLA],"")</f>
        <v/>
      </c>
      <c r="B3286" t="str" cm="1">
        <f t="array" ref="B3286">IFERROR(INDEX(tbNucleo[ESCOLA],ROUNDUP(ROW(B3285)/TotalEtapas,0)),"")</f>
        <v/>
      </c>
      <c r="E3286" t="str">
        <f>IFERROR(VLOOKUP(tbEscolas[[#This Row],[COD ETPA]],tbEtapas[],2,FALSE),"")</f>
        <v/>
      </c>
      <c r="F3286" t="str">
        <f>IFERROR(VLOOKUP(tbEscolas[[#This Row],[COD ETPA]],tbEtapas[],3,FALSE),"")</f>
        <v/>
      </c>
    </row>
    <row r="3287" spans="1:6" x14ac:dyDescent="0.25">
      <c r="A3287" s="24" t="str">
        <f>_xlfn.XLOOKUP(tbEscolas[[#This Row],[ESCOLA]],tbNucleo[ESCOLA],tbNucleo[COD ESCOLA],"")</f>
        <v/>
      </c>
      <c r="B3287" t="str" cm="1">
        <f t="array" ref="B3287">IFERROR(INDEX(tbNucleo[ESCOLA],ROUNDUP(ROW(B3286)/TotalEtapas,0)),"")</f>
        <v/>
      </c>
      <c r="E3287" t="str">
        <f>IFERROR(VLOOKUP(tbEscolas[[#This Row],[COD ETPA]],tbEtapas[],2,FALSE),"")</f>
        <v/>
      </c>
      <c r="F3287" t="str">
        <f>IFERROR(VLOOKUP(tbEscolas[[#This Row],[COD ETPA]],tbEtapas[],3,FALSE),"")</f>
        <v/>
      </c>
    </row>
    <row r="3288" spans="1:6" x14ac:dyDescent="0.25">
      <c r="A3288" s="24" t="str">
        <f>_xlfn.XLOOKUP(tbEscolas[[#This Row],[ESCOLA]],tbNucleo[ESCOLA],tbNucleo[COD ESCOLA],"")</f>
        <v/>
      </c>
      <c r="B3288" t="str" cm="1">
        <f t="array" ref="B3288">IFERROR(INDEX(tbNucleo[ESCOLA],ROUNDUP(ROW(B3287)/TotalEtapas,0)),"")</f>
        <v/>
      </c>
      <c r="E3288" t="str">
        <f>IFERROR(VLOOKUP(tbEscolas[[#This Row],[COD ETPA]],tbEtapas[],2,FALSE),"")</f>
        <v/>
      </c>
      <c r="F3288" t="str">
        <f>IFERROR(VLOOKUP(tbEscolas[[#This Row],[COD ETPA]],tbEtapas[],3,FALSE),"")</f>
        <v/>
      </c>
    </row>
    <row r="3289" spans="1:6" x14ac:dyDescent="0.25">
      <c r="A3289" s="24" t="str">
        <f>_xlfn.XLOOKUP(tbEscolas[[#This Row],[ESCOLA]],tbNucleo[ESCOLA],tbNucleo[COD ESCOLA],"")</f>
        <v/>
      </c>
      <c r="B3289" t="str" cm="1">
        <f t="array" ref="B3289">IFERROR(INDEX(tbNucleo[ESCOLA],ROUNDUP(ROW(B3288)/TotalEtapas,0)),"")</f>
        <v/>
      </c>
      <c r="E3289" t="str">
        <f>IFERROR(VLOOKUP(tbEscolas[[#This Row],[COD ETPA]],tbEtapas[],2,FALSE),"")</f>
        <v/>
      </c>
      <c r="F3289" t="str">
        <f>IFERROR(VLOOKUP(tbEscolas[[#This Row],[COD ETPA]],tbEtapas[],3,FALSE),"")</f>
        <v/>
      </c>
    </row>
    <row r="3290" spans="1:6" x14ac:dyDescent="0.25">
      <c r="A3290" s="24" t="str">
        <f>_xlfn.XLOOKUP(tbEscolas[[#This Row],[ESCOLA]],tbNucleo[ESCOLA],tbNucleo[COD ESCOLA],"")</f>
        <v/>
      </c>
      <c r="B3290" t="str" cm="1">
        <f t="array" ref="B3290">IFERROR(INDEX(tbNucleo[ESCOLA],ROUNDUP(ROW(B3289)/TotalEtapas,0)),"")</f>
        <v/>
      </c>
      <c r="E3290" t="str">
        <f>IFERROR(VLOOKUP(tbEscolas[[#This Row],[COD ETPA]],tbEtapas[],2,FALSE),"")</f>
        <v/>
      </c>
      <c r="F3290" t="str">
        <f>IFERROR(VLOOKUP(tbEscolas[[#This Row],[COD ETPA]],tbEtapas[],3,FALSE),"")</f>
        <v/>
      </c>
    </row>
    <row r="3291" spans="1:6" x14ac:dyDescent="0.25">
      <c r="A3291" s="24" t="str">
        <f>_xlfn.XLOOKUP(tbEscolas[[#This Row],[ESCOLA]],tbNucleo[ESCOLA],tbNucleo[COD ESCOLA],"")</f>
        <v/>
      </c>
      <c r="B3291" t="str" cm="1">
        <f t="array" ref="B3291">IFERROR(INDEX(tbNucleo[ESCOLA],ROUNDUP(ROW(B3290)/TotalEtapas,0)),"")</f>
        <v/>
      </c>
      <c r="E3291" t="str">
        <f>IFERROR(VLOOKUP(tbEscolas[[#This Row],[COD ETPA]],tbEtapas[],2,FALSE),"")</f>
        <v/>
      </c>
      <c r="F3291" t="str">
        <f>IFERROR(VLOOKUP(tbEscolas[[#This Row],[COD ETPA]],tbEtapas[],3,FALSE),"")</f>
        <v/>
      </c>
    </row>
    <row r="3292" spans="1:6" x14ac:dyDescent="0.25">
      <c r="A3292" s="24" t="str">
        <f>_xlfn.XLOOKUP(tbEscolas[[#This Row],[ESCOLA]],tbNucleo[ESCOLA],tbNucleo[COD ESCOLA],"")</f>
        <v/>
      </c>
      <c r="B3292" t="str" cm="1">
        <f t="array" ref="B3292">IFERROR(INDEX(tbNucleo[ESCOLA],ROUNDUP(ROW(B3291)/TotalEtapas,0)),"")</f>
        <v/>
      </c>
      <c r="E3292" t="str">
        <f>IFERROR(VLOOKUP(tbEscolas[[#This Row],[COD ETPA]],tbEtapas[],2,FALSE),"")</f>
        <v/>
      </c>
      <c r="F3292" t="str">
        <f>IFERROR(VLOOKUP(tbEscolas[[#This Row],[COD ETPA]],tbEtapas[],3,FALSE),"")</f>
        <v/>
      </c>
    </row>
    <row r="3293" spans="1:6" x14ac:dyDescent="0.25">
      <c r="A3293" s="24" t="str">
        <f>_xlfn.XLOOKUP(tbEscolas[[#This Row],[ESCOLA]],tbNucleo[ESCOLA],tbNucleo[COD ESCOLA],"")</f>
        <v/>
      </c>
      <c r="B3293" t="str" cm="1">
        <f t="array" ref="B3293">IFERROR(INDEX(tbNucleo[ESCOLA],ROUNDUP(ROW(B3292)/TotalEtapas,0)),"")</f>
        <v/>
      </c>
      <c r="E3293" t="str">
        <f>IFERROR(VLOOKUP(tbEscolas[[#This Row],[COD ETPA]],tbEtapas[],2,FALSE),"")</f>
        <v/>
      </c>
      <c r="F3293" t="str">
        <f>IFERROR(VLOOKUP(tbEscolas[[#This Row],[COD ETPA]],tbEtapas[],3,FALSE),"")</f>
        <v/>
      </c>
    </row>
    <row r="3294" spans="1:6" x14ac:dyDescent="0.25">
      <c r="A3294" s="24" t="str">
        <f>_xlfn.XLOOKUP(tbEscolas[[#This Row],[ESCOLA]],tbNucleo[ESCOLA],tbNucleo[COD ESCOLA],"")</f>
        <v/>
      </c>
      <c r="B3294" t="str" cm="1">
        <f t="array" ref="B3294">IFERROR(INDEX(tbNucleo[ESCOLA],ROUNDUP(ROW(B3293)/TotalEtapas,0)),"")</f>
        <v/>
      </c>
      <c r="E3294" t="str">
        <f>IFERROR(VLOOKUP(tbEscolas[[#This Row],[COD ETPA]],tbEtapas[],2,FALSE),"")</f>
        <v/>
      </c>
      <c r="F3294" t="str">
        <f>IFERROR(VLOOKUP(tbEscolas[[#This Row],[COD ETPA]],tbEtapas[],3,FALSE),"")</f>
        <v/>
      </c>
    </row>
    <row r="3295" spans="1:6" x14ac:dyDescent="0.25">
      <c r="A3295" s="24" t="str">
        <f>_xlfn.XLOOKUP(tbEscolas[[#This Row],[ESCOLA]],tbNucleo[ESCOLA],tbNucleo[COD ESCOLA],"")</f>
        <v/>
      </c>
      <c r="B3295" t="str" cm="1">
        <f t="array" ref="B3295">IFERROR(INDEX(tbNucleo[ESCOLA],ROUNDUP(ROW(B3294)/TotalEtapas,0)),"")</f>
        <v/>
      </c>
      <c r="E3295" t="str">
        <f>IFERROR(VLOOKUP(tbEscolas[[#This Row],[COD ETPA]],tbEtapas[],2,FALSE),"")</f>
        <v/>
      </c>
      <c r="F3295" t="str">
        <f>IFERROR(VLOOKUP(tbEscolas[[#This Row],[COD ETPA]],tbEtapas[],3,FALSE),"")</f>
        <v/>
      </c>
    </row>
    <row r="3296" spans="1:6" x14ac:dyDescent="0.25">
      <c r="A3296" s="24" t="str">
        <f>_xlfn.XLOOKUP(tbEscolas[[#This Row],[ESCOLA]],tbNucleo[ESCOLA],tbNucleo[COD ESCOLA],"")</f>
        <v/>
      </c>
      <c r="B3296" t="str" cm="1">
        <f t="array" ref="B3296">IFERROR(INDEX(tbNucleo[ESCOLA],ROUNDUP(ROW(B3295)/TotalEtapas,0)),"")</f>
        <v/>
      </c>
      <c r="E3296" t="str">
        <f>IFERROR(VLOOKUP(tbEscolas[[#This Row],[COD ETPA]],tbEtapas[],2,FALSE),"")</f>
        <v/>
      </c>
      <c r="F3296" t="str">
        <f>IFERROR(VLOOKUP(tbEscolas[[#This Row],[COD ETPA]],tbEtapas[],3,FALSE),"")</f>
        <v/>
      </c>
    </row>
    <row r="3297" spans="1:6" x14ac:dyDescent="0.25">
      <c r="A3297" s="24" t="str">
        <f>_xlfn.XLOOKUP(tbEscolas[[#This Row],[ESCOLA]],tbNucleo[ESCOLA],tbNucleo[COD ESCOLA],"")</f>
        <v/>
      </c>
      <c r="B3297" t="str" cm="1">
        <f t="array" ref="B3297">IFERROR(INDEX(tbNucleo[ESCOLA],ROUNDUP(ROW(B3296)/TotalEtapas,0)),"")</f>
        <v/>
      </c>
      <c r="E3297" t="str">
        <f>IFERROR(VLOOKUP(tbEscolas[[#This Row],[COD ETPA]],tbEtapas[],2,FALSE),"")</f>
        <v/>
      </c>
      <c r="F3297" t="str">
        <f>IFERROR(VLOOKUP(tbEscolas[[#This Row],[COD ETPA]],tbEtapas[],3,FALSE),"")</f>
        <v/>
      </c>
    </row>
    <row r="3298" spans="1:6" x14ac:dyDescent="0.25">
      <c r="A3298" s="24" t="str">
        <f>_xlfn.XLOOKUP(tbEscolas[[#This Row],[ESCOLA]],tbNucleo[ESCOLA],tbNucleo[COD ESCOLA],"")</f>
        <v/>
      </c>
      <c r="B3298" t="str" cm="1">
        <f t="array" ref="B3298">IFERROR(INDEX(tbNucleo[ESCOLA],ROUNDUP(ROW(B3297)/TotalEtapas,0)),"")</f>
        <v/>
      </c>
      <c r="E3298" t="str">
        <f>IFERROR(VLOOKUP(tbEscolas[[#This Row],[COD ETPA]],tbEtapas[],2,FALSE),"")</f>
        <v/>
      </c>
      <c r="F3298" t="str">
        <f>IFERROR(VLOOKUP(tbEscolas[[#This Row],[COD ETPA]],tbEtapas[],3,FALSE),"")</f>
        <v/>
      </c>
    </row>
    <row r="3299" spans="1:6" x14ac:dyDescent="0.25">
      <c r="A3299" s="24" t="str">
        <f>_xlfn.XLOOKUP(tbEscolas[[#This Row],[ESCOLA]],tbNucleo[ESCOLA],tbNucleo[COD ESCOLA],"")</f>
        <v/>
      </c>
      <c r="B3299" t="str" cm="1">
        <f t="array" ref="B3299">IFERROR(INDEX(tbNucleo[ESCOLA],ROUNDUP(ROW(B3298)/TotalEtapas,0)),"")</f>
        <v/>
      </c>
      <c r="E3299" t="str">
        <f>IFERROR(VLOOKUP(tbEscolas[[#This Row],[COD ETPA]],tbEtapas[],2,FALSE),"")</f>
        <v/>
      </c>
      <c r="F3299" t="str">
        <f>IFERROR(VLOOKUP(tbEscolas[[#This Row],[COD ETPA]],tbEtapas[],3,FALSE),"")</f>
        <v/>
      </c>
    </row>
    <row r="3300" spans="1:6" x14ac:dyDescent="0.25">
      <c r="A3300" s="24" t="str">
        <f>_xlfn.XLOOKUP(tbEscolas[[#This Row],[ESCOLA]],tbNucleo[ESCOLA],tbNucleo[COD ESCOLA],"")</f>
        <v/>
      </c>
      <c r="B3300" t="str" cm="1">
        <f t="array" ref="B3300">IFERROR(INDEX(tbNucleo[ESCOLA],ROUNDUP(ROW(B3299)/TotalEtapas,0)),"")</f>
        <v/>
      </c>
      <c r="E3300" t="str">
        <f>IFERROR(VLOOKUP(tbEscolas[[#This Row],[COD ETPA]],tbEtapas[],2,FALSE),"")</f>
        <v/>
      </c>
      <c r="F3300" t="str">
        <f>IFERROR(VLOOKUP(tbEscolas[[#This Row],[COD ETPA]],tbEtapas[],3,FALSE),"")</f>
        <v/>
      </c>
    </row>
    <row r="3301" spans="1:6" x14ac:dyDescent="0.25">
      <c r="A3301" s="24" t="str">
        <f>_xlfn.XLOOKUP(tbEscolas[[#This Row],[ESCOLA]],tbNucleo[ESCOLA],tbNucleo[COD ESCOLA],"")</f>
        <v/>
      </c>
      <c r="B3301" t="str" cm="1">
        <f t="array" ref="B3301">IFERROR(INDEX(tbNucleo[ESCOLA],ROUNDUP(ROW(B3300)/TotalEtapas,0)),"")</f>
        <v/>
      </c>
      <c r="E3301" t="str">
        <f>IFERROR(VLOOKUP(tbEscolas[[#This Row],[COD ETPA]],tbEtapas[],2,FALSE),"")</f>
        <v/>
      </c>
      <c r="F3301" t="str">
        <f>IFERROR(VLOOKUP(tbEscolas[[#This Row],[COD ETPA]],tbEtapas[],3,FALSE),"")</f>
        <v/>
      </c>
    </row>
    <row r="3302" spans="1:6" x14ac:dyDescent="0.25">
      <c r="A3302" s="24" t="str">
        <f>_xlfn.XLOOKUP(tbEscolas[[#This Row],[ESCOLA]],tbNucleo[ESCOLA],tbNucleo[COD ESCOLA],"")</f>
        <v/>
      </c>
      <c r="B3302" t="str" cm="1">
        <f t="array" ref="B3302">IFERROR(INDEX(tbNucleo[ESCOLA],ROUNDUP(ROW(B3301)/TotalEtapas,0)),"")</f>
        <v/>
      </c>
      <c r="E3302" t="str">
        <f>IFERROR(VLOOKUP(tbEscolas[[#This Row],[COD ETPA]],tbEtapas[],2,FALSE),"")</f>
        <v/>
      </c>
      <c r="F3302" t="str">
        <f>IFERROR(VLOOKUP(tbEscolas[[#This Row],[COD ETPA]],tbEtapas[],3,FALSE),"")</f>
        <v/>
      </c>
    </row>
    <row r="3303" spans="1:6" x14ac:dyDescent="0.25">
      <c r="A3303" s="24" t="str">
        <f>_xlfn.XLOOKUP(tbEscolas[[#This Row],[ESCOLA]],tbNucleo[ESCOLA],tbNucleo[COD ESCOLA],"")</f>
        <v/>
      </c>
      <c r="B3303" t="str" cm="1">
        <f t="array" ref="B3303">IFERROR(INDEX(tbNucleo[ESCOLA],ROUNDUP(ROW(B3302)/TotalEtapas,0)),"")</f>
        <v/>
      </c>
      <c r="E3303" t="str">
        <f>IFERROR(VLOOKUP(tbEscolas[[#This Row],[COD ETPA]],tbEtapas[],2,FALSE),"")</f>
        <v/>
      </c>
      <c r="F3303" t="str">
        <f>IFERROR(VLOOKUP(tbEscolas[[#This Row],[COD ETPA]],tbEtapas[],3,FALSE),"")</f>
        <v/>
      </c>
    </row>
    <row r="3304" spans="1:6" x14ac:dyDescent="0.25">
      <c r="A3304" s="24" t="str">
        <f>_xlfn.XLOOKUP(tbEscolas[[#This Row],[ESCOLA]],tbNucleo[ESCOLA],tbNucleo[COD ESCOLA],"")</f>
        <v/>
      </c>
      <c r="B3304" t="str" cm="1">
        <f t="array" ref="B3304">IFERROR(INDEX(tbNucleo[ESCOLA],ROUNDUP(ROW(B3303)/TotalEtapas,0)),"")</f>
        <v/>
      </c>
      <c r="E3304" t="str">
        <f>IFERROR(VLOOKUP(tbEscolas[[#This Row],[COD ETPA]],tbEtapas[],2,FALSE),"")</f>
        <v/>
      </c>
      <c r="F3304" t="str">
        <f>IFERROR(VLOOKUP(tbEscolas[[#This Row],[COD ETPA]],tbEtapas[],3,FALSE),"")</f>
        <v/>
      </c>
    </row>
    <row r="3305" spans="1:6" x14ac:dyDescent="0.25">
      <c r="A3305" s="24" t="str">
        <f>_xlfn.XLOOKUP(tbEscolas[[#This Row],[ESCOLA]],tbNucleo[ESCOLA],tbNucleo[COD ESCOLA],"")</f>
        <v/>
      </c>
      <c r="B3305" t="str" cm="1">
        <f t="array" ref="B3305">IFERROR(INDEX(tbNucleo[ESCOLA],ROUNDUP(ROW(B3304)/TotalEtapas,0)),"")</f>
        <v/>
      </c>
      <c r="E3305" t="str">
        <f>IFERROR(VLOOKUP(tbEscolas[[#This Row],[COD ETPA]],tbEtapas[],2,FALSE),"")</f>
        <v/>
      </c>
      <c r="F3305" t="str">
        <f>IFERROR(VLOOKUP(tbEscolas[[#This Row],[COD ETPA]],tbEtapas[],3,FALSE),"")</f>
        <v/>
      </c>
    </row>
    <row r="3306" spans="1:6" x14ac:dyDescent="0.25">
      <c r="A3306" s="24" t="str">
        <f>_xlfn.XLOOKUP(tbEscolas[[#This Row],[ESCOLA]],tbNucleo[ESCOLA],tbNucleo[COD ESCOLA],"")</f>
        <v/>
      </c>
      <c r="B3306" t="str" cm="1">
        <f t="array" ref="B3306">IFERROR(INDEX(tbNucleo[ESCOLA],ROUNDUP(ROW(B3305)/TotalEtapas,0)),"")</f>
        <v/>
      </c>
      <c r="E3306" t="str">
        <f>IFERROR(VLOOKUP(tbEscolas[[#This Row],[COD ETPA]],tbEtapas[],2,FALSE),"")</f>
        <v/>
      </c>
      <c r="F3306" t="str">
        <f>IFERROR(VLOOKUP(tbEscolas[[#This Row],[COD ETPA]],tbEtapas[],3,FALSE),"")</f>
        <v/>
      </c>
    </row>
    <row r="3307" spans="1:6" x14ac:dyDescent="0.25">
      <c r="A3307" s="24" t="str">
        <f>_xlfn.XLOOKUP(tbEscolas[[#This Row],[ESCOLA]],tbNucleo[ESCOLA],tbNucleo[COD ESCOLA],"")</f>
        <v/>
      </c>
      <c r="B3307" t="str" cm="1">
        <f t="array" ref="B3307">IFERROR(INDEX(tbNucleo[ESCOLA],ROUNDUP(ROW(B3306)/TotalEtapas,0)),"")</f>
        <v/>
      </c>
      <c r="E3307" t="str">
        <f>IFERROR(VLOOKUP(tbEscolas[[#This Row],[COD ETPA]],tbEtapas[],2,FALSE),"")</f>
        <v/>
      </c>
      <c r="F3307" t="str">
        <f>IFERROR(VLOOKUP(tbEscolas[[#This Row],[COD ETPA]],tbEtapas[],3,FALSE),"")</f>
        <v/>
      </c>
    </row>
    <row r="3308" spans="1:6" x14ac:dyDescent="0.25">
      <c r="A3308" s="24" t="str">
        <f>_xlfn.XLOOKUP(tbEscolas[[#This Row],[ESCOLA]],tbNucleo[ESCOLA],tbNucleo[COD ESCOLA],"")</f>
        <v/>
      </c>
      <c r="B3308" t="str" cm="1">
        <f t="array" ref="B3308">IFERROR(INDEX(tbNucleo[ESCOLA],ROUNDUP(ROW(B3307)/TotalEtapas,0)),"")</f>
        <v/>
      </c>
      <c r="E3308" t="str">
        <f>IFERROR(VLOOKUP(tbEscolas[[#This Row],[COD ETPA]],tbEtapas[],2,FALSE),"")</f>
        <v/>
      </c>
      <c r="F3308" t="str">
        <f>IFERROR(VLOOKUP(tbEscolas[[#This Row],[COD ETPA]],tbEtapas[],3,FALSE),"")</f>
        <v/>
      </c>
    </row>
    <row r="3309" spans="1:6" x14ac:dyDescent="0.25">
      <c r="A3309" s="24" t="str">
        <f>_xlfn.XLOOKUP(tbEscolas[[#This Row],[ESCOLA]],tbNucleo[ESCOLA],tbNucleo[COD ESCOLA],"")</f>
        <v/>
      </c>
      <c r="B3309" t="str" cm="1">
        <f t="array" ref="B3309">IFERROR(INDEX(tbNucleo[ESCOLA],ROUNDUP(ROW(B3308)/TotalEtapas,0)),"")</f>
        <v/>
      </c>
      <c r="E3309" t="str">
        <f>IFERROR(VLOOKUP(tbEscolas[[#This Row],[COD ETPA]],tbEtapas[],2,FALSE),"")</f>
        <v/>
      </c>
      <c r="F3309" t="str">
        <f>IFERROR(VLOOKUP(tbEscolas[[#This Row],[COD ETPA]],tbEtapas[],3,FALSE),"")</f>
        <v/>
      </c>
    </row>
    <row r="3310" spans="1:6" x14ac:dyDescent="0.25">
      <c r="A3310" s="24" t="str">
        <f>_xlfn.XLOOKUP(tbEscolas[[#This Row],[ESCOLA]],tbNucleo[ESCOLA],tbNucleo[COD ESCOLA],"")</f>
        <v/>
      </c>
      <c r="B3310" t="str" cm="1">
        <f t="array" ref="B3310">IFERROR(INDEX(tbNucleo[ESCOLA],ROUNDUP(ROW(B3309)/TotalEtapas,0)),"")</f>
        <v/>
      </c>
      <c r="E3310" t="str">
        <f>IFERROR(VLOOKUP(tbEscolas[[#This Row],[COD ETPA]],tbEtapas[],2,FALSE),"")</f>
        <v/>
      </c>
      <c r="F3310" t="str">
        <f>IFERROR(VLOOKUP(tbEscolas[[#This Row],[COD ETPA]],tbEtapas[],3,FALSE),"")</f>
        <v/>
      </c>
    </row>
    <row r="3311" spans="1:6" x14ac:dyDescent="0.25">
      <c r="A3311" s="24" t="str">
        <f>_xlfn.XLOOKUP(tbEscolas[[#This Row],[ESCOLA]],tbNucleo[ESCOLA],tbNucleo[COD ESCOLA],"")</f>
        <v/>
      </c>
      <c r="B3311" t="str" cm="1">
        <f t="array" ref="B3311">IFERROR(INDEX(tbNucleo[ESCOLA],ROUNDUP(ROW(B3310)/TotalEtapas,0)),"")</f>
        <v/>
      </c>
      <c r="E3311" t="str">
        <f>IFERROR(VLOOKUP(tbEscolas[[#This Row],[COD ETPA]],tbEtapas[],2,FALSE),"")</f>
        <v/>
      </c>
      <c r="F3311" t="str">
        <f>IFERROR(VLOOKUP(tbEscolas[[#This Row],[COD ETPA]],tbEtapas[],3,FALSE),"")</f>
        <v/>
      </c>
    </row>
    <row r="3312" spans="1:6" x14ac:dyDescent="0.25">
      <c r="A3312" s="24" t="str">
        <f>_xlfn.XLOOKUP(tbEscolas[[#This Row],[ESCOLA]],tbNucleo[ESCOLA],tbNucleo[COD ESCOLA],"")</f>
        <v/>
      </c>
      <c r="B3312" t="str" cm="1">
        <f t="array" ref="B3312">IFERROR(INDEX(tbNucleo[ESCOLA],ROUNDUP(ROW(B3311)/TotalEtapas,0)),"")</f>
        <v/>
      </c>
      <c r="E3312" t="str">
        <f>IFERROR(VLOOKUP(tbEscolas[[#This Row],[COD ETPA]],tbEtapas[],2,FALSE),"")</f>
        <v/>
      </c>
      <c r="F3312" t="str">
        <f>IFERROR(VLOOKUP(tbEscolas[[#This Row],[COD ETPA]],tbEtapas[],3,FALSE),"")</f>
        <v/>
      </c>
    </row>
    <row r="3313" spans="1:6" x14ac:dyDescent="0.25">
      <c r="A3313" s="24" t="str">
        <f>_xlfn.XLOOKUP(tbEscolas[[#This Row],[ESCOLA]],tbNucleo[ESCOLA],tbNucleo[COD ESCOLA],"")</f>
        <v/>
      </c>
      <c r="B3313" t="str" cm="1">
        <f t="array" ref="B3313">IFERROR(INDEX(tbNucleo[ESCOLA],ROUNDUP(ROW(B3312)/TotalEtapas,0)),"")</f>
        <v/>
      </c>
      <c r="E3313" t="str">
        <f>IFERROR(VLOOKUP(tbEscolas[[#This Row],[COD ETPA]],tbEtapas[],2,FALSE),"")</f>
        <v/>
      </c>
      <c r="F3313" t="str">
        <f>IFERROR(VLOOKUP(tbEscolas[[#This Row],[COD ETPA]],tbEtapas[],3,FALSE),"")</f>
        <v/>
      </c>
    </row>
    <row r="3314" spans="1:6" x14ac:dyDescent="0.25">
      <c r="A3314" s="24" t="str">
        <f>_xlfn.XLOOKUP(tbEscolas[[#This Row],[ESCOLA]],tbNucleo[ESCOLA],tbNucleo[COD ESCOLA],"")</f>
        <v/>
      </c>
      <c r="B3314" t="str" cm="1">
        <f t="array" ref="B3314">IFERROR(INDEX(tbNucleo[ESCOLA],ROUNDUP(ROW(B3313)/TotalEtapas,0)),"")</f>
        <v/>
      </c>
      <c r="E3314" t="str">
        <f>IFERROR(VLOOKUP(tbEscolas[[#This Row],[COD ETPA]],tbEtapas[],2,FALSE),"")</f>
        <v/>
      </c>
      <c r="F3314" t="str">
        <f>IFERROR(VLOOKUP(tbEscolas[[#This Row],[COD ETPA]],tbEtapas[],3,FALSE),"")</f>
        <v/>
      </c>
    </row>
    <row r="3315" spans="1:6" x14ac:dyDescent="0.25">
      <c r="A3315" s="24" t="str">
        <f>_xlfn.XLOOKUP(tbEscolas[[#This Row],[ESCOLA]],tbNucleo[ESCOLA],tbNucleo[COD ESCOLA],"")</f>
        <v/>
      </c>
      <c r="B3315" t="str" cm="1">
        <f t="array" ref="B3315">IFERROR(INDEX(tbNucleo[ESCOLA],ROUNDUP(ROW(B3314)/TotalEtapas,0)),"")</f>
        <v/>
      </c>
      <c r="E3315" t="str">
        <f>IFERROR(VLOOKUP(tbEscolas[[#This Row],[COD ETPA]],tbEtapas[],2,FALSE),"")</f>
        <v/>
      </c>
      <c r="F3315" t="str">
        <f>IFERROR(VLOOKUP(tbEscolas[[#This Row],[COD ETPA]],tbEtapas[],3,FALSE),"")</f>
        <v/>
      </c>
    </row>
    <row r="3316" spans="1:6" x14ac:dyDescent="0.25">
      <c r="A3316" s="24" t="str">
        <f>_xlfn.XLOOKUP(tbEscolas[[#This Row],[ESCOLA]],tbNucleo[ESCOLA],tbNucleo[COD ESCOLA],"")</f>
        <v/>
      </c>
      <c r="B3316" t="str" cm="1">
        <f t="array" ref="B3316">IFERROR(INDEX(tbNucleo[ESCOLA],ROUNDUP(ROW(B3315)/TotalEtapas,0)),"")</f>
        <v/>
      </c>
      <c r="E3316" t="str">
        <f>IFERROR(VLOOKUP(tbEscolas[[#This Row],[COD ETPA]],tbEtapas[],2,FALSE),"")</f>
        <v/>
      </c>
      <c r="F3316" t="str">
        <f>IFERROR(VLOOKUP(tbEscolas[[#This Row],[COD ETPA]],tbEtapas[],3,FALSE),"")</f>
        <v/>
      </c>
    </row>
    <row r="3317" spans="1:6" x14ac:dyDescent="0.25">
      <c r="A3317" s="24" t="str">
        <f>_xlfn.XLOOKUP(tbEscolas[[#This Row],[ESCOLA]],tbNucleo[ESCOLA],tbNucleo[COD ESCOLA],"")</f>
        <v/>
      </c>
      <c r="B3317" t="str" cm="1">
        <f t="array" ref="B3317">IFERROR(INDEX(tbNucleo[ESCOLA],ROUNDUP(ROW(B3316)/TotalEtapas,0)),"")</f>
        <v/>
      </c>
      <c r="E3317" t="str">
        <f>IFERROR(VLOOKUP(tbEscolas[[#This Row],[COD ETPA]],tbEtapas[],2,FALSE),"")</f>
        <v/>
      </c>
      <c r="F3317" t="str">
        <f>IFERROR(VLOOKUP(tbEscolas[[#This Row],[COD ETPA]],tbEtapas[],3,FALSE),"")</f>
        <v/>
      </c>
    </row>
    <row r="3318" spans="1:6" x14ac:dyDescent="0.25">
      <c r="A3318" s="24" t="str">
        <f>_xlfn.XLOOKUP(tbEscolas[[#This Row],[ESCOLA]],tbNucleo[ESCOLA],tbNucleo[COD ESCOLA],"")</f>
        <v/>
      </c>
      <c r="B3318" t="str" cm="1">
        <f t="array" ref="B3318">IFERROR(INDEX(tbNucleo[ESCOLA],ROUNDUP(ROW(B3317)/TotalEtapas,0)),"")</f>
        <v/>
      </c>
      <c r="E3318" t="str">
        <f>IFERROR(VLOOKUP(tbEscolas[[#This Row],[COD ETPA]],tbEtapas[],2,FALSE),"")</f>
        <v/>
      </c>
      <c r="F3318" t="str">
        <f>IFERROR(VLOOKUP(tbEscolas[[#This Row],[COD ETPA]],tbEtapas[],3,FALSE),"")</f>
        <v/>
      </c>
    </row>
    <row r="3319" spans="1:6" x14ac:dyDescent="0.25">
      <c r="A3319" s="24" t="str">
        <f>_xlfn.XLOOKUP(tbEscolas[[#This Row],[ESCOLA]],tbNucleo[ESCOLA],tbNucleo[COD ESCOLA],"")</f>
        <v/>
      </c>
      <c r="B3319" t="str" cm="1">
        <f t="array" ref="B3319">IFERROR(INDEX(tbNucleo[ESCOLA],ROUNDUP(ROW(B3318)/TotalEtapas,0)),"")</f>
        <v/>
      </c>
      <c r="E3319" t="str">
        <f>IFERROR(VLOOKUP(tbEscolas[[#This Row],[COD ETPA]],tbEtapas[],2,FALSE),"")</f>
        <v/>
      </c>
      <c r="F3319" t="str">
        <f>IFERROR(VLOOKUP(tbEscolas[[#This Row],[COD ETPA]],tbEtapas[],3,FALSE),"")</f>
        <v/>
      </c>
    </row>
    <row r="3320" spans="1:6" x14ac:dyDescent="0.25">
      <c r="A3320" s="24" t="str">
        <f>_xlfn.XLOOKUP(tbEscolas[[#This Row],[ESCOLA]],tbNucleo[ESCOLA],tbNucleo[COD ESCOLA],"")</f>
        <v/>
      </c>
      <c r="B3320" t="str" cm="1">
        <f t="array" ref="B3320">IFERROR(INDEX(tbNucleo[ESCOLA],ROUNDUP(ROW(B3319)/TotalEtapas,0)),"")</f>
        <v/>
      </c>
      <c r="E3320" t="str">
        <f>IFERROR(VLOOKUP(tbEscolas[[#This Row],[COD ETPA]],tbEtapas[],2,FALSE),"")</f>
        <v/>
      </c>
      <c r="F3320" t="str">
        <f>IFERROR(VLOOKUP(tbEscolas[[#This Row],[COD ETPA]],tbEtapas[],3,FALSE),"")</f>
        <v/>
      </c>
    </row>
    <row r="3321" spans="1:6" x14ac:dyDescent="0.25">
      <c r="A3321" s="24" t="str">
        <f>_xlfn.XLOOKUP(tbEscolas[[#This Row],[ESCOLA]],tbNucleo[ESCOLA],tbNucleo[COD ESCOLA],"")</f>
        <v/>
      </c>
      <c r="B3321" t="str" cm="1">
        <f t="array" ref="B3321">IFERROR(INDEX(tbNucleo[ESCOLA],ROUNDUP(ROW(B3320)/TotalEtapas,0)),"")</f>
        <v/>
      </c>
      <c r="E3321" t="str">
        <f>IFERROR(VLOOKUP(tbEscolas[[#This Row],[COD ETPA]],tbEtapas[],2,FALSE),"")</f>
        <v/>
      </c>
      <c r="F3321" t="str">
        <f>IFERROR(VLOOKUP(tbEscolas[[#This Row],[COD ETPA]],tbEtapas[],3,FALSE),"")</f>
        <v/>
      </c>
    </row>
    <row r="3322" spans="1:6" x14ac:dyDescent="0.25">
      <c r="A3322" s="24" t="str">
        <f>_xlfn.XLOOKUP(tbEscolas[[#This Row],[ESCOLA]],tbNucleo[ESCOLA],tbNucleo[COD ESCOLA],"")</f>
        <v/>
      </c>
      <c r="B3322" t="str" cm="1">
        <f t="array" ref="B3322">IFERROR(INDEX(tbNucleo[ESCOLA],ROUNDUP(ROW(B3321)/TotalEtapas,0)),"")</f>
        <v/>
      </c>
      <c r="E3322" t="str">
        <f>IFERROR(VLOOKUP(tbEscolas[[#This Row],[COD ETPA]],tbEtapas[],2,FALSE),"")</f>
        <v/>
      </c>
      <c r="F3322" t="str">
        <f>IFERROR(VLOOKUP(tbEscolas[[#This Row],[COD ETPA]],tbEtapas[],3,FALSE),"")</f>
        <v/>
      </c>
    </row>
    <row r="3323" spans="1:6" x14ac:dyDescent="0.25">
      <c r="A3323" s="24" t="str">
        <f>_xlfn.XLOOKUP(tbEscolas[[#This Row],[ESCOLA]],tbNucleo[ESCOLA],tbNucleo[COD ESCOLA],"")</f>
        <v/>
      </c>
      <c r="B3323" t="str" cm="1">
        <f t="array" ref="B3323">IFERROR(INDEX(tbNucleo[ESCOLA],ROUNDUP(ROW(B3322)/TotalEtapas,0)),"")</f>
        <v/>
      </c>
      <c r="E3323" t="str">
        <f>IFERROR(VLOOKUP(tbEscolas[[#This Row],[COD ETPA]],tbEtapas[],2,FALSE),"")</f>
        <v/>
      </c>
      <c r="F3323" t="str">
        <f>IFERROR(VLOOKUP(tbEscolas[[#This Row],[COD ETPA]],tbEtapas[],3,FALSE),"")</f>
        <v/>
      </c>
    </row>
    <row r="3324" spans="1:6" x14ac:dyDescent="0.25">
      <c r="A3324" s="24" t="str">
        <f>_xlfn.XLOOKUP(tbEscolas[[#This Row],[ESCOLA]],tbNucleo[ESCOLA],tbNucleo[COD ESCOLA],"")</f>
        <v/>
      </c>
      <c r="B3324" t="str" cm="1">
        <f t="array" ref="B3324">IFERROR(INDEX(tbNucleo[ESCOLA],ROUNDUP(ROW(B3323)/TotalEtapas,0)),"")</f>
        <v/>
      </c>
      <c r="E3324" t="str">
        <f>IFERROR(VLOOKUP(tbEscolas[[#This Row],[COD ETPA]],tbEtapas[],2,FALSE),"")</f>
        <v/>
      </c>
      <c r="F3324" t="str">
        <f>IFERROR(VLOOKUP(tbEscolas[[#This Row],[COD ETPA]],tbEtapas[],3,FALSE),"")</f>
        <v/>
      </c>
    </row>
    <row r="3325" spans="1:6" x14ac:dyDescent="0.25">
      <c r="A3325" s="24" t="str">
        <f>_xlfn.XLOOKUP(tbEscolas[[#This Row],[ESCOLA]],tbNucleo[ESCOLA],tbNucleo[COD ESCOLA],"")</f>
        <v/>
      </c>
      <c r="B3325" t="str" cm="1">
        <f t="array" ref="B3325">IFERROR(INDEX(tbNucleo[ESCOLA],ROUNDUP(ROW(B3324)/TotalEtapas,0)),"")</f>
        <v/>
      </c>
      <c r="E3325" t="str">
        <f>IFERROR(VLOOKUP(tbEscolas[[#This Row],[COD ETPA]],tbEtapas[],2,FALSE),"")</f>
        <v/>
      </c>
      <c r="F3325" t="str">
        <f>IFERROR(VLOOKUP(tbEscolas[[#This Row],[COD ETPA]],tbEtapas[],3,FALSE),"")</f>
        <v/>
      </c>
    </row>
    <row r="3326" spans="1:6" x14ac:dyDescent="0.25">
      <c r="A3326" s="24" t="str">
        <f>_xlfn.XLOOKUP(tbEscolas[[#This Row],[ESCOLA]],tbNucleo[ESCOLA],tbNucleo[COD ESCOLA],"")</f>
        <v/>
      </c>
      <c r="B3326" t="str" cm="1">
        <f t="array" ref="B3326">IFERROR(INDEX(tbNucleo[ESCOLA],ROUNDUP(ROW(B3325)/TotalEtapas,0)),"")</f>
        <v/>
      </c>
      <c r="E3326" t="str">
        <f>IFERROR(VLOOKUP(tbEscolas[[#This Row],[COD ETPA]],tbEtapas[],2,FALSE),"")</f>
        <v/>
      </c>
      <c r="F3326" t="str">
        <f>IFERROR(VLOOKUP(tbEscolas[[#This Row],[COD ETPA]],tbEtapas[],3,FALSE),"")</f>
        <v/>
      </c>
    </row>
    <row r="3327" spans="1:6" x14ac:dyDescent="0.25">
      <c r="A3327" s="24" t="str">
        <f>_xlfn.XLOOKUP(tbEscolas[[#This Row],[ESCOLA]],tbNucleo[ESCOLA],tbNucleo[COD ESCOLA],"")</f>
        <v/>
      </c>
      <c r="B3327" t="str" cm="1">
        <f t="array" ref="B3327">IFERROR(INDEX(tbNucleo[ESCOLA],ROUNDUP(ROW(B3326)/TotalEtapas,0)),"")</f>
        <v/>
      </c>
      <c r="E3327" t="str">
        <f>IFERROR(VLOOKUP(tbEscolas[[#This Row],[COD ETPA]],tbEtapas[],2,FALSE),"")</f>
        <v/>
      </c>
      <c r="F3327" t="str">
        <f>IFERROR(VLOOKUP(tbEscolas[[#This Row],[COD ETPA]],tbEtapas[],3,FALSE),"")</f>
        <v/>
      </c>
    </row>
    <row r="3328" spans="1:6" x14ac:dyDescent="0.25">
      <c r="A3328" s="24" t="str">
        <f>_xlfn.XLOOKUP(tbEscolas[[#This Row],[ESCOLA]],tbNucleo[ESCOLA],tbNucleo[COD ESCOLA],"")</f>
        <v/>
      </c>
      <c r="B3328" t="str" cm="1">
        <f t="array" ref="B3328">IFERROR(INDEX(tbNucleo[ESCOLA],ROUNDUP(ROW(B3327)/TotalEtapas,0)),"")</f>
        <v/>
      </c>
      <c r="E3328" t="str">
        <f>IFERROR(VLOOKUP(tbEscolas[[#This Row],[COD ETPA]],tbEtapas[],2,FALSE),"")</f>
        <v/>
      </c>
      <c r="F3328" t="str">
        <f>IFERROR(VLOOKUP(tbEscolas[[#This Row],[COD ETPA]],tbEtapas[],3,FALSE),"")</f>
        <v/>
      </c>
    </row>
    <row r="3329" spans="1:6" x14ac:dyDescent="0.25">
      <c r="A3329" s="24" t="str">
        <f>_xlfn.XLOOKUP(tbEscolas[[#This Row],[ESCOLA]],tbNucleo[ESCOLA],tbNucleo[COD ESCOLA],"")</f>
        <v/>
      </c>
      <c r="B3329" t="str" cm="1">
        <f t="array" ref="B3329">IFERROR(INDEX(tbNucleo[ESCOLA],ROUNDUP(ROW(B3328)/TotalEtapas,0)),"")</f>
        <v/>
      </c>
      <c r="E3329" t="str">
        <f>IFERROR(VLOOKUP(tbEscolas[[#This Row],[COD ETPA]],tbEtapas[],2,FALSE),"")</f>
        <v/>
      </c>
      <c r="F3329" t="str">
        <f>IFERROR(VLOOKUP(tbEscolas[[#This Row],[COD ETPA]],tbEtapas[],3,FALSE),"")</f>
        <v/>
      </c>
    </row>
    <row r="3330" spans="1:6" x14ac:dyDescent="0.25">
      <c r="A3330" s="24" t="str">
        <f>_xlfn.XLOOKUP(tbEscolas[[#This Row],[ESCOLA]],tbNucleo[ESCOLA],tbNucleo[COD ESCOLA],"")</f>
        <v/>
      </c>
      <c r="B3330" t="str" cm="1">
        <f t="array" ref="B3330">IFERROR(INDEX(tbNucleo[ESCOLA],ROUNDUP(ROW(B3329)/TotalEtapas,0)),"")</f>
        <v/>
      </c>
      <c r="E3330" t="str">
        <f>IFERROR(VLOOKUP(tbEscolas[[#This Row],[COD ETPA]],tbEtapas[],2,FALSE),"")</f>
        <v/>
      </c>
      <c r="F3330" t="str">
        <f>IFERROR(VLOOKUP(tbEscolas[[#This Row],[COD ETPA]],tbEtapas[],3,FALSE),"")</f>
        <v/>
      </c>
    </row>
    <row r="3331" spans="1:6" x14ac:dyDescent="0.25">
      <c r="A3331" s="24" t="str">
        <f>_xlfn.XLOOKUP(tbEscolas[[#This Row],[ESCOLA]],tbNucleo[ESCOLA],tbNucleo[COD ESCOLA],"")</f>
        <v/>
      </c>
      <c r="B3331" t="str" cm="1">
        <f t="array" ref="B3331">IFERROR(INDEX(tbNucleo[ESCOLA],ROUNDUP(ROW(B3330)/TotalEtapas,0)),"")</f>
        <v/>
      </c>
      <c r="E3331" t="str">
        <f>IFERROR(VLOOKUP(tbEscolas[[#This Row],[COD ETPA]],tbEtapas[],2,FALSE),"")</f>
        <v/>
      </c>
      <c r="F3331" t="str">
        <f>IFERROR(VLOOKUP(tbEscolas[[#This Row],[COD ETPA]],tbEtapas[],3,FALSE),"")</f>
        <v/>
      </c>
    </row>
    <row r="3332" spans="1:6" x14ac:dyDescent="0.25">
      <c r="A3332" s="24" t="str">
        <f>_xlfn.XLOOKUP(tbEscolas[[#This Row],[ESCOLA]],tbNucleo[ESCOLA],tbNucleo[COD ESCOLA],"")</f>
        <v/>
      </c>
      <c r="B3332" t="str" cm="1">
        <f t="array" ref="B3332">IFERROR(INDEX(tbNucleo[ESCOLA],ROUNDUP(ROW(B3331)/TotalEtapas,0)),"")</f>
        <v/>
      </c>
      <c r="E3332" t="str">
        <f>IFERROR(VLOOKUP(tbEscolas[[#This Row],[COD ETPA]],tbEtapas[],2,FALSE),"")</f>
        <v/>
      </c>
      <c r="F3332" t="str">
        <f>IFERROR(VLOOKUP(tbEscolas[[#This Row],[COD ETPA]],tbEtapas[],3,FALSE),"")</f>
        <v/>
      </c>
    </row>
    <row r="3333" spans="1:6" x14ac:dyDescent="0.25">
      <c r="A3333" s="24" t="str">
        <f>_xlfn.XLOOKUP(tbEscolas[[#This Row],[ESCOLA]],tbNucleo[ESCOLA],tbNucleo[COD ESCOLA],"")</f>
        <v/>
      </c>
      <c r="B3333" t="str" cm="1">
        <f t="array" ref="B3333">IFERROR(INDEX(tbNucleo[ESCOLA],ROUNDUP(ROW(B3332)/TotalEtapas,0)),"")</f>
        <v/>
      </c>
      <c r="E3333" t="str">
        <f>IFERROR(VLOOKUP(tbEscolas[[#This Row],[COD ETPA]],tbEtapas[],2,FALSE),"")</f>
        <v/>
      </c>
      <c r="F3333" t="str">
        <f>IFERROR(VLOOKUP(tbEscolas[[#This Row],[COD ETPA]],tbEtapas[],3,FALSE),"")</f>
        <v/>
      </c>
    </row>
    <row r="3334" spans="1:6" x14ac:dyDescent="0.25">
      <c r="A3334" s="24" t="str">
        <f>_xlfn.XLOOKUP(tbEscolas[[#This Row],[ESCOLA]],tbNucleo[ESCOLA],tbNucleo[COD ESCOLA],"")</f>
        <v/>
      </c>
      <c r="B3334" t="str" cm="1">
        <f t="array" ref="B3334">IFERROR(INDEX(tbNucleo[ESCOLA],ROUNDUP(ROW(B3333)/TotalEtapas,0)),"")</f>
        <v/>
      </c>
      <c r="E3334" t="str">
        <f>IFERROR(VLOOKUP(tbEscolas[[#This Row],[COD ETPA]],tbEtapas[],2,FALSE),"")</f>
        <v/>
      </c>
      <c r="F3334" t="str">
        <f>IFERROR(VLOOKUP(tbEscolas[[#This Row],[COD ETPA]],tbEtapas[],3,FALSE),"")</f>
        <v/>
      </c>
    </row>
    <row r="3335" spans="1:6" x14ac:dyDescent="0.25">
      <c r="A3335" s="24" t="str">
        <f>_xlfn.XLOOKUP(tbEscolas[[#This Row],[ESCOLA]],tbNucleo[ESCOLA],tbNucleo[COD ESCOLA],"")</f>
        <v/>
      </c>
      <c r="B3335" t="str" cm="1">
        <f t="array" ref="B3335">IFERROR(INDEX(tbNucleo[ESCOLA],ROUNDUP(ROW(B3334)/TotalEtapas,0)),"")</f>
        <v/>
      </c>
      <c r="E3335" t="str">
        <f>IFERROR(VLOOKUP(tbEscolas[[#This Row],[COD ETPA]],tbEtapas[],2,FALSE),"")</f>
        <v/>
      </c>
      <c r="F3335" t="str">
        <f>IFERROR(VLOOKUP(tbEscolas[[#This Row],[COD ETPA]],tbEtapas[],3,FALSE),"")</f>
        <v/>
      </c>
    </row>
    <row r="3336" spans="1:6" x14ac:dyDescent="0.25">
      <c r="A3336" s="24" t="str">
        <f>_xlfn.XLOOKUP(tbEscolas[[#This Row],[ESCOLA]],tbNucleo[ESCOLA],tbNucleo[COD ESCOLA],"")</f>
        <v/>
      </c>
      <c r="B3336" t="str" cm="1">
        <f t="array" ref="B3336">IFERROR(INDEX(tbNucleo[ESCOLA],ROUNDUP(ROW(B3335)/TotalEtapas,0)),"")</f>
        <v/>
      </c>
      <c r="E3336" t="str">
        <f>IFERROR(VLOOKUP(tbEscolas[[#This Row],[COD ETPA]],tbEtapas[],2,FALSE),"")</f>
        <v/>
      </c>
      <c r="F3336" t="str">
        <f>IFERROR(VLOOKUP(tbEscolas[[#This Row],[COD ETPA]],tbEtapas[],3,FALSE),"")</f>
        <v/>
      </c>
    </row>
    <row r="3337" spans="1:6" x14ac:dyDescent="0.25">
      <c r="A3337" s="24" t="str">
        <f>_xlfn.XLOOKUP(tbEscolas[[#This Row],[ESCOLA]],tbNucleo[ESCOLA],tbNucleo[COD ESCOLA],"")</f>
        <v/>
      </c>
      <c r="B3337" t="str" cm="1">
        <f t="array" ref="B3337">IFERROR(INDEX(tbNucleo[ESCOLA],ROUNDUP(ROW(B3336)/TotalEtapas,0)),"")</f>
        <v/>
      </c>
      <c r="E3337" t="str">
        <f>IFERROR(VLOOKUP(tbEscolas[[#This Row],[COD ETPA]],tbEtapas[],2,FALSE),"")</f>
        <v/>
      </c>
      <c r="F3337" t="str">
        <f>IFERROR(VLOOKUP(tbEscolas[[#This Row],[COD ETPA]],tbEtapas[],3,FALSE),"")</f>
        <v/>
      </c>
    </row>
    <row r="3338" spans="1:6" x14ac:dyDescent="0.25">
      <c r="A3338" s="24" t="str">
        <f>_xlfn.XLOOKUP(tbEscolas[[#This Row],[ESCOLA]],tbNucleo[ESCOLA],tbNucleo[COD ESCOLA],"")</f>
        <v/>
      </c>
      <c r="B3338" t="str" cm="1">
        <f t="array" ref="B3338">IFERROR(INDEX(tbNucleo[ESCOLA],ROUNDUP(ROW(B3337)/TotalEtapas,0)),"")</f>
        <v/>
      </c>
      <c r="E3338" t="str">
        <f>IFERROR(VLOOKUP(tbEscolas[[#This Row],[COD ETPA]],tbEtapas[],2,FALSE),"")</f>
        <v/>
      </c>
      <c r="F3338" t="str">
        <f>IFERROR(VLOOKUP(tbEscolas[[#This Row],[COD ETPA]],tbEtapas[],3,FALSE),"")</f>
        <v/>
      </c>
    </row>
    <row r="3339" spans="1:6" x14ac:dyDescent="0.25">
      <c r="A3339" s="24" t="str">
        <f>_xlfn.XLOOKUP(tbEscolas[[#This Row],[ESCOLA]],tbNucleo[ESCOLA],tbNucleo[COD ESCOLA],"")</f>
        <v/>
      </c>
      <c r="B3339" t="str" cm="1">
        <f t="array" ref="B3339">IFERROR(INDEX(tbNucleo[ESCOLA],ROUNDUP(ROW(B3338)/TotalEtapas,0)),"")</f>
        <v/>
      </c>
      <c r="E3339" t="str">
        <f>IFERROR(VLOOKUP(tbEscolas[[#This Row],[COD ETPA]],tbEtapas[],2,FALSE),"")</f>
        <v/>
      </c>
      <c r="F3339" t="str">
        <f>IFERROR(VLOOKUP(tbEscolas[[#This Row],[COD ETPA]],tbEtapas[],3,FALSE),"")</f>
        <v/>
      </c>
    </row>
    <row r="3340" spans="1:6" x14ac:dyDescent="0.25">
      <c r="A3340" s="24" t="str">
        <f>_xlfn.XLOOKUP(tbEscolas[[#This Row],[ESCOLA]],tbNucleo[ESCOLA],tbNucleo[COD ESCOLA],"")</f>
        <v/>
      </c>
      <c r="B3340" t="str" cm="1">
        <f t="array" ref="B3340">IFERROR(INDEX(tbNucleo[ESCOLA],ROUNDUP(ROW(B3339)/TotalEtapas,0)),"")</f>
        <v/>
      </c>
      <c r="E3340" t="str">
        <f>IFERROR(VLOOKUP(tbEscolas[[#This Row],[COD ETPA]],tbEtapas[],2,FALSE),"")</f>
        <v/>
      </c>
      <c r="F3340" t="str">
        <f>IFERROR(VLOOKUP(tbEscolas[[#This Row],[COD ETPA]],tbEtapas[],3,FALSE),"")</f>
        <v/>
      </c>
    </row>
    <row r="3341" spans="1:6" x14ac:dyDescent="0.25">
      <c r="A3341" s="24" t="str">
        <f>_xlfn.XLOOKUP(tbEscolas[[#This Row],[ESCOLA]],tbNucleo[ESCOLA],tbNucleo[COD ESCOLA],"")</f>
        <v/>
      </c>
      <c r="B3341" t="str" cm="1">
        <f t="array" ref="B3341">IFERROR(INDEX(tbNucleo[ESCOLA],ROUNDUP(ROW(B3340)/TotalEtapas,0)),"")</f>
        <v/>
      </c>
      <c r="E3341" t="str">
        <f>IFERROR(VLOOKUP(tbEscolas[[#This Row],[COD ETPA]],tbEtapas[],2,FALSE),"")</f>
        <v/>
      </c>
      <c r="F3341" t="str">
        <f>IFERROR(VLOOKUP(tbEscolas[[#This Row],[COD ETPA]],tbEtapas[],3,FALSE),"")</f>
        <v/>
      </c>
    </row>
    <row r="3342" spans="1:6" x14ac:dyDescent="0.25">
      <c r="A3342" s="24" t="str">
        <f>_xlfn.XLOOKUP(tbEscolas[[#This Row],[ESCOLA]],tbNucleo[ESCOLA],tbNucleo[COD ESCOLA],"")</f>
        <v/>
      </c>
      <c r="B3342" t="str" cm="1">
        <f t="array" ref="B3342">IFERROR(INDEX(tbNucleo[ESCOLA],ROUNDUP(ROW(B3341)/TotalEtapas,0)),"")</f>
        <v/>
      </c>
      <c r="E3342" t="str">
        <f>IFERROR(VLOOKUP(tbEscolas[[#This Row],[COD ETPA]],tbEtapas[],2,FALSE),"")</f>
        <v/>
      </c>
      <c r="F3342" t="str">
        <f>IFERROR(VLOOKUP(tbEscolas[[#This Row],[COD ETPA]],tbEtapas[],3,FALSE),"")</f>
        <v/>
      </c>
    </row>
    <row r="3343" spans="1:6" x14ac:dyDescent="0.25">
      <c r="A3343" s="24" t="str">
        <f>_xlfn.XLOOKUP(tbEscolas[[#This Row],[ESCOLA]],tbNucleo[ESCOLA],tbNucleo[COD ESCOLA],"")</f>
        <v/>
      </c>
      <c r="B3343" t="str" cm="1">
        <f t="array" ref="B3343">IFERROR(INDEX(tbNucleo[ESCOLA],ROUNDUP(ROW(B3342)/TotalEtapas,0)),"")</f>
        <v/>
      </c>
      <c r="E3343" t="str">
        <f>IFERROR(VLOOKUP(tbEscolas[[#This Row],[COD ETPA]],tbEtapas[],2,FALSE),"")</f>
        <v/>
      </c>
      <c r="F3343" t="str">
        <f>IFERROR(VLOOKUP(tbEscolas[[#This Row],[COD ETPA]],tbEtapas[],3,FALSE),"")</f>
        <v/>
      </c>
    </row>
    <row r="3344" spans="1:6" x14ac:dyDescent="0.25">
      <c r="A3344" s="24" t="str">
        <f>_xlfn.XLOOKUP(tbEscolas[[#This Row],[ESCOLA]],tbNucleo[ESCOLA],tbNucleo[COD ESCOLA],"")</f>
        <v/>
      </c>
      <c r="B3344" t="str" cm="1">
        <f t="array" ref="B3344">IFERROR(INDEX(tbNucleo[ESCOLA],ROUNDUP(ROW(B3343)/TotalEtapas,0)),"")</f>
        <v/>
      </c>
      <c r="E3344" t="str">
        <f>IFERROR(VLOOKUP(tbEscolas[[#This Row],[COD ETPA]],tbEtapas[],2,FALSE),"")</f>
        <v/>
      </c>
      <c r="F3344" t="str">
        <f>IFERROR(VLOOKUP(tbEscolas[[#This Row],[COD ETPA]],tbEtapas[],3,FALSE),"")</f>
        <v/>
      </c>
    </row>
    <row r="3345" spans="1:6" x14ac:dyDescent="0.25">
      <c r="A3345" s="24" t="str">
        <f>_xlfn.XLOOKUP(tbEscolas[[#This Row],[ESCOLA]],tbNucleo[ESCOLA],tbNucleo[COD ESCOLA],"")</f>
        <v/>
      </c>
      <c r="B3345" t="str" cm="1">
        <f t="array" ref="B3345">IFERROR(INDEX(tbNucleo[ESCOLA],ROUNDUP(ROW(B3344)/TotalEtapas,0)),"")</f>
        <v/>
      </c>
      <c r="E3345" t="str">
        <f>IFERROR(VLOOKUP(tbEscolas[[#This Row],[COD ETPA]],tbEtapas[],2,FALSE),"")</f>
        <v/>
      </c>
      <c r="F3345" t="str">
        <f>IFERROR(VLOOKUP(tbEscolas[[#This Row],[COD ETPA]],tbEtapas[],3,FALSE),"")</f>
        <v/>
      </c>
    </row>
    <row r="3346" spans="1:6" x14ac:dyDescent="0.25">
      <c r="A3346" s="24" t="str">
        <f>_xlfn.XLOOKUP(tbEscolas[[#This Row],[ESCOLA]],tbNucleo[ESCOLA],tbNucleo[COD ESCOLA],"")</f>
        <v/>
      </c>
      <c r="B3346" t="str" cm="1">
        <f t="array" ref="B3346">IFERROR(INDEX(tbNucleo[ESCOLA],ROUNDUP(ROW(B3345)/TotalEtapas,0)),"")</f>
        <v/>
      </c>
      <c r="E3346" t="str">
        <f>IFERROR(VLOOKUP(tbEscolas[[#This Row],[COD ETPA]],tbEtapas[],2,FALSE),"")</f>
        <v/>
      </c>
      <c r="F3346" t="str">
        <f>IFERROR(VLOOKUP(tbEscolas[[#This Row],[COD ETPA]],tbEtapas[],3,FALSE),"")</f>
        <v/>
      </c>
    </row>
    <row r="3347" spans="1:6" x14ac:dyDescent="0.25">
      <c r="A3347" s="24" t="str">
        <f>_xlfn.XLOOKUP(tbEscolas[[#This Row],[ESCOLA]],tbNucleo[ESCOLA],tbNucleo[COD ESCOLA],"")</f>
        <v/>
      </c>
      <c r="B3347" t="str" cm="1">
        <f t="array" ref="B3347">IFERROR(INDEX(tbNucleo[ESCOLA],ROUNDUP(ROW(B3346)/TotalEtapas,0)),"")</f>
        <v/>
      </c>
      <c r="E3347" t="str">
        <f>IFERROR(VLOOKUP(tbEscolas[[#This Row],[COD ETPA]],tbEtapas[],2,FALSE),"")</f>
        <v/>
      </c>
      <c r="F3347" t="str">
        <f>IFERROR(VLOOKUP(tbEscolas[[#This Row],[COD ETPA]],tbEtapas[],3,FALSE),"")</f>
        <v/>
      </c>
    </row>
    <row r="3348" spans="1:6" x14ac:dyDescent="0.25">
      <c r="A3348" s="24" t="str">
        <f>_xlfn.XLOOKUP(tbEscolas[[#This Row],[ESCOLA]],tbNucleo[ESCOLA],tbNucleo[COD ESCOLA],"")</f>
        <v/>
      </c>
      <c r="B3348" t="str" cm="1">
        <f t="array" ref="B3348">IFERROR(INDEX(tbNucleo[ESCOLA],ROUNDUP(ROW(B3347)/TotalEtapas,0)),"")</f>
        <v/>
      </c>
      <c r="E3348" t="str">
        <f>IFERROR(VLOOKUP(tbEscolas[[#This Row],[COD ETPA]],tbEtapas[],2,FALSE),"")</f>
        <v/>
      </c>
      <c r="F3348" t="str">
        <f>IFERROR(VLOOKUP(tbEscolas[[#This Row],[COD ETPA]],tbEtapas[],3,FALSE),"")</f>
        <v/>
      </c>
    </row>
    <row r="3349" spans="1:6" x14ac:dyDescent="0.25">
      <c r="A3349" s="24" t="str">
        <f>_xlfn.XLOOKUP(tbEscolas[[#This Row],[ESCOLA]],tbNucleo[ESCOLA],tbNucleo[COD ESCOLA],"")</f>
        <v/>
      </c>
      <c r="B3349" t="str" cm="1">
        <f t="array" ref="B3349">IFERROR(INDEX(tbNucleo[ESCOLA],ROUNDUP(ROW(B3348)/TotalEtapas,0)),"")</f>
        <v/>
      </c>
      <c r="E3349" t="str">
        <f>IFERROR(VLOOKUP(tbEscolas[[#This Row],[COD ETPA]],tbEtapas[],2,FALSE),"")</f>
        <v/>
      </c>
      <c r="F3349" t="str">
        <f>IFERROR(VLOOKUP(tbEscolas[[#This Row],[COD ETPA]],tbEtapas[],3,FALSE),"")</f>
        <v/>
      </c>
    </row>
    <row r="3350" spans="1:6" x14ac:dyDescent="0.25">
      <c r="A3350" s="24" t="str">
        <f>_xlfn.XLOOKUP(tbEscolas[[#This Row],[ESCOLA]],tbNucleo[ESCOLA],tbNucleo[COD ESCOLA],"")</f>
        <v/>
      </c>
      <c r="B3350" t="str" cm="1">
        <f t="array" ref="B3350">IFERROR(INDEX(tbNucleo[ESCOLA],ROUNDUP(ROW(B3349)/TotalEtapas,0)),"")</f>
        <v/>
      </c>
      <c r="E3350" t="str">
        <f>IFERROR(VLOOKUP(tbEscolas[[#This Row],[COD ETPA]],tbEtapas[],2,FALSE),"")</f>
        <v/>
      </c>
      <c r="F3350" t="str">
        <f>IFERROR(VLOOKUP(tbEscolas[[#This Row],[COD ETPA]],tbEtapas[],3,FALSE),"")</f>
        <v/>
      </c>
    </row>
    <row r="3351" spans="1:6" x14ac:dyDescent="0.25">
      <c r="A3351" s="24" t="str">
        <f>_xlfn.XLOOKUP(tbEscolas[[#This Row],[ESCOLA]],tbNucleo[ESCOLA],tbNucleo[COD ESCOLA],"")</f>
        <v/>
      </c>
      <c r="B3351" t="str" cm="1">
        <f t="array" ref="B3351">IFERROR(INDEX(tbNucleo[ESCOLA],ROUNDUP(ROW(B3350)/TotalEtapas,0)),"")</f>
        <v/>
      </c>
      <c r="E3351" t="str">
        <f>IFERROR(VLOOKUP(tbEscolas[[#This Row],[COD ETPA]],tbEtapas[],2,FALSE),"")</f>
        <v/>
      </c>
      <c r="F3351" t="str">
        <f>IFERROR(VLOOKUP(tbEscolas[[#This Row],[COD ETPA]],tbEtapas[],3,FALSE),"")</f>
        <v/>
      </c>
    </row>
    <row r="3352" spans="1:6" x14ac:dyDescent="0.25">
      <c r="A3352" s="24" t="str">
        <f>_xlfn.XLOOKUP(tbEscolas[[#This Row],[ESCOLA]],tbNucleo[ESCOLA],tbNucleo[COD ESCOLA],"")</f>
        <v/>
      </c>
      <c r="B3352" t="str" cm="1">
        <f t="array" ref="B3352">IFERROR(INDEX(tbNucleo[ESCOLA],ROUNDUP(ROW(B3351)/TotalEtapas,0)),"")</f>
        <v/>
      </c>
      <c r="E3352" t="str">
        <f>IFERROR(VLOOKUP(tbEscolas[[#This Row],[COD ETPA]],tbEtapas[],2,FALSE),"")</f>
        <v/>
      </c>
      <c r="F3352" t="str">
        <f>IFERROR(VLOOKUP(tbEscolas[[#This Row],[COD ETPA]],tbEtapas[],3,FALSE),"")</f>
        <v/>
      </c>
    </row>
    <row r="3353" spans="1:6" x14ac:dyDescent="0.25">
      <c r="A3353" s="24" t="str">
        <f>_xlfn.XLOOKUP(tbEscolas[[#This Row],[ESCOLA]],tbNucleo[ESCOLA],tbNucleo[COD ESCOLA],"")</f>
        <v/>
      </c>
      <c r="B3353" t="str" cm="1">
        <f t="array" ref="B3353">IFERROR(INDEX(tbNucleo[ESCOLA],ROUNDUP(ROW(B3352)/TotalEtapas,0)),"")</f>
        <v/>
      </c>
      <c r="E3353" t="str">
        <f>IFERROR(VLOOKUP(tbEscolas[[#This Row],[COD ETPA]],tbEtapas[],2,FALSE),"")</f>
        <v/>
      </c>
      <c r="F3353" t="str">
        <f>IFERROR(VLOOKUP(tbEscolas[[#This Row],[COD ETPA]],tbEtapas[],3,FALSE),"")</f>
        <v/>
      </c>
    </row>
    <row r="3354" spans="1:6" x14ac:dyDescent="0.25">
      <c r="A3354" s="24" t="str">
        <f>_xlfn.XLOOKUP(tbEscolas[[#This Row],[ESCOLA]],tbNucleo[ESCOLA],tbNucleo[COD ESCOLA],"")</f>
        <v/>
      </c>
      <c r="B3354" t="str" cm="1">
        <f t="array" ref="B3354">IFERROR(INDEX(tbNucleo[ESCOLA],ROUNDUP(ROW(B3353)/TotalEtapas,0)),"")</f>
        <v/>
      </c>
      <c r="E3354" t="str">
        <f>IFERROR(VLOOKUP(tbEscolas[[#This Row],[COD ETPA]],tbEtapas[],2,FALSE),"")</f>
        <v/>
      </c>
      <c r="F3354" t="str">
        <f>IFERROR(VLOOKUP(tbEscolas[[#This Row],[COD ETPA]],tbEtapas[],3,FALSE),"")</f>
        <v/>
      </c>
    </row>
    <row r="3355" spans="1:6" x14ac:dyDescent="0.25">
      <c r="A3355" s="24" t="str">
        <f>_xlfn.XLOOKUP(tbEscolas[[#This Row],[ESCOLA]],tbNucleo[ESCOLA],tbNucleo[COD ESCOLA],"")</f>
        <v/>
      </c>
      <c r="B3355" t="str" cm="1">
        <f t="array" ref="B3355">IFERROR(INDEX(tbNucleo[ESCOLA],ROUNDUP(ROW(B3354)/TotalEtapas,0)),"")</f>
        <v/>
      </c>
      <c r="E3355" t="str">
        <f>IFERROR(VLOOKUP(tbEscolas[[#This Row],[COD ETPA]],tbEtapas[],2,FALSE),"")</f>
        <v/>
      </c>
      <c r="F3355" t="str">
        <f>IFERROR(VLOOKUP(tbEscolas[[#This Row],[COD ETPA]],tbEtapas[],3,FALSE),"")</f>
        <v/>
      </c>
    </row>
    <row r="3356" spans="1:6" x14ac:dyDescent="0.25">
      <c r="A3356" s="24" t="str">
        <f>_xlfn.XLOOKUP(tbEscolas[[#This Row],[ESCOLA]],tbNucleo[ESCOLA],tbNucleo[COD ESCOLA],"")</f>
        <v/>
      </c>
      <c r="B3356" t="str" cm="1">
        <f t="array" ref="B3356">IFERROR(INDEX(tbNucleo[ESCOLA],ROUNDUP(ROW(B3355)/TotalEtapas,0)),"")</f>
        <v/>
      </c>
      <c r="E3356" t="str">
        <f>IFERROR(VLOOKUP(tbEscolas[[#This Row],[COD ETPA]],tbEtapas[],2,FALSE),"")</f>
        <v/>
      </c>
      <c r="F3356" t="str">
        <f>IFERROR(VLOOKUP(tbEscolas[[#This Row],[COD ETPA]],tbEtapas[],3,FALSE),"")</f>
        <v/>
      </c>
    </row>
    <row r="3357" spans="1:6" x14ac:dyDescent="0.25">
      <c r="A3357" s="24" t="str">
        <f>_xlfn.XLOOKUP(tbEscolas[[#This Row],[ESCOLA]],tbNucleo[ESCOLA],tbNucleo[COD ESCOLA],"")</f>
        <v/>
      </c>
      <c r="B3357" t="str" cm="1">
        <f t="array" ref="B3357">IFERROR(INDEX(tbNucleo[ESCOLA],ROUNDUP(ROW(B3356)/TotalEtapas,0)),"")</f>
        <v/>
      </c>
      <c r="E3357" t="str">
        <f>IFERROR(VLOOKUP(tbEscolas[[#This Row],[COD ETPA]],tbEtapas[],2,FALSE),"")</f>
        <v/>
      </c>
      <c r="F3357" t="str">
        <f>IFERROR(VLOOKUP(tbEscolas[[#This Row],[COD ETPA]],tbEtapas[],3,FALSE),"")</f>
        <v/>
      </c>
    </row>
    <row r="3358" spans="1:6" x14ac:dyDescent="0.25">
      <c r="A3358" s="24" t="str">
        <f>_xlfn.XLOOKUP(tbEscolas[[#This Row],[ESCOLA]],tbNucleo[ESCOLA],tbNucleo[COD ESCOLA],"")</f>
        <v/>
      </c>
      <c r="B3358" t="str" cm="1">
        <f t="array" ref="B3358">IFERROR(INDEX(tbNucleo[ESCOLA],ROUNDUP(ROW(B3357)/TotalEtapas,0)),"")</f>
        <v/>
      </c>
      <c r="E3358" t="str">
        <f>IFERROR(VLOOKUP(tbEscolas[[#This Row],[COD ETPA]],tbEtapas[],2,FALSE),"")</f>
        <v/>
      </c>
      <c r="F3358" t="str">
        <f>IFERROR(VLOOKUP(tbEscolas[[#This Row],[COD ETPA]],tbEtapas[],3,FALSE),"")</f>
        <v/>
      </c>
    </row>
    <row r="3359" spans="1:6" x14ac:dyDescent="0.25">
      <c r="A3359" s="24" t="str">
        <f>_xlfn.XLOOKUP(tbEscolas[[#This Row],[ESCOLA]],tbNucleo[ESCOLA],tbNucleo[COD ESCOLA],"")</f>
        <v/>
      </c>
      <c r="B3359" t="str" cm="1">
        <f t="array" ref="B3359">IFERROR(INDEX(tbNucleo[ESCOLA],ROUNDUP(ROW(B3358)/TotalEtapas,0)),"")</f>
        <v/>
      </c>
      <c r="E3359" t="str">
        <f>IFERROR(VLOOKUP(tbEscolas[[#This Row],[COD ETPA]],tbEtapas[],2,FALSE),"")</f>
        <v/>
      </c>
      <c r="F3359" t="str">
        <f>IFERROR(VLOOKUP(tbEscolas[[#This Row],[COD ETPA]],tbEtapas[],3,FALSE),"")</f>
        <v/>
      </c>
    </row>
    <row r="3360" spans="1:6" x14ac:dyDescent="0.25">
      <c r="A3360" s="24" t="str">
        <f>_xlfn.XLOOKUP(tbEscolas[[#This Row],[ESCOLA]],tbNucleo[ESCOLA],tbNucleo[COD ESCOLA],"")</f>
        <v/>
      </c>
      <c r="B3360" t="str" cm="1">
        <f t="array" ref="B3360">IFERROR(INDEX(tbNucleo[ESCOLA],ROUNDUP(ROW(B3359)/TotalEtapas,0)),"")</f>
        <v/>
      </c>
      <c r="E3360" t="str">
        <f>IFERROR(VLOOKUP(tbEscolas[[#This Row],[COD ETPA]],tbEtapas[],2,FALSE),"")</f>
        <v/>
      </c>
      <c r="F3360" t="str">
        <f>IFERROR(VLOOKUP(tbEscolas[[#This Row],[COD ETPA]],tbEtapas[],3,FALSE),"")</f>
        <v/>
      </c>
    </row>
    <row r="3361" spans="1:6" x14ac:dyDescent="0.25">
      <c r="A3361" s="24" t="str">
        <f>_xlfn.XLOOKUP(tbEscolas[[#This Row],[ESCOLA]],tbNucleo[ESCOLA],tbNucleo[COD ESCOLA],"")</f>
        <v/>
      </c>
      <c r="B3361" t="str" cm="1">
        <f t="array" ref="B3361">IFERROR(INDEX(tbNucleo[ESCOLA],ROUNDUP(ROW(B3360)/TotalEtapas,0)),"")</f>
        <v/>
      </c>
      <c r="E3361" t="str">
        <f>IFERROR(VLOOKUP(tbEscolas[[#This Row],[COD ETPA]],tbEtapas[],2,FALSE),"")</f>
        <v/>
      </c>
      <c r="F3361" t="str">
        <f>IFERROR(VLOOKUP(tbEscolas[[#This Row],[COD ETPA]],tbEtapas[],3,FALSE),"")</f>
        <v/>
      </c>
    </row>
    <row r="3362" spans="1:6" x14ac:dyDescent="0.25">
      <c r="A3362" s="24" t="str">
        <f>_xlfn.XLOOKUP(tbEscolas[[#This Row],[ESCOLA]],tbNucleo[ESCOLA],tbNucleo[COD ESCOLA],"")</f>
        <v/>
      </c>
      <c r="B3362" t="str" cm="1">
        <f t="array" ref="B3362">IFERROR(INDEX(tbNucleo[ESCOLA],ROUNDUP(ROW(B3361)/TotalEtapas,0)),"")</f>
        <v/>
      </c>
      <c r="E3362" t="str">
        <f>IFERROR(VLOOKUP(tbEscolas[[#This Row],[COD ETPA]],tbEtapas[],2,FALSE),"")</f>
        <v/>
      </c>
      <c r="F3362" t="str">
        <f>IFERROR(VLOOKUP(tbEscolas[[#This Row],[COD ETPA]],tbEtapas[],3,FALSE),"")</f>
        <v/>
      </c>
    </row>
    <row r="3363" spans="1:6" x14ac:dyDescent="0.25">
      <c r="A3363" s="24" t="str">
        <f>_xlfn.XLOOKUP(tbEscolas[[#This Row],[ESCOLA]],tbNucleo[ESCOLA],tbNucleo[COD ESCOLA],"")</f>
        <v/>
      </c>
      <c r="B3363" t="str" cm="1">
        <f t="array" ref="B3363">IFERROR(INDEX(tbNucleo[ESCOLA],ROUNDUP(ROW(B3362)/TotalEtapas,0)),"")</f>
        <v/>
      </c>
      <c r="E3363" t="str">
        <f>IFERROR(VLOOKUP(tbEscolas[[#This Row],[COD ETPA]],tbEtapas[],2,FALSE),"")</f>
        <v/>
      </c>
      <c r="F3363" t="str">
        <f>IFERROR(VLOOKUP(tbEscolas[[#This Row],[COD ETPA]],tbEtapas[],3,FALSE),"")</f>
        <v/>
      </c>
    </row>
    <row r="3364" spans="1:6" x14ac:dyDescent="0.25">
      <c r="A3364" s="24" t="str">
        <f>_xlfn.XLOOKUP(tbEscolas[[#This Row],[ESCOLA]],tbNucleo[ESCOLA],tbNucleo[COD ESCOLA],"")</f>
        <v/>
      </c>
      <c r="B3364" t="str" cm="1">
        <f t="array" ref="B3364">IFERROR(INDEX(tbNucleo[ESCOLA],ROUNDUP(ROW(B3363)/TotalEtapas,0)),"")</f>
        <v/>
      </c>
      <c r="E3364" t="str">
        <f>IFERROR(VLOOKUP(tbEscolas[[#This Row],[COD ETPA]],tbEtapas[],2,FALSE),"")</f>
        <v/>
      </c>
      <c r="F3364" t="str">
        <f>IFERROR(VLOOKUP(tbEscolas[[#This Row],[COD ETPA]],tbEtapas[],3,FALSE),"")</f>
        <v/>
      </c>
    </row>
    <row r="3365" spans="1:6" x14ac:dyDescent="0.25">
      <c r="A3365" s="24" t="str">
        <f>_xlfn.XLOOKUP(tbEscolas[[#This Row],[ESCOLA]],tbNucleo[ESCOLA],tbNucleo[COD ESCOLA],"")</f>
        <v/>
      </c>
      <c r="B3365" t="str" cm="1">
        <f t="array" ref="B3365">IFERROR(INDEX(tbNucleo[ESCOLA],ROUNDUP(ROW(B3364)/TotalEtapas,0)),"")</f>
        <v/>
      </c>
      <c r="E3365" t="str">
        <f>IFERROR(VLOOKUP(tbEscolas[[#This Row],[COD ETPA]],tbEtapas[],2,FALSE),"")</f>
        <v/>
      </c>
      <c r="F3365" t="str">
        <f>IFERROR(VLOOKUP(tbEscolas[[#This Row],[COD ETPA]],tbEtapas[],3,FALSE),"")</f>
        <v/>
      </c>
    </row>
    <row r="3366" spans="1:6" x14ac:dyDescent="0.25">
      <c r="A3366" s="24" t="str">
        <f>_xlfn.XLOOKUP(tbEscolas[[#This Row],[ESCOLA]],tbNucleo[ESCOLA],tbNucleo[COD ESCOLA],"")</f>
        <v/>
      </c>
      <c r="B3366" t="str" cm="1">
        <f t="array" ref="B3366">IFERROR(INDEX(tbNucleo[ESCOLA],ROUNDUP(ROW(B3365)/TotalEtapas,0)),"")</f>
        <v/>
      </c>
      <c r="E3366" t="str">
        <f>IFERROR(VLOOKUP(tbEscolas[[#This Row],[COD ETPA]],tbEtapas[],2,FALSE),"")</f>
        <v/>
      </c>
      <c r="F3366" t="str">
        <f>IFERROR(VLOOKUP(tbEscolas[[#This Row],[COD ETPA]],tbEtapas[],3,FALSE),"")</f>
        <v/>
      </c>
    </row>
    <row r="3367" spans="1:6" x14ac:dyDescent="0.25">
      <c r="A3367" s="24" t="str">
        <f>_xlfn.XLOOKUP(tbEscolas[[#This Row],[ESCOLA]],tbNucleo[ESCOLA],tbNucleo[COD ESCOLA],"")</f>
        <v/>
      </c>
      <c r="B3367" t="str" cm="1">
        <f t="array" ref="B3367">IFERROR(INDEX(tbNucleo[ESCOLA],ROUNDUP(ROW(B3366)/TotalEtapas,0)),"")</f>
        <v/>
      </c>
      <c r="E3367" t="str">
        <f>IFERROR(VLOOKUP(tbEscolas[[#This Row],[COD ETPA]],tbEtapas[],2,FALSE),"")</f>
        <v/>
      </c>
      <c r="F3367" t="str">
        <f>IFERROR(VLOOKUP(tbEscolas[[#This Row],[COD ETPA]],tbEtapas[],3,FALSE),"")</f>
        <v/>
      </c>
    </row>
    <row r="3368" spans="1:6" x14ac:dyDescent="0.25">
      <c r="A3368" s="24" t="str">
        <f>_xlfn.XLOOKUP(tbEscolas[[#This Row],[ESCOLA]],tbNucleo[ESCOLA],tbNucleo[COD ESCOLA],"")</f>
        <v/>
      </c>
      <c r="B3368" t="str" cm="1">
        <f t="array" ref="B3368">IFERROR(INDEX(tbNucleo[ESCOLA],ROUNDUP(ROW(B3367)/TotalEtapas,0)),"")</f>
        <v/>
      </c>
      <c r="E3368" t="str">
        <f>IFERROR(VLOOKUP(tbEscolas[[#This Row],[COD ETPA]],tbEtapas[],2,FALSE),"")</f>
        <v/>
      </c>
      <c r="F3368" t="str">
        <f>IFERROR(VLOOKUP(tbEscolas[[#This Row],[COD ETPA]],tbEtapas[],3,FALSE),"")</f>
        <v/>
      </c>
    </row>
    <row r="3369" spans="1:6" x14ac:dyDescent="0.25">
      <c r="A3369" s="24" t="str">
        <f>_xlfn.XLOOKUP(tbEscolas[[#This Row],[ESCOLA]],tbNucleo[ESCOLA],tbNucleo[COD ESCOLA],"")</f>
        <v/>
      </c>
      <c r="B3369" t="str" cm="1">
        <f t="array" ref="B3369">IFERROR(INDEX(tbNucleo[ESCOLA],ROUNDUP(ROW(B3368)/TotalEtapas,0)),"")</f>
        <v/>
      </c>
      <c r="E3369" t="str">
        <f>IFERROR(VLOOKUP(tbEscolas[[#This Row],[COD ETPA]],tbEtapas[],2,FALSE),"")</f>
        <v/>
      </c>
      <c r="F3369" t="str">
        <f>IFERROR(VLOOKUP(tbEscolas[[#This Row],[COD ETPA]],tbEtapas[],3,FALSE),"")</f>
        <v/>
      </c>
    </row>
    <row r="3370" spans="1:6" x14ac:dyDescent="0.25">
      <c r="A3370" s="24" t="str">
        <f>_xlfn.XLOOKUP(tbEscolas[[#This Row],[ESCOLA]],tbNucleo[ESCOLA],tbNucleo[COD ESCOLA],"")</f>
        <v/>
      </c>
      <c r="B3370" t="str" cm="1">
        <f t="array" ref="B3370">IFERROR(INDEX(tbNucleo[ESCOLA],ROUNDUP(ROW(B3369)/TotalEtapas,0)),"")</f>
        <v/>
      </c>
      <c r="E3370" t="str">
        <f>IFERROR(VLOOKUP(tbEscolas[[#This Row],[COD ETPA]],tbEtapas[],2,FALSE),"")</f>
        <v/>
      </c>
      <c r="F3370" t="str">
        <f>IFERROR(VLOOKUP(tbEscolas[[#This Row],[COD ETPA]],tbEtapas[],3,FALSE),"")</f>
        <v/>
      </c>
    </row>
    <row r="3371" spans="1:6" x14ac:dyDescent="0.25">
      <c r="A3371" s="24" t="str">
        <f>_xlfn.XLOOKUP(tbEscolas[[#This Row],[ESCOLA]],tbNucleo[ESCOLA],tbNucleo[COD ESCOLA],"")</f>
        <v/>
      </c>
      <c r="B3371" t="str" cm="1">
        <f t="array" ref="B3371">IFERROR(INDEX(tbNucleo[ESCOLA],ROUNDUP(ROW(B3370)/TotalEtapas,0)),"")</f>
        <v/>
      </c>
      <c r="E3371" t="str">
        <f>IFERROR(VLOOKUP(tbEscolas[[#This Row],[COD ETPA]],tbEtapas[],2,FALSE),"")</f>
        <v/>
      </c>
      <c r="F3371" t="str">
        <f>IFERROR(VLOOKUP(tbEscolas[[#This Row],[COD ETPA]],tbEtapas[],3,FALSE),"")</f>
        <v/>
      </c>
    </row>
    <row r="3372" spans="1:6" x14ac:dyDescent="0.25">
      <c r="A3372" s="24" t="str">
        <f>_xlfn.XLOOKUP(tbEscolas[[#This Row],[ESCOLA]],tbNucleo[ESCOLA],tbNucleo[COD ESCOLA],"")</f>
        <v/>
      </c>
      <c r="B3372" t="str" cm="1">
        <f t="array" ref="B3372">IFERROR(INDEX(tbNucleo[ESCOLA],ROUNDUP(ROW(B3371)/TotalEtapas,0)),"")</f>
        <v/>
      </c>
      <c r="E3372" t="str">
        <f>IFERROR(VLOOKUP(tbEscolas[[#This Row],[COD ETPA]],tbEtapas[],2,FALSE),"")</f>
        <v/>
      </c>
      <c r="F3372" t="str">
        <f>IFERROR(VLOOKUP(tbEscolas[[#This Row],[COD ETPA]],tbEtapas[],3,FALSE),"")</f>
        <v/>
      </c>
    </row>
    <row r="3373" spans="1:6" x14ac:dyDescent="0.25">
      <c r="A3373" s="24" t="str">
        <f>_xlfn.XLOOKUP(tbEscolas[[#This Row],[ESCOLA]],tbNucleo[ESCOLA],tbNucleo[COD ESCOLA],"")</f>
        <v/>
      </c>
      <c r="B3373" t="str" cm="1">
        <f t="array" ref="B3373">IFERROR(INDEX(tbNucleo[ESCOLA],ROUNDUP(ROW(B3372)/TotalEtapas,0)),"")</f>
        <v/>
      </c>
      <c r="E3373" t="str">
        <f>IFERROR(VLOOKUP(tbEscolas[[#This Row],[COD ETPA]],tbEtapas[],2,FALSE),"")</f>
        <v/>
      </c>
      <c r="F3373" t="str">
        <f>IFERROR(VLOOKUP(tbEscolas[[#This Row],[COD ETPA]],tbEtapas[],3,FALSE),"")</f>
        <v/>
      </c>
    </row>
    <row r="3374" spans="1:6" x14ac:dyDescent="0.25">
      <c r="A3374" s="24" t="str">
        <f>_xlfn.XLOOKUP(tbEscolas[[#This Row],[ESCOLA]],tbNucleo[ESCOLA],tbNucleo[COD ESCOLA],"")</f>
        <v/>
      </c>
      <c r="B3374" t="str" cm="1">
        <f t="array" ref="B3374">IFERROR(INDEX(tbNucleo[ESCOLA],ROUNDUP(ROW(B3373)/TotalEtapas,0)),"")</f>
        <v/>
      </c>
      <c r="E3374" t="str">
        <f>IFERROR(VLOOKUP(tbEscolas[[#This Row],[COD ETPA]],tbEtapas[],2,FALSE),"")</f>
        <v/>
      </c>
      <c r="F3374" t="str">
        <f>IFERROR(VLOOKUP(tbEscolas[[#This Row],[COD ETPA]],tbEtapas[],3,FALSE),"")</f>
        <v/>
      </c>
    </row>
    <row r="3375" spans="1:6" x14ac:dyDescent="0.25">
      <c r="A3375" s="24" t="str">
        <f>_xlfn.XLOOKUP(tbEscolas[[#This Row],[ESCOLA]],tbNucleo[ESCOLA],tbNucleo[COD ESCOLA],"")</f>
        <v/>
      </c>
      <c r="B3375" t="str" cm="1">
        <f t="array" ref="B3375">IFERROR(INDEX(tbNucleo[ESCOLA],ROUNDUP(ROW(B3374)/TotalEtapas,0)),"")</f>
        <v/>
      </c>
      <c r="E3375" t="str">
        <f>IFERROR(VLOOKUP(tbEscolas[[#This Row],[COD ETPA]],tbEtapas[],2,FALSE),"")</f>
        <v/>
      </c>
      <c r="F3375" t="str">
        <f>IFERROR(VLOOKUP(tbEscolas[[#This Row],[COD ETPA]],tbEtapas[],3,FALSE),"")</f>
        <v/>
      </c>
    </row>
    <row r="3376" spans="1:6" x14ac:dyDescent="0.25">
      <c r="A3376" s="24" t="str">
        <f>_xlfn.XLOOKUP(tbEscolas[[#This Row],[ESCOLA]],tbNucleo[ESCOLA],tbNucleo[COD ESCOLA],"")</f>
        <v/>
      </c>
      <c r="B3376" t="str" cm="1">
        <f t="array" ref="B3376">IFERROR(INDEX(tbNucleo[ESCOLA],ROUNDUP(ROW(B3375)/TotalEtapas,0)),"")</f>
        <v/>
      </c>
      <c r="E3376" t="str">
        <f>IFERROR(VLOOKUP(tbEscolas[[#This Row],[COD ETPA]],tbEtapas[],2,FALSE),"")</f>
        <v/>
      </c>
      <c r="F3376" t="str">
        <f>IFERROR(VLOOKUP(tbEscolas[[#This Row],[COD ETPA]],tbEtapas[],3,FALSE),"")</f>
        <v/>
      </c>
    </row>
    <row r="3377" spans="1:6" x14ac:dyDescent="0.25">
      <c r="A3377" s="24" t="str">
        <f>_xlfn.XLOOKUP(tbEscolas[[#This Row],[ESCOLA]],tbNucleo[ESCOLA],tbNucleo[COD ESCOLA],"")</f>
        <v/>
      </c>
      <c r="B3377" t="str" cm="1">
        <f t="array" ref="B3377">IFERROR(INDEX(tbNucleo[ESCOLA],ROUNDUP(ROW(B3376)/TotalEtapas,0)),"")</f>
        <v/>
      </c>
      <c r="E3377" t="str">
        <f>IFERROR(VLOOKUP(tbEscolas[[#This Row],[COD ETPA]],tbEtapas[],2,FALSE),"")</f>
        <v/>
      </c>
      <c r="F3377" t="str">
        <f>IFERROR(VLOOKUP(tbEscolas[[#This Row],[COD ETPA]],tbEtapas[],3,FALSE),"")</f>
        <v/>
      </c>
    </row>
    <row r="3378" spans="1:6" x14ac:dyDescent="0.25">
      <c r="A3378" s="24" t="str">
        <f>_xlfn.XLOOKUP(tbEscolas[[#This Row],[ESCOLA]],tbNucleo[ESCOLA],tbNucleo[COD ESCOLA],"")</f>
        <v/>
      </c>
      <c r="B3378" t="str" cm="1">
        <f t="array" ref="B3378">IFERROR(INDEX(tbNucleo[ESCOLA],ROUNDUP(ROW(B3377)/TotalEtapas,0)),"")</f>
        <v/>
      </c>
      <c r="E3378" t="str">
        <f>IFERROR(VLOOKUP(tbEscolas[[#This Row],[COD ETPA]],tbEtapas[],2,FALSE),"")</f>
        <v/>
      </c>
      <c r="F3378" t="str">
        <f>IFERROR(VLOOKUP(tbEscolas[[#This Row],[COD ETPA]],tbEtapas[],3,FALSE),"")</f>
        <v/>
      </c>
    </row>
    <row r="3379" spans="1:6" x14ac:dyDescent="0.25">
      <c r="A3379" s="24" t="str">
        <f>_xlfn.XLOOKUP(tbEscolas[[#This Row],[ESCOLA]],tbNucleo[ESCOLA],tbNucleo[COD ESCOLA],"")</f>
        <v/>
      </c>
      <c r="B3379" t="str" cm="1">
        <f t="array" ref="B3379">IFERROR(INDEX(tbNucleo[ESCOLA],ROUNDUP(ROW(B3378)/TotalEtapas,0)),"")</f>
        <v/>
      </c>
      <c r="E3379" t="str">
        <f>IFERROR(VLOOKUP(tbEscolas[[#This Row],[COD ETPA]],tbEtapas[],2,FALSE),"")</f>
        <v/>
      </c>
      <c r="F3379" t="str">
        <f>IFERROR(VLOOKUP(tbEscolas[[#This Row],[COD ETPA]],tbEtapas[],3,FALSE),"")</f>
        <v/>
      </c>
    </row>
    <row r="3380" spans="1:6" x14ac:dyDescent="0.25">
      <c r="A3380" s="24" t="str">
        <f>_xlfn.XLOOKUP(tbEscolas[[#This Row],[ESCOLA]],tbNucleo[ESCOLA],tbNucleo[COD ESCOLA],"")</f>
        <v/>
      </c>
      <c r="B3380" t="str" cm="1">
        <f t="array" ref="B3380">IFERROR(INDEX(tbNucleo[ESCOLA],ROUNDUP(ROW(B3379)/TotalEtapas,0)),"")</f>
        <v/>
      </c>
      <c r="E3380" t="str">
        <f>IFERROR(VLOOKUP(tbEscolas[[#This Row],[COD ETPA]],tbEtapas[],2,FALSE),"")</f>
        <v/>
      </c>
      <c r="F3380" t="str">
        <f>IFERROR(VLOOKUP(tbEscolas[[#This Row],[COD ETPA]],tbEtapas[],3,FALSE),"")</f>
        <v/>
      </c>
    </row>
    <row r="3381" spans="1:6" x14ac:dyDescent="0.25">
      <c r="A3381" s="24" t="str">
        <f>_xlfn.XLOOKUP(tbEscolas[[#This Row],[ESCOLA]],tbNucleo[ESCOLA],tbNucleo[COD ESCOLA],"")</f>
        <v/>
      </c>
      <c r="B3381" t="str" cm="1">
        <f t="array" ref="B3381">IFERROR(INDEX(tbNucleo[ESCOLA],ROUNDUP(ROW(B3380)/TotalEtapas,0)),"")</f>
        <v/>
      </c>
      <c r="E3381" t="str">
        <f>IFERROR(VLOOKUP(tbEscolas[[#This Row],[COD ETPA]],tbEtapas[],2,FALSE),"")</f>
        <v/>
      </c>
      <c r="F3381" t="str">
        <f>IFERROR(VLOOKUP(tbEscolas[[#This Row],[COD ETPA]],tbEtapas[],3,FALSE),"")</f>
        <v/>
      </c>
    </row>
    <row r="3382" spans="1:6" x14ac:dyDescent="0.25">
      <c r="A3382" s="24" t="str">
        <f>_xlfn.XLOOKUP(tbEscolas[[#This Row],[ESCOLA]],tbNucleo[ESCOLA],tbNucleo[COD ESCOLA],"")</f>
        <v/>
      </c>
      <c r="B3382" t="str" cm="1">
        <f t="array" ref="B3382">IFERROR(INDEX(tbNucleo[ESCOLA],ROUNDUP(ROW(B3381)/TotalEtapas,0)),"")</f>
        <v/>
      </c>
      <c r="E3382" t="str">
        <f>IFERROR(VLOOKUP(tbEscolas[[#This Row],[COD ETPA]],tbEtapas[],2,FALSE),"")</f>
        <v/>
      </c>
      <c r="F3382" t="str">
        <f>IFERROR(VLOOKUP(tbEscolas[[#This Row],[COD ETPA]],tbEtapas[],3,FALSE),"")</f>
        <v/>
      </c>
    </row>
    <row r="3383" spans="1:6" x14ac:dyDescent="0.25">
      <c r="A3383" s="24" t="str">
        <f>_xlfn.XLOOKUP(tbEscolas[[#This Row],[ESCOLA]],tbNucleo[ESCOLA],tbNucleo[COD ESCOLA],"")</f>
        <v/>
      </c>
      <c r="B3383" t="str" cm="1">
        <f t="array" ref="B3383">IFERROR(INDEX(tbNucleo[ESCOLA],ROUNDUP(ROW(B3382)/TotalEtapas,0)),"")</f>
        <v/>
      </c>
      <c r="E3383" t="str">
        <f>IFERROR(VLOOKUP(tbEscolas[[#This Row],[COD ETPA]],tbEtapas[],2,FALSE),"")</f>
        <v/>
      </c>
      <c r="F3383" t="str">
        <f>IFERROR(VLOOKUP(tbEscolas[[#This Row],[COD ETPA]],tbEtapas[],3,FALSE),"")</f>
        <v/>
      </c>
    </row>
    <row r="3384" spans="1:6" x14ac:dyDescent="0.25">
      <c r="A3384" s="24" t="str">
        <f>_xlfn.XLOOKUP(tbEscolas[[#This Row],[ESCOLA]],tbNucleo[ESCOLA],tbNucleo[COD ESCOLA],"")</f>
        <v/>
      </c>
      <c r="B3384" t="str" cm="1">
        <f t="array" ref="B3384">IFERROR(INDEX(tbNucleo[ESCOLA],ROUNDUP(ROW(B3383)/TotalEtapas,0)),"")</f>
        <v/>
      </c>
      <c r="E3384" t="str">
        <f>IFERROR(VLOOKUP(tbEscolas[[#This Row],[COD ETPA]],tbEtapas[],2,FALSE),"")</f>
        <v/>
      </c>
      <c r="F3384" t="str">
        <f>IFERROR(VLOOKUP(tbEscolas[[#This Row],[COD ETPA]],tbEtapas[],3,FALSE),"")</f>
        <v/>
      </c>
    </row>
    <row r="3385" spans="1:6" x14ac:dyDescent="0.25">
      <c r="A3385" s="24" t="str">
        <f>_xlfn.XLOOKUP(tbEscolas[[#This Row],[ESCOLA]],tbNucleo[ESCOLA],tbNucleo[COD ESCOLA],"")</f>
        <v/>
      </c>
      <c r="B3385" t="str" cm="1">
        <f t="array" ref="B3385">IFERROR(INDEX(tbNucleo[ESCOLA],ROUNDUP(ROW(B3384)/TotalEtapas,0)),"")</f>
        <v/>
      </c>
      <c r="E3385" t="str">
        <f>IFERROR(VLOOKUP(tbEscolas[[#This Row],[COD ETPA]],tbEtapas[],2,FALSE),"")</f>
        <v/>
      </c>
      <c r="F3385" t="str">
        <f>IFERROR(VLOOKUP(tbEscolas[[#This Row],[COD ETPA]],tbEtapas[],3,FALSE),"")</f>
        <v/>
      </c>
    </row>
    <row r="3386" spans="1:6" x14ac:dyDescent="0.25">
      <c r="A3386" s="24" t="str">
        <f>_xlfn.XLOOKUP(tbEscolas[[#This Row],[ESCOLA]],tbNucleo[ESCOLA],tbNucleo[COD ESCOLA],"")</f>
        <v/>
      </c>
      <c r="B3386" t="str" cm="1">
        <f t="array" ref="B3386">IFERROR(INDEX(tbNucleo[ESCOLA],ROUNDUP(ROW(B3385)/TotalEtapas,0)),"")</f>
        <v/>
      </c>
      <c r="E3386" t="str">
        <f>IFERROR(VLOOKUP(tbEscolas[[#This Row],[COD ETPA]],tbEtapas[],2,FALSE),"")</f>
        <v/>
      </c>
      <c r="F3386" t="str">
        <f>IFERROR(VLOOKUP(tbEscolas[[#This Row],[COD ETPA]],tbEtapas[],3,FALSE),"")</f>
        <v/>
      </c>
    </row>
    <row r="3387" spans="1:6" x14ac:dyDescent="0.25">
      <c r="A3387" s="24" t="str">
        <f>_xlfn.XLOOKUP(tbEscolas[[#This Row],[ESCOLA]],tbNucleo[ESCOLA],tbNucleo[COD ESCOLA],"")</f>
        <v/>
      </c>
      <c r="B3387" t="str" cm="1">
        <f t="array" ref="B3387">IFERROR(INDEX(tbNucleo[ESCOLA],ROUNDUP(ROW(B3386)/TotalEtapas,0)),"")</f>
        <v/>
      </c>
      <c r="E3387" t="str">
        <f>IFERROR(VLOOKUP(tbEscolas[[#This Row],[COD ETPA]],tbEtapas[],2,FALSE),"")</f>
        <v/>
      </c>
      <c r="F3387" t="str">
        <f>IFERROR(VLOOKUP(tbEscolas[[#This Row],[COD ETPA]],tbEtapas[],3,FALSE),"")</f>
        <v/>
      </c>
    </row>
    <row r="3388" spans="1:6" x14ac:dyDescent="0.25">
      <c r="A3388" s="24" t="str">
        <f>_xlfn.XLOOKUP(tbEscolas[[#This Row],[ESCOLA]],tbNucleo[ESCOLA],tbNucleo[COD ESCOLA],"")</f>
        <v/>
      </c>
      <c r="B3388" t="str" cm="1">
        <f t="array" ref="B3388">IFERROR(INDEX(tbNucleo[ESCOLA],ROUNDUP(ROW(B3387)/TotalEtapas,0)),"")</f>
        <v/>
      </c>
      <c r="E3388" t="str">
        <f>IFERROR(VLOOKUP(tbEscolas[[#This Row],[COD ETPA]],tbEtapas[],2,FALSE),"")</f>
        <v/>
      </c>
      <c r="F3388" t="str">
        <f>IFERROR(VLOOKUP(tbEscolas[[#This Row],[COD ETPA]],tbEtapas[],3,FALSE),"")</f>
        <v/>
      </c>
    </row>
    <row r="3389" spans="1:6" x14ac:dyDescent="0.25">
      <c r="A3389" s="24" t="str">
        <f>_xlfn.XLOOKUP(tbEscolas[[#This Row],[ESCOLA]],tbNucleo[ESCOLA],tbNucleo[COD ESCOLA],"")</f>
        <v/>
      </c>
      <c r="B3389" t="str" cm="1">
        <f t="array" ref="B3389">IFERROR(INDEX(tbNucleo[ESCOLA],ROUNDUP(ROW(B3388)/TotalEtapas,0)),"")</f>
        <v/>
      </c>
      <c r="E3389" t="str">
        <f>IFERROR(VLOOKUP(tbEscolas[[#This Row],[COD ETPA]],tbEtapas[],2,FALSE),"")</f>
        <v/>
      </c>
      <c r="F3389" t="str">
        <f>IFERROR(VLOOKUP(tbEscolas[[#This Row],[COD ETPA]],tbEtapas[],3,FALSE),"")</f>
        <v/>
      </c>
    </row>
    <row r="3390" spans="1:6" x14ac:dyDescent="0.25">
      <c r="A3390" s="24" t="str">
        <f>_xlfn.XLOOKUP(tbEscolas[[#This Row],[ESCOLA]],tbNucleo[ESCOLA],tbNucleo[COD ESCOLA],"")</f>
        <v/>
      </c>
      <c r="B3390" t="str" cm="1">
        <f t="array" ref="B3390">IFERROR(INDEX(tbNucleo[ESCOLA],ROUNDUP(ROW(B3389)/TotalEtapas,0)),"")</f>
        <v/>
      </c>
      <c r="E3390" t="str">
        <f>IFERROR(VLOOKUP(tbEscolas[[#This Row],[COD ETPA]],tbEtapas[],2,FALSE),"")</f>
        <v/>
      </c>
      <c r="F3390" t="str">
        <f>IFERROR(VLOOKUP(tbEscolas[[#This Row],[COD ETPA]],tbEtapas[],3,FALSE),"")</f>
        <v/>
      </c>
    </row>
    <row r="3391" spans="1:6" x14ac:dyDescent="0.25">
      <c r="A3391" s="24" t="str">
        <f>_xlfn.XLOOKUP(tbEscolas[[#This Row],[ESCOLA]],tbNucleo[ESCOLA],tbNucleo[COD ESCOLA],"")</f>
        <v/>
      </c>
      <c r="B3391" t="str" cm="1">
        <f t="array" ref="B3391">IFERROR(INDEX(tbNucleo[ESCOLA],ROUNDUP(ROW(B3390)/TotalEtapas,0)),"")</f>
        <v/>
      </c>
      <c r="E3391" t="str">
        <f>IFERROR(VLOOKUP(tbEscolas[[#This Row],[COD ETPA]],tbEtapas[],2,FALSE),"")</f>
        <v/>
      </c>
      <c r="F3391" t="str">
        <f>IFERROR(VLOOKUP(tbEscolas[[#This Row],[COD ETPA]],tbEtapas[],3,FALSE),"")</f>
        <v/>
      </c>
    </row>
    <row r="3392" spans="1:6" x14ac:dyDescent="0.25">
      <c r="A3392" s="24" t="str">
        <f>_xlfn.XLOOKUP(tbEscolas[[#This Row],[ESCOLA]],tbNucleo[ESCOLA],tbNucleo[COD ESCOLA],"")</f>
        <v/>
      </c>
      <c r="B3392" t="str" cm="1">
        <f t="array" ref="B3392">IFERROR(INDEX(tbNucleo[ESCOLA],ROUNDUP(ROW(B3391)/TotalEtapas,0)),"")</f>
        <v/>
      </c>
      <c r="E3392" t="str">
        <f>IFERROR(VLOOKUP(tbEscolas[[#This Row],[COD ETPA]],tbEtapas[],2,FALSE),"")</f>
        <v/>
      </c>
      <c r="F3392" t="str">
        <f>IFERROR(VLOOKUP(tbEscolas[[#This Row],[COD ETPA]],tbEtapas[],3,FALSE),"")</f>
        <v/>
      </c>
    </row>
    <row r="3393" spans="1:6" x14ac:dyDescent="0.25">
      <c r="A3393" s="24" t="str">
        <f>_xlfn.XLOOKUP(tbEscolas[[#This Row],[ESCOLA]],tbNucleo[ESCOLA],tbNucleo[COD ESCOLA],"")</f>
        <v/>
      </c>
      <c r="B3393" t="str" cm="1">
        <f t="array" ref="B3393">IFERROR(INDEX(tbNucleo[ESCOLA],ROUNDUP(ROW(B3392)/TotalEtapas,0)),"")</f>
        <v/>
      </c>
      <c r="E3393" t="str">
        <f>IFERROR(VLOOKUP(tbEscolas[[#This Row],[COD ETPA]],tbEtapas[],2,FALSE),"")</f>
        <v/>
      </c>
      <c r="F3393" t="str">
        <f>IFERROR(VLOOKUP(tbEscolas[[#This Row],[COD ETPA]],tbEtapas[],3,FALSE),"")</f>
        <v/>
      </c>
    </row>
    <row r="3394" spans="1:6" x14ac:dyDescent="0.25">
      <c r="A3394" s="24" t="str">
        <f>_xlfn.XLOOKUP(tbEscolas[[#This Row],[ESCOLA]],tbNucleo[ESCOLA],tbNucleo[COD ESCOLA],"")</f>
        <v/>
      </c>
      <c r="B3394" t="str" cm="1">
        <f t="array" ref="B3394">IFERROR(INDEX(tbNucleo[ESCOLA],ROUNDUP(ROW(B3393)/TotalEtapas,0)),"")</f>
        <v/>
      </c>
      <c r="E3394" t="str">
        <f>IFERROR(VLOOKUP(tbEscolas[[#This Row],[COD ETPA]],tbEtapas[],2,FALSE),"")</f>
        <v/>
      </c>
      <c r="F3394" t="str">
        <f>IFERROR(VLOOKUP(tbEscolas[[#This Row],[COD ETPA]],tbEtapas[],3,FALSE),"")</f>
        <v/>
      </c>
    </row>
    <row r="3395" spans="1:6" x14ac:dyDescent="0.25">
      <c r="A3395" s="24" t="str">
        <f>_xlfn.XLOOKUP(tbEscolas[[#This Row],[ESCOLA]],tbNucleo[ESCOLA],tbNucleo[COD ESCOLA],"")</f>
        <v/>
      </c>
      <c r="B3395" t="str" cm="1">
        <f t="array" ref="B3395">IFERROR(INDEX(tbNucleo[ESCOLA],ROUNDUP(ROW(B3394)/TotalEtapas,0)),"")</f>
        <v/>
      </c>
      <c r="E3395" t="str">
        <f>IFERROR(VLOOKUP(tbEscolas[[#This Row],[COD ETPA]],tbEtapas[],2,FALSE),"")</f>
        <v/>
      </c>
      <c r="F3395" t="str">
        <f>IFERROR(VLOOKUP(tbEscolas[[#This Row],[COD ETPA]],tbEtapas[],3,FALSE),"")</f>
        <v/>
      </c>
    </row>
    <row r="3396" spans="1:6" x14ac:dyDescent="0.25">
      <c r="A3396" s="24" t="str">
        <f>_xlfn.XLOOKUP(tbEscolas[[#This Row],[ESCOLA]],tbNucleo[ESCOLA],tbNucleo[COD ESCOLA],"")</f>
        <v/>
      </c>
      <c r="B3396" t="str" cm="1">
        <f t="array" ref="B3396">IFERROR(INDEX(tbNucleo[ESCOLA],ROUNDUP(ROW(B3395)/TotalEtapas,0)),"")</f>
        <v/>
      </c>
      <c r="E3396" t="str">
        <f>IFERROR(VLOOKUP(tbEscolas[[#This Row],[COD ETPA]],tbEtapas[],2,FALSE),"")</f>
        <v/>
      </c>
      <c r="F3396" t="str">
        <f>IFERROR(VLOOKUP(tbEscolas[[#This Row],[COD ETPA]],tbEtapas[],3,FALSE),"")</f>
        <v/>
      </c>
    </row>
    <row r="3397" spans="1:6" x14ac:dyDescent="0.25">
      <c r="A3397" s="24" t="str">
        <f>_xlfn.XLOOKUP(tbEscolas[[#This Row],[ESCOLA]],tbNucleo[ESCOLA],tbNucleo[COD ESCOLA],"")</f>
        <v/>
      </c>
      <c r="B3397" t="str" cm="1">
        <f t="array" ref="B3397">IFERROR(INDEX(tbNucleo[ESCOLA],ROUNDUP(ROW(B3396)/TotalEtapas,0)),"")</f>
        <v/>
      </c>
      <c r="E3397" t="str">
        <f>IFERROR(VLOOKUP(tbEscolas[[#This Row],[COD ETPA]],tbEtapas[],2,FALSE),"")</f>
        <v/>
      </c>
      <c r="F3397" t="str">
        <f>IFERROR(VLOOKUP(tbEscolas[[#This Row],[COD ETPA]],tbEtapas[],3,FALSE),"")</f>
        <v/>
      </c>
    </row>
    <row r="3398" spans="1:6" x14ac:dyDescent="0.25">
      <c r="A3398" s="24" t="str">
        <f>_xlfn.XLOOKUP(tbEscolas[[#This Row],[ESCOLA]],tbNucleo[ESCOLA],tbNucleo[COD ESCOLA],"")</f>
        <v/>
      </c>
      <c r="B3398" t="str" cm="1">
        <f t="array" ref="B3398">IFERROR(INDEX(tbNucleo[ESCOLA],ROUNDUP(ROW(B3397)/TotalEtapas,0)),"")</f>
        <v/>
      </c>
      <c r="E3398" t="str">
        <f>IFERROR(VLOOKUP(tbEscolas[[#This Row],[COD ETPA]],tbEtapas[],2,FALSE),"")</f>
        <v/>
      </c>
      <c r="F3398" t="str">
        <f>IFERROR(VLOOKUP(tbEscolas[[#This Row],[COD ETPA]],tbEtapas[],3,FALSE),"")</f>
        <v/>
      </c>
    </row>
    <row r="3399" spans="1:6" x14ac:dyDescent="0.25">
      <c r="A3399" s="24" t="str">
        <f>_xlfn.XLOOKUP(tbEscolas[[#This Row],[ESCOLA]],tbNucleo[ESCOLA],tbNucleo[COD ESCOLA],"")</f>
        <v/>
      </c>
      <c r="B3399" t="str" cm="1">
        <f t="array" ref="B3399">IFERROR(INDEX(tbNucleo[ESCOLA],ROUNDUP(ROW(B3398)/TotalEtapas,0)),"")</f>
        <v/>
      </c>
      <c r="E3399" t="str">
        <f>IFERROR(VLOOKUP(tbEscolas[[#This Row],[COD ETPA]],tbEtapas[],2,FALSE),"")</f>
        <v/>
      </c>
      <c r="F3399" t="str">
        <f>IFERROR(VLOOKUP(tbEscolas[[#This Row],[COD ETPA]],tbEtapas[],3,FALSE),"")</f>
        <v/>
      </c>
    </row>
    <row r="3400" spans="1:6" x14ac:dyDescent="0.25">
      <c r="A3400" s="24" t="str">
        <f>_xlfn.XLOOKUP(tbEscolas[[#This Row],[ESCOLA]],tbNucleo[ESCOLA],tbNucleo[COD ESCOLA],"")</f>
        <v/>
      </c>
      <c r="B3400" t="str" cm="1">
        <f t="array" ref="B3400">IFERROR(INDEX(tbNucleo[ESCOLA],ROUNDUP(ROW(B3399)/TotalEtapas,0)),"")</f>
        <v/>
      </c>
      <c r="E3400" t="str">
        <f>IFERROR(VLOOKUP(tbEscolas[[#This Row],[COD ETPA]],tbEtapas[],2,FALSE),"")</f>
        <v/>
      </c>
      <c r="F3400" t="str">
        <f>IFERROR(VLOOKUP(tbEscolas[[#This Row],[COD ETPA]],tbEtapas[],3,FALSE),"")</f>
        <v/>
      </c>
    </row>
    <row r="3401" spans="1:6" x14ac:dyDescent="0.25">
      <c r="A3401" s="24" t="str">
        <f>_xlfn.XLOOKUP(tbEscolas[[#This Row],[ESCOLA]],tbNucleo[ESCOLA],tbNucleo[COD ESCOLA],"")</f>
        <v/>
      </c>
      <c r="B3401" t="str" cm="1">
        <f t="array" ref="B3401">IFERROR(INDEX(tbNucleo[ESCOLA],ROUNDUP(ROW(B3400)/TotalEtapas,0)),"")</f>
        <v/>
      </c>
      <c r="E3401" t="str">
        <f>IFERROR(VLOOKUP(tbEscolas[[#This Row],[COD ETPA]],tbEtapas[],2,FALSE),"")</f>
        <v/>
      </c>
      <c r="F3401" t="str">
        <f>IFERROR(VLOOKUP(tbEscolas[[#This Row],[COD ETPA]],tbEtapas[],3,FALSE),"")</f>
        <v/>
      </c>
    </row>
    <row r="3402" spans="1:6" x14ac:dyDescent="0.25">
      <c r="A3402" s="24" t="str">
        <f>_xlfn.XLOOKUP(tbEscolas[[#This Row],[ESCOLA]],tbNucleo[ESCOLA],tbNucleo[COD ESCOLA],"")</f>
        <v/>
      </c>
      <c r="B3402" t="str" cm="1">
        <f t="array" ref="B3402">IFERROR(INDEX(tbNucleo[ESCOLA],ROUNDUP(ROW(B3401)/TotalEtapas,0)),"")</f>
        <v/>
      </c>
      <c r="E3402" t="str">
        <f>IFERROR(VLOOKUP(tbEscolas[[#This Row],[COD ETPA]],tbEtapas[],2,FALSE),"")</f>
        <v/>
      </c>
      <c r="F3402" t="str">
        <f>IFERROR(VLOOKUP(tbEscolas[[#This Row],[COD ETPA]],tbEtapas[],3,FALSE),"")</f>
        <v/>
      </c>
    </row>
    <row r="3403" spans="1:6" x14ac:dyDescent="0.25">
      <c r="A3403" s="24" t="str">
        <f>_xlfn.XLOOKUP(tbEscolas[[#This Row],[ESCOLA]],tbNucleo[ESCOLA],tbNucleo[COD ESCOLA],"")</f>
        <v/>
      </c>
      <c r="B3403" t="str" cm="1">
        <f t="array" ref="B3403">IFERROR(INDEX(tbNucleo[ESCOLA],ROUNDUP(ROW(B3402)/TotalEtapas,0)),"")</f>
        <v/>
      </c>
      <c r="E3403" t="str">
        <f>IFERROR(VLOOKUP(tbEscolas[[#This Row],[COD ETPA]],tbEtapas[],2,FALSE),"")</f>
        <v/>
      </c>
      <c r="F3403" t="str">
        <f>IFERROR(VLOOKUP(tbEscolas[[#This Row],[COD ETPA]],tbEtapas[],3,FALSE),"")</f>
        <v/>
      </c>
    </row>
    <row r="3404" spans="1:6" x14ac:dyDescent="0.25">
      <c r="A3404" s="24" t="str">
        <f>_xlfn.XLOOKUP(tbEscolas[[#This Row],[ESCOLA]],tbNucleo[ESCOLA],tbNucleo[COD ESCOLA],"")</f>
        <v/>
      </c>
      <c r="B3404" t="str" cm="1">
        <f t="array" ref="B3404">IFERROR(INDEX(tbNucleo[ESCOLA],ROUNDUP(ROW(B3403)/TotalEtapas,0)),"")</f>
        <v/>
      </c>
      <c r="E3404" t="str">
        <f>IFERROR(VLOOKUP(tbEscolas[[#This Row],[COD ETPA]],tbEtapas[],2,FALSE),"")</f>
        <v/>
      </c>
      <c r="F3404" t="str">
        <f>IFERROR(VLOOKUP(tbEscolas[[#This Row],[COD ETPA]],tbEtapas[],3,FALSE),"")</f>
        <v/>
      </c>
    </row>
    <row r="3405" spans="1:6" x14ac:dyDescent="0.25">
      <c r="A3405" s="24" t="str">
        <f>_xlfn.XLOOKUP(tbEscolas[[#This Row],[ESCOLA]],tbNucleo[ESCOLA],tbNucleo[COD ESCOLA],"")</f>
        <v/>
      </c>
      <c r="B3405" t="str" cm="1">
        <f t="array" ref="B3405">IFERROR(INDEX(tbNucleo[ESCOLA],ROUNDUP(ROW(B3404)/TotalEtapas,0)),"")</f>
        <v/>
      </c>
      <c r="E3405" t="str">
        <f>IFERROR(VLOOKUP(tbEscolas[[#This Row],[COD ETPA]],tbEtapas[],2,FALSE),"")</f>
        <v/>
      </c>
      <c r="F3405" t="str">
        <f>IFERROR(VLOOKUP(tbEscolas[[#This Row],[COD ETPA]],tbEtapas[],3,FALSE),"")</f>
        <v/>
      </c>
    </row>
    <row r="3406" spans="1:6" x14ac:dyDescent="0.25">
      <c r="A3406" s="24" t="str">
        <f>_xlfn.XLOOKUP(tbEscolas[[#This Row],[ESCOLA]],tbNucleo[ESCOLA],tbNucleo[COD ESCOLA],"")</f>
        <v/>
      </c>
      <c r="B3406" t="str" cm="1">
        <f t="array" ref="B3406">IFERROR(INDEX(tbNucleo[ESCOLA],ROUNDUP(ROW(B3405)/TotalEtapas,0)),"")</f>
        <v/>
      </c>
      <c r="E3406" t="str">
        <f>IFERROR(VLOOKUP(tbEscolas[[#This Row],[COD ETPA]],tbEtapas[],2,FALSE),"")</f>
        <v/>
      </c>
      <c r="F3406" t="str">
        <f>IFERROR(VLOOKUP(tbEscolas[[#This Row],[COD ETPA]],tbEtapas[],3,FALSE),"")</f>
        <v/>
      </c>
    </row>
    <row r="3407" spans="1:6" x14ac:dyDescent="0.25">
      <c r="A3407" s="24" t="str">
        <f>_xlfn.XLOOKUP(tbEscolas[[#This Row],[ESCOLA]],tbNucleo[ESCOLA],tbNucleo[COD ESCOLA],"")</f>
        <v/>
      </c>
      <c r="B3407" t="str" cm="1">
        <f t="array" ref="B3407">IFERROR(INDEX(tbNucleo[ESCOLA],ROUNDUP(ROW(B3406)/TotalEtapas,0)),"")</f>
        <v/>
      </c>
      <c r="E3407" t="str">
        <f>IFERROR(VLOOKUP(tbEscolas[[#This Row],[COD ETPA]],tbEtapas[],2,FALSE),"")</f>
        <v/>
      </c>
      <c r="F3407" t="str">
        <f>IFERROR(VLOOKUP(tbEscolas[[#This Row],[COD ETPA]],tbEtapas[],3,FALSE),"")</f>
        <v/>
      </c>
    </row>
    <row r="3408" spans="1:6" x14ac:dyDescent="0.25">
      <c r="A3408" s="24" t="str">
        <f>_xlfn.XLOOKUP(tbEscolas[[#This Row],[ESCOLA]],tbNucleo[ESCOLA],tbNucleo[COD ESCOLA],"")</f>
        <v/>
      </c>
      <c r="B3408" t="str" cm="1">
        <f t="array" ref="B3408">IFERROR(INDEX(tbNucleo[ESCOLA],ROUNDUP(ROW(B3407)/TotalEtapas,0)),"")</f>
        <v/>
      </c>
      <c r="E3408" t="str">
        <f>IFERROR(VLOOKUP(tbEscolas[[#This Row],[COD ETPA]],tbEtapas[],2,FALSE),"")</f>
        <v/>
      </c>
      <c r="F3408" t="str">
        <f>IFERROR(VLOOKUP(tbEscolas[[#This Row],[COD ETPA]],tbEtapas[],3,FALSE),"")</f>
        <v/>
      </c>
    </row>
    <row r="3409" spans="1:6" x14ac:dyDescent="0.25">
      <c r="A3409" s="24" t="str">
        <f>_xlfn.XLOOKUP(tbEscolas[[#This Row],[ESCOLA]],tbNucleo[ESCOLA],tbNucleo[COD ESCOLA],"")</f>
        <v/>
      </c>
      <c r="B3409" t="str" cm="1">
        <f t="array" ref="B3409">IFERROR(INDEX(tbNucleo[ESCOLA],ROUNDUP(ROW(B3408)/TotalEtapas,0)),"")</f>
        <v/>
      </c>
      <c r="E3409" t="str">
        <f>IFERROR(VLOOKUP(tbEscolas[[#This Row],[COD ETPA]],tbEtapas[],2,FALSE),"")</f>
        <v/>
      </c>
      <c r="F3409" t="str">
        <f>IFERROR(VLOOKUP(tbEscolas[[#This Row],[COD ETPA]],tbEtapas[],3,FALSE),"")</f>
        <v/>
      </c>
    </row>
    <row r="3410" spans="1:6" x14ac:dyDescent="0.25">
      <c r="A3410" s="24" t="str">
        <f>_xlfn.XLOOKUP(tbEscolas[[#This Row],[ESCOLA]],tbNucleo[ESCOLA],tbNucleo[COD ESCOLA],"")</f>
        <v/>
      </c>
      <c r="B3410" t="str" cm="1">
        <f t="array" ref="B3410">IFERROR(INDEX(tbNucleo[ESCOLA],ROUNDUP(ROW(B3409)/TotalEtapas,0)),"")</f>
        <v/>
      </c>
      <c r="E3410" t="str">
        <f>IFERROR(VLOOKUP(tbEscolas[[#This Row],[COD ETPA]],tbEtapas[],2,FALSE),"")</f>
        <v/>
      </c>
      <c r="F3410" t="str">
        <f>IFERROR(VLOOKUP(tbEscolas[[#This Row],[COD ETPA]],tbEtapas[],3,FALSE),"")</f>
        <v/>
      </c>
    </row>
    <row r="3411" spans="1:6" x14ac:dyDescent="0.25">
      <c r="A3411" s="24" t="str">
        <f>_xlfn.XLOOKUP(tbEscolas[[#This Row],[ESCOLA]],tbNucleo[ESCOLA],tbNucleo[COD ESCOLA],"")</f>
        <v/>
      </c>
      <c r="B3411" t="str" cm="1">
        <f t="array" ref="B3411">IFERROR(INDEX(tbNucleo[ESCOLA],ROUNDUP(ROW(B3410)/TotalEtapas,0)),"")</f>
        <v/>
      </c>
      <c r="E3411" t="str">
        <f>IFERROR(VLOOKUP(tbEscolas[[#This Row],[COD ETPA]],tbEtapas[],2,FALSE),"")</f>
        <v/>
      </c>
      <c r="F3411" t="str">
        <f>IFERROR(VLOOKUP(tbEscolas[[#This Row],[COD ETPA]],tbEtapas[],3,FALSE),"")</f>
        <v/>
      </c>
    </row>
    <row r="3412" spans="1:6" x14ac:dyDescent="0.25">
      <c r="A3412" s="24" t="str">
        <f>_xlfn.XLOOKUP(tbEscolas[[#This Row],[ESCOLA]],tbNucleo[ESCOLA],tbNucleo[COD ESCOLA],"")</f>
        <v/>
      </c>
      <c r="B3412" t="str" cm="1">
        <f t="array" ref="B3412">IFERROR(INDEX(tbNucleo[ESCOLA],ROUNDUP(ROW(B3411)/TotalEtapas,0)),"")</f>
        <v/>
      </c>
      <c r="E3412" t="str">
        <f>IFERROR(VLOOKUP(tbEscolas[[#This Row],[COD ETPA]],tbEtapas[],2,FALSE),"")</f>
        <v/>
      </c>
      <c r="F3412" t="str">
        <f>IFERROR(VLOOKUP(tbEscolas[[#This Row],[COD ETPA]],tbEtapas[],3,FALSE),"")</f>
        <v/>
      </c>
    </row>
    <row r="3413" spans="1:6" x14ac:dyDescent="0.25">
      <c r="A3413" s="24" t="str">
        <f>_xlfn.XLOOKUP(tbEscolas[[#This Row],[ESCOLA]],tbNucleo[ESCOLA],tbNucleo[COD ESCOLA],"")</f>
        <v/>
      </c>
      <c r="B3413" t="str" cm="1">
        <f t="array" ref="B3413">IFERROR(INDEX(tbNucleo[ESCOLA],ROUNDUP(ROW(B3412)/TotalEtapas,0)),"")</f>
        <v/>
      </c>
      <c r="E3413" t="str">
        <f>IFERROR(VLOOKUP(tbEscolas[[#This Row],[COD ETPA]],tbEtapas[],2,FALSE),"")</f>
        <v/>
      </c>
      <c r="F3413" t="str">
        <f>IFERROR(VLOOKUP(tbEscolas[[#This Row],[COD ETPA]],tbEtapas[],3,FALSE),"")</f>
        <v/>
      </c>
    </row>
    <row r="3414" spans="1:6" x14ac:dyDescent="0.25">
      <c r="A3414" s="24" t="str">
        <f>_xlfn.XLOOKUP(tbEscolas[[#This Row],[ESCOLA]],tbNucleo[ESCOLA],tbNucleo[COD ESCOLA],"")</f>
        <v/>
      </c>
      <c r="B3414" t="str" cm="1">
        <f t="array" ref="B3414">IFERROR(INDEX(tbNucleo[ESCOLA],ROUNDUP(ROW(B3413)/TotalEtapas,0)),"")</f>
        <v/>
      </c>
      <c r="E3414" t="str">
        <f>IFERROR(VLOOKUP(tbEscolas[[#This Row],[COD ETPA]],tbEtapas[],2,FALSE),"")</f>
        <v/>
      </c>
      <c r="F3414" t="str">
        <f>IFERROR(VLOOKUP(tbEscolas[[#This Row],[COD ETPA]],tbEtapas[],3,FALSE),"")</f>
        <v/>
      </c>
    </row>
    <row r="3415" spans="1:6" x14ac:dyDescent="0.25">
      <c r="A3415" s="24" t="str">
        <f>_xlfn.XLOOKUP(tbEscolas[[#This Row],[ESCOLA]],tbNucleo[ESCOLA],tbNucleo[COD ESCOLA],"")</f>
        <v/>
      </c>
      <c r="B3415" t="str" cm="1">
        <f t="array" ref="B3415">IFERROR(INDEX(tbNucleo[ESCOLA],ROUNDUP(ROW(B3414)/TotalEtapas,0)),"")</f>
        <v/>
      </c>
      <c r="E3415" t="str">
        <f>IFERROR(VLOOKUP(tbEscolas[[#This Row],[COD ETPA]],tbEtapas[],2,FALSE),"")</f>
        <v/>
      </c>
      <c r="F3415" t="str">
        <f>IFERROR(VLOOKUP(tbEscolas[[#This Row],[COD ETPA]],tbEtapas[],3,FALSE),"")</f>
        <v/>
      </c>
    </row>
    <row r="3416" spans="1:6" x14ac:dyDescent="0.25">
      <c r="A3416" s="24" t="str">
        <f>_xlfn.XLOOKUP(tbEscolas[[#This Row],[ESCOLA]],tbNucleo[ESCOLA],tbNucleo[COD ESCOLA],"")</f>
        <v/>
      </c>
      <c r="B3416" t="str" cm="1">
        <f t="array" ref="B3416">IFERROR(INDEX(tbNucleo[ESCOLA],ROUNDUP(ROW(B3415)/TotalEtapas,0)),"")</f>
        <v/>
      </c>
      <c r="E3416" t="str">
        <f>IFERROR(VLOOKUP(tbEscolas[[#This Row],[COD ETPA]],tbEtapas[],2,FALSE),"")</f>
        <v/>
      </c>
      <c r="F3416" t="str">
        <f>IFERROR(VLOOKUP(tbEscolas[[#This Row],[COD ETPA]],tbEtapas[],3,FALSE),"")</f>
        <v/>
      </c>
    </row>
    <row r="3417" spans="1:6" x14ac:dyDescent="0.25">
      <c r="A3417" s="24" t="str">
        <f>_xlfn.XLOOKUP(tbEscolas[[#This Row],[ESCOLA]],tbNucleo[ESCOLA],tbNucleo[COD ESCOLA],"")</f>
        <v/>
      </c>
      <c r="B3417" t="str" cm="1">
        <f t="array" ref="B3417">IFERROR(INDEX(tbNucleo[ESCOLA],ROUNDUP(ROW(B3416)/TotalEtapas,0)),"")</f>
        <v/>
      </c>
      <c r="E3417" t="str">
        <f>IFERROR(VLOOKUP(tbEscolas[[#This Row],[COD ETPA]],tbEtapas[],2,FALSE),"")</f>
        <v/>
      </c>
      <c r="F3417" t="str">
        <f>IFERROR(VLOOKUP(tbEscolas[[#This Row],[COD ETPA]],tbEtapas[],3,FALSE),"")</f>
        <v/>
      </c>
    </row>
    <row r="3418" spans="1:6" x14ac:dyDescent="0.25">
      <c r="A3418" s="24" t="str">
        <f>_xlfn.XLOOKUP(tbEscolas[[#This Row],[ESCOLA]],tbNucleo[ESCOLA],tbNucleo[COD ESCOLA],"")</f>
        <v/>
      </c>
      <c r="B3418" t="str" cm="1">
        <f t="array" ref="B3418">IFERROR(INDEX(tbNucleo[ESCOLA],ROUNDUP(ROW(B3417)/TotalEtapas,0)),"")</f>
        <v/>
      </c>
      <c r="E3418" t="str">
        <f>IFERROR(VLOOKUP(tbEscolas[[#This Row],[COD ETPA]],tbEtapas[],2,FALSE),"")</f>
        <v/>
      </c>
      <c r="F3418" t="str">
        <f>IFERROR(VLOOKUP(tbEscolas[[#This Row],[COD ETPA]],tbEtapas[],3,FALSE),"")</f>
        <v/>
      </c>
    </row>
    <row r="3419" spans="1:6" x14ac:dyDescent="0.25">
      <c r="A3419" s="24" t="str">
        <f>_xlfn.XLOOKUP(tbEscolas[[#This Row],[ESCOLA]],tbNucleo[ESCOLA],tbNucleo[COD ESCOLA],"")</f>
        <v/>
      </c>
      <c r="B3419" t="str" cm="1">
        <f t="array" ref="B3419">IFERROR(INDEX(tbNucleo[ESCOLA],ROUNDUP(ROW(B3418)/TotalEtapas,0)),"")</f>
        <v/>
      </c>
      <c r="E3419" t="str">
        <f>IFERROR(VLOOKUP(tbEscolas[[#This Row],[COD ETPA]],tbEtapas[],2,FALSE),"")</f>
        <v/>
      </c>
      <c r="F3419" t="str">
        <f>IFERROR(VLOOKUP(tbEscolas[[#This Row],[COD ETPA]],tbEtapas[],3,FALSE),"")</f>
        <v/>
      </c>
    </row>
    <row r="3420" spans="1:6" x14ac:dyDescent="0.25">
      <c r="A3420" s="24" t="str">
        <f>_xlfn.XLOOKUP(tbEscolas[[#This Row],[ESCOLA]],tbNucleo[ESCOLA],tbNucleo[COD ESCOLA],"")</f>
        <v/>
      </c>
      <c r="B3420" t="str" cm="1">
        <f t="array" ref="B3420">IFERROR(INDEX(tbNucleo[ESCOLA],ROUNDUP(ROW(B3419)/TotalEtapas,0)),"")</f>
        <v/>
      </c>
      <c r="E3420" t="str">
        <f>IFERROR(VLOOKUP(tbEscolas[[#This Row],[COD ETPA]],tbEtapas[],2,FALSE),"")</f>
        <v/>
      </c>
      <c r="F3420" t="str">
        <f>IFERROR(VLOOKUP(tbEscolas[[#This Row],[COD ETPA]],tbEtapas[],3,FALSE),"")</f>
        <v/>
      </c>
    </row>
    <row r="3421" spans="1:6" x14ac:dyDescent="0.25">
      <c r="A3421" s="24" t="str">
        <f>_xlfn.XLOOKUP(tbEscolas[[#This Row],[ESCOLA]],tbNucleo[ESCOLA],tbNucleo[COD ESCOLA],"")</f>
        <v/>
      </c>
      <c r="B3421" t="str" cm="1">
        <f t="array" ref="B3421">IFERROR(INDEX(tbNucleo[ESCOLA],ROUNDUP(ROW(B3420)/TotalEtapas,0)),"")</f>
        <v/>
      </c>
      <c r="E3421" t="str">
        <f>IFERROR(VLOOKUP(tbEscolas[[#This Row],[COD ETPA]],tbEtapas[],2,FALSE),"")</f>
        <v/>
      </c>
      <c r="F3421" t="str">
        <f>IFERROR(VLOOKUP(tbEscolas[[#This Row],[COD ETPA]],tbEtapas[],3,FALSE),"")</f>
        <v/>
      </c>
    </row>
    <row r="3422" spans="1:6" x14ac:dyDescent="0.25">
      <c r="A3422" s="24" t="str">
        <f>_xlfn.XLOOKUP(tbEscolas[[#This Row],[ESCOLA]],tbNucleo[ESCOLA],tbNucleo[COD ESCOLA],"")</f>
        <v/>
      </c>
      <c r="B3422" t="str" cm="1">
        <f t="array" ref="B3422">IFERROR(INDEX(tbNucleo[ESCOLA],ROUNDUP(ROW(B3421)/TotalEtapas,0)),"")</f>
        <v/>
      </c>
      <c r="E3422" t="str">
        <f>IFERROR(VLOOKUP(tbEscolas[[#This Row],[COD ETPA]],tbEtapas[],2,FALSE),"")</f>
        <v/>
      </c>
      <c r="F3422" t="str">
        <f>IFERROR(VLOOKUP(tbEscolas[[#This Row],[COD ETPA]],tbEtapas[],3,FALSE),"")</f>
        <v/>
      </c>
    </row>
    <row r="3423" spans="1:6" x14ac:dyDescent="0.25">
      <c r="A3423" s="24" t="str">
        <f>_xlfn.XLOOKUP(tbEscolas[[#This Row],[ESCOLA]],tbNucleo[ESCOLA],tbNucleo[COD ESCOLA],"")</f>
        <v/>
      </c>
      <c r="B3423" t="str" cm="1">
        <f t="array" ref="B3423">IFERROR(INDEX(tbNucleo[ESCOLA],ROUNDUP(ROW(B3422)/TotalEtapas,0)),"")</f>
        <v/>
      </c>
      <c r="E3423" t="str">
        <f>IFERROR(VLOOKUP(tbEscolas[[#This Row],[COD ETPA]],tbEtapas[],2,FALSE),"")</f>
        <v/>
      </c>
      <c r="F3423" t="str">
        <f>IFERROR(VLOOKUP(tbEscolas[[#This Row],[COD ETPA]],tbEtapas[],3,FALSE),"")</f>
        <v/>
      </c>
    </row>
    <row r="3424" spans="1:6" x14ac:dyDescent="0.25">
      <c r="A3424" s="24" t="str">
        <f>_xlfn.XLOOKUP(tbEscolas[[#This Row],[ESCOLA]],tbNucleo[ESCOLA],tbNucleo[COD ESCOLA],"")</f>
        <v/>
      </c>
      <c r="B3424" t="str" cm="1">
        <f t="array" ref="B3424">IFERROR(INDEX(tbNucleo[ESCOLA],ROUNDUP(ROW(B3423)/TotalEtapas,0)),"")</f>
        <v/>
      </c>
      <c r="E3424" t="str">
        <f>IFERROR(VLOOKUP(tbEscolas[[#This Row],[COD ETPA]],tbEtapas[],2,FALSE),"")</f>
        <v/>
      </c>
      <c r="F3424" t="str">
        <f>IFERROR(VLOOKUP(tbEscolas[[#This Row],[COD ETPA]],tbEtapas[],3,FALSE),"")</f>
        <v/>
      </c>
    </row>
    <row r="3425" spans="1:6" x14ac:dyDescent="0.25">
      <c r="A3425" s="24" t="str">
        <f>_xlfn.XLOOKUP(tbEscolas[[#This Row],[ESCOLA]],tbNucleo[ESCOLA],tbNucleo[COD ESCOLA],"")</f>
        <v/>
      </c>
      <c r="B3425" t="str" cm="1">
        <f t="array" ref="B3425">IFERROR(INDEX(tbNucleo[ESCOLA],ROUNDUP(ROW(B3424)/TotalEtapas,0)),"")</f>
        <v/>
      </c>
      <c r="E3425" t="str">
        <f>IFERROR(VLOOKUP(tbEscolas[[#This Row],[COD ETPA]],tbEtapas[],2,FALSE),"")</f>
        <v/>
      </c>
      <c r="F3425" t="str">
        <f>IFERROR(VLOOKUP(tbEscolas[[#This Row],[COD ETPA]],tbEtapas[],3,FALSE),"")</f>
        <v/>
      </c>
    </row>
    <row r="3426" spans="1:6" x14ac:dyDescent="0.25">
      <c r="A3426" s="24" t="str">
        <f>_xlfn.XLOOKUP(tbEscolas[[#This Row],[ESCOLA]],tbNucleo[ESCOLA],tbNucleo[COD ESCOLA],"")</f>
        <v/>
      </c>
      <c r="B3426" t="str" cm="1">
        <f t="array" ref="B3426">IFERROR(INDEX(tbNucleo[ESCOLA],ROUNDUP(ROW(B3425)/TotalEtapas,0)),"")</f>
        <v/>
      </c>
      <c r="E3426" t="str">
        <f>IFERROR(VLOOKUP(tbEscolas[[#This Row],[COD ETPA]],tbEtapas[],2,FALSE),"")</f>
        <v/>
      </c>
      <c r="F3426" t="str">
        <f>IFERROR(VLOOKUP(tbEscolas[[#This Row],[COD ETPA]],tbEtapas[],3,FALSE),"")</f>
        <v/>
      </c>
    </row>
    <row r="3427" spans="1:6" x14ac:dyDescent="0.25">
      <c r="A3427" s="24" t="str">
        <f>_xlfn.XLOOKUP(tbEscolas[[#This Row],[ESCOLA]],tbNucleo[ESCOLA],tbNucleo[COD ESCOLA],"")</f>
        <v/>
      </c>
      <c r="B3427" t="str" cm="1">
        <f t="array" ref="B3427">IFERROR(INDEX(tbNucleo[ESCOLA],ROUNDUP(ROW(B3426)/TotalEtapas,0)),"")</f>
        <v/>
      </c>
      <c r="E3427" t="str">
        <f>IFERROR(VLOOKUP(tbEscolas[[#This Row],[COD ETPA]],tbEtapas[],2,FALSE),"")</f>
        <v/>
      </c>
      <c r="F3427" t="str">
        <f>IFERROR(VLOOKUP(tbEscolas[[#This Row],[COD ETPA]],tbEtapas[],3,FALSE),"")</f>
        <v/>
      </c>
    </row>
    <row r="3428" spans="1:6" x14ac:dyDescent="0.25">
      <c r="A3428" s="24" t="str">
        <f>_xlfn.XLOOKUP(tbEscolas[[#This Row],[ESCOLA]],tbNucleo[ESCOLA],tbNucleo[COD ESCOLA],"")</f>
        <v/>
      </c>
      <c r="B3428" t="str" cm="1">
        <f t="array" ref="B3428">IFERROR(INDEX(tbNucleo[ESCOLA],ROUNDUP(ROW(B3427)/TotalEtapas,0)),"")</f>
        <v/>
      </c>
      <c r="E3428" t="str">
        <f>IFERROR(VLOOKUP(tbEscolas[[#This Row],[COD ETPA]],tbEtapas[],2,FALSE),"")</f>
        <v/>
      </c>
      <c r="F3428" t="str">
        <f>IFERROR(VLOOKUP(tbEscolas[[#This Row],[COD ETPA]],tbEtapas[],3,FALSE),"")</f>
        <v/>
      </c>
    </row>
    <row r="3429" spans="1:6" x14ac:dyDescent="0.25">
      <c r="A3429" s="24" t="str">
        <f>_xlfn.XLOOKUP(tbEscolas[[#This Row],[ESCOLA]],tbNucleo[ESCOLA],tbNucleo[COD ESCOLA],"")</f>
        <v/>
      </c>
      <c r="B3429" t="str" cm="1">
        <f t="array" ref="B3429">IFERROR(INDEX(tbNucleo[ESCOLA],ROUNDUP(ROW(B3428)/TotalEtapas,0)),"")</f>
        <v/>
      </c>
      <c r="E3429" t="str">
        <f>IFERROR(VLOOKUP(tbEscolas[[#This Row],[COD ETPA]],tbEtapas[],2,FALSE),"")</f>
        <v/>
      </c>
      <c r="F3429" t="str">
        <f>IFERROR(VLOOKUP(tbEscolas[[#This Row],[COD ETPA]],tbEtapas[],3,FALSE),"")</f>
        <v/>
      </c>
    </row>
    <row r="3430" spans="1:6" x14ac:dyDescent="0.25">
      <c r="A3430" s="24" t="str">
        <f>_xlfn.XLOOKUP(tbEscolas[[#This Row],[ESCOLA]],tbNucleo[ESCOLA],tbNucleo[COD ESCOLA],"")</f>
        <v/>
      </c>
      <c r="B3430" t="str" cm="1">
        <f t="array" ref="B3430">IFERROR(INDEX(tbNucleo[ESCOLA],ROUNDUP(ROW(B3429)/TotalEtapas,0)),"")</f>
        <v/>
      </c>
      <c r="E3430" t="str">
        <f>IFERROR(VLOOKUP(tbEscolas[[#This Row],[COD ETPA]],tbEtapas[],2,FALSE),"")</f>
        <v/>
      </c>
      <c r="F3430" t="str">
        <f>IFERROR(VLOOKUP(tbEscolas[[#This Row],[COD ETPA]],tbEtapas[],3,FALSE),"")</f>
        <v/>
      </c>
    </row>
    <row r="3431" spans="1:6" x14ac:dyDescent="0.25">
      <c r="A3431" s="24" t="str">
        <f>_xlfn.XLOOKUP(tbEscolas[[#This Row],[ESCOLA]],tbNucleo[ESCOLA],tbNucleo[COD ESCOLA],"")</f>
        <v/>
      </c>
      <c r="B3431" t="str" cm="1">
        <f t="array" ref="B3431">IFERROR(INDEX(tbNucleo[ESCOLA],ROUNDUP(ROW(B3430)/TotalEtapas,0)),"")</f>
        <v/>
      </c>
      <c r="E3431" t="str">
        <f>IFERROR(VLOOKUP(tbEscolas[[#This Row],[COD ETPA]],tbEtapas[],2,FALSE),"")</f>
        <v/>
      </c>
      <c r="F3431" t="str">
        <f>IFERROR(VLOOKUP(tbEscolas[[#This Row],[COD ETPA]],tbEtapas[],3,FALSE),"")</f>
        <v/>
      </c>
    </row>
    <row r="3432" spans="1:6" x14ac:dyDescent="0.25">
      <c r="A3432" s="24" t="str">
        <f>_xlfn.XLOOKUP(tbEscolas[[#This Row],[ESCOLA]],tbNucleo[ESCOLA],tbNucleo[COD ESCOLA],"")</f>
        <v/>
      </c>
      <c r="B3432" t="str" cm="1">
        <f t="array" ref="B3432">IFERROR(INDEX(tbNucleo[ESCOLA],ROUNDUP(ROW(B3431)/TotalEtapas,0)),"")</f>
        <v/>
      </c>
      <c r="E3432" t="str">
        <f>IFERROR(VLOOKUP(tbEscolas[[#This Row],[COD ETPA]],tbEtapas[],2,FALSE),"")</f>
        <v/>
      </c>
      <c r="F3432" t="str">
        <f>IFERROR(VLOOKUP(tbEscolas[[#This Row],[COD ETPA]],tbEtapas[],3,FALSE),"")</f>
        <v/>
      </c>
    </row>
    <row r="3433" spans="1:6" x14ac:dyDescent="0.25">
      <c r="A3433" s="24" t="str">
        <f>_xlfn.XLOOKUP(tbEscolas[[#This Row],[ESCOLA]],tbNucleo[ESCOLA],tbNucleo[COD ESCOLA],"")</f>
        <v/>
      </c>
      <c r="B3433" t="str" cm="1">
        <f t="array" ref="B3433">IFERROR(INDEX(tbNucleo[ESCOLA],ROUNDUP(ROW(B3432)/TotalEtapas,0)),"")</f>
        <v/>
      </c>
      <c r="E3433" t="str">
        <f>IFERROR(VLOOKUP(tbEscolas[[#This Row],[COD ETPA]],tbEtapas[],2,FALSE),"")</f>
        <v/>
      </c>
      <c r="F3433" t="str">
        <f>IFERROR(VLOOKUP(tbEscolas[[#This Row],[COD ETPA]],tbEtapas[],3,FALSE),"")</f>
        <v/>
      </c>
    </row>
    <row r="3434" spans="1:6" x14ac:dyDescent="0.25">
      <c r="A3434" s="24" t="str">
        <f>_xlfn.XLOOKUP(tbEscolas[[#This Row],[ESCOLA]],tbNucleo[ESCOLA],tbNucleo[COD ESCOLA],"")</f>
        <v/>
      </c>
      <c r="B3434" t="str" cm="1">
        <f t="array" ref="B3434">IFERROR(INDEX(tbNucleo[ESCOLA],ROUNDUP(ROW(B3433)/TotalEtapas,0)),"")</f>
        <v/>
      </c>
      <c r="E3434" t="str">
        <f>IFERROR(VLOOKUP(tbEscolas[[#This Row],[COD ETPA]],tbEtapas[],2,FALSE),"")</f>
        <v/>
      </c>
      <c r="F3434" t="str">
        <f>IFERROR(VLOOKUP(tbEscolas[[#This Row],[COD ETPA]],tbEtapas[],3,FALSE),"")</f>
        <v/>
      </c>
    </row>
    <row r="3435" spans="1:6" x14ac:dyDescent="0.25">
      <c r="A3435" s="24" t="str">
        <f>_xlfn.XLOOKUP(tbEscolas[[#This Row],[ESCOLA]],tbNucleo[ESCOLA],tbNucleo[COD ESCOLA],"")</f>
        <v/>
      </c>
      <c r="B3435" t="str" cm="1">
        <f t="array" ref="B3435">IFERROR(INDEX(tbNucleo[ESCOLA],ROUNDUP(ROW(B3434)/TotalEtapas,0)),"")</f>
        <v/>
      </c>
      <c r="E3435" t="str">
        <f>IFERROR(VLOOKUP(tbEscolas[[#This Row],[COD ETPA]],tbEtapas[],2,FALSE),"")</f>
        <v/>
      </c>
      <c r="F3435" t="str">
        <f>IFERROR(VLOOKUP(tbEscolas[[#This Row],[COD ETPA]],tbEtapas[],3,FALSE),"")</f>
        <v/>
      </c>
    </row>
    <row r="3436" spans="1:6" x14ac:dyDescent="0.25">
      <c r="A3436" s="24" t="str">
        <f>_xlfn.XLOOKUP(tbEscolas[[#This Row],[ESCOLA]],tbNucleo[ESCOLA],tbNucleo[COD ESCOLA],"")</f>
        <v/>
      </c>
      <c r="B3436" t="str" cm="1">
        <f t="array" ref="B3436">IFERROR(INDEX(tbNucleo[ESCOLA],ROUNDUP(ROW(B3435)/TotalEtapas,0)),"")</f>
        <v/>
      </c>
      <c r="E3436" t="str">
        <f>IFERROR(VLOOKUP(tbEscolas[[#This Row],[COD ETPA]],tbEtapas[],2,FALSE),"")</f>
        <v/>
      </c>
      <c r="F3436" t="str">
        <f>IFERROR(VLOOKUP(tbEscolas[[#This Row],[COD ETPA]],tbEtapas[],3,FALSE),"")</f>
        <v/>
      </c>
    </row>
    <row r="3437" spans="1:6" x14ac:dyDescent="0.25">
      <c r="A3437" s="24" t="str">
        <f>_xlfn.XLOOKUP(tbEscolas[[#This Row],[ESCOLA]],tbNucleo[ESCOLA],tbNucleo[COD ESCOLA],"")</f>
        <v/>
      </c>
      <c r="B3437" t="str" cm="1">
        <f t="array" ref="B3437">IFERROR(INDEX(tbNucleo[ESCOLA],ROUNDUP(ROW(B3436)/TotalEtapas,0)),"")</f>
        <v/>
      </c>
      <c r="E3437" t="str">
        <f>IFERROR(VLOOKUP(tbEscolas[[#This Row],[COD ETPA]],tbEtapas[],2,FALSE),"")</f>
        <v/>
      </c>
      <c r="F3437" t="str">
        <f>IFERROR(VLOOKUP(tbEscolas[[#This Row],[COD ETPA]],tbEtapas[],3,FALSE),"")</f>
        <v/>
      </c>
    </row>
    <row r="3438" spans="1:6" x14ac:dyDescent="0.25">
      <c r="A3438" s="24" t="str">
        <f>_xlfn.XLOOKUP(tbEscolas[[#This Row],[ESCOLA]],tbNucleo[ESCOLA],tbNucleo[COD ESCOLA],"")</f>
        <v/>
      </c>
      <c r="B3438" t="str" cm="1">
        <f t="array" ref="B3438">IFERROR(INDEX(tbNucleo[ESCOLA],ROUNDUP(ROW(B3437)/TotalEtapas,0)),"")</f>
        <v/>
      </c>
      <c r="E3438" t="str">
        <f>IFERROR(VLOOKUP(tbEscolas[[#This Row],[COD ETPA]],tbEtapas[],2,FALSE),"")</f>
        <v/>
      </c>
      <c r="F3438" t="str">
        <f>IFERROR(VLOOKUP(tbEscolas[[#This Row],[COD ETPA]],tbEtapas[],3,FALSE),"")</f>
        <v/>
      </c>
    </row>
    <row r="3439" spans="1:6" x14ac:dyDescent="0.25">
      <c r="A3439" s="24" t="str">
        <f>_xlfn.XLOOKUP(tbEscolas[[#This Row],[ESCOLA]],tbNucleo[ESCOLA],tbNucleo[COD ESCOLA],"")</f>
        <v/>
      </c>
      <c r="B3439" t="str" cm="1">
        <f t="array" ref="B3439">IFERROR(INDEX(tbNucleo[ESCOLA],ROUNDUP(ROW(B3438)/TotalEtapas,0)),"")</f>
        <v/>
      </c>
      <c r="E3439" t="str">
        <f>IFERROR(VLOOKUP(tbEscolas[[#This Row],[COD ETPA]],tbEtapas[],2,FALSE),"")</f>
        <v/>
      </c>
      <c r="F3439" t="str">
        <f>IFERROR(VLOOKUP(tbEscolas[[#This Row],[COD ETPA]],tbEtapas[],3,FALSE),"")</f>
        <v/>
      </c>
    </row>
    <row r="3440" spans="1:6" x14ac:dyDescent="0.25">
      <c r="A3440" s="24" t="str">
        <f>_xlfn.XLOOKUP(tbEscolas[[#This Row],[ESCOLA]],tbNucleo[ESCOLA],tbNucleo[COD ESCOLA],"")</f>
        <v/>
      </c>
      <c r="B3440" t="str" cm="1">
        <f t="array" ref="B3440">IFERROR(INDEX(tbNucleo[ESCOLA],ROUNDUP(ROW(B3439)/TotalEtapas,0)),"")</f>
        <v/>
      </c>
      <c r="E3440" t="str">
        <f>IFERROR(VLOOKUP(tbEscolas[[#This Row],[COD ETPA]],tbEtapas[],2,FALSE),"")</f>
        <v/>
      </c>
      <c r="F3440" t="str">
        <f>IFERROR(VLOOKUP(tbEscolas[[#This Row],[COD ETPA]],tbEtapas[],3,FALSE),"")</f>
        <v/>
      </c>
    </row>
    <row r="3441" spans="1:6" x14ac:dyDescent="0.25">
      <c r="A3441" s="24" t="str">
        <f>_xlfn.XLOOKUP(tbEscolas[[#This Row],[ESCOLA]],tbNucleo[ESCOLA],tbNucleo[COD ESCOLA],"")</f>
        <v/>
      </c>
      <c r="B3441" t="str" cm="1">
        <f t="array" ref="B3441">IFERROR(INDEX(tbNucleo[ESCOLA],ROUNDUP(ROW(B3440)/TotalEtapas,0)),"")</f>
        <v/>
      </c>
      <c r="E3441" t="str">
        <f>IFERROR(VLOOKUP(tbEscolas[[#This Row],[COD ETPA]],tbEtapas[],2,FALSE),"")</f>
        <v/>
      </c>
      <c r="F3441" t="str">
        <f>IFERROR(VLOOKUP(tbEscolas[[#This Row],[COD ETPA]],tbEtapas[],3,FALSE),"")</f>
        <v/>
      </c>
    </row>
    <row r="3442" spans="1:6" x14ac:dyDescent="0.25">
      <c r="A3442" s="24" t="str">
        <f>_xlfn.XLOOKUP(tbEscolas[[#This Row],[ESCOLA]],tbNucleo[ESCOLA],tbNucleo[COD ESCOLA],"")</f>
        <v/>
      </c>
      <c r="B3442" t="str" cm="1">
        <f t="array" ref="B3442">IFERROR(INDEX(tbNucleo[ESCOLA],ROUNDUP(ROW(B3441)/TotalEtapas,0)),"")</f>
        <v/>
      </c>
      <c r="E3442" t="str">
        <f>IFERROR(VLOOKUP(tbEscolas[[#This Row],[COD ETPA]],tbEtapas[],2,FALSE),"")</f>
        <v/>
      </c>
      <c r="F3442" t="str">
        <f>IFERROR(VLOOKUP(tbEscolas[[#This Row],[COD ETPA]],tbEtapas[],3,FALSE),"")</f>
        <v/>
      </c>
    </row>
    <row r="3443" spans="1:6" x14ac:dyDescent="0.25">
      <c r="A3443" s="24" t="str">
        <f>_xlfn.XLOOKUP(tbEscolas[[#This Row],[ESCOLA]],tbNucleo[ESCOLA],tbNucleo[COD ESCOLA],"")</f>
        <v/>
      </c>
      <c r="B3443" t="str" cm="1">
        <f t="array" ref="B3443">IFERROR(INDEX(tbNucleo[ESCOLA],ROUNDUP(ROW(B3442)/TotalEtapas,0)),"")</f>
        <v/>
      </c>
      <c r="E3443" t="str">
        <f>IFERROR(VLOOKUP(tbEscolas[[#This Row],[COD ETPA]],tbEtapas[],2,FALSE),"")</f>
        <v/>
      </c>
      <c r="F3443" t="str">
        <f>IFERROR(VLOOKUP(tbEscolas[[#This Row],[COD ETPA]],tbEtapas[],3,FALSE),"")</f>
        <v/>
      </c>
    </row>
    <row r="3444" spans="1:6" x14ac:dyDescent="0.25">
      <c r="A3444" s="24" t="str">
        <f>_xlfn.XLOOKUP(tbEscolas[[#This Row],[ESCOLA]],tbNucleo[ESCOLA],tbNucleo[COD ESCOLA],"")</f>
        <v/>
      </c>
      <c r="B3444" t="str" cm="1">
        <f t="array" ref="B3444">IFERROR(INDEX(tbNucleo[ESCOLA],ROUNDUP(ROW(B3443)/TotalEtapas,0)),"")</f>
        <v/>
      </c>
      <c r="E3444" t="str">
        <f>IFERROR(VLOOKUP(tbEscolas[[#This Row],[COD ETPA]],tbEtapas[],2,FALSE),"")</f>
        <v/>
      </c>
      <c r="F3444" t="str">
        <f>IFERROR(VLOOKUP(tbEscolas[[#This Row],[COD ETPA]],tbEtapas[],3,FALSE),"")</f>
        <v/>
      </c>
    </row>
    <row r="3445" spans="1:6" x14ac:dyDescent="0.25">
      <c r="A3445" s="24" t="str">
        <f>_xlfn.XLOOKUP(tbEscolas[[#This Row],[ESCOLA]],tbNucleo[ESCOLA],tbNucleo[COD ESCOLA],"")</f>
        <v/>
      </c>
      <c r="B3445" t="str" cm="1">
        <f t="array" ref="B3445">IFERROR(INDEX(tbNucleo[ESCOLA],ROUNDUP(ROW(B3444)/TotalEtapas,0)),"")</f>
        <v/>
      </c>
      <c r="E3445" t="str">
        <f>IFERROR(VLOOKUP(tbEscolas[[#This Row],[COD ETPA]],tbEtapas[],2,FALSE),"")</f>
        <v/>
      </c>
      <c r="F3445" t="str">
        <f>IFERROR(VLOOKUP(tbEscolas[[#This Row],[COD ETPA]],tbEtapas[],3,FALSE),"")</f>
        <v/>
      </c>
    </row>
    <row r="3446" spans="1:6" x14ac:dyDescent="0.25">
      <c r="A3446" s="24" t="str">
        <f>_xlfn.XLOOKUP(tbEscolas[[#This Row],[ESCOLA]],tbNucleo[ESCOLA],tbNucleo[COD ESCOLA],"")</f>
        <v/>
      </c>
      <c r="B3446" t="str" cm="1">
        <f t="array" ref="B3446">IFERROR(INDEX(tbNucleo[ESCOLA],ROUNDUP(ROW(B3445)/TotalEtapas,0)),"")</f>
        <v/>
      </c>
      <c r="E3446" t="str">
        <f>IFERROR(VLOOKUP(tbEscolas[[#This Row],[COD ETPA]],tbEtapas[],2,FALSE),"")</f>
        <v/>
      </c>
      <c r="F3446" t="str">
        <f>IFERROR(VLOOKUP(tbEscolas[[#This Row],[COD ETPA]],tbEtapas[],3,FALSE),"")</f>
        <v/>
      </c>
    </row>
    <row r="3447" spans="1:6" x14ac:dyDescent="0.25">
      <c r="A3447" s="24" t="str">
        <f>_xlfn.XLOOKUP(tbEscolas[[#This Row],[ESCOLA]],tbNucleo[ESCOLA],tbNucleo[COD ESCOLA],"")</f>
        <v/>
      </c>
      <c r="B3447" t="str" cm="1">
        <f t="array" ref="B3447">IFERROR(INDEX(tbNucleo[ESCOLA],ROUNDUP(ROW(B3446)/TotalEtapas,0)),"")</f>
        <v/>
      </c>
      <c r="E3447" t="str">
        <f>IFERROR(VLOOKUP(tbEscolas[[#This Row],[COD ETPA]],tbEtapas[],2,FALSE),"")</f>
        <v/>
      </c>
      <c r="F3447" t="str">
        <f>IFERROR(VLOOKUP(tbEscolas[[#This Row],[COD ETPA]],tbEtapas[],3,FALSE),"")</f>
        <v/>
      </c>
    </row>
    <row r="3448" spans="1:6" x14ac:dyDescent="0.25">
      <c r="A3448" s="24" t="str">
        <f>_xlfn.XLOOKUP(tbEscolas[[#This Row],[ESCOLA]],tbNucleo[ESCOLA],tbNucleo[COD ESCOLA],"")</f>
        <v/>
      </c>
      <c r="B3448" t="str" cm="1">
        <f t="array" ref="B3448">IFERROR(INDEX(tbNucleo[ESCOLA],ROUNDUP(ROW(B3447)/TotalEtapas,0)),"")</f>
        <v/>
      </c>
      <c r="E3448" t="str">
        <f>IFERROR(VLOOKUP(tbEscolas[[#This Row],[COD ETPA]],tbEtapas[],2,FALSE),"")</f>
        <v/>
      </c>
      <c r="F3448" t="str">
        <f>IFERROR(VLOOKUP(tbEscolas[[#This Row],[COD ETPA]],tbEtapas[],3,FALSE),"")</f>
        <v/>
      </c>
    </row>
    <row r="3449" spans="1:6" x14ac:dyDescent="0.25">
      <c r="A3449" s="24" t="str">
        <f>_xlfn.XLOOKUP(tbEscolas[[#This Row],[ESCOLA]],tbNucleo[ESCOLA],tbNucleo[COD ESCOLA],"")</f>
        <v/>
      </c>
      <c r="B3449" t="str" cm="1">
        <f t="array" ref="B3449">IFERROR(INDEX(tbNucleo[ESCOLA],ROUNDUP(ROW(B3448)/TotalEtapas,0)),"")</f>
        <v/>
      </c>
      <c r="E3449" t="str">
        <f>IFERROR(VLOOKUP(tbEscolas[[#This Row],[COD ETPA]],tbEtapas[],2,FALSE),"")</f>
        <v/>
      </c>
      <c r="F3449" t="str">
        <f>IFERROR(VLOOKUP(tbEscolas[[#This Row],[COD ETPA]],tbEtapas[],3,FALSE),"")</f>
        <v/>
      </c>
    </row>
    <row r="3450" spans="1:6" x14ac:dyDescent="0.25">
      <c r="A3450" s="24" t="str">
        <f>_xlfn.XLOOKUP(tbEscolas[[#This Row],[ESCOLA]],tbNucleo[ESCOLA],tbNucleo[COD ESCOLA],"")</f>
        <v/>
      </c>
      <c r="B3450" t="str" cm="1">
        <f t="array" ref="B3450">IFERROR(INDEX(tbNucleo[ESCOLA],ROUNDUP(ROW(B3449)/TotalEtapas,0)),"")</f>
        <v/>
      </c>
      <c r="E3450" t="str">
        <f>IFERROR(VLOOKUP(tbEscolas[[#This Row],[COD ETPA]],tbEtapas[],2,FALSE),"")</f>
        <v/>
      </c>
      <c r="F3450" t="str">
        <f>IFERROR(VLOOKUP(tbEscolas[[#This Row],[COD ETPA]],tbEtapas[],3,FALSE),"")</f>
        <v/>
      </c>
    </row>
    <row r="3451" spans="1:6" x14ac:dyDescent="0.25">
      <c r="A3451" s="24" t="str">
        <f>_xlfn.XLOOKUP(tbEscolas[[#This Row],[ESCOLA]],tbNucleo[ESCOLA],tbNucleo[COD ESCOLA],"")</f>
        <v/>
      </c>
      <c r="B3451" t="str" cm="1">
        <f t="array" ref="B3451">IFERROR(INDEX(tbNucleo[ESCOLA],ROUNDUP(ROW(B3450)/TotalEtapas,0)),"")</f>
        <v/>
      </c>
      <c r="E3451" t="str">
        <f>IFERROR(VLOOKUP(tbEscolas[[#This Row],[COD ETPA]],tbEtapas[],2,FALSE),"")</f>
        <v/>
      </c>
      <c r="F3451" t="str">
        <f>IFERROR(VLOOKUP(tbEscolas[[#This Row],[COD ETPA]],tbEtapas[],3,FALSE),"")</f>
        <v/>
      </c>
    </row>
    <row r="3452" spans="1:6" x14ac:dyDescent="0.25">
      <c r="A3452" s="24" t="str">
        <f>_xlfn.XLOOKUP(tbEscolas[[#This Row],[ESCOLA]],tbNucleo[ESCOLA],tbNucleo[COD ESCOLA],"")</f>
        <v/>
      </c>
      <c r="B3452" t="str" cm="1">
        <f t="array" ref="B3452">IFERROR(INDEX(tbNucleo[ESCOLA],ROUNDUP(ROW(B3451)/TotalEtapas,0)),"")</f>
        <v/>
      </c>
      <c r="E3452" t="str">
        <f>IFERROR(VLOOKUP(tbEscolas[[#This Row],[COD ETPA]],tbEtapas[],2,FALSE),"")</f>
        <v/>
      </c>
      <c r="F3452" t="str">
        <f>IFERROR(VLOOKUP(tbEscolas[[#This Row],[COD ETPA]],tbEtapas[],3,FALSE),"")</f>
        <v/>
      </c>
    </row>
    <row r="3453" spans="1:6" x14ac:dyDescent="0.25">
      <c r="A3453" s="24" t="str">
        <f>_xlfn.XLOOKUP(tbEscolas[[#This Row],[ESCOLA]],tbNucleo[ESCOLA],tbNucleo[COD ESCOLA],"")</f>
        <v/>
      </c>
      <c r="B3453" t="str" cm="1">
        <f t="array" ref="B3453">IFERROR(INDEX(tbNucleo[ESCOLA],ROUNDUP(ROW(B3452)/TotalEtapas,0)),"")</f>
        <v/>
      </c>
      <c r="E3453" t="str">
        <f>IFERROR(VLOOKUP(tbEscolas[[#This Row],[COD ETPA]],tbEtapas[],2,FALSE),"")</f>
        <v/>
      </c>
      <c r="F3453" t="str">
        <f>IFERROR(VLOOKUP(tbEscolas[[#This Row],[COD ETPA]],tbEtapas[],3,FALSE),"")</f>
        <v/>
      </c>
    </row>
    <row r="3454" spans="1:6" x14ac:dyDescent="0.25">
      <c r="A3454" s="24" t="str">
        <f>_xlfn.XLOOKUP(tbEscolas[[#This Row],[ESCOLA]],tbNucleo[ESCOLA],tbNucleo[COD ESCOLA],"")</f>
        <v/>
      </c>
      <c r="B3454" t="str" cm="1">
        <f t="array" ref="B3454">IFERROR(INDEX(tbNucleo[ESCOLA],ROUNDUP(ROW(B3453)/TotalEtapas,0)),"")</f>
        <v/>
      </c>
      <c r="E3454" t="str">
        <f>IFERROR(VLOOKUP(tbEscolas[[#This Row],[COD ETPA]],tbEtapas[],2,FALSE),"")</f>
        <v/>
      </c>
      <c r="F3454" t="str">
        <f>IFERROR(VLOOKUP(tbEscolas[[#This Row],[COD ETPA]],tbEtapas[],3,FALSE),"")</f>
        <v/>
      </c>
    </row>
    <row r="3455" spans="1:6" x14ac:dyDescent="0.25">
      <c r="A3455" s="24" t="str">
        <f>_xlfn.XLOOKUP(tbEscolas[[#This Row],[ESCOLA]],tbNucleo[ESCOLA],tbNucleo[COD ESCOLA],"")</f>
        <v/>
      </c>
      <c r="B3455" t="str" cm="1">
        <f t="array" ref="B3455">IFERROR(INDEX(tbNucleo[ESCOLA],ROUNDUP(ROW(B3454)/TotalEtapas,0)),"")</f>
        <v/>
      </c>
      <c r="E3455" t="str">
        <f>IFERROR(VLOOKUP(tbEscolas[[#This Row],[COD ETPA]],tbEtapas[],2,FALSE),"")</f>
        <v/>
      </c>
      <c r="F3455" t="str">
        <f>IFERROR(VLOOKUP(tbEscolas[[#This Row],[COD ETPA]],tbEtapas[],3,FALSE),"")</f>
        <v/>
      </c>
    </row>
    <row r="3456" spans="1:6" x14ac:dyDescent="0.25">
      <c r="A3456" s="24" t="str">
        <f>_xlfn.XLOOKUP(tbEscolas[[#This Row],[ESCOLA]],tbNucleo[ESCOLA],tbNucleo[COD ESCOLA],"")</f>
        <v/>
      </c>
      <c r="B3456" t="str" cm="1">
        <f t="array" ref="B3456">IFERROR(INDEX(tbNucleo[ESCOLA],ROUNDUP(ROW(B3455)/TotalEtapas,0)),"")</f>
        <v/>
      </c>
      <c r="E3456" t="str">
        <f>IFERROR(VLOOKUP(tbEscolas[[#This Row],[COD ETPA]],tbEtapas[],2,FALSE),"")</f>
        <v/>
      </c>
      <c r="F3456" t="str">
        <f>IFERROR(VLOOKUP(tbEscolas[[#This Row],[COD ETPA]],tbEtapas[],3,FALSE),"")</f>
        <v/>
      </c>
    </row>
    <row r="3457" spans="1:6" x14ac:dyDescent="0.25">
      <c r="A3457" s="24" t="str">
        <f>_xlfn.XLOOKUP(tbEscolas[[#This Row],[ESCOLA]],tbNucleo[ESCOLA],tbNucleo[COD ESCOLA],"")</f>
        <v/>
      </c>
      <c r="B3457" t="str" cm="1">
        <f t="array" ref="B3457">IFERROR(INDEX(tbNucleo[ESCOLA],ROUNDUP(ROW(B3456)/TotalEtapas,0)),"")</f>
        <v/>
      </c>
      <c r="E3457" t="str">
        <f>IFERROR(VLOOKUP(tbEscolas[[#This Row],[COD ETPA]],tbEtapas[],2,FALSE),"")</f>
        <v/>
      </c>
      <c r="F3457" t="str">
        <f>IFERROR(VLOOKUP(tbEscolas[[#This Row],[COD ETPA]],tbEtapas[],3,FALSE),"")</f>
        <v/>
      </c>
    </row>
    <row r="3458" spans="1:6" x14ac:dyDescent="0.25">
      <c r="A3458" s="24" t="str">
        <f>_xlfn.XLOOKUP(tbEscolas[[#This Row],[ESCOLA]],tbNucleo[ESCOLA],tbNucleo[COD ESCOLA],"")</f>
        <v/>
      </c>
      <c r="B3458" t="str" cm="1">
        <f t="array" ref="B3458">IFERROR(INDEX(tbNucleo[ESCOLA],ROUNDUP(ROW(B3457)/TotalEtapas,0)),"")</f>
        <v/>
      </c>
      <c r="E3458" t="str">
        <f>IFERROR(VLOOKUP(tbEscolas[[#This Row],[COD ETPA]],tbEtapas[],2,FALSE),"")</f>
        <v/>
      </c>
      <c r="F3458" t="str">
        <f>IFERROR(VLOOKUP(tbEscolas[[#This Row],[COD ETPA]],tbEtapas[],3,FALSE),"")</f>
        <v/>
      </c>
    </row>
    <row r="3459" spans="1:6" x14ac:dyDescent="0.25">
      <c r="A3459" s="24" t="str">
        <f>_xlfn.XLOOKUP(tbEscolas[[#This Row],[ESCOLA]],tbNucleo[ESCOLA],tbNucleo[COD ESCOLA],"")</f>
        <v/>
      </c>
      <c r="B3459" t="str" cm="1">
        <f t="array" ref="B3459">IFERROR(INDEX(tbNucleo[ESCOLA],ROUNDUP(ROW(B3458)/TotalEtapas,0)),"")</f>
        <v/>
      </c>
      <c r="E3459" t="str">
        <f>IFERROR(VLOOKUP(tbEscolas[[#This Row],[COD ETPA]],tbEtapas[],2,FALSE),"")</f>
        <v/>
      </c>
      <c r="F3459" t="str">
        <f>IFERROR(VLOOKUP(tbEscolas[[#This Row],[COD ETPA]],tbEtapas[],3,FALSE),"")</f>
        <v/>
      </c>
    </row>
    <row r="3460" spans="1:6" x14ac:dyDescent="0.25">
      <c r="A3460" s="24" t="str">
        <f>_xlfn.XLOOKUP(tbEscolas[[#This Row],[ESCOLA]],tbNucleo[ESCOLA],tbNucleo[COD ESCOLA],"")</f>
        <v/>
      </c>
      <c r="B3460" t="str" cm="1">
        <f t="array" ref="B3460">IFERROR(INDEX(tbNucleo[ESCOLA],ROUNDUP(ROW(B3459)/TotalEtapas,0)),"")</f>
        <v/>
      </c>
      <c r="E3460" t="str">
        <f>IFERROR(VLOOKUP(tbEscolas[[#This Row],[COD ETPA]],tbEtapas[],2,FALSE),"")</f>
        <v/>
      </c>
      <c r="F3460" t="str">
        <f>IFERROR(VLOOKUP(tbEscolas[[#This Row],[COD ETPA]],tbEtapas[],3,FALSE),"")</f>
        <v/>
      </c>
    </row>
    <row r="3461" spans="1:6" x14ac:dyDescent="0.25">
      <c r="A3461" s="24" t="str">
        <f>_xlfn.XLOOKUP(tbEscolas[[#This Row],[ESCOLA]],tbNucleo[ESCOLA],tbNucleo[COD ESCOLA],"")</f>
        <v/>
      </c>
      <c r="B3461" t="str" cm="1">
        <f t="array" ref="B3461">IFERROR(INDEX(tbNucleo[ESCOLA],ROUNDUP(ROW(B3460)/TotalEtapas,0)),"")</f>
        <v/>
      </c>
      <c r="E3461" t="str">
        <f>IFERROR(VLOOKUP(tbEscolas[[#This Row],[COD ETPA]],tbEtapas[],2,FALSE),"")</f>
        <v/>
      </c>
      <c r="F3461" t="str">
        <f>IFERROR(VLOOKUP(tbEscolas[[#This Row],[COD ETPA]],tbEtapas[],3,FALSE),"")</f>
        <v/>
      </c>
    </row>
    <row r="3462" spans="1:6" x14ac:dyDescent="0.25">
      <c r="A3462" s="24" t="str">
        <f>_xlfn.XLOOKUP(tbEscolas[[#This Row],[ESCOLA]],tbNucleo[ESCOLA],tbNucleo[COD ESCOLA],"")</f>
        <v/>
      </c>
      <c r="B3462" t="str" cm="1">
        <f t="array" ref="B3462">IFERROR(INDEX(tbNucleo[ESCOLA],ROUNDUP(ROW(B3461)/TotalEtapas,0)),"")</f>
        <v/>
      </c>
      <c r="E3462" t="str">
        <f>IFERROR(VLOOKUP(tbEscolas[[#This Row],[COD ETPA]],tbEtapas[],2,FALSE),"")</f>
        <v/>
      </c>
      <c r="F3462" t="str">
        <f>IFERROR(VLOOKUP(tbEscolas[[#This Row],[COD ETPA]],tbEtapas[],3,FALSE),"")</f>
        <v/>
      </c>
    </row>
    <row r="3463" spans="1:6" x14ac:dyDescent="0.25">
      <c r="A3463" s="24" t="str">
        <f>_xlfn.XLOOKUP(tbEscolas[[#This Row],[ESCOLA]],tbNucleo[ESCOLA],tbNucleo[COD ESCOLA],"")</f>
        <v/>
      </c>
      <c r="B3463" t="str" cm="1">
        <f t="array" ref="B3463">IFERROR(INDEX(tbNucleo[ESCOLA],ROUNDUP(ROW(B3462)/TotalEtapas,0)),"")</f>
        <v/>
      </c>
      <c r="E3463" t="str">
        <f>IFERROR(VLOOKUP(tbEscolas[[#This Row],[COD ETPA]],tbEtapas[],2,FALSE),"")</f>
        <v/>
      </c>
      <c r="F3463" t="str">
        <f>IFERROR(VLOOKUP(tbEscolas[[#This Row],[COD ETPA]],tbEtapas[],3,FALSE),"")</f>
        <v/>
      </c>
    </row>
    <row r="3464" spans="1:6" x14ac:dyDescent="0.25">
      <c r="A3464" s="24" t="str">
        <f>_xlfn.XLOOKUP(tbEscolas[[#This Row],[ESCOLA]],tbNucleo[ESCOLA],tbNucleo[COD ESCOLA],"")</f>
        <v/>
      </c>
      <c r="B3464" t="str" cm="1">
        <f t="array" ref="B3464">IFERROR(INDEX(tbNucleo[ESCOLA],ROUNDUP(ROW(B3463)/TotalEtapas,0)),"")</f>
        <v/>
      </c>
      <c r="E3464" t="str">
        <f>IFERROR(VLOOKUP(tbEscolas[[#This Row],[COD ETPA]],tbEtapas[],2,FALSE),"")</f>
        <v/>
      </c>
      <c r="F3464" t="str">
        <f>IFERROR(VLOOKUP(tbEscolas[[#This Row],[COD ETPA]],tbEtapas[],3,FALSE),"")</f>
        <v/>
      </c>
    </row>
    <row r="3465" spans="1:6" x14ac:dyDescent="0.25">
      <c r="A3465" s="24" t="str">
        <f>_xlfn.XLOOKUP(tbEscolas[[#This Row],[ESCOLA]],tbNucleo[ESCOLA],tbNucleo[COD ESCOLA],"")</f>
        <v/>
      </c>
      <c r="B3465" t="str" cm="1">
        <f t="array" ref="B3465">IFERROR(INDEX(tbNucleo[ESCOLA],ROUNDUP(ROW(B3464)/TotalEtapas,0)),"")</f>
        <v/>
      </c>
      <c r="E3465" t="str">
        <f>IFERROR(VLOOKUP(tbEscolas[[#This Row],[COD ETPA]],tbEtapas[],2,FALSE),"")</f>
        <v/>
      </c>
      <c r="F3465" t="str">
        <f>IFERROR(VLOOKUP(tbEscolas[[#This Row],[COD ETPA]],tbEtapas[],3,FALSE),"")</f>
        <v/>
      </c>
    </row>
    <row r="3466" spans="1:6" x14ac:dyDescent="0.25">
      <c r="A3466" s="24" t="str">
        <f>_xlfn.XLOOKUP(tbEscolas[[#This Row],[ESCOLA]],tbNucleo[ESCOLA],tbNucleo[COD ESCOLA],"")</f>
        <v/>
      </c>
      <c r="B3466" t="str" cm="1">
        <f t="array" ref="B3466">IFERROR(INDEX(tbNucleo[ESCOLA],ROUNDUP(ROW(B3465)/TotalEtapas,0)),"")</f>
        <v/>
      </c>
      <c r="E3466" t="str">
        <f>IFERROR(VLOOKUP(tbEscolas[[#This Row],[COD ETPA]],tbEtapas[],2,FALSE),"")</f>
        <v/>
      </c>
      <c r="F3466" t="str">
        <f>IFERROR(VLOOKUP(tbEscolas[[#This Row],[COD ETPA]],tbEtapas[],3,FALSE),"")</f>
        <v/>
      </c>
    </row>
    <row r="3467" spans="1:6" x14ac:dyDescent="0.25">
      <c r="A3467" s="24" t="str">
        <f>_xlfn.XLOOKUP(tbEscolas[[#This Row],[ESCOLA]],tbNucleo[ESCOLA],tbNucleo[COD ESCOLA],"")</f>
        <v/>
      </c>
      <c r="B3467" t="str" cm="1">
        <f t="array" ref="B3467">IFERROR(INDEX(tbNucleo[ESCOLA],ROUNDUP(ROW(B3466)/TotalEtapas,0)),"")</f>
        <v/>
      </c>
      <c r="E3467" t="str">
        <f>IFERROR(VLOOKUP(tbEscolas[[#This Row],[COD ETPA]],tbEtapas[],2,FALSE),"")</f>
        <v/>
      </c>
      <c r="F3467" t="str">
        <f>IFERROR(VLOOKUP(tbEscolas[[#This Row],[COD ETPA]],tbEtapas[],3,FALSE),"")</f>
        <v/>
      </c>
    </row>
    <row r="3468" spans="1:6" x14ac:dyDescent="0.25">
      <c r="A3468" s="24" t="str">
        <f>_xlfn.XLOOKUP(tbEscolas[[#This Row],[ESCOLA]],tbNucleo[ESCOLA],tbNucleo[COD ESCOLA],"")</f>
        <v/>
      </c>
      <c r="B3468" t="str" cm="1">
        <f t="array" ref="B3468">IFERROR(INDEX(tbNucleo[ESCOLA],ROUNDUP(ROW(B3467)/TotalEtapas,0)),"")</f>
        <v/>
      </c>
      <c r="E3468" t="str">
        <f>IFERROR(VLOOKUP(tbEscolas[[#This Row],[COD ETPA]],tbEtapas[],2,FALSE),"")</f>
        <v/>
      </c>
      <c r="F3468" t="str">
        <f>IFERROR(VLOOKUP(tbEscolas[[#This Row],[COD ETPA]],tbEtapas[],3,FALSE),"")</f>
        <v/>
      </c>
    </row>
    <row r="3469" spans="1:6" x14ac:dyDescent="0.25">
      <c r="A3469" s="24" t="str">
        <f>_xlfn.XLOOKUP(tbEscolas[[#This Row],[ESCOLA]],tbNucleo[ESCOLA],tbNucleo[COD ESCOLA],"")</f>
        <v/>
      </c>
      <c r="B3469" t="str" cm="1">
        <f t="array" ref="B3469">IFERROR(INDEX(tbNucleo[ESCOLA],ROUNDUP(ROW(B3468)/TotalEtapas,0)),"")</f>
        <v/>
      </c>
      <c r="E3469" t="str">
        <f>IFERROR(VLOOKUP(tbEscolas[[#This Row],[COD ETPA]],tbEtapas[],2,FALSE),"")</f>
        <v/>
      </c>
      <c r="F3469" t="str">
        <f>IFERROR(VLOOKUP(tbEscolas[[#This Row],[COD ETPA]],tbEtapas[],3,FALSE),"")</f>
        <v/>
      </c>
    </row>
    <row r="3470" spans="1:6" x14ac:dyDescent="0.25">
      <c r="A3470" s="24" t="str">
        <f>_xlfn.XLOOKUP(tbEscolas[[#This Row],[ESCOLA]],tbNucleo[ESCOLA],tbNucleo[COD ESCOLA],"")</f>
        <v/>
      </c>
      <c r="B3470" t="str" cm="1">
        <f t="array" ref="B3470">IFERROR(INDEX(tbNucleo[ESCOLA],ROUNDUP(ROW(B3469)/TotalEtapas,0)),"")</f>
        <v/>
      </c>
      <c r="E3470" t="str">
        <f>IFERROR(VLOOKUP(tbEscolas[[#This Row],[COD ETPA]],tbEtapas[],2,FALSE),"")</f>
        <v/>
      </c>
      <c r="F3470" t="str">
        <f>IFERROR(VLOOKUP(tbEscolas[[#This Row],[COD ETPA]],tbEtapas[],3,FALSE),"")</f>
        <v/>
      </c>
    </row>
    <row r="3471" spans="1:6" x14ac:dyDescent="0.25">
      <c r="A3471" s="24" t="str">
        <f>_xlfn.XLOOKUP(tbEscolas[[#This Row],[ESCOLA]],tbNucleo[ESCOLA],tbNucleo[COD ESCOLA],"")</f>
        <v/>
      </c>
      <c r="B3471" t="str" cm="1">
        <f t="array" ref="B3471">IFERROR(INDEX(tbNucleo[ESCOLA],ROUNDUP(ROW(B3470)/TotalEtapas,0)),"")</f>
        <v/>
      </c>
      <c r="E3471" t="str">
        <f>IFERROR(VLOOKUP(tbEscolas[[#This Row],[COD ETPA]],tbEtapas[],2,FALSE),"")</f>
        <v/>
      </c>
      <c r="F3471" t="str">
        <f>IFERROR(VLOOKUP(tbEscolas[[#This Row],[COD ETPA]],tbEtapas[],3,FALSE),"")</f>
        <v/>
      </c>
    </row>
    <row r="3472" spans="1:6" x14ac:dyDescent="0.25">
      <c r="A3472" s="24" t="str">
        <f>_xlfn.XLOOKUP(tbEscolas[[#This Row],[ESCOLA]],tbNucleo[ESCOLA],tbNucleo[COD ESCOLA],"")</f>
        <v/>
      </c>
      <c r="B3472" t="str" cm="1">
        <f t="array" ref="B3472">IFERROR(INDEX(tbNucleo[ESCOLA],ROUNDUP(ROW(B3471)/TotalEtapas,0)),"")</f>
        <v/>
      </c>
      <c r="E3472" t="str">
        <f>IFERROR(VLOOKUP(tbEscolas[[#This Row],[COD ETPA]],tbEtapas[],2,FALSE),"")</f>
        <v/>
      </c>
      <c r="F3472" t="str">
        <f>IFERROR(VLOOKUP(tbEscolas[[#This Row],[COD ETPA]],tbEtapas[],3,FALSE),"")</f>
        <v/>
      </c>
    </row>
    <row r="3473" spans="1:6" x14ac:dyDescent="0.25">
      <c r="A3473" s="24" t="str">
        <f>_xlfn.XLOOKUP(tbEscolas[[#This Row],[ESCOLA]],tbNucleo[ESCOLA],tbNucleo[COD ESCOLA],"")</f>
        <v/>
      </c>
      <c r="B3473" t="str" cm="1">
        <f t="array" ref="B3473">IFERROR(INDEX(tbNucleo[ESCOLA],ROUNDUP(ROW(B3472)/TotalEtapas,0)),"")</f>
        <v/>
      </c>
      <c r="E3473" t="str">
        <f>IFERROR(VLOOKUP(tbEscolas[[#This Row],[COD ETPA]],tbEtapas[],2,FALSE),"")</f>
        <v/>
      </c>
      <c r="F3473" t="str">
        <f>IFERROR(VLOOKUP(tbEscolas[[#This Row],[COD ETPA]],tbEtapas[],3,FALSE),"")</f>
        <v/>
      </c>
    </row>
    <row r="3474" spans="1:6" x14ac:dyDescent="0.25">
      <c r="A3474" s="24" t="str">
        <f>_xlfn.XLOOKUP(tbEscolas[[#This Row],[ESCOLA]],tbNucleo[ESCOLA],tbNucleo[COD ESCOLA],"")</f>
        <v/>
      </c>
      <c r="B3474" t="str" cm="1">
        <f t="array" ref="B3474">IFERROR(INDEX(tbNucleo[ESCOLA],ROUNDUP(ROW(B3473)/TotalEtapas,0)),"")</f>
        <v/>
      </c>
      <c r="E3474" t="str">
        <f>IFERROR(VLOOKUP(tbEscolas[[#This Row],[COD ETPA]],tbEtapas[],2,FALSE),"")</f>
        <v/>
      </c>
      <c r="F3474" t="str">
        <f>IFERROR(VLOOKUP(tbEscolas[[#This Row],[COD ETPA]],tbEtapas[],3,FALSE),"")</f>
        <v/>
      </c>
    </row>
    <row r="3475" spans="1:6" x14ac:dyDescent="0.25">
      <c r="A3475" s="24" t="str">
        <f>_xlfn.XLOOKUP(tbEscolas[[#This Row],[ESCOLA]],tbNucleo[ESCOLA],tbNucleo[COD ESCOLA],"")</f>
        <v/>
      </c>
      <c r="B3475" t="str" cm="1">
        <f t="array" ref="B3475">IFERROR(INDEX(tbNucleo[ESCOLA],ROUNDUP(ROW(B3474)/TotalEtapas,0)),"")</f>
        <v/>
      </c>
      <c r="E3475" t="str">
        <f>IFERROR(VLOOKUP(tbEscolas[[#This Row],[COD ETPA]],tbEtapas[],2,FALSE),"")</f>
        <v/>
      </c>
      <c r="F3475" t="str">
        <f>IFERROR(VLOOKUP(tbEscolas[[#This Row],[COD ETPA]],tbEtapas[],3,FALSE),"")</f>
        <v/>
      </c>
    </row>
    <row r="3476" spans="1:6" x14ac:dyDescent="0.25">
      <c r="A3476" s="24" t="str">
        <f>_xlfn.XLOOKUP(tbEscolas[[#This Row],[ESCOLA]],tbNucleo[ESCOLA],tbNucleo[COD ESCOLA],"")</f>
        <v/>
      </c>
      <c r="B3476" t="str" cm="1">
        <f t="array" ref="B3476">IFERROR(INDEX(tbNucleo[ESCOLA],ROUNDUP(ROW(B3475)/TotalEtapas,0)),"")</f>
        <v/>
      </c>
      <c r="E3476" t="str">
        <f>IFERROR(VLOOKUP(tbEscolas[[#This Row],[COD ETPA]],tbEtapas[],2,FALSE),"")</f>
        <v/>
      </c>
      <c r="F3476" t="str">
        <f>IFERROR(VLOOKUP(tbEscolas[[#This Row],[COD ETPA]],tbEtapas[],3,FALSE),"")</f>
        <v/>
      </c>
    </row>
    <row r="3477" spans="1:6" x14ac:dyDescent="0.25">
      <c r="A3477" s="24" t="str">
        <f>_xlfn.XLOOKUP(tbEscolas[[#This Row],[ESCOLA]],tbNucleo[ESCOLA],tbNucleo[COD ESCOLA],"")</f>
        <v/>
      </c>
      <c r="B3477" t="str" cm="1">
        <f t="array" ref="B3477">IFERROR(INDEX(tbNucleo[ESCOLA],ROUNDUP(ROW(B3476)/TotalEtapas,0)),"")</f>
        <v/>
      </c>
      <c r="E3477" t="str">
        <f>IFERROR(VLOOKUP(tbEscolas[[#This Row],[COD ETPA]],tbEtapas[],2,FALSE),"")</f>
        <v/>
      </c>
      <c r="F3477" t="str">
        <f>IFERROR(VLOOKUP(tbEscolas[[#This Row],[COD ETPA]],tbEtapas[],3,FALSE),"")</f>
        <v/>
      </c>
    </row>
    <row r="3478" spans="1:6" x14ac:dyDescent="0.25">
      <c r="A3478" s="24" t="str">
        <f>_xlfn.XLOOKUP(tbEscolas[[#This Row],[ESCOLA]],tbNucleo[ESCOLA],tbNucleo[COD ESCOLA],"")</f>
        <v/>
      </c>
      <c r="B3478" t="str" cm="1">
        <f t="array" ref="B3478">IFERROR(INDEX(tbNucleo[ESCOLA],ROUNDUP(ROW(B3477)/TotalEtapas,0)),"")</f>
        <v/>
      </c>
      <c r="E3478" t="str">
        <f>IFERROR(VLOOKUP(tbEscolas[[#This Row],[COD ETPA]],tbEtapas[],2,FALSE),"")</f>
        <v/>
      </c>
      <c r="F3478" t="str">
        <f>IFERROR(VLOOKUP(tbEscolas[[#This Row],[COD ETPA]],tbEtapas[],3,FALSE),"")</f>
        <v/>
      </c>
    </row>
    <row r="3479" spans="1:6" x14ac:dyDescent="0.25">
      <c r="A3479" s="24" t="str">
        <f>_xlfn.XLOOKUP(tbEscolas[[#This Row],[ESCOLA]],tbNucleo[ESCOLA],tbNucleo[COD ESCOLA],"")</f>
        <v/>
      </c>
      <c r="B3479" t="str" cm="1">
        <f t="array" ref="B3479">IFERROR(INDEX(tbNucleo[ESCOLA],ROUNDUP(ROW(B3478)/TotalEtapas,0)),"")</f>
        <v/>
      </c>
      <c r="E3479" t="str">
        <f>IFERROR(VLOOKUP(tbEscolas[[#This Row],[COD ETPA]],tbEtapas[],2,FALSE),"")</f>
        <v/>
      </c>
      <c r="F3479" t="str">
        <f>IFERROR(VLOOKUP(tbEscolas[[#This Row],[COD ETPA]],tbEtapas[],3,FALSE),"")</f>
        <v/>
      </c>
    </row>
    <row r="3480" spans="1:6" x14ac:dyDescent="0.25">
      <c r="A3480" s="24" t="str">
        <f>_xlfn.XLOOKUP(tbEscolas[[#This Row],[ESCOLA]],tbNucleo[ESCOLA],tbNucleo[COD ESCOLA],"")</f>
        <v/>
      </c>
      <c r="B3480" t="str" cm="1">
        <f t="array" ref="B3480">IFERROR(INDEX(tbNucleo[ESCOLA],ROUNDUP(ROW(B3479)/TotalEtapas,0)),"")</f>
        <v/>
      </c>
      <c r="E3480" t="str">
        <f>IFERROR(VLOOKUP(tbEscolas[[#This Row],[COD ETPA]],tbEtapas[],2,FALSE),"")</f>
        <v/>
      </c>
      <c r="F3480" t="str">
        <f>IFERROR(VLOOKUP(tbEscolas[[#This Row],[COD ETPA]],tbEtapas[],3,FALSE),"")</f>
        <v/>
      </c>
    </row>
    <row r="3481" spans="1:6" x14ac:dyDescent="0.25">
      <c r="A3481" s="24" t="str">
        <f>_xlfn.XLOOKUP(tbEscolas[[#This Row],[ESCOLA]],tbNucleo[ESCOLA],tbNucleo[COD ESCOLA],"")</f>
        <v/>
      </c>
      <c r="B3481" t="str" cm="1">
        <f t="array" ref="B3481">IFERROR(INDEX(tbNucleo[ESCOLA],ROUNDUP(ROW(B3480)/TotalEtapas,0)),"")</f>
        <v/>
      </c>
      <c r="E3481" t="str">
        <f>IFERROR(VLOOKUP(tbEscolas[[#This Row],[COD ETPA]],tbEtapas[],2,FALSE),"")</f>
        <v/>
      </c>
      <c r="F3481" t="str">
        <f>IFERROR(VLOOKUP(tbEscolas[[#This Row],[COD ETPA]],tbEtapas[],3,FALSE),"")</f>
        <v/>
      </c>
    </row>
    <row r="3482" spans="1:6" x14ac:dyDescent="0.25">
      <c r="A3482" s="24" t="str">
        <f>_xlfn.XLOOKUP(tbEscolas[[#This Row],[ESCOLA]],tbNucleo[ESCOLA],tbNucleo[COD ESCOLA],"")</f>
        <v/>
      </c>
      <c r="B3482" t="str" cm="1">
        <f t="array" ref="B3482">IFERROR(INDEX(tbNucleo[ESCOLA],ROUNDUP(ROW(B3481)/TotalEtapas,0)),"")</f>
        <v/>
      </c>
      <c r="E3482" t="str">
        <f>IFERROR(VLOOKUP(tbEscolas[[#This Row],[COD ETPA]],tbEtapas[],2,FALSE),"")</f>
        <v/>
      </c>
      <c r="F3482" t="str">
        <f>IFERROR(VLOOKUP(tbEscolas[[#This Row],[COD ETPA]],tbEtapas[],3,FALSE),"")</f>
        <v/>
      </c>
    </row>
    <row r="3483" spans="1:6" x14ac:dyDescent="0.25">
      <c r="A3483" s="24" t="str">
        <f>_xlfn.XLOOKUP(tbEscolas[[#This Row],[ESCOLA]],tbNucleo[ESCOLA],tbNucleo[COD ESCOLA],"")</f>
        <v/>
      </c>
      <c r="B3483" t="str" cm="1">
        <f t="array" ref="B3483">IFERROR(INDEX(tbNucleo[ESCOLA],ROUNDUP(ROW(B3482)/TotalEtapas,0)),"")</f>
        <v/>
      </c>
      <c r="E3483" t="str">
        <f>IFERROR(VLOOKUP(tbEscolas[[#This Row],[COD ETPA]],tbEtapas[],2,FALSE),"")</f>
        <v/>
      </c>
      <c r="F3483" t="str">
        <f>IFERROR(VLOOKUP(tbEscolas[[#This Row],[COD ETPA]],tbEtapas[],3,FALSE),"")</f>
        <v/>
      </c>
    </row>
    <row r="3484" spans="1:6" x14ac:dyDescent="0.25">
      <c r="A3484" s="24" t="str">
        <f>_xlfn.XLOOKUP(tbEscolas[[#This Row],[ESCOLA]],tbNucleo[ESCOLA],tbNucleo[COD ESCOLA],"")</f>
        <v/>
      </c>
      <c r="B3484" t="str" cm="1">
        <f t="array" ref="B3484">IFERROR(INDEX(tbNucleo[ESCOLA],ROUNDUP(ROW(B3483)/TotalEtapas,0)),"")</f>
        <v/>
      </c>
      <c r="E3484" t="str">
        <f>IFERROR(VLOOKUP(tbEscolas[[#This Row],[COD ETPA]],tbEtapas[],2,FALSE),"")</f>
        <v/>
      </c>
      <c r="F3484" t="str">
        <f>IFERROR(VLOOKUP(tbEscolas[[#This Row],[COD ETPA]],tbEtapas[],3,FALSE),"")</f>
        <v/>
      </c>
    </row>
    <row r="3485" spans="1:6" x14ac:dyDescent="0.25">
      <c r="A3485" s="24" t="str">
        <f>_xlfn.XLOOKUP(tbEscolas[[#This Row],[ESCOLA]],tbNucleo[ESCOLA],tbNucleo[COD ESCOLA],"")</f>
        <v/>
      </c>
      <c r="B3485" t="str" cm="1">
        <f t="array" ref="B3485">IFERROR(INDEX(tbNucleo[ESCOLA],ROUNDUP(ROW(B3484)/TotalEtapas,0)),"")</f>
        <v/>
      </c>
      <c r="E3485" t="str">
        <f>IFERROR(VLOOKUP(tbEscolas[[#This Row],[COD ETPA]],tbEtapas[],2,FALSE),"")</f>
        <v/>
      </c>
      <c r="F3485" t="str">
        <f>IFERROR(VLOOKUP(tbEscolas[[#This Row],[COD ETPA]],tbEtapas[],3,FALSE),"")</f>
        <v/>
      </c>
    </row>
    <row r="3486" spans="1:6" x14ac:dyDescent="0.25">
      <c r="A3486" s="24" t="str">
        <f>_xlfn.XLOOKUP(tbEscolas[[#This Row],[ESCOLA]],tbNucleo[ESCOLA],tbNucleo[COD ESCOLA],"")</f>
        <v/>
      </c>
      <c r="B3486" t="str" cm="1">
        <f t="array" ref="B3486">IFERROR(INDEX(tbNucleo[ESCOLA],ROUNDUP(ROW(B3485)/TotalEtapas,0)),"")</f>
        <v/>
      </c>
      <c r="E3486" t="str">
        <f>IFERROR(VLOOKUP(tbEscolas[[#This Row],[COD ETPA]],tbEtapas[],2,FALSE),"")</f>
        <v/>
      </c>
      <c r="F3486" t="str">
        <f>IFERROR(VLOOKUP(tbEscolas[[#This Row],[COD ETPA]],tbEtapas[],3,FALSE),"")</f>
        <v/>
      </c>
    </row>
    <row r="3487" spans="1:6" x14ac:dyDescent="0.25">
      <c r="A3487" s="24" t="str">
        <f>_xlfn.XLOOKUP(tbEscolas[[#This Row],[ESCOLA]],tbNucleo[ESCOLA],tbNucleo[COD ESCOLA],"")</f>
        <v/>
      </c>
      <c r="B3487" t="str" cm="1">
        <f t="array" ref="B3487">IFERROR(INDEX(tbNucleo[ESCOLA],ROUNDUP(ROW(B3486)/TotalEtapas,0)),"")</f>
        <v/>
      </c>
      <c r="E3487" t="str">
        <f>IFERROR(VLOOKUP(tbEscolas[[#This Row],[COD ETPA]],tbEtapas[],2,FALSE),"")</f>
        <v/>
      </c>
      <c r="F3487" t="str">
        <f>IFERROR(VLOOKUP(tbEscolas[[#This Row],[COD ETPA]],tbEtapas[],3,FALSE),"")</f>
        <v/>
      </c>
    </row>
    <row r="3488" spans="1:6" x14ac:dyDescent="0.25">
      <c r="A3488" s="24" t="str">
        <f>_xlfn.XLOOKUP(tbEscolas[[#This Row],[ESCOLA]],tbNucleo[ESCOLA],tbNucleo[COD ESCOLA],"")</f>
        <v/>
      </c>
      <c r="B3488" t="str" cm="1">
        <f t="array" ref="B3488">IFERROR(INDEX(tbNucleo[ESCOLA],ROUNDUP(ROW(B3487)/TotalEtapas,0)),"")</f>
        <v/>
      </c>
      <c r="E3488" t="str">
        <f>IFERROR(VLOOKUP(tbEscolas[[#This Row],[COD ETPA]],tbEtapas[],2,FALSE),"")</f>
        <v/>
      </c>
      <c r="F3488" t="str">
        <f>IFERROR(VLOOKUP(tbEscolas[[#This Row],[COD ETPA]],tbEtapas[],3,FALSE),"")</f>
        <v/>
      </c>
    </row>
    <row r="3489" spans="1:6" x14ac:dyDescent="0.25">
      <c r="A3489" s="24" t="str">
        <f>_xlfn.XLOOKUP(tbEscolas[[#This Row],[ESCOLA]],tbNucleo[ESCOLA],tbNucleo[COD ESCOLA],"")</f>
        <v/>
      </c>
      <c r="B3489" t="str" cm="1">
        <f t="array" ref="B3489">IFERROR(INDEX(tbNucleo[ESCOLA],ROUNDUP(ROW(B3488)/TotalEtapas,0)),"")</f>
        <v/>
      </c>
      <c r="E3489" t="str">
        <f>IFERROR(VLOOKUP(tbEscolas[[#This Row],[COD ETPA]],tbEtapas[],2,FALSE),"")</f>
        <v/>
      </c>
      <c r="F3489" t="str">
        <f>IFERROR(VLOOKUP(tbEscolas[[#This Row],[COD ETPA]],tbEtapas[],3,FALSE),"")</f>
        <v/>
      </c>
    </row>
    <row r="3490" spans="1:6" x14ac:dyDescent="0.25">
      <c r="A3490" s="24" t="str">
        <f>_xlfn.XLOOKUP(tbEscolas[[#This Row],[ESCOLA]],tbNucleo[ESCOLA],tbNucleo[COD ESCOLA],"")</f>
        <v/>
      </c>
      <c r="B3490" t="str" cm="1">
        <f t="array" ref="B3490">IFERROR(INDEX(tbNucleo[ESCOLA],ROUNDUP(ROW(B3489)/TotalEtapas,0)),"")</f>
        <v/>
      </c>
      <c r="E3490" t="str">
        <f>IFERROR(VLOOKUP(tbEscolas[[#This Row],[COD ETPA]],tbEtapas[],2,FALSE),"")</f>
        <v/>
      </c>
      <c r="F3490" t="str">
        <f>IFERROR(VLOOKUP(tbEscolas[[#This Row],[COD ETPA]],tbEtapas[],3,FALSE),"")</f>
        <v/>
      </c>
    </row>
    <row r="3491" spans="1:6" x14ac:dyDescent="0.25">
      <c r="A3491" s="24" t="str">
        <f>_xlfn.XLOOKUP(tbEscolas[[#This Row],[ESCOLA]],tbNucleo[ESCOLA],tbNucleo[COD ESCOLA],"")</f>
        <v/>
      </c>
      <c r="B3491" t="str" cm="1">
        <f t="array" ref="B3491">IFERROR(INDEX(tbNucleo[ESCOLA],ROUNDUP(ROW(B3490)/TotalEtapas,0)),"")</f>
        <v/>
      </c>
      <c r="E3491" t="str">
        <f>IFERROR(VLOOKUP(tbEscolas[[#This Row],[COD ETPA]],tbEtapas[],2,FALSE),"")</f>
        <v/>
      </c>
      <c r="F3491" t="str">
        <f>IFERROR(VLOOKUP(tbEscolas[[#This Row],[COD ETPA]],tbEtapas[],3,FALSE),"")</f>
        <v/>
      </c>
    </row>
    <row r="3492" spans="1:6" x14ac:dyDescent="0.25">
      <c r="A3492" s="24" t="str">
        <f>_xlfn.XLOOKUP(tbEscolas[[#This Row],[ESCOLA]],tbNucleo[ESCOLA],tbNucleo[COD ESCOLA],"")</f>
        <v/>
      </c>
      <c r="B3492" t="str" cm="1">
        <f t="array" ref="B3492">IFERROR(INDEX(tbNucleo[ESCOLA],ROUNDUP(ROW(B3491)/TotalEtapas,0)),"")</f>
        <v/>
      </c>
      <c r="E3492" t="str">
        <f>IFERROR(VLOOKUP(tbEscolas[[#This Row],[COD ETPA]],tbEtapas[],2,FALSE),"")</f>
        <v/>
      </c>
      <c r="F3492" t="str">
        <f>IFERROR(VLOOKUP(tbEscolas[[#This Row],[COD ETPA]],tbEtapas[],3,FALSE),"")</f>
        <v/>
      </c>
    </row>
    <row r="3493" spans="1:6" x14ac:dyDescent="0.25">
      <c r="A3493" s="24" t="str">
        <f>_xlfn.XLOOKUP(tbEscolas[[#This Row],[ESCOLA]],tbNucleo[ESCOLA],tbNucleo[COD ESCOLA],"")</f>
        <v/>
      </c>
      <c r="B3493" t="str" cm="1">
        <f t="array" ref="B3493">IFERROR(INDEX(tbNucleo[ESCOLA],ROUNDUP(ROW(B3492)/TotalEtapas,0)),"")</f>
        <v/>
      </c>
      <c r="E3493" t="str">
        <f>IFERROR(VLOOKUP(tbEscolas[[#This Row],[COD ETPA]],tbEtapas[],2,FALSE),"")</f>
        <v/>
      </c>
      <c r="F3493" t="str">
        <f>IFERROR(VLOOKUP(tbEscolas[[#This Row],[COD ETPA]],tbEtapas[],3,FALSE),"")</f>
        <v/>
      </c>
    </row>
    <row r="3494" spans="1:6" x14ac:dyDescent="0.25">
      <c r="A3494" s="24" t="str">
        <f>_xlfn.XLOOKUP(tbEscolas[[#This Row],[ESCOLA]],tbNucleo[ESCOLA],tbNucleo[COD ESCOLA],"")</f>
        <v/>
      </c>
      <c r="B3494" t="str" cm="1">
        <f t="array" ref="B3494">IFERROR(INDEX(tbNucleo[ESCOLA],ROUNDUP(ROW(B3493)/TotalEtapas,0)),"")</f>
        <v/>
      </c>
      <c r="E3494" t="str">
        <f>IFERROR(VLOOKUP(tbEscolas[[#This Row],[COD ETPA]],tbEtapas[],2,FALSE),"")</f>
        <v/>
      </c>
      <c r="F3494" t="str">
        <f>IFERROR(VLOOKUP(tbEscolas[[#This Row],[COD ETPA]],tbEtapas[],3,FALSE),"")</f>
        <v/>
      </c>
    </row>
    <row r="3495" spans="1:6" x14ac:dyDescent="0.25">
      <c r="A3495" s="24" t="str">
        <f>_xlfn.XLOOKUP(tbEscolas[[#This Row],[ESCOLA]],tbNucleo[ESCOLA],tbNucleo[COD ESCOLA],"")</f>
        <v/>
      </c>
      <c r="B3495" t="str" cm="1">
        <f t="array" ref="B3495">IFERROR(INDEX(tbNucleo[ESCOLA],ROUNDUP(ROW(B3494)/TotalEtapas,0)),"")</f>
        <v/>
      </c>
      <c r="E3495" t="str">
        <f>IFERROR(VLOOKUP(tbEscolas[[#This Row],[COD ETPA]],tbEtapas[],2,FALSE),"")</f>
        <v/>
      </c>
      <c r="F3495" t="str">
        <f>IFERROR(VLOOKUP(tbEscolas[[#This Row],[COD ETPA]],tbEtapas[],3,FALSE),"")</f>
        <v/>
      </c>
    </row>
    <row r="3496" spans="1:6" x14ac:dyDescent="0.25">
      <c r="A3496" s="24" t="str">
        <f>_xlfn.XLOOKUP(tbEscolas[[#This Row],[ESCOLA]],tbNucleo[ESCOLA],tbNucleo[COD ESCOLA],"")</f>
        <v/>
      </c>
      <c r="B3496" t="str" cm="1">
        <f t="array" ref="B3496">IFERROR(INDEX(tbNucleo[ESCOLA],ROUNDUP(ROW(B3495)/TotalEtapas,0)),"")</f>
        <v/>
      </c>
      <c r="E3496" t="str">
        <f>IFERROR(VLOOKUP(tbEscolas[[#This Row],[COD ETPA]],tbEtapas[],2,FALSE),"")</f>
        <v/>
      </c>
      <c r="F3496" t="str">
        <f>IFERROR(VLOOKUP(tbEscolas[[#This Row],[COD ETPA]],tbEtapas[],3,FALSE),"")</f>
        <v/>
      </c>
    </row>
    <row r="3497" spans="1:6" x14ac:dyDescent="0.25">
      <c r="A3497" s="24" t="str">
        <f>_xlfn.XLOOKUP(tbEscolas[[#This Row],[ESCOLA]],tbNucleo[ESCOLA],tbNucleo[COD ESCOLA],"")</f>
        <v/>
      </c>
      <c r="B3497" t="str" cm="1">
        <f t="array" ref="B3497">IFERROR(INDEX(tbNucleo[ESCOLA],ROUNDUP(ROW(B3496)/TotalEtapas,0)),"")</f>
        <v/>
      </c>
      <c r="E3497" t="str">
        <f>IFERROR(VLOOKUP(tbEscolas[[#This Row],[COD ETPA]],tbEtapas[],2,FALSE),"")</f>
        <v/>
      </c>
      <c r="F3497" t="str">
        <f>IFERROR(VLOOKUP(tbEscolas[[#This Row],[COD ETPA]],tbEtapas[],3,FALSE),"")</f>
        <v/>
      </c>
    </row>
    <row r="3498" spans="1:6" x14ac:dyDescent="0.25">
      <c r="A3498" s="24" t="str">
        <f>_xlfn.XLOOKUP(tbEscolas[[#This Row],[ESCOLA]],tbNucleo[ESCOLA],tbNucleo[COD ESCOLA],"")</f>
        <v/>
      </c>
      <c r="B3498" t="str" cm="1">
        <f t="array" ref="B3498">IFERROR(INDEX(tbNucleo[ESCOLA],ROUNDUP(ROW(B3497)/TotalEtapas,0)),"")</f>
        <v/>
      </c>
      <c r="E3498" t="str">
        <f>IFERROR(VLOOKUP(tbEscolas[[#This Row],[COD ETPA]],tbEtapas[],2,FALSE),"")</f>
        <v/>
      </c>
      <c r="F3498" t="str">
        <f>IFERROR(VLOOKUP(tbEscolas[[#This Row],[COD ETPA]],tbEtapas[],3,FALSE),"")</f>
        <v/>
      </c>
    </row>
    <row r="3499" spans="1:6" x14ac:dyDescent="0.25">
      <c r="A3499" s="24" t="str">
        <f>_xlfn.XLOOKUP(tbEscolas[[#This Row],[ESCOLA]],tbNucleo[ESCOLA],tbNucleo[COD ESCOLA],"")</f>
        <v/>
      </c>
      <c r="B3499" t="str" cm="1">
        <f t="array" ref="B3499">IFERROR(INDEX(tbNucleo[ESCOLA],ROUNDUP(ROW(B3498)/TotalEtapas,0)),"")</f>
        <v/>
      </c>
      <c r="E3499" t="str">
        <f>IFERROR(VLOOKUP(tbEscolas[[#This Row],[COD ETPA]],tbEtapas[],2,FALSE),"")</f>
        <v/>
      </c>
      <c r="F3499" t="str">
        <f>IFERROR(VLOOKUP(tbEscolas[[#This Row],[COD ETPA]],tbEtapas[],3,FALSE),"")</f>
        <v/>
      </c>
    </row>
    <row r="3500" spans="1:6" x14ac:dyDescent="0.25">
      <c r="A3500" s="24" t="str">
        <f>_xlfn.XLOOKUP(tbEscolas[[#This Row],[ESCOLA]],tbNucleo[ESCOLA],tbNucleo[COD ESCOLA],"")</f>
        <v/>
      </c>
      <c r="B3500" t="str" cm="1">
        <f t="array" ref="B3500">IFERROR(INDEX(tbNucleo[ESCOLA],ROUNDUP(ROW(B3499)/TotalEtapas,0)),"")</f>
        <v/>
      </c>
      <c r="E3500" t="str">
        <f>IFERROR(VLOOKUP(tbEscolas[[#This Row],[COD ETPA]],tbEtapas[],2,FALSE),"")</f>
        <v/>
      </c>
      <c r="F3500" t="str">
        <f>IFERROR(VLOOKUP(tbEscolas[[#This Row],[COD ETPA]],tbEtapas[],3,FALSE),"")</f>
        <v/>
      </c>
    </row>
    <row r="3501" spans="1:6" x14ac:dyDescent="0.25">
      <c r="A3501" s="24" t="str">
        <f>_xlfn.XLOOKUP(tbEscolas[[#This Row],[ESCOLA]],tbNucleo[ESCOLA],tbNucleo[COD ESCOLA],"")</f>
        <v/>
      </c>
      <c r="B3501" t="str" cm="1">
        <f t="array" ref="B3501">IFERROR(INDEX(tbNucleo[ESCOLA],ROUNDUP(ROW(B3500)/TotalEtapas,0)),"")</f>
        <v/>
      </c>
      <c r="E3501" t="str">
        <f>IFERROR(VLOOKUP(tbEscolas[[#This Row],[COD ETPA]],tbEtapas[],2,FALSE),"")</f>
        <v/>
      </c>
      <c r="F3501" t="str">
        <f>IFERROR(VLOOKUP(tbEscolas[[#This Row],[COD ETPA]],tbEtapas[],3,FALSE),"")</f>
        <v/>
      </c>
    </row>
    <row r="3502" spans="1:6" x14ac:dyDescent="0.25">
      <c r="A3502" s="24" t="str">
        <f>_xlfn.XLOOKUP(tbEscolas[[#This Row],[ESCOLA]],tbNucleo[ESCOLA],tbNucleo[COD ESCOLA],"")</f>
        <v/>
      </c>
      <c r="B3502" t="str" cm="1">
        <f t="array" ref="B3502">IFERROR(INDEX(tbNucleo[ESCOLA],ROUNDUP(ROW(B3501)/TotalEtapas,0)),"")</f>
        <v/>
      </c>
      <c r="E3502" t="str">
        <f>IFERROR(VLOOKUP(tbEscolas[[#This Row],[COD ETPA]],tbEtapas[],2,FALSE),"")</f>
        <v/>
      </c>
      <c r="F3502" t="str">
        <f>IFERROR(VLOOKUP(tbEscolas[[#This Row],[COD ETPA]],tbEtapas[],3,FALSE),"")</f>
        <v/>
      </c>
    </row>
    <row r="3503" spans="1:6" x14ac:dyDescent="0.25">
      <c r="A3503" s="24" t="str">
        <f>_xlfn.XLOOKUP(tbEscolas[[#This Row],[ESCOLA]],tbNucleo[ESCOLA],tbNucleo[COD ESCOLA],"")</f>
        <v/>
      </c>
      <c r="B3503" t="str" cm="1">
        <f t="array" ref="B3503">IFERROR(INDEX(tbNucleo[ESCOLA],ROUNDUP(ROW(B3502)/TotalEtapas,0)),"")</f>
        <v/>
      </c>
      <c r="E3503" t="str">
        <f>IFERROR(VLOOKUP(tbEscolas[[#This Row],[COD ETPA]],tbEtapas[],2,FALSE),"")</f>
        <v/>
      </c>
      <c r="F3503" t="str">
        <f>IFERROR(VLOOKUP(tbEscolas[[#This Row],[COD ETPA]],tbEtapas[],3,FALSE),"")</f>
        <v/>
      </c>
    </row>
    <row r="3504" spans="1:6" x14ac:dyDescent="0.25">
      <c r="A3504" s="24" t="str">
        <f>_xlfn.XLOOKUP(tbEscolas[[#This Row],[ESCOLA]],tbNucleo[ESCOLA],tbNucleo[COD ESCOLA],"")</f>
        <v/>
      </c>
      <c r="B3504" t="str" cm="1">
        <f t="array" ref="B3504">IFERROR(INDEX(tbNucleo[ESCOLA],ROUNDUP(ROW(B3503)/TotalEtapas,0)),"")</f>
        <v/>
      </c>
      <c r="E3504" t="str">
        <f>IFERROR(VLOOKUP(tbEscolas[[#This Row],[COD ETPA]],tbEtapas[],2,FALSE),"")</f>
        <v/>
      </c>
      <c r="F3504" t="str">
        <f>IFERROR(VLOOKUP(tbEscolas[[#This Row],[COD ETPA]],tbEtapas[],3,FALSE),"")</f>
        <v/>
      </c>
    </row>
    <row r="3505" spans="1:6" x14ac:dyDescent="0.25">
      <c r="A3505" s="24" t="str">
        <f>_xlfn.XLOOKUP(tbEscolas[[#This Row],[ESCOLA]],tbNucleo[ESCOLA],tbNucleo[COD ESCOLA],"")</f>
        <v/>
      </c>
      <c r="B3505" t="str" cm="1">
        <f t="array" ref="B3505">IFERROR(INDEX(tbNucleo[ESCOLA],ROUNDUP(ROW(B3504)/TotalEtapas,0)),"")</f>
        <v/>
      </c>
      <c r="E3505" t="str">
        <f>IFERROR(VLOOKUP(tbEscolas[[#This Row],[COD ETPA]],tbEtapas[],2,FALSE),"")</f>
        <v/>
      </c>
      <c r="F3505" t="str">
        <f>IFERROR(VLOOKUP(tbEscolas[[#This Row],[COD ETPA]],tbEtapas[],3,FALSE),"")</f>
        <v/>
      </c>
    </row>
    <row r="3506" spans="1:6" x14ac:dyDescent="0.25">
      <c r="A3506" s="24" t="str">
        <f>_xlfn.XLOOKUP(tbEscolas[[#This Row],[ESCOLA]],tbNucleo[ESCOLA],tbNucleo[COD ESCOLA],"")</f>
        <v/>
      </c>
      <c r="B3506" t="str" cm="1">
        <f t="array" ref="B3506">IFERROR(INDEX(tbNucleo[ESCOLA],ROUNDUP(ROW(B3505)/TotalEtapas,0)),"")</f>
        <v/>
      </c>
      <c r="E3506" t="str">
        <f>IFERROR(VLOOKUP(tbEscolas[[#This Row],[COD ETPA]],tbEtapas[],2,FALSE),"")</f>
        <v/>
      </c>
      <c r="F3506" t="str">
        <f>IFERROR(VLOOKUP(tbEscolas[[#This Row],[COD ETPA]],tbEtapas[],3,FALSE),"")</f>
        <v/>
      </c>
    </row>
    <row r="3507" spans="1:6" x14ac:dyDescent="0.25">
      <c r="A3507" s="24" t="str">
        <f>_xlfn.XLOOKUP(tbEscolas[[#This Row],[ESCOLA]],tbNucleo[ESCOLA],tbNucleo[COD ESCOLA],"")</f>
        <v/>
      </c>
      <c r="B3507" t="str" cm="1">
        <f t="array" ref="B3507">IFERROR(INDEX(tbNucleo[ESCOLA],ROUNDUP(ROW(B3506)/TotalEtapas,0)),"")</f>
        <v/>
      </c>
      <c r="E3507" t="str">
        <f>IFERROR(VLOOKUP(tbEscolas[[#This Row],[COD ETPA]],tbEtapas[],2,FALSE),"")</f>
        <v/>
      </c>
      <c r="F3507" t="str">
        <f>IFERROR(VLOOKUP(tbEscolas[[#This Row],[COD ETPA]],tbEtapas[],3,FALSE),"")</f>
        <v/>
      </c>
    </row>
    <row r="3508" spans="1:6" x14ac:dyDescent="0.25">
      <c r="A3508" s="24" t="str">
        <f>_xlfn.XLOOKUP(tbEscolas[[#This Row],[ESCOLA]],tbNucleo[ESCOLA],tbNucleo[COD ESCOLA],"")</f>
        <v/>
      </c>
      <c r="B3508" t="str" cm="1">
        <f t="array" ref="B3508">IFERROR(INDEX(tbNucleo[ESCOLA],ROUNDUP(ROW(B3507)/TotalEtapas,0)),"")</f>
        <v/>
      </c>
      <c r="E3508" t="str">
        <f>IFERROR(VLOOKUP(tbEscolas[[#This Row],[COD ETPA]],tbEtapas[],2,FALSE),"")</f>
        <v/>
      </c>
      <c r="F3508" t="str">
        <f>IFERROR(VLOOKUP(tbEscolas[[#This Row],[COD ETPA]],tbEtapas[],3,FALSE),"")</f>
        <v/>
      </c>
    </row>
    <row r="3509" spans="1:6" x14ac:dyDescent="0.25">
      <c r="A3509" s="24" t="str">
        <f>_xlfn.XLOOKUP(tbEscolas[[#This Row],[ESCOLA]],tbNucleo[ESCOLA],tbNucleo[COD ESCOLA],"")</f>
        <v/>
      </c>
      <c r="B3509" t="str" cm="1">
        <f t="array" ref="B3509">IFERROR(INDEX(tbNucleo[ESCOLA],ROUNDUP(ROW(B3508)/TotalEtapas,0)),"")</f>
        <v/>
      </c>
      <c r="E3509" t="str">
        <f>IFERROR(VLOOKUP(tbEscolas[[#This Row],[COD ETPA]],tbEtapas[],2,FALSE),"")</f>
        <v/>
      </c>
      <c r="F3509" t="str">
        <f>IFERROR(VLOOKUP(tbEscolas[[#This Row],[COD ETPA]],tbEtapas[],3,FALSE),"")</f>
        <v/>
      </c>
    </row>
    <row r="3510" spans="1:6" x14ac:dyDescent="0.25">
      <c r="A3510" s="24" t="str">
        <f>_xlfn.XLOOKUP(tbEscolas[[#This Row],[ESCOLA]],tbNucleo[ESCOLA],tbNucleo[COD ESCOLA],"")</f>
        <v/>
      </c>
      <c r="B3510" t="str" cm="1">
        <f t="array" ref="B3510">IFERROR(INDEX(tbNucleo[ESCOLA],ROUNDUP(ROW(B3509)/TotalEtapas,0)),"")</f>
        <v/>
      </c>
      <c r="E3510" t="str">
        <f>IFERROR(VLOOKUP(tbEscolas[[#This Row],[COD ETPA]],tbEtapas[],2,FALSE),"")</f>
        <v/>
      </c>
      <c r="F3510" t="str">
        <f>IFERROR(VLOOKUP(tbEscolas[[#This Row],[COD ETPA]],tbEtapas[],3,FALSE),"")</f>
        <v/>
      </c>
    </row>
    <row r="3511" spans="1:6" x14ac:dyDescent="0.25">
      <c r="A3511" s="24" t="str">
        <f>_xlfn.XLOOKUP(tbEscolas[[#This Row],[ESCOLA]],tbNucleo[ESCOLA],tbNucleo[COD ESCOLA],"")</f>
        <v/>
      </c>
      <c r="B3511" t="str" cm="1">
        <f t="array" ref="B3511">IFERROR(INDEX(tbNucleo[ESCOLA],ROUNDUP(ROW(B3510)/TotalEtapas,0)),"")</f>
        <v/>
      </c>
      <c r="E3511" t="str">
        <f>IFERROR(VLOOKUP(tbEscolas[[#This Row],[COD ETPA]],tbEtapas[],2,FALSE),"")</f>
        <v/>
      </c>
      <c r="F3511" t="str">
        <f>IFERROR(VLOOKUP(tbEscolas[[#This Row],[COD ETPA]],tbEtapas[],3,FALSE),"")</f>
        <v/>
      </c>
    </row>
    <row r="3512" spans="1:6" x14ac:dyDescent="0.25">
      <c r="A3512" s="24" t="str">
        <f>_xlfn.XLOOKUP(tbEscolas[[#This Row],[ESCOLA]],tbNucleo[ESCOLA],tbNucleo[COD ESCOLA],"")</f>
        <v/>
      </c>
      <c r="B3512" t="str" cm="1">
        <f t="array" ref="B3512">IFERROR(INDEX(tbNucleo[ESCOLA],ROUNDUP(ROW(B3511)/TotalEtapas,0)),"")</f>
        <v/>
      </c>
      <c r="E3512" t="str">
        <f>IFERROR(VLOOKUP(tbEscolas[[#This Row],[COD ETPA]],tbEtapas[],2,FALSE),"")</f>
        <v/>
      </c>
      <c r="F3512" t="str">
        <f>IFERROR(VLOOKUP(tbEscolas[[#This Row],[COD ETPA]],tbEtapas[],3,FALSE),"")</f>
        <v/>
      </c>
    </row>
    <row r="3513" spans="1:6" x14ac:dyDescent="0.25">
      <c r="A3513" s="24" t="str">
        <f>_xlfn.XLOOKUP(tbEscolas[[#This Row],[ESCOLA]],tbNucleo[ESCOLA],tbNucleo[COD ESCOLA],"")</f>
        <v/>
      </c>
      <c r="B3513" t="str" cm="1">
        <f t="array" ref="B3513">IFERROR(INDEX(tbNucleo[ESCOLA],ROUNDUP(ROW(B3512)/TotalEtapas,0)),"")</f>
        <v/>
      </c>
      <c r="E3513" t="str">
        <f>IFERROR(VLOOKUP(tbEscolas[[#This Row],[COD ETPA]],tbEtapas[],2,FALSE),"")</f>
        <v/>
      </c>
      <c r="F3513" t="str">
        <f>IFERROR(VLOOKUP(tbEscolas[[#This Row],[COD ETPA]],tbEtapas[],3,FALSE),"")</f>
        <v/>
      </c>
    </row>
    <row r="3514" spans="1:6" x14ac:dyDescent="0.25">
      <c r="A3514" s="24" t="str">
        <f>_xlfn.XLOOKUP(tbEscolas[[#This Row],[ESCOLA]],tbNucleo[ESCOLA],tbNucleo[COD ESCOLA],"")</f>
        <v/>
      </c>
      <c r="B3514" t="str" cm="1">
        <f t="array" ref="B3514">IFERROR(INDEX(tbNucleo[ESCOLA],ROUNDUP(ROW(B3513)/TotalEtapas,0)),"")</f>
        <v/>
      </c>
      <c r="E3514" t="str">
        <f>IFERROR(VLOOKUP(tbEscolas[[#This Row],[COD ETPA]],tbEtapas[],2,FALSE),"")</f>
        <v/>
      </c>
      <c r="F3514" t="str">
        <f>IFERROR(VLOOKUP(tbEscolas[[#This Row],[COD ETPA]],tbEtapas[],3,FALSE),"")</f>
        <v/>
      </c>
    </row>
    <row r="3515" spans="1:6" x14ac:dyDescent="0.25">
      <c r="A3515" s="24" t="str">
        <f>_xlfn.XLOOKUP(tbEscolas[[#This Row],[ESCOLA]],tbNucleo[ESCOLA],tbNucleo[COD ESCOLA],"")</f>
        <v/>
      </c>
      <c r="B3515" t="str" cm="1">
        <f t="array" ref="B3515">IFERROR(INDEX(tbNucleo[ESCOLA],ROUNDUP(ROW(B3514)/TotalEtapas,0)),"")</f>
        <v/>
      </c>
      <c r="E3515" t="str">
        <f>IFERROR(VLOOKUP(tbEscolas[[#This Row],[COD ETPA]],tbEtapas[],2,FALSE),"")</f>
        <v/>
      </c>
      <c r="F3515" t="str">
        <f>IFERROR(VLOOKUP(tbEscolas[[#This Row],[COD ETPA]],tbEtapas[],3,FALSE),"")</f>
        <v/>
      </c>
    </row>
    <row r="3516" spans="1:6" x14ac:dyDescent="0.25">
      <c r="A3516" s="24" t="str">
        <f>_xlfn.XLOOKUP(tbEscolas[[#This Row],[ESCOLA]],tbNucleo[ESCOLA],tbNucleo[COD ESCOLA],"")</f>
        <v/>
      </c>
      <c r="B3516" t="str" cm="1">
        <f t="array" ref="B3516">IFERROR(INDEX(tbNucleo[ESCOLA],ROUNDUP(ROW(B3515)/TotalEtapas,0)),"")</f>
        <v/>
      </c>
      <c r="E3516" t="str">
        <f>IFERROR(VLOOKUP(tbEscolas[[#This Row],[COD ETPA]],tbEtapas[],2,FALSE),"")</f>
        <v/>
      </c>
      <c r="F3516" t="str">
        <f>IFERROR(VLOOKUP(tbEscolas[[#This Row],[COD ETPA]],tbEtapas[],3,FALSE),"")</f>
        <v/>
      </c>
    </row>
    <row r="3517" spans="1:6" x14ac:dyDescent="0.25">
      <c r="A3517" s="24" t="str">
        <f>_xlfn.XLOOKUP(tbEscolas[[#This Row],[ESCOLA]],tbNucleo[ESCOLA],tbNucleo[COD ESCOLA],"")</f>
        <v/>
      </c>
      <c r="B3517" t="str" cm="1">
        <f t="array" ref="B3517">IFERROR(INDEX(tbNucleo[ESCOLA],ROUNDUP(ROW(B3516)/TotalEtapas,0)),"")</f>
        <v/>
      </c>
      <c r="E3517" t="str">
        <f>IFERROR(VLOOKUP(tbEscolas[[#This Row],[COD ETPA]],tbEtapas[],2,FALSE),"")</f>
        <v/>
      </c>
      <c r="F3517" t="str">
        <f>IFERROR(VLOOKUP(tbEscolas[[#This Row],[COD ETPA]],tbEtapas[],3,FALSE),"")</f>
        <v/>
      </c>
    </row>
    <row r="3518" spans="1:6" x14ac:dyDescent="0.25">
      <c r="A3518" s="24" t="str">
        <f>_xlfn.XLOOKUP(tbEscolas[[#This Row],[ESCOLA]],tbNucleo[ESCOLA],tbNucleo[COD ESCOLA],"")</f>
        <v/>
      </c>
      <c r="B3518" t="str" cm="1">
        <f t="array" ref="B3518">IFERROR(INDEX(tbNucleo[ESCOLA],ROUNDUP(ROW(B3517)/TotalEtapas,0)),"")</f>
        <v/>
      </c>
      <c r="E3518" t="str">
        <f>IFERROR(VLOOKUP(tbEscolas[[#This Row],[COD ETPA]],tbEtapas[],2,FALSE),"")</f>
        <v/>
      </c>
      <c r="F3518" t="str">
        <f>IFERROR(VLOOKUP(tbEscolas[[#This Row],[COD ETPA]],tbEtapas[],3,FALSE),"")</f>
        <v/>
      </c>
    </row>
    <row r="3519" spans="1:6" x14ac:dyDescent="0.25">
      <c r="A3519" s="24" t="str">
        <f>_xlfn.XLOOKUP(tbEscolas[[#This Row],[ESCOLA]],tbNucleo[ESCOLA],tbNucleo[COD ESCOLA],"")</f>
        <v/>
      </c>
      <c r="B3519" t="str" cm="1">
        <f t="array" ref="B3519">IFERROR(INDEX(tbNucleo[ESCOLA],ROUNDUP(ROW(B3518)/TotalEtapas,0)),"")</f>
        <v/>
      </c>
      <c r="E3519" t="str">
        <f>IFERROR(VLOOKUP(tbEscolas[[#This Row],[COD ETPA]],tbEtapas[],2,FALSE),"")</f>
        <v/>
      </c>
      <c r="F3519" t="str">
        <f>IFERROR(VLOOKUP(tbEscolas[[#This Row],[COD ETPA]],tbEtapas[],3,FALSE),"")</f>
        <v/>
      </c>
    </row>
    <row r="3520" spans="1:6" x14ac:dyDescent="0.25">
      <c r="A3520" s="24" t="str">
        <f>_xlfn.XLOOKUP(tbEscolas[[#This Row],[ESCOLA]],tbNucleo[ESCOLA],tbNucleo[COD ESCOLA],"")</f>
        <v/>
      </c>
      <c r="B3520" t="str" cm="1">
        <f t="array" ref="B3520">IFERROR(INDEX(tbNucleo[ESCOLA],ROUNDUP(ROW(B3519)/TotalEtapas,0)),"")</f>
        <v/>
      </c>
      <c r="E3520" t="str">
        <f>IFERROR(VLOOKUP(tbEscolas[[#This Row],[COD ETPA]],tbEtapas[],2,FALSE),"")</f>
        <v/>
      </c>
      <c r="F3520" t="str">
        <f>IFERROR(VLOOKUP(tbEscolas[[#This Row],[COD ETPA]],tbEtapas[],3,FALSE),"")</f>
        <v/>
      </c>
    </row>
    <row r="3521" spans="1:6" x14ac:dyDescent="0.25">
      <c r="A3521" s="24" t="str">
        <f>_xlfn.XLOOKUP(tbEscolas[[#This Row],[ESCOLA]],tbNucleo[ESCOLA],tbNucleo[COD ESCOLA],"")</f>
        <v/>
      </c>
      <c r="B3521" t="str" cm="1">
        <f t="array" ref="B3521">IFERROR(INDEX(tbNucleo[ESCOLA],ROUNDUP(ROW(B3520)/TotalEtapas,0)),"")</f>
        <v/>
      </c>
      <c r="E3521" t="str">
        <f>IFERROR(VLOOKUP(tbEscolas[[#This Row],[COD ETPA]],tbEtapas[],2,FALSE),"")</f>
        <v/>
      </c>
      <c r="F3521" t="str">
        <f>IFERROR(VLOOKUP(tbEscolas[[#This Row],[COD ETPA]],tbEtapas[],3,FALSE),"")</f>
        <v/>
      </c>
    </row>
    <row r="3522" spans="1:6" x14ac:dyDescent="0.25">
      <c r="A3522" s="24" t="str">
        <f>_xlfn.XLOOKUP(tbEscolas[[#This Row],[ESCOLA]],tbNucleo[ESCOLA],tbNucleo[COD ESCOLA],"")</f>
        <v/>
      </c>
      <c r="B3522" t="str" cm="1">
        <f t="array" ref="B3522">IFERROR(INDEX(tbNucleo[ESCOLA],ROUNDUP(ROW(B3521)/TotalEtapas,0)),"")</f>
        <v/>
      </c>
      <c r="E3522" t="str">
        <f>IFERROR(VLOOKUP(tbEscolas[[#This Row],[COD ETPA]],tbEtapas[],2,FALSE),"")</f>
        <v/>
      </c>
      <c r="F3522" t="str">
        <f>IFERROR(VLOOKUP(tbEscolas[[#This Row],[COD ETPA]],tbEtapas[],3,FALSE),"")</f>
        <v/>
      </c>
    </row>
    <row r="3523" spans="1:6" x14ac:dyDescent="0.25">
      <c r="A3523" s="24" t="str">
        <f>_xlfn.XLOOKUP(tbEscolas[[#This Row],[ESCOLA]],tbNucleo[ESCOLA],tbNucleo[COD ESCOLA],"")</f>
        <v/>
      </c>
      <c r="B3523" t="str" cm="1">
        <f t="array" ref="B3523">IFERROR(INDEX(tbNucleo[ESCOLA],ROUNDUP(ROW(B3522)/TotalEtapas,0)),"")</f>
        <v/>
      </c>
      <c r="E3523" t="str">
        <f>IFERROR(VLOOKUP(tbEscolas[[#This Row],[COD ETPA]],tbEtapas[],2,FALSE),"")</f>
        <v/>
      </c>
      <c r="F3523" t="str">
        <f>IFERROR(VLOOKUP(tbEscolas[[#This Row],[COD ETPA]],tbEtapas[],3,FALSE),"")</f>
        <v/>
      </c>
    </row>
    <row r="3524" spans="1:6" x14ac:dyDescent="0.25">
      <c r="A3524" s="24" t="str">
        <f>_xlfn.XLOOKUP(tbEscolas[[#This Row],[ESCOLA]],tbNucleo[ESCOLA],tbNucleo[COD ESCOLA],"")</f>
        <v/>
      </c>
      <c r="B3524" t="str" cm="1">
        <f t="array" ref="B3524">IFERROR(INDEX(tbNucleo[ESCOLA],ROUNDUP(ROW(B3523)/TotalEtapas,0)),"")</f>
        <v/>
      </c>
      <c r="E3524" t="str">
        <f>IFERROR(VLOOKUP(tbEscolas[[#This Row],[COD ETPA]],tbEtapas[],2,FALSE),"")</f>
        <v/>
      </c>
      <c r="F3524" t="str">
        <f>IFERROR(VLOOKUP(tbEscolas[[#This Row],[COD ETPA]],tbEtapas[],3,FALSE),"")</f>
        <v/>
      </c>
    </row>
    <row r="3525" spans="1:6" x14ac:dyDescent="0.25">
      <c r="A3525" s="24" t="str">
        <f>_xlfn.XLOOKUP(tbEscolas[[#This Row],[ESCOLA]],tbNucleo[ESCOLA],tbNucleo[COD ESCOLA],"")</f>
        <v/>
      </c>
      <c r="B3525" t="str" cm="1">
        <f t="array" ref="B3525">IFERROR(INDEX(tbNucleo[ESCOLA],ROUNDUP(ROW(B3524)/TotalEtapas,0)),"")</f>
        <v/>
      </c>
      <c r="E3525" t="str">
        <f>IFERROR(VLOOKUP(tbEscolas[[#This Row],[COD ETPA]],tbEtapas[],2,FALSE),"")</f>
        <v/>
      </c>
      <c r="F3525" t="str">
        <f>IFERROR(VLOOKUP(tbEscolas[[#This Row],[COD ETPA]],tbEtapas[],3,FALSE),"")</f>
        <v/>
      </c>
    </row>
    <row r="3526" spans="1:6" x14ac:dyDescent="0.25">
      <c r="A3526" s="24" t="str">
        <f>_xlfn.XLOOKUP(tbEscolas[[#This Row],[ESCOLA]],tbNucleo[ESCOLA],tbNucleo[COD ESCOLA],"")</f>
        <v/>
      </c>
      <c r="B3526" t="str" cm="1">
        <f t="array" ref="B3526">IFERROR(INDEX(tbNucleo[ESCOLA],ROUNDUP(ROW(B3525)/TotalEtapas,0)),"")</f>
        <v/>
      </c>
      <c r="E3526" t="str">
        <f>IFERROR(VLOOKUP(tbEscolas[[#This Row],[COD ETPA]],tbEtapas[],2,FALSE),"")</f>
        <v/>
      </c>
      <c r="F3526" t="str">
        <f>IFERROR(VLOOKUP(tbEscolas[[#This Row],[COD ETPA]],tbEtapas[],3,FALSE),"")</f>
        <v/>
      </c>
    </row>
    <row r="3527" spans="1:6" x14ac:dyDescent="0.25">
      <c r="A3527" s="24" t="str">
        <f>_xlfn.XLOOKUP(tbEscolas[[#This Row],[ESCOLA]],tbNucleo[ESCOLA],tbNucleo[COD ESCOLA],"")</f>
        <v/>
      </c>
      <c r="B3527" t="str" cm="1">
        <f t="array" ref="B3527">IFERROR(INDEX(tbNucleo[ESCOLA],ROUNDUP(ROW(B3526)/TotalEtapas,0)),"")</f>
        <v/>
      </c>
      <c r="E3527" t="str">
        <f>IFERROR(VLOOKUP(tbEscolas[[#This Row],[COD ETPA]],tbEtapas[],2,FALSE),"")</f>
        <v/>
      </c>
      <c r="F3527" t="str">
        <f>IFERROR(VLOOKUP(tbEscolas[[#This Row],[COD ETPA]],tbEtapas[],3,FALSE),"")</f>
        <v/>
      </c>
    </row>
    <row r="3528" spans="1:6" x14ac:dyDescent="0.25">
      <c r="A3528" s="24" t="str">
        <f>_xlfn.XLOOKUP(tbEscolas[[#This Row],[ESCOLA]],tbNucleo[ESCOLA],tbNucleo[COD ESCOLA],"")</f>
        <v/>
      </c>
      <c r="B3528" t="str" cm="1">
        <f t="array" ref="B3528">IFERROR(INDEX(tbNucleo[ESCOLA],ROUNDUP(ROW(B3527)/TotalEtapas,0)),"")</f>
        <v/>
      </c>
      <c r="E3528" t="str">
        <f>IFERROR(VLOOKUP(tbEscolas[[#This Row],[COD ETPA]],tbEtapas[],2,FALSE),"")</f>
        <v/>
      </c>
      <c r="F3528" t="str">
        <f>IFERROR(VLOOKUP(tbEscolas[[#This Row],[COD ETPA]],tbEtapas[],3,FALSE),"")</f>
        <v/>
      </c>
    </row>
    <row r="3529" spans="1:6" x14ac:dyDescent="0.25">
      <c r="A3529" s="24" t="str">
        <f>_xlfn.XLOOKUP(tbEscolas[[#This Row],[ESCOLA]],tbNucleo[ESCOLA],tbNucleo[COD ESCOLA],"")</f>
        <v/>
      </c>
      <c r="B3529" t="str" cm="1">
        <f t="array" ref="B3529">IFERROR(INDEX(tbNucleo[ESCOLA],ROUNDUP(ROW(B3528)/TotalEtapas,0)),"")</f>
        <v/>
      </c>
      <c r="E3529" t="str">
        <f>IFERROR(VLOOKUP(tbEscolas[[#This Row],[COD ETPA]],tbEtapas[],2,FALSE),"")</f>
        <v/>
      </c>
      <c r="F3529" t="str">
        <f>IFERROR(VLOOKUP(tbEscolas[[#This Row],[COD ETPA]],tbEtapas[],3,FALSE),"")</f>
        <v/>
      </c>
    </row>
    <row r="3530" spans="1:6" x14ac:dyDescent="0.25">
      <c r="A3530" s="24" t="str">
        <f>_xlfn.XLOOKUP(tbEscolas[[#This Row],[ESCOLA]],tbNucleo[ESCOLA],tbNucleo[COD ESCOLA],"")</f>
        <v/>
      </c>
      <c r="B3530" t="str" cm="1">
        <f t="array" ref="B3530">IFERROR(INDEX(tbNucleo[ESCOLA],ROUNDUP(ROW(B3529)/TotalEtapas,0)),"")</f>
        <v/>
      </c>
      <c r="E3530" t="str">
        <f>IFERROR(VLOOKUP(tbEscolas[[#This Row],[COD ETPA]],tbEtapas[],2,FALSE),"")</f>
        <v/>
      </c>
      <c r="F3530" t="str">
        <f>IFERROR(VLOOKUP(tbEscolas[[#This Row],[COD ETPA]],tbEtapas[],3,FALSE),"")</f>
        <v/>
      </c>
    </row>
    <row r="3531" spans="1:6" x14ac:dyDescent="0.25">
      <c r="A3531" s="24" t="str">
        <f>_xlfn.XLOOKUP(tbEscolas[[#This Row],[ESCOLA]],tbNucleo[ESCOLA],tbNucleo[COD ESCOLA],"")</f>
        <v/>
      </c>
      <c r="B3531" t="str" cm="1">
        <f t="array" ref="B3531">IFERROR(INDEX(tbNucleo[ESCOLA],ROUNDUP(ROW(B3530)/TotalEtapas,0)),"")</f>
        <v/>
      </c>
      <c r="E3531" t="str">
        <f>IFERROR(VLOOKUP(tbEscolas[[#This Row],[COD ETPA]],tbEtapas[],2,FALSE),"")</f>
        <v/>
      </c>
      <c r="F3531" t="str">
        <f>IFERROR(VLOOKUP(tbEscolas[[#This Row],[COD ETPA]],tbEtapas[],3,FALSE),"")</f>
        <v/>
      </c>
    </row>
    <row r="3532" spans="1:6" x14ac:dyDescent="0.25">
      <c r="A3532" s="24" t="str">
        <f>_xlfn.XLOOKUP(tbEscolas[[#This Row],[ESCOLA]],tbNucleo[ESCOLA],tbNucleo[COD ESCOLA],"")</f>
        <v/>
      </c>
      <c r="B3532" t="str" cm="1">
        <f t="array" ref="B3532">IFERROR(INDEX(tbNucleo[ESCOLA],ROUNDUP(ROW(B3531)/TotalEtapas,0)),"")</f>
        <v/>
      </c>
      <c r="E3532" t="str">
        <f>IFERROR(VLOOKUP(tbEscolas[[#This Row],[COD ETPA]],tbEtapas[],2,FALSE),"")</f>
        <v/>
      </c>
      <c r="F3532" t="str">
        <f>IFERROR(VLOOKUP(tbEscolas[[#This Row],[COD ETPA]],tbEtapas[],3,FALSE),"")</f>
        <v/>
      </c>
    </row>
    <row r="3533" spans="1:6" x14ac:dyDescent="0.25">
      <c r="A3533" s="24" t="str">
        <f>_xlfn.XLOOKUP(tbEscolas[[#This Row],[ESCOLA]],tbNucleo[ESCOLA],tbNucleo[COD ESCOLA],"")</f>
        <v/>
      </c>
      <c r="B3533" t="str" cm="1">
        <f t="array" ref="B3533">IFERROR(INDEX(tbNucleo[ESCOLA],ROUNDUP(ROW(B3532)/TotalEtapas,0)),"")</f>
        <v/>
      </c>
      <c r="E3533" t="str">
        <f>IFERROR(VLOOKUP(tbEscolas[[#This Row],[COD ETPA]],tbEtapas[],2,FALSE),"")</f>
        <v/>
      </c>
      <c r="F3533" t="str">
        <f>IFERROR(VLOOKUP(tbEscolas[[#This Row],[COD ETPA]],tbEtapas[],3,FALSE),"")</f>
        <v/>
      </c>
    </row>
    <row r="3534" spans="1:6" x14ac:dyDescent="0.25">
      <c r="A3534" s="24" t="str">
        <f>_xlfn.XLOOKUP(tbEscolas[[#This Row],[ESCOLA]],tbNucleo[ESCOLA],tbNucleo[COD ESCOLA],"")</f>
        <v/>
      </c>
      <c r="B3534" t="str" cm="1">
        <f t="array" ref="B3534">IFERROR(INDEX(tbNucleo[ESCOLA],ROUNDUP(ROW(B3533)/TotalEtapas,0)),"")</f>
        <v/>
      </c>
      <c r="E3534" t="str">
        <f>IFERROR(VLOOKUP(tbEscolas[[#This Row],[COD ETPA]],tbEtapas[],2,FALSE),"")</f>
        <v/>
      </c>
      <c r="F3534" t="str">
        <f>IFERROR(VLOOKUP(tbEscolas[[#This Row],[COD ETPA]],tbEtapas[],3,FALSE),"")</f>
        <v/>
      </c>
    </row>
    <row r="3535" spans="1:6" x14ac:dyDescent="0.25">
      <c r="A3535" s="24" t="str">
        <f>_xlfn.XLOOKUP(tbEscolas[[#This Row],[ESCOLA]],tbNucleo[ESCOLA],tbNucleo[COD ESCOLA],"")</f>
        <v/>
      </c>
      <c r="B3535" t="str" cm="1">
        <f t="array" ref="B3535">IFERROR(INDEX(tbNucleo[ESCOLA],ROUNDUP(ROW(B3534)/TotalEtapas,0)),"")</f>
        <v/>
      </c>
      <c r="E3535" t="str">
        <f>IFERROR(VLOOKUP(tbEscolas[[#This Row],[COD ETPA]],tbEtapas[],2,FALSE),"")</f>
        <v/>
      </c>
      <c r="F3535" t="str">
        <f>IFERROR(VLOOKUP(tbEscolas[[#This Row],[COD ETPA]],tbEtapas[],3,FALSE),"")</f>
        <v/>
      </c>
    </row>
    <row r="3536" spans="1:6" x14ac:dyDescent="0.25">
      <c r="A3536" s="24" t="str">
        <f>_xlfn.XLOOKUP(tbEscolas[[#This Row],[ESCOLA]],tbNucleo[ESCOLA],tbNucleo[COD ESCOLA],"")</f>
        <v/>
      </c>
      <c r="B3536" t="str" cm="1">
        <f t="array" ref="B3536">IFERROR(INDEX(tbNucleo[ESCOLA],ROUNDUP(ROW(B3535)/TotalEtapas,0)),"")</f>
        <v/>
      </c>
      <c r="E3536" t="str">
        <f>IFERROR(VLOOKUP(tbEscolas[[#This Row],[COD ETPA]],tbEtapas[],2,FALSE),"")</f>
        <v/>
      </c>
      <c r="F3536" t="str">
        <f>IFERROR(VLOOKUP(tbEscolas[[#This Row],[COD ETPA]],tbEtapas[],3,FALSE),"")</f>
        <v/>
      </c>
    </row>
    <row r="3537" spans="1:6" x14ac:dyDescent="0.25">
      <c r="A3537" s="24" t="str">
        <f>_xlfn.XLOOKUP(tbEscolas[[#This Row],[ESCOLA]],tbNucleo[ESCOLA],tbNucleo[COD ESCOLA],"")</f>
        <v/>
      </c>
      <c r="B3537" t="str" cm="1">
        <f t="array" ref="B3537">IFERROR(INDEX(tbNucleo[ESCOLA],ROUNDUP(ROW(B3536)/TotalEtapas,0)),"")</f>
        <v/>
      </c>
      <c r="E3537" t="str">
        <f>IFERROR(VLOOKUP(tbEscolas[[#This Row],[COD ETPA]],tbEtapas[],2,FALSE),"")</f>
        <v/>
      </c>
      <c r="F3537" t="str">
        <f>IFERROR(VLOOKUP(tbEscolas[[#This Row],[COD ETPA]],tbEtapas[],3,FALSE),"")</f>
        <v/>
      </c>
    </row>
    <row r="3538" spans="1:6" x14ac:dyDescent="0.25">
      <c r="A3538" s="24" t="str">
        <f>_xlfn.XLOOKUP(tbEscolas[[#This Row],[ESCOLA]],tbNucleo[ESCOLA],tbNucleo[COD ESCOLA],"")</f>
        <v/>
      </c>
      <c r="B3538" t="str" cm="1">
        <f t="array" ref="B3538">IFERROR(INDEX(tbNucleo[ESCOLA],ROUNDUP(ROW(B3537)/TotalEtapas,0)),"")</f>
        <v/>
      </c>
      <c r="E3538" t="str">
        <f>IFERROR(VLOOKUP(tbEscolas[[#This Row],[COD ETPA]],tbEtapas[],2,FALSE),"")</f>
        <v/>
      </c>
      <c r="F3538" t="str">
        <f>IFERROR(VLOOKUP(tbEscolas[[#This Row],[COD ETPA]],tbEtapas[],3,FALSE),"")</f>
        <v/>
      </c>
    </row>
    <row r="3539" spans="1:6" x14ac:dyDescent="0.25">
      <c r="A3539" s="24" t="str">
        <f>_xlfn.XLOOKUP(tbEscolas[[#This Row],[ESCOLA]],tbNucleo[ESCOLA],tbNucleo[COD ESCOLA],"")</f>
        <v/>
      </c>
      <c r="B3539" t="str" cm="1">
        <f t="array" ref="B3539">IFERROR(INDEX(tbNucleo[ESCOLA],ROUNDUP(ROW(B3538)/TotalEtapas,0)),"")</f>
        <v/>
      </c>
      <c r="E3539" t="str">
        <f>IFERROR(VLOOKUP(tbEscolas[[#This Row],[COD ETPA]],tbEtapas[],2,FALSE),"")</f>
        <v/>
      </c>
      <c r="F3539" t="str">
        <f>IFERROR(VLOOKUP(tbEscolas[[#This Row],[COD ETPA]],tbEtapas[],3,FALSE),"")</f>
        <v/>
      </c>
    </row>
    <row r="3540" spans="1:6" x14ac:dyDescent="0.25">
      <c r="A3540" s="24" t="str">
        <f>_xlfn.XLOOKUP(tbEscolas[[#This Row],[ESCOLA]],tbNucleo[ESCOLA],tbNucleo[COD ESCOLA],"")</f>
        <v/>
      </c>
      <c r="B3540" t="str" cm="1">
        <f t="array" ref="B3540">IFERROR(INDEX(tbNucleo[ESCOLA],ROUNDUP(ROW(B3539)/TotalEtapas,0)),"")</f>
        <v/>
      </c>
      <c r="E3540" t="str">
        <f>IFERROR(VLOOKUP(tbEscolas[[#This Row],[COD ETPA]],tbEtapas[],2,FALSE),"")</f>
        <v/>
      </c>
      <c r="F3540" t="str">
        <f>IFERROR(VLOOKUP(tbEscolas[[#This Row],[COD ETPA]],tbEtapas[],3,FALSE),"")</f>
        <v/>
      </c>
    </row>
    <row r="3541" spans="1:6" x14ac:dyDescent="0.25">
      <c r="A3541" s="24" t="str">
        <f>_xlfn.XLOOKUP(tbEscolas[[#This Row],[ESCOLA]],tbNucleo[ESCOLA],tbNucleo[COD ESCOLA],"")</f>
        <v/>
      </c>
      <c r="B3541" t="str" cm="1">
        <f t="array" ref="B3541">IFERROR(INDEX(tbNucleo[ESCOLA],ROUNDUP(ROW(B3540)/TotalEtapas,0)),"")</f>
        <v/>
      </c>
      <c r="E3541" t="str">
        <f>IFERROR(VLOOKUP(tbEscolas[[#This Row],[COD ETPA]],tbEtapas[],2,FALSE),"")</f>
        <v/>
      </c>
      <c r="F3541" t="str">
        <f>IFERROR(VLOOKUP(tbEscolas[[#This Row],[COD ETPA]],tbEtapas[],3,FALSE),"")</f>
        <v/>
      </c>
    </row>
    <row r="3542" spans="1:6" x14ac:dyDescent="0.25">
      <c r="A3542" s="24" t="str">
        <f>_xlfn.XLOOKUP(tbEscolas[[#This Row],[ESCOLA]],tbNucleo[ESCOLA],tbNucleo[COD ESCOLA],"")</f>
        <v/>
      </c>
      <c r="B3542" t="str" cm="1">
        <f t="array" ref="B3542">IFERROR(INDEX(tbNucleo[ESCOLA],ROUNDUP(ROW(B3541)/TotalEtapas,0)),"")</f>
        <v/>
      </c>
      <c r="E3542" t="str">
        <f>IFERROR(VLOOKUP(tbEscolas[[#This Row],[COD ETPA]],tbEtapas[],2,FALSE),"")</f>
        <v/>
      </c>
      <c r="F3542" t="str">
        <f>IFERROR(VLOOKUP(tbEscolas[[#This Row],[COD ETPA]],tbEtapas[],3,FALSE),"")</f>
        <v/>
      </c>
    </row>
    <row r="3543" spans="1:6" x14ac:dyDescent="0.25">
      <c r="A3543" s="24" t="str">
        <f>_xlfn.XLOOKUP(tbEscolas[[#This Row],[ESCOLA]],tbNucleo[ESCOLA],tbNucleo[COD ESCOLA],"")</f>
        <v/>
      </c>
      <c r="B3543" t="str" cm="1">
        <f t="array" ref="B3543">IFERROR(INDEX(tbNucleo[ESCOLA],ROUNDUP(ROW(B3542)/TotalEtapas,0)),"")</f>
        <v/>
      </c>
      <c r="E3543" t="str">
        <f>IFERROR(VLOOKUP(tbEscolas[[#This Row],[COD ETPA]],tbEtapas[],2,FALSE),"")</f>
        <v/>
      </c>
      <c r="F3543" t="str">
        <f>IFERROR(VLOOKUP(tbEscolas[[#This Row],[COD ETPA]],tbEtapas[],3,FALSE),"")</f>
        <v/>
      </c>
    </row>
    <row r="3544" spans="1:6" x14ac:dyDescent="0.25">
      <c r="A3544" s="24" t="str">
        <f>_xlfn.XLOOKUP(tbEscolas[[#This Row],[ESCOLA]],tbNucleo[ESCOLA],tbNucleo[COD ESCOLA],"")</f>
        <v/>
      </c>
      <c r="B3544" t="str" cm="1">
        <f t="array" ref="B3544">IFERROR(INDEX(tbNucleo[ESCOLA],ROUNDUP(ROW(B3543)/TotalEtapas,0)),"")</f>
        <v/>
      </c>
      <c r="E3544" t="str">
        <f>IFERROR(VLOOKUP(tbEscolas[[#This Row],[COD ETPA]],tbEtapas[],2,FALSE),"")</f>
        <v/>
      </c>
      <c r="F3544" t="str">
        <f>IFERROR(VLOOKUP(tbEscolas[[#This Row],[COD ETPA]],tbEtapas[],3,FALSE),"")</f>
        <v/>
      </c>
    </row>
    <row r="3545" spans="1:6" x14ac:dyDescent="0.25">
      <c r="A3545" s="24" t="str">
        <f>_xlfn.XLOOKUP(tbEscolas[[#This Row],[ESCOLA]],tbNucleo[ESCOLA],tbNucleo[COD ESCOLA],"")</f>
        <v/>
      </c>
      <c r="B3545" t="str" cm="1">
        <f t="array" ref="B3545">IFERROR(INDEX(tbNucleo[ESCOLA],ROUNDUP(ROW(B3544)/TotalEtapas,0)),"")</f>
        <v/>
      </c>
      <c r="E3545" t="str">
        <f>IFERROR(VLOOKUP(tbEscolas[[#This Row],[COD ETPA]],tbEtapas[],2,FALSE),"")</f>
        <v/>
      </c>
      <c r="F3545" t="str">
        <f>IFERROR(VLOOKUP(tbEscolas[[#This Row],[COD ETPA]],tbEtapas[],3,FALSE),"")</f>
        <v/>
      </c>
    </row>
    <row r="3546" spans="1:6" x14ac:dyDescent="0.25">
      <c r="A3546" s="24" t="str">
        <f>_xlfn.XLOOKUP(tbEscolas[[#This Row],[ESCOLA]],tbNucleo[ESCOLA],tbNucleo[COD ESCOLA],"")</f>
        <v/>
      </c>
      <c r="B3546" t="str" cm="1">
        <f t="array" ref="B3546">IFERROR(INDEX(tbNucleo[ESCOLA],ROUNDUP(ROW(B3545)/TotalEtapas,0)),"")</f>
        <v/>
      </c>
      <c r="E3546" t="str">
        <f>IFERROR(VLOOKUP(tbEscolas[[#This Row],[COD ETPA]],tbEtapas[],2,FALSE),"")</f>
        <v/>
      </c>
      <c r="F3546" t="str">
        <f>IFERROR(VLOOKUP(tbEscolas[[#This Row],[COD ETPA]],tbEtapas[],3,FALSE),"")</f>
        <v/>
      </c>
    </row>
    <row r="3547" spans="1:6" x14ac:dyDescent="0.25">
      <c r="A3547" s="24" t="str">
        <f>_xlfn.XLOOKUP(tbEscolas[[#This Row],[ESCOLA]],tbNucleo[ESCOLA],tbNucleo[COD ESCOLA],"")</f>
        <v/>
      </c>
      <c r="B3547" t="str" cm="1">
        <f t="array" ref="B3547">IFERROR(INDEX(tbNucleo[ESCOLA],ROUNDUP(ROW(B3546)/TotalEtapas,0)),"")</f>
        <v/>
      </c>
      <c r="E3547" t="str">
        <f>IFERROR(VLOOKUP(tbEscolas[[#This Row],[COD ETPA]],tbEtapas[],2,FALSE),"")</f>
        <v/>
      </c>
      <c r="F3547" t="str">
        <f>IFERROR(VLOOKUP(tbEscolas[[#This Row],[COD ETPA]],tbEtapas[],3,FALSE),"")</f>
        <v/>
      </c>
    </row>
    <row r="3548" spans="1:6" x14ac:dyDescent="0.25">
      <c r="A3548" s="24" t="str">
        <f>_xlfn.XLOOKUP(tbEscolas[[#This Row],[ESCOLA]],tbNucleo[ESCOLA],tbNucleo[COD ESCOLA],"")</f>
        <v/>
      </c>
      <c r="B3548" t="str" cm="1">
        <f t="array" ref="B3548">IFERROR(INDEX(tbNucleo[ESCOLA],ROUNDUP(ROW(B3547)/TotalEtapas,0)),"")</f>
        <v/>
      </c>
      <c r="E3548" t="str">
        <f>IFERROR(VLOOKUP(tbEscolas[[#This Row],[COD ETPA]],tbEtapas[],2,FALSE),"")</f>
        <v/>
      </c>
      <c r="F3548" t="str">
        <f>IFERROR(VLOOKUP(tbEscolas[[#This Row],[COD ETPA]],tbEtapas[],3,FALSE),"")</f>
        <v/>
      </c>
    </row>
    <row r="3549" spans="1:6" x14ac:dyDescent="0.25">
      <c r="A3549" s="24" t="str">
        <f>_xlfn.XLOOKUP(tbEscolas[[#This Row],[ESCOLA]],tbNucleo[ESCOLA],tbNucleo[COD ESCOLA],"")</f>
        <v/>
      </c>
      <c r="B3549" t="str" cm="1">
        <f t="array" ref="B3549">IFERROR(INDEX(tbNucleo[ESCOLA],ROUNDUP(ROW(B3548)/TotalEtapas,0)),"")</f>
        <v/>
      </c>
      <c r="E3549" t="str">
        <f>IFERROR(VLOOKUP(tbEscolas[[#This Row],[COD ETPA]],tbEtapas[],2,FALSE),"")</f>
        <v/>
      </c>
      <c r="F3549" t="str">
        <f>IFERROR(VLOOKUP(tbEscolas[[#This Row],[COD ETPA]],tbEtapas[],3,FALSE),"")</f>
        <v/>
      </c>
    </row>
    <row r="3550" spans="1:6" x14ac:dyDescent="0.25">
      <c r="A3550" s="24" t="str">
        <f>_xlfn.XLOOKUP(tbEscolas[[#This Row],[ESCOLA]],tbNucleo[ESCOLA],tbNucleo[COD ESCOLA],"")</f>
        <v/>
      </c>
      <c r="B3550" t="str" cm="1">
        <f t="array" ref="B3550">IFERROR(INDEX(tbNucleo[ESCOLA],ROUNDUP(ROW(B3549)/TotalEtapas,0)),"")</f>
        <v/>
      </c>
      <c r="E3550" t="str">
        <f>IFERROR(VLOOKUP(tbEscolas[[#This Row],[COD ETPA]],tbEtapas[],2,FALSE),"")</f>
        <v/>
      </c>
      <c r="F3550" t="str">
        <f>IFERROR(VLOOKUP(tbEscolas[[#This Row],[COD ETPA]],tbEtapas[],3,FALSE),"")</f>
        <v/>
      </c>
    </row>
    <row r="3551" spans="1:6" x14ac:dyDescent="0.25">
      <c r="A3551" s="24" t="str">
        <f>_xlfn.XLOOKUP(tbEscolas[[#This Row],[ESCOLA]],tbNucleo[ESCOLA],tbNucleo[COD ESCOLA],"")</f>
        <v/>
      </c>
      <c r="B3551" t="str" cm="1">
        <f t="array" ref="B3551">IFERROR(INDEX(tbNucleo[ESCOLA],ROUNDUP(ROW(B3550)/TotalEtapas,0)),"")</f>
        <v/>
      </c>
      <c r="E3551" t="str">
        <f>IFERROR(VLOOKUP(tbEscolas[[#This Row],[COD ETPA]],tbEtapas[],2,FALSE),"")</f>
        <v/>
      </c>
      <c r="F3551" t="str">
        <f>IFERROR(VLOOKUP(tbEscolas[[#This Row],[COD ETPA]],tbEtapas[],3,FALSE),"")</f>
        <v/>
      </c>
    </row>
    <row r="3552" spans="1:6" x14ac:dyDescent="0.25">
      <c r="A3552" s="24" t="str">
        <f>_xlfn.XLOOKUP(tbEscolas[[#This Row],[ESCOLA]],tbNucleo[ESCOLA],tbNucleo[COD ESCOLA],"")</f>
        <v/>
      </c>
      <c r="B3552" t="str" cm="1">
        <f t="array" ref="B3552">IFERROR(INDEX(tbNucleo[ESCOLA],ROUNDUP(ROW(B3551)/TotalEtapas,0)),"")</f>
        <v/>
      </c>
      <c r="E3552" t="str">
        <f>IFERROR(VLOOKUP(tbEscolas[[#This Row],[COD ETPA]],tbEtapas[],2,FALSE),"")</f>
        <v/>
      </c>
      <c r="F3552" t="str">
        <f>IFERROR(VLOOKUP(tbEscolas[[#This Row],[COD ETPA]],tbEtapas[],3,FALSE),"")</f>
        <v/>
      </c>
    </row>
    <row r="3553" spans="1:6" x14ac:dyDescent="0.25">
      <c r="A3553" s="24" t="str">
        <f>_xlfn.XLOOKUP(tbEscolas[[#This Row],[ESCOLA]],tbNucleo[ESCOLA],tbNucleo[COD ESCOLA],"")</f>
        <v/>
      </c>
      <c r="B3553" t="str" cm="1">
        <f t="array" ref="B3553">IFERROR(INDEX(tbNucleo[ESCOLA],ROUNDUP(ROW(B3552)/TotalEtapas,0)),"")</f>
        <v/>
      </c>
      <c r="E3553" t="str">
        <f>IFERROR(VLOOKUP(tbEscolas[[#This Row],[COD ETPA]],tbEtapas[],2,FALSE),"")</f>
        <v/>
      </c>
      <c r="F3553" t="str">
        <f>IFERROR(VLOOKUP(tbEscolas[[#This Row],[COD ETPA]],tbEtapas[],3,FALSE),"")</f>
        <v/>
      </c>
    </row>
    <row r="3554" spans="1:6" x14ac:dyDescent="0.25">
      <c r="A3554" s="24" t="str">
        <f>_xlfn.XLOOKUP(tbEscolas[[#This Row],[ESCOLA]],tbNucleo[ESCOLA],tbNucleo[COD ESCOLA],"")</f>
        <v/>
      </c>
      <c r="B3554" t="str" cm="1">
        <f t="array" ref="B3554">IFERROR(INDEX(tbNucleo[ESCOLA],ROUNDUP(ROW(B3553)/TotalEtapas,0)),"")</f>
        <v/>
      </c>
      <c r="E3554" t="str">
        <f>IFERROR(VLOOKUP(tbEscolas[[#This Row],[COD ETPA]],tbEtapas[],2,FALSE),"")</f>
        <v/>
      </c>
      <c r="F3554" t="str">
        <f>IFERROR(VLOOKUP(tbEscolas[[#This Row],[COD ETPA]],tbEtapas[],3,FALSE),"")</f>
        <v/>
      </c>
    </row>
    <row r="3555" spans="1:6" x14ac:dyDescent="0.25">
      <c r="A3555" s="24" t="str">
        <f>_xlfn.XLOOKUP(tbEscolas[[#This Row],[ESCOLA]],tbNucleo[ESCOLA],tbNucleo[COD ESCOLA],"")</f>
        <v/>
      </c>
      <c r="B3555" t="str" cm="1">
        <f t="array" ref="B3555">IFERROR(INDEX(tbNucleo[ESCOLA],ROUNDUP(ROW(B3554)/TotalEtapas,0)),"")</f>
        <v/>
      </c>
      <c r="E3555" t="str">
        <f>IFERROR(VLOOKUP(tbEscolas[[#This Row],[COD ETPA]],tbEtapas[],2,FALSE),"")</f>
        <v/>
      </c>
      <c r="F3555" t="str">
        <f>IFERROR(VLOOKUP(tbEscolas[[#This Row],[COD ETPA]],tbEtapas[],3,FALSE),"")</f>
        <v/>
      </c>
    </row>
    <row r="3556" spans="1:6" x14ac:dyDescent="0.25">
      <c r="A3556" s="24" t="str">
        <f>_xlfn.XLOOKUP(tbEscolas[[#This Row],[ESCOLA]],tbNucleo[ESCOLA],tbNucleo[COD ESCOLA],"")</f>
        <v/>
      </c>
      <c r="B3556" t="str" cm="1">
        <f t="array" ref="B3556">IFERROR(INDEX(tbNucleo[ESCOLA],ROUNDUP(ROW(B3555)/TotalEtapas,0)),"")</f>
        <v/>
      </c>
      <c r="E3556" t="str">
        <f>IFERROR(VLOOKUP(tbEscolas[[#This Row],[COD ETPA]],tbEtapas[],2,FALSE),"")</f>
        <v/>
      </c>
      <c r="F3556" t="str">
        <f>IFERROR(VLOOKUP(tbEscolas[[#This Row],[COD ETPA]],tbEtapas[],3,FALSE),"")</f>
        <v/>
      </c>
    </row>
    <row r="3557" spans="1:6" x14ac:dyDescent="0.25">
      <c r="A3557" s="24" t="str">
        <f>_xlfn.XLOOKUP(tbEscolas[[#This Row],[ESCOLA]],tbNucleo[ESCOLA],tbNucleo[COD ESCOLA],"")</f>
        <v/>
      </c>
      <c r="B3557" t="str" cm="1">
        <f t="array" ref="B3557">IFERROR(INDEX(tbNucleo[ESCOLA],ROUNDUP(ROW(B3556)/TotalEtapas,0)),"")</f>
        <v/>
      </c>
      <c r="E3557" t="str">
        <f>IFERROR(VLOOKUP(tbEscolas[[#This Row],[COD ETPA]],tbEtapas[],2,FALSE),"")</f>
        <v/>
      </c>
      <c r="F3557" t="str">
        <f>IFERROR(VLOOKUP(tbEscolas[[#This Row],[COD ETPA]],tbEtapas[],3,FALSE),"")</f>
        <v/>
      </c>
    </row>
    <row r="3558" spans="1:6" x14ac:dyDescent="0.25">
      <c r="A3558" s="24" t="str">
        <f>_xlfn.XLOOKUP(tbEscolas[[#This Row],[ESCOLA]],tbNucleo[ESCOLA],tbNucleo[COD ESCOLA],"")</f>
        <v/>
      </c>
      <c r="B3558" t="str" cm="1">
        <f t="array" ref="B3558">IFERROR(INDEX(tbNucleo[ESCOLA],ROUNDUP(ROW(B3557)/TotalEtapas,0)),"")</f>
        <v/>
      </c>
      <c r="E3558" t="str">
        <f>IFERROR(VLOOKUP(tbEscolas[[#This Row],[COD ETPA]],tbEtapas[],2,FALSE),"")</f>
        <v/>
      </c>
      <c r="F3558" t="str">
        <f>IFERROR(VLOOKUP(tbEscolas[[#This Row],[COD ETPA]],tbEtapas[],3,FALSE),"")</f>
        <v/>
      </c>
    </row>
    <row r="3559" spans="1:6" x14ac:dyDescent="0.25">
      <c r="A3559" s="24" t="str">
        <f>_xlfn.XLOOKUP(tbEscolas[[#This Row],[ESCOLA]],tbNucleo[ESCOLA],tbNucleo[COD ESCOLA],"")</f>
        <v/>
      </c>
      <c r="B3559" t="str" cm="1">
        <f t="array" ref="B3559">IFERROR(INDEX(tbNucleo[ESCOLA],ROUNDUP(ROW(B3558)/TotalEtapas,0)),"")</f>
        <v/>
      </c>
      <c r="E3559" t="str">
        <f>IFERROR(VLOOKUP(tbEscolas[[#This Row],[COD ETPA]],tbEtapas[],2,FALSE),"")</f>
        <v/>
      </c>
      <c r="F3559" t="str">
        <f>IFERROR(VLOOKUP(tbEscolas[[#This Row],[COD ETPA]],tbEtapas[],3,FALSE),"")</f>
        <v/>
      </c>
    </row>
    <row r="3560" spans="1:6" x14ac:dyDescent="0.25">
      <c r="A3560" s="24" t="str">
        <f>_xlfn.XLOOKUP(tbEscolas[[#This Row],[ESCOLA]],tbNucleo[ESCOLA],tbNucleo[COD ESCOLA],"")</f>
        <v/>
      </c>
      <c r="B3560" t="str" cm="1">
        <f t="array" ref="B3560">IFERROR(INDEX(tbNucleo[ESCOLA],ROUNDUP(ROW(B3559)/TotalEtapas,0)),"")</f>
        <v/>
      </c>
      <c r="E3560" t="str">
        <f>IFERROR(VLOOKUP(tbEscolas[[#This Row],[COD ETPA]],tbEtapas[],2,FALSE),"")</f>
        <v/>
      </c>
      <c r="F3560" t="str">
        <f>IFERROR(VLOOKUP(tbEscolas[[#This Row],[COD ETPA]],tbEtapas[],3,FALSE),"")</f>
        <v/>
      </c>
    </row>
    <row r="3561" spans="1:6" x14ac:dyDescent="0.25">
      <c r="A3561" s="24" t="str">
        <f>_xlfn.XLOOKUP(tbEscolas[[#This Row],[ESCOLA]],tbNucleo[ESCOLA],tbNucleo[COD ESCOLA],"")</f>
        <v/>
      </c>
      <c r="B3561" t="str" cm="1">
        <f t="array" ref="B3561">IFERROR(INDEX(tbNucleo[ESCOLA],ROUNDUP(ROW(B3560)/TotalEtapas,0)),"")</f>
        <v/>
      </c>
      <c r="E3561" t="str">
        <f>IFERROR(VLOOKUP(tbEscolas[[#This Row],[COD ETPA]],tbEtapas[],2,FALSE),"")</f>
        <v/>
      </c>
      <c r="F3561" t="str">
        <f>IFERROR(VLOOKUP(tbEscolas[[#This Row],[COD ETPA]],tbEtapas[],3,FALSE),"")</f>
        <v/>
      </c>
    </row>
    <row r="3562" spans="1:6" x14ac:dyDescent="0.25">
      <c r="A3562" s="24" t="str">
        <f>_xlfn.XLOOKUP(tbEscolas[[#This Row],[ESCOLA]],tbNucleo[ESCOLA],tbNucleo[COD ESCOLA],"")</f>
        <v/>
      </c>
      <c r="B3562" t="str" cm="1">
        <f t="array" ref="B3562">IFERROR(INDEX(tbNucleo[ESCOLA],ROUNDUP(ROW(B3561)/TotalEtapas,0)),"")</f>
        <v/>
      </c>
      <c r="E3562" t="str">
        <f>IFERROR(VLOOKUP(tbEscolas[[#This Row],[COD ETPA]],tbEtapas[],2,FALSE),"")</f>
        <v/>
      </c>
      <c r="F3562" t="str">
        <f>IFERROR(VLOOKUP(tbEscolas[[#This Row],[COD ETPA]],tbEtapas[],3,FALSE),"")</f>
        <v/>
      </c>
    </row>
    <row r="3563" spans="1:6" x14ac:dyDescent="0.25">
      <c r="A3563" s="24" t="str">
        <f>_xlfn.XLOOKUP(tbEscolas[[#This Row],[ESCOLA]],tbNucleo[ESCOLA],tbNucleo[COD ESCOLA],"")</f>
        <v/>
      </c>
      <c r="B3563" t="str" cm="1">
        <f t="array" ref="B3563">IFERROR(INDEX(tbNucleo[ESCOLA],ROUNDUP(ROW(B3562)/TotalEtapas,0)),"")</f>
        <v/>
      </c>
      <c r="E3563" t="str">
        <f>IFERROR(VLOOKUP(tbEscolas[[#This Row],[COD ETPA]],tbEtapas[],2,FALSE),"")</f>
        <v/>
      </c>
      <c r="F3563" t="str">
        <f>IFERROR(VLOOKUP(tbEscolas[[#This Row],[COD ETPA]],tbEtapas[],3,FALSE),"")</f>
        <v/>
      </c>
    </row>
    <row r="3564" spans="1:6" x14ac:dyDescent="0.25">
      <c r="A3564" s="24" t="str">
        <f>_xlfn.XLOOKUP(tbEscolas[[#This Row],[ESCOLA]],tbNucleo[ESCOLA],tbNucleo[COD ESCOLA],"")</f>
        <v/>
      </c>
      <c r="B3564" t="str" cm="1">
        <f t="array" ref="B3564">IFERROR(INDEX(tbNucleo[ESCOLA],ROUNDUP(ROW(B3563)/TotalEtapas,0)),"")</f>
        <v/>
      </c>
      <c r="E3564" t="str">
        <f>IFERROR(VLOOKUP(tbEscolas[[#This Row],[COD ETPA]],tbEtapas[],2,FALSE),"")</f>
        <v/>
      </c>
      <c r="F3564" t="str">
        <f>IFERROR(VLOOKUP(tbEscolas[[#This Row],[COD ETPA]],tbEtapas[],3,FALSE),"")</f>
        <v/>
      </c>
    </row>
    <row r="3565" spans="1:6" x14ac:dyDescent="0.25">
      <c r="A3565" s="24" t="str">
        <f>_xlfn.XLOOKUP(tbEscolas[[#This Row],[ESCOLA]],tbNucleo[ESCOLA],tbNucleo[COD ESCOLA],"")</f>
        <v/>
      </c>
      <c r="B3565" t="str" cm="1">
        <f t="array" ref="B3565">IFERROR(INDEX(tbNucleo[ESCOLA],ROUNDUP(ROW(B3564)/TotalEtapas,0)),"")</f>
        <v/>
      </c>
      <c r="E3565" t="str">
        <f>IFERROR(VLOOKUP(tbEscolas[[#This Row],[COD ETPA]],tbEtapas[],2,FALSE),"")</f>
        <v/>
      </c>
      <c r="F3565" t="str">
        <f>IFERROR(VLOOKUP(tbEscolas[[#This Row],[COD ETPA]],tbEtapas[],3,FALSE),"")</f>
        <v/>
      </c>
    </row>
    <row r="3566" spans="1:6" x14ac:dyDescent="0.25">
      <c r="A3566" s="24" t="str">
        <f>_xlfn.XLOOKUP(tbEscolas[[#This Row],[ESCOLA]],tbNucleo[ESCOLA],tbNucleo[COD ESCOLA],"")</f>
        <v/>
      </c>
      <c r="B3566" t="str" cm="1">
        <f t="array" ref="B3566">IFERROR(INDEX(tbNucleo[ESCOLA],ROUNDUP(ROW(B3565)/TotalEtapas,0)),"")</f>
        <v/>
      </c>
      <c r="E3566" t="str">
        <f>IFERROR(VLOOKUP(tbEscolas[[#This Row],[COD ETPA]],tbEtapas[],2,FALSE),"")</f>
        <v/>
      </c>
      <c r="F3566" t="str">
        <f>IFERROR(VLOOKUP(tbEscolas[[#This Row],[COD ETPA]],tbEtapas[],3,FALSE),"")</f>
        <v/>
      </c>
    </row>
    <row r="3567" spans="1:6" x14ac:dyDescent="0.25">
      <c r="A3567" s="24" t="str">
        <f>_xlfn.XLOOKUP(tbEscolas[[#This Row],[ESCOLA]],tbNucleo[ESCOLA],tbNucleo[COD ESCOLA],"")</f>
        <v/>
      </c>
      <c r="B3567" t="str" cm="1">
        <f t="array" ref="B3567">IFERROR(INDEX(tbNucleo[ESCOLA],ROUNDUP(ROW(B3566)/TotalEtapas,0)),"")</f>
        <v/>
      </c>
      <c r="E3567" t="str">
        <f>IFERROR(VLOOKUP(tbEscolas[[#This Row],[COD ETPA]],tbEtapas[],2,FALSE),"")</f>
        <v/>
      </c>
      <c r="F3567" t="str">
        <f>IFERROR(VLOOKUP(tbEscolas[[#This Row],[COD ETPA]],tbEtapas[],3,FALSE),"")</f>
        <v/>
      </c>
    </row>
    <row r="3568" spans="1:6" x14ac:dyDescent="0.25">
      <c r="A3568" s="24" t="str">
        <f>_xlfn.XLOOKUP(tbEscolas[[#This Row],[ESCOLA]],tbNucleo[ESCOLA],tbNucleo[COD ESCOLA],"")</f>
        <v/>
      </c>
      <c r="B3568" t="str" cm="1">
        <f t="array" ref="B3568">IFERROR(INDEX(tbNucleo[ESCOLA],ROUNDUP(ROW(B3567)/TotalEtapas,0)),"")</f>
        <v/>
      </c>
      <c r="E3568" t="str">
        <f>IFERROR(VLOOKUP(tbEscolas[[#This Row],[COD ETPA]],tbEtapas[],2,FALSE),"")</f>
        <v/>
      </c>
      <c r="F3568" t="str">
        <f>IFERROR(VLOOKUP(tbEscolas[[#This Row],[COD ETPA]],tbEtapas[],3,FALSE),"")</f>
        <v/>
      </c>
    </row>
    <row r="3569" spans="1:6" x14ac:dyDescent="0.25">
      <c r="A3569" s="24" t="str">
        <f>_xlfn.XLOOKUP(tbEscolas[[#This Row],[ESCOLA]],tbNucleo[ESCOLA],tbNucleo[COD ESCOLA],"")</f>
        <v/>
      </c>
      <c r="B3569" t="str" cm="1">
        <f t="array" ref="B3569">IFERROR(INDEX(tbNucleo[ESCOLA],ROUNDUP(ROW(B3568)/TotalEtapas,0)),"")</f>
        <v/>
      </c>
      <c r="E3569" t="str">
        <f>IFERROR(VLOOKUP(tbEscolas[[#This Row],[COD ETPA]],tbEtapas[],2,FALSE),"")</f>
        <v/>
      </c>
      <c r="F3569" t="str">
        <f>IFERROR(VLOOKUP(tbEscolas[[#This Row],[COD ETPA]],tbEtapas[],3,FALSE),"")</f>
        <v/>
      </c>
    </row>
    <row r="3570" spans="1:6" x14ac:dyDescent="0.25">
      <c r="A3570" s="24" t="str">
        <f>_xlfn.XLOOKUP(tbEscolas[[#This Row],[ESCOLA]],tbNucleo[ESCOLA],tbNucleo[COD ESCOLA],"")</f>
        <v/>
      </c>
      <c r="B3570" t="str" cm="1">
        <f t="array" ref="B3570">IFERROR(INDEX(tbNucleo[ESCOLA],ROUNDUP(ROW(B3569)/TotalEtapas,0)),"")</f>
        <v/>
      </c>
      <c r="E3570" t="str">
        <f>IFERROR(VLOOKUP(tbEscolas[[#This Row],[COD ETPA]],tbEtapas[],2,FALSE),"")</f>
        <v/>
      </c>
      <c r="F3570" t="str">
        <f>IFERROR(VLOOKUP(tbEscolas[[#This Row],[COD ETPA]],tbEtapas[],3,FALSE),"")</f>
        <v/>
      </c>
    </row>
    <row r="3571" spans="1:6" x14ac:dyDescent="0.25">
      <c r="A3571" s="24" t="str">
        <f>_xlfn.XLOOKUP(tbEscolas[[#This Row],[ESCOLA]],tbNucleo[ESCOLA],tbNucleo[COD ESCOLA],"")</f>
        <v/>
      </c>
      <c r="B3571" t="str" cm="1">
        <f t="array" ref="B3571">IFERROR(INDEX(tbNucleo[ESCOLA],ROUNDUP(ROW(B3570)/TotalEtapas,0)),"")</f>
        <v/>
      </c>
      <c r="E3571" t="str">
        <f>IFERROR(VLOOKUP(tbEscolas[[#This Row],[COD ETPA]],tbEtapas[],2,FALSE),"")</f>
        <v/>
      </c>
      <c r="F3571" t="str">
        <f>IFERROR(VLOOKUP(tbEscolas[[#This Row],[COD ETPA]],tbEtapas[],3,FALSE),"")</f>
        <v/>
      </c>
    </row>
    <row r="3572" spans="1:6" x14ac:dyDescent="0.25">
      <c r="A3572" s="24" t="str">
        <f>_xlfn.XLOOKUP(tbEscolas[[#This Row],[ESCOLA]],tbNucleo[ESCOLA],tbNucleo[COD ESCOLA],"")</f>
        <v/>
      </c>
      <c r="B3572" t="str" cm="1">
        <f t="array" ref="B3572">IFERROR(INDEX(tbNucleo[ESCOLA],ROUNDUP(ROW(B3571)/TotalEtapas,0)),"")</f>
        <v/>
      </c>
      <c r="E3572" t="str">
        <f>IFERROR(VLOOKUP(tbEscolas[[#This Row],[COD ETPA]],tbEtapas[],2,FALSE),"")</f>
        <v/>
      </c>
      <c r="F3572" t="str">
        <f>IFERROR(VLOOKUP(tbEscolas[[#This Row],[COD ETPA]],tbEtapas[],3,FALSE),"")</f>
        <v/>
      </c>
    </row>
    <row r="3573" spans="1:6" x14ac:dyDescent="0.25">
      <c r="A3573" s="24" t="str">
        <f>_xlfn.XLOOKUP(tbEscolas[[#This Row],[ESCOLA]],tbNucleo[ESCOLA],tbNucleo[COD ESCOLA],"")</f>
        <v/>
      </c>
      <c r="B3573" t="str" cm="1">
        <f t="array" ref="B3573">IFERROR(INDEX(tbNucleo[ESCOLA],ROUNDUP(ROW(B3572)/TotalEtapas,0)),"")</f>
        <v/>
      </c>
      <c r="E3573" t="str">
        <f>IFERROR(VLOOKUP(tbEscolas[[#This Row],[COD ETPA]],tbEtapas[],2,FALSE),"")</f>
        <v/>
      </c>
      <c r="F3573" t="str">
        <f>IFERROR(VLOOKUP(tbEscolas[[#This Row],[COD ETPA]],tbEtapas[],3,FALSE),"")</f>
        <v/>
      </c>
    </row>
    <row r="3574" spans="1:6" x14ac:dyDescent="0.25">
      <c r="A3574" s="24" t="str">
        <f>_xlfn.XLOOKUP(tbEscolas[[#This Row],[ESCOLA]],tbNucleo[ESCOLA],tbNucleo[COD ESCOLA],"")</f>
        <v/>
      </c>
      <c r="B3574" t="str" cm="1">
        <f t="array" ref="B3574">IFERROR(INDEX(tbNucleo[ESCOLA],ROUNDUP(ROW(B3573)/TotalEtapas,0)),"")</f>
        <v/>
      </c>
      <c r="E3574" t="str">
        <f>IFERROR(VLOOKUP(tbEscolas[[#This Row],[COD ETPA]],tbEtapas[],2,FALSE),"")</f>
        <v/>
      </c>
      <c r="F3574" t="str">
        <f>IFERROR(VLOOKUP(tbEscolas[[#This Row],[COD ETPA]],tbEtapas[],3,FALSE),"")</f>
        <v/>
      </c>
    </row>
    <row r="3575" spans="1:6" x14ac:dyDescent="0.25">
      <c r="A3575" s="24" t="str">
        <f>_xlfn.XLOOKUP(tbEscolas[[#This Row],[ESCOLA]],tbNucleo[ESCOLA],tbNucleo[COD ESCOLA],"")</f>
        <v/>
      </c>
      <c r="B3575" t="str" cm="1">
        <f t="array" ref="B3575">IFERROR(INDEX(tbNucleo[ESCOLA],ROUNDUP(ROW(B3574)/TotalEtapas,0)),"")</f>
        <v/>
      </c>
      <c r="E3575" t="str">
        <f>IFERROR(VLOOKUP(tbEscolas[[#This Row],[COD ETPA]],tbEtapas[],2,FALSE),"")</f>
        <v/>
      </c>
      <c r="F3575" t="str">
        <f>IFERROR(VLOOKUP(tbEscolas[[#This Row],[COD ETPA]],tbEtapas[],3,FALSE),"")</f>
        <v/>
      </c>
    </row>
    <row r="3576" spans="1:6" x14ac:dyDescent="0.25">
      <c r="A3576" s="24" t="str">
        <f>_xlfn.XLOOKUP(tbEscolas[[#This Row],[ESCOLA]],tbNucleo[ESCOLA],tbNucleo[COD ESCOLA],"")</f>
        <v/>
      </c>
      <c r="B3576" t="str" cm="1">
        <f t="array" ref="B3576">IFERROR(INDEX(tbNucleo[ESCOLA],ROUNDUP(ROW(B3575)/TotalEtapas,0)),"")</f>
        <v/>
      </c>
      <c r="E3576" t="str">
        <f>IFERROR(VLOOKUP(tbEscolas[[#This Row],[COD ETPA]],tbEtapas[],2,FALSE),"")</f>
        <v/>
      </c>
      <c r="F3576" t="str">
        <f>IFERROR(VLOOKUP(tbEscolas[[#This Row],[COD ETPA]],tbEtapas[],3,FALSE),"")</f>
        <v/>
      </c>
    </row>
    <row r="3577" spans="1:6" x14ac:dyDescent="0.25">
      <c r="A3577" s="24" t="str">
        <f>_xlfn.XLOOKUP(tbEscolas[[#This Row],[ESCOLA]],tbNucleo[ESCOLA],tbNucleo[COD ESCOLA],"")</f>
        <v/>
      </c>
      <c r="B3577" t="str" cm="1">
        <f t="array" ref="B3577">IFERROR(INDEX(tbNucleo[ESCOLA],ROUNDUP(ROW(B3576)/TotalEtapas,0)),"")</f>
        <v/>
      </c>
      <c r="E3577" t="str">
        <f>IFERROR(VLOOKUP(tbEscolas[[#This Row],[COD ETPA]],tbEtapas[],2,FALSE),"")</f>
        <v/>
      </c>
      <c r="F3577" t="str">
        <f>IFERROR(VLOOKUP(tbEscolas[[#This Row],[COD ETPA]],tbEtapas[],3,FALSE),"")</f>
        <v/>
      </c>
    </row>
    <row r="3578" spans="1:6" x14ac:dyDescent="0.25">
      <c r="A3578" s="24" t="str">
        <f>_xlfn.XLOOKUP(tbEscolas[[#This Row],[ESCOLA]],tbNucleo[ESCOLA],tbNucleo[COD ESCOLA],"")</f>
        <v/>
      </c>
      <c r="B3578" t="str" cm="1">
        <f t="array" ref="B3578">IFERROR(INDEX(tbNucleo[ESCOLA],ROUNDUP(ROW(B3577)/TotalEtapas,0)),"")</f>
        <v/>
      </c>
      <c r="E3578" t="str">
        <f>IFERROR(VLOOKUP(tbEscolas[[#This Row],[COD ETPA]],tbEtapas[],2,FALSE),"")</f>
        <v/>
      </c>
      <c r="F3578" t="str">
        <f>IFERROR(VLOOKUP(tbEscolas[[#This Row],[COD ETPA]],tbEtapas[],3,FALSE),"")</f>
        <v/>
      </c>
    </row>
    <row r="3579" spans="1:6" x14ac:dyDescent="0.25">
      <c r="A3579" s="24" t="str">
        <f>_xlfn.XLOOKUP(tbEscolas[[#This Row],[ESCOLA]],tbNucleo[ESCOLA],tbNucleo[COD ESCOLA],"")</f>
        <v/>
      </c>
      <c r="B3579" t="str" cm="1">
        <f t="array" ref="B3579">IFERROR(INDEX(tbNucleo[ESCOLA],ROUNDUP(ROW(B3578)/TotalEtapas,0)),"")</f>
        <v/>
      </c>
      <c r="E3579" t="str">
        <f>IFERROR(VLOOKUP(tbEscolas[[#This Row],[COD ETPA]],tbEtapas[],2,FALSE),"")</f>
        <v/>
      </c>
      <c r="F3579" t="str">
        <f>IFERROR(VLOOKUP(tbEscolas[[#This Row],[COD ETPA]],tbEtapas[],3,FALSE),"")</f>
        <v/>
      </c>
    </row>
    <row r="3580" spans="1:6" x14ac:dyDescent="0.25">
      <c r="A3580" s="24" t="str">
        <f>_xlfn.XLOOKUP(tbEscolas[[#This Row],[ESCOLA]],tbNucleo[ESCOLA],tbNucleo[COD ESCOLA],"")</f>
        <v/>
      </c>
      <c r="B3580" t="str" cm="1">
        <f t="array" ref="B3580">IFERROR(INDEX(tbNucleo[ESCOLA],ROUNDUP(ROW(B3579)/TotalEtapas,0)),"")</f>
        <v/>
      </c>
      <c r="E3580" t="str">
        <f>IFERROR(VLOOKUP(tbEscolas[[#This Row],[COD ETPA]],tbEtapas[],2,FALSE),"")</f>
        <v/>
      </c>
      <c r="F3580" t="str">
        <f>IFERROR(VLOOKUP(tbEscolas[[#This Row],[COD ETPA]],tbEtapas[],3,FALSE),"")</f>
        <v/>
      </c>
    </row>
    <row r="3581" spans="1:6" x14ac:dyDescent="0.25">
      <c r="A3581" s="24" t="str">
        <f>_xlfn.XLOOKUP(tbEscolas[[#This Row],[ESCOLA]],tbNucleo[ESCOLA],tbNucleo[COD ESCOLA],"")</f>
        <v/>
      </c>
      <c r="B3581" t="str" cm="1">
        <f t="array" ref="B3581">IFERROR(INDEX(tbNucleo[ESCOLA],ROUNDUP(ROW(B3580)/TotalEtapas,0)),"")</f>
        <v/>
      </c>
      <c r="E3581" t="str">
        <f>IFERROR(VLOOKUP(tbEscolas[[#This Row],[COD ETPA]],tbEtapas[],2,FALSE),"")</f>
        <v/>
      </c>
      <c r="F3581" t="str">
        <f>IFERROR(VLOOKUP(tbEscolas[[#This Row],[COD ETPA]],tbEtapas[],3,FALSE),"")</f>
        <v/>
      </c>
    </row>
    <row r="3582" spans="1:6" x14ac:dyDescent="0.25">
      <c r="A3582" s="24" t="str">
        <f>_xlfn.XLOOKUP(tbEscolas[[#This Row],[ESCOLA]],tbNucleo[ESCOLA],tbNucleo[COD ESCOLA],"")</f>
        <v/>
      </c>
      <c r="B3582" t="str" cm="1">
        <f t="array" ref="B3582">IFERROR(INDEX(tbNucleo[ESCOLA],ROUNDUP(ROW(B3581)/TotalEtapas,0)),"")</f>
        <v/>
      </c>
      <c r="E3582" t="str">
        <f>IFERROR(VLOOKUP(tbEscolas[[#This Row],[COD ETPA]],tbEtapas[],2,FALSE),"")</f>
        <v/>
      </c>
      <c r="F3582" t="str">
        <f>IFERROR(VLOOKUP(tbEscolas[[#This Row],[COD ETPA]],tbEtapas[],3,FALSE),"")</f>
        <v/>
      </c>
    </row>
    <row r="3583" spans="1:6" x14ac:dyDescent="0.25">
      <c r="A3583" s="24" t="str">
        <f>_xlfn.XLOOKUP(tbEscolas[[#This Row],[ESCOLA]],tbNucleo[ESCOLA],tbNucleo[COD ESCOLA],"")</f>
        <v/>
      </c>
      <c r="B3583" t="str" cm="1">
        <f t="array" ref="B3583">IFERROR(INDEX(tbNucleo[ESCOLA],ROUNDUP(ROW(B3582)/TotalEtapas,0)),"")</f>
        <v/>
      </c>
      <c r="E3583" t="str">
        <f>IFERROR(VLOOKUP(tbEscolas[[#This Row],[COD ETPA]],tbEtapas[],2,FALSE),"")</f>
        <v/>
      </c>
      <c r="F3583" t="str">
        <f>IFERROR(VLOOKUP(tbEscolas[[#This Row],[COD ETPA]],tbEtapas[],3,FALSE),"")</f>
        <v/>
      </c>
    </row>
    <row r="3584" spans="1:6" x14ac:dyDescent="0.25">
      <c r="A3584" s="24" t="str">
        <f>_xlfn.XLOOKUP(tbEscolas[[#This Row],[ESCOLA]],tbNucleo[ESCOLA],tbNucleo[COD ESCOLA],"")</f>
        <v/>
      </c>
      <c r="B3584" t="str" cm="1">
        <f t="array" ref="B3584">IFERROR(INDEX(tbNucleo[ESCOLA],ROUNDUP(ROW(B3583)/TotalEtapas,0)),"")</f>
        <v/>
      </c>
      <c r="E3584" t="str">
        <f>IFERROR(VLOOKUP(tbEscolas[[#This Row],[COD ETPA]],tbEtapas[],2,FALSE),"")</f>
        <v/>
      </c>
      <c r="F3584" t="str">
        <f>IFERROR(VLOOKUP(tbEscolas[[#This Row],[COD ETPA]],tbEtapas[],3,FALSE),"")</f>
        <v/>
      </c>
    </row>
    <row r="3585" spans="1:6" x14ac:dyDescent="0.25">
      <c r="A3585" s="24" t="str">
        <f>_xlfn.XLOOKUP(tbEscolas[[#This Row],[ESCOLA]],tbNucleo[ESCOLA],tbNucleo[COD ESCOLA],"")</f>
        <v/>
      </c>
      <c r="B3585" t="str" cm="1">
        <f t="array" ref="B3585">IFERROR(INDEX(tbNucleo[ESCOLA],ROUNDUP(ROW(B3584)/TotalEtapas,0)),"")</f>
        <v/>
      </c>
      <c r="E3585" t="str">
        <f>IFERROR(VLOOKUP(tbEscolas[[#This Row],[COD ETPA]],tbEtapas[],2,FALSE),"")</f>
        <v/>
      </c>
      <c r="F3585" t="str">
        <f>IFERROR(VLOOKUP(tbEscolas[[#This Row],[COD ETPA]],tbEtapas[],3,FALSE),"")</f>
        <v/>
      </c>
    </row>
    <row r="3586" spans="1:6" x14ac:dyDescent="0.25">
      <c r="A3586" s="24" t="str">
        <f>_xlfn.XLOOKUP(tbEscolas[[#This Row],[ESCOLA]],tbNucleo[ESCOLA],tbNucleo[COD ESCOLA],"")</f>
        <v/>
      </c>
      <c r="B3586" t="str" cm="1">
        <f t="array" ref="B3586">IFERROR(INDEX(tbNucleo[ESCOLA],ROUNDUP(ROW(B3585)/TotalEtapas,0)),"")</f>
        <v/>
      </c>
      <c r="E3586" t="str">
        <f>IFERROR(VLOOKUP(tbEscolas[[#This Row],[COD ETPA]],tbEtapas[],2,FALSE),"")</f>
        <v/>
      </c>
      <c r="F3586" t="str">
        <f>IFERROR(VLOOKUP(tbEscolas[[#This Row],[COD ETPA]],tbEtapas[],3,FALSE),"")</f>
        <v/>
      </c>
    </row>
    <row r="3587" spans="1:6" x14ac:dyDescent="0.25">
      <c r="A3587" s="24" t="str">
        <f>_xlfn.XLOOKUP(tbEscolas[[#This Row],[ESCOLA]],tbNucleo[ESCOLA],tbNucleo[COD ESCOLA],"")</f>
        <v/>
      </c>
      <c r="B3587" t="str" cm="1">
        <f t="array" ref="B3587">IFERROR(INDEX(tbNucleo[ESCOLA],ROUNDUP(ROW(B3586)/TotalEtapas,0)),"")</f>
        <v/>
      </c>
      <c r="E3587" t="str">
        <f>IFERROR(VLOOKUP(tbEscolas[[#This Row],[COD ETPA]],tbEtapas[],2,FALSE),"")</f>
        <v/>
      </c>
      <c r="F3587" t="str">
        <f>IFERROR(VLOOKUP(tbEscolas[[#This Row],[COD ETPA]],tbEtapas[],3,FALSE),"")</f>
        <v/>
      </c>
    </row>
    <row r="3588" spans="1:6" x14ac:dyDescent="0.25">
      <c r="A3588" s="24" t="str">
        <f>_xlfn.XLOOKUP(tbEscolas[[#This Row],[ESCOLA]],tbNucleo[ESCOLA],tbNucleo[COD ESCOLA],"")</f>
        <v/>
      </c>
      <c r="B3588" t="str" cm="1">
        <f t="array" ref="B3588">IFERROR(INDEX(tbNucleo[ESCOLA],ROUNDUP(ROW(B3587)/TotalEtapas,0)),"")</f>
        <v/>
      </c>
      <c r="E3588" t="str">
        <f>IFERROR(VLOOKUP(tbEscolas[[#This Row],[COD ETPA]],tbEtapas[],2,FALSE),"")</f>
        <v/>
      </c>
      <c r="F3588" t="str">
        <f>IFERROR(VLOOKUP(tbEscolas[[#This Row],[COD ETPA]],tbEtapas[],3,FALSE),"")</f>
        <v/>
      </c>
    </row>
    <row r="3589" spans="1:6" x14ac:dyDescent="0.25">
      <c r="A3589" s="24" t="str">
        <f>_xlfn.XLOOKUP(tbEscolas[[#This Row],[ESCOLA]],tbNucleo[ESCOLA],tbNucleo[COD ESCOLA],"")</f>
        <v/>
      </c>
      <c r="B3589" t="str" cm="1">
        <f t="array" ref="B3589">IFERROR(INDEX(tbNucleo[ESCOLA],ROUNDUP(ROW(B3588)/TotalEtapas,0)),"")</f>
        <v/>
      </c>
      <c r="E3589" t="str">
        <f>IFERROR(VLOOKUP(tbEscolas[[#This Row],[COD ETPA]],tbEtapas[],2,FALSE),"")</f>
        <v/>
      </c>
      <c r="F3589" t="str">
        <f>IFERROR(VLOOKUP(tbEscolas[[#This Row],[COD ETPA]],tbEtapas[],3,FALSE),"")</f>
        <v/>
      </c>
    </row>
    <row r="3590" spans="1:6" x14ac:dyDescent="0.25">
      <c r="A3590" s="24" t="str">
        <f>_xlfn.XLOOKUP(tbEscolas[[#This Row],[ESCOLA]],tbNucleo[ESCOLA],tbNucleo[COD ESCOLA],"")</f>
        <v/>
      </c>
      <c r="B3590" t="str" cm="1">
        <f t="array" ref="B3590">IFERROR(INDEX(tbNucleo[ESCOLA],ROUNDUP(ROW(B3589)/TotalEtapas,0)),"")</f>
        <v/>
      </c>
      <c r="E3590" t="str">
        <f>IFERROR(VLOOKUP(tbEscolas[[#This Row],[COD ETPA]],tbEtapas[],2,FALSE),"")</f>
        <v/>
      </c>
      <c r="F3590" t="str">
        <f>IFERROR(VLOOKUP(tbEscolas[[#This Row],[COD ETPA]],tbEtapas[],3,FALSE),"")</f>
        <v/>
      </c>
    </row>
    <row r="3591" spans="1:6" x14ac:dyDescent="0.25">
      <c r="A3591" s="24" t="str">
        <f>_xlfn.XLOOKUP(tbEscolas[[#This Row],[ESCOLA]],tbNucleo[ESCOLA],tbNucleo[COD ESCOLA],"")</f>
        <v/>
      </c>
      <c r="B3591" t="str" cm="1">
        <f t="array" ref="B3591">IFERROR(INDEX(tbNucleo[ESCOLA],ROUNDUP(ROW(B3590)/TotalEtapas,0)),"")</f>
        <v/>
      </c>
      <c r="E3591" t="str">
        <f>IFERROR(VLOOKUP(tbEscolas[[#This Row],[COD ETPA]],tbEtapas[],2,FALSE),"")</f>
        <v/>
      </c>
      <c r="F3591" t="str">
        <f>IFERROR(VLOOKUP(tbEscolas[[#This Row],[COD ETPA]],tbEtapas[],3,FALSE),"")</f>
        <v/>
      </c>
    </row>
    <row r="3592" spans="1:6" x14ac:dyDescent="0.25">
      <c r="A3592" s="24" t="str">
        <f>_xlfn.XLOOKUP(tbEscolas[[#This Row],[ESCOLA]],tbNucleo[ESCOLA],tbNucleo[COD ESCOLA],"")</f>
        <v/>
      </c>
      <c r="B3592" t="str" cm="1">
        <f t="array" ref="B3592">IFERROR(INDEX(tbNucleo[ESCOLA],ROUNDUP(ROW(B3591)/TotalEtapas,0)),"")</f>
        <v/>
      </c>
      <c r="E3592" t="str">
        <f>IFERROR(VLOOKUP(tbEscolas[[#This Row],[COD ETPA]],tbEtapas[],2,FALSE),"")</f>
        <v/>
      </c>
      <c r="F3592" t="str">
        <f>IFERROR(VLOOKUP(tbEscolas[[#This Row],[COD ETPA]],tbEtapas[],3,FALSE),"")</f>
        <v/>
      </c>
    </row>
    <row r="3593" spans="1:6" x14ac:dyDescent="0.25">
      <c r="A3593" s="24" t="str">
        <f>_xlfn.XLOOKUP(tbEscolas[[#This Row],[ESCOLA]],tbNucleo[ESCOLA],tbNucleo[COD ESCOLA],"")</f>
        <v/>
      </c>
      <c r="B3593" t="str" cm="1">
        <f t="array" ref="B3593">IFERROR(INDEX(tbNucleo[ESCOLA],ROUNDUP(ROW(B3592)/TotalEtapas,0)),"")</f>
        <v/>
      </c>
      <c r="E3593" t="str">
        <f>IFERROR(VLOOKUP(tbEscolas[[#This Row],[COD ETPA]],tbEtapas[],2,FALSE),"")</f>
        <v/>
      </c>
      <c r="F3593" t="str">
        <f>IFERROR(VLOOKUP(tbEscolas[[#This Row],[COD ETPA]],tbEtapas[],3,FALSE),"")</f>
        <v/>
      </c>
    </row>
    <row r="3594" spans="1:6" x14ac:dyDescent="0.25">
      <c r="A3594" s="24" t="str">
        <f>_xlfn.XLOOKUP(tbEscolas[[#This Row],[ESCOLA]],tbNucleo[ESCOLA],tbNucleo[COD ESCOLA],"")</f>
        <v/>
      </c>
      <c r="B3594" t="str" cm="1">
        <f t="array" ref="B3594">IFERROR(INDEX(tbNucleo[ESCOLA],ROUNDUP(ROW(B3593)/TotalEtapas,0)),"")</f>
        <v/>
      </c>
      <c r="E3594" t="str">
        <f>IFERROR(VLOOKUP(tbEscolas[[#This Row],[COD ETPA]],tbEtapas[],2,FALSE),"")</f>
        <v/>
      </c>
      <c r="F3594" t="str">
        <f>IFERROR(VLOOKUP(tbEscolas[[#This Row],[COD ETPA]],tbEtapas[],3,FALSE),"")</f>
        <v/>
      </c>
    </row>
    <row r="3595" spans="1:6" x14ac:dyDescent="0.25">
      <c r="A3595" s="24" t="str">
        <f>_xlfn.XLOOKUP(tbEscolas[[#This Row],[ESCOLA]],tbNucleo[ESCOLA],tbNucleo[COD ESCOLA],"")</f>
        <v/>
      </c>
      <c r="B3595" t="str" cm="1">
        <f t="array" ref="B3595">IFERROR(INDEX(tbNucleo[ESCOLA],ROUNDUP(ROW(B3594)/TotalEtapas,0)),"")</f>
        <v/>
      </c>
      <c r="E3595" t="str">
        <f>IFERROR(VLOOKUP(tbEscolas[[#This Row],[COD ETPA]],tbEtapas[],2,FALSE),"")</f>
        <v/>
      </c>
      <c r="F3595" t="str">
        <f>IFERROR(VLOOKUP(tbEscolas[[#This Row],[COD ETPA]],tbEtapas[],3,FALSE),"")</f>
        <v/>
      </c>
    </row>
    <row r="3596" spans="1:6" x14ac:dyDescent="0.25">
      <c r="A3596" s="24" t="str">
        <f>_xlfn.XLOOKUP(tbEscolas[[#This Row],[ESCOLA]],tbNucleo[ESCOLA],tbNucleo[COD ESCOLA],"")</f>
        <v/>
      </c>
      <c r="B3596" t="str" cm="1">
        <f t="array" ref="B3596">IFERROR(INDEX(tbNucleo[ESCOLA],ROUNDUP(ROW(B3595)/TotalEtapas,0)),"")</f>
        <v/>
      </c>
      <c r="E3596" t="str">
        <f>IFERROR(VLOOKUP(tbEscolas[[#This Row],[COD ETPA]],tbEtapas[],2,FALSE),"")</f>
        <v/>
      </c>
      <c r="F3596" t="str">
        <f>IFERROR(VLOOKUP(tbEscolas[[#This Row],[COD ETPA]],tbEtapas[],3,FALSE),"")</f>
        <v/>
      </c>
    </row>
    <row r="3597" spans="1:6" x14ac:dyDescent="0.25">
      <c r="A3597" s="24" t="str">
        <f>_xlfn.XLOOKUP(tbEscolas[[#This Row],[ESCOLA]],tbNucleo[ESCOLA],tbNucleo[COD ESCOLA],"")</f>
        <v/>
      </c>
      <c r="B3597" t="str" cm="1">
        <f t="array" ref="B3597">IFERROR(INDEX(tbNucleo[ESCOLA],ROUNDUP(ROW(B3596)/TotalEtapas,0)),"")</f>
        <v/>
      </c>
      <c r="E3597" t="str">
        <f>IFERROR(VLOOKUP(tbEscolas[[#This Row],[COD ETPA]],tbEtapas[],2,FALSE),"")</f>
        <v/>
      </c>
      <c r="F3597" t="str">
        <f>IFERROR(VLOOKUP(tbEscolas[[#This Row],[COD ETPA]],tbEtapas[],3,FALSE),"")</f>
        <v/>
      </c>
    </row>
    <row r="3598" spans="1:6" x14ac:dyDescent="0.25">
      <c r="A3598" s="24" t="str">
        <f>_xlfn.XLOOKUP(tbEscolas[[#This Row],[ESCOLA]],tbNucleo[ESCOLA],tbNucleo[COD ESCOLA],"")</f>
        <v/>
      </c>
      <c r="B3598" t="str" cm="1">
        <f t="array" ref="B3598">IFERROR(INDEX(tbNucleo[ESCOLA],ROUNDUP(ROW(B3597)/TotalEtapas,0)),"")</f>
        <v/>
      </c>
      <c r="E3598" t="str">
        <f>IFERROR(VLOOKUP(tbEscolas[[#This Row],[COD ETPA]],tbEtapas[],2,FALSE),"")</f>
        <v/>
      </c>
      <c r="F3598" t="str">
        <f>IFERROR(VLOOKUP(tbEscolas[[#This Row],[COD ETPA]],tbEtapas[],3,FALSE),"")</f>
        <v/>
      </c>
    </row>
    <row r="3599" spans="1:6" x14ac:dyDescent="0.25">
      <c r="A3599" s="24" t="str">
        <f>_xlfn.XLOOKUP(tbEscolas[[#This Row],[ESCOLA]],tbNucleo[ESCOLA],tbNucleo[COD ESCOLA],"")</f>
        <v/>
      </c>
      <c r="B3599" t="str" cm="1">
        <f t="array" ref="B3599">IFERROR(INDEX(tbNucleo[ESCOLA],ROUNDUP(ROW(B3598)/TotalEtapas,0)),"")</f>
        <v/>
      </c>
      <c r="E3599" t="str">
        <f>IFERROR(VLOOKUP(tbEscolas[[#This Row],[COD ETPA]],tbEtapas[],2,FALSE),"")</f>
        <v/>
      </c>
      <c r="F3599" t="str">
        <f>IFERROR(VLOOKUP(tbEscolas[[#This Row],[COD ETPA]],tbEtapas[],3,FALSE),"")</f>
        <v/>
      </c>
    </row>
    <row r="3600" spans="1:6" x14ac:dyDescent="0.25">
      <c r="A3600" s="24" t="str">
        <f>_xlfn.XLOOKUP(tbEscolas[[#This Row],[ESCOLA]],tbNucleo[ESCOLA],tbNucleo[COD ESCOLA],"")</f>
        <v/>
      </c>
      <c r="B3600" t="str" cm="1">
        <f t="array" ref="B3600">IFERROR(INDEX(tbNucleo[ESCOLA],ROUNDUP(ROW(B3599)/TotalEtapas,0)),"")</f>
        <v/>
      </c>
      <c r="E3600" t="str">
        <f>IFERROR(VLOOKUP(tbEscolas[[#This Row],[COD ETPA]],tbEtapas[],2,FALSE),"")</f>
        <v/>
      </c>
      <c r="F3600" t="str">
        <f>IFERROR(VLOOKUP(tbEscolas[[#This Row],[COD ETPA]],tbEtapas[],3,FALSE),"")</f>
        <v/>
      </c>
    </row>
    <row r="3601" spans="1:6" x14ac:dyDescent="0.25">
      <c r="A3601" s="24" t="str">
        <f>_xlfn.XLOOKUP(tbEscolas[[#This Row],[ESCOLA]],tbNucleo[ESCOLA],tbNucleo[COD ESCOLA],"")</f>
        <v/>
      </c>
      <c r="B3601" t="str" cm="1">
        <f t="array" ref="B3601">IFERROR(INDEX(tbNucleo[ESCOLA],ROUNDUP(ROW(B3600)/TotalEtapas,0)),"")</f>
        <v/>
      </c>
      <c r="E3601" t="str">
        <f>IFERROR(VLOOKUP(tbEscolas[[#This Row],[COD ETPA]],tbEtapas[],2,FALSE),"")</f>
        <v/>
      </c>
      <c r="F3601" t="str">
        <f>IFERROR(VLOOKUP(tbEscolas[[#This Row],[COD ETPA]],tbEtapas[],3,FALSE),"")</f>
        <v/>
      </c>
    </row>
    <row r="3602" spans="1:6" x14ac:dyDescent="0.25">
      <c r="A3602" s="24" t="str">
        <f>_xlfn.XLOOKUP(tbEscolas[[#This Row],[ESCOLA]],tbNucleo[ESCOLA],tbNucleo[COD ESCOLA],"")</f>
        <v/>
      </c>
      <c r="B3602" t="str" cm="1">
        <f t="array" ref="B3602">IFERROR(INDEX(tbNucleo[ESCOLA],ROUNDUP(ROW(B3601)/TotalEtapas,0)),"")</f>
        <v/>
      </c>
      <c r="E3602" t="str">
        <f>IFERROR(VLOOKUP(tbEscolas[[#This Row],[COD ETPA]],tbEtapas[],2,FALSE),"")</f>
        <v/>
      </c>
      <c r="F3602" t="str">
        <f>IFERROR(VLOOKUP(tbEscolas[[#This Row],[COD ETPA]],tbEtapas[],3,FALSE),"")</f>
        <v/>
      </c>
    </row>
    <row r="3603" spans="1:6" x14ac:dyDescent="0.25">
      <c r="A3603" s="24" t="str">
        <f>_xlfn.XLOOKUP(tbEscolas[[#This Row],[ESCOLA]],tbNucleo[ESCOLA],tbNucleo[COD ESCOLA],"")</f>
        <v/>
      </c>
      <c r="B3603" t="str" cm="1">
        <f t="array" ref="B3603">IFERROR(INDEX(tbNucleo[ESCOLA],ROUNDUP(ROW(B3602)/TotalEtapas,0)),"")</f>
        <v/>
      </c>
      <c r="E3603" t="str">
        <f>IFERROR(VLOOKUP(tbEscolas[[#This Row],[COD ETPA]],tbEtapas[],2,FALSE),"")</f>
        <v/>
      </c>
      <c r="F3603" t="str">
        <f>IFERROR(VLOOKUP(tbEscolas[[#This Row],[COD ETPA]],tbEtapas[],3,FALSE),"")</f>
        <v/>
      </c>
    </row>
    <row r="3604" spans="1:6" x14ac:dyDescent="0.25">
      <c r="A3604" s="24" t="str">
        <f>_xlfn.XLOOKUP(tbEscolas[[#This Row],[ESCOLA]],tbNucleo[ESCOLA],tbNucleo[COD ESCOLA],"")</f>
        <v/>
      </c>
      <c r="B3604" t="str" cm="1">
        <f t="array" ref="B3604">IFERROR(INDEX(tbNucleo[ESCOLA],ROUNDUP(ROW(B3603)/TotalEtapas,0)),"")</f>
        <v/>
      </c>
      <c r="E3604" t="str">
        <f>IFERROR(VLOOKUP(tbEscolas[[#This Row],[COD ETPA]],tbEtapas[],2,FALSE),"")</f>
        <v/>
      </c>
      <c r="F3604" t="str">
        <f>IFERROR(VLOOKUP(tbEscolas[[#This Row],[COD ETPA]],tbEtapas[],3,FALSE),"")</f>
        <v/>
      </c>
    </row>
    <row r="3605" spans="1:6" x14ac:dyDescent="0.25">
      <c r="A3605" s="24" t="str">
        <f>_xlfn.XLOOKUP(tbEscolas[[#This Row],[ESCOLA]],tbNucleo[ESCOLA],tbNucleo[COD ESCOLA],"")</f>
        <v/>
      </c>
      <c r="B3605" t="str" cm="1">
        <f t="array" ref="B3605">IFERROR(INDEX(tbNucleo[ESCOLA],ROUNDUP(ROW(B3604)/TotalEtapas,0)),"")</f>
        <v/>
      </c>
      <c r="E3605" t="str">
        <f>IFERROR(VLOOKUP(tbEscolas[[#This Row],[COD ETPA]],tbEtapas[],2,FALSE),"")</f>
        <v/>
      </c>
      <c r="F3605" t="str">
        <f>IFERROR(VLOOKUP(tbEscolas[[#This Row],[COD ETPA]],tbEtapas[],3,FALSE),"")</f>
        <v/>
      </c>
    </row>
    <row r="3606" spans="1:6" x14ac:dyDescent="0.25">
      <c r="A3606" s="24" t="str">
        <f>_xlfn.XLOOKUP(tbEscolas[[#This Row],[ESCOLA]],tbNucleo[ESCOLA],tbNucleo[COD ESCOLA],"")</f>
        <v/>
      </c>
      <c r="B3606" t="str" cm="1">
        <f t="array" ref="B3606">IFERROR(INDEX(tbNucleo[ESCOLA],ROUNDUP(ROW(B3605)/TotalEtapas,0)),"")</f>
        <v/>
      </c>
      <c r="E3606" t="str">
        <f>IFERROR(VLOOKUP(tbEscolas[[#This Row],[COD ETPA]],tbEtapas[],2,FALSE),"")</f>
        <v/>
      </c>
      <c r="F3606" t="str">
        <f>IFERROR(VLOOKUP(tbEscolas[[#This Row],[COD ETPA]],tbEtapas[],3,FALSE),"")</f>
        <v/>
      </c>
    </row>
    <row r="3607" spans="1:6" x14ac:dyDescent="0.25">
      <c r="A3607" s="24" t="str">
        <f>_xlfn.XLOOKUP(tbEscolas[[#This Row],[ESCOLA]],tbNucleo[ESCOLA],tbNucleo[COD ESCOLA],"")</f>
        <v/>
      </c>
      <c r="B3607" t="str" cm="1">
        <f t="array" ref="B3607">IFERROR(INDEX(tbNucleo[ESCOLA],ROUNDUP(ROW(B3606)/TotalEtapas,0)),"")</f>
        <v/>
      </c>
      <c r="E3607" t="str">
        <f>IFERROR(VLOOKUP(tbEscolas[[#This Row],[COD ETPA]],tbEtapas[],2,FALSE),"")</f>
        <v/>
      </c>
      <c r="F3607" t="str">
        <f>IFERROR(VLOOKUP(tbEscolas[[#This Row],[COD ETPA]],tbEtapas[],3,FALSE),"")</f>
        <v/>
      </c>
    </row>
    <row r="3608" spans="1:6" x14ac:dyDescent="0.25">
      <c r="A3608" s="24" t="str">
        <f>_xlfn.XLOOKUP(tbEscolas[[#This Row],[ESCOLA]],tbNucleo[ESCOLA],tbNucleo[COD ESCOLA],"")</f>
        <v/>
      </c>
      <c r="B3608" t="str" cm="1">
        <f t="array" ref="B3608">IFERROR(INDEX(tbNucleo[ESCOLA],ROUNDUP(ROW(B3607)/TotalEtapas,0)),"")</f>
        <v/>
      </c>
      <c r="E3608" t="str">
        <f>IFERROR(VLOOKUP(tbEscolas[[#This Row],[COD ETPA]],tbEtapas[],2,FALSE),"")</f>
        <v/>
      </c>
      <c r="F3608" t="str">
        <f>IFERROR(VLOOKUP(tbEscolas[[#This Row],[COD ETPA]],tbEtapas[],3,FALSE),"")</f>
        <v/>
      </c>
    </row>
    <row r="3609" spans="1:6" x14ac:dyDescent="0.25">
      <c r="A3609" s="24" t="str">
        <f>_xlfn.XLOOKUP(tbEscolas[[#This Row],[ESCOLA]],tbNucleo[ESCOLA],tbNucleo[COD ESCOLA],"")</f>
        <v/>
      </c>
      <c r="B3609" t="str" cm="1">
        <f t="array" ref="B3609">IFERROR(INDEX(tbNucleo[ESCOLA],ROUNDUP(ROW(B3608)/TotalEtapas,0)),"")</f>
        <v/>
      </c>
      <c r="E3609" t="str">
        <f>IFERROR(VLOOKUP(tbEscolas[[#This Row],[COD ETPA]],tbEtapas[],2,FALSE),"")</f>
        <v/>
      </c>
      <c r="F3609" t="str">
        <f>IFERROR(VLOOKUP(tbEscolas[[#This Row],[COD ETPA]],tbEtapas[],3,FALSE),"")</f>
        <v/>
      </c>
    </row>
    <row r="3610" spans="1:6" x14ac:dyDescent="0.25">
      <c r="A3610" s="24" t="str">
        <f>_xlfn.XLOOKUP(tbEscolas[[#This Row],[ESCOLA]],tbNucleo[ESCOLA],tbNucleo[COD ESCOLA],"")</f>
        <v/>
      </c>
      <c r="B3610" t="str" cm="1">
        <f t="array" ref="B3610">IFERROR(INDEX(tbNucleo[ESCOLA],ROUNDUP(ROW(B3609)/TotalEtapas,0)),"")</f>
        <v/>
      </c>
      <c r="E3610" t="str">
        <f>IFERROR(VLOOKUP(tbEscolas[[#This Row],[COD ETPA]],tbEtapas[],2,FALSE),"")</f>
        <v/>
      </c>
      <c r="F3610" t="str">
        <f>IFERROR(VLOOKUP(tbEscolas[[#This Row],[COD ETPA]],tbEtapas[],3,FALSE),"")</f>
        <v/>
      </c>
    </row>
    <row r="3611" spans="1:6" x14ac:dyDescent="0.25">
      <c r="A3611" s="24" t="str">
        <f>_xlfn.XLOOKUP(tbEscolas[[#This Row],[ESCOLA]],tbNucleo[ESCOLA],tbNucleo[COD ESCOLA],"")</f>
        <v/>
      </c>
      <c r="B3611" t="str" cm="1">
        <f t="array" ref="B3611">IFERROR(INDEX(tbNucleo[ESCOLA],ROUNDUP(ROW(B3610)/TotalEtapas,0)),"")</f>
        <v/>
      </c>
      <c r="E3611" t="str">
        <f>IFERROR(VLOOKUP(tbEscolas[[#This Row],[COD ETPA]],tbEtapas[],2,FALSE),"")</f>
        <v/>
      </c>
      <c r="F3611" t="str">
        <f>IFERROR(VLOOKUP(tbEscolas[[#This Row],[COD ETPA]],tbEtapas[],3,FALSE),"")</f>
        <v/>
      </c>
    </row>
    <row r="3612" spans="1:6" x14ac:dyDescent="0.25">
      <c r="A3612" s="24" t="str">
        <f>_xlfn.XLOOKUP(tbEscolas[[#This Row],[ESCOLA]],tbNucleo[ESCOLA],tbNucleo[COD ESCOLA],"")</f>
        <v/>
      </c>
      <c r="B3612" t="str" cm="1">
        <f t="array" ref="B3612">IFERROR(INDEX(tbNucleo[ESCOLA],ROUNDUP(ROW(B3611)/TotalEtapas,0)),"")</f>
        <v/>
      </c>
      <c r="E3612" t="str">
        <f>IFERROR(VLOOKUP(tbEscolas[[#This Row],[COD ETPA]],tbEtapas[],2,FALSE),"")</f>
        <v/>
      </c>
      <c r="F3612" t="str">
        <f>IFERROR(VLOOKUP(tbEscolas[[#This Row],[COD ETPA]],tbEtapas[],3,FALSE),"")</f>
        <v/>
      </c>
    </row>
    <row r="3613" spans="1:6" x14ac:dyDescent="0.25">
      <c r="A3613" s="24" t="str">
        <f>_xlfn.XLOOKUP(tbEscolas[[#This Row],[ESCOLA]],tbNucleo[ESCOLA],tbNucleo[COD ESCOLA],"")</f>
        <v/>
      </c>
      <c r="B3613" t="str" cm="1">
        <f t="array" ref="B3613">IFERROR(INDEX(tbNucleo[ESCOLA],ROUNDUP(ROW(B3612)/TotalEtapas,0)),"")</f>
        <v/>
      </c>
      <c r="E3613" t="str">
        <f>IFERROR(VLOOKUP(tbEscolas[[#This Row],[COD ETPA]],tbEtapas[],2,FALSE),"")</f>
        <v/>
      </c>
      <c r="F3613" t="str">
        <f>IFERROR(VLOOKUP(tbEscolas[[#This Row],[COD ETPA]],tbEtapas[],3,FALSE),"")</f>
        <v/>
      </c>
    </row>
    <row r="3614" spans="1:6" x14ac:dyDescent="0.25">
      <c r="A3614" s="24" t="str">
        <f>_xlfn.XLOOKUP(tbEscolas[[#This Row],[ESCOLA]],tbNucleo[ESCOLA],tbNucleo[COD ESCOLA],"")</f>
        <v/>
      </c>
      <c r="B3614" t="str" cm="1">
        <f t="array" ref="B3614">IFERROR(INDEX(tbNucleo[ESCOLA],ROUNDUP(ROW(B3613)/TotalEtapas,0)),"")</f>
        <v/>
      </c>
      <c r="E3614" t="str">
        <f>IFERROR(VLOOKUP(tbEscolas[[#This Row],[COD ETPA]],tbEtapas[],2,FALSE),"")</f>
        <v/>
      </c>
      <c r="F3614" t="str">
        <f>IFERROR(VLOOKUP(tbEscolas[[#This Row],[COD ETPA]],tbEtapas[],3,FALSE),"")</f>
        <v/>
      </c>
    </row>
    <row r="3615" spans="1:6" x14ac:dyDescent="0.25">
      <c r="A3615" s="24" t="str">
        <f>_xlfn.XLOOKUP(tbEscolas[[#This Row],[ESCOLA]],tbNucleo[ESCOLA],tbNucleo[COD ESCOLA],"")</f>
        <v/>
      </c>
      <c r="B3615" t="str" cm="1">
        <f t="array" ref="B3615">IFERROR(INDEX(tbNucleo[ESCOLA],ROUNDUP(ROW(B3614)/TotalEtapas,0)),"")</f>
        <v/>
      </c>
      <c r="E3615" t="str">
        <f>IFERROR(VLOOKUP(tbEscolas[[#This Row],[COD ETPA]],tbEtapas[],2,FALSE),"")</f>
        <v/>
      </c>
      <c r="F3615" t="str">
        <f>IFERROR(VLOOKUP(tbEscolas[[#This Row],[COD ETPA]],tbEtapas[],3,FALSE),"")</f>
        <v/>
      </c>
    </row>
    <row r="3616" spans="1:6" x14ac:dyDescent="0.25">
      <c r="A3616" s="24" t="str">
        <f>_xlfn.XLOOKUP(tbEscolas[[#This Row],[ESCOLA]],tbNucleo[ESCOLA],tbNucleo[COD ESCOLA],"")</f>
        <v/>
      </c>
      <c r="B3616" t="str" cm="1">
        <f t="array" ref="B3616">IFERROR(INDEX(tbNucleo[ESCOLA],ROUNDUP(ROW(B3615)/TotalEtapas,0)),"")</f>
        <v/>
      </c>
      <c r="E3616" t="str">
        <f>IFERROR(VLOOKUP(tbEscolas[[#This Row],[COD ETPA]],tbEtapas[],2,FALSE),"")</f>
        <v/>
      </c>
      <c r="F3616" t="str">
        <f>IFERROR(VLOOKUP(tbEscolas[[#This Row],[COD ETPA]],tbEtapas[],3,FALSE),"")</f>
        <v/>
      </c>
    </row>
    <row r="3617" spans="1:6" x14ac:dyDescent="0.25">
      <c r="A3617" s="24" t="str">
        <f>_xlfn.XLOOKUP(tbEscolas[[#This Row],[ESCOLA]],tbNucleo[ESCOLA],tbNucleo[COD ESCOLA],"")</f>
        <v/>
      </c>
      <c r="B3617" t="str" cm="1">
        <f t="array" ref="B3617">IFERROR(INDEX(tbNucleo[ESCOLA],ROUNDUP(ROW(B3616)/TotalEtapas,0)),"")</f>
        <v/>
      </c>
      <c r="E3617" t="str">
        <f>IFERROR(VLOOKUP(tbEscolas[[#This Row],[COD ETPA]],tbEtapas[],2,FALSE),"")</f>
        <v/>
      </c>
      <c r="F3617" t="str">
        <f>IFERROR(VLOOKUP(tbEscolas[[#This Row],[COD ETPA]],tbEtapas[],3,FALSE),"")</f>
        <v/>
      </c>
    </row>
    <row r="3618" spans="1:6" x14ac:dyDescent="0.25">
      <c r="A3618" s="24" t="str">
        <f>_xlfn.XLOOKUP(tbEscolas[[#This Row],[ESCOLA]],tbNucleo[ESCOLA],tbNucleo[COD ESCOLA],"")</f>
        <v/>
      </c>
      <c r="B3618" t="str" cm="1">
        <f t="array" ref="B3618">IFERROR(INDEX(tbNucleo[ESCOLA],ROUNDUP(ROW(B3617)/TotalEtapas,0)),"")</f>
        <v/>
      </c>
      <c r="E3618" t="str">
        <f>IFERROR(VLOOKUP(tbEscolas[[#This Row],[COD ETPA]],tbEtapas[],2,FALSE),"")</f>
        <v/>
      </c>
      <c r="F3618" t="str">
        <f>IFERROR(VLOOKUP(tbEscolas[[#This Row],[COD ETPA]],tbEtapas[],3,FALSE),"")</f>
        <v/>
      </c>
    </row>
    <row r="3619" spans="1:6" x14ac:dyDescent="0.25">
      <c r="A3619" s="24" t="str">
        <f>_xlfn.XLOOKUP(tbEscolas[[#This Row],[ESCOLA]],tbNucleo[ESCOLA],tbNucleo[COD ESCOLA],"")</f>
        <v/>
      </c>
      <c r="B3619" t="str" cm="1">
        <f t="array" ref="B3619">IFERROR(INDEX(tbNucleo[ESCOLA],ROUNDUP(ROW(B3618)/TotalEtapas,0)),"")</f>
        <v/>
      </c>
      <c r="E3619" t="str">
        <f>IFERROR(VLOOKUP(tbEscolas[[#This Row],[COD ETPA]],tbEtapas[],2,FALSE),"")</f>
        <v/>
      </c>
      <c r="F3619" t="str">
        <f>IFERROR(VLOOKUP(tbEscolas[[#This Row],[COD ETPA]],tbEtapas[],3,FALSE),"")</f>
        <v/>
      </c>
    </row>
    <row r="3620" spans="1:6" x14ac:dyDescent="0.25">
      <c r="A3620" s="24" t="str">
        <f>_xlfn.XLOOKUP(tbEscolas[[#This Row],[ESCOLA]],tbNucleo[ESCOLA],tbNucleo[COD ESCOLA],"")</f>
        <v/>
      </c>
      <c r="B3620" t="str" cm="1">
        <f t="array" ref="B3620">IFERROR(INDEX(tbNucleo[ESCOLA],ROUNDUP(ROW(B3619)/TotalEtapas,0)),"")</f>
        <v/>
      </c>
      <c r="E3620" t="str">
        <f>IFERROR(VLOOKUP(tbEscolas[[#This Row],[COD ETPA]],tbEtapas[],2,FALSE),"")</f>
        <v/>
      </c>
      <c r="F3620" t="str">
        <f>IFERROR(VLOOKUP(tbEscolas[[#This Row],[COD ETPA]],tbEtapas[],3,FALSE),"")</f>
        <v/>
      </c>
    </row>
    <row r="3621" spans="1:6" x14ac:dyDescent="0.25">
      <c r="A3621" s="24" t="str">
        <f>_xlfn.XLOOKUP(tbEscolas[[#This Row],[ESCOLA]],tbNucleo[ESCOLA],tbNucleo[COD ESCOLA],"")</f>
        <v/>
      </c>
      <c r="B3621" t="str" cm="1">
        <f t="array" ref="B3621">IFERROR(INDEX(tbNucleo[ESCOLA],ROUNDUP(ROW(B3620)/TotalEtapas,0)),"")</f>
        <v/>
      </c>
      <c r="E3621" t="str">
        <f>IFERROR(VLOOKUP(tbEscolas[[#This Row],[COD ETPA]],tbEtapas[],2,FALSE),"")</f>
        <v/>
      </c>
      <c r="F3621" t="str">
        <f>IFERROR(VLOOKUP(tbEscolas[[#This Row],[COD ETPA]],tbEtapas[],3,FALSE),"")</f>
        <v/>
      </c>
    </row>
    <row r="3622" spans="1:6" x14ac:dyDescent="0.25">
      <c r="A3622" s="24" t="str">
        <f>_xlfn.XLOOKUP(tbEscolas[[#This Row],[ESCOLA]],tbNucleo[ESCOLA],tbNucleo[COD ESCOLA],"")</f>
        <v/>
      </c>
      <c r="B3622" t="str" cm="1">
        <f t="array" ref="B3622">IFERROR(INDEX(tbNucleo[ESCOLA],ROUNDUP(ROW(B3621)/TotalEtapas,0)),"")</f>
        <v/>
      </c>
      <c r="E3622" t="str">
        <f>IFERROR(VLOOKUP(tbEscolas[[#This Row],[COD ETPA]],tbEtapas[],2,FALSE),"")</f>
        <v/>
      </c>
      <c r="F3622" t="str">
        <f>IFERROR(VLOOKUP(tbEscolas[[#This Row],[COD ETPA]],tbEtapas[],3,FALSE),"")</f>
        <v/>
      </c>
    </row>
    <row r="3623" spans="1:6" x14ac:dyDescent="0.25">
      <c r="A3623" s="24" t="str">
        <f>_xlfn.XLOOKUP(tbEscolas[[#This Row],[ESCOLA]],tbNucleo[ESCOLA],tbNucleo[COD ESCOLA],"")</f>
        <v/>
      </c>
      <c r="B3623" t="str" cm="1">
        <f t="array" ref="B3623">IFERROR(INDEX(tbNucleo[ESCOLA],ROUNDUP(ROW(B3622)/TotalEtapas,0)),"")</f>
        <v/>
      </c>
      <c r="E3623" t="str">
        <f>IFERROR(VLOOKUP(tbEscolas[[#This Row],[COD ETPA]],tbEtapas[],2,FALSE),"")</f>
        <v/>
      </c>
      <c r="F3623" t="str">
        <f>IFERROR(VLOOKUP(tbEscolas[[#This Row],[COD ETPA]],tbEtapas[],3,FALSE),"")</f>
        <v/>
      </c>
    </row>
    <row r="3624" spans="1:6" x14ac:dyDescent="0.25">
      <c r="A3624" s="24" t="str">
        <f>_xlfn.XLOOKUP(tbEscolas[[#This Row],[ESCOLA]],tbNucleo[ESCOLA],tbNucleo[COD ESCOLA],"")</f>
        <v/>
      </c>
      <c r="B3624" t="str" cm="1">
        <f t="array" ref="B3624">IFERROR(INDEX(tbNucleo[ESCOLA],ROUNDUP(ROW(B3623)/TotalEtapas,0)),"")</f>
        <v/>
      </c>
      <c r="E3624" t="str">
        <f>IFERROR(VLOOKUP(tbEscolas[[#This Row],[COD ETPA]],tbEtapas[],2,FALSE),"")</f>
        <v/>
      </c>
      <c r="F3624" t="str">
        <f>IFERROR(VLOOKUP(tbEscolas[[#This Row],[COD ETPA]],tbEtapas[],3,FALSE),"")</f>
        <v/>
      </c>
    </row>
    <row r="3625" spans="1:6" x14ac:dyDescent="0.25">
      <c r="A3625" s="24" t="str">
        <f>_xlfn.XLOOKUP(tbEscolas[[#This Row],[ESCOLA]],tbNucleo[ESCOLA],tbNucleo[COD ESCOLA],"")</f>
        <v/>
      </c>
      <c r="B3625" t="str" cm="1">
        <f t="array" ref="B3625">IFERROR(INDEX(tbNucleo[ESCOLA],ROUNDUP(ROW(B3624)/TotalEtapas,0)),"")</f>
        <v/>
      </c>
      <c r="E3625" t="str">
        <f>IFERROR(VLOOKUP(tbEscolas[[#This Row],[COD ETPA]],tbEtapas[],2,FALSE),"")</f>
        <v/>
      </c>
      <c r="F3625" t="str">
        <f>IFERROR(VLOOKUP(tbEscolas[[#This Row],[COD ETPA]],tbEtapas[],3,FALSE),"")</f>
        <v/>
      </c>
    </row>
    <row r="3626" spans="1:6" x14ac:dyDescent="0.25">
      <c r="A3626" s="24" t="str">
        <f>_xlfn.XLOOKUP(tbEscolas[[#This Row],[ESCOLA]],tbNucleo[ESCOLA],tbNucleo[COD ESCOLA],"")</f>
        <v/>
      </c>
      <c r="B3626" t="str" cm="1">
        <f t="array" ref="B3626">IFERROR(INDEX(tbNucleo[ESCOLA],ROUNDUP(ROW(B3625)/TotalEtapas,0)),"")</f>
        <v/>
      </c>
      <c r="E3626" t="str">
        <f>IFERROR(VLOOKUP(tbEscolas[[#This Row],[COD ETPA]],tbEtapas[],2,FALSE),"")</f>
        <v/>
      </c>
      <c r="F3626" t="str">
        <f>IFERROR(VLOOKUP(tbEscolas[[#This Row],[COD ETPA]],tbEtapas[],3,FALSE),"")</f>
        <v/>
      </c>
    </row>
    <row r="3627" spans="1:6" x14ac:dyDescent="0.25">
      <c r="A3627" s="24" t="str">
        <f>_xlfn.XLOOKUP(tbEscolas[[#This Row],[ESCOLA]],tbNucleo[ESCOLA],tbNucleo[COD ESCOLA],"")</f>
        <v/>
      </c>
      <c r="B3627" t="str" cm="1">
        <f t="array" ref="B3627">IFERROR(INDEX(tbNucleo[ESCOLA],ROUNDUP(ROW(B3626)/TotalEtapas,0)),"")</f>
        <v/>
      </c>
      <c r="E3627" t="str">
        <f>IFERROR(VLOOKUP(tbEscolas[[#This Row],[COD ETPA]],tbEtapas[],2,FALSE),"")</f>
        <v/>
      </c>
      <c r="F3627" t="str">
        <f>IFERROR(VLOOKUP(tbEscolas[[#This Row],[COD ETPA]],tbEtapas[],3,FALSE),"")</f>
        <v/>
      </c>
    </row>
    <row r="3628" spans="1:6" x14ac:dyDescent="0.25">
      <c r="A3628" s="24" t="str">
        <f>_xlfn.XLOOKUP(tbEscolas[[#This Row],[ESCOLA]],tbNucleo[ESCOLA],tbNucleo[COD ESCOLA],"")</f>
        <v/>
      </c>
      <c r="B3628" t="str" cm="1">
        <f t="array" ref="B3628">IFERROR(INDEX(tbNucleo[ESCOLA],ROUNDUP(ROW(B3627)/TotalEtapas,0)),"")</f>
        <v/>
      </c>
      <c r="E3628" t="str">
        <f>IFERROR(VLOOKUP(tbEscolas[[#This Row],[COD ETPA]],tbEtapas[],2,FALSE),"")</f>
        <v/>
      </c>
      <c r="F3628" t="str">
        <f>IFERROR(VLOOKUP(tbEscolas[[#This Row],[COD ETPA]],tbEtapas[],3,FALSE),"")</f>
        <v/>
      </c>
    </row>
    <row r="3629" spans="1:6" x14ac:dyDescent="0.25">
      <c r="A3629" s="24" t="str">
        <f>_xlfn.XLOOKUP(tbEscolas[[#This Row],[ESCOLA]],tbNucleo[ESCOLA],tbNucleo[COD ESCOLA],"")</f>
        <v/>
      </c>
      <c r="B3629" t="str" cm="1">
        <f t="array" ref="B3629">IFERROR(INDEX(tbNucleo[ESCOLA],ROUNDUP(ROW(B3628)/TotalEtapas,0)),"")</f>
        <v/>
      </c>
      <c r="E3629" t="str">
        <f>IFERROR(VLOOKUP(tbEscolas[[#This Row],[COD ETPA]],tbEtapas[],2,FALSE),"")</f>
        <v/>
      </c>
      <c r="F3629" t="str">
        <f>IFERROR(VLOOKUP(tbEscolas[[#This Row],[COD ETPA]],tbEtapas[],3,FALSE),"")</f>
        <v/>
      </c>
    </row>
    <row r="3630" spans="1:6" x14ac:dyDescent="0.25">
      <c r="A3630" s="24" t="str">
        <f>_xlfn.XLOOKUP(tbEscolas[[#This Row],[ESCOLA]],tbNucleo[ESCOLA],tbNucleo[COD ESCOLA],"")</f>
        <v/>
      </c>
      <c r="B3630" t="str" cm="1">
        <f t="array" ref="B3630">IFERROR(INDEX(tbNucleo[ESCOLA],ROUNDUP(ROW(B3629)/TotalEtapas,0)),"")</f>
        <v/>
      </c>
      <c r="E3630" t="str">
        <f>IFERROR(VLOOKUP(tbEscolas[[#This Row],[COD ETPA]],tbEtapas[],2,FALSE),"")</f>
        <v/>
      </c>
      <c r="F3630" t="str">
        <f>IFERROR(VLOOKUP(tbEscolas[[#This Row],[COD ETPA]],tbEtapas[],3,FALSE),"")</f>
        <v/>
      </c>
    </row>
    <row r="3631" spans="1:6" x14ac:dyDescent="0.25">
      <c r="A3631" s="24" t="str">
        <f>_xlfn.XLOOKUP(tbEscolas[[#This Row],[ESCOLA]],tbNucleo[ESCOLA],tbNucleo[COD ESCOLA],"")</f>
        <v/>
      </c>
      <c r="B3631" t="str" cm="1">
        <f t="array" ref="B3631">IFERROR(INDEX(tbNucleo[ESCOLA],ROUNDUP(ROW(B3630)/TotalEtapas,0)),"")</f>
        <v/>
      </c>
      <c r="E3631" t="str">
        <f>IFERROR(VLOOKUP(tbEscolas[[#This Row],[COD ETPA]],tbEtapas[],2,FALSE),"")</f>
        <v/>
      </c>
      <c r="F3631" t="str">
        <f>IFERROR(VLOOKUP(tbEscolas[[#This Row],[COD ETPA]],tbEtapas[],3,FALSE),"")</f>
        <v/>
      </c>
    </row>
    <row r="3632" spans="1:6" x14ac:dyDescent="0.25">
      <c r="A3632" s="24" t="str">
        <f>_xlfn.XLOOKUP(tbEscolas[[#This Row],[ESCOLA]],tbNucleo[ESCOLA],tbNucleo[COD ESCOLA],"")</f>
        <v/>
      </c>
      <c r="B3632" t="str" cm="1">
        <f t="array" ref="B3632">IFERROR(INDEX(tbNucleo[ESCOLA],ROUNDUP(ROW(B3631)/TotalEtapas,0)),"")</f>
        <v/>
      </c>
      <c r="E3632" t="str">
        <f>IFERROR(VLOOKUP(tbEscolas[[#This Row],[COD ETPA]],tbEtapas[],2,FALSE),"")</f>
        <v/>
      </c>
      <c r="F3632" t="str">
        <f>IFERROR(VLOOKUP(tbEscolas[[#This Row],[COD ETPA]],tbEtapas[],3,FALSE),"")</f>
        <v/>
      </c>
    </row>
    <row r="3633" spans="1:6" x14ac:dyDescent="0.25">
      <c r="A3633" s="24" t="str">
        <f>_xlfn.XLOOKUP(tbEscolas[[#This Row],[ESCOLA]],tbNucleo[ESCOLA],tbNucleo[COD ESCOLA],"")</f>
        <v/>
      </c>
      <c r="B3633" t="str" cm="1">
        <f t="array" ref="B3633">IFERROR(INDEX(tbNucleo[ESCOLA],ROUNDUP(ROW(B3632)/TotalEtapas,0)),"")</f>
        <v/>
      </c>
      <c r="E3633" t="str">
        <f>IFERROR(VLOOKUP(tbEscolas[[#This Row],[COD ETPA]],tbEtapas[],2,FALSE),"")</f>
        <v/>
      </c>
      <c r="F3633" t="str">
        <f>IFERROR(VLOOKUP(tbEscolas[[#This Row],[COD ETPA]],tbEtapas[],3,FALSE),"")</f>
        <v/>
      </c>
    </row>
    <row r="3634" spans="1:6" x14ac:dyDescent="0.25">
      <c r="A3634" s="24" t="str">
        <f>_xlfn.XLOOKUP(tbEscolas[[#This Row],[ESCOLA]],tbNucleo[ESCOLA],tbNucleo[COD ESCOLA],"")</f>
        <v/>
      </c>
      <c r="B3634" t="str" cm="1">
        <f t="array" ref="B3634">IFERROR(INDEX(tbNucleo[ESCOLA],ROUNDUP(ROW(B3633)/TotalEtapas,0)),"")</f>
        <v/>
      </c>
      <c r="E3634" t="str">
        <f>IFERROR(VLOOKUP(tbEscolas[[#This Row],[COD ETPA]],tbEtapas[],2,FALSE),"")</f>
        <v/>
      </c>
      <c r="F3634" t="str">
        <f>IFERROR(VLOOKUP(tbEscolas[[#This Row],[COD ETPA]],tbEtapas[],3,FALSE),"")</f>
        <v/>
      </c>
    </row>
    <row r="3635" spans="1:6" x14ac:dyDescent="0.25">
      <c r="A3635" s="24" t="str">
        <f>_xlfn.XLOOKUP(tbEscolas[[#This Row],[ESCOLA]],tbNucleo[ESCOLA],tbNucleo[COD ESCOLA],"")</f>
        <v/>
      </c>
      <c r="B3635" t="str" cm="1">
        <f t="array" ref="B3635">IFERROR(INDEX(tbNucleo[ESCOLA],ROUNDUP(ROW(B3634)/TotalEtapas,0)),"")</f>
        <v/>
      </c>
      <c r="E3635" t="str">
        <f>IFERROR(VLOOKUP(tbEscolas[[#This Row],[COD ETPA]],tbEtapas[],2,FALSE),"")</f>
        <v/>
      </c>
      <c r="F3635" t="str">
        <f>IFERROR(VLOOKUP(tbEscolas[[#This Row],[COD ETPA]],tbEtapas[],3,FALSE),"")</f>
        <v/>
      </c>
    </row>
    <row r="3636" spans="1:6" x14ac:dyDescent="0.25">
      <c r="A3636" s="24" t="str">
        <f>_xlfn.XLOOKUP(tbEscolas[[#This Row],[ESCOLA]],tbNucleo[ESCOLA],tbNucleo[COD ESCOLA],"")</f>
        <v/>
      </c>
      <c r="B3636" t="str" cm="1">
        <f t="array" ref="B3636">IFERROR(INDEX(tbNucleo[ESCOLA],ROUNDUP(ROW(B3635)/TotalEtapas,0)),"")</f>
        <v/>
      </c>
      <c r="E3636" t="str">
        <f>IFERROR(VLOOKUP(tbEscolas[[#This Row],[COD ETPA]],tbEtapas[],2,FALSE),"")</f>
        <v/>
      </c>
      <c r="F3636" t="str">
        <f>IFERROR(VLOOKUP(tbEscolas[[#This Row],[COD ETPA]],tbEtapas[],3,FALSE),"")</f>
        <v/>
      </c>
    </row>
    <row r="3637" spans="1:6" x14ac:dyDescent="0.25">
      <c r="A3637" s="24" t="str">
        <f>_xlfn.XLOOKUP(tbEscolas[[#This Row],[ESCOLA]],tbNucleo[ESCOLA],tbNucleo[COD ESCOLA],"")</f>
        <v/>
      </c>
      <c r="B3637" t="str" cm="1">
        <f t="array" ref="B3637">IFERROR(INDEX(tbNucleo[ESCOLA],ROUNDUP(ROW(B3636)/TotalEtapas,0)),"")</f>
        <v/>
      </c>
      <c r="E3637" t="str">
        <f>IFERROR(VLOOKUP(tbEscolas[[#This Row],[COD ETPA]],tbEtapas[],2,FALSE),"")</f>
        <v/>
      </c>
      <c r="F3637" t="str">
        <f>IFERROR(VLOOKUP(tbEscolas[[#This Row],[COD ETPA]],tbEtapas[],3,FALSE),"")</f>
        <v/>
      </c>
    </row>
    <row r="3638" spans="1:6" x14ac:dyDescent="0.25">
      <c r="A3638" s="24" t="str">
        <f>_xlfn.XLOOKUP(tbEscolas[[#This Row],[ESCOLA]],tbNucleo[ESCOLA],tbNucleo[COD ESCOLA],"")</f>
        <v/>
      </c>
      <c r="B3638" t="str" cm="1">
        <f t="array" ref="B3638">IFERROR(INDEX(tbNucleo[ESCOLA],ROUNDUP(ROW(B3637)/TotalEtapas,0)),"")</f>
        <v/>
      </c>
      <c r="E3638" t="str">
        <f>IFERROR(VLOOKUP(tbEscolas[[#This Row],[COD ETPA]],tbEtapas[],2,FALSE),"")</f>
        <v/>
      </c>
      <c r="F3638" t="str">
        <f>IFERROR(VLOOKUP(tbEscolas[[#This Row],[COD ETPA]],tbEtapas[],3,FALSE),"")</f>
        <v/>
      </c>
    </row>
    <row r="3639" spans="1:6" x14ac:dyDescent="0.25">
      <c r="A3639" s="24" t="str">
        <f>_xlfn.XLOOKUP(tbEscolas[[#This Row],[ESCOLA]],tbNucleo[ESCOLA],tbNucleo[COD ESCOLA],"")</f>
        <v/>
      </c>
      <c r="B3639" t="str" cm="1">
        <f t="array" ref="B3639">IFERROR(INDEX(tbNucleo[ESCOLA],ROUNDUP(ROW(B3638)/TotalEtapas,0)),"")</f>
        <v/>
      </c>
      <c r="E3639" t="str">
        <f>IFERROR(VLOOKUP(tbEscolas[[#This Row],[COD ETPA]],tbEtapas[],2,FALSE),"")</f>
        <v/>
      </c>
      <c r="F3639" t="str">
        <f>IFERROR(VLOOKUP(tbEscolas[[#This Row],[COD ETPA]],tbEtapas[],3,FALSE),"")</f>
        <v/>
      </c>
    </row>
    <row r="3640" spans="1:6" x14ac:dyDescent="0.25">
      <c r="A3640" s="24" t="str">
        <f>_xlfn.XLOOKUP(tbEscolas[[#This Row],[ESCOLA]],tbNucleo[ESCOLA],tbNucleo[COD ESCOLA],"")</f>
        <v/>
      </c>
      <c r="B3640" t="str" cm="1">
        <f t="array" ref="B3640">IFERROR(INDEX(tbNucleo[ESCOLA],ROUNDUP(ROW(B3639)/TotalEtapas,0)),"")</f>
        <v/>
      </c>
      <c r="E3640" t="str">
        <f>IFERROR(VLOOKUP(tbEscolas[[#This Row],[COD ETPA]],tbEtapas[],2,FALSE),"")</f>
        <v/>
      </c>
      <c r="F3640" t="str">
        <f>IFERROR(VLOOKUP(tbEscolas[[#This Row],[COD ETPA]],tbEtapas[],3,FALSE),"")</f>
        <v/>
      </c>
    </row>
    <row r="3641" spans="1:6" x14ac:dyDescent="0.25">
      <c r="A3641" s="24" t="str">
        <f>_xlfn.XLOOKUP(tbEscolas[[#This Row],[ESCOLA]],tbNucleo[ESCOLA],tbNucleo[COD ESCOLA],"")</f>
        <v/>
      </c>
      <c r="B3641" t="str" cm="1">
        <f t="array" ref="B3641">IFERROR(INDEX(tbNucleo[ESCOLA],ROUNDUP(ROW(B3640)/TotalEtapas,0)),"")</f>
        <v/>
      </c>
      <c r="E3641" t="str">
        <f>IFERROR(VLOOKUP(tbEscolas[[#This Row],[COD ETPA]],tbEtapas[],2,FALSE),"")</f>
        <v/>
      </c>
      <c r="F3641" t="str">
        <f>IFERROR(VLOOKUP(tbEscolas[[#This Row],[COD ETPA]],tbEtapas[],3,FALSE),"")</f>
        <v/>
      </c>
    </row>
    <row r="3642" spans="1:6" x14ac:dyDescent="0.25">
      <c r="A3642" s="24" t="str">
        <f>_xlfn.XLOOKUP(tbEscolas[[#This Row],[ESCOLA]],tbNucleo[ESCOLA],tbNucleo[COD ESCOLA],"")</f>
        <v/>
      </c>
      <c r="B3642" t="str" cm="1">
        <f t="array" ref="B3642">IFERROR(INDEX(tbNucleo[ESCOLA],ROUNDUP(ROW(B3641)/TotalEtapas,0)),"")</f>
        <v/>
      </c>
      <c r="E3642" t="str">
        <f>IFERROR(VLOOKUP(tbEscolas[[#This Row],[COD ETPA]],tbEtapas[],2,FALSE),"")</f>
        <v/>
      </c>
      <c r="F3642" t="str">
        <f>IFERROR(VLOOKUP(tbEscolas[[#This Row],[COD ETPA]],tbEtapas[],3,FALSE),"")</f>
        <v/>
      </c>
    </row>
    <row r="3643" spans="1:6" x14ac:dyDescent="0.25">
      <c r="A3643" s="24" t="str">
        <f>_xlfn.XLOOKUP(tbEscolas[[#This Row],[ESCOLA]],tbNucleo[ESCOLA],tbNucleo[COD ESCOLA],"")</f>
        <v/>
      </c>
      <c r="B3643" t="str" cm="1">
        <f t="array" ref="B3643">IFERROR(INDEX(tbNucleo[ESCOLA],ROUNDUP(ROW(B3642)/TotalEtapas,0)),"")</f>
        <v/>
      </c>
      <c r="E3643" t="str">
        <f>IFERROR(VLOOKUP(tbEscolas[[#This Row],[COD ETPA]],tbEtapas[],2,FALSE),"")</f>
        <v/>
      </c>
      <c r="F3643" t="str">
        <f>IFERROR(VLOOKUP(tbEscolas[[#This Row],[COD ETPA]],tbEtapas[],3,FALSE),"")</f>
        <v/>
      </c>
    </row>
    <row r="3644" spans="1:6" x14ac:dyDescent="0.25">
      <c r="A3644" s="24" t="str">
        <f>_xlfn.XLOOKUP(tbEscolas[[#This Row],[ESCOLA]],tbNucleo[ESCOLA],tbNucleo[COD ESCOLA],"")</f>
        <v/>
      </c>
      <c r="B3644" t="str" cm="1">
        <f t="array" ref="B3644">IFERROR(INDEX(tbNucleo[ESCOLA],ROUNDUP(ROW(B3643)/TotalEtapas,0)),"")</f>
        <v/>
      </c>
      <c r="E3644" t="str">
        <f>IFERROR(VLOOKUP(tbEscolas[[#This Row],[COD ETPA]],tbEtapas[],2,FALSE),"")</f>
        <v/>
      </c>
      <c r="F3644" t="str">
        <f>IFERROR(VLOOKUP(tbEscolas[[#This Row],[COD ETPA]],tbEtapas[],3,FALSE),"")</f>
        <v/>
      </c>
    </row>
    <row r="3645" spans="1:6" x14ac:dyDescent="0.25">
      <c r="A3645" s="24" t="str">
        <f>_xlfn.XLOOKUP(tbEscolas[[#This Row],[ESCOLA]],tbNucleo[ESCOLA],tbNucleo[COD ESCOLA],"")</f>
        <v/>
      </c>
      <c r="B3645" t="str" cm="1">
        <f t="array" ref="B3645">IFERROR(INDEX(tbNucleo[ESCOLA],ROUNDUP(ROW(B3644)/TotalEtapas,0)),"")</f>
        <v/>
      </c>
      <c r="E3645" t="str">
        <f>IFERROR(VLOOKUP(tbEscolas[[#This Row],[COD ETPA]],tbEtapas[],2,FALSE),"")</f>
        <v/>
      </c>
      <c r="F3645" t="str">
        <f>IFERROR(VLOOKUP(tbEscolas[[#This Row],[COD ETPA]],tbEtapas[],3,FALSE),"")</f>
        <v/>
      </c>
    </row>
    <row r="3646" spans="1:6" x14ac:dyDescent="0.25">
      <c r="A3646" s="24" t="str">
        <f>_xlfn.XLOOKUP(tbEscolas[[#This Row],[ESCOLA]],tbNucleo[ESCOLA],tbNucleo[COD ESCOLA],"")</f>
        <v/>
      </c>
      <c r="B3646" t="str" cm="1">
        <f t="array" ref="B3646">IFERROR(INDEX(tbNucleo[ESCOLA],ROUNDUP(ROW(B3645)/TotalEtapas,0)),"")</f>
        <v/>
      </c>
      <c r="E3646" t="str">
        <f>IFERROR(VLOOKUP(tbEscolas[[#This Row],[COD ETPA]],tbEtapas[],2,FALSE),"")</f>
        <v/>
      </c>
      <c r="F3646" t="str">
        <f>IFERROR(VLOOKUP(tbEscolas[[#This Row],[COD ETPA]],tbEtapas[],3,FALSE),"")</f>
        <v/>
      </c>
    </row>
    <row r="3647" spans="1:6" x14ac:dyDescent="0.25">
      <c r="A3647" s="24" t="str">
        <f>_xlfn.XLOOKUP(tbEscolas[[#This Row],[ESCOLA]],tbNucleo[ESCOLA],tbNucleo[COD ESCOLA],"")</f>
        <v/>
      </c>
      <c r="B3647" t="str" cm="1">
        <f t="array" ref="B3647">IFERROR(INDEX(tbNucleo[ESCOLA],ROUNDUP(ROW(B3646)/TotalEtapas,0)),"")</f>
        <v/>
      </c>
      <c r="E3647" t="str">
        <f>IFERROR(VLOOKUP(tbEscolas[[#This Row],[COD ETPA]],tbEtapas[],2,FALSE),"")</f>
        <v/>
      </c>
      <c r="F3647" t="str">
        <f>IFERROR(VLOOKUP(tbEscolas[[#This Row],[COD ETPA]],tbEtapas[],3,FALSE),"")</f>
        <v/>
      </c>
    </row>
    <row r="3648" spans="1:6" x14ac:dyDescent="0.25">
      <c r="A3648" s="24" t="str">
        <f>_xlfn.XLOOKUP(tbEscolas[[#This Row],[ESCOLA]],tbNucleo[ESCOLA],tbNucleo[COD ESCOLA],"")</f>
        <v/>
      </c>
      <c r="B3648" t="str" cm="1">
        <f t="array" ref="B3648">IFERROR(INDEX(tbNucleo[ESCOLA],ROUNDUP(ROW(B3647)/TotalEtapas,0)),"")</f>
        <v/>
      </c>
      <c r="E3648" t="str">
        <f>IFERROR(VLOOKUP(tbEscolas[[#This Row],[COD ETPA]],tbEtapas[],2,FALSE),"")</f>
        <v/>
      </c>
      <c r="F3648" t="str">
        <f>IFERROR(VLOOKUP(tbEscolas[[#This Row],[COD ETPA]],tbEtapas[],3,FALSE),"")</f>
        <v/>
      </c>
    </row>
    <row r="3649" spans="1:6" x14ac:dyDescent="0.25">
      <c r="A3649" s="24" t="str">
        <f>_xlfn.XLOOKUP(tbEscolas[[#This Row],[ESCOLA]],tbNucleo[ESCOLA],tbNucleo[COD ESCOLA],"")</f>
        <v/>
      </c>
      <c r="B3649" t="str" cm="1">
        <f t="array" ref="B3649">IFERROR(INDEX(tbNucleo[ESCOLA],ROUNDUP(ROW(B3648)/TotalEtapas,0)),"")</f>
        <v/>
      </c>
      <c r="E3649" t="str">
        <f>IFERROR(VLOOKUP(tbEscolas[[#This Row],[COD ETPA]],tbEtapas[],2,FALSE),"")</f>
        <v/>
      </c>
      <c r="F3649" t="str">
        <f>IFERROR(VLOOKUP(tbEscolas[[#This Row],[COD ETPA]],tbEtapas[],3,FALSE),"")</f>
        <v/>
      </c>
    </row>
    <row r="3650" spans="1:6" x14ac:dyDescent="0.25">
      <c r="A3650" s="24" t="str">
        <f>_xlfn.XLOOKUP(tbEscolas[[#This Row],[ESCOLA]],tbNucleo[ESCOLA],tbNucleo[COD ESCOLA],"")</f>
        <v/>
      </c>
      <c r="B3650" t="str" cm="1">
        <f t="array" ref="B3650">IFERROR(INDEX(tbNucleo[ESCOLA],ROUNDUP(ROW(B3649)/TotalEtapas,0)),"")</f>
        <v/>
      </c>
      <c r="E3650" t="str">
        <f>IFERROR(VLOOKUP(tbEscolas[[#This Row],[COD ETPA]],tbEtapas[],2,FALSE),"")</f>
        <v/>
      </c>
      <c r="F3650" t="str">
        <f>IFERROR(VLOOKUP(tbEscolas[[#This Row],[COD ETPA]],tbEtapas[],3,FALSE),"")</f>
        <v/>
      </c>
    </row>
    <row r="3651" spans="1:6" x14ac:dyDescent="0.25">
      <c r="A3651" s="24" t="str">
        <f>_xlfn.XLOOKUP(tbEscolas[[#This Row],[ESCOLA]],tbNucleo[ESCOLA],tbNucleo[COD ESCOLA],"")</f>
        <v/>
      </c>
      <c r="B3651" t="str" cm="1">
        <f t="array" ref="B3651">IFERROR(INDEX(tbNucleo[ESCOLA],ROUNDUP(ROW(B3650)/TotalEtapas,0)),"")</f>
        <v/>
      </c>
      <c r="E3651" t="str">
        <f>IFERROR(VLOOKUP(tbEscolas[[#This Row],[COD ETPA]],tbEtapas[],2,FALSE),"")</f>
        <v/>
      </c>
      <c r="F3651" t="str">
        <f>IFERROR(VLOOKUP(tbEscolas[[#This Row],[COD ETPA]],tbEtapas[],3,FALSE),"")</f>
        <v/>
      </c>
    </row>
    <row r="3652" spans="1:6" x14ac:dyDescent="0.25">
      <c r="A3652" s="24" t="str">
        <f>_xlfn.XLOOKUP(tbEscolas[[#This Row],[ESCOLA]],tbNucleo[ESCOLA],tbNucleo[COD ESCOLA],"")</f>
        <v/>
      </c>
      <c r="B3652" t="str" cm="1">
        <f t="array" ref="B3652">IFERROR(INDEX(tbNucleo[ESCOLA],ROUNDUP(ROW(B3651)/TotalEtapas,0)),"")</f>
        <v/>
      </c>
      <c r="E3652" t="str">
        <f>IFERROR(VLOOKUP(tbEscolas[[#This Row],[COD ETPA]],tbEtapas[],2,FALSE),"")</f>
        <v/>
      </c>
      <c r="F3652" t="str">
        <f>IFERROR(VLOOKUP(tbEscolas[[#This Row],[COD ETPA]],tbEtapas[],3,FALSE),"")</f>
        <v/>
      </c>
    </row>
    <row r="3653" spans="1:6" x14ac:dyDescent="0.25">
      <c r="A3653" s="24" t="str">
        <f>_xlfn.XLOOKUP(tbEscolas[[#This Row],[ESCOLA]],tbNucleo[ESCOLA],tbNucleo[COD ESCOLA],"")</f>
        <v/>
      </c>
      <c r="B3653" t="str" cm="1">
        <f t="array" ref="B3653">IFERROR(INDEX(tbNucleo[ESCOLA],ROUNDUP(ROW(B3652)/TotalEtapas,0)),"")</f>
        <v/>
      </c>
      <c r="E3653" t="str">
        <f>IFERROR(VLOOKUP(tbEscolas[[#This Row],[COD ETPA]],tbEtapas[],2,FALSE),"")</f>
        <v/>
      </c>
      <c r="F3653" t="str">
        <f>IFERROR(VLOOKUP(tbEscolas[[#This Row],[COD ETPA]],tbEtapas[],3,FALSE),"")</f>
        <v/>
      </c>
    </row>
    <row r="3654" spans="1:6" x14ac:dyDescent="0.25">
      <c r="A3654" s="24" t="str">
        <f>_xlfn.XLOOKUP(tbEscolas[[#This Row],[ESCOLA]],tbNucleo[ESCOLA],tbNucleo[COD ESCOLA],"")</f>
        <v/>
      </c>
      <c r="B3654" t="str" cm="1">
        <f t="array" ref="B3654">IFERROR(INDEX(tbNucleo[ESCOLA],ROUNDUP(ROW(B3653)/TotalEtapas,0)),"")</f>
        <v/>
      </c>
      <c r="E3654" t="str">
        <f>IFERROR(VLOOKUP(tbEscolas[[#This Row],[COD ETPA]],tbEtapas[],2,FALSE),"")</f>
        <v/>
      </c>
      <c r="F3654" t="str">
        <f>IFERROR(VLOOKUP(tbEscolas[[#This Row],[COD ETPA]],tbEtapas[],3,FALSE),"")</f>
        <v/>
      </c>
    </row>
    <row r="3655" spans="1:6" x14ac:dyDescent="0.25">
      <c r="A3655" s="24" t="str">
        <f>_xlfn.XLOOKUP(tbEscolas[[#This Row],[ESCOLA]],tbNucleo[ESCOLA],tbNucleo[COD ESCOLA],"")</f>
        <v/>
      </c>
      <c r="B3655" t="str" cm="1">
        <f t="array" ref="B3655">IFERROR(INDEX(tbNucleo[ESCOLA],ROUNDUP(ROW(B3654)/TotalEtapas,0)),"")</f>
        <v/>
      </c>
      <c r="E3655" t="str">
        <f>IFERROR(VLOOKUP(tbEscolas[[#This Row],[COD ETPA]],tbEtapas[],2,FALSE),"")</f>
        <v/>
      </c>
      <c r="F3655" t="str">
        <f>IFERROR(VLOOKUP(tbEscolas[[#This Row],[COD ETPA]],tbEtapas[],3,FALSE),"")</f>
        <v/>
      </c>
    </row>
    <row r="3656" spans="1:6" x14ac:dyDescent="0.25">
      <c r="A3656" s="24" t="str">
        <f>_xlfn.XLOOKUP(tbEscolas[[#This Row],[ESCOLA]],tbNucleo[ESCOLA],tbNucleo[COD ESCOLA],"")</f>
        <v/>
      </c>
      <c r="B3656" t="str" cm="1">
        <f t="array" ref="B3656">IFERROR(INDEX(tbNucleo[ESCOLA],ROUNDUP(ROW(B3655)/TotalEtapas,0)),"")</f>
        <v/>
      </c>
      <c r="E3656" t="str">
        <f>IFERROR(VLOOKUP(tbEscolas[[#This Row],[COD ETPA]],tbEtapas[],2,FALSE),"")</f>
        <v/>
      </c>
      <c r="F3656" t="str">
        <f>IFERROR(VLOOKUP(tbEscolas[[#This Row],[COD ETPA]],tbEtapas[],3,FALSE),"")</f>
        <v/>
      </c>
    </row>
    <row r="3657" spans="1:6" x14ac:dyDescent="0.25">
      <c r="A3657" s="24" t="str">
        <f>_xlfn.XLOOKUP(tbEscolas[[#This Row],[ESCOLA]],tbNucleo[ESCOLA],tbNucleo[COD ESCOLA],"")</f>
        <v/>
      </c>
      <c r="B3657" t="str" cm="1">
        <f t="array" ref="B3657">IFERROR(INDEX(tbNucleo[ESCOLA],ROUNDUP(ROW(B3656)/TotalEtapas,0)),"")</f>
        <v/>
      </c>
      <c r="E3657" t="str">
        <f>IFERROR(VLOOKUP(tbEscolas[[#This Row],[COD ETPA]],tbEtapas[],2,FALSE),"")</f>
        <v/>
      </c>
      <c r="F3657" t="str">
        <f>IFERROR(VLOOKUP(tbEscolas[[#This Row],[COD ETPA]],tbEtapas[],3,FALSE),"")</f>
        <v/>
      </c>
    </row>
    <row r="3658" spans="1:6" x14ac:dyDescent="0.25">
      <c r="A3658" s="24" t="str">
        <f>_xlfn.XLOOKUP(tbEscolas[[#This Row],[ESCOLA]],tbNucleo[ESCOLA],tbNucleo[COD ESCOLA],"")</f>
        <v/>
      </c>
      <c r="B3658" t="str" cm="1">
        <f t="array" ref="B3658">IFERROR(INDEX(tbNucleo[ESCOLA],ROUNDUP(ROW(B3657)/TotalEtapas,0)),"")</f>
        <v/>
      </c>
      <c r="E3658" t="str">
        <f>IFERROR(VLOOKUP(tbEscolas[[#This Row],[COD ETPA]],tbEtapas[],2,FALSE),"")</f>
        <v/>
      </c>
      <c r="F3658" t="str">
        <f>IFERROR(VLOOKUP(tbEscolas[[#This Row],[COD ETPA]],tbEtapas[],3,FALSE),"")</f>
        <v/>
      </c>
    </row>
    <row r="3659" spans="1:6" x14ac:dyDescent="0.25">
      <c r="A3659" s="24" t="str">
        <f>_xlfn.XLOOKUP(tbEscolas[[#This Row],[ESCOLA]],tbNucleo[ESCOLA],tbNucleo[COD ESCOLA],"")</f>
        <v/>
      </c>
      <c r="B3659" t="str" cm="1">
        <f t="array" ref="B3659">IFERROR(INDEX(tbNucleo[ESCOLA],ROUNDUP(ROW(B3658)/TotalEtapas,0)),"")</f>
        <v/>
      </c>
      <c r="E3659" t="str">
        <f>IFERROR(VLOOKUP(tbEscolas[[#This Row],[COD ETPA]],tbEtapas[],2,FALSE),"")</f>
        <v/>
      </c>
      <c r="F3659" t="str">
        <f>IFERROR(VLOOKUP(tbEscolas[[#This Row],[COD ETPA]],tbEtapas[],3,FALSE),"")</f>
        <v/>
      </c>
    </row>
    <row r="3660" spans="1:6" x14ac:dyDescent="0.25">
      <c r="A3660" s="24" t="str">
        <f>_xlfn.XLOOKUP(tbEscolas[[#This Row],[ESCOLA]],tbNucleo[ESCOLA],tbNucleo[COD ESCOLA],"")</f>
        <v/>
      </c>
      <c r="B3660" t="str" cm="1">
        <f t="array" ref="B3660">IFERROR(INDEX(tbNucleo[ESCOLA],ROUNDUP(ROW(B3659)/TotalEtapas,0)),"")</f>
        <v/>
      </c>
      <c r="E3660" t="str">
        <f>IFERROR(VLOOKUP(tbEscolas[[#This Row],[COD ETPA]],tbEtapas[],2,FALSE),"")</f>
        <v/>
      </c>
      <c r="F3660" t="str">
        <f>IFERROR(VLOOKUP(tbEscolas[[#This Row],[COD ETPA]],tbEtapas[],3,FALSE),"")</f>
        <v/>
      </c>
    </row>
    <row r="3661" spans="1:6" x14ac:dyDescent="0.25">
      <c r="A3661" s="24" t="str">
        <f>_xlfn.XLOOKUP(tbEscolas[[#This Row],[ESCOLA]],tbNucleo[ESCOLA],tbNucleo[COD ESCOLA],"")</f>
        <v/>
      </c>
      <c r="B3661" t="str" cm="1">
        <f t="array" ref="B3661">IFERROR(INDEX(tbNucleo[ESCOLA],ROUNDUP(ROW(B3660)/TotalEtapas,0)),"")</f>
        <v/>
      </c>
      <c r="E3661" t="str">
        <f>IFERROR(VLOOKUP(tbEscolas[[#This Row],[COD ETPA]],tbEtapas[],2,FALSE),"")</f>
        <v/>
      </c>
      <c r="F3661" t="str">
        <f>IFERROR(VLOOKUP(tbEscolas[[#This Row],[COD ETPA]],tbEtapas[],3,FALSE),"")</f>
        <v/>
      </c>
    </row>
    <row r="3662" spans="1:6" x14ac:dyDescent="0.25">
      <c r="A3662" s="24" t="str">
        <f>_xlfn.XLOOKUP(tbEscolas[[#This Row],[ESCOLA]],tbNucleo[ESCOLA],tbNucleo[COD ESCOLA],"")</f>
        <v/>
      </c>
      <c r="B3662" t="str" cm="1">
        <f t="array" ref="B3662">IFERROR(INDEX(tbNucleo[ESCOLA],ROUNDUP(ROW(B3661)/TotalEtapas,0)),"")</f>
        <v/>
      </c>
      <c r="E3662" t="str">
        <f>IFERROR(VLOOKUP(tbEscolas[[#This Row],[COD ETPA]],tbEtapas[],2,FALSE),"")</f>
        <v/>
      </c>
      <c r="F3662" t="str">
        <f>IFERROR(VLOOKUP(tbEscolas[[#This Row],[COD ETPA]],tbEtapas[],3,FALSE),"")</f>
        <v/>
      </c>
    </row>
    <row r="3663" spans="1:6" x14ac:dyDescent="0.25">
      <c r="A3663" s="24" t="str">
        <f>_xlfn.XLOOKUP(tbEscolas[[#This Row],[ESCOLA]],tbNucleo[ESCOLA],tbNucleo[COD ESCOLA],"")</f>
        <v/>
      </c>
      <c r="B3663" t="str" cm="1">
        <f t="array" ref="B3663">IFERROR(INDEX(tbNucleo[ESCOLA],ROUNDUP(ROW(B3662)/TotalEtapas,0)),"")</f>
        <v/>
      </c>
      <c r="E3663" t="str">
        <f>IFERROR(VLOOKUP(tbEscolas[[#This Row],[COD ETPA]],tbEtapas[],2,FALSE),"")</f>
        <v/>
      </c>
      <c r="F3663" t="str">
        <f>IFERROR(VLOOKUP(tbEscolas[[#This Row],[COD ETPA]],tbEtapas[],3,FALSE),"")</f>
        <v/>
      </c>
    </row>
    <row r="3664" spans="1:6" x14ac:dyDescent="0.25">
      <c r="A3664" s="24" t="str">
        <f>_xlfn.XLOOKUP(tbEscolas[[#This Row],[ESCOLA]],tbNucleo[ESCOLA],tbNucleo[COD ESCOLA],"")</f>
        <v/>
      </c>
      <c r="B3664" t="str" cm="1">
        <f t="array" ref="B3664">IFERROR(INDEX(tbNucleo[ESCOLA],ROUNDUP(ROW(B3663)/TotalEtapas,0)),"")</f>
        <v/>
      </c>
      <c r="E3664" t="str">
        <f>IFERROR(VLOOKUP(tbEscolas[[#This Row],[COD ETPA]],tbEtapas[],2,FALSE),"")</f>
        <v/>
      </c>
      <c r="F3664" t="str">
        <f>IFERROR(VLOOKUP(tbEscolas[[#This Row],[COD ETPA]],tbEtapas[],3,FALSE),"")</f>
        <v/>
      </c>
    </row>
    <row r="3665" spans="1:6" x14ac:dyDescent="0.25">
      <c r="A3665" s="24" t="str">
        <f>_xlfn.XLOOKUP(tbEscolas[[#This Row],[ESCOLA]],tbNucleo[ESCOLA],tbNucleo[COD ESCOLA],"")</f>
        <v/>
      </c>
      <c r="B3665" t="str" cm="1">
        <f t="array" ref="B3665">IFERROR(INDEX(tbNucleo[ESCOLA],ROUNDUP(ROW(B3664)/TotalEtapas,0)),"")</f>
        <v/>
      </c>
      <c r="E3665" t="str">
        <f>IFERROR(VLOOKUP(tbEscolas[[#This Row],[COD ETPA]],tbEtapas[],2,FALSE),"")</f>
        <v/>
      </c>
      <c r="F3665" t="str">
        <f>IFERROR(VLOOKUP(tbEscolas[[#This Row],[COD ETPA]],tbEtapas[],3,FALSE),"")</f>
        <v/>
      </c>
    </row>
    <row r="3666" spans="1:6" x14ac:dyDescent="0.25">
      <c r="A3666" s="24" t="str">
        <f>_xlfn.XLOOKUP(tbEscolas[[#This Row],[ESCOLA]],tbNucleo[ESCOLA],tbNucleo[COD ESCOLA],"")</f>
        <v/>
      </c>
      <c r="B3666" t="str" cm="1">
        <f t="array" ref="B3666">IFERROR(INDEX(tbNucleo[ESCOLA],ROUNDUP(ROW(B3665)/TotalEtapas,0)),"")</f>
        <v/>
      </c>
      <c r="E3666" t="str">
        <f>IFERROR(VLOOKUP(tbEscolas[[#This Row],[COD ETPA]],tbEtapas[],2,FALSE),"")</f>
        <v/>
      </c>
      <c r="F3666" t="str">
        <f>IFERROR(VLOOKUP(tbEscolas[[#This Row],[COD ETPA]],tbEtapas[],3,FALSE),"")</f>
        <v/>
      </c>
    </row>
    <row r="3667" spans="1:6" x14ac:dyDescent="0.25">
      <c r="A3667" s="24" t="str">
        <f>_xlfn.XLOOKUP(tbEscolas[[#This Row],[ESCOLA]],tbNucleo[ESCOLA],tbNucleo[COD ESCOLA],"")</f>
        <v/>
      </c>
      <c r="B3667" t="str" cm="1">
        <f t="array" ref="B3667">IFERROR(INDEX(tbNucleo[ESCOLA],ROUNDUP(ROW(B3666)/TotalEtapas,0)),"")</f>
        <v/>
      </c>
      <c r="E3667" t="str">
        <f>IFERROR(VLOOKUP(tbEscolas[[#This Row],[COD ETPA]],tbEtapas[],2,FALSE),"")</f>
        <v/>
      </c>
      <c r="F3667" t="str">
        <f>IFERROR(VLOOKUP(tbEscolas[[#This Row],[COD ETPA]],tbEtapas[],3,FALSE),"")</f>
        <v/>
      </c>
    </row>
    <row r="3668" spans="1:6" x14ac:dyDescent="0.25">
      <c r="A3668" s="24" t="str">
        <f>_xlfn.XLOOKUP(tbEscolas[[#This Row],[ESCOLA]],tbNucleo[ESCOLA],tbNucleo[COD ESCOLA],"")</f>
        <v/>
      </c>
      <c r="B3668" t="str" cm="1">
        <f t="array" ref="B3668">IFERROR(INDEX(tbNucleo[ESCOLA],ROUNDUP(ROW(B3667)/TotalEtapas,0)),"")</f>
        <v/>
      </c>
      <c r="E3668" t="str">
        <f>IFERROR(VLOOKUP(tbEscolas[[#This Row],[COD ETPA]],tbEtapas[],2,FALSE),"")</f>
        <v/>
      </c>
      <c r="F3668" t="str">
        <f>IFERROR(VLOOKUP(tbEscolas[[#This Row],[COD ETPA]],tbEtapas[],3,FALSE),"")</f>
        <v/>
      </c>
    </row>
    <row r="3669" spans="1:6" x14ac:dyDescent="0.25">
      <c r="A3669" s="24" t="str">
        <f>_xlfn.XLOOKUP(tbEscolas[[#This Row],[ESCOLA]],tbNucleo[ESCOLA],tbNucleo[COD ESCOLA],"")</f>
        <v/>
      </c>
      <c r="B3669" t="str" cm="1">
        <f t="array" ref="B3669">IFERROR(INDEX(tbNucleo[ESCOLA],ROUNDUP(ROW(B3668)/TotalEtapas,0)),"")</f>
        <v/>
      </c>
      <c r="E3669" t="str">
        <f>IFERROR(VLOOKUP(tbEscolas[[#This Row],[COD ETPA]],tbEtapas[],2,FALSE),"")</f>
        <v/>
      </c>
      <c r="F3669" t="str">
        <f>IFERROR(VLOOKUP(tbEscolas[[#This Row],[COD ETPA]],tbEtapas[],3,FALSE),"")</f>
        <v/>
      </c>
    </row>
    <row r="3670" spans="1:6" x14ac:dyDescent="0.25">
      <c r="A3670" s="24" t="str">
        <f>_xlfn.XLOOKUP(tbEscolas[[#This Row],[ESCOLA]],tbNucleo[ESCOLA],tbNucleo[COD ESCOLA],"")</f>
        <v/>
      </c>
      <c r="B3670" t="str" cm="1">
        <f t="array" ref="B3670">IFERROR(INDEX(tbNucleo[ESCOLA],ROUNDUP(ROW(B3669)/TotalEtapas,0)),"")</f>
        <v/>
      </c>
      <c r="E3670" t="str">
        <f>IFERROR(VLOOKUP(tbEscolas[[#This Row],[COD ETPA]],tbEtapas[],2,FALSE),"")</f>
        <v/>
      </c>
      <c r="F3670" t="str">
        <f>IFERROR(VLOOKUP(tbEscolas[[#This Row],[COD ETPA]],tbEtapas[],3,FALSE),"")</f>
        <v/>
      </c>
    </row>
    <row r="3671" spans="1:6" x14ac:dyDescent="0.25">
      <c r="A3671" s="24" t="str">
        <f>_xlfn.XLOOKUP(tbEscolas[[#This Row],[ESCOLA]],tbNucleo[ESCOLA],tbNucleo[COD ESCOLA],"")</f>
        <v/>
      </c>
      <c r="B3671" t="str" cm="1">
        <f t="array" ref="B3671">IFERROR(INDEX(tbNucleo[ESCOLA],ROUNDUP(ROW(B3670)/TotalEtapas,0)),"")</f>
        <v/>
      </c>
      <c r="E3671" t="str">
        <f>IFERROR(VLOOKUP(tbEscolas[[#This Row],[COD ETPA]],tbEtapas[],2,FALSE),"")</f>
        <v/>
      </c>
      <c r="F3671" t="str">
        <f>IFERROR(VLOOKUP(tbEscolas[[#This Row],[COD ETPA]],tbEtapas[],3,FALSE),"")</f>
        <v/>
      </c>
    </row>
    <row r="3672" spans="1:6" x14ac:dyDescent="0.25">
      <c r="A3672" s="24" t="str">
        <f>_xlfn.XLOOKUP(tbEscolas[[#This Row],[ESCOLA]],tbNucleo[ESCOLA],tbNucleo[COD ESCOLA],"")</f>
        <v/>
      </c>
      <c r="B3672" t="str" cm="1">
        <f t="array" ref="B3672">IFERROR(INDEX(tbNucleo[ESCOLA],ROUNDUP(ROW(B3671)/TotalEtapas,0)),"")</f>
        <v/>
      </c>
      <c r="E3672" t="str">
        <f>IFERROR(VLOOKUP(tbEscolas[[#This Row],[COD ETPA]],tbEtapas[],2,FALSE),"")</f>
        <v/>
      </c>
      <c r="F3672" t="str">
        <f>IFERROR(VLOOKUP(tbEscolas[[#This Row],[COD ETPA]],tbEtapas[],3,FALSE),"")</f>
        <v/>
      </c>
    </row>
    <row r="3673" spans="1:6" x14ac:dyDescent="0.25">
      <c r="A3673" s="24" t="str">
        <f>_xlfn.XLOOKUP(tbEscolas[[#This Row],[ESCOLA]],tbNucleo[ESCOLA],tbNucleo[COD ESCOLA],"")</f>
        <v/>
      </c>
      <c r="B3673" t="str" cm="1">
        <f t="array" ref="B3673">IFERROR(INDEX(tbNucleo[ESCOLA],ROUNDUP(ROW(B3672)/TotalEtapas,0)),"")</f>
        <v/>
      </c>
      <c r="E3673" t="str">
        <f>IFERROR(VLOOKUP(tbEscolas[[#This Row],[COD ETPA]],tbEtapas[],2,FALSE),"")</f>
        <v/>
      </c>
      <c r="F3673" t="str">
        <f>IFERROR(VLOOKUP(tbEscolas[[#This Row],[COD ETPA]],tbEtapas[],3,FALSE),"")</f>
        <v/>
      </c>
    </row>
    <row r="3674" spans="1:6" x14ac:dyDescent="0.25">
      <c r="A3674" s="24" t="str">
        <f>_xlfn.XLOOKUP(tbEscolas[[#This Row],[ESCOLA]],tbNucleo[ESCOLA],tbNucleo[COD ESCOLA],"")</f>
        <v/>
      </c>
      <c r="B3674" t="str" cm="1">
        <f t="array" ref="B3674">IFERROR(INDEX(tbNucleo[ESCOLA],ROUNDUP(ROW(B3673)/TotalEtapas,0)),"")</f>
        <v/>
      </c>
      <c r="E3674" t="str">
        <f>IFERROR(VLOOKUP(tbEscolas[[#This Row],[COD ETPA]],tbEtapas[],2,FALSE),"")</f>
        <v/>
      </c>
      <c r="F3674" t="str">
        <f>IFERROR(VLOOKUP(tbEscolas[[#This Row],[COD ETPA]],tbEtapas[],3,FALSE),"")</f>
        <v/>
      </c>
    </row>
    <row r="3675" spans="1:6" x14ac:dyDescent="0.25">
      <c r="A3675" s="24" t="str">
        <f>_xlfn.XLOOKUP(tbEscolas[[#This Row],[ESCOLA]],tbNucleo[ESCOLA],tbNucleo[COD ESCOLA],"")</f>
        <v/>
      </c>
      <c r="B3675" t="str" cm="1">
        <f t="array" ref="B3675">IFERROR(INDEX(tbNucleo[ESCOLA],ROUNDUP(ROW(B3674)/TotalEtapas,0)),"")</f>
        <v/>
      </c>
      <c r="E3675" t="str">
        <f>IFERROR(VLOOKUP(tbEscolas[[#This Row],[COD ETPA]],tbEtapas[],2,FALSE),"")</f>
        <v/>
      </c>
      <c r="F3675" t="str">
        <f>IFERROR(VLOOKUP(tbEscolas[[#This Row],[COD ETPA]],tbEtapas[],3,FALSE),"")</f>
        <v/>
      </c>
    </row>
    <row r="3676" spans="1:6" x14ac:dyDescent="0.25">
      <c r="A3676" s="24" t="str">
        <f>_xlfn.XLOOKUP(tbEscolas[[#This Row],[ESCOLA]],tbNucleo[ESCOLA],tbNucleo[COD ESCOLA],"")</f>
        <v/>
      </c>
      <c r="B3676" t="str" cm="1">
        <f t="array" ref="B3676">IFERROR(INDEX(tbNucleo[ESCOLA],ROUNDUP(ROW(B3675)/TotalEtapas,0)),"")</f>
        <v/>
      </c>
      <c r="E3676" t="str">
        <f>IFERROR(VLOOKUP(tbEscolas[[#This Row],[COD ETPA]],tbEtapas[],2,FALSE),"")</f>
        <v/>
      </c>
      <c r="F3676" t="str">
        <f>IFERROR(VLOOKUP(tbEscolas[[#This Row],[COD ETPA]],tbEtapas[],3,FALSE),"")</f>
        <v/>
      </c>
    </row>
    <row r="3677" spans="1:6" x14ac:dyDescent="0.25">
      <c r="A3677" s="24" t="str">
        <f>_xlfn.XLOOKUP(tbEscolas[[#This Row],[ESCOLA]],tbNucleo[ESCOLA],tbNucleo[COD ESCOLA],"")</f>
        <v/>
      </c>
      <c r="B3677" t="str" cm="1">
        <f t="array" ref="B3677">IFERROR(INDEX(tbNucleo[ESCOLA],ROUNDUP(ROW(B3676)/TotalEtapas,0)),"")</f>
        <v/>
      </c>
      <c r="E3677" t="str">
        <f>IFERROR(VLOOKUP(tbEscolas[[#This Row],[COD ETPA]],tbEtapas[],2,FALSE),"")</f>
        <v/>
      </c>
      <c r="F3677" t="str">
        <f>IFERROR(VLOOKUP(tbEscolas[[#This Row],[COD ETPA]],tbEtapas[],3,FALSE),"")</f>
        <v/>
      </c>
    </row>
    <row r="3678" spans="1:6" x14ac:dyDescent="0.25">
      <c r="A3678" s="24" t="str">
        <f>_xlfn.XLOOKUP(tbEscolas[[#This Row],[ESCOLA]],tbNucleo[ESCOLA],tbNucleo[COD ESCOLA],"")</f>
        <v/>
      </c>
      <c r="B3678" t="str" cm="1">
        <f t="array" ref="B3678">IFERROR(INDEX(tbNucleo[ESCOLA],ROUNDUP(ROW(B3677)/TotalEtapas,0)),"")</f>
        <v/>
      </c>
      <c r="E3678" t="str">
        <f>IFERROR(VLOOKUP(tbEscolas[[#This Row],[COD ETPA]],tbEtapas[],2,FALSE),"")</f>
        <v/>
      </c>
      <c r="F3678" t="str">
        <f>IFERROR(VLOOKUP(tbEscolas[[#This Row],[COD ETPA]],tbEtapas[],3,FALSE),"")</f>
        <v/>
      </c>
    </row>
    <row r="3679" spans="1:6" x14ac:dyDescent="0.25">
      <c r="A3679" s="24" t="str">
        <f>_xlfn.XLOOKUP(tbEscolas[[#This Row],[ESCOLA]],tbNucleo[ESCOLA],tbNucleo[COD ESCOLA],"")</f>
        <v/>
      </c>
      <c r="B3679" t="str" cm="1">
        <f t="array" ref="B3679">IFERROR(INDEX(tbNucleo[ESCOLA],ROUNDUP(ROW(B3678)/TotalEtapas,0)),"")</f>
        <v/>
      </c>
      <c r="E3679" t="str">
        <f>IFERROR(VLOOKUP(tbEscolas[[#This Row],[COD ETPA]],tbEtapas[],2,FALSE),"")</f>
        <v/>
      </c>
      <c r="F3679" t="str">
        <f>IFERROR(VLOOKUP(tbEscolas[[#This Row],[COD ETPA]],tbEtapas[],3,FALSE),"")</f>
        <v/>
      </c>
    </row>
    <row r="3680" spans="1:6" x14ac:dyDescent="0.25">
      <c r="A3680" s="24" t="str">
        <f>_xlfn.XLOOKUP(tbEscolas[[#This Row],[ESCOLA]],tbNucleo[ESCOLA],tbNucleo[COD ESCOLA],"")</f>
        <v/>
      </c>
      <c r="B3680" t="str" cm="1">
        <f t="array" ref="B3680">IFERROR(INDEX(tbNucleo[ESCOLA],ROUNDUP(ROW(B3679)/TotalEtapas,0)),"")</f>
        <v/>
      </c>
      <c r="E3680" t="str">
        <f>IFERROR(VLOOKUP(tbEscolas[[#This Row],[COD ETPA]],tbEtapas[],2,FALSE),"")</f>
        <v/>
      </c>
      <c r="F3680" t="str">
        <f>IFERROR(VLOOKUP(tbEscolas[[#This Row],[COD ETPA]],tbEtapas[],3,FALSE),"")</f>
        <v/>
      </c>
    </row>
    <row r="3681" spans="1:6" x14ac:dyDescent="0.25">
      <c r="A3681" s="24" t="str">
        <f>_xlfn.XLOOKUP(tbEscolas[[#This Row],[ESCOLA]],tbNucleo[ESCOLA],tbNucleo[COD ESCOLA],"")</f>
        <v/>
      </c>
      <c r="B3681" t="str" cm="1">
        <f t="array" ref="B3681">IFERROR(INDEX(tbNucleo[ESCOLA],ROUNDUP(ROW(B3680)/TotalEtapas,0)),"")</f>
        <v/>
      </c>
      <c r="E3681" t="str">
        <f>IFERROR(VLOOKUP(tbEscolas[[#This Row],[COD ETPA]],tbEtapas[],2,FALSE),"")</f>
        <v/>
      </c>
      <c r="F3681" t="str">
        <f>IFERROR(VLOOKUP(tbEscolas[[#This Row],[COD ETPA]],tbEtapas[],3,FALSE),"")</f>
        <v/>
      </c>
    </row>
    <row r="3682" spans="1:6" x14ac:dyDescent="0.25">
      <c r="A3682" s="24" t="str">
        <f>_xlfn.XLOOKUP(tbEscolas[[#This Row],[ESCOLA]],tbNucleo[ESCOLA],tbNucleo[COD ESCOLA],"")</f>
        <v/>
      </c>
      <c r="B3682" t="str" cm="1">
        <f t="array" ref="B3682">IFERROR(INDEX(tbNucleo[ESCOLA],ROUNDUP(ROW(B3681)/TotalEtapas,0)),"")</f>
        <v/>
      </c>
      <c r="E3682" t="str">
        <f>IFERROR(VLOOKUP(tbEscolas[[#This Row],[COD ETPA]],tbEtapas[],2,FALSE),"")</f>
        <v/>
      </c>
      <c r="F3682" t="str">
        <f>IFERROR(VLOOKUP(tbEscolas[[#This Row],[COD ETPA]],tbEtapas[],3,FALSE),"")</f>
        <v/>
      </c>
    </row>
    <row r="3683" spans="1:6" x14ac:dyDescent="0.25">
      <c r="A3683" s="24" t="str">
        <f>_xlfn.XLOOKUP(tbEscolas[[#This Row],[ESCOLA]],tbNucleo[ESCOLA],tbNucleo[COD ESCOLA],"")</f>
        <v/>
      </c>
      <c r="B3683" t="str" cm="1">
        <f t="array" ref="B3683">IFERROR(INDEX(tbNucleo[ESCOLA],ROUNDUP(ROW(B3682)/TotalEtapas,0)),"")</f>
        <v/>
      </c>
      <c r="E3683" t="str">
        <f>IFERROR(VLOOKUP(tbEscolas[[#This Row],[COD ETPA]],tbEtapas[],2,FALSE),"")</f>
        <v/>
      </c>
      <c r="F3683" t="str">
        <f>IFERROR(VLOOKUP(tbEscolas[[#This Row],[COD ETPA]],tbEtapas[],3,FALSE),"")</f>
        <v/>
      </c>
    </row>
    <row r="3684" spans="1:6" x14ac:dyDescent="0.25">
      <c r="A3684" s="24" t="str">
        <f>_xlfn.XLOOKUP(tbEscolas[[#This Row],[ESCOLA]],tbNucleo[ESCOLA],tbNucleo[COD ESCOLA],"")</f>
        <v/>
      </c>
      <c r="B3684" t="str" cm="1">
        <f t="array" ref="B3684">IFERROR(INDEX(tbNucleo[ESCOLA],ROUNDUP(ROW(B3683)/TotalEtapas,0)),"")</f>
        <v/>
      </c>
      <c r="E3684" t="str">
        <f>IFERROR(VLOOKUP(tbEscolas[[#This Row],[COD ETPA]],tbEtapas[],2,FALSE),"")</f>
        <v/>
      </c>
      <c r="F3684" t="str">
        <f>IFERROR(VLOOKUP(tbEscolas[[#This Row],[COD ETPA]],tbEtapas[],3,FALSE),"")</f>
        <v/>
      </c>
    </row>
    <row r="3685" spans="1:6" x14ac:dyDescent="0.25">
      <c r="A3685" s="24" t="str">
        <f>_xlfn.XLOOKUP(tbEscolas[[#This Row],[ESCOLA]],tbNucleo[ESCOLA],tbNucleo[COD ESCOLA],"")</f>
        <v/>
      </c>
      <c r="B3685" t="str" cm="1">
        <f t="array" ref="B3685">IFERROR(INDEX(tbNucleo[ESCOLA],ROUNDUP(ROW(B3684)/TotalEtapas,0)),"")</f>
        <v/>
      </c>
      <c r="E3685" t="str">
        <f>IFERROR(VLOOKUP(tbEscolas[[#This Row],[COD ETPA]],tbEtapas[],2,FALSE),"")</f>
        <v/>
      </c>
      <c r="F3685" t="str">
        <f>IFERROR(VLOOKUP(tbEscolas[[#This Row],[COD ETPA]],tbEtapas[],3,FALSE),"")</f>
        <v/>
      </c>
    </row>
    <row r="3686" spans="1:6" x14ac:dyDescent="0.25">
      <c r="A3686" s="24" t="str">
        <f>_xlfn.XLOOKUP(tbEscolas[[#This Row],[ESCOLA]],tbNucleo[ESCOLA],tbNucleo[COD ESCOLA],"")</f>
        <v/>
      </c>
      <c r="B3686" t="str" cm="1">
        <f t="array" ref="B3686">IFERROR(INDEX(tbNucleo[ESCOLA],ROUNDUP(ROW(B3685)/TotalEtapas,0)),"")</f>
        <v/>
      </c>
      <c r="E3686" t="str">
        <f>IFERROR(VLOOKUP(tbEscolas[[#This Row],[COD ETPA]],tbEtapas[],2,FALSE),"")</f>
        <v/>
      </c>
      <c r="F3686" t="str">
        <f>IFERROR(VLOOKUP(tbEscolas[[#This Row],[COD ETPA]],tbEtapas[],3,FALSE),"")</f>
        <v/>
      </c>
    </row>
    <row r="3687" spans="1:6" x14ac:dyDescent="0.25">
      <c r="A3687" s="24" t="str">
        <f>_xlfn.XLOOKUP(tbEscolas[[#This Row],[ESCOLA]],tbNucleo[ESCOLA],tbNucleo[COD ESCOLA],"")</f>
        <v/>
      </c>
      <c r="B3687" t="str" cm="1">
        <f t="array" ref="B3687">IFERROR(INDEX(tbNucleo[ESCOLA],ROUNDUP(ROW(B3686)/TotalEtapas,0)),"")</f>
        <v/>
      </c>
      <c r="E3687" t="str">
        <f>IFERROR(VLOOKUP(tbEscolas[[#This Row],[COD ETPA]],tbEtapas[],2,FALSE),"")</f>
        <v/>
      </c>
      <c r="F3687" t="str">
        <f>IFERROR(VLOOKUP(tbEscolas[[#This Row],[COD ETPA]],tbEtapas[],3,FALSE),"")</f>
        <v/>
      </c>
    </row>
    <row r="3688" spans="1:6" x14ac:dyDescent="0.25">
      <c r="A3688" s="24" t="str">
        <f>_xlfn.XLOOKUP(tbEscolas[[#This Row],[ESCOLA]],tbNucleo[ESCOLA],tbNucleo[COD ESCOLA],"")</f>
        <v/>
      </c>
      <c r="B3688" t="str" cm="1">
        <f t="array" ref="B3688">IFERROR(INDEX(tbNucleo[ESCOLA],ROUNDUP(ROW(B3687)/TotalEtapas,0)),"")</f>
        <v/>
      </c>
      <c r="E3688" t="str">
        <f>IFERROR(VLOOKUP(tbEscolas[[#This Row],[COD ETPA]],tbEtapas[],2,FALSE),"")</f>
        <v/>
      </c>
      <c r="F3688" t="str">
        <f>IFERROR(VLOOKUP(tbEscolas[[#This Row],[COD ETPA]],tbEtapas[],3,FALSE),"")</f>
        <v/>
      </c>
    </row>
    <row r="3689" spans="1:6" x14ac:dyDescent="0.25">
      <c r="A3689" s="24" t="str">
        <f>_xlfn.XLOOKUP(tbEscolas[[#This Row],[ESCOLA]],tbNucleo[ESCOLA],tbNucleo[COD ESCOLA],"")</f>
        <v/>
      </c>
      <c r="B3689" t="str" cm="1">
        <f t="array" ref="B3689">IFERROR(INDEX(tbNucleo[ESCOLA],ROUNDUP(ROW(B3688)/TotalEtapas,0)),"")</f>
        <v/>
      </c>
      <c r="E3689" t="str">
        <f>IFERROR(VLOOKUP(tbEscolas[[#This Row],[COD ETPA]],tbEtapas[],2,FALSE),"")</f>
        <v/>
      </c>
      <c r="F3689" t="str">
        <f>IFERROR(VLOOKUP(tbEscolas[[#This Row],[COD ETPA]],tbEtapas[],3,FALSE),"")</f>
        <v/>
      </c>
    </row>
    <row r="3690" spans="1:6" x14ac:dyDescent="0.25">
      <c r="A3690" s="24" t="str">
        <f>_xlfn.XLOOKUP(tbEscolas[[#This Row],[ESCOLA]],tbNucleo[ESCOLA],tbNucleo[COD ESCOLA],"")</f>
        <v/>
      </c>
      <c r="B3690" t="str" cm="1">
        <f t="array" ref="B3690">IFERROR(INDEX(tbNucleo[ESCOLA],ROUNDUP(ROW(B3689)/TotalEtapas,0)),"")</f>
        <v/>
      </c>
      <c r="E3690" t="str">
        <f>IFERROR(VLOOKUP(tbEscolas[[#This Row],[COD ETPA]],tbEtapas[],2,FALSE),"")</f>
        <v/>
      </c>
      <c r="F3690" t="str">
        <f>IFERROR(VLOOKUP(tbEscolas[[#This Row],[COD ETPA]],tbEtapas[],3,FALSE),"")</f>
        <v/>
      </c>
    </row>
    <row r="3691" spans="1:6" x14ac:dyDescent="0.25">
      <c r="A3691" s="24" t="str">
        <f>_xlfn.XLOOKUP(tbEscolas[[#This Row],[ESCOLA]],tbNucleo[ESCOLA],tbNucleo[COD ESCOLA],"")</f>
        <v/>
      </c>
      <c r="B3691" t="str" cm="1">
        <f t="array" ref="B3691">IFERROR(INDEX(tbNucleo[ESCOLA],ROUNDUP(ROW(B3690)/TotalEtapas,0)),"")</f>
        <v/>
      </c>
      <c r="E3691" t="str">
        <f>IFERROR(VLOOKUP(tbEscolas[[#This Row],[COD ETPA]],tbEtapas[],2,FALSE),"")</f>
        <v/>
      </c>
      <c r="F3691" t="str">
        <f>IFERROR(VLOOKUP(tbEscolas[[#This Row],[COD ETPA]],tbEtapas[],3,FALSE),"")</f>
        <v/>
      </c>
    </row>
    <row r="3692" spans="1:6" x14ac:dyDescent="0.25">
      <c r="A3692" s="24" t="str">
        <f>_xlfn.XLOOKUP(tbEscolas[[#This Row],[ESCOLA]],tbNucleo[ESCOLA],tbNucleo[COD ESCOLA],"")</f>
        <v/>
      </c>
      <c r="B3692" t="str" cm="1">
        <f t="array" ref="B3692">IFERROR(INDEX(tbNucleo[ESCOLA],ROUNDUP(ROW(B3691)/TotalEtapas,0)),"")</f>
        <v/>
      </c>
      <c r="E3692" t="str">
        <f>IFERROR(VLOOKUP(tbEscolas[[#This Row],[COD ETPA]],tbEtapas[],2,FALSE),"")</f>
        <v/>
      </c>
      <c r="F3692" t="str">
        <f>IFERROR(VLOOKUP(tbEscolas[[#This Row],[COD ETPA]],tbEtapas[],3,FALSE),"")</f>
        <v/>
      </c>
    </row>
    <row r="3693" spans="1:6" x14ac:dyDescent="0.25">
      <c r="A3693" s="24" t="str">
        <f>_xlfn.XLOOKUP(tbEscolas[[#This Row],[ESCOLA]],tbNucleo[ESCOLA],tbNucleo[COD ESCOLA],"")</f>
        <v/>
      </c>
      <c r="B3693" t="str" cm="1">
        <f t="array" ref="B3693">IFERROR(INDEX(tbNucleo[ESCOLA],ROUNDUP(ROW(B3692)/TotalEtapas,0)),"")</f>
        <v/>
      </c>
      <c r="E3693" t="str">
        <f>IFERROR(VLOOKUP(tbEscolas[[#This Row],[COD ETPA]],tbEtapas[],2,FALSE),"")</f>
        <v/>
      </c>
      <c r="F3693" t="str">
        <f>IFERROR(VLOOKUP(tbEscolas[[#This Row],[COD ETPA]],tbEtapas[],3,FALSE),"")</f>
        <v/>
      </c>
    </row>
    <row r="3694" spans="1:6" x14ac:dyDescent="0.25">
      <c r="A3694" s="24" t="str">
        <f>_xlfn.XLOOKUP(tbEscolas[[#This Row],[ESCOLA]],tbNucleo[ESCOLA],tbNucleo[COD ESCOLA],"")</f>
        <v/>
      </c>
      <c r="B3694" t="str" cm="1">
        <f t="array" ref="B3694">IFERROR(INDEX(tbNucleo[ESCOLA],ROUNDUP(ROW(B3693)/TotalEtapas,0)),"")</f>
        <v/>
      </c>
      <c r="E3694" t="str">
        <f>IFERROR(VLOOKUP(tbEscolas[[#This Row],[COD ETPA]],tbEtapas[],2,FALSE),"")</f>
        <v/>
      </c>
      <c r="F3694" t="str">
        <f>IFERROR(VLOOKUP(tbEscolas[[#This Row],[COD ETPA]],tbEtapas[],3,FALSE),"")</f>
        <v/>
      </c>
    </row>
    <row r="3695" spans="1:6" x14ac:dyDescent="0.25">
      <c r="A3695" s="24" t="str">
        <f>_xlfn.XLOOKUP(tbEscolas[[#This Row],[ESCOLA]],tbNucleo[ESCOLA],tbNucleo[COD ESCOLA],"")</f>
        <v/>
      </c>
      <c r="B3695" t="str" cm="1">
        <f t="array" ref="B3695">IFERROR(INDEX(tbNucleo[ESCOLA],ROUNDUP(ROW(B3694)/TotalEtapas,0)),"")</f>
        <v/>
      </c>
      <c r="E3695" t="str">
        <f>IFERROR(VLOOKUP(tbEscolas[[#This Row],[COD ETPA]],tbEtapas[],2,FALSE),"")</f>
        <v/>
      </c>
      <c r="F3695" t="str">
        <f>IFERROR(VLOOKUP(tbEscolas[[#This Row],[COD ETPA]],tbEtapas[],3,FALSE),"")</f>
        <v/>
      </c>
    </row>
    <row r="3696" spans="1:6" x14ac:dyDescent="0.25">
      <c r="A3696" s="24" t="str">
        <f>_xlfn.XLOOKUP(tbEscolas[[#This Row],[ESCOLA]],tbNucleo[ESCOLA],tbNucleo[COD ESCOLA],"")</f>
        <v/>
      </c>
      <c r="B3696" t="str" cm="1">
        <f t="array" ref="B3696">IFERROR(INDEX(tbNucleo[ESCOLA],ROUNDUP(ROW(B3695)/TotalEtapas,0)),"")</f>
        <v/>
      </c>
      <c r="E3696" t="str">
        <f>IFERROR(VLOOKUP(tbEscolas[[#This Row],[COD ETPA]],tbEtapas[],2,FALSE),"")</f>
        <v/>
      </c>
      <c r="F3696" t="str">
        <f>IFERROR(VLOOKUP(tbEscolas[[#This Row],[COD ETPA]],tbEtapas[],3,FALSE),"")</f>
        <v/>
      </c>
    </row>
    <row r="3697" spans="1:6" x14ac:dyDescent="0.25">
      <c r="A3697" s="24" t="str">
        <f>_xlfn.XLOOKUP(tbEscolas[[#This Row],[ESCOLA]],tbNucleo[ESCOLA],tbNucleo[COD ESCOLA],"")</f>
        <v/>
      </c>
      <c r="B3697" t="str" cm="1">
        <f t="array" ref="B3697">IFERROR(INDEX(tbNucleo[ESCOLA],ROUNDUP(ROW(B3696)/TotalEtapas,0)),"")</f>
        <v/>
      </c>
      <c r="E3697" t="str">
        <f>IFERROR(VLOOKUP(tbEscolas[[#This Row],[COD ETPA]],tbEtapas[],2,FALSE),"")</f>
        <v/>
      </c>
      <c r="F3697" t="str">
        <f>IFERROR(VLOOKUP(tbEscolas[[#This Row],[COD ETPA]],tbEtapas[],3,FALSE),"")</f>
        <v/>
      </c>
    </row>
    <row r="3698" spans="1:6" x14ac:dyDescent="0.25">
      <c r="A3698" s="24" t="str">
        <f>_xlfn.XLOOKUP(tbEscolas[[#This Row],[ESCOLA]],tbNucleo[ESCOLA],tbNucleo[COD ESCOLA],"")</f>
        <v/>
      </c>
      <c r="B3698" t="str" cm="1">
        <f t="array" ref="B3698">IFERROR(INDEX(tbNucleo[ESCOLA],ROUNDUP(ROW(B3697)/TotalEtapas,0)),"")</f>
        <v/>
      </c>
      <c r="E3698" t="str">
        <f>IFERROR(VLOOKUP(tbEscolas[[#This Row],[COD ETPA]],tbEtapas[],2,FALSE),"")</f>
        <v/>
      </c>
      <c r="F3698" t="str">
        <f>IFERROR(VLOOKUP(tbEscolas[[#This Row],[COD ETPA]],tbEtapas[],3,FALSE),"")</f>
        <v/>
      </c>
    </row>
    <row r="3699" spans="1:6" x14ac:dyDescent="0.25">
      <c r="A3699" s="24" t="str">
        <f>_xlfn.XLOOKUP(tbEscolas[[#This Row],[ESCOLA]],tbNucleo[ESCOLA],tbNucleo[COD ESCOLA],"")</f>
        <v/>
      </c>
      <c r="B3699" t="str" cm="1">
        <f t="array" ref="B3699">IFERROR(INDEX(tbNucleo[ESCOLA],ROUNDUP(ROW(B3698)/TotalEtapas,0)),"")</f>
        <v/>
      </c>
      <c r="E3699" t="str">
        <f>IFERROR(VLOOKUP(tbEscolas[[#This Row],[COD ETPA]],tbEtapas[],2,FALSE),"")</f>
        <v/>
      </c>
      <c r="F3699" t="str">
        <f>IFERROR(VLOOKUP(tbEscolas[[#This Row],[COD ETPA]],tbEtapas[],3,FALSE),"")</f>
        <v/>
      </c>
    </row>
    <row r="3700" spans="1:6" x14ac:dyDescent="0.25">
      <c r="A3700" s="24" t="str">
        <f>_xlfn.XLOOKUP(tbEscolas[[#This Row],[ESCOLA]],tbNucleo[ESCOLA],tbNucleo[COD ESCOLA],"")</f>
        <v/>
      </c>
      <c r="B3700" t="str" cm="1">
        <f t="array" ref="B3700">IFERROR(INDEX(tbNucleo[ESCOLA],ROUNDUP(ROW(B3699)/TotalEtapas,0)),"")</f>
        <v/>
      </c>
      <c r="E3700" t="str">
        <f>IFERROR(VLOOKUP(tbEscolas[[#This Row],[COD ETPA]],tbEtapas[],2,FALSE),"")</f>
        <v/>
      </c>
      <c r="F3700" t="str">
        <f>IFERROR(VLOOKUP(tbEscolas[[#This Row],[COD ETPA]],tbEtapas[],3,FALSE),"")</f>
        <v/>
      </c>
    </row>
    <row r="3701" spans="1:6" x14ac:dyDescent="0.25">
      <c r="A3701" s="24" t="str">
        <f>_xlfn.XLOOKUP(tbEscolas[[#This Row],[ESCOLA]],tbNucleo[ESCOLA],tbNucleo[COD ESCOLA],"")</f>
        <v/>
      </c>
      <c r="B3701" t="str" cm="1">
        <f t="array" ref="B3701">IFERROR(INDEX(tbNucleo[ESCOLA],ROUNDUP(ROW(B3700)/TotalEtapas,0)),"")</f>
        <v/>
      </c>
      <c r="E3701" t="str">
        <f>IFERROR(VLOOKUP(tbEscolas[[#This Row],[COD ETPA]],tbEtapas[],2,FALSE),"")</f>
        <v/>
      </c>
      <c r="F3701" t="str">
        <f>IFERROR(VLOOKUP(tbEscolas[[#This Row],[COD ETPA]],tbEtapas[],3,FALSE),"")</f>
        <v/>
      </c>
    </row>
    <row r="3702" spans="1:6" x14ac:dyDescent="0.25">
      <c r="A3702" s="24" t="str">
        <f>_xlfn.XLOOKUP(tbEscolas[[#This Row],[ESCOLA]],tbNucleo[ESCOLA],tbNucleo[COD ESCOLA],"")</f>
        <v/>
      </c>
      <c r="B3702" t="str" cm="1">
        <f t="array" ref="B3702">IFERROR(INDEX(tbNucleo[ESCOLA],ROUNDUP(ROW(B3701)/TotalEtapas,0)),"")</f>
        <v/>
      </c>
      <c r="E3702" t="str">
        <f>IFERROR(VLOOKUP(tbEscolas[[#This Row],[COD ETPA]],tbEtapas[],2,FALSE),"")</f>
        <v/>
      </c>
      <c r="F3702" t="str">
        <f>IFERROR(VLOOKUP(tbEscolas[[#This Row],[COD ETPA]],tbEtapas[],3,FALSE),"")</f>
        <v/>
      </c>
    </row>
    <row r="3703" spans="1:6" x14ac:dyDescent="0.25">
      <c r="A3703" s="24" t="str">
        <f>_xlfn.XLOOKUP(tbEscolas[[#This Row],[ESCOLA]],tbNucleo[ESCOLA],tbNucleo[COD ESCOLA],"")</f>
        <v/>
      </c>
      <c r="B3703" t="str" cm="1">
        <f t="array" ref="B3703">IFERROR(INDEX(tbNucleo[ESCOLA],ROUNDUP(ROW(B3702)/TotalEtapas,0)),"")</f>
        <v/>
      </c>
      <c r="E3703" t="str">
        <f>IFERROR(VLOOKUP(tbEscolas[[#This Row],[COD ETPA]],tbEtapas[],2,FALSE),"")</f>
        <v/>
      </c>
      <c r="F3703" t="str">
        <f>IFERROR(VLOOKUP(tbEscolas[[#This Row],[COD ETPA]],tbEtapas[],3,FALSE),"")</f>
        <v/>
      </c>
    </row>
    <row r="3704" spans="1:6" x14ac:dyDescent="0.25">
      <c r="A3704" s="24" t="str">
        <f>_xlfn.XLOOKUP(tbEscolas[[#This Row],[ESCOLA]],tbNucleo[ESCOLA],tbNucleo[COD ESCOLA],"")</f>
        <v/>
      </c>
      <c r="B3704" t="str" cm="1">
        <f t="array" ref="B3704">IFERROR(INDEX(tbNucleo[ESCOLA],ROUNDUP(ROW(B3703)/TotalEtapas,0)),"")</f>
        <v/>
      </c>
      <c r="E3704" t="str">
        <f>IFERROR(VLOOKUP(tbEscolas[[#This Row],[COD ETPA]],tbEtapas[],2,FALSE),"")</f>
        <v/>
      </c>
      <c r="F3704" t="str">
        <f>IFERROR(VLOOKUP(tbEscolas[[#This Row],[COD ETPA]],tbEtapas[],3,FALSE),"")</f>
        <v/>
      </c>
    </row>
    <row r="3705" spans="1:6" x14ac:dyDescent="0.25">
      <c r="A3705" s="24" t="str">
        <f>_xlfn.XLOOKUP(tbEscolas[[#This Row],[ESCOLA]],tbNucleo[ESCOLA],tbNucleo[COD ESCOLA],"")</f>
        <v/>
      </c>
      <c r="B3705" t="str" cm="1">
        <f t="array" ref="B3705">IFERROR(INDEX(tbNucleo[ESCOLA],ROUNDUP(ROW(B3704)/TotalEtapas,0)),"")</f>
        <v/>
      </c>
      <c r="E3705" t="str">
        <f>IFERROR(VLOOKUP(tbEscolas[[#This Row],[COD ETPA]],tbEtapas[],2,FALSE),"")</f>
        <v/>
      </c>
      <c r="F3705" t="str">
        <f>IFERROR(VLOOKUP(tbEscolas[[#This Row],[COD ETPA]],tbEtapas[],3,FALSE),"")</f>
        <v/>
      </c>
    </row>
    <row r="3706" spans="1:6" x14ac:dyDescent="0.25">
      <c r="A3706" s="24" t="str">
        <f>_xlfn.XLOOKUP(tbEscolas[[#This Row],[ESCOLA]],tbNucleo[ESCOLA],tbNucleo[COD ESCOLA],"")</f>
        <v/>
      </c>
      <c r="B3706" t="str" cm="1">
        <f t="array" ref="B3706">IFERROR(INDEX(tbNucleo[ESCOLA],ROUNDUP(ROW(B3705)/TotalEtapas,0)),"")</f>
        <v/>
      </c>
      <c r="E3706" t="str">
        <f>IFERROR(VLOOKUP(tbEscolas[[#This Row],[COD ETPA]],tbEtapas[],2,FALSE),"")</f>
        <v/>
      </c>
      <c r="F3706" t="str">
        <f>IFERROR(VLOOKUP(tbEscolas[[#This Row],[COD ETPA]],tbEtapas[],3,FALSE),"")</f>
        <v/>
      </c>
    </row>
    <row r="3707" spans="1:6" x14ac:dyDescent="0.25">
      <c r="A3707" s="24" t="str">
        <f>_xlfn.XLOOKUP(tbEscolas[[#This Row],[ESCOLA]],tbNucleo[ESCOLA],tbNucleo[COD ESCOLA],"")</f>
        <v/>
      </c>
      <c r="B3707" t="str" cm="1">
        <f t="array" ref="B3707">IFERROR(INDEX(tbNucleo[ESCOLA],ROUNDUP(ROW(B3706)/TotalEtapas,0)),"")</f>
        <v/>
      </c>
      <c r="E3707" t="str">
        <f>IFERROR(VLOOKUP(tbEscolas[[#This Row],[COD ETPA]],tbEtapas[],2,FALSE),"")</f>
        <v/>
      </c>
      <c r="F3707" t="str">
        <f>IFERROR(VLOOKUP(tbEscolas[[#This Row],[COD ETPA]],tbEtapas[],3,FALSE),"")</f>
        <v/>
      </c>
    </row>
    <row r="3708" spans="1:6" x14ac:dyDescent="0.25">
      <c r="A3708" s="24" t="str">
        <f>_xlfn.XLOOKUP(tbEscolas[[#This Row],[ESCOLA]],tbNucleo[ESCOLA],tbNucleo[COD ESCOLA],"")</f>
        <v/>
      </c>
      <c r="B3708" t="str" cm="1">
        <f t="array" ref="B3708">IFERROR(INDEX(tbNucleo[ESCOLA],ROUNDUP(ROW(B3707)/TotalEtapas,0)),"")</f>
        <v/>
      </c>
      <c r="E3708" t="str">
        <f>IFERROR(VLOOKUP(tbEscolas[[#This Row],[COD ETPA]],tbEtapas[],2,FALSE),"")</f>
        <v/>
      </c>
      <c r="F3708" t="str">
        <f>IFERROR(VLOOKUP(tbEscolas[[#This Row],[COD ETPA]],tbEtapas[],3,FALSE),"")</f>
        <v/>
      </c>
    </row>
    <row r="3709" spans="1:6" x14ac:dyDescent="0.25">
      <c r="A3709" s="24" t="str">
        <f>_xlfn.XLOOKUP(tbEscolas[[#This Row],[ESCOLA]],tbNucleo[ESCOLA],tbNucleo[COD ESCOLA],"")</f>
        <v/>
      </c>
      <c r="B3709" t="str" cm="1">
        <f t="array" ref="B3709">IFERROR(INDEX(tbNucleo[ESCOLA],ROUNDUP(ROW(B3708)/TotalEtapas,0)),"")</f>
        <v/>
      </c>
      <c r="E3709" t="str">
        <f>IFERROR(VLOOKUP(tbEscolas[[#This Row],[COD ETPA]],tbEtapas[],2,FALSE),"")</f>
        <v/>
      </c>
      <c r="F3709" t="str">
        <f>IFERROR(VLOOKUP(tbEscolas[[#This Row],[COD ETPA]],tbEtapas[],3,FALSE),"")</f>
        <v/>
      </c>
    </row>
    <row r="3710" spans="1:6" x14ac:dyDescent="0.25">
      <c r="A3710" s="24" t="str">
        <f>_xlfn.XLOOKUP(tbEscolas[[#This Row],[ESCOLA]],tbNucleo[ESCOLA],tbNucleo[COD ESCOLA],"")</f>
        <v/>
      </c>
      <c r="B3710" t="str" cm="1">
        <f t="array" ref="B3710">IFERROR(INDEX(tbNucleo[ESCOLA],ROUNDUP(ROW(B3709)/TotalEtapas,0)),"")</f>
        <v/>
      </c>
      <c r="E3710" t="str">
        <f>IFERROR(VLOOKUP(tbEscolas[[#This Row],[COD ETPA]],tbEtapas[],2,FALSE),"")</f>
        <v/>
      </c>
      <c r="F3710" t="str">
        <f>IFERROR(VLOOKUP(tbEscolas[[#This Row],[COD ETPA]],tbEtapas[],3,FALSE),"")</f>
        <v/>
      </c>
    </row>
    <row r="3711" spans="1:6" x14ac:dyDescent="0.25">
      <c r="A3711" s="24" t="str">
        <f>_xlfn.XLOOKUP(tbEscolas[[#This Row],[ESCOLA]],tbNucleo[ESCOLA],tbNucleo[COD ESCOLA],"")</f>
        <v/>
      </c>
      <c r="B3711" t="str" cm="1">
        <f t="array" ref="B3711">IFERROR(INDEX(tbNucleo[ESCOLA],ROUNDUP(ROW(B3710)/TotalEtapas,0)),"")</f>
        <v/>
      </c>
      <c r="E3711" t="str">
        <f>IFERROR(VLOOKUP(tbEscolas[[#This Row],[COD ETPA]],tbEtapas[],2,FALSE),"")</f>
        <v/>
      </c>
      <c r="F3711" t="str">
        <f>IFERROR(VLOOKUP(tbEscolas[[#This Row],[COD ETPA]],tbEtapas[],3,FALSE),"")</f>
        <v/>
      </c>
    </row>
    <row r="3712" spans="1:6" x14ac:dyDescent="0.25">
      <c r="A3712" s="24" t="str">
        <f>_xlfn.XLOOKUP(tbEscolas[[#This Row],[ESCOLA]],tbNucleo[ESCOLA],tbNucleo[COD ESCOLA],"")</f>
        <v/>
      </c>
      <c r="B3712" t="str" cm="1">
        <f t="array" ref="B3712">IFERROR(INDEX(tbNucleo[ESCOLA],ROUNDUP(ROW(B3711)/TotalEtapas,0)),"")</f>
        <v/>
      </c>
      <c r="E3712" t="str">
        <f>IFERROR(VLOOKUP(tbEscolas[[#This Row],[COD ETPA]],tbEtapas[],2,FALSE),"")</f>
        <v/>
      </c>
      <c r="F3712" t="str">
        <f>IFERROR(VLOOKUP(tbEscolas[[#This Row],[COD ETPA]],tbEtapas[],3,FALSE),"")</f>
        <v/>
      </c>
    </row>
    <row r="3713" spans="1:6" x14ac:dyDescent="0.25">
      <c r="A3713" s="24" t="str">
        <f>_xlfn.XLOOKUP(tbEscolas[[#This Row],[ESCOLA]],tbNucleo[ESCOLA],tbNucleo[COD ESCOLA],"")</f>
        <v/>
      </c>
      <c r="B3713" t="str" cm="1">
        <f t="array" ref="B3713">IFERROR(INDEX(tbNucleo[ESCOLA],ROUNDUP(ROW(B3712)/TotalEtapas,0)),"")</f>
        <v/>
      </c>
      <c r="E3713" t="str">
        <f>IFERROR(VLOOKUP(tbEscolas[[#This Row],[COD ETPA]],tbEtapas[],2,FALSE),"")</f>
        <v/>
      </c>
      <c r="F3713" t="str">
        <f>IFERROR(VLOOKUP(tbEscolas[[#This Row],[COD ETPA]],tbEtapas[],3,FALSE),"")</f>
        <v/>
      </c>
    </row>
    <row r="3714" spans="1:6" x14ac:dyDescent="0.25">
      <c r="A3714" s="24" t="str">
        <f>_xlfn.XLOOKUP(tbEscolas[[#This Row],[ESCOLA]],tbNucleo[ESCOLA],tbNucleo[COD ESCOLA],"")</f>
        <v/>
      </c>
      <c r="B3714" t="str" cm="1">
        <f t="array" ref="B3714">IFERROR(INDEX(tbNucleo[ESCOLA],ROUNDUP(ROW(B3713)/TotalEtapas,0)),"")</f>
        <v/>
      </c>
      <c r="E3714" t="str">
        <f>IFERROR(VLOOKUP(tbEscolas[[#This Row],[COD ETPA]],tbEtapas[],2,FALSE),"")</f>
        <v/>
      </c>
      <c r="F3714" t="str">
        <f>IFERROR(VLOOKUP(tbEscolas[[#This Row],[COD ETPA]],tbEtapas[],3,FALSE),"")</f>
        <v/>
      </c>
    </row>
    <row r="3715" spans="1:6" x14ac:dyDescent="0.25">
      <c r="A3715" s="24" t="str">
        <f>_xlfn.XLOOKUP(tbEscolas[[#This Row],[ESCOLA]],tbNucleo[ESCOLA],tbNucleo[COD ESCOLA],"")</f>
        <v/>
      </c>
      <c r="B3715" t="str" cm="1">
        <f t="array" ref="B3715">IFERROR(INDEX(tbNucleo[ESCOLA],ROUNDUP(ROW(B3714)/TotalEtapas,0)),"")</f>
        <v/>
      </c>
      <c r="E3715" t="str">
        <f>IFERROR(VLOOKUP(tbEscolas[[#This Row],[COD ETPA]],tbEtapas[],2,FALSE),"")</f>
        <v/>
      </c>
      <c r="F3715" t="str">
        <f>IFERROR(VLOOKUP(tbEscolas[[#This Row],[COD ETPA]],tbEtapas[],3,FALSE),"")</f>
        <v/>
      </c>
    </row>
    <row r="3716" spans="1:6" x14ac:dyDescent="0.25">
      <c r="A3716" s="24" t="str">
        <f>_xlfn.XLOOKUP(tbEscolas[[#This Row],[ESCOLA]],tbNucleo[ESCOLA],tbNucleo[COD ESCOLA],"")</f>
        <v/>
      </c>
      <c r="B3716" t="str" cm="1">
        <f t="array" ref="B3716">IFERROR(INDEX(tbNucleo[ESCOLA],ROUNDUP(ROW(B3715)/TotalEtapas,0)),"")</f>
        <v/>
      </c>
      <c r="E3716" t="str">
        <f>IFERROR(VLOOKUP(tbEscolas[[#This Row],[COD ETPA]],tbEtapas[],2,FALSE),"")</f>
        <v/>
      </c>
      <c r="F3716" t="str">
        <f>IFERROR(VLOOKUP(tbEscolas[[#This Row],[COD ETPA]],tbEtapas[],3,FALSE),"")</f>
        <v/>
      </c>
    </row>
    <row r="3717" spans="1:6" x14ac:dyDescent="0.25">
      <c r="A3717" s="24" t="str">
        <f>_xlfn.XLOOKUP(tbEscolas[[#This Row],[ESCOLA]],tbNucleo[ESCOLA],tbNucleo[COD ESCOLA],"")</f>
        <v/>
      </c>
      <c r="B3717" t="str" cm="1">
        <f t="array" ref="B3717">IFERROR(INDEX(tbNucleo[ESCOLA],ROUNDUP(ROW(B3716)/TotalEtapas,0)),"")</f>
        <v/>
      </c>
      <c r="E3717" t="str">
        <f>IFERROR(VLOOKUP(tbEscolas[[#This Row],[COD ETPA]],tbEtapas[],2,FALSE),"")</f>
        <v/>
      </c>
      <c r="F3717" t="str">
        <f>IFERROR(VLOOKUP(tbEscolas[[#This Row],[COD ETPA]],tbEtapas[],3,FALSE),"")</f>
        <v/>
      </c>
    </row>
    <row r="3718" spans="1:6" x14ac:dyDescent="0.25">
      <c r="A3718" s="24" t="str">
        <f>_xlfn.XLOOKUP(tbEscolas[[#This Row],[ESCOLA]],tbNucleo[ESCOLA],tbNucleo[COD ESCOLA],"")</f>
        <v/>
      </c>
      <c r="B3718" t="str" cm="1">
        <f t="array" ref="B3718">IFERROR(INDEX(tbNucleo[ESCOLA],ROUNDUP(ROW(B3717)/TotalEtapas,0)),"")</f>
        <v/>
      </c>
      <c r="E3718" t="str">
        <f>IFERROR(VLOOKUP(tbEscolas[[#This Row],[COD ETPA]],tbEtapas[],2,FALSE),"")</f>
        <v/>
      </c>
      <c r="F3718" t="str">
        <f>IFERROR(VLOOKUP(tbEscolas[[#This Row],[COD ETPA]],tbEtapas[],3,FALSE),"")</f>
        <v/>
      </c>
    </row>
    <row r="3719" spans="1:6" x14ac:dyDescent="0.25">
      <c r="A3719" s="24" t="str">
        <f>_xlfn.XLOOKUP(tbEscolas[[#This Row],[ESCOLA]],tbNucleo[ESCOLA],tbNucleo[COD ESCOLA],"")</f>
        <v/>
      </c>
      <c r="B3719" t="str" cm="1">
        <f t="array" ref="B3719">IFERROR(INDEX(tbNucleo[ESCOLA],ROUNDUP(ROW(B3718)/TotalEtapas,0)),"")</f>
        <v/>
      </c>
      <c r="E3719" t="str">
        <f>IFERROR(VLOOKUP(tbEscolas[[#This Row],[COD ETPA]],tbEtapas[],2,FALSE),"")</f>
        <v/>
      </c>
      <c r="F3719" t="str">
        <f>IFERROR(VLOOKUP(tbEscolas[[#This Row],[COD ETPA]],tbEtapas[],3,FALSE),"")</f>
        <v/>
      </c>
    </row>
    <row r="3720" spans="1:6" x14ac:dyDescent="0.25">
      <c r="A3720" s="24" t="str">
        <f>_xlfn.XLOOKUP(tbEscolas[[#This Row],[ESCOLA]],tbNucleo[ESCOLA],tbNucleo[COD ESCOLA],"")</f>
        <v/>
      </c>
      <c r="B3720" t="str" cm="1">
        <f t="array" ref="B3720">IFERROR(INDEX(tbNucleo[ESCOLA],ROUNDUP(ROW(B3719)/TotalEtapas,0)),"")</f>
        <v/>
      </c>
      <c r="E3720" t="str">
        <f>IFERROR(VLOOKUP(tbEscolas[[#This Row],[COD ETPA]],tbEtapas[],2,FALSE),"")</f>
        <v/>
      </c>
      <c r="F3720" t="str">
        <f>IFERROR(VLOOKUP(tbEscolas[[#This Row],[COD ETPA]],tbEtapas[],3,FALSE),"")</f>
        <v/>
      </c>
    </row>
    <row r="3721" spans="1:6" x14ac:dyDescent="0.25">
      <c r="A3721" s="24" t="str">
        <f>_xlfn.XLOOKUP(tbEscolas[[#This Row],[ESCOLA]],tbNucleo[ESCOLA],tbNucleo[COD ESCOLA],"")</f>
        <v/>
      </c>
      <c r="B3721" t="str" cm="1">
        <f t="array" ref="B3721">IFERROR(INDEX(tbNucleo[ESCOLA],ROUNDUP(ROW(B3720)/TotalEtapas,0)),"")</f>
        <v/>
      </c>
      <c r="E3721" t="str">
        <f>IFERROR(VLOOKUP(tbEscolas[[#This Row],[COD ETPA]],tbEtapas[],2,FALSE),"")</f>
        <v/>
      </c>
      <c r="F3721" t="str">
        <f>IFERROR(VLOOKUP(tbEscolas[[#This Row],[COD ETPA]],tbEtapas[],3,FALSE),"")</f>
        <v/>
      </c>
    </row>
    <row r="3722" spans="1:6" x14ac:dyDescent="0.25">
      <c r="A3722" s="24" t="str">
        <f>_xlfn.XLOOKUP(tbEscolas[[#This Row],[ESCOLA]],tbNucleo[ESCOLA],tbNucleo[COD ESCOLA],"")</f>
        <v/>
      </c>
      <c r="B3722" t="str" cm="1">
        <f t="array" ref="B3722">IFERROR(INDEX(tbNucleo[ESCOLA],ROUNDUP(ROW(B3721)/TotalEtapas,0)),"")</f>
        <v/>
      </c>
      <c r="E3722" t="str">
        <f>IFERROR(VLOOKUP(tbEscolas[[#This Row],[COD ETPA]],tbEtapas[],2,FALSE),"")</f>
        <v/>
      </c>
      <c r="F3722" t="str">
        <f>IFERROR(VLOOKUP(tbEscolas[[#This Row],[COD ETPA]],tbEtapas[],3,FALSE),"")</f>
        <v/>
      </c>
    </row>
    <row r="3723" spans="1:6" x14ac:dyDescent="0.25">
      <c r="A3723" s="24" t="str">
        <f>_xlfn.XLOOKUP(tbEscolas[[#This Row],[ESCOLA]],tbNucleo[ESCOLA],tbNucleo[COD ESCOLA],"")</f>
        <v/>
      </c>
      <c r="B3723" t="str" cm="1">
        <f t="array" ref="B3723">IFERROR(INDEX(tbNucleo[ESCOLA],ROUNDUP(ROW(B3722)/TotalEtapas,0)),"")</f>
        <v/>
      </c>
      <c r="E3723" t="str">
        <f>IFERROR(VLOOKUP(tbEscolas[[#This Row],[COD ETPA]],tbEtapas[],2,FALSE),"")</f>
        <v/>
      </c>
      <c r="F3723" t="str">
        <f>IFERROR(VLOOKUP(tbEscolas[[#This Row],[COD ETPA]],tbEtapas[],3,FALSE),"")</f>
        <v/>
      </c>
    </row>
    <row r="3724" spans="1:6" x14ac:dyDescent="0.25">
      <c r="A3724" s="24" t="str">
        <f>_xlfn.XLOOKUP(tbEscolas[[#This Row],[ESCOLA]],tbNucleo[ESCOLA],tbNucleo[COD ESCOLA],"")</f>
        <v/>
      </c>
      <c r="B3724" t="str" cm="1">
        <f t="array" ref="B3724">IFERROR(INDEX(tbNucleo[ESCOLA],ROUNDUP(ROW(B3723)/TotalEtapas,0)),"")</f>
        <v/>
      </c>
      <c r="E3724" t="str">
        <f>IFERROR(VLOOKUP(tbEscolas[[#This Row],[COD ETPA]],tbEtapas[],2,FALSE),"")</f>
        <v/>
      </c>
      <c r="F3724" t="str">
        <f>IFERROR(VLOOKUP(tbEscolas[[#This Row],[COD ETPA]],tbEtapas[],3,FALSE),"")</f>
        <v/>
      </c>
    </row>
    <row r="3725" spans="1:6" x14ac:dyDescent="0.25">
      <c r="A3725" s="24" t="str">
        <f>_xlfn.XLOOKUP(tbEscolas[[#This Row],[ESCOLA]],tbNucleo[ESCOLA],tbNucleo[COD ESCOLA],"")</f>
        <v/>
      </c>
      <c r="B3725" t="str" cm="1">
        <f t="array" ref="B3725">IFERROR(INDEX(tbNucleo[ESCOLA],ROUNDUP(ROW(B3724)/TotalEtapas,0)),"")</f>
        <v/>
      </c>
      <c r="E3725" t="str">
        <f>IFERROR(VLOOKUP(tbEscolas[[#This Row],[COD ETPA]],tbEtapas[],2,FALSE),"")</f>
        <v/>
      </c>
      <c r="F3725" t="str">
        <f>IFERROR(VLOOKUP(tbEscolas[[#This Row],[COD ETPA]],tbEtapas[],3,FALSE),"")</f>
        <v/>
      </c>
    </row>
    <row r="3726" spans="1:6" x14ac:dyDescent="0.25">
      <c r="A3726" s="24" t="str">
        <f>_xlfn.XLOOKUP(tbEscolas[[#This Row],[ESCOLA]],tbNucleo[ESCOLA],tbNucleo[COD ESCOLA],"")</f>
        <v/>
      </c>
      <c r="B3726" t="str" cm="1">
        <f t="array" ref="B3726">IFERROR(INDEX(tbNucleo[ESCOLA],ROUNDUP(ROW(B3725)/TotalEtapas,0)),"")</f>
        <v/>
      </c>
      <c r="E3726" t="str">
        <f>IFERROR(VLOOKUP(tbEscolas[[#This Row],[COD ETPA]],tbEtapas[],2,FALSE),"")</f>
        <v/>
      </c>
      <c r="F3726" t="str">
        <f>IFERROR(VLOOKUP(tbEscolas[[#This Row],[COD ETPA]],tbEtapas[],3,FALSE),"")</f>
        <v/>
      </c>
    </row>
    <row r="3727" spans="1:6" x14ac:dyDescent="0.25">
      <c r="A3727" s="24" t="str">
        <f>_xlfn.XLOOKUP(tbEscolas[[#This Row],[ESCOLA]],tbNucleo[ESCOLA],tbNucleo[COD ESCOLA],"")</f>
        <v/>
      </c>
      <c r="B3727" t="str" cm="1">
        <f t="array" ref="B3727">IFERROR(INDEX(tbNucleo[ESCOLA],ROUNDUP(ROW(B3726)/TotalEtapas,0)),"")</f>
        <v/>
      </c>
      <c r="E3727" t="str">
        <f>IFERROR(VLOOKUP(tbEscolas[[#This Row],[COD ETPA]],tbEtapas[],2,FALSE),"")</f>
        <v/>
      </c>
      <c r="F3727" t="str">
        <f>IFERROR(VLOOKUP(tbEscolas[[#This Row],[COD ETPA]],tbEtapas[],3,FALSE),"")</f>
        <v/>
      </c>
    </row>
    <row r="3728" spans="1:6" x14ac:dyDescent="0.25">
      <c r="A3728" s="24" t="str">
        <f>_xlfn.XLOOKUP(tbEscolas[[#This Row],[ESCOLA]],tbNucleo[ESCOLA],tbNucleo[COD ESCOLA],"")</f>
        <v/>
      </c>
      <c r="B3728" t="str" cm="1">
        <f t="array" ref="B3728">IFERROR(INDEX(tbNucleo[ESCOLA],ROUNDUP(ROW(B3727)/TotalEtapas,0)),"")</f>
        <v/>
      </c>
      <c r="E3728" t="str">
        <f>IFERROR(VLOOKUP(tbEscolas[[#This Row],[COD ETPA]],tbEtapas[],2,FALSE),"")</f>
        <v/>
      </c>
      <c r="F3728" t="str">
        <f>IFERROR(VLOOKUP(tbEscolas[[#This Row],[COD ETPA]],tbEtapas[],3,FALSE),"")</f>
        <v/>
      </c>
    </row>
    <row r="3729" spans="1:6" x14ac:dyDescent="0.25">
      <c r="A3729" s="24" t="str">
        <f>_xlfn.XLOOKUP(tbEscolas[[#This Row],[ESCOLA]],tbNucleo[ESCOLA],tbNucleo[COD ESCOLA],"")</f>
        <v/>
      </c>
      <c r="B3729" t="str" cm="1">
        <f t="array" ref="B3729">IFERROR(INDEX(tbNucleo[ESCOLA],ROUNDUP(ROW(B3728)/TotalEtapas,0)),"")</f>
        <v/>
      </c>
      <c r="E3729" t="str">
        <f>IFERROR(VLOOKUP(tbEscolas[[#This Row],[COD ETPA]],tbEtapas[],2,FALSE),"")</f>
        <v/>
      </c>
      <c r="F3729" t="str">
        <f>IFERROR(VLOOKUP(tbEscolas[[#This Row],[COD ETPA]],tbEtapas[],3,FALSE),"")</f>
        <v/>
      </c>
    </row>
    <row r="3730" spans="1:6" x14ac:dyDescent="0.25">
      <c r="A3730" s="24" t="str">
        <f>_xlfn.XLOOKUP(tbEscolas[[#This Row],[ESCOLA]],tbNucleo[ESCOLA],tbNucleo[COD ESCOLA],"")</f>
        <v/>
      </c>
      <c r="B3730" t="str" cm="1">
        <f t="array" ref="B3730">IFERROR(INDEX(tbNucleo[ESCOLA],ROUNDUP(ROW(B3729)/TotalEtapas,0)),"")</f>
        <v/>
      </c>
      <c r="E3730" t="str">
        <f>IFERROR(VLOOKUP(tbEscolas[[#This Row],[COD ETPA]],tbEtapas[],2,FALSE),"")</f>
        <v/>
      </c>
      <c r="F3730" t="str">
        <f>IFERROR(VLOOKUP(tbEscolas[[#This Row],[COD ETPA]],tbEtapas[],3,FALSE),"")</f>
        <v/>
      </c>
    </row>
    <row r="3731" spans="1:6" x14ac:dyDescent="0.25">
      <c r="A3731" s="24" t="str">
        <f>_xlfn.XLOOKUP(tbEscolas[[#This Row],[ESCOLA]],tbNucleo[ESCOLA],tbNucleo[COD ESCOLA],"")</f>
        <v/>
      </c>
      <c r="B3731" t="str" cm="1">
        <f t="array" ref="B3731">IFERROR(INDEX(tbNucleo[ESCOLA],ROUNDUP(ROW(B3730)/TotalEtapas,0)),"")</f>
        <v/>
      </c>
      <c r="E3731" t="str">
        <f>IFERROR(VLOOKUP(tbEscolas[[#This Row],[COD ETPA]],tbEtapas[],2,FALSE),"")</f>
        <v/>
      </c>
      <c r="F3731" t="str">
        <f>IFERROR(VLOOKUP(tbEscolas[[#This Row],[COD ETPA]],tbEtapas[],3,FALSE),"")</f>
        <v/>
      </c>
    </row>
    <row r="3732" spans="1:6" x14ac:dyDescent="0.25">
      <c r="A3732" s="24" t="str">
        <f>_xlfn.XLOOKUP(tbEscolas[[#This Row],[ESCOLA]],tbNucleo[ESCOLA],tbNucleo[COD ESCOLA],"")</f>
        <v/>
      </c>
      <c r="B3732" t="str" cm="1">
        <f t="array" ref="B3732">IFERROR(INDEX(tbNucleo[ESCOLA],ROUNDUP(ROW(B3731)/TotalEtapas,0)),"")</f>
        <v/>
      </c>
      <c r="E3732" t="str">
        <f>IFERROR(VLOOKUP(tbEscolas[[#This Row],[COD ETPA]],tbEtapas[],2,FALSE),"")</f>
        <v/>
      </c>
      <c r="F3732" t="str">
        <f>IFERROR(VLOOKUP(tbEscolas[[#This Row],[COD ETPA]],tbEtapas[],3,FALSE),"")</f>
        <v/>
      </c>
    </row>
    <row r="3733" spans="1:6" x14ac:dyDescent="0.25">
      <c r="A3733" s="24" t="str">
        <f>_xlfn.XLOOKUP(tbEscolas[[#This Row],[ESCOLA]],tbNucleo[ESCOLA],tbNucleo[COD ESCOLA],"")</f>
        <v/>
      </c>
      <c r="B3733" t="str" cm="1">
        <f t="array" ref="B3733">IFERROR(INDEX(tbNucleo[ESCOLA],ROUNDUP(ROW(B3732)/TotalEtapas,0)),"")</f>
        <v/>
      </c>
      <c r="E3733" t="str">
        <f>IFERROR(VLOOKUP(tbEscolas[[#This Row],[COD ETPA]],tbEtapas[],2,FALSE),"")</f>
        <v/>
      </c>
      <c r="F3733" t="str">
        <f>IFERROR(VLOOKUP(tbEscolas[[#This Row],[COD ETPA]],tbEtapas[],3,FALSE),"")</f>
        <v/>
      </c>
    </row>
    <row r="3734" spans="1:6" x14ac:dyDescent="0.25">
      <c r="A3734" s="24" t="str">
        <f>_xlfn.XLOOKUP(tbEscolas[[#This Row],[ESCOLA]],tbNucleo[ESCOLA],tbNucleo[COD ESCOLA],"")</f>
        <v/>
      </c>
      <c r="B3734" t="str" cm="1">
        <f t="array" ref="B3734">IFERROR(INDEX(tbNucleo[ESCOLA],ROUNDUP(ROW(B3733)/TotalEtapas,0)),"")</f>
        <v/>
      </c>
      <c r="E3734" t="str">
        <f>IFERROR(VLOOKUP(tbEscolas[[#This Row],[COD ETPA]],tbEtapas[],2,FALSE),"")</f>
        <v/>
      </c>
      <c r="F3734" t="str">
        <f>IFERROR(VLOOKUP(tbEscolas[[#This Row],[COD ETPA]],tbEtapas[],3,FALSE),"")</f>
        <v/>
      </c>
    </row>
    <row r="3735" spans="1:6" x14ac:dyDescent="0.25">
      <c r="A3735" s="24" t="str">
        <f>_xlfn.XLOOKUP(tbEscolas[[#This Row],[ESCOLA]],tbNucleo[ESCOLA],tbNucleo[COD ESCOLA],"")</f>
        <v/>
      </c>
      <c r="B3735" t="str" cm="1">
        <f t="array" ref="B3735">IFERROR(INDEX(tbNucleo[ESCOLA],ROUNDUP(ROW(B3734)/TotalEtapas,0)),"")</f>
        <v/>
      </c>
      <c r="E3735" t="str">
        <f>IFERROR(VLOOKUP(tbEscolas[[#This Row],[COD ETPA]],tbEtapas[],2,FALSE),"")</f>
        <v/>
      </c>
      <c r="F3735" t="str">
        <f>IFERROR(VLOOKUP(tbEscolas[[#This Row],[COD ETPA]],tbEtapas[],3,FALSE),"")</f>
        <v/>
      </c>
    </row>
    <row r="3736" spans="1:6" x14ac:dyDescent="0.25">
      <c r="A3736" s="24" t="str">
        <f>_xlfn.XLOOKUP(tbEscolas[[#This Row],[ESCOLA]],tbNucleo[ESCOLA],tbNucleo[COD ESCOLA],"")</f>
        <v/>
      </c>
      <c r="B3736" t="str" cm="1">
        <f t="array" ref="B3736">IFERROR(INDEX(tbNucleo[ESCOLA],ROUNDUP(ROW(B3735)/TotalEtapas,0)),"")</f>
        <v/>
      </c>
      <c r="E3736" t="str">
        <f>IFERROR(VLOOKUP(tbEscolas[[#This Row],[COD ETPA]],tbEtapas[],2,FALSE),"")</f>
        <v/>
      </c>
      <c r="F3736" t="str">
        <f>IFERROR(VLOOKUP(tbEscolas[[#This Row],[COD ETPA]],tbEtapas[],3,FALSE),"")</f>
        <v/>
      </c>
    </row>
    <row r="3737" spans="1:6" x14ac:dyDescent="0.25">
      <c r="A3737" s="24" t="str">
        <f>_xlfn.XLOOKUP(tbEscolas[[#This Row],[ESCOLA]],tbNucleo[ESCOLA],tbNucleo[COD ESCOLA],"")</f>
        <v/>
      </c>
      <c r="B3737" t="str" cm="1">
        <f t="array" ref="B3737">IFERROR(INDEX(tbNucleo[ESCOLA],ROUNDUP(ROW(B3736)/TotalEtapas,0)),"")</f>
        <v/>
      </c>
      <c r="E3737" t="str">
        <f>IFERROR(VLOOKUP(tbEscolas[[#This Row],[COD ETPA]],tbEtapas[],2,FALSE),"")</f>
        <v/>
      </c>
      <c r="F3737" t="str">
        <f>IFERROR(VLOOKUP(tbEscolas[[#This Row],[COD ETPA]],tbEtapas[],3,FALSE),"")</f>
        <v/>
      </c>
    </row>
    <row r="3738" spans="1:6" x14ac:dyDescent="0.25">
      <c r="A3738" s="24" t="str">
        <f>_xlfn.XLOOKUP(tbEscolas[[#This Row],[ESCOLA]],tbNucleo[ESCOLA],tbNucleo[COD ESCOLA],"")</f>
        <v/>
      </c>
      <c r="B3738" t="str" cm="1">
        <f t="array" ref="B3738">IFERROR(INDEX(tbNucleo[ESCOLA],ROUNDUP(ROW(B3737)/TotalEtapas,0)),"")</f>
        <v/>
      </c>
      <c r="E3738" t="str">
        <f>IFERROR(VLOOKUP(tbEscolas[[#This Row],[COD ETPA]],tbEtapas[],2,FALSE),"")</f>
        <v/>
      </c>
      <c r="F3738" t="str">
        <f>IFERROR(VLOOKUP(tbEscolas[[#This Row],[COD ETPA]],tbEtapas[],3,FALSE),"")</f>
        <v/>
      </c>
    </row>
    <row r="3739" spans="1:6" x14ac:dyDescent="0.25">
      <c r="A3739" s="24" t="str">
        <f>_xlfn.XLOOKUP(tbEscolas[[#This Row],[ESCOLA]],tbNucleo[ESCOLA],tbNucleo[COD ESCOLA],"")</f>
        <v/>
      </c>
      <c r="B3739" t="str" cm="1">
        <f t="array" ref="B3739">IFERROR(INDEX(tbNucleo[ESCOLA],ROUNDUP(ROW(B3738)/TotalEtapas,0)),"")</f>
        <v/>
      </c>
      <c r="E3739" t="str">
        <f>IFERROR(VLOOKUP(tbEscolas[[#This Row],[COD ETPA]],tbEtapas[],2,FALSE),"")</f>
        <v/>
      </c>
      <c r="F3739" t="str">
        <f>IFERROR(VLOOKUP(tbEscolas[[#This Row],[COD ETPA]],tbEtapas[],3,FALSE),"")</f>
        <v/>
      </c>
    </row>
    <row r="3740" spans="1:6" x14ac:dyDescent="0.25">
      <c r="A3740" s="24" t="str">
        <f>_xlfn.XLOOKUP(tbEscolas[[#This Row],[ESCOLA]],tbNucleo[ESCOLA],tbNucleo[COD ESCOLA],"")</f>
        <v/>
      </c>
      <c r="B3740" t="str" cm="1">
        <f t="array" ref="B3740">IFERROR(INDEX(tbNucleo[ESCOLA],ROUNDUP(ROW(B3739)/TotalEtapas,0)),"")</f>
        <v/>
      </c>
      <c r="E3740" t="str">
        <f>IFERROR(VLOOKUP(tbEscolas[[#This Row],[COD ETPA]],tbEtapas[],2,FALSE),"")</f>
        <v/>
      </c>
      <c r="F3740" t="str">
        <f>IFERROR(VLOOKUP(tbEscolas[[#This Row],[COD ETPA]],tbEtapas[],3,FALSE),"")</f>
        <v/>
      </c>
    </row>
    <row r="3741" spans="1:6" x14ac:dyDescent="0.25">
      <c r="A3741" s="24" t="str">
        <f>_xlfn.XLOOKUP(tbEscolas[[#This Row],[ESCOLA]],tbNucleo[ESCOLA],tbNucleo[COD ESCOLA],"")</f>
        <v/>
      </c>
      <c r="B3741" t="str" cm="1">
        <f t="array" ref="B3741">IFERROR(INDEX(tbNucleo[ESCOLA],ROUNDUP(ROW(B3740)/TotalEtapas,0)),"")</f>
        <v/>
      </c>
      <c r="E3741" t="str">
        <f>IFERROR(VLOOKUP(tbEscolas[[#This Row],[COD ETPA]],tbEtapas[],2,FALSE),"")</f>
        <v/>
      </c>
      <c r="F3741" t="str">
        <f>IFERROR(VLOOKUP(tbEscolas[[#This Row],[COD ETPA]],tbEtapas[],3,FALSE),"")</f>
        <v/>
      </c>
    </row>
    <row r="3742" spans="1:6" x14ac:dyDescent="0.25">
      <c r="A3742" s="24" t="str">
        <f>_xlfn.XLOOKUP(tbEscolas[[#This Row],[ESCOLA]],tbNucleo[ESCOLA],tbNucleo[COD ESCOLA],"")</f>
        <v/>
      </c>
      <c r="B3742" t="str" cm="1">
        <f t="array" ref="B3742">IFERROR(INDEX(tbNucleo[ESCOLA],ROUNDUP(ROW(B3741)/TotalEtapas,0)),"")</f>
        <v/>
      </c>
      <c r="E3742" t="str">
        <f>IFERROR(VLOOKUP(tbEscolas[[#This Row],[COD ETPA]],tbEtapas[],2,FALSE),"")</f>
        <v/>
      </c>
      <c r="F3742" t="str">
        <f>IFERROR(VLOOKUP(tbEscolas[[#This Row],[COD ETPA]],tbEtapas[],3,FALSE),"")</f>
        <v/>
      </c>
    </row>
    <row r="3743" spans="1:6" x14ac:dyDescent="0.25">
      <c r="A3743" s="24" t="str">
        <f>_xlfn.XLOOKUP(tbEscolas[[#This Row],[ESCOLA]],tbNucleo[ESCOLA],tbNucleo[COD ESCOLA],"")</f>
        <v/>
      </c>
      <c r="B3743" t="str" cm="1">
        <f t="array" ref="B3743">IFERROR(INDEX(tbNucleo[ESCOLA],ROUNDUP(ROW(B3742)/TotalEtapas,0)),"")</f>
        <v/>
      </c>
      <c r="E3743" t="str">
        <f>IFERROR(VLOOKUP(tbEscolas[[#This Row],[COD ETPA]],tbEtapas[],2,FALSE),"")</f>
        <v/>
      </c>
      <c r="F3743" t="str">
        <f>IFERROR(VLOOKUP(tbEscolas[[#This Row],[COD ETPA]],tbEtapas[],3,FALSE),"")</f>
        <v/>
      </c>
    </row>
    <row r="3744" spans="1:6" x14ac:dyDescent="0.25">
      <c r="A3744" s="24" t="str">
        <f>_xlfn.XLOOKUP(tbEscolas[[#This Row],[ESCOLA]],tbNucleo[ESCOLA],tbNucleo[COD ESCOLA],"")</f>
        <v/>
      </c>
      <c r="B3744" t="str" cm="1">
        <f t="array" ref="B3744">IFERROR(INDEX(tbNucleo[ESCOLA],ROUNDUP(ROW(B3743)/TotalEtapas,0)),"")</f>
        <v/>
      </c>
      <c r="E3744" t="str">
        <f>IFERROR(VLOOKUP(tbEscolas[[#This Row],[COD ETPA]],tbEtapas[],2,FALSE),"")</f>
        <v/>
      </c>
      <c r="F3744" t="str">
        <f>IFERROR(VLOOKUP(tbEscolas[[#This Row],[COD ETPA]],tbEtapas[],3,FALSE),"")</f>
        <v/>
      </c>
    </row>
    <row r="3745" spans="1:6" x14ac:dyDescent="0.25">
      <c r="A3745" s="24" t="str">
        <f>_xlfn.XLOOKUP(tbEscolas[[#This Row],[ESCOLA]],tbNucleo[ESCOLA],tbNucleo[COD ESCOLA],"")</f>
        <v/>
      </c>
      <c r="B3745" t="str" cm="1">
        <f t="array" ref="B3745">IFERROR(INDEX(tbNucleo[ESCOLA],ROUNDUP(ROW(B3744)/TotalEtapas,0)),"")</f>
        <v/>
      </c>
      <c r="E3745" t="str">
        <f>IFERROR(VLOOKUP(tbEscolas[[#This Row],[COD ETPA]],tbEtapas[],2,FALSE),"")</f>
        <v/>
      </c>
      <c r="F3745" t="str">
        <f>IFERROR(VLOOKUP(tbEscolas[[#This Row],[COD ETPA]],tbEtapas[],3,FALSE),"")</f>
        <v/>
      </c>
    </row>
    <row r="3746" spans="1:6" x14ac:dyDescent="0.25">
      <c r="A3746" s="24" t="str">
        <f>_xlfn.XLOOKUP(tbEscolas[[#This Row],[ESCOLA]],tbNucleo[ESCOLA],tbNucleo[COD ESCOLA],"")</f>
        <v/>
      </c>
      <c r="B3746" t="str" cm="1">
        <f t="array" ref="B3746">IFERROR(INDEX(tbNucleo[ESCOLA],ROUNDUP(ROW(B3745)/TotalEtapas,0)),"")</f>
        <v/>
      </c>
      <c r="E3746" t="str">
        <f>IFERROR(VLOOKUP(tbEscolas[[#This Row],[COD ETPA]],tbEtapas[],2,FALSE),"")</f>
        <v/>
      </c>
      <c r="F3746" t="str">
        <f>IFERROR(VLOOKUP(tbEscolas[[#This Row],[COD ETPA]],tbEtapas[],3,FALSE),"")</f>
        <v/>
      </c>
    </row>
    <row r="3747" spans="1:6" x14ac:dyDescent="0.25">
      <c r="A3747" s="24" t="str">
        <f>_xlfn.XLOOKUP(tbEscolas[[#This Row],[ESCOLA]],tbNucleo[ESCOLA],tbNucleo[COD ESCOLA],"")</f>
        <v/>
      </c>
      <c r="B3747" t="str" cm="1">
        <f t="array" ref="B3747">IFERROR(INDEX(tbNucleo[ESCOLA],ROUNDUP(ROW(B3746)/TotalEtapas,0)),"")</f>
        <v/>
      </c>
      <c r="E3747" t="str">
        <f>IFERROR(VLOOKUP(tbEscolas[[#This Row],[COD ETPA]],tbEtapas[],2,FALSE),"")</f>
        <v/>
      </c>
      <c r="F3747" t="str">
        <f>IFERROR(VLOOKUP(tbEscolas[[#This Row],[COD ETPA]],tbEtapas[],3,FALSE),"")</f>
        <v/>
      </c>
    </row>
    <row r="3748" spans="1:6" x14ac:dyDescent="0.25">
      <c r="A3748" s="24" t="str">
        <f>_xlfn.XLOOKUP(tbEscolas[[#This Row],[ESCOLA]],tbNucleo[ESCOLA],tbNucleo[COD ESCOLA],"")</f>
        <v/>
      </c>
      <c r="B3748" t="str" cm="1">
        <f t="array" ref="B3748">IFERROR(INDEX(tbNucleo[ESCOLA],ROUNDUP(ROW(B3747)/TotalEtapas,0)),"")</f>
        <v/>
      </c>
      <c r="E3748" t="str">
        <f>IFERROR(VLOOKUP(tbEscolas[[#This Row],[COD ETPA]],tbEtapas[],2,FALSE),"")</f>
        <v/>
      </c>
      <c r="F3748" t="str">
        <f>IFERROR(VLOOKUP(tbEscolas[[#This Row],[COD ETPA]],tbEtapas[],3,FALSE),"")</f>
        <v/>
      </c>
    </row>
    <row r="3749" spans="1:6" x14ac:dyDescent="0.25">
      <c r="A3749" s="24" t="str">
        <f>_xlfn.XLOOKUP(tbEscolas[[#This Row],[ESCOLA]],tbNucleo[ESCOLA],tbNucleo[COD ESCOLA],"")</f>
        <v/>
      </c>
      <c r="B3749" t="str" cm="1">
        <f t="array" ref="B3749">IFERROR(INDEX(tbNucleo[ESCOLA],ROUNDUP(ROW(B3748)/TotalEtapas,0)),"")</f>
        <v/>
      </c>
      <c r="E3749" t="str">
        <f>IFERROR(VLOOKUP(tbEscolas[[#This Row],[COD ETPA]],tbEtapas[],2,FALSE),"")</f>
        <v/>
      </c>
      <c r="F3749" t="str">
        <f>IFERROR(VLOOKUP(tbEscolas[[#This Row],[COD ETPA]],tbEtapas[],3,FALSE),"")</f>
        <v/>
      </c>
    </row>
    <row r="3750" spans="1:6" x14ac:dyDescent="0.25">
      <c r="A3750" s="24" t="str">
        <f>_xlfn.XLOOKUP(tbEscolas[[#This Row],[ESCOLA]],tbNucleo[ESCOLA],tbNucleo[COD ESCOLA],"")</f>
        <v/>
      </c>
      <c r="B3750" t="str" cm="1">
        <f t="array" ref="B3750">IFERROR(INDEX(tbNucleo[ESCOLA],ROUNDUP(ROW(B3749)/TotalEtapas,0)),"")</f>
        <v/>
      </c>
      <c r="E3750" t="str">
        <f>IFERROR(VLOOKUP(tbEscolas[[#This Row],[COD ETPA]],tbEtapas[],2,FALSE),"")</f>
        <v/>
      </c>
      <c r="F3750" t="str">
        <f>IFERROR(VLOOKUP(tbEscolas[[#This Row],[COD ETPA]],tbEtapas[],3,FALSE),"")</f>
        <v/>
      </c>
    </row>
    <row r="3751" spans="1:6" x14ac:dyDescent="0.25">
      <c r="A3751" s="24" t="str">
        <f>_xlfn.XLOOKUP(tbEscolas[[#This Row],[ESCOLA]],tbNucleo[ESCOLA],tbNucleo[COD ESCOLA],"")</f>
        <v/>
      </c>
      <c r="B3751" t="str" cm="1">
        <f t="array" ref="B3751">IFERROR(INDEX(tbNucleo[ESCOLA],ROUNDUP(ROW(B3750)/TotalEtapas,0)),"")</f>
        <v/>
      </c>
      <c r="E3751" t="str">
        <f>IFERROR(VLOOKUP(tbEscolas[[#This Row],[COD ETPA]],tbEtapas[],2,FALSE),"")</f>
        <v/>
      </c>
      <c r="F3751" t="str">
        <f>IFERROR(VLOOKUP(tbEscolas[[#This Row],[COD ETPA]],tbEtapas[],3,FALSE),"")</f>
        <v/>
      </c>
    </row>
    <row r="3752" spans="1:6" x14ac:dyDescent="0.25">
      <c r="A3752" s="24" t="str">
        <f>_xlfn.XLOOKUP(tbEscolas[[#This Row],[ESCOLA]],tbNucleo[ESCOLA],tbNucleo[COD ESCOLA],"")</f>
        <v/>
      </c>
      <c r="B3752" t="str" cm="1">
        <f t="array" ref="B3752">IFERROR(INDEX(tbNucleo[ESCOLA],ROUNDUP(ROW(B3751)/TotalEtapas,0)),"")</f>
        <v/>
      </c>
      <c r="E3752" t="str">
        <f>IFERROR(VLOOKUP(tbEscolas[[#This Row],[COD ETPA]],tbEtapas[],2,FALSE),"")</f>
        <v/>
      </c>
      <c r="F3752" t="str">
        <f>IFERROR(VLOOKUP(tbEscolas[[#This Row],[COD ETPA]],tbEtapas[],3,FALSE),"")</f>
        <v/>
      </c>
    </row>
    <row r="3753" spans="1:6" x14ac:dyDescent="0.25">
      <c r="A3753" s="24" t="str">
        <f>_xlfn.XLOOKUP(tbEscolas[[#This Row],[ESCOLA]],tbNucleo[ESCOLA],tbNucleo[COD ESCOLA],"")</f>
        <v/>
      </c>
      <c r="B3753" t="str" cm="1">
        <f t="array" ref="B3753">IFERROR(INDEX(tbNucleo[ESCOLA],ROUNDUP(ROW(B3752)/TotalEtapas,0)),"")</f>
        <v/>
      </c>
      <c r="E3753" t="str">
        <f>IFERROR(VLOOKUP(tbEscolas[[#This Row],[COD ETPA]],tbEtapas[],2,FALSE),"")</f>
        <v/>
      </c>
      <c r="F3753" t="str">
        <f>IFERROR(VLOOKUP(tbEscolas[[#This Row],[COD ETPA]],tbEtapas[],3,FALSE),"")</f>
        <v/>
      </c>
    </row>
    <row r="3754" spans="1:6" x14ac:dyDescent="0.25">
      <c r="A3754" s="24" t="str">
        <f>_xlfn.XLOOKUP(tbEscolas[[#This Row],[ESCOLA]],tbNucleo[ESCOLA],tbNucleo[COD ESCOLA],"")</f>
        <v/>
      </c>
      <c r="B3754" t="str" cm="1">
        <f t="array" ref="B3754">IFERROR(INDEX(tbNucleo[ESCOLA],ROUNDUP(ROW(B3753)/TotalEtapas,0)),"")</f>
        <v/>
      </c>
      <c r="E3754" t="str">
        <f>IFERROR(VLOOKUP(tbEscolas[[#This Row],[COD ETPA]],tbEtapas[],2,FALSE),"")</f>
        <v/>
      </c>
      <c r="F3754" t="str">
        <f>IFERROR(VLOOKUP(tbEscolas[[#This Row],[COD ETPA]],tbEtapas[],3,FALSE),"")</f>
        <v/>
      </c>
    </row>
    <row r="3755" spans="1:6" x14ac:dyDescent="0.25">
      <c r="A3755" s="24" t="str">
        <f>_xlfn.XLOOKUP(tbEscolas[[#This Row],[ESCOLA]],tbNucleo[ESCOLA],tbNucleo[COD ESCOLA],"")</f>
        <v/>
      </c>
      <c r="B3755" t="str" cm="1">
        <f t="array" ref="B3755">IFERROR(INDEX(tbNucleo[ESCOLA],ROUNDUP(ROW(B3754)/TotalEtapas,0)),"")</f>
        <v/>
      </c>
      <c r="E3755" t="str">
        <f>IFERROR(VLOOKUP(tbEscolas[[#This Row],[COD ETPA]],tbEtapas[],2,FALSE),"")</f>
        <v/>
      </c>
      <c r="F3755" t="str">
        <f>IFERROR(VLOOKUP(tbEscolas[[#This Row],[COD ETPA]],tbEtapas[],3,FALSE),"")</f>
        <v/>
      </c>
    </row>
    <row r="3756" spans="1:6" x14ac:dyDescent="0.25">
      <c r="A3756" s="24" t="str">
        <f>_xlfn.XLOOKUP(tbEscolas[[#This Row],[ESCOLA]],tbNucleo[ESCOLA],tbNucleo[COD ESCOLA],"")</f>
        <v/>
      </c>
      <c r="B3756" t="str" cm="1">
        <f t="array" ref="B3756">IFERROR(INDEX(tbNucleo[ESCOLA],ROUNDUP(ROW(B3755)/TotalEtapas,0)),"")</f>
        <v/>
      </c>
      <c r="E3756" t="str">
        <f>IFERROR(VLOOKUP(tbEscolas[[#This Row],[COD ETPA]],tbEtapas[],2,FALSE),"")</f>
        <v/>
      </c>
      <c r="F3756" t="str">
        <f>IFERROR(VLOOKUP(tbEscolas[[#This Row],[COD ETPA]],tbEtapas[],3,FALSE),"")</f>
        <v/>
      </c>
    </row>
    <row r="3757" spans="1:6" x14ac:dyDescent="0.25">
      <c r="A3757" s="24" t="str">
        <f>_xlfn.XLOOKUP(tbEscolas[[#This Row],[ESCOLA]],tbNucleo[ESCOLA],tbNucleo[COD ESCOLA],"")</f>
        <v/>
      </c>
      <c r="B3757" t="str" cm="1">
        <f t="array" ref="B3757">IFERROR(INDEX(tbNucleo[ESCOLA],ROUNDUP(ROW(B3756)/TotalEtapas,0)),"")</f>
        <v/>
      </c>
      <c r="E3757" t="str">
        <f>IFERROR(VLOOKUP(tbEscolas[[#This Row],[COD ETPA]],tbEtapas[],2,FALSE),"")</f>
        <v/>
      </c>
      <c r="F3757" t="str">
        <f>IFERROR(VLOOKUP(tbEscolas[[#This Row],[COD ETPA]],tbEtapas[],3,FALSE),"")</f>
        <v/>
      </c>
    </row>
    <row r="3758" spans="1:6" x14ac:dyDescent="0.25">
      <c r="A3758" s="24" t="str">
        <f>_xlfn.XLOOKUP(tbEscolas[[#This Row],[ESCOLA]],tbNucleo[ESCOLA],tbNucleo[COD ESCOLA],"")</f>
        <v/>
      </c>
      <c r="B3758" t="str" cm="1">
        <f t="array" ref="B3758">IFERROR(INDEX(tbNucleo[ESCOLA],ROUNDUP(ROW(B3757)/TotalEtapas,0)),"")</f>
        <v/>
      </c>
      <c r="E3758" t="str">
        <f>IFERROR(VLOOKUP(tbEscolas[[#This Row],[COD ETPA]],tbEtapas[],2,FALSE),"")</f>
        <v/>
      </c>
      <c r="F3758" t="str">
        <f>IFERROR(VLOOKUP(tbEscolas[[#This Row],[COD ETPA]],tbEtapas[],3,FALSE),"")</f>
        <v/>
      </c>
    </row>
    <row r="3759" spans="1:6" x14ac:dyDescent="0.25">
      <c r="A3759" s="24" t="str">
        <f>_xlfn.XLOOKUP(tbEscolas[[#This Row],[ESCOLA]],tbNucleo[ESCOLA],tbNucleo[COD ESCOLA],"")</f>
        <v/>
      </c>
      <c r="B3759" t="str" cm="1">
        <f t="array" ref="B3759">IFERROR(INDEX(tbNucleo[ESCOLA],ROUNDUP(ROW(B3758)/TotalEtapas,0)),"")</f>
        <v/>
      </c>
      <c r="E3759" t="str">
        <f>IFERROR(VLOOKUP(tbEscolas[[#This Row],[COD ETPA]],tbEtapas[],2,FALSE),"")</f>
        <v/>
      </c>
      <c r="F3759" t="str">
        <f>IFERROR(VLOOKUP(tbEscolas[[#This Row],[COD ETPA]],tbEtapas[],3,FALSE),"")</f>
        <v/>
      </c>
    </row>
    <row r="3760" spans="1:6" x14ac:dyDescent="0.25">
      <c r="A3760" s="24" t="str">
        <f>_xlfn.XLOOKUP(tbEscolas[[#This Row],[ESCOLA]],tbNucleo[ESCOLA],tbNucleo[COD ESCOLA],"")</f>
        <v/>
      </c>
      <c r="B3760" t="str" cm="1">
        <f t="array" ref="B3760">IFERROR(INDEX(tbNucleo[ESCOLA],ROUNDUP(ROW(B3759)/TotalEtapas,0)),"")</f>
        <v/>
      </c>
      <c r="E3760" t="str">
        <f>IFERROR(VLOOKUP(tbEscolas[[#This Row],[COD ETPA]],tbEtapas[],2,FALSE),"")</f>
        <v/>
      </c>
      <c r="F3760" t="str">
        <f>IFERROR(VLOOKUP(tbEscolas[[#This Row],[COD ETPA]],tbEtapas[],3,FALSE),"")</f>
        <v/>
      </c>
    </row>
    <row r="3761" spans="1:6" x14ac:dyDescent="0.25">
      <c r="A3761" s="24" t="str">
        <f>_xlfn.XLOOKUP(tbEscolas[[#This Row],[ESCOLA]],tbNucleo[ESCOLA],tbNucleo[COD ESCOLA],"")</f>
        <v/>
      </c>
      <c r="B3761" t="str" cm="1">
        <f t="array" ref="B3761">IFERROR(INDEX(tbNucleo[ESCOLA],ROUNDUP(ROW(B3760)/TotalEtapas,0)),"")</f>
        <v/>
      </c>
      <c r="E3761" t="str">
        <f>IFERROR(VLOOKUP(tbEscolas[[#This Row],[COD ETPA]],tbEtapas[],2,FALSE),"")</f>
        <v/>
      </c>
      <c r="F3761" t="str">
        <f>IFERROR(VLOOKUP(tbEscolas[[#This Row],[COD ETPA]],tbEtapas[],3,FALSE),"")</f>
        <v/>
      </c>
    </row>
    <row r="3762" spans="1:6" x14ac:dyDescent="0.25">
      <c r="A3762" s="24" t="str">
        <f>_xlfn.XLOOKUP(tbEscolas[[#This Row],[ESCOLA]],tbNucleo[ESCOLA],tbNucleo[COD ESCOLA],"")</f>
        <v/>
      </c>
      <c r="B3762" t="str" cm="1">
        <f t="array" ref="B3762">IFERROR(INDEX(tbNucleo[ESCOLA],ROUNDUP(ROW(B3761)/TotalEtapas,0)),"")</f>
        <v/>
      </c>
      <c r="E3762" t="str">
        <f>IFERROR(VLOOKUP(tbEscolas[[#This Row],[COD ETPA]],tbEtapas[],2,FALSE),"")</f>
        <v/>
      </c>
      <c r="F3762" t="str">
        <f>IFERROR(VLOOKUP(tbEscolas[[#This Row],[COD ETPA]],tbEtapas[],3,FALSE),"")</f>
        <v/>
      </c>
    </row>
    <row r="3763" spans="1:6" x14ac:dyDescent="0.25">
      <c r="A3763" s="24" t="str">
        <f>_xlfn.XLOOKUP(tbEscolas[[#This Row],[ESCOLA]],tbNucleo[ESCOLA],tbNucleo[COD ESCOLA],"")</f>
        <v/>
      </c>
      <c r="B3763" t="str" cm="1">
        <f t="array" ref="B3763">IFERROR(INDEX(tbNucleo[ESCOLA],ROUNDUP(ROW(B3762)/TotalEtapas,0)),"")</f>
        <v/>
      </c>
      <c r="E3763" t="str">
        <f>IFERROR(VLOOKUP(tbEscolas[[#This Row],[COD ETPA]],tbEtapas[],2,FALSE),"")</f>
        <v/>
      </c>
      <c r="F3763" t="str">
        <f>IFERROR(VLOOKUP(tbEscolas[[#This Row],[COD ETPA]],tbEtapas[],3,FALSE),"")</f>
        <v/>
      </c>
    </row>
    <row r="3764" spans="1:6" x14ac:dyDescent="0.25">
      <c r="A3764" s="24" t="str">
        <f>_xlfn.XLOOKUP(tbEscolas[[#This Row],[ESCOLA]],tbNucleo[ESCOLA],tbNucleo[COD ESCOLA],"")</f>
        <v/>
      </c>
      <c r="B3764" t="str" cm="1">
        <f t="array" ref="B3764">IFERROR(INDEX(tbNucleo[ESCOLA],ROUNDUP(ROW(B3763)/TotalEtapas,0)),"")</f>
        <v/>
      </c>
      <c r="E3764" t="str">
        <f>IFERROR(VLOOKUP(tbEscolas[[#This Row],[COD ETPA]],tbEtapas[],2,FALSE),"")</f>
        <v/>
      </c>
      <c r="F3764" t="str">
        <f>IFERROR(VLOOKUP(tbEscolas[[#This Row],[COD ETPA]],tbEtapas[],3,FALSE),"")</f>
        <v/>
      </c>
    </row>
    <row r="3765" spans="1:6" x14ac:dyDescent="0.25">
      <c r="A3765" s="24" t="str">
        <f>_xlfn.XLOOKUP(tbEscolas[[#This Row],[ESCOLA]],tbNucleo[ESCOLA],tbNucleo[COD ESCOLA],"")</f>
        <v/>
      </c>
      <c r="B3765" t="str" cm="1">
        <f t="array" ref="B3765">IFERROR(INDEX(tbNucleo[ESCOLA],ROUNDUP(ROW(B3764)/TotalEtapas,0)),"")</f>
        <v/>
      </c>
      <c r="E3765" t="str">
        <f>IFERROR(VLOOKUP(tbEscolas[[#This Row],[COD ETPA]],tbEtapas[],2,FALSE),"")</f>
        <v/>
      </c>
      <c r="F3765" t="str">
        <f>IFERROR(VLOOKUP(tbEscolas[[#This Row],[COD ETPA]],tbEtapas[],3,FALSE),"")</f>
        <v/>
      </c>
    </row>
    <row r="3766" spans="1:6" x14ac:dyDescent="0.25">
      <c r="A3766" s="24" t="str">
        <f>_xlfn.XLOOKUP(tbEscolas[[#This Row],[ESCOLA]],tbNucleo[ESCOLA],tbNucleo[COD ESCOLA],"")</f>
        <v/>
      </c>
      <c r="B3766" t="str" cm="1">
        <f t="array" ref="B3766">IFERROR(INDEX(tbNucleo[ESCOLA],ROUNDUP(ROW(B3765)/TotalEtapas,0)),"")</f>
        <v/>
      </c>
      <c r="E3766" t="str">
        <f>IFERROR(VLOOKUP(tbEscolas[[#This Row],[COD ETPA]],tbEtapas[],2,FALSE),"")</f>
        <v/>
      </c>
      <c r="F3766" t="str">
        <f>IFERROR(VLOOKUP(tbEscolas[[#This Row],[COD ETPA]],tbEtapas[],3,FALSE),"")</f>
        <v/>
      </c>
    </row>
    <row r="3767" spans="1:6" x14ac:dyDescent="0.25">
      <c r="A3767" s="24" t="str">
        <f>_xlfn.XLOOKUP(tbEscolas[[#This Row],[ESCOLA]],tbNucleo[ESCOLA],tbNucleo[COD ESCOLA],"")</f>
        <v/>
      </c>
      <c r="B3767" t="str" cm="1">
        <f t="array" ref="B3767">IFERROR(INDEX(tbNucleo[ESCOLA],ROUNDUP(ROW(B3766)/TotalEtapas,0)),"")</f>
        <v/>
      </c>
      <c r="E3767" t="str">
        <f>IFERROR(VLOOKUP(tbEscolas[[#This Row],[COD ETPA]],tbEtapas[],2,FALSE),"")</f>
        <v/>
      </c>
      <c r="F3767" t="str">
        <f>IFERROR(VLOOKUP(tbEscolas[[#This Row],[COD ETPA]],tbEtapas[],3,FALSE),"")</f>
        <v/>
      </c>
    </row>
    <row r="3768" spans="1:6" x14ac:dyDescent="0.25">
      <c r="A3768" s="24" t="str">
        <f>_xlfn.XLOOKUP(tbEscolas[[#This Row],[ESCOLA]],tbNucleo[ESCOLA],tbNucleo[COD ESCOLA],"")</f>
        <v/>
      </c>
      <c r="B3768" t="str" cm="1">
        <f t="array" ref="B3768">IFERROR(INDEX(tbNucleo[ESCOLA],ROUNDUP(ROW(B3767)/TotalEtapas,0)),"")</f>
        <v/>
      </c>
      <c r="E3768" t="str">
        <f>IFERROR(VLOOKUP(tbEscolas[[#This Row],[COD ETPA]],tbEtapas[],2,FALSE),"")</f>
        <v/>
      </c>
      <c r="F3768" t="str">
        <f>IFERROR(VLOOKUP(tbEscolas[[#This Row],[COD ETPA]],tbEtapas[],3,FALSE),"")</f>
        <v/>
      </c>
    </row>
    <row r="3769" spans="1:6" x14ac:dyDescent="0.25">
      <c r="A3769" s="24" t="str">
        <f>_xlfn.XLOOKUP(tbEscolas[[#This Row],[ESCOLA]],tbNucleo[ESCOLA],tbNucleo[COD ESCOLA],"")</f>
        <v/>
      </c>
      <c r="B3769" t="str" cm="1">
        <f t="array" ref="B3769">IFERROR(INDEX(tbNucleo[ESCOLA],ROUNDUP(ROW(B3768)/TotalEtapas,0)),"")</f>
        <v/>
      </c>
      <c r="E3769" t="str">
        <f>IFERROR(VLOOKUP(tbEscolas[[#This Row],[COD ETPA]],tbEtapas[],2,FALSE),"")</f>
        <v/>
      </c>
      <c r="F3769" t="str">
        <f>IFERROR(VLOOKUP(tbEscolas[[#This Row],[COD ETPA]],tbEtapas[],3,FALSE),"")</f>
        <v/>
      </c>
    </row>
    <row r="3770" spans="1:6" x14ac:dyDescent="0.25">
      <c r="A3770" s="24" t="str">
        <f>_xlfn.XLOOKUP(tbEscolas[[#This Row],[ESCOLA]],tbNucleo[ESCOLA],tbNucleo[COD ESCOLA],"")</f>
        <v/>
      </c>
      <c r="B3770" t="str" cm="1">
        <f t="array" ref="B3770">IFERROR(INDEX(tbNucleo[ESCOLA],ROUNDUP(ROW(B3769)/TotalEtapas,0)),"")</f>
        <v/>
      </c>
      <c r="E3770" t="str">
        <f>IFERROR(VLOOKUP(tbEscolas[[#This Row],[COD ETPA]],tbEtapas[],2,FALSE),"")</f>
        <v/>
      </c>
      <c r="F3770" t="str">
        <f>IFERROR(VLOOKUP(tbEscolas[[#This Row],[COD ETPA]],tbEtapas[],3,FALSE),"")</f>
        <v/>
      </c>
    </row>
    <row r="3771" spans="1:6" x14ac:dyDescent="0.25">
      <c r="A3771" s="24" t="str">
        <f>_xlfn.XLOOKUP(tbEscolas[[#This Row],[ESCOLA]],tbNucleo[ESCOLA],tbNucleo[COD ESCOLA],"")</f>
        <v/>
      </c>
      <c r="B3771" t="str" cm="1">
        <f t="array" ref="B3771">IFERROR(INDEX(tbNucleo[ESCOLA],ROUNDUP(ROW(B3770)/TotalEtapas,0)),"")</f>
        <v/>
      </c>
      <c r="E3771" t="str">
        <f>IFERROR(VLOOKUP(tbEscolas[[#This Row],[COD ETPA]],tbEtapas[],2,FALSE),"")</f>
        <v/>
      </c>
      <c r="F3771" t="str">
        <f>IFERROR(VLOOKUP(tbEscolas[[#This Row],[COD ETPA]],tbEtapas[],3,FALSE),"")</f>
        <v/>
      </c>
    </row>
    <row r="3772" spans="1:6" x14ac:dyDescent="0.25">
      <c r="A3772" s="24" t="str">
        <f>_xlfn.XLOOKUP(tbEscolas[[#This Row],[ESCOLA]],tbNucleo[ESCOLA],tbNucleo[COD ESCOLA],"")</f>
        <v/>
      </c>
      <c r="B3772" t="str" cm="1">
        <f t="array" ref="B3772">IFERROR(INDEX(tbNucleo[ESCOLA],ROUNDUP(ROW(B3771)/TotalEtapas,0)),"")</f>
        <v/>
      </c>
      <c r="E3772" t="str">
        <f>IFERROR(VLOOKUP(tbEscolas[[#This Row],[COD ETPA]],tbEtapas[],2,FALSE),"")</f>
        <v/>
      </c>
      <c r="F3772" t="str">
        <f>IFERROR(VLOOKUP(tbEscolas[[#This Row],[COD ETPA]],tbEtapas[],3,FALSE),"")</f>
        <v/>
      </c>
    </row>
    <row r="3773" spans="1:6" x14ac:dyDescent="0.25">
      <c r="A3773" s="24" t="str">
        <f>_xlfn.XLOOKUP(tbEscolas[[#This Row],[ESCOLA]],tbNucleo[ESCOLA],tbNucleo[COD ESCOLA],"")</f>
        <v/>
      </c>
      <c r="B3773" t="str" cm="1">
        <f t="array" ref="B3773">IFERROR(INDEX(tbNucleo[ESCOLA],ROUNDUP(ROW(B3772)/TotalEtapas,0)),"")</f>
        <v/>
      </c>
      <c r="E3773" t="str">
        <f>IFERROR(VLOOKUP(tbEscolas[[#This Row],[COD ETPA]],tbEtapas[],2,FALSE),"")</f>
        <v/>
      </c>
      <c r="F3773" t="str">
        <f>IFERROR(VLOOKUP(tbEscolas[[#This Row],[COD ETPA]],tbEtapas[],3,FALSE),"")</f>
        <v/>
      </c>
    </row>
    <row r="3774" spans="1:6" x14ac:dyDescent="0.25">
      <c r="A3774" s="24" t="str">
        <f>_xlfn.XLOOKUP(tbEscolas[[#This Row],[ESCOLA]],tbNucleo[ESCOLA],tbNucleo[COD ESCOLA],"")</f>
        <v/>
      </c>
      <c r="B3774" t="str" cm="1">
        <f t="array" ref="B3774">IFERROR(INDEX(tbNucleo[ESCOLA],ROUNDUP(ROW(B3773)/TotalEtapas,0)),"")</f>
        <v/>
      </c>
      <c r="E3774" t="str">
        <f>IFERROR(VLOOKUP(tbEscolas[[#This Row],[COD ETPA]],tbEtapas[],2,FALSE),"")</f>
        <v/>
      </c>
      <c r="F3774" t="str">
        <f>IFERROR(VLOOKUP(tbEscolas[[#This Row],[COD ETPA]],tbEtapas[],3,FALSE),"")</f>
        <v/>
      </c>
    </row>
    <row r="3775" spans="1:6" x14ac:dyDescent="0.25">
      <c r="A3775" s="24" t="str">
        <f>_xlfn.XLOOKUP(tbEscolas[[#This Row],[ESCOLA]],tbNucleo[ESCOLA],tbNucleo[COD ESCOLA],"")</f>
        <v/>
      </c>
      <c r="B3775" t="str" cm="1">
        <f t="array" ref="B3775">IFERROR(INDEX(tbNucleo[ESCOLA],ROUNDUP(ROW(B3774)/TotalEtapas,0)),"")</f>
        <v/>
      </c>
      <c r="E3775" t="str">
        <f>IFERROR(VLOOKUP(tbEscolas[[#This Row],[COD ETPA]],tbEtapas[],2,FALSE),"")</f>
        <v/>
      </c>
      <c r="F3775" t="str">
        <f>IFERROR(VLOOKUP(tbEscolas[[#This Row],[COD ETPA]],tbEtapas[],3,FALSE),"")</f>
        <v/>
      </c>
    </row>
    <row r="3776" spans="1:6" x14ac:dyDescent="0.25">
      <c r="A3776" s="24" t="str">
        <f>_xlfn.XLOOKUP(tbEscolas[[#This Row],[ESCOLA]],tbNucleo[ESCOLA],tbNucleo[COD ESCOLA],"")</f>
        <v/>
      </c>
      <c r="B3776" t="str" cm="1">
        <f t="array" ref="B3776">IFERROR(INDEX(tbNucleo[ESCOLA],ROUNDUP(ROW(B3775)/TotalEtapas,0)),"")</f>
        <v/>
      </c>
      <c r="E3776" t="str">
        <f>IFERROR(VLOOKUP(tbEscolas[[#This Row],[COD ETPA]],tbEtapas[],2,FALSE),"")</f>
        <v/>
      </c>
      <c r="F3776" t="str">
        <f>IFERROR(VLOOKUP(tbEscolas[[#This Row],[COD ETPA]],tbEtapas[],3,FALSE),"")</f>
        <v/>
      </c>
    </row>
    <row r="3777" spans="1:6" x14ac:dyDescent="0.25">
      <c r="A3777" s="24" t="str">
        <f>_xlfn.XLOOKUP(tbEscolas[[#This Row],[ESCOLA]],tbNucleo[ESCOLA],tbNucleo[COD ESCOLA],"")</f>
        <v/>
      </c>
      <c r="B3777" t="str" cm="1">
        <f t="array" ref="B3777">IFERROR(INDEX(tbNucleo[ESCOLA],ROUNDUP(ROW(B3776)/TotalEtapas,0)),"")</f>
        <v/>
      </c>
      <c r="E3777" t="str">
        <f>IFERROR(VLOOKUP(tbEscolas[[#This Row],[COD ETPA]],tbEtapas[],2,FALSE),"")</f>
        <v/>
      </c>
      <c r="F3777" t="str">
        <f>IFERROR(VLOOKUP(tbEscolas[[#This Row],[COD ETPA]],tbEtapas[],3,FALSE),"")</f>
        <v/>
      </c>
    </row>
    <row r="3778" spans="1:6" x14ac:dyDescent="0.25">
      <c r="A3778" s="24" t="str">
        <f>_xlfn.XLOOKUP(tbEscolas[[#This Row],[ESCOLA]],tbNucleo[ESCOLA],tbNucleo[COD ESCOLA],"")</f>
        <v/>
      </c>
      <c r="B3778" t="str" cm="1">
        <f t="array" ref="B3778">IFERROR(INDEX(tbNucleo[ESCOLA],ROUNDUP(ROW(B3777)/TotalEtapas,0)),"")</f>
        <v/>
      </c>
      <c r="E3778" t="str">
        <f>IFERROR(VLOOKUP(tbEscolas[[#This Row],[COD ETPA]],tbEtapas[],2,FALSE),"")</f>
        <v/>
      </c>
      <c r="F3778" t="str">
        <f>IFERROR(VLOOKUP(tbEscolas[[#This Row],[COD ETPA]],tbEtapas[],3,FALSE),"")</f>
        <v/>
      </c>
    </row>
    <row r="3779" spans="1:6" x14ac:dyDescent="0.25">
      <c r="A3779" s="24" t="str">
        <f>_xlfn.XLOOKUP(tbEscolas[[#This Row],[ESCOLA]],tbNucleo[ESCOLA],tbNucleo[COD ESCOLA],"")</f>
        <v/>
      </c>
      <c r="B3779" t="str" cm="1">
        <f t="array" ref="B3779">IFERROR(INDEX(tbNucleo[ESCOLA],ROUNDUP(ROW(B3778)/TotalEtapas,0)),"")</f>
        <v/>
      </c>
      <c r="E3779" t="str">
        <f>IFERROR(VLOOKUP(tbEscolas[[#This Row],[COD ETPA]],tbEtapas[],2,FALSE),"")</f>
        <v/>
      </c>
      <c r="F3779" t="str">
        <f>IFERROR(VLOOKUP(tbEscolas[[#This Row],[COD ETPA]],tbEtapas[],3,FALSE),"")</f>
        <v/>
      </c>
    </row>
    <row r="3780" spans="1:6" x14ac:dyDescent="0.25">
      <c r="A3780" s="24" t="str">
        <f>_xlfn.XLOOKUP(tbEscolas[[#This Row],[ESCOLA]],tbNucleo[ESCOLA],tbNucleo[COD ESCOLA],"")</f>
        <v/>
      </c>
      <c r="B3780" t="str" cm="1">
        <f t="array" ref="B3780">IFERROR(INDEX(tbNucleo[ESCOLA],ROUNDUP(ROW(B3779)/TotalEtapas,0)),"")</f>
        <v/>
      </c>
      <c r="E3780" t="str">
        <f>IFERROR(VLOOKUP(tbEscolas[[#This Row],[COD ETPA]],tbEtapas[],2,FALSE),"")</f>
        <v/>
      </c>
      <c r="F3780" t="str">
        <f>IFERROR(VLOOKUP(tbEscolas[[#This Row],[COD ETPA]],tbEtapas[],3,FALSE),"")</f>
        <v/>
      </c>
    </row>
    <row r="3781" spans="1:6" x14ac:dyDescent="0.25">
      <c r="A3781" s="24" t="str">
        <f>_xlfn.XLOOKUP(tbEscolas[[#This Row],[ESCOLA]],tbNucleo[ESCOLA],tbNucleo[COD ESCOLA],"")</f>
        <v/>
      </c>
      <c r="B3781" t="str" cm="1">
        <f t="array" ref="B3781">IFERROR(INDEX(tbNucleo[ESCOLA],ROUNDUP(ROW(B3780)/TotalEtapas,0)),"")</f>
        <v/>
      </c>
      <c r="E3781" t="str">
        <f>IFERROR(VLOOKUP(tbEscolas[[#This Row],[COD ETPA]],tbEtapas[],2,FALSE),"")</f>
        <v/>
      </c>
      <c r="F3781" t="str">
        <f>IFERROR(VLOOKUP(tbEscolas[[#This Row],[COD ETPA]],tbEtapas[],3,FALSE),"")</f>
        <v/>
      </c>
    </row>
    <row r="3782" spans="1:6" x14ac:dyDescent="0.25">
      <c r="A3782" s="24" t="str">
        <f>_xlfn.XLOOKUP(tbEscolas[[#This Row],[ESCOLA]],tbNucleo[ESCOLA],tbNucleo[COD ESCOLA],"")</f>
        <v/>
      </c>
      <c r="B3782" t="str" cm="1">
        <f t="array" ref="B3782">IFERROR(INDEX(tbNucleo[ESCOLA],ROUNDUP(ROW(B3781)/TotalEtapas,0)),"")</f>
        <v/>
      </c>
      <c r="E3782" t="str">
        <f>IFERROR(VLOOKUP(tbEscolas[[#This Row],[COD ETPA]],tbEtapas[],2,FALSE),"")</f>
        <v/>
      </c>
      <c r="F3782" t="str">
        <f>IFERROR(VLOOKUP(tbEscolas[[#This Row],[COD ETPA]],tbEtapas[],3,FALSE),"")</f>
        <v/>
      </c>
    </row>
    <row r="3783" spans="1:6" x14ac:dyDescent="0.25">
      <c r="A3783" s="24" t="str">
        <f>_xlfn.XLOOKUP(tbEscolas[[#This Row],[ESCOLA]],tbNucleo[ESCOLA],tbNucleo[COD ESCOLA],"")</f>
        <v/>
      </c>
      <c r="B3783" t="str" cm="1">
        <f t="array" ref="B3783">IFERROR(INDEX(tbNucleo[ESCOLA],ROUNDUP(ROW(B3782)/TotalEtapas,0)),"")</f>
        <v/>
      </c>
      <c r="E3783" t="str">
        <f>IFERROR(VLOOKUP(tbEscolas[[#This Row],[COD ETPA]],tbEtapas[],2,FALSE),"")</f>
        <v/>
      </c>
      <c r="F3783" t="str">
        <f>IFERROR(VLOOKUP(tbEscolas[[#This Row],[COD ETPA]],tbEtapas[],3,FALSE),"")</f>
        <v/>
      </c>
    </row>
    <row r="3784" spans="1:6" x14ac:dyDescent="0.25">
      <c r="A3784" s="24" t="str">
        <f>_xlfn.XLOOKUP(tbEscolas[[#This Row],[ESCOLA]],tbNucleo[ESCOLA],tbNucleo[COD ESCOLA],"")</f>
        <v/>
      </c>
      <c r="B3784" t="str" cm="1">
        <f t="array" ref="B3784">IFERROR(INDEX(tbNucleo[ESCOLA],ROUNDUP(ROW(B3783)/TotalEtapas,0)),"")</f>
        <v/>
      </c>
      <c r="E3784" t="str">
        <f>IFERROR(VLOOKUP(tbEscolas[[#This Row],[COD ETPA]],tbEtapas[],2,FALSE),"")</f>
        <v/>
      </c>
      <c r="F3784" t="str">
        <f>IFERROR(VLOOKUP(tbEscolas[[#This Row],[COD ETPA]],tbEtapas[],3,FALSE),"")</f>
        <v/>
      </c>
    </row>
    <row r="3785" spans="1:6" x14ac:dyDescent="0.25">
      <c r="A3785" s="24" t="str">
        <f>_xlfn.XLOOKUP(tbEscolas[[#This Row],[ESCOLA]],tbNucleo[ESCOLA],tbNucleo[COD ESCOLA],"")</f>
        <v/>
      </c>
      <c r="B3785" t="str" cm="1">
        <f t="array" ref="B3785">IFERROR(INDEX(tbNucleo[ESCOLA],ROUNDUP(ROW(B3784)/TotalEtapas,0)),"")</f>
        <v/>
      </c>
      <c r="E3785" t="str">
        <f>IFERROR(VLOOKUP(tbEscolas[[#This Row],[COD ETPA]],tbEtapas[],2,FALSE),"")</f>
        <v/>
      </c>
      <c r="F3785" t="str">
        <f>IFERROR(VLOOKUP(tbEscolas[[#This Row],[COD ETPA]],tbEtapas[],3,FALSE),"")</f>
        <v/>
      </c>
    </row>
    <row r="3786" spans="1:6" x14ac:dyDescent="0.25">
      <c r="A3786" s="24" t="str">
        <f>_xlfn.XLOOKUP(tbEscolas[[#This Row],[ESCOLA]],tbNucleo[ESCOLA],tbNucleo[COD ESCOLA],"")</f>
        <v/>
      </c>
      <c r="B3786" t="str" cm="1">
        <f t="array" ref="B3786">IFERROR(INDEX(tbNucleo[ESCOLA],ROUNDUP(ROW(B3785)/TotalEtapas,0)),"")</f>
        <v/>
      </c>
      <c r="E3786" t="str">
        <f>IFERROR(VLOOKUP(tbEscolas[[#This Row],[COD ETPA]],tbEtapas[],2,FALSE),"")</f>
        <v/>
      </c>
      <c r="F3786" t="str">
        <f>IFERROR(VLOOKUP(tbEscolas[[#This Row],[COD ETPA]],tbEtapas[],3,FALSE),"")</f>
        <v/>
      </c>
    </row>
    <row r="3787" spans="1:6" x14ac:dyDescent="0.25">
      <c r="A3787" s="24" t="str">
        <f>_xlfn.XLOOKUP(tbEscolas[[#This Row],[ESCOLA]],tbNucleo[ESCOLA],tbNucleo[COD ESCOLA],"")</f>
        <v/>
      </c>
      <c r="B3787" t="str" cm="1">
        <f t="array" ref="B3787">IFERROR(INDEX(tbNucleo[ESCOLA],ROUNDUP(ROW(B3786)/TotalEtapas,0)),"")</f>
        <v/>
      </c>
      <c r="E3787" t="str">
        <f>IFERROR(VLOOKUP(tbEscolas[[#This Row],[COD ETPA]],tbEtapas[],2,FALSE),"")</f>
        <v/>
      </c>
      <c r="F3787" t="str">
        <f>IFERROR(VLOOKUP(tbEscolas[[#This Row],[COD ETPA]],tbEtapas[],3,FALSE),"")</f>
        <v/>
      </c>
    </row>
    <row r="3788" spans="1:6" x14ac:dyDescent="0.25">
      <c r="A3788" s="24" t="str">
        <f>_xlfn.XLOOKUP(tbEscolas[[#This Row],[ESCOLA]],tbNucleo[ESCOLA],tbNucleo[COD ESCOLA],"")</f>
        <v/>
      </c>
      <c r="B3788" t="str" cm="1">
        <f t="array" ref="B3788">IFERROR(INDEX(tbNucleo[ESCOLA],ROUNDUP(ROW(B3787)/TotalEtapas,0)),"")</f>
        <v/>
      </c>
      <c r="E3788" t="str">
        <f>IFERROR(VLOOKUP(tbEscolas[[#This Row],[COD ETPA]],tbEtapas[],2,FALSE),"")</f>
        <v/>
      </c>
      <c r="F3788" t="str">
        <f>IFERROR(VLOOKUP(tbEscolas[[#This Row],[COD ETPA]],tbEtapas[],3,FALSE),"")</f>
        <v/>
      </c>
    </row>
    <row r="3789" spans="1:6" x14ac:dyDescent="0.25">
      <c r="A3789" s="24" t="str">
        <f>_xlfn.XLOOKUP(tbEscolas[[#This Row],[ESCOLA]],tbNucleo[ESCOLA],tbNucleo[COD ESCOLA],"")</f>
        <v/>
      </c>
      <c r="B3789" t="str" cm="1">
        <f t="array" ref="B3789">IFERROR(INDEX(tbNucleo[ESCOLA],ROUNDUP(ROW(B3788)/TotalEtapas,0)),"")</f>
        <v/>
      </c>
      <c r="E3789" t="str">
        <f>IFERROR(VLOOKUP(tbEscolas[[#This Row],[COD ETPA]],tbEtapas[],2,FALSE),"")</f>
        <v/>
      </c>
      <c r="F3789" t="str">
        <f>IFERROR(VLOOKUP(tbEscolas[[#This Row],[COD ETPA]],tbEtapas[],3,FALSE),"")</f>
        <v/>
      </c>
    </row>
    <row r="3790" spans="1:6" x14ac:dyDescent="0.25">
      <c r="A3790" s="24" t="str">
        <f>_xlfn.XLOOKUP(tbEscolas[[#This Row],[ESCOLA]],tbNucleo[ESCOLA],tbNucleo[COD ESCOLA],"")</f>
        <v/>
      </c>
      <c r="B3790" t="str" cm="1">
        <f t="array" ref="B3790">IFERROR(INDEX(tbNucleo[ESCOLA],ROUNDUP(ROW(B3789)/TotalEtapas,0)),"")</f>
        <v/>
      </c>
      <c r="E3790" t="str">
        <f>IFERROR(VLOOKUP(tbEscolas[[#This Row],[COD ETPA]],tbEtapas[],2,FALSE),"")</f>
        <v/>
      </c>
      <c r="F3790" t="str">
        <f>IFERROR(VLOOKUP(tbEscolas[[#This Row],[COD ETPA]],tbEtapas[],3,FALSE),"")</f>
        <v/>
      </c>
    </row>
    <row r="3791" spans="1:6" x14ac:dyDescent="0.25">
      <c r="A3791" s="24" t="str">
        <f>_xlfn.XLOOKUP(tbEscolas[[#This Row],[ESCOLA]],tbNucleo[ESCOLA],tbNucleo[COD ESCOLA],"")</f>
        <v/>
      </c>
      <c r="B3791" t="str" cm="1">
        <f t="array" ref="B3791">IFERROR(INDEX(tbNucleo[ESCOLA],ROUNDUP(ROW(B3790)/TotalEtapas,0)),"")</f>
        <v/>
      </c>
      <c r="E3791" t="str">
        <f>IFERROR(VLOOKUP(tbEscolas[[#This Row],[COD ETPA]],tbEtapas[],2,FALSE),"")</f>
        <v/>
      </c>
      <c r="F3791" t="str">
        <f>IFERROR(VLOOKUP(tbEscolas[[#This Row],[COD ETPA]],tbEtapas[],3,FALSE),"")</f>
        <v/>
      </c>
    </row>
    <row r="3792" spans="1:6" x14ac:dyDescent="0.25">
      <c r="A3792" s="24" t="str">
        <f>_xlfn.XLOOKUP(tbEscolas[[#This Row],[ESCOLA]],tbNucleo[ESCOLA],tbNucleo[COD ESCOLA],"")</f>
        <v/>
      </c>
      <c r="B3792" t="str" cm="1">
        <f t="array" ref="B3792">IFERROR(INDEX(tbNucleo[ESCOLA],ROUNDUP(ROW(B3791)/TotalEtapas,0)),"")</f>
        <v/>
      </c>
      <c r="E3792" t="str">
        <f>IFERROR(VLOOKUP(tbEscolas[[#This Row],[COD ETPA]],tbEtapas[],2,FALSE),"")</f>
        <v/>
      </c>
      <c r="F3792" t="str">
        <f>IFERROR(VLOOKUP(tbEscolas[[#This Row],[COD ETPA]],tbEtapas[],3,FALSE),"")</f>
        <v/>
      </c>
    </row>
    <row r="3793" spans="1:6" x14ac:dyDescent="0.25">
      <c r="A3793" s="24" t="str">
        <f>_xlfn.XLOOKUP(tbEscolas[[#This Row],[ESCOLA]],tbNucleo[ESCOLA],tbNucleo[COD ESCOLA],"")</f>
        <v/>
      </c>
      <c r="B3793" t="str" cm="1">
        <f t="array" ref="B3793">IFERROR(INDEX(tbNucleo[ESCOLA],ROUNDUP(ROW(B3792)/TotalEtapas,0)),"")</f>
        <v/>
      </c>
      <c r="E3793" t="str">
        <f>IFERROR(VLOOKUP(tbEscolas[[#This Row],[COD ETPA]],tbEtapas[],2,FALSE),"")</f>
        <v/>
      </c>
      <c r="F3793" t="str">
        <f>IFERROR(VLOOKUP(tbEscolas[[#This Row],[COD ETPA]],tbEtapas[],3,FALSE),"")</f>
        <v/>
      </c>
    </row>
    <row r="3794" spans="1:6" x14ac:dyDescent="0.25">
      <c r="A3794" s="24" t="str">
        <f>_xlfn.XLOOKUP(tbEscolas[[#This Row],[ESCOLA]],tbNucleo[ESCOLA],tbNucleo[COD ESCOLA],"")</f>
        <v/>
      </c>
      <c r="B3794" t="str" cm="1">
        <f t="array" ref="B3794">IFERROR(INDEX(tbNucleo[ESCOLA],ROUNDUP(ROW(B3793)/TotalEtapas,0)),"")</f>
        <v/>
      </c>
      <c r="E3794" t="str">
        <f>IFERROR(VLOOKUP(tbEscolas[[#This Row],[COD ETPA]],tbEtapas[],2,FALSE),"")</f>
        <v/>
      </c>
      <c r="F3794" t="str">
        <f>IFERROR(VLOOKUP(tbEscolas[[#This Row],[COD ETPA]],tbEtapas[],3,FALSE),"")</f>
        <v/>
      </c>
    </row>
    <row r="3795" spans="1:6" x14ac:dyDescent="0.25">
      <c r="A3795" s="24" t="str">
        <f>_xlfn.XLOOKUP(tbEscolas[[#This Row],[ESCOLA]],tbNucleo[ESCOLA],tbNucleo[COD ESCOLA],"")</f>
        <v/>
      </c>
      <c r="B3795" t="str" cm="1">
        <f t="array" ref="B3795">IFERROR(INDEX(tbNucleo[ESCOLA],ROUNDUP(ROW(B3794)/TotalEtapas,0)),"")</f>
        <v/>
      </c>
      <c r="E3795" t="str">
        <f>IFERROR(VLOOKUP(tbEscolas[[#This Row],[COD ETPA]],tbEtapas[],2,FALSE),"")</f>
        <v/>
      </c>
      <c r="F3795" t="str">
        <f>IFERROR(VLOOKUP(tbEscolas[[#This Row],[COD ETPA]],tbEtapas[],3,FALSE),"")</f>
        <v/>
      </c>
    </row>
    <row r="3796" spans="1:6" x14ac:dyDescent="0.25">
      <c r="A3796" s="24" t="str">
        <f>_xlfn.XLOOKUP(tbEscolas[[#This Row],[ESCOLA]],tbNucleo[ESCOLA],tbNucleo[COD ESCOLA],"")</f>
        <v/>
      </c>
      <c r="B3796" t="str" cm="1">
        <f t="array" ref="B3796">IFERROR(INDEX(tbNucleo[ESCOLA],ROUNDUP(ROW(B3795)/TotalEtapas,0)),"")</f>
        <v/>
      </c>
      <c r="E3796" t="str">
        <f>IFERROR(VLOOKUP(tbEscolas[[#This Row],[COD ETPA]],tbEtapas[],2,FALSE),"")</f>
        <v/>
      </c>
      <c r="F3796" t="str">
        <f>IFERROR(VLOOKUP(tbEscolas[[#This Row],[COD ETPA]],tbEtapas[],3,FALSE),"")</f>
        <v/>
      </c>
    </row>
    <row r="3797" spans="1:6" x14ac:dyDescent="0.25">
      <c r="A3797" s="24" t="str">
        <f>_xlfn.XLOOKUP(tbEscolas[[#This Row],[ESCOLA]],tbNucleo[ESCOLA],tbNucleo[COD ESCOLA],"")</f>
        <v/>
      </c>
      <c r="B3797" t="str" cm="1">
        <f t="array" ref="B3797">IFERROR(INDEX(tbNucleo[ESCOLA],ROUNDUP(ROW(B3796)/TotalEtapas,0)),"")</f>
        <v/>
      </c>
      <c r="E3797" t="str">
        <f>IFERROR(VLOOKUP(tbEscolas[[#This Row],[COD ETPA]],tbEtapas[],2,FALSE),"")</f>
        <v/>
      </c>
      <c r="F3797" t="str">
        <f>IFERROR(VLOOKUP(tbEscolas[[#This Row],[COD ETPA]],tbEtapas[],3,FALSE),"")</f>
        <v/>
      </c>
    </row>
    <row r="3798" spans="1:6" x14ac:dyDescent="0.25">
      <c r="A3798" s="24" t="str">
        <f>_xlfn.XLOOKUP(tbEscolas[[#This Row],[ESCOLA]],tbNucleo[ESCOLA],tbNucleo[COD ESCOLA],"")</f>
        <v/>
      </c>
      <c r="B3798" t="str" cm="1">
        <f t="array" ref="B3798">IFERROR(INDEX(tbNucleo[ESCOLA],ROUNDUP(ROW(B3797)/TotalEtapas,0)),"")</f>
        <v/>
      </c>
      <c r="E3798" t="str">
        <f>IFERROR(VLOOKUP(tbEscolas[[#This Row],[COD ETPA]],tbEtapas[],2,FALSE),"")</f>
        <v/>
      </c>
      <c r="F3798" t="str">
        <f>IFERROR(VLOOKUP(tbEscolas[[#This Row],[COD ETPA]],tbEtapas[],3,FALSE),"")</f>
        <v/>
      </c>
    </row>
    <row r="3799" spans="1:6" x14ac:dyDescent="0.25">
      <c r="A3799" s="24" t="str">
        <f>_xlfn.XLOOKUP(tbEscolas[[#This Row],[ESCOLA]],tbNucleo[ESCOLA],tbNucleo[COD ESCOLA],"")</f>
        <v/>
      </c>
      <c r="B3799" t="str" cm="1">
        <f t="array" ref="B3799">IFERROR(INDEX(tbNucleo[ESCOLA],ROUNDUP(ROW(B3798)/TotalEtapas,0)),"")</f>
        <v/>
      </c>
      <c r="E3799" t="str">
        <f>IFERROR(VLOOKUP(tbEscolas[[#This Row],[COD ETPA]],tbEtapas[],2,FALSE),"")</f>
        <v/>
      </c>
      <c r="F3799" t="str">
        <f>IFERROR(VLOOKUP(tbEscolas[[#This Row],[COD ETPA]],tbEtapas[],3,FALSE),"")</f>
        <v/>
      </c>
    </row>
    <row r="3800" spans="1:6" x14ac:dyDescent="0.25">
      <c r="A3800" s="24" t="str">
        <f>_xlfn.XLOOKUP(tbEscolas[[#This Row],[ESCOLA]],tbNucleo[ESCOLA],tbNucleo[COD ESCOLA],"")</f>
        <v/>
      </c>
      <c r="B3800" t="str" cm="1">
        <f t="array" ref="B3800">IFERROR(INDEX(tbNucleo[ESCOLA],ROUNDUP(ROW(B3799)/TotalEtapas,0)),"")</f>
        <v/>
      </c>
      <c r="E3800" t="str">
        <f>IFERROR(VLOOKUP(tbEscolas[[#This Row],[COD ETPA]],tbEtapas[],2,FALSE),"")</f>
        <v/>
      </c>
      <c r="F3800" t="str">
        <f>IFERROR(VLOOKUP(tbEscolas[[#This Row],[COD ETPA]],tbEtapas[],3,FALSE),"")</f>
        <v/>
      </c>
    </row>
    <row r="3801" spans="1:6" x14ac:dyDescent="0.25">
      <c r="A3801" s="24" t="str">
        <f>_xlfn.XLOOKUP(tbEscolas[[#This Row],[ESCOLA]],tbNucleo[ESCOLA],tbNucleo[COD ESCOLA],"")</f>
        <v/>
      </c>
      <c r="B3801" t="str" cm="1">
        <f t="array" ref="B3801">IFERROR(INDEX(tbNucleo[ESCOLA],ROUNDUP(ROW(B3800)/TotalEtapas,0)),"")</f>
        <v/>
      </c>
      <c r="E3801" t="str">
        <f>IFERROR(VLOOKUP(tbEscolas[[#This Row],[COD ETPA]],tbEtapas[],2,FALSE),"")</f>
        <v/>
      </c>
      <c r="F3801" t="str">
        <f>IFERROR(VLOOKUP(tbEscolas[[#This Row],[COD ETPA]],tbEtapas[],3,FALSE),"")</f>
        <v/>
      </c>
    </row>
    <row r="3802" spans="1:6" x14ac:dyDescent="0.25">
      <c r="A3802" s="24" t="str">
        <f>_xlfn.XLOOKUP(tbEscolas[[#This Row],[ESCOLA]],tbNucleo[ESCOLA],tbNucleo[COD ESCOLA],"")</f>
        <v/>
      </c>
      <c r="B3802" t="str" cm="1">
        <f t="array" ref="B3802">IFERROR(INDEX(tbNucleo[ESCOLA],ROUNDUP(ROW(B3801)/TotalEtapas,0)),"")</f>
        <v/>
      </c>
      <c r="E3802" t="str">
        <f>IFERROR(VLOOKUP(tbEscolas[[#This Row],[COD ETPA]],tbEtapas[],2,FALSE),"")</f>
        <v/>
      </c>
      <c r="F3802" t="str">
        <f>IFERROR(VLOOKUP(tbEscolas[[#This Row],[COD ETPA]],tbEtapas[],3,FALSE),"")</f>
        <v/>
      </c>
    </row>
    <row r="3803" spans="1:6" x14ac:dyDescent="0.25">
      <c r="A3803" s="24" t="str">
        <f>_xlfn.XLOOKUP(tbEscolas[[#This Row],[ESCOLA]],tbNucleo[ESCOLA],tbNucleo[COD ESCOLA],"")</f>
        <v/>
      </c>
      <c r="B3803" t="str" cm="1">
        <f t="array" ref="B3803">IFERROR(INDEX(tbNucleo[ESCOLA],ROUNDUP(ROW(B3802)/TotalEtapas,0)),"")</f>
        <v/>
      </c>
      <c r="E3803" t="str">
        <f>IFERROR(VLOOKUP(tbEscolas[[#This Row],[COD ETPA]],tbEtapas[],2,FALSE),"")</f>
        <v/>
      </c>
      <c r="F3803" t="str">
        <f>IFERROR(VLOOKUP(tbEscolas[[#This Row],[COD ETPA]],tbEtapas[],3,FALSE),"")</f>
        <v/>
      </c>
    </row>
    <row r="3804" spans="1:6" x14ac:dyDescent="0.25">
      <c r="A3804" s="24" t="str">
        <f>_xlfn.XLOOKUP(tbEscolas[[#This Row],[ESCOLA]],tbNucleo[ESCOLA],tbNucleo[COD ESCOLA],"")</f>
        <v/>
      </c>
      <c r="B3804" t="str" cm="1">
        <f t="array" ref="B3804">IFERROR(INDEX(tbNucleo[ESCOLA],ROUNDUP(ROW(B3803)/TotalEtapas,0)),"")</f>
        <v/>
      </c>
      <c r="E3804" t="str">
        <f>IFERROR(VLOOKUP(tbEscolas[[#This Row],[COD ETPA]],tbEtapas[],2,FALSE),"")</f>
        <v/>
      </c>
      <c r="F3804" t="str">
        <f>IFERROR(VLOOKUP(tbEscolas[[#This Row],[COD ETPA]],tbEtapas[],3,FALSE),"")</f>
        <v/>
      </c>
    </row>
    <row r="3805" spans="1:6" x14ac:dyDescent="0.25">
      <c r="A3805" s="24" t="str">
        <f>_xlfn.XLOOKUP(tbEscolas[[#This Row],[ESCOLA]],tbNucleo[ESCOLA],tbNucleo[COD ESCOLA],"")</f>
        <v/>
      </c>
      <c r="B3805" t="str" cm="1">
        <f t="array" ref="B3805">IFERROR(INDEX(tbNucleo[ESCOLA],ROUNDUP(ROW(B3804)/TotalEtapas,0)),"")</f>
        <v/>
      </c>
      <c r="E3805" t="str">
        <f>IFERROR(VLOOKUP(tbEscolas[[#This Row],[COD ETPA]],tbEtapas[],2,FALSE),"")</f>
        <v/>
      </c>
      <c r="F3805" t="str">
        <f>IFERROR(VLOOKUP(tbEscolas[[#This Row],[COD ETPA]],tbEtapas[],3,FALSE),"")</f>
        <v/>
      </c>
    </row>
    <row r="3806" spans="1:6" x14ac:dyDescent="0.25">
      <c r="A3806" s="24" t="str">
        <f>_xlfn.XLOOKUP(tbEscolas[[#This Row],[ESCOLA]],tbNucleo[ESCOLA],tbNucleo[COD ESCOLA],"")</f>
        <v/>
      </c>
      <c r="B3806" t="str" cm="1">
        <f t="array" ref="B3806">IFERROR(INDEX(tbNucleo[ESCOLA],ROUNDUP(ROW(B3805)/TotalEtapas,0)),"")</f>
        <v/>
      </c>
      <c r="E3806" t="str">
        <f>IFERROR(VLOOKUP(tbEscolas[[#This Row],[COD ETPA]],tbEtapas[],2,FALSE),"")</f>
        <v/>
      </c>
      <c r="F3806" t="str">
        <f>IFERROR(VLOOKUP(tbEscolas[[#This Row],[COD ETPA]],tbEtapas[],3,FALSE),"")</f>
        <v/>
      </c>
    </row>
    <row r="3807" spans="1:6" x14ac:dyDescent="0.25">
      <c r="A3807" s="24" t="str">
        <f>_xlfn.XLOOKUP(tbEscolas[[#This Row],[ESCOLA]],tbNucleo[ESCOLA],tbNucleo[COD ESCOLA],"")</f>
        <v/>
      </c>
      <c r="B3807" t="str" cm="1">
        <f t="array" ref="B3807">IFERROR(INDEX(tbNucleo[ESCOLA],ROUNDUP(ROW(B3806)/TotalEtapas,0)),"")</f>
        <v/>
      </c>
      <c r="E3807" t="str">
        <f>IFERROR(VLOOKUP(tbEscolas[[#This Row],[COD ETPA]],tbEtapas[],2,FALSE),"")</f>
        <v/>
      </c>
      <c r="F3807" t="str">
        <f>IFERROR(VLOOKUP(tbEscolas[[#This Row],[COD ETPA]],tbEtapas[],3,FALSE),"")</f>
        <v/>
      </c>
    </row>
    <row r="3808" spans="1:6" x14ac:dyDescent="0.25">
      <c r="A3808" s="24" t="str">
        <f>_xlfn.XLOOKUP(tbEscolas[[#This Row],[ESCOLA]],tbNucleo[ESCOLA],tbNucleo[COD ESCOLA],"")</f>
        <v/>
      </c>
      <c r="B3808" t="str" cm="1">
        <f t="array" ref="B3808">IFERROR(INDEX(tbNucleo[ESCOLA],ROUNDUP(ROW(B3807)/TotalEtapas,0)),"")</f>
        <v/>
      </c>
      <c r="E3808" t="str">
        <f>IFERROR(VLOOKUP(tbEscolas[[#This Row],[COD ETPA]],tbEtapas[],2,FALSE),"")</f>
        <v/>
      </c>
      <c r="F3808" t="str">
        <f>IFERROR(VLOOKUP(tbEscolas[[#This Row],[COD ETPA]],tbEtapas[],3,FALSE),"")</f>
        <v/>
      </c>
    </row>
    <row r="3809" spans="1:6" x14ac:dyDescent="0.25">
      <c r="A3809" s="24" t="str">
        <f>_xlfn.XLOOKUP(tbEscolas[[#This Row],[ESCOLA]],tbNucleo[ESCOLA],tbNucleo[COD ESCOLA],"")</f>
        <v/>
      </c>
      <c r="B3809" t="str" cm="1">
        <f t="array" ref="B3809">IFERROR(INDEX(tbNucleo[ESCOLA],ROUNDUP(ROW(B3808)/TotalEtapas,0)),"")</f>
        <v/>
      </c>
      <c r="E3809" t="str">
        <f>IFERROR(VLOOKUP(tbEscolas[[#This Row],[COD ETPA]],tbEtapas[],2,FALSE),"")</f>
        <v/>
      </c>
      <c r="F3809" t="str">
        <f>IFERROR(VLOOKUP(tbEscolas[[#This Row],[COD ETPA]],tbEtapas[],3,FALSE),"")</f>
        <v/>
      </c>
    </row>
    <row r="3810" spans="1:6" x14ac:dyDescent="0.25">
      <c r="A3810" s="24" t="str">
        <f>_xlfn.XLOOKUP(tbEscolas[[#This Row],[ESCOLA]],tbNucleo[ESCOLA],tbNucleo[COD ESCOLA],"")</f>
        <v/>
      </c>
      <c r="B3810" t="str" cm="1">
        <f t="array" ref="B3810">IFERROR(INDEX(tbNucleo[ESCOLA],ROUNDUP(ROW(B3809)/TotalEtapas,0)),"")</f>
        <v/>
      </c>
      <c r="E3810" t="str">
        <f>IFERROR(VLOOKUP(tbEscolas[[#This Row],[COD ETPA]],tbEtapas[],2,FALSE),"")</f>
        <v/>
      </c>
      <c r="F3810" t="str">
        <f>IFERROR(VLOOKUP(tbEscolas[[#This Row],[COD ETPA]],tbEtapas[],3,FALSE),"")</f>
        <v/>
      </c>
    </row>
    <row r="3811" spans="1:6" x14ac:dyDescent="0.25">
      <c r="A3811" s="24" t="str">
        <f>_xlfn.XLOOKUP(tbEscolas[[#This Row],[ESCOLA]],tbNucleo[ESCOLA],tbNucleo[COD ESCOLA],"")</f>
        <v/>
      </c>
      <c r="B3811" t="str" cm="1">
        <f t="array" ref="B3811">IFERROR(INDEX(tbNucleo[ESCOLA],ROUNDUP(ROW(B3810)/TotalEtapas,0)),"")</f>
        <v/>
      </c>
      <c r="E3811" t="str">
        <f>IFERROR(VLOOKUP(tbEscolas[[#This Row],[COD ETPA]],tbEtapas[],2,FALSE),"")</f>
        <v/>
      </c>
      <c r="F3811" t="str">
        <f>IFERROR(VLOOKUP(tbEscolas[[#This Row],[COD ETPA]],tbEtapas[],3,FALSE),"")</f>
        <v/>
      </c>
    </row>
    <row r="3812" spans="1:6" x14ac:dyDescent="0.25">
      <c r="A3812" s="24" t="str">
        <f>_xlfn.XLOOKUP(tbEscolas[[#This Row],[ESCOLA]],tbNucleo[ESCOLA],tbNucleo[COD ESCOLA],"")</f>
        <v/>
      </c>
      <c r="B3812" t="str" cm="1">
        <f t="array" ref="B3812">IFERROR(INDEX(tbNucleo[ESCOLA],ROUNDUP(ROW(B3811)/TotalEtapas,0)),"")</f>
        <v/>
      </c>
      <c r="E3812" t="str">
        <f>IFERROR(VLOOKUP(tbEscolas[[#This Row],[COD ETPA]],tbEtapas[],2,FALSE),"")</f>
        <v/>
      </c>
      <c r="F3812" t="str">
        <f>IFERROR(VLOOKUP(tbEscolas[[#This Row],[COD ETPA]],tbEtapas[],3,FALSE),"")</f>
        <v/>
      </c>
    </row>
    <row r="3813" spans="1:6" x14ac:dyDescent="0.25">
      <c r="A3813" s="24" t="str">
        <f>_xlfn.XLOOKUP(tbEscolas[[#This Row],[ESCOLA]],tbNucleo[ESCOLA],tbNucleo[COD ESCOLA],"")</f>
        <v/>
      </c>
      <c r="B3813" t="str" cm="1">
        <f t="array" ref="B3813">IFERROR(INDEX(tbNucleo[ESCOLA],ROUNDUP(ROW(B3812)/TotalEtapas,0)),"")</f>
        <v/>
      </c>
      <c r="E3813" t="str">
        <f>IFERROR(VLOOKUP(tbEscolas[[#This Row],[COD ETPA]],tbEtapas[],2,FALSE),"")</f>
        <v/>
      </c>
      <c r="F3813" t="str">
        <f>IFERROR(VLOOKUP(tbEscolas[[#This Row],[COD ETPA]],tbEtapas[],3,FALSE),"")</f>
        <v/>
      </c>
    </row>
    <row r="3814" spans="1:6" x14ac:dyDescent="0.25">
      <c r="A3814" s="24" t="str">
        <f>_xlfn.XLOOKUP(tbEscolas[[#This Row],[ESCOLA]],tbNucleo[ESCOLA],tbNucleo[COD ESCOLA],"")</f>
        <v/>
      </c>
      <c r="B3814" t="str" cm="1">
        <f t="array" ref="B3814">IFERROR(INDEX(tbNucleo[ESCOLA],ROUNDUP(ROW(B3813)/TotalEtapas,0)),"")</f>
        <v/>
      </c>
      <c r="E3814" t="str">
        <f>IFERROR(VLOOKUP(tbEscolas[[#This Row],[COD ETPA]],tbEtapas[],2,FALSE),"")</f>
        <v/>
      </c>
      <c r="F3814" t="str">
        <f>IFERROR(VLOOKUP(tbEscolas[[#This Row],[COD ETPA]],tbEtapas[],3,FALSE),"")</f>
        <v/>
      </c>
    </row>
    <row r="3815" spans="1:6" x14ac:dyDescent="0.25">
      <c r="A3815" s="24" t="str">
        <f>_xlfn.XLOOKUP(tbEscolas[[#This Row],[ESCOLA]],tbNucleo[ESCOLA],tbNucleo[COD ESCOLA],"")</f>
        <v/>
      </c>
      <c r="B3815" t="str" cm="1">
        <f t="array" ref="B3815">IFERROR(INDEX(tbNucleo[ESCOLA],ROUNDUP(ROW(B3814)/TotalEtapas,0)),"")</f>
        <v/>
      </c>
      <c r="E3815" t="str">
        <f>IFERROR(VLOOKUP(tbEscolas[[#This Row],[COD ETPA]],tbEtapas[],2,FALSE),"")</f>
        <v/>
      </c>
      <c r="F3815" t="str">
        <f>IFERROR(VLOOKUP(tbEscolas[[#This Row],[COD ETPA]],tbEtapas[],3,FALSE),"")</f>
        <v/>
      </c>
    </row>
    <row r="3816" spans="1:6" x14ac:dyDescent="0.25">
      <c r="A3816" s="24" t="str">
        <f>_xlfn.XLOOKUP(tbEscolas[[#This Row],[ESCOLA]],tbNucleo[ESCOLA],tbNucleo[COD ESCOLA],"")</f>
        <v/>
      </c>
      <c r="B3816" t="str" cm="1">
        <f t="array" ref="B3816">IFERROR(INDEX(tbNucleo[ESCOLA],ROUNDUP(ROW(B3815)/TotalEtapas,0)),"")</f>
        <v/>
      </c>
      <c r="E3816" t="str">
        <f>IFERROR(VLOOKUP(tbEscolas[[#This Row],[COD ETPA]],tbEtapas[],2,FALSE),"")</f>
        <v/>
      </c>
      <c r="F3816" t="str">
        <f>IFERROR(VLOOKUP(tbEscolas[[#This Row],[COD ETPA]],tbEtapas[],3,FALSE),"")</f>
        <v/>
      </c>
    </row>
    <row r="3817" spans="1:6" x14ac:dyDescent="0.25">
      <c r="A3817" s="24" t="str">
        <f>_xlfn.XLOOKUP(tbEscolas[[#This Row],[ESCOLA]],tbNucleo[ESCOLA],tbNucleo[COD ESCOLA],"")</f>
        <v/>
      </c>
      <c r="B3817" t="str" cm="1">
        <f t="array" ref="B3817">IFERROR(INDEX(tbNucleo[ESCOLA],ROUNDUP(ROW(B3816)/TotalEtapas,0)),"")</f>
        <v/>
      </c>
      <c r="E3817" t="str">
        <f>IFERROR(VLOOKUP(tbEscolas[[#This Row],[COD ETPA]],tbEtapas[],2,FALSE),"")</f>
        <v/>
      </c>
      <c r="F3817" t="str">
        <f>IFERROR(VLOOKUP(tbEscolas[[#This Row],[COD ETPA]],tbEtapas[],3,FALSE),"")</f>
        <v/>
      </c>
    </row>
    <row r="3818" spans="1:6" x14ac:dyDescent="0.25">
      <c r="A3818" s="24" t="str">
        <f>_xlfn.XLOOKUP(tbEscolas[[#This Row],[ESCOLA]],tbNucleo[ESCOLA],tbNucleo[COD ESCOLA],"")</f>
        <v/>
      </c>
      <c r="B3818" t="str" cm="1">
        <f t="array" ref="B3818">IFERROR(INDEX(tbNucleo[ESCOLA],ROUNDUP(ROW(B3817)/TotalEtapas,0)),"")</f>
        <v/>
      </c>
      <c r="E3818" t="str">
        <f>IFERROR(VLOOKUP(tbEscolas[[#This Row],[COD ETPA]],tbEtapas[],2,FALSE),"")</f>
        <v/>
      </c>
      <c r="F3818" t="str">
        <f>IFERROR(VLOOKUP(tbEscolas[[#This Row],[COD ETPA]],tbEtapas[],3,FALSE),"")</f>
        <v/>
      </c>
    </row>
    <row r="3819" spans="1:6" x14ac:dyDescent="0.25">
      <c r="A3819" s="24" t="str">
        <f>_xlfn.XLOOKUP(tbEscolas[[#This Row],[ESCOLA]],tbNucleo[ESCOLA],tbNucleo[COD ESCOLA],"")</f>
        <v/>
      </c>
      <c r="B3819" t="str" cm="1">
        <f t="array" ref="B3819">IFERROR(INDEX(tbNucleo[ESCOLA],ROUNDUP(ROW(B3818)/TotalEtapas,0)),"")</f>
        <v/>
      </c>
      <c r="E3819" t="str">
        <f>IFERROR(VLOOKUP(tbEscolas[[#This Row],[COD ETPA]],tbEtapas[],2,FALSE),"")</f>
        <v/>
      </c>
      <c r="F3819" t="str">
        <f>IFERROR(VLOOKUP(tbEscolas[[#This Row],[COD ETPA]],tbEtapas[],3,FALSE),"")</f>
        <v/>
      </c>
    </row>
    <row r="3820" spans="1:6" x14ac:dyDescent="0.25">
      <c r="A3820" s="24" t="str">
        <f>_xlfn.XLOOKUP(tbEscolas[[#This Row],[ESCOLA]],tbNucleo[ESCOLA],tbNucleo[COD ESCOLA],"")</f>
        <v/>
      </c>
      <c r="B3820" t="str" cm="1">
        <f t="array" ref="B3820">IFERROR(INDEX(tbNucleo[ESCOLA],ROUNDUP(ROW(B3819)/TotalEtapas,0)),"")</f>
        <v/>
      </c>
      <c r="E3820" t="str">
        <f>IFERROR(VLOOKUP(tbEscolas[[#This Row],[COD ETPA]],tbEtapas[],2,FALSE),"")</f>
        <v/>
      </c>
      <c r="F3820" t="str">
        <f>IFERROR(VLOOKUP(tbEscolas[[#This Row],[COD ETPA]],tbEtapas[],3,FALSE),"")</f>
        <v/>
      </c>
    </row>
    <row r="3821" spans="1:6" x14ac:dyDescent="0.25">
      <c r="A3821" s="24" t="str">
        <f>_xlfn.XLOOKUP(tbEscolas[[#This Row],[ESCOLA]],tbNucleo[ESCOLA],tbNucleo[COD ESCOLA],"")</f>
        <v/>
      </c>
      <c r="B3821" t="str" cm="1">
        <f t="array" ref="B3821">IFERROR(INDEX(tbNucleo[ESCOLA],ROUNDUP(ROW(B3820)/TotalEtapas,0)),"")</f>
        <v/>
      </c>
      <c r="E3821" t="str">
        <f>IFERROR(VLOOKUP(tbEscolas[[#This Row],[COD ETPA]],tbEtapas[],2,FALSE),"")</f>
        <v/>
      </c>
      <c r="F3821" t="str">
        <f>IFERROR(VLOOKUP(tbEscolas[[#This Row],[COD ETPA]],tbEtapas[],3,FALSE),"")</f>
        <v/>
      </c>
    </row>
    <row r="3822" spans="1:6" x14ac:dyDescent="0.25">
      <c r="A3822" s="24" t="str">
        <f>_xlfn.XLOOKUP(tbEscolas[[#This Row],[ESCOLA]],tbNucleo[ESCOLA],tbNucleo[COD ESCOLA],"")</f>
        <v/>
      </c>
      <c r="B3822" t="str" cm="1">
        <f t="array" ref="B3822">IFERROR(INDEX(tbNucleo[ESCOLA],ROUNDUP(ROW(B3821)/TotalEtapas,0)),"")</f>
        <v/>
      </c>
      <c r="E3822" t="str">
        <f>IFERROR(VLOOKUP(tbEscolas[[#This Row],[COD ETPA]],tbEtapas[],2,FALSE),"")</f>
        <v/>
      </c>
      <c r="F3822" t="str">
        <f>IFERROR(VLOOKUP(tbEscolas[[#This Row],[COD ETPA]],tbEtapas[],3,FALSE),"")</f>
        <v/>
      </c>
    </row>
    <row r="3823" spans="1:6" x14ac:dyDescent="0.25">
      <c r="A3823" s="24" t="str">
        <f>_xlfn.XLOOKUP(tbEscolas[[#This Row],[ESCOLA]],tbNucleo[ESCOLA],tbNucleo[COD ESCOLA],"")</f>
        <v/>
      </c>
      <c r="B3823" t="str" cm="1">
        <f t="array" ref="B3823">IFERROR(INDEX(tbNucleo[ESCOLA],ROUNDUP(ROW(B3822)/TotalEtapas,0)),"")</f>
        <v/>
      </c>
      <c r="E3823" t="str">
        <f>IFERROR(VLOOKUP(tbEscolas[[#This Row],[COD ETPA]],tbEtapas[],2,FALSE),"")</f>
        <v/>
      </c>
      <c r="F3823" t="str">
        <f>IFERROR(VLOOKUP(tbEscolas[[#This Row],[COD ETPA]],tbEtapas[],3,FALSE),"")</f>
        <v/>
      </c>
    </row>
    <row r="3824" spans="1:6" x14ac:dyDescent="0.25">
      <c r="A3824" s="24" t="str">
        <f>_xlfn.XLOOKUP(tbEscolas[[#This Row],[ESCOLA]],tbNucleo[ESCOLA],tbNucleo[COD ESCOLA],"")</f>
        <v/>
      </c>
      <c r="B3824" t="str" cm="1">
        <f t="array" ref="B3824">IFERROR(INDEX(tbNucleo[ESCOLA],ROUNDUP(ROW(B3823)/TotalEtapas,0)),"")</f>
        <v/>
      </c>
      <c r="E3824" t="str">
        <f>IFERROR(VLOOKUP(tbEscolas[[#This Row],[COD ETPA]],tbEtapas[],2,FALSE),"")</f>
        <v/>
      </c>
      <c r="F3824" t="str">
        <f>IFERROR(VLOOKUP(tbEscolas[[#This Row],[COD ETPA]],tbEtapas[],3,FALSE),"")</f>
        <v/>
      </c>
    </row>
    <row r="3825" spans="1:6" x14ac:dyDescent="0.25">
      <c r="A3825" s="24" t="str">
        <f>_xlfn.XLOOKUP(tbEscolas[[#This Row],[ESCOLA]],tbNucleo[ESCOLA],tbNucleo[COD ESCOLA],"")</f>
        <v/>
      </c>
      <c r="B3825" t="str" cm="1">
        <f t="array" ref="B3825">IFERROR(INDEX(tbNucleo[ESCOLA],ROUNDUP(ROW(B3824)/TotalEtapas,0)),"")</f>
        <v/>
      </c>
      <c r="E3825" t="str">
        <f>IFERROR(VLOOKUP(tbEscolas[[#This Row],[COD ETPA]],tbEtapas[],2,FALSE),"")</f>
        <v/>
      </c>
      <c r="F3825" t="str">
        <f>IFERROR(VLOOKUP(tbEscolas[[#This Row],[COD ETPA]],tbEtapas[],3,FALSE),"")</f>
        <v/>
      </c>
    </row>
    <row r="3826" spans="1:6" x14ac:dyDescent="0.25">
      <c r="A3826" s="24" t="str">
        <f>_xlfn.XLOOKUP(tbEscolas[[#This Row],[ESCOLA]],tbNucleo[ESCOLA],tbNucleo[COD ESCOLA],"")</f>
        <v/>
      </c>
      <c r="B3826" t="str" cm="1">
        <f t="array" ref="B3826">IFERROR(INDEX(tbNucleo[ESCOLA],ROUNDUP(ROW(B3825)/TotalEtapas,0)),"")</f>
        <v/>
      </c>
      <c r="E3826" t="str">
        <f>IFERROR(VLOOKUP(tbEscolas[[#This Row],[COD ETPA]],tbEtapas[],2,FALSE),"")</f>
        <v/>
      </c>
      <c r="F3826" t="str">
        <f>IFERROR(VLOOKUP(tbEscolas[[#This Row],[COD ETPA]],tbEtapas[],3,FALSE),"")</f>
        <v/>
      </c>
    </row>
    <row r="3827" spans="1:6" x14ac:dyDescent="0.25">
      <c r="A3827" s="24" t="str">
        <f>_xlfn.XLOOKUP(tbEscolas[[#This Row],[ESCOLA]],tbNucleo[ESCOLA],tbNucleo[COD ESCOLA],"")</f>
        <v/>
      </c>
      <c r="B3827" t="str" cm="1">
        <f t="array" ref="B3827">IFERROR(INDEX(tbNucleo[ESCOLA],ROUNDUP(ROW(B3826)/TotalEtapas,0)),"")</f>
        <v/>
      </c>
      <c r="E3827" t="str">
        <f>IFERROR(VLOOKUP(tbEscolas[[#This Row],[COD ETPA]],tbEtapas[],2,FALSE),"")</f>
        <v/>
      </c>
      <c r="F3827" t="str">
        <f>IFERROR(VLOOKUP(tbEscolas[[#This Row],[COD ETPA]],tbEtapas[],3,FALSE),"")</f>
        <v/>
      </c>
    </row>
    <row r="3828" spans="1:6" x14ac:dyDescent="0.25">
      <c r="A3828" s="24" t="str">
        <f>_xlfn.XLOOKUP(tbEscolas[[#This Row],[ESCOLA]],tbNucleo[ESCOLA],tbNucleo[COD ESCOLA],"")</f>
        <v/>
      </c>
      <c r="B3828" t="str" cm="1">
        <f t="array" ref="B3828">IFERROR(INDEX(tbNucleo[ESCOLA],ROUNDUP(ROW(B3827)/TotalEtapas,0)),"")</f>
        <v/>
      </c>
      <c r="E3828" t="str">
        <f>IFERROR(VLOOKUP(tbEscolas[[#This Row],[COD ETPA]],tbEtapas[],2,FALSE),"")</f>
        <v/>
      </c>
      <c r="F3828" t="str">
        <f>IFERROR(VLOOKUP(tbEscolas[[#This Row],[COD ETPA]],tbEtapas[],3,FALSE),"")</f>
        <v/>
      </c>
    </row>
    <row r="3829" spans="1:6" x14ac:dyDescent="0.25">
      <c r="A3829" s="24" t="str">
        <f>_xlfn.XLOOKUP(tbEscolas[[#This Row],[ESCOLA]],tbNucleo[ESCOLA],tbNucleo[COD ESCOLA],"")</f>
        <v/>
      </c>
      <c r="B3829" t="str" cm="1">
        <f t="array" ref="B3829">IFERROR(INDEX(tbNucleo[ESCOLA],ROUNDUP(ROW(B3828)/TotalEtapas,0)),"")</f>
        <v/>
      </c>
      <c r="E3829" t="str">
        <f>IFERROR(VLOOKUP(tbEscolas[[#This Row],[COD ETPA]],tbEtapas[],2,FALSE),"")</f>
        <v/>
      </c>
      <c r="F3829" t="str">
        <f>IFERROR(VLOOKUP(tbEscolas[[#This Row],[COD ETPA]],tbEtapas[],3,FALSE),"")</f>
        <v/>
      </c>
    </row>
    <row r="3830" spans="1:6" x14ac:dyDescent="0.25">
      <c r="A3830" s="24" t="str">
        <f>_xlfn.XLOOKUP(tbEscolas[[#This Row],[ESCOLA]],tbNucleo[ESCOLA],tbNucleo[COD ESCOLA],"")</f>
        <v/>
      </c>
      <c r="B3830" t="str" cm="1">
        <f t="array" ref="B3830">IFERROR(INDEX(tbNucleo[ESCOLA],ROUNDUP(ROW(B3829)/TotalEtapas,0)),"")</f>
        <v/>
      </c>
      <c r="E3830" t="str">
        <f>IFERROR(VLOOKUP(tbEscolas[[#This Row],[COD ETPA]],tbEtapas[],2,FALSE),"")</f>
        <v/>
      </c>
      <c r="F3830" t="str">
        <f>IFERROR(VLOOKUP(tbEscolas[[#This Row],[COD ETPA]],tbEtapas[],3,FALSE),"")</f>
        <v/>
      </c>
    </row>
    <row r="3831" spans="1:6" x14ac:dyDescent="0.25">
      <c r="A3831" s="24" t="str">
        <f>_xlfn.XLOOKUP(tbEscolas[[#This Row],[ESCOLA]],tbNucleo[ESCOLA],tbNucleo[COD ESCOLA],"")</f>
        <v/>
      </c>
      <c r="B3831" t="str" cm="1">
        <f t="array" ref="B3831">IFERROR(INDEX(tbNucleo[ESCOLA],ROUNDUP(ROW(B3830)/TotalEtapas,0)),"")</f>
        <v/>
      </c>
      <c r="E3831" t="str">
        <f>IFERROR(VLOOKUP(tbEscolas[[#This Row],[COD ETPA]],tbEtapas[],2,FALSE),"")</f>
        <v/>
      </c>
      <c r="F3831" t="str">
        <f>IFERROR(VLOOKUP(tbEscolas[[#This Row],[COD ETPA]],tbEtapas[],3,FALSE),"")</f>
        <v/>
      </c>
    </row>
    <row r="3832" spans="1:6" x14ac:dyDescent="0.25">
      <c r="A3832" s="24" t="str">
        <f>_xlfn.XLOOKUP(tbEscolas[[#This Row],[ESCOLA]],tbNucleo[ESCOLA],tbNucleo[COD ESCOLA],"")</f>
        <v/>
      </c>
      <c r="B3832" t="str" cm="1">
        <f t="array" ref="B3832">IFERROR(INDEX(tbNucleo[ESCOLA],ROUNDUP(ROW(B3831)/TotalEtapas,0)),"")</f>
        <v/>
      </c>
      <c r="E3832" t="str">
        <f>IFERROR(VLOOKUP(tbEscolas[[#This Row],[COD ETPA]],tbEtapas[],2,FALSE),"")</f>
        <v/>
      </c>
      <c r="F3832" t="str">
        <f>IFERROR(VLOOKUP(tbEscolas[[#This Row],[COD ETPA]],tbEtapas[],3,FALSE),"")</f>
        <v/>
      </c>
    </row>
    <row r="3833" spans="1:6" x14ac:dyDescent="0.25">
      <c r="A3833" s="24" t="str">
        <f>_xlfn.XLOOKUP(tbEscolas[[#This Row],[ESCOLA]],tbNucleo[ESCOLA],tbNucleo[COD ESCOLA],"")</f>
        <v/>
      </c>
      <c r="B3833" t="str" cm="1">
        <f t="array" ref="B3833">IFERROR(INDEX(tbNucleo[ESCOLA],ROUNDUP(ROW(B3832)/TotalEtapas,0)),"")</f>
        <v/>
      </c>
      <c r="E3833" t="str">
        <f>IFERROR(VLOOKUP(tbEscolas[[#This Row],[COD ETPA]],tbEtapas[],2,FALSE),"")</f>
        <v/>
      </c>
      <c r="F3833" t="str">
        <f>IFERROR(VLOOKUP(tbEscolas[[#This Row],[COD ETPA]],tbEtapas[],3,FALSE),"")</f>
        <v/>
      </c>
    </row>
    <row r="3834" spans="1:6" x14ac:dyDescent="0.25">
      <c r="A3834" s="24" t="str">
        <f>_xlfn.XLOOKUP(tbEscolas[[#This Row],[ESCOLA]],tbNucleo[ESCOLA],tbNucleo[COD ESCOLA],"")</f>
        <v/>
      </c>
      <c r="B3834" t="str" cm="1">
        <f t="array" ref="B3834">IFERROR(INDEX(tbNucleo[ESCOLA],ROUNDUP(ROW(B3833)/TotalEtapas,0)),"")</f>
        <v/>
      </c>
      <c r="E3834" t="str">
        <f>IFERROR(VLOOKUP(tbEscolas[[#This Row],[COD ETPA]],tbEtapas[],2,FALSE),"")</f>
        <v/>
      </c>
      <c r="F3834" t="str">
        <f>IFERROR(VLOOKUP(tbEscolas[[#This Row],[COD ETPA]],tbEtapas[],3,FALSE),"")</f>
        <v/>
      </c>
    </row>
    <row r="3835" spans="1:6" x14ac:dyDescent="0.25">
      <c r="A3835" s="24" t="str">
        <f>_xlfn.XLOOKUP(tbEscolas[[#This Row],[ESCOLA]],tbNucleo[ESCOLA],tbNucleo[COD ESCOLA],"")</f>
        <v/>
      </c>
      <c r="B3835" t="str" cm="1">
        <f t="array" ref="B3835">IFERROR(INDEX(tbNucleo[ESCOLA],ROUNDUP(ROW(B3834)/TotalEtapas,0)),"")</f>
        <v/>
      </c>
      <c r="E3835" t="str">
        <f>IFERROR(VLOOKUP(tbEscolas[[#This Row],[COD ETPA]],tbEtapas[],2,FALSE),"")</f>
        <v/>
      </c>
      <c r="F3835" t="str">
        <f>IFERROR(VLOOKUP(tbEscolas[[#This Row],[COD ETPA]],tbEtapas[],3,FALSE),"")</f>
        <v/>
      </c>
    </row>
    <row r="3836" spans="1:6" x14ac:dyDescent="0.25">
      <c r="A3836" s="24" t="str">
        <f>_xlfn.XLOOKUP(tbEscolas[[#This Row],[ESCOLA]],tbNucleo[ESCOLA],tbNucleo[COD ESCOLA],"")</f>
        <v/>
      </c>
      <c r="B3836" t="str" cm="1">
        <f t="array" ref="B3836">IFERROR(INDEX(tbNucleo[ESCOLA],ROUNDUP(ROW(B3835)/TotalEtapas,0)),"")</f>
        <v/>
      </c>
      <c r="E3836" t="str">
        <f>IFERROR(VLOOKUP(tbEscolas[[#This Row],[COD ETPA]],tbEtapas[],2,FALSE),"")</f>
        <v/>
      </c>
      <c r="F3836" t="str">
        <f>IFERROR(VLOOKUP(tbEscolas[[#This Row],[COD ETPA]],tbEtapas[],3,FALSE),"")</f>
        <v/>
      </c>
    </row>
    <row r="3837" spans="1:6" x14ac:dyDescent="0.25">
      <c r="A3837" s="24" t="str">
        <f>_xlfn.XLOOKUP(tbEscolas[[#This Row],[ESCOLA]],tbNucleo[ESCOLA],tbNucleo[COD ESCOLA],"")</f>
        <v/>
      </c>
      <c r="B3837" t="str" cm="1">
        <f t="array" ref="B3837">IFERROR(INDEX(tbNucleo[ESCOLA],ROUNDUP(ROW(B3836)/TotalEtapas,0)),"")</f>
        <v/>
      </c>
      <c r="E3837" t="str">
        <f>IFERROR(VLOOKUP(tbEscolas[[#This Row],[COD ETPA]],tbEtapas[],2,FALSE),"")</f>
        <v/>
      </c>
      <c r="F3837" t="str">
        <f>IFERROR(VLOOKUP(tbEscolas[[#This Row],[COD ETPA]],tbEtapas[],3,FALSE),"")</f>
        <v/>
      </c>
    </row>
    <row r="3838" spans="1:6" x14ac:dyDescent="0.25">
      <c r="A3838" s="24" t="str">
        <f>_xlfn.XLOOKUP(tbEscolas[[#This Row],[ESCOLA]],tbNucleo[ESCOLA],tbNucleo[COD ESCOLA],"")</f>
        <v/>
      </c>
      <c r="B3838" t="str" cm="1">
        <f t="array" ref="B3838">IFERROR(INDEX(tbNucleo[ESCOLA],ROUNDUP(ROW(B3837)/TotalEtapas,0)),"")</f>
        <v/>
      </c>
      <c r="E3838" t="str">
        <f>IFERROR(VLOOKUP(tbEscolas[[#This Row],[COD ETPA]],tbEtapas[],2,FALSE),"")</f>
        <v/>
      </c>
      <c r="F3838" t="str">
        <f>IFERROR(VLOOKUP(tbEscolas[[#This Row],[COD ETPA]],tbEtapas[],3,FALSE),"")</f>
        <v/>
      </c>
    </row>
    <row r="3839" spans="1:6" x14ac:dyDescent="0.25">
      <c r="A3839" s="24" t="str">
        <f>_xlfn.XLOOKUP(tbEscolas[[#This Row],[ESCOLA]],tbNucleo[ESCOLA],tbNucleo[COD ESCOLA],"")</f>
        <v/>
      </c>
      <c r="B3839" t="str" cm="1">
        <f t="array" ref="B3839">IFERROR(INDEX(tbNucleo[ESCOLA],ROUNDUP(ROW(B3838)/TotalEtapas,0)),"")</f>
        <v/>
      </c>
      <c r="E3839" t="str">
        <f>IFERROR(VLOOKUP(tbEscolas[[#This Row],[COD ETPA]],tbEtapas[],2,FALSE),"")</f>
        <v/>
      </c>
      <c r="F3839" t="str">
        <f>IFERROR(VLOOKUP(tbEscolas[[#This Row],[COD ETPA]],tbEtapas[],3,FALSE),"")</f>
        <v/>
      </c>
    </row>
    <row r="3840" spans="1:6" x14ac:dyDescent="0.25">
      <c r="A3840" s="24" t="str">
        <f>_xlfn.XLOOKUP(tbEscolas[[#This Row],[ESCOLA]],tbNucleo[ESCOLA],tbNucleo[COD ESCOLA],"")</f>
        <v/>
      </c>
      <c r="B3840" t="str" cm="1">
        <f t="array" ref="B3840">IFERROR(INDEX(tbNucleo[ESCOLA],ROUNDUP(ROW(B3839)/TotalEtapas,0)),"")</f>
        <v/>
      </c>
      <c r="E3840" t="str">
        <f>IFERROR(VLOOKUP(tbEscolas[[#This Row],[COD ETPA]],tbEtapas[],2,FALSE),"")</f>
        <v/>
      </c>
      <c r="F3840" t="str">
        <f>IFERROR(VLOOKUP(tbEscolas[[#This Row],[COD ETPA]],tbEtapas[],3,FALSE),"")</f>
        <v/>
      </c>
    </row>
    <row r="3841" spans="1:6" x14ac:dyDescent="0.25">
      <c r="A3841" s="24" t="str">
        <f>_xlfn.XLOOKUP(tbEscolas[[#This Row],[ESCOLA]],tbNucleo[ESCOLA],tbNucleo[COD ESCOLA],"")</f>
        <v/>
      </c>
      <c r="B3841" t="str" cm="1">
        <f t="array" ref="B3841">IFERROR(INDEX(tbNucleo[ESCOLA],ROUNDUP(ROW(B3840)/TotalEtapas,0)),"")</f>
        <v/>
      </c>
      <c r="E3841" t="str">
        <f>IFERROR(VLOOKUP(tbEscolas[[#This Row],[COD ETPA]],tbEtapas[],2,FALSE),"")</f>
        <v/>
      </c>
      <c r="F3841" t="str">
        <f>IFERROR(VLOOKUP(tbEscolas[[#This Row],[COD ETPA]],tbEtapas[],3,FALSE),"")</f>
        <v/>
      </c>
    </row>
    <row r="3842" spans="1:6" x14ac:dyDescent="0.25">
      <c r="A3842" s="24" t="str">
        <f>_xlfn.XLOOKUP(tbEscolas[[#This Row],[ESCOLA]],tbNucleo[ESCOLA],tbNucleo[COD ESCOLA],"")</f>
        <v/>
      </c>
      <c r="B3842" t="str" cm="1">
        <f t="array" ref="B3842">IFERROR(INDEX(tbNucleo[ESCOLA],ROUNDUP(ROW(B3841)/TotalEtapas,0)),"")</f>
        <v/>
      </c>
      <c r="E3842" t="str">
        <f>IFERROR(VLOOKUP(tbEscolas[[#This Row],[COD ETPA]],tbEtapas[],2,FALSE),"")</f>
        <v/>
      </c>
      <c r="F3842" t="str">
        <f>IFERROR(VLOOKUP(tbEscolas[[#This Row],[COD ETPA]],tbEtapas[],3,FALSE),"")</f>
        <v/>
      </c>
    </row>
    <row r="3843" spans="1:6" x14ac:dyDescent="0.25">
      <c r="A3843" s="24" t="str">
        <f>_xlfn.XLOOKUP(tbEscolas[[#This Row],[ESCOLA]],tbNucleo[ESCOLA],tbNucleo[COD ESCOLA],"")</f>
        <v/>
      </c>
      <c r="B3843" t="str" cm="1">
        <f t="array" ref="B3843">IFERROR(INDEX(tbNucleo[ESCOLA],ROUNDUP(ROW(B3842)/TotalEtapas,0)),"")</f>
        <v/>
      </c>
      <c r="E3843" t="str">
        <f>IFERROR(VLOOKUP(tbEscolas[[#This Row],[COD ETPA]],tbEtapas[],2,FALSE),"")</f>
        <v/>
      </c>
      <c r="F3843" t="str">
        <f>IFERROR(VLOOKUP(tbEscolas[[#This Row],[COD ETPA]],tbEtapas[],3,FALSE),"")</f>
        <v/>
      </c>
    </row>
    <row r="3844" spans="1:6" x14ac:dyDescent="0.25">
      <c r="A3844" s="24" t="str">
        <f>_xlfn.XLOOKUP(tbEscolas[[#This Row],[ESCOLA]],tbNucleo[ESCOLA],tbNucleo[COD ESCOLA],"")</f>
        <v/>
      </c>
      <c r="B3844" t="str" cm="1">
        <f t="array" ref="B3844">IFERROR(INDEX(tbNucleo[ESCOLA],ROUNDUP(ROW(B3843)/TotalEtapas,0)),"")</f>
        <v/>
      </c>
      <c r="E3844" t="str">
        <f>IFERROR(VLOOKUP(tbEscolas[[#This Row],[COD ETPA]],tbEtapas[],2,FALSE),"")</f>
        <v/>
      </c>
      <c r="F3844" t="str">
        <f>IFERROR(VLOOKUP(tbEscolas[[#This Row],[COD ETPA]],tbEtapas[],3,FALSE),"")</f>
        <v/>
      </c>
    </row>
    <row r="3845" spans="1:6" x14ac:dyDescent="0.25">
      <c r="A3845" s="24" t="str">
        <f>_xlfn.XLOOKUP(tbEscolas[[#This Row],[ESCOLA]],tbNucleo[ESCOLA],tbNucleo[COD ESCOLA],"")</f>
        <v/>
      </c>
      <c r="B3845" t="str" cm="1">
        <f t="array" ref="B3845">IFERROR(INDEX(tbNucleo[ESCOLA],ROUNDUP(ROW(B3844)/TotalEtapas,0)),"")</f>
        <v/>
      </c>
      <c r="E3845" t="str">
        <f>IFERROR(VLOOKUP(tbEscolas[[#This Row],[COD ETPA]],tbEtapas[],2,FALSE),"")</f>
        <v/>
      </c>
      <c r="F3845" t="str">
        <f>IFERROR(VLOOKUP(tbEscolas[[#This Row],[COD ETPA]],tbEtapas[],3,FALSE),"")</f>
        <v/>
      </c>
    </row>
    <row r="3846" spans="1:6" x14ac:dyDescent="0.25">
      <c r="A3846" s="24" t="str">
        <f>_xlfn.XLOOKUP(tbEscolas[[#This Row],[ESCOLA]],tbNucleo[ESCOLA],tbNucleo[COD ESCOLA],"")</f>
        <v/>
      </c>
      <c r="B3846" t="str" cm="1">
        <f t="array" ref="B3846">IFERROR(INDEX(tbNucleo[ESCOLA],ROUNDUP(ROW(B3845)/TotalEtapas,0)),"")</f>
        <v/>
      </c>
      <c r="E3846" t="str">
        <f>IFERROR(VLOOKUP(tbEscolas[[#This Row],[COD ETPA]],tbEtapas[],2,FALSE),"")</f>
        <v/>
      </c>
      <c r="F3846" t="str">
        <f>IFERROR(VLOOKUP(tbEscolas[[#This Row],[COD ETPA]],tbEtapas[],3,FALSE),"")</f>
        <v/>
      </c>
    </row>
    <row r="3847" spans="1:6" x14ac:dyDescent="0.25">
      <c r="A3847" s="24" t="str">
        <f>_xlfn.XLOOKUP(tbEscolas[[#This Row],[ESCOLA]],tbNucleo[ESCOLA],tbNucleo[COD ESCOLA],"")</f>
        <v/>
      </c>
      <c r="B3847" t="str" cm="1">
        <f t="array" ref="B3847">IFERROR(INDEX(tbNucleo[ESCOLA],ROUNDUP(ROW(B3846)/TotalEtapas,0)),"")</f>
        <v/>
      </c>
      <c r="E3847" t="str">
        <f>IFERROR(VLOOKUP(tbEscolas[[#This Row],[COD ETPA]],tbEtapas[],2,FALSE),"")</f>
        <v/>
      </c>
      <c r="F3847" t="str">
        <f>IFERROR(VLOOKUP(tbEscolas[[#This Row],[COD ETPA]],tbEtapas[],3,FALSE),"")</f>
        <v/>
      </c>
    </row>
    <row r="3848" spans="1:6" x14ac:dyDescent="0.25">
      <c r="A3848" s="24" t="str">
        <f>_xlfn.XLOOKUP(tbEscolas[[#This Row],[ESCOLA]],tbNucleo[ESCOLA],tbNucleo[COD ESCOLA],"")</f>
        <v/>
      </c>
      <c r="B3848" t="str" cm="1">
        <f t="array" ref="B3848">IFERROR(INDEX(tbNucleo[ESCOLA],ROUNDUP(ROW(B3847)/TotalEtapas,0)),"")</f>
        <v/>
      </c>
      <c r="E3848" t="str">
        <f>IFERROR(VLOOKUP(tbEscolas[[#This Row],[COD ETPA]],tbEtapas[],2,FALSE),"")</f>
        <v/>
      </c>
      <c r="F3848" t="str">
        <f>IFERROR(VLOOKUP(tbEscolas[[#This Row],[COD ETPA]],tbEtapas[],3,FALSE),"")</f>
        <v/>
      </c>
    </row>
    <row r="3849" spans="1:6" x14ac:dyDescent="0.25">
      <c r="A3849" s="24" t="str">
        <f>_xlfn.XLOOKUP(tbEscolas[[#This Row],[ESCOLA]],tbNucleo[ESCOLA],tbNucleo[COD ESCOLA],"")</f>
        <v/>
      </c>
      <c r="B3849" t="str" cm="1">
        <f t="array" ref="B3849">IFERROR(INDEX(tbNucleo[ESCOLA],ROUNDUP(ROW(B3848)/TotalEtapas,0)),"")</f>
        <v/>
      </c>
      <c r="E3849" t="str">
        <f>IFERROR(VLOOKUP(tbEscolas[[#This Row],[COD ETPA]],tbEtapas[],2,FALSE),"")</f>
        <v/>
      </c>
      <c r="F3849" t="str">
        <f>IFERROR(VLOOKUP(tbEscolas[[#This Row],[COD ETPA]],tbEtapas[],3,FALSE),"")</f>
        <v/>
      </c>
    </row>
    <row r="3850" spans="1:6" x14ac:dyDescent="0.25">
      <c r="A3850" s="24" t="str">
        <f>_xlfn.XLOOKUP(tbEscolas[[#This Row],[ESCOLA]],tbNucleo[ESCOLA],tbNucleo[COD ESCOLA],"")</f>
        <v/>
      </c>
      <c r="B3850" t="str" cm="1">
        <f t="array" ref="B3850">IFERROR(INDEX(tbNucleo[ESCOLA],ROUNDUP(ROW(B3849)/TotalEtapas,0)),"")</f>
        <v/>
      </c>
      <c r="E3850" t="str">
        <f>IFERROR(VLOOKUP(tbEscolas[[#This Row],[COD ETPA]],tbEtapas[],2,FALSE),"")</f>
        <v/>
      </c>
      <c r="F3850" t="str">
        <f>IFERROR(VLOOKUP(tbEscolas[[#This Row],[COD ETPA]],tbEtapas[],3,FALSE),"")</f>
        <v/>
      </c>
    </row>
    <row r="3851" spans="1:6" x14ac:dyDescent="0.25">
      <c r="A3851" s="24" t="str">
        <f>_xlfn.XLOOKUP(tbEscolas[[#This Row],[ESCOLA]],tbNucleo[ESCOLA],tbNucleo[COD ESCOLA],"")</f>
        <v/>
      </c>
      <c r="B3851" t="str" cm="1">
        <f t="array" ref="B3851">IFERROR(INDEX(tbNucleo[ESCOLA],ROUNDUP(ROW(B3850)/TotalEtapas,0)),"")</f>
        <v/>
      </c>
      <c r="E3851" t="str">
        <f>IFERROR(VLOOKUP(tbEscolas[[#This Row],[COD ETPA]],tbEtapas[],2,FALSE),"")</f>
        <v/>
      </c>
      <c r="F3851" t="str">
        <f>IFERROR(VLOOKUP(tbEscolas[[#This Row],[COD ETPA]],tbEtapas[],3,FALSE),"")</f>
        <v/>
      </c>
    </row>
    <row r="3852" spans="1:6" x14ac:dyDescent="0.25">
      <c r="A3852" s="24" t="str">
        <f>_xlfn.XLOOKUP(tbEscolas[[#This Row],[ESCOLA]],tbNucleo[ESCOLA],tbNucleo[COD ESCOLA],"")</f>
        <v/>
      </c>
      <c r="B3852" t="str" cm="1">
        <f t="array" ref="B3852">IFERROR(INDEX(tbNucleo[ESCOLA],ROUNDUP(ROW(B3851)/TotalEtapas,0)),"")</f>
        <v/>
      </c>
      <c r="E3852" t="str">
        <f>IFERROR(VLOOKUP(tbEscolas[[#This Row],[COD ETPA]],tbEtapas[],2,FALSE),"")</f>
        <v/>
      </c>
      <c r="F3852" t="str">
        <f>IFERROR(VLOOKUP(tbEscolas[[#This Row],[COD ETPA]],tbEtapas[],3,FALSE),"")</f>
        <v/>
      </c>
    </row>
    <row r="3853" spans="1:6" x14ac:dyDescent="0.25">
      <c r="A3853" s="24" t="str">
        <f>_xlfn.XLOOKUP(tbEscolas[[#This Row],[ESCOLA]],tbNucleo[ESCOLA],tbNucleo[COD ESCOLA],"")</f>
        <v/>
      </c>
      <c r="B3853" t="str" cm="1">
        <f t="array" ref="B3853">IFERROR(INDEX(tbNucleo[ESCOLA],ROUNDUP(ROW(B3852)/TotalEtapas,0)),"")</f>
        <v/>
      </c>
      <c r="E3853" t="str">
        <f>IFERROR(VLOOKUP(tbEscolas[[#This Row],[COD ETPA]],tbEtapas[],2,FALSE),"")</f>
        <v/>
      </c>
      <c r="F3853" t="str">
        <f>IFERROR(VLOOKUP(tbEscolas[[#This Row],[COD ETPA]],tbEtapas[],3,FALSE),"")</f>
        <v/>
      </c>
    </row>
    <row r="3854" spans="1:6" x14ac:dyDescent="0.25">
      <c r="A3854" s="24" t="str">
        <f>_xlfn.XLOOKUP(tbEscolas[[#This Row],[ESCOLA]],tbNucleo[ESCOLA],tbNucleo[COD ESCOLA],"")</f>
        <v/>
      </c>
      <c r="B3854" t="str" cm="1">
        <f t="array" ref="B3854">IFERROR(INDEX(tbNucleo[ESCOLA],ROUNDUP(ROW(B3853)/TotalEtapas,0)),"")</f>
        <v/>
      </c>
      <c r="E3854" t="str">
        <f>IFERROR(VLOOKUP(tbEscolas[[#This Row],[COD ETPA]],tbEtapas[],2,FALSE),"")</f>
        <v/>
      </c>
      <c r="F3854" t="str">
        <f>IFERROR(VLOOKUP(tbEscolas[[#This Row],[COD ETPA]],tbEtapas[],3,FALSE),"")</f>
        <v/>
      </c>
    </row>
    <row r="3855" spans="1:6" x14ac:dyDescent="0.25">
      <c r="A3855" s="24" t="str">
        <f>_xlfn.XLOOKUP(tbEscolas[[#This Row],[ESCOLA]],tbNucleo[ESCOLA],tbNucleo[COD ESCOLA],"")</f>
        <v/>
      </c>
      <c r="B3855" t="str" cm="1">
        <f t="array" ref="B3855">IFERROR(INDEX(tbNucleo[ESCOLA],ROUNDUP(ROW(B3854)/TotalEtapas,0)),"")</f>
        <v/>
      </c>
      <c r="E3855" t="str">
        <f>IFERROR(VLOOKUP(tbEscolas[[#This Row],[COD ETPA]],tbEtapas[],2,FALSE),"")</f>
        <v/>
      </c>
      <c r="F3855" t="str">
        <f>IFERROR(VLOOKUP(tbEscolas[[#This Row],[COD ETPA]],tbEtapas[],3,FALSE),"")</f>
        <v/>
      </c>
    </row>
    <row r="3856" spans="1:6" x14ac:dyDescent="0.25">
      <c r="A3856" s="24" t="str">
        <f>_xlfn.XLOOKUP(tbEscolas[[#This Row],[ESCOLA]],tbNucleo[ESCOLA],tbNucleo[COD ESCOLA],"")</f>
        <v/>
      </c>
      <c r="B3856" t="str" cm="1">
        <f t="array" ref="B3856">IFERROR(INDEX(tbNucleo[ESCOLA],ROUNDUP(ROW(B3855)/TotalEtapas,0)),"")</f>
        <v/>
      </c>
      <c r="E3856" t="str">
        <f>IFERROR(VLOOKUP(tbEscolas[[#This Row],[COD ETPA]],tbEtapas[],2,FALSE),"")</f>
        <v/>
      </c>
      <c r="F3856" t="str">
        <f>IFERROR(VLOOKUP(tbEscolas[[#This Row],[COD ETPA]],tbEtapas[],3,FALSE),"")</f>
        <v/>
      </c>
    </row>
    <row r="3857" spans="1:6" x14ac:dyDescent="0.25">
      <c r="A3857" s="24" t="str">
        <f>_xlfn.XLOOKUP(tbEscolas[[#This Row],[ESCOLA]],tbNucleo[ESCOLA],tbNucleo[COD ESCOLA],"")</f>
        <v/>
      </c>
      <c r="B3857" t="str" cm="1">
        <f t="array" ref="B3857">IFERROR(INDEX(tbNucleo[ESCOLA],ROUNDUP(ROW(B3856)/TotalEtapas,0)),"")</f>
        <v/>
      </c>
      <c r="E3857" t="str">
        <f>IFERROR(VLOOKUP(tbEscolas[[#This Row],[COD ETPA]],tbEtapas[],2,FALSE),"")</f>
        <v/>
      </c>
      <c r="F3857" t="str">
        <f>IFERROR(VLOOKUP(tbEscolas[[#This Row],[COD ETPA]],tbEtapas[],3,FALSE),"")</f>
        <v/>
      </c>
    </row>
    <row r="3858" spans="1:6" x14ac:dyDescent="0.25">
      <c r="A3858" s="24" t="str">
        <f>_xlfn.XLOOKUP(tbEscolas[[#This Row],[ESCOLA]],tbNucleo[ESCOLA],tbNucleo[COD ESCOLA],"")</f>
        <v/>
      </c>
      <c r="B3858" t="str" cm="1">
        <f t="array" ref="B3858">IFERROR(INDEX(tbNucleo[ESCOLA],ROUNDUP(ROW(B3857)/TotalEtapas,0)),"")</f>
        <v/>
      </c>
      <c r="E3858" t="str">
        <f>IFERROR(VLOOKUP(tbEscolas[[#This Row],[COD ETPA]],tbEtapas[],2,FALSE),"")</f>
        <v/>
      </c>
      <c r="F3858" t="str">
        <f>IFERROR(VLOOKUP(tbEscolas[[#This Row],[COD ETPA]],tbEtapas[],3,FALSE),"")</f>
        <v/>
      </c>
    </row>
    <row r="3859" spans="1:6" x14ac:dyDescent="0.25">
      <c r="A3859" s="24" t="str">
        <f>_xlfn.XLOOKUP(tbEscolas[[#This Row],[ESCOLA]],tbNucleo[ESCOLA],tbNucleo[COD ESCOLA],"")</f>
        <v/>
      </c>
      <c r="B3859" t="str" cm="1">
        <f t="array" ref="B3859">IFERROR(INDEX(tbNucleo[ESCOLA],ROUNDUP(ROW(B3858)/TotalEtapas,0)),"")</f>
        <v/>
      </c>
      <c r="E3859" t="str">
        <f>IFERROR(VLOOKUP(tbEscolas[[#This Row],[COD ETPA]],tbEtapas[],2,FALSE),"")</f>
        <v/>
      </c>
      <c r="F3859" t="str">
        <f>IFERROR(VLOOKUP(tbEscolas[[#This Row],[COD ETPA]],tbEtapas[],3,FALSE),"")</f>
        <v/>
      </c>
    </row>
    <row r="3860" spans="1:6" x14ac:dyDescent="0.25">
      <c r="A3860" s="24" t="str">
        <f>_xlfn.XLOOKUP(tbEscolas[[#This Row],[ESCOLA]],tbNucleo[ESCOLA],tbNucleo[COD ESCOLA],"")</f>
        <v/>
      </c>
      <c r="B3860" t="str" cm="1">
        <f t="array" ref="B3860">IFERROR(INDEX(tbNucleo[ESCOLA],ROUNDUP(ROW(B3859)/TotalEtapas,0)),"")</f>
        <v/>
      </c>
      <c r="E3860" t="str">
        <f>IFERROR(VLOOKUP(tbEscolas[[#This Row],[COD ETPA]],tbEtapas[],2,FALSE),"")</f>
        <v/>
      </c>
      <c r="F3860" t="str">
        <f>IFERROR(VLOOKUP(tbEscolas[[#This Row],[COD ETPA]],tbEtapas[],3,FALSE),"")</f>
        <v/>
      </c>
    </row>
    <row r="3861" spans="1:6" x14ac:dyDescent="0.25">
      <c r="A3861" s="24" t="str">
        <f>_xlfn.XLOOKUP(tbEscolas[[#This Row],[ESCOLA]],tbNucleo[ESCOLA],tbNucleo[COD ESCOLA],"")</f>
        <v/>
      </c>
      <c r="B3861" t="str" cm="1">
        <f t="array" ref="B3861">IFERROR(INDEX(tbNucleo[ESCOLA],ROUNDUP(ROW(B3860)/TotalEtapas,0)),"")</f>
        <v/>
      </c>
      <c r="E3861" t="str">
        <f>IFERROR(VLOOKUP(tbEscolas[[#This Row],[COD ETPA]],tbEtapas[],2,FALSE),"")</f>
        <v/>
      </c>
      <c r="F3861" t="str">
        <f>IFERROR(VLOOKUP(tbEscolas[[#This Row],[COD ETPA]],tbEtapas[],3,FALSE),"")</f>
        <v/>
      </c>
    </row>
    <row r="3862" spans="1:6" x14ac:dyDescent="0.25">
      <c r="A3862" s="24" t="str">
        <f>_xlfn.XLOOKUP(tbEscolas[[#This Row],[ESCOLA]],tbNucleo[ESCOLA],tbNucleo[COD ESCOLA],"")</f>
        <v/>
      </c>
      <c r="B3862" t="str" cm="1">
        <f t="array" ref="B3862">IFERROR(INDEX(tbNucleo[ESCOLA],ROUNDUP(ROW(B3861)/TotalEtapas,0)),"")</f>
        <v/>
      </c>
      <c r="E3862" t="str">
        <f>IFERROR(VLOOKUP(tbEscolas[[#This Row],[COD ETPA]],tbEtapas[],2,FALSE),"")</f>
        <v/>
      </c>
      <c r="F3862" t="str">
        <f>IFERROR(VLOOKUP(tbEscolas[[#This Row],[COD ETPA]],tbEtapas[],3,FALSE),"")</f>
        <v/>
      </c>
    </row>
    <row r="3863" spans="1:6" x14ac:dyDescent="0.25">
      <c r="A3863" s="24" t="str">
        <f>_xlfn.XLOOKUP(tbEscolas[[#This Row],[ESCOLA]],tbNucleo[ESCOLA],tbNucleo[COD ESCOLA],"")</f>
        <v/>
      </c>
      <c r="B3863" t="str" cm="1">
        <f t="array" ref="B3863">IFERROR(INDEX(tbNucleo[ESCOLA],ROUNDUP(ROW(B3862)/TotalEtapas,0)),"")</f>
        <v/>
      </c>
      <c r="E3863" t="str">
        <f>IFERROR(VLOOKUP(tbEscolas[[#This Row],[COD ETPA]],tbEtapas[],2,FALSE),"")</f>
        <v/>
      </c>
      <c r="F3863" t="str">
        <f>IFERROR(VLOOKUP(tbEscolas[[#This Row],[COD ETPA]],tbEtapas[],3,FALSE),"")</f>
        <v/>
      </c>
    </row>
    <row r="3864" spans="1:6" x14ac:dyDescent="0.25">
      <c r="A3864" s="24" t="str">
        <f>_xlfn.XLOOKUP(tbEscolas[[#This Row],[ESCOLA]],tbNucleo[ESCOLA],tbNucleo[COD ESCOLA],"")</f>
        <v/>
      </c>
      <c r="B3864" t="str" cm="1">
        <f t="array" ref="B3864">IFERROR(INDEX(tbNucleo[ESCOLA],ROUNDUP(ROW(B3863)/TotalEtapas,0)),"")</f>
        <v/>
      </c>
      <c r="E3864" t="str">
        <f>IFERROR(VLOOKUP(tbEscolas[[#This Row],[COD ETPA]],tbEtapas[],2,FALSE),"")</f>
        <v/>
      </c>
      <c r="F3864" t="str">
        <f>IFERROR(VLOOKUP(tbEscolas[[#This Row],[COD ETPA]],tbEtapas[],3,FALSE),"")</f>
        <v/>
      </c>
    </row>
    <row r="3865" spans="1:6" x14ac:dyDescent="0.25">
      <c r="A3865" s="24" t="str">
        <f>_xlfn.XLOOKUP(tbEscolas[[#This Row],[ESCOLA]],tbNucleo[ESCOLA],tbNucleo[COD ESCOLA],"")</f>
        <v/>
      </c>
      <c r="B3865" t="str" cm="1">
        <f t="array" ref="B3865">IFERROR(INDEX(tbNucleo[ESCOLA],ROUNDUP(ROW(B3864)/TotalEtapas,0)),"")</f>
        <v/>
      </c>
      <c r="E3865" t="str">
        <f>IFERROR(VLOOKUP(tbEscolas[[#This Row],[COD ETPA]],tbEtapas[],2,FALSE),"")</f>
        <v/>
      </c>
      <c r="F3865" t="str">
        <f>IFERROR(VLOOKUP(tbEscolas[[#This Row],[COD ETPA]],tbEtapas[],3,FALSE),"")</f>
        <v/>
      </c>
    </row>
    <row r="3866" spans="1:6" x14ac:dyDescent="0.25">
      <c r="A3866" s="24" t="str">
        <f>_xlfn.XLOOKUP(tbEscolas[[#This Row],[ESCOLA]],tbNucleo[ESCOLA],tbNucleo[COD ESCOLA],"")</f>
        <v/>
      </c>
      <c r="B3866" t="str" cm="1">
        <f t="array" ref="B3866">IFERROR(INDEX(tbNucleo[ESCOLA],ROUNDUP(ROW(B3865)/TotalEtapas,0)),"")</f>
        <v/>
      </c>
      <c r="E3866" t="str">
        <f>IFERROR(VLOOKUP(tbEscolas[[#This Row],[COD ETPA]],tbEtapas[],2,FALSE),"")</f>
        <v/>
      </c>
      <c r="F3866" t="str">
        <f>IFERROR(VLOOKUP(tbEscolas[[#This Row],[COD ETPA]],tbEtapas[],3,FALSE),"")</f>
        <v/>
      </c>
    </row>
    <row r="3867" spans="1:6" x14ac:dyDescent="0.25">
      <c r="A3867" s="24" t="str">
        <f>_xlfn.XLOOKUP(tbEscolas[[#This Row],[ESCOLA]],tbNucleo[ESCOLA],tbNucleo[COD ESCOLA],"")</f>
        <v/>
      </c>
      <c r="B3867" t="str" cm="1">
        <f t="array" ref="B3867">IFERROR(INDEX(tbNucleo[ESCOLA],ROUNDUP(ROW(B3866)/TotalEtapas,0)),"")</f>
        <v/>
      </c>
      <c r="E3867" t="str">
        <f>IFERROR(VLOOKUP(tbEscolas[[#This Row],[COD ETPA]],tbEtapas[],2,FALSE),"")</f>
        <v/>
      </c>
      <c r="F3867" t="str">
        <f>IFERROR(VLOOKUP(tbEscolas[[#This Row],[COD ETPA]],tbEtapas[],3,FALSE),"")</f>
        <v/>
      </c>
    </row>
    <row r="3868" spans="1:6" x14ac:dyDescent="0.25">
      <c r="A3868" s="24" t="str">
        <f>_xlfn.XLOOKUP(tbEscolas[[#This Row],[ESCOLA]],tbNucleo[ESCOLA],tbNucleo[COD ESCOLA],"")</f>
        <v/>
      </c>
      <c r="B3868" t="str" cm="1">
        <f t="array" ref="B3868">IFERROR(INDEX(tbNucleo[ESCOLA],ROUNDUP(ROW(B3867)/TotalEtapas,0)),"")</f>
        <v/>
      </c>
      <c r="E3868" t="str">
        <f>IFERROR(VLOOKUP(tbEscolas[[#This Row],[COD ETPA]],tbEtapas[],2,FALSE),"")</f>
        <v/>
      </c>
      <c r="F3868" t="str">
        <f>IFERROR(VLOOKUP(tbEscolas[[#This Row],[COD ETPA]],tbEtapas[],3,FALSE),"")</f>
        <v/>
      </c>
    </row>
    <row r="3869" spans="1:6" x14ac:dyDescent="0.25">
      <c r="A3869" s="24" t="str">
        <f>_xlfn.XLOOKUP(tbEscolas[[#This Row],[ESCOLA]],tbNucleo[ESCOLA],tbNucleo[COD ESCOLA],"")</f>
        <v/>
      </c>
      <c r="B3869" t="str" cm="1">
        <f t="array" ref="B3869">IFERROR(INDEX(tbNucleo[ESCOLA],ROUNDUP(ROW(B3868)/TotalEtapas,0)),"")</f>
        <v/>
      </c>
      <c r="E3869" t="str">
        <f>IFERROR(VLOOKUP(tbEscolas[[#This Row],[COD ETPA]],tbEtapas[],2,FALSE),"")</f>
        <v/>
      </c>
      <c r="F3869" t="str">
        <f>IFERROR(VLOOKUP(tbEscolas[[#This Row],[COD ETPA]],tbEtapas[],3,FALSE),"")</f>
        <v/>
      </c>
    </row>
    <row r="3870" spans="1:6" x14ac:dyDescent="0.25">
      <c r="A3870" s="24" t="str">
        <f>_xlfn.XLOOKUP(tbEscolas[[#This Row],[ESCOLA]],tbNucleo[ESCOLA],tbNucleo[COD ESCOLA],"")</f>
        <v/>
      </c>
      <c r="B3870" t="str" cm="1">
        <f t="array" ref="B3870">IFERROR(INDEX(tbNucleo[ESCOLA],ROUNDUP(ROW(B3869)/TotalEtapas,0)),"")</f>
        <v/>
      </c>
      <c r="E3870" t="str">
        <f>IFERROR(VLOOKUP(tbEscolas[[#This Row],[COD ETPA]],tbEtapas[],2,FALSE),"")</f>
        <v/>
      </c>
      <c r="F3870" t="str">
        <f>IFERROR(VLOOKUP(tbEscolas[[#This Row],[COD ETPA]],tbEtapas[],3,FALSE),"")</f>
        <v/>
      </c>
    </row>
    <row r="3871" spans="1:6" x14ac:dyDescent="0.25">
      <c r="A3871" s="24" t="str">
        <f>_xlfn.XLOOKUP(tbEscolas[[#This Row],[ESCOLA]],tbNucleo[ESCOLA],tbNucleo[COD ESCOLA],"")</f>
        <v/>
      </c>
      <c r="B3871" t="str" cm="1">
        <f t="array" ref="B3871">IFERROR(INDEX(tbNucleo[ESCOLA],ROUNDUP(ROW(B3870)/TotalEtapas,0)),"")</f>
        <v/>
      </c>
      <c r="E3871" t="str">
        <f>IFERROR(VLOOKUP(tbEscolas[[#This Row],[COD ETPA]],tbEtapas[],2,FALSE),"")</f>
        <v/>
      </c>
      <c r="F3871" t="str">
        <f>IFERROR(VLOOKUP(tbEscolas[[#This Row],[COD ETPA]],tbEtapas[],3,FALSE),"")</f>
        <v/>
      </c>
    </row>
    <row r="3872" spans="1:6" x14ac:dyDescent="0.25">
      <c r="A3872" s="24" t="str">
        <f>_xlfn.XLOOKUP(tbEscolas[[#This Row],[ESCOLA]],tbNucleo[ESCOLA],tbNucleo[COD ESCOLA],"")</f>
        <v/>
      </c>
      <c r="B3872" t="str" cm="1">
        <f t="array" ref="B3872">IFERROR(INDEX(tbNucleo[ESCOLA],ROUNDUP(ROW(B3871)/TotalEtapas,0)),"")</f>
        <v/>
      </c>
      <c r="E3872" t="str">
        <f>IFERROR(VLOOKUP(tbEscolas[[#This Row],[COD ETPA]],tbEtapas[],2,FALSE),"")</f>
        <v/>
      </c>
      <c r="F3872" t="str">
        <f>IFERROR(VLOOKUP(tbEscolas[[#This Row],[COD ETPA]],tbEtapas[],3,FALSE),"")</f>
        <v/>
      </c>
    </row>
    <row r="3873" spans="1:6" x14ac:dyDescent="0.25">
      <c r="A3873" s="24" t="str">
        <f>_xlfn.XLOOKUP(tbEscolas[[#This Row],[ESCOLA]],tbNucleo[ESCOLA],tbNucleo[COD ESCOLA],"")</f>
        <v/>
      </c>
      <c r="B3873" t="str" cm="1">
        <f t="array" ref="B3873">IFERROR(INDEX(tbNucleo[ESCOLA],ROUNDUP(ROW(B3872)/TotalEtapas,0)),"")</f>
        <v/>
      </c>
      <c r="E3873" t="str">
        <f>IFERROR(VLOOKUP(tbEscolas[[#This Row],[COD ETPA]],tbEtapas[],2,FALSE),"")</f>
        <v/>
      </c>
      <c r="F3873" t="str">
        <f>IFERROR(VLOOKUP(tbEscolas[[#This Row],[COD ETPA]],tbEtapas[],3,FALSE),"")</f>
        <v/>
      </c>
    </row>
    <row r="3874" spans="1:6" x14ac:dyDescent="0.25">
      <c r="A3874" s="24" t="str">
        <f>_xlfn.XLOOKUP(tbEscolas[[#This Row],[ESCOLA]],tbNucleo[ESCOLA],tbNucleo[COD ESCOLA],"")</f>
        <v/>
      </c>
      <c r="B3874" t="str" cm="1">
        <f t="array" ref="B3874">IFERROR(INDEX(tbNucleo[ESCOLA],ROUNDUP(ROW(B3873)/TotalEtapas,0)),"")</f>
        <v/>
      </c>
      <c r="E3874" t="str">
        <f>IFERROR(VLOOKUP(tbEscolas[[#This Row],[COD ETPA]],tbEtapas[],2,FALSE),"")</f>
        <v/>
      </c>
      <c r="F3874" t="str">
        <f>IFERROR(VLOOKUP(tbEscolas[[#This Row],[COD ETPA]],tbEtapas[],3,FALSE),"")</f>
        <v/>
      </c>
    </row>
    <row r="3875" spans="1:6" x14ac:dyDescent="0.25">
      <c r="A3875" s="24" t="str">
        <f>_xlfn.XLOOKUP(tbEscolas[[#This Row],[ESCOLA]],tbNucleo[ESCOLA],tbNucleo[COD ESCOLA],"")</f>
        <v/>
      </c>
      <c r="B3875" t="str" cm="1">
        <f t="array" ref="B3875">IFERROR(INDEX(tbNucleo[ESCOLA],ROUNDUP(ROW(B3874)/TotalEtapas,0)),"")</f>
        <v/>
      </c>
      <c r="E3875" t="str">
        <f>IFERROR(VLOOKUP(tbEscolas[[#This Row],[COD ETPA]],tbEtapas[],2,FALSE),"")</f>
        <v/>
      </c>
      <c r="F3875" t="str">
        <f>IFERROR(VLOOKUP(tbEscolas[[#This Row],[COD ETPA]],tbEtapas[],3,FALSE),"")</f>
        <v/>
      </c>
    </row>
    <row r="3876" spans="1:6" x14ac:dyDescent="0.25">
      <c r="A3876" s="24" t="str">
        <f>_xlfn.XLOOKUP(tbEscolas[[#This Row],[ESCOLA]],tbNucleo[ESCOLA],tbNucleo[COD ESCOLA],"")</f>
        <v/>
      </c>
      <c r="B3876" t="str" cm="1">
        <f t="array" ref="B3876">IFERROR(INDEX(tbNucleo[ESCOLA],ROUNDUP(ROW(B3875)/TotalEtapas,0)),"")</f>
        <v/>
      </c>
      <c r="E3876" t="str">
        <f>IFERROR(VLOOKUP(tbEscolas[[#This Row],[COD ETPA]],tbEtapas[],2,FALSE),"")</f>
        <v/>
      </c>
      <c r="F3876" t="str">
        <f>IFERROR(VLOOKUP(tbEscolas[[#This Row],[COD ETPA]],tbEtapas[],3,FALSE),"")</f>
        <v/>
      </c>
    </row>
    <row r="3877" spans="1:6" x14ac:dyDescent="0.25">
      <c r="A3877" s="24" t="str">
        <f>_xlfn.XLOOKUP(tbEscolas[[#This Row],[ESCOLA]],tbNucleo[ESCOLA],tbNucleo[COD ESCOLA],"")</f>
        <v/>
      </c>
      <c r="B3877" t="str" cm="1">
        <f t="array" ref="B3877">IFERROR(INDEX(tbNucleo[ESCOLA],ROUNDUP(ROW(B3876)/TotalEtapas,0)),"")</f>
        <v/>
      </c>
      <c r="E3877" t="str">
        <f>IFERROR(VLOOKUP(tbEscolas[[#This Row],[COD ETPA]],tbEtapas[],2,FALSE),"")</f>
        <v/>
      </c>
      <c r="F3877" t="str">
        <f>IFERROR(VLOOKUP(tbEscolas[[#This Row],[COD ETPA]],tbEtapas[],3,FALSE),"")</f>
        <v/>
      </c>
    </row>
    <row r="3878" spans="1:6" x14ac:dyDescent="0.25">
      <c r="A3878" s="24" t="str">
        <f>_xlfn.XLOOKUP(tbEscolas[[#This Row],[ESCOLA]],tbNucleo[ESCOLA],tbNucleo[COD ESCOLA],"")</f>
        <v/>
      </c>
      <c r="B3878" t="str" cm="1">
        <f t="array" ref="B3878">IFERROR(INDEX(tbNucleo[ESCOLA],ROUNDUP(ROW(B3877)/TotalEtapas,0)),"")</f>
        <v/>
      </c>
      <c r="E3878" t="str">
        <f>IFERROR(VLOOKUP(tbEscolas[[#This Row],[COD ETPA]],tbEtapas[],2,FALSE),"")</f>
        <v/>
      </c>
      <c r="F3878" t="str">
        <f>IFERROR(VLOOKUP(tbEscolas[[#This Row],[COD ETPA]],tbEtapas[],3,FALSE),"")</f>
        <v/>
      </c>
    </row>
    <row r="3879" spans="1:6" x14ac:dyDescent="0.25">
      <c r="A3879" s="24" t="str">
        <f>_xlfn.XLOOKUP(tbEscolas[[#This Row],[ESCOLA]],tbNucleo[ESCOLA],tbNucleo[COD ESCOLA],"")</f>
        <v/>
      </c>
      <c r="B3879" t="str" cm="1">
        <f t="array" ref="B3879">IFERROR(INDEX(tbNucleo[ESCOLA],ROUNDUP(ROW(B3878)/TotalEtapas,0)),"")</f>
        <v/>
      </c>
      <c r="E3879" t="str">
        <f>IFERROR(VLOOKUP(tbEscolas[[#This Row],[COD ETPA]],tbEtapas[],2,FALSE),"")</f>
        <v/>
      </c>
      <c r="F3879" t="str">
        <f>IFERROR(VLOOKUP(tbEscolas[[#This Row],[COD ETPA]],tbEtapas[],3,FALSE),"")</f>
        <v/>
      </c>
    </row>
    <row r="3880" spans="1:6" x14ac:dyDescent="0.25">
      <c r="A3880" s="24" t="str">
        <f>_xlfn.XLOOKUP(tbEscolas[[#This Row],[ESCOLA]],tbNucleo[ESCOLA],tbNucleo[COD ESCOLA],"")</f>
        <v/>
      </c>
      <c r="B3880" t="str" cm="1">
        <f t="array" ref="B3880">IFERROR(INDEX(tbNucleo[ESCOLA],ROUNDUP(ROW(B3879)/TotalEtapas,0)),"")</f>
        <v/>
      </c>
      <c r="E3880" t="str">
        <f>IFERROR(VLOOKUP(tbEscolas[[#This Row],[COD ETPA]],tbEtapas[],2,FALSE),"")</f>
        <v/>
      </c>
      <c r="F3880" t="str">
        <f>IFERROR(VLOOKUP(tbEscolas[[#This Row],[COD ETPA]],tbEtapas[],3,FALSE),"")</f>
        <v/>
      </c>
    </row>
    <row r="3881" spans="1:6" x14ac:dyDescent="0.25">
      <c r="A3881" s="24" t="str">
        <f>_xlfn.XLOOKUP(tbEscolas[[#This Row],[ESCOLA]],tbNucleo[ESCOLA],tbNucleo[COD ESCOLA],"")</f>
        <v/>
      </c>
      <c r="B3881" t="str" cm="1">
        <f t="array" ref="B3881">IFERROR(INDEX(tbNucleo[ESCOLA],ROUNDUP(ROW(B3880)/TotalEtapas,0)),"")</f>
        <v/>
      </c>
      <c r="E3881" t="str">
        <f>IFERROR(VLOOKUP(tbEscolas[[#This Row],[COD ETPA]],tbEtapas[],2,FALSE),"")</f>
        <v/>
      </c>
      <c r="F3881" t="str">
        <f>IFERROR(VLOOKUP(tbEscolas[[#This Row],[COD ETPA]],tbEtapas[],3,FALSE),"")</f>
        <v/>
      </c>
    </row>
    <row r="3882" spans="1:6" x14ac:dyDescent="0.25">
      <c r="A3882" s="24" t="str">
        <f>_xlfn.XLOOKUP(tbEscolas[[#This Row],[ESCOLA]],tbNucleo[ESCOLA],tbNucleo[COD ESCOLA],"")</f>
        <v/>
      </c>
      <c r="B3882" t="str" cm="1">
        <f t="array" ref="B3882">IFERROR(INDEX(tbNucleo[ESCOLA],ROUNDUP(ROW(B3881)/TotalEtapas,0)),"")</f>
        <v/>
      </c>
      <c r="E3882" t="str">
        <f>IFERROR(VLOOKUP(tbEscolas[[#This Row],[COD ETPA]],tbEtapas[],2,FALSE),"")</f>
        <v/>
      </c>
      <c r="F3882" t="str">
        <f>IFERROR(VLOOKUP(tbEscolas[[#This Row],[COD ETPA]],tbEtapas[],3,FALSE),"")</f>
        <v/>
      </c>
    </row>
    <row r="3883" spans="1:6" x14ac:dyDescent="0.25">
      <c r="A3883" s="24" t="str">
        <f>_xlfn.XLOOKUP(tbEscolas[[#This Row],[ESCOLA]],tbNucleo[ESCOLA],tbNucleo[COD ESCOLA],"")</f>
        <v/>
      </c>
      <c r="B3883" t="str" cm="1">
        <f t="array" ref="B3883">IFERROR(INDEX(tbNucleo[ESCOLA],ROUNDUP(ROW(B3882)/TotalEtapas,0)),"")</f>
        <v/>
      </c>
      <c r="E3883" t="str">
        <f>IFERROR(VLOOKUP(tbEscolas[[#This Row],[COD ETPA]],tbEtapas[],2,FALSE),"")</f>
        <v/>
      </c>
      <c r="F3883" t="str">
        <f>IFERROR(VLOOKUP(tbEscolas[[#This Row],[COD ETPA]],tbEtapas[],3,FALSE),"")</f>
        <v/>
      </c>
    </row>
    <row r="3884" spans="1:6" x14ac:dyDescent="0.25">
      <c r="A3884" s="24" t="str">
        <f>_xlfn.XLOOKUP(tbEscolas[[#This Row],[ESCOLA]],tbNucleo[ESCOLA],tbNucleo[COD ESCOLA],"")</f>
        <v/>
      </c>
      <c r="B3884" t="str" cm="1">
        <f t="array" ref="B3884">IFERROR(INDEX(tbNucleo[ESCOLA],ROUNDUP(ROW(B3883)/TotalEtapas,0)),"")</f>
        <v/>
      </c>
      <c r="E3884" t="str">
        <f>IFERROR(VLOOKUP(tbEscolas[[#This Row],[COD ETPA]],tbEtapas[],2,FALSE),"")</f>
        <v/>
      </c>
      <c r="F3884" t="str">
        <f>IFERROR(VLOOKUP(tbEscolas[[#This Row],[COD ETPA]],tbEtapas[],3,FALSE),"")</f>
        <v/>
      </c>
    </row>
    <row r="3885" spans="1:6" x14ac:dyDescent="0.25">
      <c r="A3885" s="24" t="str">
        <f>_xlfn.XLOOKUP(tbEscolas[[#This Row],[ESCOLA]],tbNucleo[ESCOLA],tbNucleo[COD ESCOLA],"")</f>
        <v/>
      </c>
      <c r="B3885" t="str" cm="1">
        <f t="array" ref="B3885">IFERROR(INDEX(tbNucleo[ESCOLA],ROUNDUP(ROW(B3884)/TotalEtapas,0)),"")</f>
        <v/>
      </c>
      <c r="E3885" t="str">
        <f>IFERROR(VLOOKUP(tbEscolas[[#This Row],[COD ETPA]],tbEtapas[],2,FALSE),"")</f>
        <v/>
      </c>
      <c r="F3885" t="str">
        <f>IFERROR(VLOOKUP(tbEscolas[[#This Row],[COD ETPA]],tbEtapas[],3,FALSE),"")</f>
        <v/>
      </c>
    </row>
    <row r="3886" spans="1:6" x14ac:dyDescent="0.25">
      <c r="A3886" s="24" t="str">
        <f>_xlfn.XLOOKUP(tbEscolas[[#This Row],[ESCOLA]],tbNucleo[ESCOLA],tbNucleo[COD ESCOLA],"")</f>
        <v/>
      </c>
      <c r="B3886" t="str" cm="1">
        <f t="array" ref="B3886">IFERROR(INDEX(tbNucleo[ESCOLA],ROUNDUP(ROW(B3885)/TotalEtapas,0)),"")</f>
        <v/>
      </c>
      <c r="E3886" t="str">
        <f>IFERROR(VLOOKUP(tbEscolas[[#This Row],[COD ETPA]],tbEtapas[],2,FALSE),"")</f>
        <v/>
      </c>
      <c r="F3886" t="str">
        <f>IFERROR(VLOOKUP(tbEscolas[[#This Row],[COD ETPA]],tbEtapas[],3,FALSE),"")</f>
        <v/>
      </c>
    </row>
    <row r="3887" spans="1:6" x14ac:dyDescent="0.25">
      <c r="A3887" s="24" t="str">
        <f>_xlfn.XLOOKUP(tbEscolas[[#This Row],[ESCOLA]],tbNucleo[ESCOLA],tbNucleo[COD ESCOLA],"")</f>
        <v/>
      </c>
      <c r="B3887" t="str" cm="1">
        <f t="array" ref="B3887">IFERROR(INDEX(tbNucleo[ESCOLA],ROUNDUP(ROW(B3886)/TotalEtapas,0)),"")</f>
        <v/>
      </c>
      <c r="E3887" t="str">
        <f>IFERROR(VLOOKUP(tbEscolas[[#This Row],[COD ETPA]],tbEtapas[],2,FALSE),"")</f>
        <v/>
      </c>
      <c r="F3887" t="str">
        <f>IFERROR(VLOOKUP(tbEscolas[[#This Row],[COD ETPA]],tbEtapas[],3,FALSE),"")</f>
        <v/>
      </c>
    </row>
    <row r="3888" spans="1:6" x14ac:dyDescent="0.25">
      <c r="A3888" s="24" t="str">
        <f>_xlfn.XLOOKUP(tbEscolas[[#This Row],[ESCOLA]],tbNucleo[ESCOLA],tbNucleo[COD ESCOLA],"")</f>
        <v/>
      </c>
      <c r="B3888" t="str" cm="1">
        <f t="array" ref="B3888">IFERROR(INDEX(tbNucleo[ESCOLA],ROUNDUP(ROW(B3887)/TotalEtapas,0)),"")</f>
        <v/>
      </c>
      <c r="E3888" t="str">
        <f>IFERROR(VLOOKUP(tbEscolas[[#This Row],[COD ETPA]],tbEtapas[],2,FALSE),"")</f>
        <v/>
      </c>
      <c r="F3888" t="str">
        <f>IFERROR(VLOOKUP(tbEscolas[[#This Row],[COD ETPA]],tbEtapas[],3,FALSE),"")</f>
        <v/>
      </c>
    </row>
    <row r="3889" spans="1:6" x14ac:dyDescent="0.25">
      <c r="A3889" s="24" t="str">
        <f>_xlfn.XLOOKUP(tbEscolas[[#This Row],[ESCOLA]],tbNucleo[ESCOLA],tbNucleo[COD ESCOLA],"")</f>
        <v/>
      </c>
      <c r="B3889" t="str" cm="1">
        <f t="array" ref="B3889">IFERROR(INDEX(tbNucleo[ESCOLA],ROUNDUP(ROW(B3888)/TotalEtapas,0)),"")</f>
        <v/>
      </c>
      <c r="E3889" t="str">
        <f>IFERROR(VLOOKUP(tbEscolas[[#This Row],[COD ETPA]],tbEtapas[],2,FALSE),"")</f>
        <v/>
      </c>
      <c r="F3889" t="str">
        <f>IFERROR(VLOOKUP(tbEscolas[[#This Row],[COD ETPA]],tbEtapas[],3,FALSE),"")</f>
        <v/>
      </c>
    </row>
    <row r="3890" spans="1:6" x14ac:dyDescent="0.25">
      <c r="A3890" s="24" t="str">
        <f>_xlfn.XLOOKUP(tbEscolas[[#This Row],[ESCOLA]],tbNucleo[ESCOLA],tbNucleo[COD ESCOLA],"")</f>
        <v/>
      </c>
      <c r="B3890" t="str" cm="1">
        <f t="array" ref="B3890">IFERROR(INDEX(tbNucleo[ESCOLA],ROUNDUP(ROW(B3889)/TotalEtapas,0)),"")</f>
        <v/>
      </c>
      <c r="E3890" t="str">
        <f>IFERROR(VLOOKUP(tbEscolas[[#This Row],[COD ETPA]],tbEtapas[],2,FALSE),"")</f>
        <v/>
      </c>
      <c r="F3890" t="str">
        <f>IFERROR(VLOOKUP(tbEscolas[[#This Row],[COD ETPA]],tbEtapas[],3,FALSE),"")</f>
        <v/>
      </c>
    </row>
    <row r="3891" spans="1:6" x14ac:dyDescent="0.25">
      <c r="A3891" s="24" t="str">
        <f>_xlfn.XLOOKUP(tbEscolas[[#This Row],[ESCOLA]],tbNucleo[ESCOLA],tbNucleo[COD ESCOLA],"")</f>
        <v/>
      </c>
      <c r="B3891" t="str" cm="1">
        <f t="array" ref="B3891">IFERROR(INDEX(tbNucleo[ESCOLA],ROUNDUP(ROW(B3890)/TotalEtapas,0)),"")</f>
        <v/>
      </c>
      <c r="E3891" t="str">
        <f>IFERROR(VLOOKUP(tbEscolas[[#This Row],[COD ETPA]],tbEtapas[],2,FALSE),"")</f>
        <v/>
      </c>
      <c r="F3891" t="str">
        <f>IFERROR(VLOOKUP(tbEscolas[[#This Row],[COD ETPA]],tbEtapas[],3,FALSE),"")</f>
        <v/>
      </c>
    </row>
    <row r="3892" spans="1:6" x14ac:dyDescent="0.25">
      <c r="A3892" s="24" t="str">
        <f>_xlfn.XLOOKUP(tbEscolas[[#This Row],[ESCOLA]],tbNucleo[ESCOLA],tbNucleo[COD ESCOLA],"")</f>
        <v/>
      </c>
      <c r="B3892" t="str" cm="1">
        <f t="array" ref="B3892">IFERROR(INDEX(tbNucleo[ESCOLA],ROUNDUP(ROW(B3891)/TotalEtapas,0)),"")</f>
        <v/>
      </c>
      <c r="E3892" t="str">
        <f>IFERROR(VLOOKUP(tbEscolas[[#This Row],[COD ETPA]],tbEtapas[],2,FALSE),"")</f>
        <v/>
      </c>
      <c r="F3892" t="str">
        <f>IFERROR(VLOOKUP(tbEscolas[[#This Row],[COD ETPA]],tbEtapas[],3,FALSE),"")</f>
        <v/>
      </c>
    </row>
    <row r="3893" spans="1:6" x14ac:dyDescent="0.25">
      <c r="A3893" s="24" t="str">
        <f>_xlfn.XLOOKUP(tbEscolas[[#This Row],[ESCOLA]],tbNucleo[ESCOLA],tbNucleo[COD ESCOLA],"")</f>
        <v/>
      </c>
      <c r="B3893" t="str" cm="1">
        <f t="array" ref="B3893">IFERROR(INDEX(tbNucleo[ESCOLA],ROUNDUP(ROW(B3892)/TotalEtapas,0)),"")</f>
        <v/>
      </c>
      <c r="E3893" t="str">
        <f>IFERROR(VLOOKUP(tbEscolas[[#This Row],[COD ETPA]],tbEtapas[],2,FALSE),"")</f>
        <v/>
      </c>
      <c r="F3893" t="str">
        <f>IFERROR(VLOOKUP(tbEscolas[[#This Row],[COD ETPA]],tbEtapas[],3,FALSE),"")</f>
        <v/>
      </c>
    </row>
    <row r="3894" spans="1:6" x14ac:dyDescent="0.25">
      <c r="A3894" s="24" t="str">
        <f>_xlfn.XLOOKUP(tbEscolas[[#This Row],[ESCOLA]],tbNucleo[ESCOLA],tbNucleo[COD ESCOLA],"")</f>
        <v/>
      </c>
      <c r="B3894" t="str" cm="1">
        <f t="array" ref="B3894">IFERROR(INDEX(tbNucleo[ESCOLA],ROUNDUP(ROW(B3893)/TotalEtapas,0)),"")</f>
        <v/>
      </c>
      <c r="E3894" t="str">
        <f>IFERROR(VLOOKUP(tbEscolas[[#This Row],[COD ETPA]],tbEtapas[],2,FALSE),"")</f>
        <v/>
      </c>
      <c r="F3894" t="str">
        <f>IFERROR(VLOOKUP(tbEscolas[[#This Row],[COD ETPA]],tbEtapas[],3,FALSE),"")</f>
        <v/>
      </c>
    </row>
    <row r="3895" spans="1:6" x14ac:dyDescent="0.25">
      <c r="A3895" s="24" t="str">
        <f>_xlfn.XLOOKUP(tbEscolas[[#This Row],[ESCOLA]],tbNucleo[ESCOLA],tbNucleo[COD ESCOLA],"")</f>
        <v/>
      </c>
      <c r="B3895" t="str" cm="1">
        <f t="array" ref="B3895">IFERROR(INDEX(tbNucleo[ESCOLA],ROUNDUP(ROW(B3894)/TotalEtapas,0)),"")</f>
        <v/>
      </c>
      <c r="E3895" t="str">
        <f>IFERROR(VLOOKUP(tbEscolas[[#This Row],[COD ETPA]],tbEtapas[],2,FALSE),"")</f>
        <v/>
      </c>
      <c r="F3895" t="str">
        <f>IFERROR(VLOOKUP(tbEscolas[[#This Row],[COD ETPA]],tbEtapas[],3,FALSE),"")</f>
        <v/>
      </c>
    </row>
    <row r="3896" spans="1:6" x14ac:dyDescent="0.25">
      <c r="A3896" s="24" t="str">
        <f>_xlfn.XLOOKUP(tbEscolas[[#This Row],[ESCOLA]],tbNucleo[ESCOLA],tbNucleo[COD ESCOLA],"")</f>
        <v/>
      </c>
      <c r="B3896" t="str" cm="1">
        <f t="array" ref="B3896">IFERROR(INDEX(tbNucleo[ESCOLA],ROUNDUP(ROW(B3895)/TotalEtapas,0)),"")</f>
        <v/>
      </c>
      <c r="E3896" t="str">
        <f>IFERROR(VLOOKUP(tbEscolas[[#This Row],[COD ETPA]],tbEtapas[],2,FALSE),"")</f>
        <v/>
      </c>
      <c r="F3896" t="str">
        <f>IFERROR(VLOOKUP(tbEscolas[[#This Row],[COD ETPA]],tbEtapas[],3,FALSE),"")</f>
        <v/>
      </c>
    </row>
    <row r="3897" spans="1:6" x14ac:dyDescent="0.25">
      <c r="A3897" s="24" t="str">
        <f>_xlfn.XLOOKUP(tbEscolas[[#This Row],[ESCOLA]],tbNucleo[ESCOLA],tbNucleo[COD ESCOLA],"")</f>
        <v/>
      </c>
      <c r="B3897" t="str" cm="1">
        <f t="array" ref="B3897">IFERROR(INDEX(tbNucleo[ESCOLA],ROUNDUP(ROW(B3896)/TotalEtapas,0)),"")</f>
        <v/>
      </c>
      <c r="E3897" t="str">
        <f>IFERROR(VLOOKUP(tbEscolas[[#This Row],[COD ETPA]],tbEtapas[],2,FALSE),"")</f>
        <v/>
      </c>
      <c r="F3897" t="str">
        <f>IFERROR(VLOOKUP(tbEscolas[[#This Row],[COD ETPA]],tbEtapas[],3,FALSE),"")</f>
        <v/>
      </c>
    </row>
    <row r="3898" spans="1:6" x14ac:dyDescent="0.25">
      <c r="A3898" s="24" t="str">
        <f>_xlfn.XLOOKUP(tbEscolas[[#This Row],[ESCOLA]],tbNucleo[ESCOLA],tbNucleo[COD ESCOLA],"")</f>
        <v/>
      </c>
      <c r="B3898" t="str" cm="1">
        <f t="array" ref="B3898">IFERROR(INDEX(tbNucleo[ESCOLA],ROUNDUP(ROW(B3897)/TotalEtapas,0)),"")</f>
        <v/>
      </c>
      <c r="E3898" t="str">
        <f>IFERROR(VLOOKUP(tbEscolas[[#This Row],[COD ETPA]],tbEtapas[],2,FALSE),"")</f>
        <v/>
      </c>
      <c r="F3898" t="str">
        <f>IFERROR(VLOOKUP(tbEscolas[[#This Row],[COD ETPA]],tbEtapas[],3,FALSE),"")</f>
        <v/>
      </c>
    </row>
    <row r="3899" spans="1:6" x14ac:dyDescent="0.25">
      <c r="A3899" s="24" t="str">
        <f>_xlfn.XLOOKUP(tbEscolas[[#This Row],[ESCOLA]],tbNucleo[ESCOLA],tbNucleo[COD ESCOLA],"")</f>
        <v/>
      </c>
      <c r="B3899" t="str" cm="1">
        <f t="array" ref="B3899">IFERROR(INDEX(tbNucleo[ESCOLA],ROUNDUP(ROW(B3898)/TotalEtapas,0)),"")</f>
        <v/>
      </c>
      <c r="E3899" t="str">
        <f>IFERROR(VLOOKUP(tbEscolas[[#This Row],[COD ETPA]],tbEtapas[],2,FALSE),"")</f>
        <v/>
      </c>
      <c r="F3899" t="str">
        <f>IFERROR(VLOOKUP(tbEscolas[[#This Row],[COD ETPA]],tbEtapas[],3,FALSE),"")</f>
        <v/>
      </c>
    </row>
    <row r="3900" spans="1:6" x14ac:dyDescent="0.25">
      <c r="A3900" s="24" t="str">
        <f>_xlfn.XLOOKUP(tbEscolas[[#This Row],[ESCOLA]],tbNucleo[ESCOLA],tbNucleo[COD ESCOLA],"")</f>
        <v/>
      </c>
      <c r="B3900" t="str" cm="1">
        <f t="array" ref="B3900">IFERROR(INDEX(tbNucleo[ESCOLA],ROUNDUP(ROW(B3899)/TotalEtapas,0)),"")</f>
        <v/>
      </c>
      <c r="E3900" t="str">
        <f>IFERROR(VLOOKUP(tbEscolas[[#This Row],[COD ETPA]],tbEtapas[],2,FALSE),"")</f>
        <v/>
      </c>
      <c r="F3900" t="str">
        <f>IFERROR(VLOOKUP(tbEscolas[[#This Row],[COD ETPA]],tbEtapas[],3,FALSE),"")</f>
        <v/>
      </c>
    </row>
    <row r="3901" spans="1:6" x14ac:dyDescent="0.25">
      <c r="A3901" s="24" t="str">
        <f>_xlfn.XLOOKUP(tbEscolas[[#This Row],[ESCOLA]],tbNucleo[ESCOLA],tbNucleo[COD ESCOLA],"")</f>
        <v/>
      </c>
      <c r="B3901" t="str" cm="1">
        <f t="array" ref="B3901">IFERROR(INDEX(tbNucleo[ESCOLA],ROUNDUP(ROW(B3900)/TotalEtapas,0)),"")</f>
        <v/>
      </c>
      <c r="E3901" t="str">
        <f>IFERROR(VLOOKUP(tbEscolas[[#This Row],[COD ETPA]],tbEtapas[],2,FALSE),"")</f>
        <v/>
      </c>
      <c r="F3901" t="str">
        <f>IFERROR(VLOOKUP(tbEscolas[[#This Row],[COD ETPA]],tbEtapas[],3,FALSE),"")</f>
        <v/>
      </c>
    </row>
    <row r="3902" spans="1:6" x14ac:dyDescent="0.25">
      <c r="A3902" s="24" t="str">
        <f>_xlfn.XLOOKUP(tbEscolas[[#This Row],[ESCOLA]],tbNucleo[ESCOLA],tbNucleo[COD ESCOLA],"")</f>
        <v/>
      </c>
      <c r="B3902" t="str" cm="1">
        <f t="array" ref="B3902">IFERROR(INDEX(tbNucleo[ESCOLA],ROUNDUP(ROW(B3901)/TotalEtapas,0)),"")</f>
        <v/>
      </c>
      <c r="E3902" t="str">
        <f>IFERROR(VLOOKUP(tbEscolas[[#This Row],[COD ETPA]],tbEtapas[],2,FALSE),"")</f>
        <v/>
      </c>
      <c r="F3902" t="str">
        <f>IFERROR(VLOOKUP(tbEscolas[[#This Row],[COD ETPA]],tbEtapas[],3,FALSE),"")</f>
        <v/>
      </c>
    </row>
    <row r="3903" spans="1:6" x14ac:dyDescent="0.25">
      <c r="A3903" s="24" t="str">
        <f>_xlfn.XLOOKUP(tbEscolas[[#This Row],[ESCOLA]],tbNucleo[ESCOLA],tbNucleo[COD ESCOLA],"")</f>
        <v/>
      </c>
      <c r="B3903" t="str" cm="1">
        <f t="array" ref="B3903">IFERROR(INDEX(tbNucleo[ESCOLA],ROUNDUP(ROW(B3902)/TotalEtapas,0)),"")</f>
        <v/>
      </c>
      <c r="E3903" t="str">
        <f>IFERROR(VLOOKUP(tbEscolas[[#This Row],[COD ETPA]],tbEtapas[],2,FALSE),"")</f>
        <v/>
      </c>
      <c r="F3903" t="str">
        <f>IFERROR(VLOOKUP(tbEscolas[[#This Row],[COD ETPA]],tbEtapas[],3,FALSE),"")</f>
        <v/>
      </c>
    </row>
    <row r="3904" spans="1:6" x14ac:dyDescent="0.25">
      <c r="A3904" s="24" t="str">
        <f>_xlfn.XLOOKUP(tbEscolas[[#This Row],[ESCOLA]],tbNucleo[ESCOLA],tbNucleo[COD ESCOLA],"")</f>
        <v/>
      </c>
      <c r="B3904" t="str" cm="1">
        <f t="array" ref="B3904">IFERROR(INDEX(tbNucleo[ESCOLA],ROUNDUP(ROW(B3903)/TotalEtapas,0)),"")</f>
        <v/>
      </c>
      <c r="E3904" t="str">
        <f>IFERROR(VLOOKUP(tbEscolas[[#This Row],[COD ETPA]],tbEtapas[],2,FALSE),"")</f>
        <v/>
      </c>
      <c r="F3904" t="str">
        <f>IFERROR(VLOOKUP(tbEscolas[[#This Row],[COD ETPA]],tbEtapas[],3,FALSE),"")</f>
        <v/>
      </c>
    </row>
    <row r="3905" spans="1:6" x14ac:dyDescent="0.25">
      <c r="A3905" s="24" t="str">
        <f>_xlfn.XLOOKUP(tbEscolas[[#This Row],[ESCOLA]],tbNucleo[ESCOLA],tbNucleo[COD ESCOLA],"")</f>
        <v/>
      </c>
      <c r="B3905" t="str" cm="1">
        <f t="array" ref="B3905">IFERROR(INDEX(tbNucleo[ESCOLA],ROUNDUP(ROW(B3904)/TotalEtapas,0)),"")</f>
        <v/>
      </c>
      <c r="E3905" t="str">
        <f>IFERROR(VLOOKUP(tbEscolas[[#This Row],[COD ETPA]],tbEtapas[],2,FALSE),"")</f>
        <v/>
      </c>
      <c r="F3905" t="str">
        <f>IFERROR(VLOOKUP(tbEscolas[[#This Row],[COD ETPA]],tbEtapas[],3,FALSE),"")</f>
        <v/>
      </c>
    </row>
    <row r="3906" spans="1:6" x14ac:dyDescent="0.25">
      <c r="A3906" s="24" t="str">
        <f>_xlfn.XLOOKUP(tbEscolas[[#This Row],[ESCOLA]],tbNucleo[ESCOLA],tbNucleo[COD ESCOLA],"")</f>
        <v/>
      </c>
      <c r="B3906" t="str" cm="1">
        <f t="array" ref="B3906">IFERROR(INDEX(tbNucleo[ESCOLA],ROUNDUP(ROW(B3905)/TotalEtapas,0)),"")</f>
        <v/>
      </c>
      <c r="E3906" t="str">
        <f>IFERROR(VLOOKUP(tbEscolas[[#This Row],[COD ETPA]],tbEtapas[],2,FALSE),"")</f>
        <v/>
      </c>
      <c r="F3906" t="str">
        <f>IFERROR(VLOOKUP(tbEscolas[[#This Row],[COD ETPA]],tbEtapas[],3,FALSE),"")</f>
        <v/>
      </c>
    </row>
    <row r="3907" spans="1:6" x14ac:dyDescent="0.25">
      <c r="A3907" s="24" t="str">
        <f>_xlfn.XLOOKUP(tbEscolas[[#This Row],[ESCOLA]],tbNucleo[ESCOLA],tbNucleo[COD ESCOLA],"")</f>
        <v/>
      </c>
      <c r="B3907" t="str" cm="1">
        <f t="array" ref="B3907">IFERROR(INDEX(tbNucleo[ESCOLA],ROUNDUP(ROW(B3906)/TotalEtapas,0)),"")</f>
        <v/>
      </c>
      <c r="E3907" t="str">
        <f>IFERROR(VLOOKUP(tbEscolas[[#This Row],[COD ETPA]],tbEtapas[],2,FALSE),"")</f>
        <v/>
      </c>
      <c r="F3907" t="str">
        <f>IFERROR(VLOOKUP(tbEscolas[[#This Row],[COD ETPA]],tbEtapas[],3,FALSE),"")</f>
        <v/>
      </c>
    </row>
    <row r="3908" spans="1:6" x14ac:dyDescent="0.25">
      <c r="A3908" s="24" t="str">
        <f>_xlfn.XLOOKUP(tbEscolas[[#This Row],[ESCOLA]],tbNucleo[ESCOLA],tbNucleo[COD ESCOLA],"")</f>
        <v/>
      </c>
      <c r="B3908" t="str" cm="1">
        <f t="array" ref="B3908">IFERROR(INDEX(tbNucleo[ESCOLA],ROUNDUP(ROW(B3907)/TotalEtapas,0)),"")</f>
        <v/>
      </c>
      <c r="E3908" t="str">
        <f>IFERROR(VLOOKUP(tbEscolas[[#This Row],[COD ETPA]],tbEtapas[],2,FALSE),"")</f>
        <v/>
      </c>
      <c r="F3908" t="str">
        <f>IFERROR(VLOOKUP(tbEscolas[[#This Row],[COD ETPA]],tbEtapas[],3,FALSE),"")</f>
        <v/>
      </c>
    </row>
    <row r="3909" spans="1:6" x14ac:dyDescent="0.25">
      <c r="A3909" s="24" t="str">
        <f>_xlfn.XLOOKUP(tbEscolas[[#This Row],[ESCOLA]],tbNucleo[ESCOLA],tbNucleo[COD ESCOLA],"")</f>
        <v/>
      </c>
      <c r="B3909" t="str" cm="1">
        <f t="array" ref="B3909">IFERROR(INDEX(tbNucleo[ESCOLA],ROUNDUP(ROW(B3908)/TotalEtapas,0)),"")</f>
        <v/>
      </c>
      <c r="E3909" t="str">
        <f>IFERROR(VLOOKUP(tbEscolas[[#This Row],[COD ETPA]],tbEtapas[],2,FALSE),"")</f>
        <v/>
      </c>
      <c r="F3909" t="str">
        <f>IFERROR(VLOOKUP(tbEscolas[[#This Row],[COD ETPA]],tbEtapas[],3,FALSE),"")</f>
        <v/>
      </c>
    </row>
    <row r="3910" spans="1:6" x14ac:dyDescent="0.25">
      <c r="A3910" s="24" t="str">
        <f>_xlfn.XLOOKUP(tbEscolas[[#This Row],[ESCOLA]],tbNucleo[ESCOLA],tbNucleo[COD ESCOLA],"")</f>
        <v/>
      </c>
      <c r="B3910" t="str" cm="1">
        <f t="array" ref="B3910">IFERROR(INDEX(tbNucleo[ESCOLA],ROUNDUP(ROW(B3909)/TotalEtapas,0)),"")</f>
        <v/>
      </c>
      <c r="E3910" t="str">
        <f>IFERROR(VLOOKUP(tbEscolas[[#This Row],[COD ETPA]],tbEtapas[],2,FALSE),"")</f>
        <v/>
      </c>
      <c r="F3910" t="str">
        <f>IFERROR(VLOOKUP(tbEscolas[[#This Row],[COD ETPA]],tbEtapas[],3,FALSE),"")</f>
        <v/>
      </c>
    </row>
    <row r="3911" spans="1:6" x14ac:dyDescent="0.25">
      <c r="A3911" s="24" t="str">
        <f>_xlfn.XLOOKUP(tbEscolas[[#This Row],[ESCOLA]],tbNucleo[ESCOLA],tbNucleo[COD ESCOLA],"")</f>
        <v/>
      </c>
      <c r="B3911" t="str" cm="1">
        <f t="array" ref="B3911">IFERROR(INDEX(tbNucleo[ESCOLA],ROUNDUP(ROW(B3910)/TotalEtapas,0)),"")</f>
        <v/>
      </c>
      <c r="E3911" t="str">
        <f>IFERROR(VLOOKUP(tbEscolas[[#This Row],[COD ETPA]],tbEtapas[],2,FALSE),"")</f>
        <v/>
      </c>
      <c r="F3911" t="str">
        <f>IFERROR(VLOOKUP(tbEscolas[[#This Row],[COD ETPA]],tbEtapas[],3,FALSE),"")</f>
        <v/>
      </c>
    </row>
    <row r="3912" spans="1:6" x14ac:dyDescent="0.25">
      <c r="A3912" s="24" t="str">
        <f>_xlfn.XLOOKUP(tbEscolas[[#This Row],[ESCOLA]],tbNucleo[ESCOLA],tbNucleo[COD ESCOLA],"")</f>
        <v/>
      </c>
      <c r="B3912" t="str" cm="1">
        <f t="array" ref="B3912">IFERROR(INDEX(tbNucleo[ESCOLA],ROUNDUP(ROW(B3911)/TotalEtapas,0)),"")</f>
        <v/>
      </c>
      <c r="E3912" t="str">
        <f>IFERROR(VLOOKUP(tbEscolas[[#This Row],[COD ETPA]],tbEtapas[],2,FALSE),"")</f>
        <v/>
      </c>
      <c r="F3912" t="str">
        <f>IFERROR(VLOOKUP(tbEscolas[[#This Row],[COD ETPA]],tbEtapas[],3,FALSE),"")</f>
        <v/>
      </c>
    </row>
    <row r="3913" spans="1:6" x14ac:dyDescent="0.25">
      <c r="A3913" s="24" t="str">
        <f>_xlfn.XLOOKUP(tbEscolas[[#This Row],[ESCOLA]],tbNucleo[ESCOLA],tbNucleo[COD ESCOLA],"")</f>
        <v/>
      </c>
      <c r="B3913" t="str" cm="1">
        <f t="array" ref="B3913">IFERROR(INDEX(tbNucleo[ESCOLA],ROUNDUP(ROW(B3912)/TotalEtapas,0)),"")</f>
        <v/>
      </c>
      <c r="E3913" t="str">
        <f>IFERROR(VLOOKUP(tbEscolas[[#This Row],[COD ETPA]],tbEtapas[],2,FALSE),"")</f>
        <v/>
      </c>
      <c r="F3913" t="str">
        <f>IFERROR(VLOOKUP(tbEscolas[[#This Row],[COD ETPA]],tbEtapas[],3,FALSE),"")</f>
        <v/>
      </c>
    </row>
    <row r="3914" spans="1:6" x14ac:dyDescent="0.25">
      <c r="A3914" s="24" t="str">
        <f>_xlfn.XLOOKUP(tbEscolas[[#This Row],[ESCOLA]],tbNucleo[ESCOLA],tbNucleo[COD ESCOLA],"")</f>
        <v/>
      </c>
      <c r="B3914" t="str" cm="1">
        <f t="array" ref="B3914">IFERROR(INDEX(tbNucleo[ESCOLA],ROUNDUP(ROW(B3913)/TotalEtapas,0)),"")</f>
        <v/>
      </c>
      <c r="E3914" t="str">
        <f>IFERROR(VLOOKUP(tbEscolas[[#This Row],[COD ETPA]],tbEtapas[],2,FALSE),"")</f>
        <v/>
      </c>
      <c r="F3914" t="str">
        <f>IFERROR(VLOOKUP(tbEscolas[[#This Row],[COD ETPA]],tbEtapas[],3,FALSE),"")</f>
        <v/>
      </c>
    </row>
    <row r="3915" spans="1:6" x14ac:dyDescent="0.25">
      <c r="A3915" s="24" t="str">
        <f>_xlfn.XLOOKUP(tbEscolas[[#This Row],[ESCOLA]],tbNucleo[ESCOLA],tbNucleo[COD ESCOLA],"")</f>
        <v/>
      </c>
      <c r="B3915" t="str" cm="1">
        <f t="array" ref="B3915">IFERROR(INDEX(tbNucleo[ESCOLA],ROUNDUP(ROW(B3914)/TotalEtapas,0)),"")</f>
        <v/>
      </c>
      <c r="E3915" t="str">
        <f>IFERROR(VLOOKUP(tbEscolas[[#This Row],[COD ETPA]],tbEtapas[],2,FALSE),"")</f>
        <v/>
      </c>
      <c r="F3915" t="str">
        <f>IFERROR(VLOOKUP(tbEscolas[[#This Row],[COD ETPA]],tbEtapas[],3,FALSE),"")</f>
        <v/>
      </c>
    </row>
    <row r="3916" spans="1:6" x14ac:dyDescent="0.25">
      <c r="A3916" s="24" t="str">
        <f>_xlfn.XLOOKUP(tbEscolas[[#This Row],[ESCOLA]],tbNucleo[ESCOLA],tbNucleo[COD ESCOLA],"")</f>
        <v/>
      </c>
      <c r="B3916" t="str" cm="1">
        <f t="array" ref="B3916">IFERROR(INDEX(tbNucleo[ESCOLA],ROUNDUP(ROW(B3915)/TotalEtapas,0)),"")</f>
        <v/>
      </c>
      <c r="E3916" t="str">
        <f>IFERROR(VLOOKUP(tbEscolas[[#This Row],[COD ETPA]],tbEtapas[],2,FALSE),"")</f>
        <v/>
      </c>
      <c r="F3916" t="str">
        <f>IFERROR(VLOOKUP(tbEscolas[[#This Row],[COD ETPA]],tbEtapas[],3,FALSE),"")</f>
        <v/>
      </c>
    </row>
    <row r="3917" spans="1:6" x14ac:dyDescent="0.25">
      <c r="A3917" s="24" t="str">
        <f>_xlfn.XLOOKUP(tbEscolas[[#This Row],[ESCOLA]],tbNucleo[ESCOLA],tbNucleo[COD ESCOLA],"")</f>
        <v/>
      </c>
      <c r="B3917" t="str" cm="1">
        <f t="array" ref="B3917">IFERROR(INDEX(tbNucleo[ESCOLA],ROUNDUP(ROW(B3916)/TotalEtapas,0)),"")</f>
        <v/>
      </c>
      <c r="E3917" t="str">
        <f>IFERROR(VLOOKUP(tbEscolas[[#This Row],[COD ETPA]],tbEtapas[],2,FALSE),"")</f>
        <v/>
      </c>
      <c r="F3917" t="str">
        <f>IFERROR(VLOOKUP(tbEscolas[[#This Row],[COD ETPA]],tbEtapas[],3,FALSE),"")</f>
        <v/>
      </c>
    </row>
    <row r="3918" spans="1:6" x14ac:dyDescent="0.25">
      <c r="A3918" s="24" t="str">
        <f>_xlfn.XLOOKUP(tbEscolas[[#This Row],[ESCOLA]],tbNucleo[ESCOLA],tbNucleo[COD ESCOLA],"")</f>
        <v/>
      </c>
      <c r="B3918" t="str" cm="1">
        <f t="array" ref="B3918">IFERROR(INDEX(tbNucleo[ESCOLA],ROUNDUP(ROW(B3917)/TotalEtapas,0)),"")</f>
        <v/>
      </c>
      <c r="E3918" t="str">
        <f>IFERROR(VLOOKUP(tbEscolas[[#This Row],[COD ETPA]],tbEtapas[],2,FALSE),"")</f>
        <v/>
      </c>
      <c r="F3918" t="str">
        <f>IFERROR(VLOOKUP(tbEscolas[[#This Row],[COD ETPA]],tbEtapas[],3,FALSE),"")</f>
        <v/>
      </c>
    </row>
    <row r="3919" spans="1:6" x14ac:dyDescent="0.25">
      <c r="A3919" s="24" t="str">
        <f>_xlfn.XLOOKUP(tbEscolas[[#This Row],[ESCOLA]],tbNucleo[ESCOLA],tbNucleo[COD ESCOLA],"")</f>
        <v/>
      </c>
      <c r="B3919" t="str" cm="1">
        <f t="array" ref="B3919">IFERROR(INDEX(tbNucleo[ESCOLA],ROUNDUP(ROW(B3918)/TotalEtapas,0)),"")</f>
        <v/>
      </c>
      <c r="E3919" t="str">
        <f>IFERROR(VLOOKUP(tbEscolas[[#This Row],[COD ETPA]],tbEtapas[],2,FALSE),"")</f>
        <v/>
      </c>
      <c r="F3919" t="str">
        <f>IFERROR(VLOOKUP(tbEscolas[[#This Row],[COD ETPA]],tbEtapas[],3,FALSE),"")</f>
        <v/>
      </c>
    </row>
    <row r="3920" spans="1:6" x14ac:dyDescent="0.25">
      <c r="A3920" s="24" t="str">
        <f>_xlfn.XLOOKUP(tbEscolas[[#This Row],[ESCOLA]],tbNucleo[ESCOLA],tbNucleo[COD ESCOLA],"")</f>
        <v/>
      </c>
      <c r="B3920" t="str" cm="1">
        <f t="array" ref="B3920">IFERROR(INDEX(tbNucleo[ESCOLA],ROUNDUP(ROW(B3919)/TotalEtapas,0)),"")</f>
        <v/>
      </c>
      <c r="E3920" t="str">
        <f>IFERROR(VLOOKUP(tbEscolas[[#This Row],[COD ETPA]],tbEtapas[],2,FALSE),"")</f>
        <v/>
      </c>
      <c r="F3920" t="str">
        <f>IFERROR(VLOOKUP(tbEscolas[[#This Row],[COD ETPA]],tbEtapas[],3,FALSE),"")</f>
        <v/>
      </c>
    </row>
    <row r="3921" spans="1:6" x14ac:dyDescent="0.25">
      <c r="A3921" s="24" t="str">
        <f>_xlfn.XLOOKUP(tbEscolas[[#This Row],[ESCOLA]],tbNucleo[ESCOLA],tbNucleo[COD ESCOLA],"")</f>
        <v/>
      </c>
      <c r="B3921" t="str" cm="1">
        <f t="array" ref="B3921">IFERROR(INDEX(tbNucleo[ESCOLA],ROUNDUP(ROW(B3920)/TotalEtapas,0)),"")</f>
        <v/>
      </c>
      <c r="E3921" t="str">
        <f>IFERROR(VLOOKUP(tbEscolas[[#This Row],[COD ETPA]],tbEtapas[],2,FALSE),"")</f>
        <v/>
      </c>
      <c r="F3921" t="str">
        <f>IFERROR(VLOOKUP(tbEscolas[[#This Row],[COD ETPA]],tbEtapas[],3,FALSE),"")</f>
        <v/>
      </c>
    </row>
    <row r="3922" spans="1:6" x14ac:dyDescent="0.25">
      <c r="A3922" s="24" t="str">
        <f>_xlfn.XLOOKUP(tbEscolas[[#This Row],[ESCOLA]],tbNucleo[ESCOLA],tbNucleo[COD ESCOLA],"")</f>
        <v/>
      </c>
      <c r="B3922" t="str" cm="1">
        <f t="array" ref="B3922">IFERROR(INDEX(tbNucleo[ESCOLA],ROUNDUP(ROW(B3921)/TotalEtapas,0)),"")</f>
        <v/>
      </c>
      <c r="E3922" t="str">
        <f>IFERROR(VLOOKUP(tbEscolas[[#This Row],[COD ETPA]],tbEtapas[],2,FALSE),"")</f>
        <v/>
      </c>
      <c r="F3922" t="str">
        <f>IFERROR(VLOOKUP(tbEscolas[[#This Row],[COD ETPA]],tbEtapas[],3,FALSE),"")</f>
        <v/>
      </c>
    </row>
    <row r="3923" spans="1:6" x14ac:dyDescent="0.25">
      <c r="A3923" s="24" t="str">
        <f>_xlfn.XLOOKUP(tbEscolas[[#This Row],[ESCOLA]],tbNucleo[ESCOLA],tbNucleo[COD ESCOLA],"")</f>
        <v/>
      </c>
      <c r="B3923" t="str" cm="1">
        <f t="array" ref="B3923">IFERROR(INDEX(tbNucleo[ESCOLA],ROUNDUP(ROW(B3922)/TotalEtapas,0)),"")</f>
        <v/>
      </c>
      <c r="E3923" t="str">
        <f>IFERROR(VLOOKUP(tbEscolas[[#This Row],[COD ETPA]],tbEtapas[],2,FALSE),"")</f>
        <v/>
      </c>
      <c r="F3923" t="str">
        <f>IFERROR(VLOOKUP(tbEscolas[[#This Row],[COD ETPA]],tbEtapas[],3,FALSE),"")</f>
        <v/>
      </c>
    </row>
    <row r="3924" spans="1:6" x14ac:dyDescent="0.25">
      <c r="A3924" s="24" t="str">
        <f>_xlfn.XLOOKUP(tbEscolas[[#This Row],[ESCOLA]],tbNucleo[ESCOLA],tbNucleo[COD ESCOLA],"")</f>
        <v/>
      </c>
      <c r="B3924" t="str" cm="1">
        <f t="array" ref="B3924">IFERROR(INDEX(tbNucleo[ESCOLA],ROUNDUP(ROW(B3923)/TotalEtapas,0)),"")</f>
        <v/>
      </c>
      <c r="E3924" t="str">
        <f>IFERROR(VLOOKUP(tbEscolas[[#This Row],[COD ETPA]],tbEtapas[],2,FALSE),"")</f>
        <v/>
      </c>
      <c r="F3924" t="str">
        <f>IFERROR(VLOOKUP(tbEscolas[[#This Row],[COD ETPA]],tbEtapas[],3,FALSE),"")</f>
        <v/>
      </c>
    </row>
    <row r="3925" spans="1:6" x14ac:dyDescent="0.25">
      <c r="A3925" s="24" t="str">
        <f>_xlfn.XLOOKUP(tbEscolas[[#This Row],[ESCOLA]],tbNucleo[ESCOLA],tbNucleo[COD ESCOLA],"")</f>
        <v/>
      </c>
      <c r="B3925" t="str" cm="1">
        <f t="array" ref="B3925">IFERROR(INDEX(tbNucleo[ESCOLA],ROUNDUP(ROW(B3924)/TotalEtapas,0)),"")</f>
        <v/>
      </c>
      <c r="E3925" t="str">
        <f>IFERROR(VLOOKUP(tbEscolas[[#This Row],[COD ETPA]],tbEtapas[],2,FALSE),"")</f>
        <v/>
      </c>
      <c r="F3925" t="str">
        <f>IFERROR(VLOOKUP(tbEscolas[[#This Row],[COD ETPA]],tbEtapas[],3,FALSE),"")</f>
        <v/>
      </c>
    </row>
    <row r="3926" spans="1:6" x14ac:dyDescent="0.25">
      <c r="A3926" s="24" t="str">
        <f>_xlfn.XLOOKUP(tbEscolas[[#This Row],[ESCOLA]],tbNucleo[ESCOLA],tbNucleo[COD ESCOLA],"")</f>
        <v/>
      </c>
      <c r="B3926" t="str" cm="1">
        <f t="array" ref="B3926">IFERROR(INDEX(tbNucleo[ESCOLA],ROUNDUP(ROW(B3925)/TotalEtapas,0)),"")</f>
        <v/>
      </c>
      <c r="E3926" t="str">
        <f>IFERROR(VLOOKUP(tbEscolas[[#This Row],[COD ETPA]],tbEtapas[],2,FALSE),"")</f>
        <v/>
      </c>
      <c r="F3926" t="str">
        <f>IFERROR(VLOOKUP(tbEscolas[[#This Row],[COD ETPA]],tbEtapas[],3,FALSE),"")</f>
        <v/>
      </c>
    </row>
    <row r="3927" spans="1:6" x14ac:dyDescent="0.25">
      <c r="A3927" s="24" t="str">
        <f>_xlfn.XLOOKUP(tbEscolas[[#This Row],[ESCOLA]],tbNucleo[ESCOLA],tbNucleo[COD ESCOLA],"")</f>
        <v/>
      </c>
      <c r="B3927" t="str" cm="1">
        <f t="array" ref="B3927">IFERROR(INDEX(tbNucleo[ESCOLA],ROUNDUP(ROW(B3926)/TotalEtapas,0)),"")</f>
        <v/>
      </c>
      <c r="E3927" t="str">
        <f>IFERROR(VLOOKUP(tbEscolas[[#This Row],[COD ETPA]],tbEtapas[],2,FALSE),"")</f>
        <v/>
      </c>
      <c r="F3927" t="str">
        <f>IFERROR(VLOOKUP(tbEscolas[[#This Row],[COD ETPA]],tbEtapas[],3,FALSE),"")</f>
        <v/>
      </c>
    </row>
    <row r="3928" spans="1:6" x14ac:dyDescent="0.25">
      <c r="A3928" s="24" t="str">
        <f>_xlfn.XLOOKUP(tbEscolas[[#This Row],[ESCOLA]],tbNucleo[ESCOLA],tbNucleo[COD ESCOLA],"")</f>
        <v/>
      </c>
      <c r="B3928" t="str" cm="1">
        <f t="array" ref="B3928">IFERROR(INDEX(tbNucleo[ESCOLA],ROUNDUP(ROW(B3927)/TotalEtapas,0)),"")</f>
        <v/>
      </c>
      <c r="E3928" t="str">
        <f>IFERROR(VLOOKUP(tbEscolas[[#This Row],[COD ETPA]],tbEtapas[],2,FALSE),"")</f>
        <v/>
      </c>
      <c r="F3928" t="str">
        <f>IFERROR(VLOOKUP(tbEscolas[[#This Row],[COD ETPA]],tbEtapas[],3,FALSE),"")</f>
        <v/>
      </c>
    </row>
    <row r="3929" spans="1:6" x14ac:dyDescent="0.25">
      <c r="A3929" s="24" t="str">
        <f>_xlfn.XLOOKUP(tbEscolas[[#This Row],[ESCOLA]],tbNucleo[ESCOLA],tbNucleo[COD ESCOLA],"")</f>
        <v/>
      </c>
      <c r="B3929" t="str" cm="1">
        <f t="array" ref="B3929">IFERROR(INDEX(tbNucleo[ESCOLA],ROUNDUP(ROW(B3928)/TotalEtapas,0)),"")</f>
        <v/>
      </c>
      <c r="E3929" t="str">
        <f>IFERROR(VLOOKUP(tbEscolas[[#This Row],[COD ETPA]],tbEtapas[],2,FALSE),"")</f>
        <v/>
      </c>
      <c r="F3929" t="str">
        <f>IFERROR(VLOOKUP(tbEscolas[[#This Row],[COD ETPA]],tbEtapas[],3,FALSE),"")</f>
        <v/>
      </c>
    </row>
    <row r="3930" spans="1:6" x14ac:dyDescent="0.25">
      <c r="A3930" s="24" t="str">
        <f>_xlfn.XLOOKUP(tbEscolas[[#This Row],[ESCOLA]],tbNucleo[ESCOLA],tbNucleo[COD ESCOLA],"")</f>
        <v/>
      </c>
      <c r="B3930" t="str" cm="1">
        <f t="array" ref="B3930">IFERROR(INDEX(tbNucleo[ESCOLA],ROUNDUP(ROW(B3929)/TotalEtapas,0)),"")</f>
        <v/>
      </c>
      <c r="E3930" t="str">
        <f>IFERROR(VLOOKUP(tbEscolas[[#This Row],[COD ETPA]],tbEtapas[],2,FALSE),"")</f>
        <v/>
      </c>
      <c r="F3930" t="str">
        <f>IFERROR(VLOOKUP(tbEscolas[[#This Row],[COD ETPA]],tbEtapas[],3,FALSE),"")</f>
        <v/>
      </c>
    </row>
    <row r="3931" spans="1:6" x14ac:dyDescent="0.25">
      <c r="A3931" s="24" t="str">
        <f>_xlfn.XLOOKUP(tbEscolas[[#This Row],[ESCOLA]],tbNucleo[ESCOLA],tbNucleo[COD ESCOLA],"")</f>
        <v/>
      </c>
      <c r="B3931" t="str" cm="1">
        <f t="array" ref="B3931">IFERROR(INDEX(tbNucleo[ESCOLA],ROUNDUP(ROW(B3930)/TotalEtapas,0)),"")</f>
        <v/>
      </c>
      <c r="E3931" t="str">
        <f>IFERROR(VLOOKUP(tbEscolas[[#This Row],[COD ETPA]],tbEtapas[],2,FALSE),"")</f>
        <v/>
      </c>
      <c r="F3931" t="str">
        <f>IFERROR(VLOOKUP(tbEscolas[[#This Row],[COD ETPA]],tbEtapas[],3,FALSE),"")</f>
        <v/>
      </c>
    </row>
    <row r="3932" spans="1:6" x14ac:dyDescent="0.25">
      <c r="A3932" s="24" t="str">
        <f>_xlfn.XLOOKUP(tbEscolas[[#This Row],[ESCOLA]],tbNucleo[ESCOLA],tbNucleo[COD ESCOLA],"")</f>
        <v/>
      </c>
      <c r="B3932" t="str" cm="1">
        <f t="array" ref="B3932">IFERROR(INDEX(tbNucleo[ESCOLA],ROUNDUP(ROW(B3931)/TotalEtapas,0)),"")</f>
        <v/>
      </c>
      <c r="E3932" t="str">
        <f>IFERROR(VLOOKUP(tbEscolas[[#This Row],[COD ETPA]],tbEtapas[],2,FALSE),"")</f>
        <v/>
      </c>
      <c r="F3932" t="str">
        <f>IFERROR(VLOOKUP(tbEscolas[[#This Row],[COD ETPA]],tbEtapas[],3,FALSE),"")</f>
        <v/>
      </c>
    </row>
    <row r="3933" spans="1:6" x14ac:dyDescent="0.25">
      <c r="A3933" s="24" t="str">
        <f>_xlfn.XLOOKUP(tbEscolas[[#This Row],[ESCOLA]],tbNucleo[ESCOLA],tbNucleo[COD ESCOLA],"")</f>
        <v/>
      </c>
      <c r="B3933" t="str" cm="1">
        <f t="array" ref="B3933">IFERROR(INDEX(tbNucleo[ESCOLA],ROUNDUP(ROW(B3932)/TotalEtapas,0)),"")</f>
        <v/>
      </c>
      <c r="E3933" t="str">
        <f>IFERROR(VLOOKUP(tbEscolas[[#This Row],[COD ETPA]],tbEtapas[],2,FALSE),"")</f>
        <v/>
      </c>
      <c r="F3933" t="str">
        <f>IFERROR(VLOOKUP(tbEscolas[[#This Row],[COD ETPA]],tbEtapas[],3,FALSE),"")</f>
        <v/>
      </c>
    </row>
    <row r="3934" spans="1:6" x14ac:dyDescent="0.25">
      <c r="A3934" s="24" t="str">
        <f>_xlfn.XLOOKUP(tbEscolas[[#This Row],[ESCOLA]],tbNucleo[ESCOLA],tbNucleo[COD ESCOLA],"")</f>
        <v/>
      </c>
      <c r="B3934" t="str" cm="1">
        <f t="array" ref="B3934">IFERROR(INDEX(tbNucleo[ESCOLA],ROUNDUP(ROW(B3933)/TotalEtapas,0)),"")</f>
        <v/>
      </c>
      <c r="E3934" t="str">
        <f>IFERROR(VLOOKUP(tbEscolas[[#This Row],[COD ETPA]],tbEtapas[],2,FALSE),"")</f>
        <v/>
      </c>
      <c r="F3934" t="str">
        <f>IFERROR(VLOOKUP(tbEscolas[[#This Row],[COD ETPA]],tbEtapas[],3,FALSE),"")</f>
        <v/>
      </c>
    </row>
    <row r="3935" spans="1:6" x14ac:dyDescent="0.25">
      <c r="A3935" s="24" t="str">
        <f>_xlfn.XLOOKUP(tbEscolas[[#This Row],[ESCOLA]],tbNucleo[ESCOLA],tbNucleo[COD ESCOLA],"")</f>
        <v/>
      </c>
      <c r="B3935" t="str" cm="1">
        <f t="array" ref="B3935">IFERROR(INDEX(tbNucleo[ESCOLA],ROUNDUP(ROW(B3934)/TotalEtapas,0)),"")</f>
        <v/>
      </c>
      <c r="E3935" t="str">
        <f>IFERROR(VLOOKUP(tbEscolas[[#This Row],[COD ETPA]],tbEtapas[],2,FALSE),"")</f>
        <v/>
      </c>
      <c r="F3935" t="str">
        <f>IFERROR(VLOOKUP(tbEscolas[[#This Row],[COD ETPA]],tbEtapas[],3,FALSE),"")</f>
        <v/>
      </c>
    </row>
    <row r="3936" spans="1:6" x14ac:dyDescent="0.25">
      <c r="A3936" s="24" t="str">
        <f>_xlfn.XLOOKUP(tbEscolas[[#This Row],[ESCOLA]],tbNucleo[ESCOLA],tbNucleo[COD ESCOLA],"")</f>
        <v/>
      </c>
      <c r="B3936" t="str" cm="1">
        <f t="array" ref="B3936">IFERROR(INDEX(tbNucleo[ESCOLA],ROUNDUP(ROW(B3935)/TotalEtapas,0)),"")</f>
        <v/>
      </c>
      <c r="E3936" t="str">
        <f>IFERROR(VLOOKUP(tbEscolas[[#This Row],[COD ETPA]],tbEtapas[],2,FALSE),"")</f>
        <v/>
      </c>
      <c r="F3936" t="str">
        <f>IFERROR(VLOOKUP(tbEscolas[[#This Row],[COD ETPA]],tbEtapas[],3,FALSE),"")</f>
        <v/>
      </c>
    </row>
    <row r="3937" spans="1:6" x14ac:dyDescent="0.25">
      <c r="A3937" s="24" t="str">
        <f>_xlfn.XLOOKUP(tbEscolas[[#This Row],[ESCOLA]],tbNucleo[ESCOLA],tbNucleo[COD ESCOLA],"")</f>
        <v/>
      </c>
      <c r="B3937" t="str" cm="1">
        <f t="array" ref="B3937">IFERROR(INDEX(tbNucleo[ESCOLA],ROUNDUP(ROW(B3936)/TotalEtapas,0)),"")</f>
        <v/>
      </c>
      <c r="E3937" t="str">
        <f>IFERROR(VLOOKUP(tbEscolas[[#This Row],[COD ETPA]],tbEtapas[],2,FALSE),"")</f>
        <v/>
      </c>
      <c r="F3937" t="str">
        <f>IFERROR(VLOOKUP(tbEscolas[[#This Row],[COD ETPA]],tbEtapas[],3,FALSE),"")</f>
        <v/>
      </c>
    </row>
    <row r="3938" spans="1:6" x14ac:dyDescent="0.25">
      <c r="A3938" s="24" t="str">
        <f>_xlfn.XLOOKUP(tbEscolas[[#This Row],[ESCOLA]],tbNucleo[ESCOLA],tbNucleo[COD ESCOLA],"")</f>
        <v/>
      </c>
      <c r="B3938" t="str" cm="1">
        <f t="array" ref="B3938">IFERROR(INDEX(tbNucleo[ESCOLA],ROUNDUP(ROW(B3937)/TotalEtapas,0)),"")</f>
        <v/>
      </c>
      <c r="E3938" t="str">
        <f>IFERROR(VLOOKUP(tbEscolas[[#This Row],[COD ETPA]],tbEtapas[],2,FALSE),"")</f>
        <v/>
      </c>
      <c r="F3938" t="str">
        <f>IFERROR(VLOOKUP(tbEscolas[[#This Row],[COD ETPA]],tbEtapas[],3,FALSE),"")</f>
        <v/>
      </c>
    </row>
    <row r="3939" spans="1:6" x14ac:dyDescent="0.25">
      <c r="A3939" s="24" t="str">
        <f>_xlfn.XLOOKUP(tbEscolas[[#This Row],[ESCOLA]],tbNucleo[ESCOLA],tbNucleo[COD ESCOLA],"")</f>
        <v/>
      </c>
      <c r="B3939" t="str" cm="1">
        <f t="array" ref="B3939">IFERROR(INDEX(tbNucleo[ESCOLA],ROUNDUP(ROW(B3938)/TotalEtapas,0)),"")</f>
        <v/>
      </c>
      <c r="E3939" t="str">
        <f>IFERROR(VLOOKUP(tbEscolas[[#This Row],[COD ETPA]],tbEtapas[],2,FALSE),"")</f>
        <v/>
      </c>
      <c r="F3939" t="str">
        <f>IFERROR(VLOOKUP(tbEscolas[[#This Row],[COD ETPA]],tbEtapas[],3,FALSE),"")</f>
        <v/>
      </c>
    </row>
    <row r="3940" spans="1:6" x14ac:dyDescent="0.25">
      <c r="A3940" s="24" t="str">
        <f>_xlfn.XLOOKUP(tbEscolas[[#This Row],[ESCOLA]],tbNucleo[ESCOLA],tbNucleo[COD ESCOLA],"")</f>
        <v/>
      </c>
      <c r="B3940" t="str" cm="1">
        <f t="array" ref="B3940">IFERROR(INDEX(tbNucleo[ESCOLA],ROUNDUP(ROW(B3939)/TotalEtapas,0)),"")</f>
        <v/>
      </c>
      <c r="E3940" t="str">
        <f>IFERROR(VLOOKUP(tbEscolas[[#This Row],[COD ETPA]],tbEtapas[],2,FALSE),"")</f>
        <v/>
      </c>
      <c r="F3940" t="str">
        <f>IFERROR(VLOOKUP(tbEscolas[[#This Row],[COD ETPA]],tbEtapas[],3,FALSE),"")</f>
        <v/>
      </c>
    </row>
    <row r="3941" spans="1:6" x14ac:dyDescent="0.25">
      <c r="A3941" s="24" t="str">
        <f>_xlfn.XLOOKUP(tbEscolas[[#This Row],[ESCOLA]],tbNucleo[ESCOLA],tbNucleo[COD ESCOLA],"")</f>
        <v/>
      </c>
      <c r="B3941" t="str" cm="1">
        <f t="array" ref="B3941">IFERROR(INDEX(tbNucleo[ESCOLA],ROUNDUP(ROW(B3940)/TotalEtapas,0)),"")</f>
        <v/>
      </c>
      <c r="E3941" t="str">
        <f>IFERROR(VLOOKUP(tbEscolas[[#This Row],[COD ETPA]],tbEtapas[],2,FALSE),"")</f>
        <v/>
      </c>
      <c r="F3941" t="str">
        <f>IFERROR(VLOOKUP(tbEscolas[[#This Row],[COD ETPA]],tbEtapas[],3,FALSE),"")</f>
        <v/>
      </c>
    </row>
    <row r="3942" spans="1:6" x14ac:dyDescent="0.25">
      <c r="A3942" s="24" t="str">
        <f>_xlfn.XLOOKUP(tbEscolas[[#This Row],[ESCOLA]],tbNucleo[ESCOLA],tbNucleo[COD ESCOLA],"")</f>
        <v/>
      </c>
      <c r="B3942" t="str" cm="1">
        <f t="array" ref="B3942">IFERROR(INDEX(tbNucleo[ESCOLA],ROUNDUP(ROW(B3941)/TotalEtapas,0)),"")</f>
        <v/>
      </c>
      <c r="E3942" t="str">
        <f>IFERROR(VLOOKUP(tbEscolas[[#This Row],[COD ETPA]],tbEtapas[],2,FALSE),"")</f>
        <v/>
      </c>
      <c r="F3942" t="str">
        <f>IFERROR(VLOOKUP(tbEscolas[[#This Row],[COD ETPA]],tbEtapas[],3,FALSE),"")</f>
        <v/>
      </c>
    </row>
    <row r="3943" spans="1:6" x14ac:dyDescent="0.25">
      <c r="A3943" s="24" t="str">
        <f>_xlfn.XLOOKUP(tbEscolas[[#This Row],[ESCOLA]],tbNucleo[ESCOLA],tbNucleo[COD ESCOLA],"")</f>
        <v/>
      </c>
      <c r="B3943" t="str" cm="1">
        <f t="array" ref="B3943">IFERROR(INDEX(tbNucleo[ESCOLA],ROUNDUP(ROW(B3942)/TotalEtapas,0)),"")</f>
        <v/>
      </c>
      <c r="E3943" t="str">
        <f>IFERROR(VLOOKUP(tbEscolas[[#This Row],[COD ETPA]],tbEtapas[],2,FALSE),"")</f>
        <v/>
      </c>
      <c r="F3943" t="str">
        <f>IFERROR(VLOOKUP(tbEscolas[[#This Row],[COD ETPA]],tbEtapas[],3,FALSE),"")</f>
        <v/>
      </c>
    </row>
    <row r="3944" spans="1:6" x14ac:dyDescent="0.25">
      <c r="A3944" s="24" t="str">
        <f>_xlfn.XLOOKUP(tbEscolas[[#This Row],[ESCOLA]],tbNucleo[ESCOLA],tbNucleo[COD ESCOLA],"")</f>
        <v/>
      </c>
      <c r="B3944" t="str" cm="1">
        <f t="array" ref="B3944">IFERROR(INDEX(tbNucleo[ESCOLA],ROUNDUP(ROW(B3943)/TotalEtapas,0)),"")</f>
        <v/>
      </c>
      <c r="E3944" t="str">
        <f>IFERROR(VLOOKUP(tbEscolas[[#This Row],[COD ETPA]],tbEtapas[],2,FALSE),"")</f>
        <v/>
      </c>
      <c r="F3944" t="str">
        <f>IFERROR(VLOOKUP(tbEscolas[[#This Row],[COD ETPA]],tbEtapas[],3,FALSE),"")</f>
        <v/>
      </c>
    </row>
    <row r="3945" spans="1:6" x14ac:dyDescent="0.25">
      <c r="A3945" s="24" t="str">
        <f>_xlfn.XLOOKUP(tbEscolas[[#This Row],[ESCOLA]],tbNucleo[ESCOLA],tbNucleo[COD ESCOLA],"")</f>
        <v/>
      </c>
      <c r="B3945" t="str" cm="1">
        <f t="array" ref="B3945">IFERROR(INDEX(tbNucleo[ESCOLA],ROUNDUP(ROW(B3944)/TotalEtapas,0)),"")</f>
        <v/>
      </c>
      <c r="E3945" t="str">
        <f>IFERROR(VLOOKUP(tbEscolas[[#This Row],[COD ETPA]],tbEtapas[],2,FALSE),"")</f>
        <v/>
      </c>
      <c r="F3945" t="str">
        <f>IFERROR(VLOOKUP(tbEscolas[[#This Row],[COD ETPA]],tbEtapas[],3,FALSE),"")</f>
        <v/>
      </c>
    </row>
    <row r="3946" spans="1:6" x14ac:dyDescent="0.25">
      <c r="A3946" s="24" t="str">
        <f>_xlfn.XLOOKUP(tbEscolas[[#This Row],[ESCOLA]],tbNucleo[ESCOLA],tbNucleo[COD ESCOLA],"")</f>
        <v/>
      </c>
      <c r="B3946" t="str" cm="1">
        <f t="array" ref="B3946">IFERROR(INDEX(tbNucleo[ESCOLA],ROUNDUP(ROW(B3945)/TotalEtapas,0)),"")</f>
        <v/>
      </c>
      <c r="E3946" t="str">
        <f>IFERROR(VLOOKUP(tbEscolas[[#This Row],[COD ETPA]],tbEtapas[],2,FALSE),"")</f>
        <v/>
      </c>
      <c r="F3946" t="str">
        <f>IFERROR(VLOOKUP(tbEscolas[[#This Row],[COD ETPA]],tbEtapas[],3,FALSE),"")</f>
        <v/>
      </c>
    </row>
    <row r="3947" spans="1:6" x14ac:dyDescent="0.25">
      <c r="A3947" s="24" t="str">
        <f>_xlfn.XLOOKUP(tbEscolas[[#This Row],[ESCOLA]],tbNucleo[ESCOLA],tbNucleo[COD ESCOLA],"")</f>
        <v/>
      </c>
      <c r="B3947" t="str" cm="1">
        <f t="array" ref="B3947">IFERROR(INDEX(tbNucleo[ESCOLA],ROUNDUP(ROW(B3946)/TotalEtapas,0)),"")</f>
        <v/>
      </c>
      <c r="E3947" t="str">
        <f>IFERROR(VLOOKUP(tbEscolas[[#This Row],[COD ETPA]],tbEtapas[],2,FALSE),"")</f>
        <v/>
      </c>
      <c r="F3947" t="str">
        <f>IFERROR(VLOOKUP(tbEscolas[[#This Row],[COD ETPA]],tbEtapas[],3,FALSE),"")</f>
        <v/>
      </c>
    </row>
    <row r="3948" spans="1:6" x14ac:dyDescent="0.25">
      <c r="A3948" s="24" t="str">
        <f>_xlfn.XLOOKUP(tbEscolas[[#This Row],[ESCOLA]],tbNucleo[ESCOLA],tbNucleo[COD ESCOLA],"")</f>
        <v/>
      </c>
      <c r="B3948" t="str" cm="1">
        <f t="array" ref="B3948">IFERROR(INDEX(tbNucleo[ESCOLA],ROUNDUP(ROW(B3947)/TotalEtapas,0)),"")</f>
        <v/>
      </c>
      <c r="E3948" t="str">
        <f>IFERROR(VLOOKUP(tbEscolas[[#This Row],[COD ETPA]],tbEtapas[],2,FALSE),"")</f>
        <v/>
      </c>
      <c r="F3948" t="str">
        <f>IFERROR(VLOOKUP(tbEscolas[[#This Row],[COD ETPA]],tbEtapas[],3,FALSE),"")</f>
        <v/>
      </c>
    </row>
    <row r="3949" spans="1:6" x14ac:dyDescent="0.25">
      <c r="A3949" s="24" t="str">
        <f>_xlfn.XLOOKUP(tbEscolas[[#This Row],[ESCOLA]],tbNucleo[ESCOLA],tbNucleo[COD ESCOLA],"")</f>
        <v/>
      </c>
      <c r="B3949" t="str" cm="1">
        <f t="array" ref="B3949">IFERROR(INDEX(tbNucleo[ESCOLA],ROUNDUP(ROW(B3948)/TotalEtapas,0)),"")</f>
        <v/>
      </c>
      <c r="E3949" t="str">
        <f>IFERROR(VLOOKUP(tbEscolas[[#This Row],[COD ETPA]],tbEtapas[],2,FALSE),"")</f>
        <v/>
      </c>
      <c r="F3949" t="str">
        <f>IFERROR(VLOOKUP(tbEscolas[[#This Row],[COD ETPA]],tbEtapas[],3,FALSE),"")</f>
        <v/>
      </c>
    </row>
    <row r="3950" spans="1:6" x14ac:dyDescent="0.25">
      <c r="A3950" s="24" t="str">
        <f>_xlfn.XLOOKUP(tbEscolas[[#This Row],[ESCOLA]],tbNucleo[ESCOLA],tbNucleo[COD ESCOLA],"")</f>
        <v/>
      </c>
      <c r="B3950" t="str" cm="1">
        <f t="array" ref="B3950">IFERROR(INDEX(tbNucleo[ESCOLA],ROUNDUP(ROW(B3949)/TotalEtapas,0)),"")</f>
        <v/>
      </c>
      <c r="E3950" t="str">
        <f>IFERROR(VLOOKUP(tbEscolas[[#This Row],[COD ETPA]],tbEtapas[],2,FALSE),"")</f>
        <v/>
      </c>
      <c r="F3950" t="str">
        <f>IFERROR(VLOOKUP(tbEscolas[[#This Row],[COD ETPA]],tbEtapas[],3,FALSE),"")</f>
        <v/>
      </c>
    </row>
    <row r="3951" spans="1:6" x14ac:dyDescent="0.25">
      <c r="A3951" s="24" t="str">
        <f>_xlfn.XLOOKUP(tbEscolas[[#This Row],[ESCOLA]],tbNucleo[ESCOLA],tbNucleo[COD ESCOLA],"")</f>
        <v/>
      </c>
      <c r="B3951" t="str" cm="1">
        <f t="array" ref="B3951">IFERROR(INDEX(tbNucleo[ESCOLA],ROUNDUP(ROW(B3950)/TotalEtapas,0)),"")</f>
        <v/>
      </c>
      <c r="E3951" t="str">
        <f>IFERROR(VLOOKUP(tbEscolas[[#This Row],[COD ETPA]],tbEtapas[],2,FALSE),"")</f>
        <v/>
      </c>
      <c r="F3951" t="str">
        <f>IFERROR(VLOOKUP(tbEscolas[[#This Row],[COD ETPA]],tbEtapas[],3,FALSE),"")</f>
        <v/>
      </c>
    </row>
    <row r="3952" spans="1:6" x14ac:dyDescent="0.25">
      <c r="A3952" s="24" t="str">
        <f>_xlfn.XLOOKUP(tbEscolas[[#This Row],[ESCOLA]],tbNucleo[ESCOLA],tbNucleo[COD ESCOLA],"")</f>
        <v/>
      </c>
      <c r="B3952" t="str" cm="1">
        <f t="array" ref="B3952">IFERROR(INDEX(tbNucleo[ESCOLA],ROUNDUP(ROW(B3951)/TotalEtapas,0)),"")</f>
        <v/>
      </c>
      <c r="E3952" t="str">
        <f>IFERROR(VLOOKUP(tbEscolas[[#This Row],[COD ETPA]],tbEtapas[],2,FALSE),"")</f>
        <v/>
      </c>
      <c r="F3952" t="str">
        <f>IFERROR(VLOOKUP(tbEscolas[[#This Row],[COD ETPA]],tbEtapas[],3,FALSE),"")</f>
        <v/>
      </c>
    </row>
    <row r="3953" spans="1:6" x14ac:dyDescent="0.25">
      <c r="A3953" s="24" t="str">
        <f>_xlfn.XLOOKUP(tbEscolas[[#This Row],[ESCOLA]],tbNucleo[ESCOLA],tbNucleo[COD ESCOLA],"")</f>
        <v/>
      </c>
      <c r="B3953" t="str" cm="1">
        <f t="array" ref="B3953">IFERROR(INDEX(tbNucleo[ESCOLA],ROUNDUP(ROW(B3952)/TotalEtapas,0)),"")</f>
        <v/>
      </c>
      <c r="E3953" t="str">
        <f>IFERROR(VLOOKUP(tbEscolas[[#This Row],[COD ETPA]],tbEtapas[],2,FALSE),"")</f>
        <v/>
      </c>
      <c r="F3953" t="str">
        <f>IFERROR(VLOOKUP(tbEscolas[[#This Row],[COD ETPA]],tbEtapas[],3,FALSE),"")</f>
        <v/>
      </c>
    </row>
    <row r="3954" spans="1:6" x14ac:dyDescent="0.25">
      <c r="A3954" s="24" t="str">
        <f>_xlfn.XLOOKUP(tbEscolas[[#This Row],[ESCOLA]],tbNucleo[ESCOLA],tbNucleo[COD ESCOLA],"")</f>
        <v/>
      </c>
      <c r="B3954" t="str" cm="1">
        <f t="array" ref="B3954">IFERROR(INDEX(tbNucleo[ESCOLA],ROUNDUP(ROW(B3953)/TotalEtapas,0)),"")</f>
        <v/>
      </c>
      <c r="E3954" t="str">
        <f>IFERROR(VLOOKUP(tbEscolas[[#This Row],[COD ETPA]],tbEtapas[],2,FALSE),"")</f>
        <v/>
      </c>
      <c r="F3954" t="str">
        <f>IFERROR(VLOOKUP(tbEscolas[[#This Row],[COD ETPA]],tbEtapas[],3,FALSE),"")</f>
        <v/>
      </c>
    </row>
    <row r="3955" spans="1:6" x14ac:dyDescent="0.25">
      <c r="A3955" s="24" t="str">
        <f>_xlfn.XLOOKUP(tbEscolas[[#This Row],[ESCOLA]],tbNucleo[ESCOLA],tbNucleo[COD ESCOLA],"")</f>
        <v/>
      </c>
      <c r="B3955" t="str" cm="1">
        <f t="array" ref="B3955">IFERROR(INDEX(tbNucleo[ESCOLA],ROUNDUP(ROW(B3954)/TotalEtapas,0)),"")</f>
        <v/>
      </c>
      <c r="E3955" t="str">
        <f>IFERROR(VLOOKUP(tbEscolas[[#This Row],[COD ETPA]],tbEtapas[],2,FALSE),"")</f>
        <v/>
      </c>
      <c r="F3955" t="str">
        <f>IFERROR(VLOOKUP(tbEscolas[[#This Row],[COD ETPA]],tbEtapas[],3,FALSE),"")</f>
        <v/>
      </c>
    </row>
    <row r="3956" spans="1:6" x14ac:dyDescent="0.25">
      <c r="A3956" s="24" t="str">
        <f>_xlfn.XLOOKUP(tbEscolas[[#This Row],[ESCOLA]],tbNucleo[ESCOLA],tbNucleo[COD ESCOLA],"")</f>
        <v/>
      </c>
      <c r="B3956" t="str" cm="1">
        <f t="array" ref="B3956">IFERROR(INDEX(tbNucleo[ESCOLA],ROUNDUP(ROW(B3955)/TotalEtapas,0)),"")</f>
        <v/>
      </c>
      <c r="E3956" t="str">
        <f>IFERROR(VLOOKUP(tbEscolas[[#This Row],[COD ETPA]],tbEtapas[],2,FALSE),"")</f>
        <v/>
      </c>
      <c r="F3956" t="str">
        <f>IFERROR(VLOOKUP(tbEscolas[[#This Row],[COD ETPA]],tbEtapas[],3,FALSE),"")</f>
        <v/>
      </c>
    </row>
    <row r="3957" spans="1:6" x14ac:dyDescent="0.25">
      <c r="A3957" s="24" t="str">
        <f>_xlfn.XLOOKUP(tbEscolas[[#This Row],[ESCOLA]],tbNucleo[ESCOLA],tbNucleo[COD ESCOLA],"")</f>
        <v/>
      </c>
      <c r="B3957" t="str" cm="1">
        <f t="array" ref="B3957">IFERROR(INDEX(tbNucleo[ESCOLA],ROUNDUP(ROW(B3956)/TotalEtapas,0)),"")</f>
        <v/>
      </c>
      <c r="E3957" t="str">
        <f>IFERROR(VLOOKUP(tbEscolas[[#This Row],[COD ETPA]],tbEtapas[],2,FALSE),"")</f>
        <v/>
      </c>
      <c r="F3957" t="str">
        <f>IFERROR(VLOOKUP(tbEscolas[[#This Row],[COD ETPA]],tbEtapas[],3,FALSE),"")</f>
        <v/>
      </c>
    </row>
    <row r="3958" spans="1:6" x14ac:dyDescent="0.25">
      <c r="A3958" s="24" t="str">
        <f>_xlfn.XLOOKUP(tbEscolas[[#This Row],[ESCOLA]],tbNucleo[ESCOLA],tbNucleo[COD ESCOLA],"")</f>
        <v/>
      </c>
      <c r="B3958" t="str" cm="1">
        <f t="array" ref="B3958">IFERROR(INDEX(tbNucleo[ESCOLA],ROUNDUP(ROW(B3957)/TotalEtapas,0)),"")</f>
        <v/>
      </c>
      <c r="E3958" t="str">
        <f>IFERROR(VLOOKUP(tbEscolas[[#This Row],[COD ETPA]],tbEtapas[],2,FALSE),"")</f>
        <v/>
      </c>
      <c r="F3958" t="str">
        <f>IFERROR(VLOOKUP(tbEscolas[[#This Row],[COD ETPA]],tbEtapas[],3,FALSE),"")</f>
        <v/>
      </c>
    </row>
    <row r="3959" spans="1:6" x14ac:dyDescent="0.25">
      <c r="A3959" s="24" t="str">
        <f>_xlfn.XLOOKUP(tbEscolas[[#This Row],[ESCOLA]],tbNucleo[ESCOLA],tbNucleo[COD ESCOLA],"")</f>
        <v/>
      </c>
      <c r="B3959" t="str" cm="1">
        <f t="array" ref="B3959">IFERROR(INDEX(tbNucleo[ESCOLA],ROUNDUP(ROW(B3958)/TotalEtapas,0)),"")</f>
        <v/>
      </c>
      <c r="E3959" t="str">
        <f>IFERROR(VLOOKUP(tbEscolas[[#This Row],[COD ETPA]],tbEtapas[],2,FALSE),"")</f>
        <v/>
      </c>
      <c r="F3959" t="str">
        <f>IFERROR(VLOOKUP(tbEscolas[[#This Row],[COD ETPA]],tbEtapas[],3,FALSE),"")</f>
        <v/>
      </c>
    </row>
    <row r="3960" spans="1:6" x14ac:dyDescent="0.25">
      <c r="A3960" s="24" t="str">
        <f>_xlfn.XLOOKUP(tbEscolas[[#This Row],[ESCOLA]],tbNucleo[ESCOLA],tbNucleo[COD ESCOLA],"")</f>
        <v/>
      </c>
      <c r="B3960" t="str" cm="1">
        <f t="array" ref="B3960">IFERROR(INDEX(tbNucleo[ESCOLA],ROUNDUP(ROW(B3959)/TotalEtapas,0)),"")</f>
        <v/>
      </c>
      <c r="E3960" t="str">
        <f>IFERROR(VLOOKUP(tbEscolas[[#This Row],[COD ETPA]],tbEtapas[],2,FALSE),"")</f>
        <v/>
      </c>
      <c r="F3960" t="str">
        <f>IFERROR(VLOOKUP(tbEscolas[[#This Row],[COD ETPA]],tbEtapas[],3,FALSE),"")</f>
        <v/>
      </c>
    </row>
    <row r="3961" spans="1:6" x14ac:dyDescent="0.25">
      <c r="A3961" s="24" t="str">
        <f>_xlfn.XLOOKUP(tbEscolas[[#This Row],[ESCOLA]],tbNucleo[ESCOLA],tbNucleo[COD ESCOLA],"")</f>
        <v/>
      </c>
      <c r="B3961" t="str" cm="1">
        <f t="array" ref="B3961">IFERROR(INDEX(tbNucleo[ESCOLA],ROUNDUP(ROW(B3960)/TotalEtapas,0)),"")</f>
        <v/>
      </c>
      <c r="E3961" t="str">
        <f>IFERROR(VLOOKUP(tbEscolas[[#This Row],[COD ETPA]],tbEtapas[],2,FALSE),"")</f>
        <v/>
      </c>
      <c r="F3961" t="str">
        <f>IFERROR(VLOOKUP(tbEscolas[[#This Row],[COD ETPA]],tbEtapas[],3,FALSE),"")</f>
        <v/>
      </c>
    </row>
    <row r="3962" spans="1:6" x14ac:dyDescent="0.25">
      <c r="A3962" s="24" t="str">
        <f>_xlfn.XLOOKUP(tbEscolas[[#This Row],[ESCOLA]],tbNucleo[ESCOLA],tbNucleo[COD ESCOLA],"")</f>
        <v/>
      </c>
      <c r="B3962" t="str" cm="1">
        <f t="array" ref="B3962">IFERROR(INDEX(tbNucleo[ESCOLA],ROUNDUP(ROW(B3961)/TotalEtapas,0)),"")</f>
        <v/>
      </c>
      <c r="E3962" t="str">
        <f>IFERROR(VLOOKUP(tbEscolas[[#This Row],[COD ETPA]],tbEtapas[],2,FALSE),"")</f>
        <v/>
      </c>
      <c r="F3962" t="str">
        <f>IFERROR(VLOOKUP(tbEscolas[[#This Row],[COD ETPA]],tbEtapas[],3,FALSE),"")</f>
        <v/>
      </c>
    </row>
    <row r="3963" spans="1:6" x14ac:dyDescent="0.25">
      <c r="A3963" s="24" t="str">
        <f>_xlfn.XLOOKUP(tbEscolas[[#This Row],[ESCOLA]],tbNucleo[ESCOLA],tbNucleo[COD ESCOLA],"")</f>
        <v/>
      </c>
      <c r="B3963" t="str" cm="1">
        <f t="array" ref="B3963">IFERROR(INDEX(tbNucleo[ESCOLA],ROUNDUP(ROW(B3962)/TotalEtapas,0)),"")</f>
        <v/>
      </c>
      <c r="E3963" t="str">
        <f>IFERROR(VLOOKUP(tbEscolas[[#This Row],[COD ETPA]],tbEtapas[],2,FALSE),"")</f>
        <v/>
      </c>
      <c r="F3963" t="str">
        <f>IFERROR(VLOOKUP(tbEscolas[[#This Row],[COD ETPA]],tbEtapas[],3,FALSE),"")</f>
        <v/>
      </c>
    </row>
    <row r="3964" spans="1:6" x14ac:dyDescent="0.25">
      <c r="A3964" s="24" t="str">
        <f>_xlfn.XLOOKUP(tbEscolas[[#This Row],[ESCOLA]],tbNucleo[ESCOLA],tbNucleo[COD ESCOLA],"")</f>
        <v/>
      </c>
      <c r="B3964" t="str" cm="1">
        <f t="array" ref="B3964">IFERROR(INDEX(tbNucleo[ESCOLA],ROUNDUP(ROW(B3963)/TotalEtapas,0)),"")</f>
        <v/>
      </c>
      <c r="E3964" t="str">
        <f>IFERROR(VLOOKUP(tbEscolas[[#This Row],[COD ETPA]],tbEtapas[],2,FALSE),"")</f>
        <v/>
      </c>
      <c r="F3964" t="str">
        <f>IFERROR(VLOOKUP(tbEscolas[[#This Row],[COD ETPA]],tbEtapas[],3,FALSE),"")</f>
        <v/>
      </c>
    </row>
    <row r="3965" spans="1:6" x14ac:dyDescent="0.25">
      <c r="A3965" s="24" t="str">
        <f>_xlfn.XLOOKUP(tbEscolas[[#This Row],[ESCOLA]],tbNucleo[ESCOLA],tbNucleo[COD ESCOLA],"")</f>
        <v/>
      </c>
      <c r="B3965" t="str" cm="1">
        <f t="array" ref="B3965">IFERROR(INDEX(tbNucleo[ESCOLA],ROUNDUP(ROW(B3964)/TotalEtapas,0)),"")</f>
        <v/>
      </c>
      <c r="E3965" t="str">
        <f>IFERROR(VLOOKUP(tbEscolas[[#This Row],[COD ETPA]],tbEtapas[],2,FALSE),"")</f>
        <v/>
      </c>
      <c r="F3965" t="str">
        <f>IFERROR(VLOOKUP(tbEscolas[[#This Row],[COD ETPA]],tbEtapas[],3,FALSE),"")</f>
        <v/>
      </c>
    </row>
    <row r="3966" spans="1:6" x14ac:dyDescent="0.25">
      <c r="A3966" s="24" t="str">
        <f>_xlfn.XLOOKUP(tbEscolas[[#This Row],[ESCOLA]],tbNucleo[ESCOLA],tbNucleo[COD ESCOLA],"")</f>
        <v/>
      </c>
      <c r="B3966" t="str" cm="1">
        <f t="array" ref="B3966">IFERROR(INDEX(tbNucleo[ESCOLA],ROUNDUP(ROW(B3965)/TotalEtapas,0)),"")</f>
        <v/>
      </c>
      <c r="E3966" t="str">
        <f>IFERROR(VLOOKUP(tbEscolas[[#This Row],[COD ETPA]],tbEtapas[],2,FALSE),"")</f>
        <v/>
      </c>
      <c r="F3966" t="str">
        <f>IFERROR(VLOOKUP(tbEscolas[[#This Row],[COD ETPA]],tbEtapas[],3,FALSE),"")</f>
        <v/>
      </c>
    </row>
    <row r="3967" spans="1:6" x14ac:dyDescent="0.25">
      <c r="A3967" s="24" t="str">
        <f>_xlfn.XLOOKUP(tbEscolas[[#This Row],[ESCOLA]],tbNucleo[ESCOLA],tbNucleo[COD ESCOLA],"")</f>
        <v/>
      </c>
      <c r="B3967" t="str" cm="1">
        <f t="array" ref="B3967">IFERROR(INDEX(tbNucleo[ESCOLA],ROUNDUP(ROW(B3966)/TotalEtapas,0)),"")</f>
        <v/>
      </c>
      <c r="E3967" t="str">
        <f>IFERROR(VLOOKUP(tbEscolas[[#This Row],[COD ETPA]],tbEtapas[],2,FALSE),"")</f>
        <v/>
      </c>
      <c r="F3967" t="str">
        <f>IFERROR(VLOOKUP(tbEscolas[[#This Row],[COD ETPA]],tbEtapas[],3,FALSE),"")</f>
        <v/>
      </c>
    </row>
    <row r="3968" spans="1:6" x14ac:dyDescent="0.25">
      <c r="A3968" s="24" t="str">
        <f>_xlfn.XLOOKUP(tbEscolas[[#This Row],[ESCOLA]],tbNucleo[ESCOLA],tbNucleo[COD ESCOLA],"")</f>
        <v/>
      </c>
      <c r="B3968" t="str" cm="1">
        <f t="array" ref="B3968">IFERROR(INDEX(tbNucleo[ESCOLA],ROUNDUP(ROW(B3967)/TotalEtapas,0)),"")</f>
        <v/>
      </c>
      <c r="E3968" t="str">
        <f>IFERROR(VLOOKUP(tbEscolas[[#This Row],[COD ETPA]],tbEtapas[],2,FALSE),"")</f>
        <v/>
      </c>
      <c r="F3968" t="str">
        <f>IFERROR(VLOOKUP(tbEscolas[[#This Row],[COD ETPA]],tbEtapas[],3,FALSE),"")</f>
        <v/>
      </c>
    </row>
    <row r="3969" spans="1:6" x14ac:dyDescent="0.25">
      <c r="A3969" s="24" t="str">
        <f>_xlfn.XLOOKUP(tbEscolas[[#This Row],[ESCOLA]],tbNucleo[ESCOLA],tbNucleo[COD ESCOLA],"")</f>
        <v/>
      </c>
      <c r="B3969" t="str" cm="1">
        <f t="array" ref="B3969">IFERROR(INDEX(tbNucleo[ESCOLA],ROUNDUP(ROW(B3968)/TotalEtapas,0)),"")</f>
        <v/>
      </c>
      <c r="E3969" t="str">
        <f>IFERROR(VLOOKUP(tbEscolas[[#This Row],[COD ETPA]],tbEtapas[],2,FALSE),"")</f>
        <v/>
      </c>
      <c r="F3969" t="str">
        <f>IFERROR(VLOOKUP(tbEscolas[[#This Row],[COD ETPA]],tbEtapas[],3,FALSE),"")</f>
        <v/>
      </c>
    </row>
    <row r="3970" spans="1:6" x14ac:dyDescent="0.25">
      <c r="A3970" s="24" t="str">
        <f>_xlfn.XLOOKUP(tbEscolas[[#This Row],[ESCOLA]],tbNucleo[ESCOLA],tbNucleo[COD ESCOLA],"")</f>
        <v/>
      </c>
      <c r="B3970" t="str" cm="1">
        <f t="array" ref="B3970">IFERROR(INDEX(tbNucleo[ESCOLA],ROUNDUP(ROW(B3969)/TotalEtapas,0)),"")</f>
        <v/>
      </c>
      <c r="E3970" t="str">
        <f>IFERROR(VLOOKUP(tbEscolas[[#This Row],[COD ETPA]],tbEtapas[],2,FALSE),"")</f>
        <v/>
      </c>
      <c r="F3970" t="str">
        <f>IFERROR(VLOOKUP(tbEscolas[[#This Row],[COD ETPA]],tbEtapas[],3,FALSE),"")</f>
        <v/>
      </c>
    </row>
    <row r="3971" spans="1:6" x14ac:dyDescent="0.25">
      <c r="A3971" s="24" t="str">
        <f>_xlfn.XLOOKUP(tbEscolas[[#This Row],[ESCOLA]],tbNucleo[ESCOLA],tbNucleo[COD ESCOLA],"")</f>
        <v/>
      </c>
      <c r="B3971" t="str" cm="1">
        <f t="array" ref="B3971">IFERROR(INDEX(tbNucleo[ESCOLA],ROUNDUP(ROW(B3970)/TotalEtapas,0)),"")</f>
        <v/>
      </c>
      <c r="E3971" t="str">
        <f>IFERROR(VLOOKUP(tbEscolas[[#This Row],[COD ETPA]],tbEtapas[],2,FALSE),"")</f>
        <v/>
      </c>
      <c r="F3971" t="str">
        <f>IFERROR(VLOOKUP(tbEscolas[[#This Row],[COD ETPA]],tbEtapas[],3,FALSE),"")</f>
        <v/>
      </c>
    </row>
    <row r="3972" spans="1:6" x14ac:dyDescent="0.25">
      <c r="A3972" s="24" t="str">
        <f>_xlfn.XLOOKUP(tbEscolas[[#This Row],[ESCOLA]],tbNucleo[ESCOLA],tbNucleo[COD ESCOLA],"")</f>
        <v/>
      </c>
      <c r="B3972" t="str" cm="1">
        <f t="array" ref="B3972">IFERROR(INDEX(tbNucleo[ESCOLA],ROUNDUP(ROW(B3971)/TotalEtapas,0)),"")</f>
        <v/>
      </c>
      <c r="E3972" t="str">
        <f>IFERROR(VLOOKUP(tbEscolas[[#This Row],[COD ETPA]],tbEtapas[],2,FALSE),"")</f>
        <v/>
      </c>
      <c r="F3972" t="str">
        <f>IFERROR(VLOOKUP(tbEscolas[[#This Row],[COD ETPA]],tbEtapas[],3,FALSE),"")</f>
        <v/>
      </c>
    </row>
    <row r="3973" spans="1:6" x14ac:dyDescent="0.25">
      <c r="A3973" s="24" t="str">
        <f>_xlfn.XLOOKUP(tbEscolas[[#This Row],[ESCOLA]],tbNucleo[ESCOLA],tbNucleo[COD ESCOLA],"")</f>
        <v/>
      </c>
      <c r="B3973" t="str" cm="1">
        <f t="array" ref="B3973">IFERROR(INDEX(tbNucleo[ESCOLA],ROUNDUP(ROW(B3972)/TotalEtapas,0)),"")</f>
        <v/>
      </c>
      <c r="E3973" t="str">
        <f>IFERROR(VLOOKUP(tbEscolas[[#This Row],[COD ETPA]],tbEtapas[],2,FALSE),"")</f>
        <v/>
      </c>
      <c r="F3973" t="str">
        <f>IFERROR(VLOOKUP(tbEscolas[[#This Row],[COD ETPA]],tbEtapas[],3,FALSE),"")</f>
        <v/>
      </c>
    </row>
    <row r="3974" spans="1:6" x14ac:dyDescent="0.25">
      <c r="A3974" s="24" t="str">
        <f>_xlfn.XLOOKUP(tbEscolas[[#This Row],[ESCOLA]],tbNucleo[ESCOLA],tbNucleo[COD ESCOLA],"")</f>
        <v/>
      </c>
      <c r="B3974" t="str" cm="1">
        <f t="array" ref="B3974">IFERROR(INDEX(tbNucleo[ESCOLA],ROUNDUP(ROW(B3973)/TotalEtapas,0)),"")</f>
        <v/>
      </c>
      <c r="E3974" t="str">
        <f>IFERROR(VLOOKUP(tbEscolas[[#This Row],[COD ETPA]],tbEtapas[],2,FALSE),"")</f>
        <v/>
      </c>
      <c r="F3974" t="str">
        <f>IFERROR(VLOOKUP(tbEscolas[[#This Row],[COD ETPA]],tbEtapas[],3,FALSE),"")</f>
        <v/>
      </c>
    </row>
    <row r="3975" spans="1:6" x14ac:dyDescent="0.25">
      <c r="A3975" s="24" t="str">
        <f>_xlfn.XLOOKUP(tbEscolas[[#This Row],[ESCOLA]],tbNucleo[ESCOLA],tbNucleo[COD ESCOLA],"")</f>
        <v/>
      </c>
      <c r="B3975" t="str" cm="1">
        <f t="array" ref="B3975">IFERROR(INDEX(tbNucleo[ESCOLA],ROUNDUP(ROW(B3974)/TotalEtapas,0)),"")</f>
        <v/>
      </c>
      <c r="E3975" t="str">
        <f>IFERROR(VLOOKUP(tbEscolas[[#This Row],[COD ETPA]],tbEtapas[],2,FALSE),"")</f>
        <v/>
      </c>
      <c r="F3975" t="str">
        <f>IFERROR(VLOOKUP(tbEscolas[[#This Row],[COD ETPA]],tbEtapas[],3,FALSE),"")</f>
        <v/>
      </c>
    </row>
    <row r="3976" spans="1:6" x14ac:dyDescent="0.25">
      <c r="A3976" s="24" t="str">
        <f>_xlfn.XLOOKUP(tbEscolas[[#This Row],[ESCOLA]],tbNucleo[ESCOLA],tbNucleo[COD ESCOLA],"")</f>
        <v/>
      </c>
      <c r="B3976" t="str" cm="1">
        <f t="array" ref="B3976">IFERROR(INDEX(tbNucleo[ESCOLA],ROUNDUP(ROW(B3975)/TotalEtapas,0)),"")</f>
        <v/>
      </c>
      <c r="E3976" t="str">
        <f>IFERROR(VLOOKUP(tbEscolas[[#This Row],[COD ETPA]],tbEtapas[],2,FALSE),"")</f>
        <v/>
      </c>
      <c r="F3976" t="str">
        <f>IFERROR(VLOOKUP(tbEscolas[[#This Row],[COD ETPA]],tbEtapas[],3,FALSE),"")</f>
        <v/>
      </c>
    </row>
    <row r="3977" spans="1:6" x14ac:dyDescent="0.25">
      <c r="A3977" s="24" t="str">
        <f>_xlfn.XLOOKUP(tbEscolas[[#This Row],[ESCOLA]],tbNucleo[ESCOLA],tbNucleo[COD ESCOLA],"")</f>
        <v/>
      </c>
      <c r="B3977" t="str" cm="1">
        <f t="array" ref="B3977">IFERROR(INDEX(tbNucleo[ESCOLA],ROUNDUP(ROW(B3976)/TotalEtapas,0)),"")</f>
        <v/>
      </c>
      <c r="E3977" t="str">
        <f>IFERROR(VLOOKUP(tbEscolas[[#This Row],[COD ETPA]],tbEtapas[],2,FALSE),"")</f>
        <v/>
      </c>
      <c r="F3977" t="str">
        <f>IFERROR(VLOOKUP(tbEscolas[[#This Row],[COD ETPA]],tbEtapas[],3,FALSE),"")</f>
        <v/>
      </c>
    </row>
    <row r="3978" spans="1:6" x14ac:dyDescent="0.25">
      <c r="A3978" s="24" t="str">
        <f>_xlfn.XLOOKUP(tbEscolas[[#This Row],[ESCOLA]],tbNucleo[ESCOLA],tbNucleo[COD ESCOLA],"")</f>
        <v/>
      </c>
      <c r="B3978" t="str" cm="1">
        <f t="array" ref="B3978">IFERROR(INDEX(tbNucleo[ESCOLA],ROUNDUP(ROW(B3977)/TotalEtapas,0)),"")</f>
        <v/>
      </c>
      <c r="E3978" t="str">
        <f>IFERROR(VLOOKUP(tbEscolas[[#This Row],[COD ETPA]],tbEtapas[],2,FALSE),"")</f>
        <v/>
      </c>
      <c r="F3978" t="str">
        <f>IFERROR(VLOOKUP(tbEscolas[[#This Row],[COD ETPA]],tbEtapas[],3,FALSE),"")</f>
        <v/>
      </c>
    </row>
    <row r="3979" spans="1:6" x14ac:dyDescent="0.25">
      <c r="A3979" s="24" t="str">
        <f>_xlfn.XLOOKUP(tbEscolas[[#This Row],[ESCOLA]],tbNucleo[ESCOLA],tbNucleo[COD ESCOLA],"")</f>
        <v/>
      </c>
      <c r="B3979" t="str" cm="1">
        <f t="array" ref="B3979">IFERROR(INDEX(tbNucleo[ESCOLA],ROUNDUP(ROW(B3978)/TotalEtapas,0)),"")</f>
        <v/>
      </c>
      <c r="E3979" t="str">
        <f>IFERROR(VLOOKUP(tbEscolas[[#This Row],[COD ETPA]],tbEtapas[],2,FALSE),"")</f>
        <v/>
      </c>
      <c r="F3979" t="str">
        <f>IFERROR(VLOOKUP(tbEscolas[[#This Row],[COD ETPA]],tbEtapas[],3,FALSE),"")</f>
        <v/>
      </c>
    </row>
    <row r="3980" spans="1:6" x14ac:dyDescent="0.25">
      <c r="A3980" s="24" t="str">
        <f>_xlfn.XLOOKUP(tbEscolas[[#This Row],[ESCOLA]],tbNucleo[ESCOLA],tbNucleo[COD ESCOLA],"")</f>
        <v/>
      </c>
      <c r="B3980" t="str" cm="1">
        <f t="array" ref="B3980">IFERROR(INDEX(tbNucleo[ESCOLA],ROUNDUP(ROW(B3979)/TotalEtapas,0)),"")</f>
        <v/>
      </c>
      <c r="E3980" t="str">
        <f>IFERROR(VLOOKUP(tbEscolas[[#This Row],[COD ETPA]],tbEtapas[],2,FALSE),"")</f>
        <v/>
      </c>
      <c r="F3980" t="str">
        <f>IFERROR(VLOOKUP(tbEscolas[[#This Row],[COD ETPA]],tbEtapas[],3,FALSE),"")</f>
        <v/>
      </c>
    </row>
    <row r="3981" spans="1:6" x14ac:dyDescent="0.25">
      <c r="A3981" s="24" t="str">
        <f>_xlfn.XLOOKUP(tbEscolas[[#This Row],[ESCOLA]],tbNucleo[ESCOLA],tbNucleo[COD ESCOLA],"")</f>
        <v/>
      </c>
      <c r="B3981" t="str" cm="1">
        <f t="array" ref="B3981">IFERROR(INDEX(tbNucleo[ESCOLA],ROUNDUP(ROW(B3980)/TotalEtapas,0)),"")</f>
        <v/>
      </c>
      <c r="E3981" t="str">
        <f>IFERROR(VLOOKUP(tbEscolas[[#This Row],[COD ETPA]],tbEtapas[],2,FALSE),"")</f>
        <v/>
      </c>
      <c r="F3981" t="str">
        <f>IFERROR(VLOOKUP(tbEscolas[[#This Row],[COD ETPA]],tbEtapas[],3,FALSE),"")</f>
        <v/>
      </c>
    </row>
    <row r="3982" spans="1:6" x14ac:dyDescent="0.25">
      <c r="A3982" s="24" t="str">
        <f>_xlfn.XLOOKUP(tbEscolas[[#This Row],[ESCOLA]],tbNucleo[ESCOLA],tbNucleo[COD ESCOLA],"")</f>
        <v/>
      </c>
      <c r="B3982" t="str" cm="1">
        <f t="array" ref="B3982">IFERROR(INDEX(tbNucleo[ESCOLA],ROUNDUP(ROW(B3981)/TotalEtapas,0)),"")</f>
        <v/>
      </c>
      <c r="E3982" t="str">
        <f>IFERROR(VLOOKUP(tbEscolas[[#This Row],[COD ETPA]],tbEtapas[],2,FALSE),"")</f>
        <v/>
      </c>
      <c r="F3982" t="str">
        <f>IFERROR(VLOOKUP(tbEscolas[[#This Row],[COD ETPA]],tbEtapas[],3,FALSE),"")</f>
        <v/>
      </c>
    </row>
    <row r="3983" spans="1:6" x14ac:dyDescent="0.25">
      <c r="A3983" s="24" t="str">
        <f>_xlfn.XLOOKUP(tbEscolas[[#This Row],[ESCOLA]],tbNucleo[ESCOLA],tbNucleo[COD ESCOLA],"")</f>
        <v/>
      </c>
      <c r="B3983" t="str" cm="1">
        <f t="array" ref="B3983">IFERROR(INDEX(tbNucleo[ESCOLA],ROUNDUP(ROW(B3982)/TotalEtapas,0)),"")</f>
        <v/>
      </c>
      <c r="E3983" t="str">
        <f>IFERROR(VLOOKUP(tbEscolas[[#This Row],[COD ETPA]],tbEtapas[],2,FALSE),"")</f>
        <v/>
      </c>
      <c r="F3983" t="str">
        <f>IFERROR(VLOOKUP(tbEscolas[[#This Row],[COD ETPA]],tbEtapas[],3,FALSE),"")</f>
        <v/>
      </c>
    </row>
    <row r="3984" spans="1:6" x14ac:dyDescent="0.25">
      <c r="A3984" s="24" t="str">
        <f>_xlfn.XLOOKUP(tbEscolas[[#This Row],[ESCOLA]],tbNucleo[ESCOLA],tbNucleo[COD ESCOLA],"")</f>
        <v/>
      </c>
      <c r="B3984" t="str" cm="1">
        <f t="array" ref="B3984">IFERROR(INDEX(tbNucleo[ESCOLA],ROUNDUP(ROW(B3983)/TotalEtapas,0)),"")</f>
        <v/>
      </c>
      <c r="E3984" t="str">
        <f>IFERROR(VLOOKUP(tbEscolas[[#This Row],[COD ETPA]],tbEtapas[],2,FALSE),"")</f>
        <v/>
      </c>
      <c r="F3984" t="str">
        <f>IFERROR(VLOOKUP(tbEscolas[[#This Row],[COD ETPA]],tbEtapas[],3,FALSE),"")</f>
        <v/>
      </c>
    </row>
    <row r="3985" spans="1:6" x14ac:dyDescent="0.25">
      <c r="A3985" s="24" t="str">
        <f>_xlfn.XLOOKUP(tbEscolas[[#This Row],[ESCOLA]],tbNucleo[ESCOLA],tbNucleo[COD ESCOLA],"")</f>
        <v/>
      </c>
      <c r="B3985" t="str" cm="1">
        <f t="array" ref="B3985">IFERROR(INDEX(tbNucleo[ESCOLA],ROUNDUP(ROW(B3984)/TotalEtapas,0)),"")</f>
        <v/>
      </c>
      <c r="E3985" t="str">
        <f>IFERROR(VLOOKUP(tbEscolas[[#This Row],[COD ETPA]],tbEtapas[],2,FALSE),"")</f>
        <v/>
      </c>
      <c r="F3985" t="str">
        <f>IFERROR(VLOOKUP(tbEscolas[[#This Row],[COD ETPA]],tbEtapas[],3,FALSE),"")</f>
        <v/>
      </c>
    </row>
    <row r="3986" spans="1:6" x14ac:dyDescent="0.25">
      <c r="A3986" s="24" t="str">
        <f>_xlfn.XLOOKUP(tbEscolas[[#This Row],[ESCOLA]],tbNucleo[ESCOLA],tbNucleo[COD ESCOLA],"")</f>
        <v/>
      </c>
      <c r="B3986" t="str" cm="1">
        <f t="array" ref="B3986">IFERROR(INDEX(tbNucleo[ESCOLA],ROUNDUP(ROW(B3985)/TotalEtapas,0)),"")</f>
        <v/>
      </c>
      <c r="E3986" t="str">
        <f>IFERROR(VLOOKUP(tbEscolas[[#This Row],[COD ETPA]],tbEtapas[],2,FALSE),"")</f>
        <v/>
      </c>
      <c r="F3986" t="str">
        <f>IFERROR(VLOOKUP(tbEscolas[[#This Row],[COD ETPA]],tbEtapas[],3,FALSE),"")</f>
        <v/>
      </c>
    </row>
    <row r="3987" spans="1:6" x14ac:dyDescent="0.25">
      <c r="A3987" s="24" t="str">
        <f>_xlfn.XLOOKUP(tbEscolas[[#This Row],[ESCOLA]],tbNucleo[ESCOLA],tbNucleo[COD ESCOLA],"")</f>
        <v/>
      </c>
      <c r="B3987" t="str" cm="1">
        <f t="array" ref="B3987">IFERROR(INDEX(tbNucleo[ESCOLA],ROUNDUP(ROW(B3986)/TotalEtapas,0)),"")</f>
        <v/>
      </c>
      <c r="E3987" t="str">
        <f>IFERROR(VLOOKUP(tbEscolas[[#This Row],[COD ETPA]],tbEtapas[],2,FALSE),"")</f>
        <v/>
      </c>
      <c r="F3987" t="str">
        <f>IFERROR(VLOOKUP(tbEscolas[[#This Row],[COD ETPA]],tbEtapas[],3,FALSE),"")</f>
        <v/>
      </c>
    </row>
    <row r="3988" spans="1:6" x14ac:dyDescent="0.25">
      <c r="A3988" s="24" t="str">
        <f>_xlfn.XLOOKUP(tbEscolas[[#This Row],[ESCOLA]],tbNucleo[ESCOLA],tbNucleo[COD ESCOLA],"")</f>
        <v/>
      </c>
      <c r="B3988" t="str" cm="1">
        <f t="array" ref="B3988">IFERROR(INDEX(tbNucleo[ESCOLA],ROUNDUP(ROW(B3987)/TotalEtapas,0)),"")</f>
        <v/>
      </c>
      <c r="E3988" t="str">
        <f>IFERROR(VLOOKUP(tbEscolas[[#This Row],[COD ETPA]],tbEtapas[],2,FALSE),"")</f>
        <v/>
      </c>
      <c r="F3988" t="str">
        <f>IFERROR(VLOOKUP(tbEscolas[[#This Row],[COD ETPA]],tbEtapas[],3,FALSE),"")</f>
        <v/>
      </c>
    </row>
    <row r="3989" spans="1:6" x14ac:dyDescent="0.25">
      <c r="A3989" s="24" t="str">
        <f>_xlfn.XLOOKUP(tbEscolas[[#This Row],[ESCOLA]],tbNucleo[ESCOLA],tbNucleo[COD ESCOLA],"")</f>
        <v/>
      </c>
      <c r="B3989" t="str" cm="1">
        <f t="array" ref="B3989">IFERROR(INDEX(tbNucleo[ESCOLA],ROUNDUP(ROW(B3988)/TotalEtapas,0)),"")</f>
        <v/>
      </c>
      <c r="E3989" t="str">
        <f>IFERROR(VLOOKUP(tbEscolas[[#This Row],[COD ETPA]],tbEtapas[],2,FALSE),"")</f>
        <v/>
      </c>
      <c r="F3989" t="str">
        <f>IFERROR(VLOOKUP(tbEscolas[[#This Row],[COD ETPA]],tbEtapas[],3,FALSE),"")</f>
        <v/>
      </c>
    </row>
    <row r="3990" spans="1:6" x14ac:dyDescent="0.25">
      <c r="A3990" s="24" t="str">
        <f>_xlfn.XLOOKUP(tbEscolas[[#This Row],[ESCOLA]],tbNucleo[ESCOLA],tbNucleo[COD ESCOLA],"")</f>
        <v/>
      </c>
      <c r="B3990" t="str" cm="1">
        <f t="array" ref="B3990">IFERROR(INDEX(tbNucleo[ESCOLA],ROUNDUP(ROW(B3989)/TotalEtapas,0)),"")</f>
        <v/>
      </c>
      <c r="E3990" t="str">
        <f>IFERROR(VLOOKUP(tbEscolas[[#This Row],[COD ETPA]],tbEtapas[],2,FALSE),"")</f>
        <v/>
      </c>
      <c r="F3990" t="str">
        <f>IFERROR(VLOOKUP(tbEscolas[[#This Row],[COD ETPA]],tbEtapas[],3,FALSE),"")</f>
        <v/>
      </c>
    </row>
    <row r="3991" spans="1:6" x14ac:dyDescent="0.25">
      <c r="A3991" s="24" t="str">
        <f>_xlfn.XLOOKUP(tbEscolas[[#This Row],[ESCOLA]],tbNucleo[ESCOLA],tbNucleo[COD ESCOLA],"")</f>
        <v/>
      </c>
      <c r="B3991" t="str" cm="1">
        <f t="array" ref="B3991">IFERROR(INDEX(tbNucleo[ESCOLA],ROUNDUP(ROW(B3990)/TotalEtapas,0)),"")</f>
        <v/>
      </c>
      <c r="E3991" t="str">
        <f>IFERROR(VLOOKUP(tbEscolas[[#This Row],[COD ETPA]],tbEtapas[],2,FALSE),"")</f>
        <v/>
      </c>
      <c r="F3991" t="str">
        <f>IFERROR(VLOOKUP(tbEscolas[[#This Row],[COD ETPA]],tbEtapas[],3,FALSE),"")</f>
        <v/>
      </c>
    </row>
    <row r="3992" spans="1:6" x14ac:dyDescent="0.25">
      <c r="A3992" s="24" t="str">
        <f>_xlfn.XLOOKUP(tbEscolas[[#This Row],[ESCOLA]],tbNucleo[ESCOLA],tbNucleo[COD ESCOLA],"")</f>
        <v/>
      </c>
      <c r="B3992" t="str" cm="1">
        <f t="array" ref="B3992">IFERROR(INDEX(tbNucleo[ESCOLA],ROUNDUP(ROW(B3991)/TotalEtapas,0)),"")</f>
        <v/>
      </c>
      <c r="E3992" t="str">
        <f>IFERROR(VLOOKUP(tbEscolas[[#This Row],[COD ETPA]],tbEtapas[],2,FALSE),"")</f>
        <v/>
      </c>
      <c r="F3992" t="str">
        <f>IFERROR(VLOOKUP(tbEscolas[[#This Row],[COD ETPA]],tbEtapas[],3,FALSE),"")</f>
        <v/>
      </c>
    </row>
    <row r="3993" spans="1:6" x14ac:dyDescent="0.25">
      <c r="A3993" s="24" t="str">
        <f>_xlfn.XLOOKUP(tbEscolas[[#This Row],[ESCOLA]],tbNucleo[ESCOLA],tbNucleo[COD ESCOLA],"")</f>
        <v/>
      </c>
      <c r="B3993" t="str" cm="1">
        <f t="array" ref="B3993">IFERROR(INDEX(tbNucleo[ESCOLA],ROUNDUP(ROW(B3992)/TotalEtapas,0)),"")</f>
        <v/>
      </c>
      <c r="E3993" t="str">
        <f>IFERROR(VLOOKUP(tbEscolas[[#This Row],[COD ETPA]],tbEtapas[],2,FALSE),"")</f>
        <v/>
      </c>
      <c r="F3993" t="str">
        <f>IFERROR(VLOOKUP(tbEscolas[[#This Row],[COD ETPA]],tbEtapas[],3,FALSE),"")</f>
        <v/>
      </c>
    </row>
    <row r="3994" spans="1:6" x14ac:dyDescent="0.25">
      <c r="A3994" s="24" t="str">
        <f>_xlfn.XLOOKUP(tbEscolas[[#This Row],[ESCOLA]],tbNucleo[ESCOLA],tbNucleo[COD ESCOLA],"")</f>
        <v/>
      </c>
      <c r="B3994" t="str" cm="1">
        <f t="array" ref="B3994">IFERROR(INDEX(tbNucleo[ESCOLA],ROUNDUP(ROW(B3993)/TotalEtapas,0)),"")</f>
        <v/>
      </c>
      <c r="E3994" t="str">
        <f>IFERROR(VLOOKUP(tbEscolas[[#This Row],[COD ETPA]],tbEtapas[],2,FALSE),"")</f>
        <v/>
      </c>
      <c r="F3994" t="str">
        <f>IFERROR(VLOOKUP(tbEscolas[[#This Row],[COD ETPA]],tbEtapas[],3,FALSE),"")</f>
        <v/>
      </c>
    </row>
    <row r="3995" spans="1:6" x14ac:dyDescent="0.25">
      <c r="A3995" s="24" t="str">
        <f>_xlfn.XLOOKUP(tbEscolas[[#This Row],[ESCOLA]],tbNucleo[ESCOLA],tbNucleo[COD ESCOLA],"")</f>
        <v/>
      </c>
      <c r="B3995" t="str" cm="1">
        <f t="array" ref="B3995">IFERROR(INDEX(tbNucleo[ESCOLA],ROUNDUP(ROW(B3994)/TotalEtapas,0)),"")</f>
        <v/>
      </c>
      <c r="E3995" t="str">
        <f>IFERROR(VLOOKUP(tbEscolas[[#This Row],[COD ETPA]],tbEtapas[],2,FALSE),"")</f>
        <v/>
      </c>
      <c r="F3995" t="str">
        <f>IFERROR(VLOOKUP(tbEscolas[[#This Row],[COD ETPA]],tbEtapas[],3,FALSE),"")</f>
        <v/>
      </c>
    </row>
    <row r="3996" spans="1:6" x14ac:dyDescent="0.25">
      <c r="A3996" s="24" t="str">
        <f>_xlfn.XLOOKUP(tbEscolas[[#This Row],[ESCOLA]],tbNucleo[ESCOLA],tbNucleo[COD ESCOLA],"")</f>
        <v/>
      </c>
      <c r="B3996" t="str" cm="1">
        <f t="array" ref="B3996">IFERROR(INDEX(tbNucleo[ESCOLA],ROUNDUP(ROW(B3995)/TotalEtapas,0)),"")</f>
        <v/>
      </c>
      <c r="E3996" t="str">
        <f>IFERROR(VLOOKUP(tbEscolas[[#This Row],[COD ETPA]],tbEtapas[],2,FALSE),"")</f>
        <v/>
      </c>
      <c r="F3996" t="str">
        <f>IFERROR(VLOOKUP(tbEscolas[[#This Row],[COD ETPA]],tbEtapas[],3,FALSE),"")</f>
        <v/>
      </c>
    </row>
    <row r="3997" spans="1:6" x14ac:dyDescent="0.25">
      <c r="A3997" s="24" t="str">
        <f>_xlfn.XLOOKUP(tbEscolas[[#This Row],[ESCOLA]],tbNucleo[ESCOLA],tbNucleo[COD ESCOLA],"")</f>
        <v/>
      </c>
      <c r="B3997" t="str" cm="1">
        <f t="array" ref="B3997">IFERROR(INDEX(tbNucleo[ESCOLA],ROUNDUP(ROW(B3996)/TotalEtapas,0)),"")</f>
        <v/>
      </c>
      <c r="E3997" t="str">
        <f>IFERROR(VLOOKUP(tbEscolas[[#This Row],[COD ETPA]],tbEtapas[],2,FALSE),"")</f>
        <v/>
      </c>
      <c r="F3997" t="str">
        <f>IFERROR(VLOOKUP(tbEscolas[[#This Row],[COD ETPA]],tbEtapas[],3,FALSE),"")</f>
        <v/>
      </c>
    </row>
    <row r="3998" spans="1:6" x14ac:dyDescent="0.25">
      <c r="A3998" s="24" t="str">
        <f>_xlfn.XLOOKUP(tbEscolas[[#This Row],[ESCOLA]],tbNucleo[ESCOLA],tbNucleo[COD ESCOLA],"")</f>
        <v/>
      </c>
      <c r="B3998" t="str" cm="1">
        <f t="array" ref="B3998">IFERROR(INDEX(tbNucleo[ESCOLA],ROUNDUP(ROW(B3997)/TotalEtapas,0)),"")</f>
        <v/>
      </c>
      <c r="E3998" t="str">
        <f>IFERROR(VLOOKUP(tbEscolas[[#This Row],[COD ETPA]],tbEtapas[],2,FALSE),"")</f>
        <v/>
      </c>
      <c r="F3998" t="str">
        <f>IFERROR(VLOOKUP(tbEscolas[[#This Row],[COD ETPA]],tbEtapas[],3,FALSE),"")</f>
        <v/>
      </c>
    </row>
    <row r="3999" spans="1:6" x14ac:dyDescent="0.25">
      <c r="A3999" s="24" t="str">
        <f>_xlfn.XLOOKUP(tbEscolas[[#This Row],[ESCOLA]],tbNucleo[ESCOLA],tbNucleo[COD ESCOLA],"")</f>
        <v/>
      </c>
      <c r="B3999" t="str" cm="1">
        <f t="array" ref="B3999">IFERROR(INDEX(tbNucleo[ESCOLA],ROUNDUP(ROW(B3998)/TotalEtapas,0)),"")</f>
        <v/>
      </c>
      <c r="E3999" t="str">
        <f>IFERROR(VLOOKUP(tbEscolas[[#This Row],[COD ETPA]],tbEtapas[],2,FALSE),"")</f>
        <v/>
      </c>
      <c r="F3999" t="str">
        <f>IFERROR(VLOOKUP(tbEscolas[[#This Row],[COD ETPA]],tbEtapas[],3,FALSE),"")</f>
        <v/>
      </c>
    </row>
    <row r="4000" spans="1:6" x14ac:dyDescent="0.25">
      <c r="A4000" s="24" t="str">
        <f>_xlfn.XLOOKUP(tbEscolas[[#This Row],[ESCOLA]],tbNucleo[ESCOLA],tbNucleo[COD ESCOLA],"")</f>
        <v/>
      </c>
      <c r="B4000" t="str" cm="1">
        <f t="array" ref="B4000">IFERROR(INDEX(tbNucleo[ESCOLA],ROUNDUP(ROW(B3999)/TotalEtapas,0)),"")</f>
        <v/>
      </c>
      <c r="E4000" t="str">
        <f>IFERROR(VLOOKUP(tbEscolas[[#This Row],[COD ETPA]],tbEtapas[],2,FALSE),"")</f>
        <v/>
      </c>
      <c r="F4000" t="str">
        <f>IFERROR(VLOOKUP(tbEscolas[[#This Row],[COD ETPA]],tbEtapas[],3,FALSE),"")</f>
        <v/>
      </c>
    </row>
    <row r="4001" spans="1:6" x14ac:dyDescent="0.25">
      <c r="A4001" s="24" t="str">
        <f>_xlfn.XLOOKUP(tbEscolas[[#This Row],[ESCOLA]],tbNucleo[ESCOLA],tbNucleo[COD ESCOLA],"")</f>
        <v/>
      </c>
      <c r="B4001" t="str" cm="1">
        <f t="array" ref="B4001">IFERROR(INDEX(tbNucleo[ESCOLA],ROUNDUP(ROW(B4000)/TotalEtapas,0)),"")</f>
        <v/>
      </c>
      <c r="E4001" t="str">
        <f>IFERROR(VLOOKUP(tbEscolas[[#This Row],[COD ETPA]],tbEtapas[],2,FALSE),"")</f>
        <v/>
      </c>
      <c r="F4001" t="str">
        <f>IFERROR(VLOOKUP(tbEscolas[[#This Row],[COD ETPA]],tbEtapas[],3,FALSE),"")</f>
        <v/>
      </c>
    </row>
    <row r="4002" spans="1:6" x14ac:dyDescent="0.25">
      <c r="A4002" s="24" t="str">
        <f>_xlfn.XLOOKUP(tbEscolas[[#This Row],[ESCOLA]],tbNucleo[ESCOLA],tbNucleo[COD ESCOLA],"")</f>
        <v/>
      </c>
      <c r="B4002" t="str" cm="1">
        <f t="array" ref="B4002">IFERROR(INDEX(tbNucleo[ESCOLA],ROUNDUP(ROW(B4001)/TotalEtapas,0)),"")</f>
        <v/>
      </c>
      <c r="E4002" t="str">
        <f>IFERROR(VLOOKUP(tbEscolas[[#This Row],[COD ETPA]],tbEtapas[],2,FALSE),"")</f>
        <v/>
      </c>
      <c r="F4002" t="str">
        <f>IFERROR(VLOOKUP(tbEscolas[[#This Row],[COD ETPA]],tbEtapas[],3,FALSE),"")</f>
        <v/>
      </c>
    </row>
    <row r="4003" spans="1:6" x14ac:dyDescent="0.25">
      <c r="A4003" s="24" t="str">
        <f>_xlfn.XLOOKUP(tbEscolas[[#This Row],[ESCOLA]],tbNucleo[ESCOLA],tbNucleo[COD ESCOLA],"")</f>
        <v/>
      </c>
      <c r="B4003" t="str" cm="1">
        <f t="array" ref="B4003">IFERROR(INDEX(tbNucleo[ESCOLA],ROUNDUP(ROW(B4002)/TotalEtapas,0)),"")</f>
        <v/>
      </c>
      <c r="E4003" t="str">
        <f>IFERROR(VLOOKUP(tbEscolas[[#This Row],[COD ETPA]],tbEtapas[],2,FALSE),"")</f>
        <v/>
      </c>
      <c r="F4003" t="str">
        <f>IFERROR(VLOOKUP(tbEscolas[[#This Row],[COD ETPA]],tbEtapas[],3,FALSE),"")</f>
        <v/>
      </c>
    </row>
    <row r="4004" spans="1:6" x14ac:dyDescent="0.25">
      <c r="A4004" s="24" t="str">
        <f>_xlfn.XLOOKUP(tbEscolas[[#This Row],[ESCOLA]],tbNucleo[ESCOLA],tbNucleo[COD ESCOLA],"")</f>
        <v/>
      </c>
      <c r="B4004" t="str" cm="1">
        <f t="array" ref="B4004">IFERROR(INDEX(tbNucleo[ESCOLA],ROUNDUP(ROW(B4003)/TotalEtapas,0)),"")</f>
        <v/>
      </c>
      <c r="E4004" t="str">
        <f>IFERROR(VLOOKUP(tbEscolas[[#This Row],[COD ETPA]],tbEtapas[],2,FALSE),"")</f>
        <v/>
      </c>
      <c r="F4004" t="str">
        <f>IFERROR(VLOOKUP(tbEscolas[[#This Row],[COD ETPA]],tbEtapas[],3,FALSE),"")</f>
        <v/>
      </c>
    </row>
    <row r="4005" spans="1:6" x14ac:dyDescent="0.25">
      <c r="A4005" s="24" t="str">
        <f>_xlfn.XLOOKUP(tbEscolas[[#This Row],[ESCOLA]],tbNucleo[ESCOLA],tbNucleo[COD ESCOLA],"")</f>
        <v/>
      </c>
      <c r="B4005" t="str" cm="1">
        <f t="array" ref="B4005">IFERROR(INDEX(tbNucleo[ESCOLA],ROUNDUP(ROW(B4004)/TotalEtapas,0)),"")</f>
        <v/>
      </c>
      <c r="E4005" t="str">
        <f>IFERROR(VLOOKUP(tbEscolas[[#This Row],[COD ETPA]],tbEtapas[],2,FALSE),"")</f>
        <v/>
      </c>
      <c r="F4005" t="str">
        <f>IFERROR(VLOOKUP(tbEscolas[[#This Row],[COD ETPA]],tbEtapas[],3,FALSE),"")</f>
        <v/>
      </c>
    </row>
    <row r="4006" spans="1:6" x14ac:dyDescent="0.25">
      <c r="A4006" s="24" t="str">
        <f>_xlfn.XLOOKUP(tbEscolas[[#This Row],[ESCOLA]],tbNucleo[ESCOLA],tbNucleo[COD ESCOLA],"")</f>
        <v/>
      </c>
      <c r="B4006" t="str" cm="1">
        <f t="array" ref="B4006">IFERROR(INDEX(tbNucleo[ESCOLA],ROUNDUP(ROW(B4005)/TotalEtapas,0)),"")</f>
        <v/>
      </c>
      <c r="E4006" t="str">
        <f>IFERROR(VLOOKUP(tbEscolas[[#This Row],[COD ETPA]],tbEtapas[],2,FALSE),"")</f>
        <v/>
      </c>
      <c r="F4006" t="str">
        <f>IFERROR(VLOOKUP(tbEscolas[[#This Row],[COD ETPA]],tbEtapas[],3,FALSE),"")</f>
        <v/>
      </c>
    </row>
    <row r="4007" spans="1:6" x14ac:dyDescent="0.25">
      <c r="A4007" s="24" t="str">
        <f>_xlfn.XLOOKUP(tbEscolas[[#This Row],[ESCOLA]],tbNucleo[ESCOLA],tbNucleo[COD ESCOLA],"")</f>
        <v/>
      </c>
      <c r="B4007" t="str" cm="1">
        <f t="array" ref="B4007">IFERROR(INDEX(tbNucleo[ESCOLA],ROUNDUP(ROW(B4006)/TotalEtapas,0)),"")</f>
        <v/>
      </c>
      <c r="E4007" t="str">
        <f>IFERROR(VLOOKUP(tbEscolas[[#This Row],[COD ETPA]],tbEtapas[],2,FALSE),"")</f>
        <v/>
      </c>
      <c r="F4007" t="str">
        <f>IFERROR(VLOOKUP(tbEscolas[[#This Row],[COD ETPA]],tbEtapas[],3,FALSE),"")</f>
        <v/>
      </c>
    </row>
    <row r="4008" spans="1:6" x14ac:dyDescent="0.25">
      <c r="A4008" s="24" t="str">
        <f>_xlfn.XLOOKUP(tbEscolas[[#This Row],[ESCOLA]],tbNucleo[ESCOLA],tbNucleo[COD ESCOLA],"")</f>
        <v/>
      </c>
      <c r="B4008" t="str" cm="1">
        <f t="array" ref="B4008">IFERROR(INDEX(tbNucleo[ESCOLA],ROUNDUP(ROW(B4007)/TotalEtapas,0)),"")</f>
        <v/>
      </c>
      <c r="E4008" t="str">
        <f>IFERROR(VLOOKUP(tbEscolas[[#This Row],[COD ETPA]],tbEtapas[],2,FALSE),"")</f>
        <v/>
      </c>
      <c r="F4008" t="str">
        <f>IFERROR(VLOOKUP(tbEscolas[[#This Row],[COD ETPA]],tbEtapas[],3,FALSE),"")</f>
        <v/>
      </c>
    </row>
    <row r="4009" spans="1:6" x14ac:dyDescent="0.25">
      <c r="A4009" s="24" t="str">
        <f>_xlfn.XLOOKUP(tbEscolas[[#This Row],[ESCOLA]],tbNucleo[ESCOLA],tbNucleo[COD ESCOLA],"")</f>
        <v/>
      </c>
      <c r="B4009" t="str" cm="1">
        <f t="array" ref="B4009">IFERROR(INDEX(tbNucleo[ESCOLA],ROUNDUP(ROW(B4008)/TotalEtapas,0)),"")</f>
        <v/>
      </c>
      <c r="E4009" t="str">
        <f>IFERROR(VLOOKUP(tbEscolas[[#This Row],[COD ETPA]],tbEtapas[],2,FALSE),"")</f>
        <v/>
      </c>
      <c r="F4009" t="str">
        <f>IFERROR(VLOOKUP(tbEscolas[[#This Row],[COD ETPA]],tbEtapas[],3,FALSE),"")</f>
        <v/>
      </c>
    </row>
    <row r="4010" spans="1:6" x14ac:dyDescent="0.25">
      <c r="A4010" s="24" t="str">
        <f>_xlfn.XLOOKUP(tbEscolas[[#This Row],[ESCOLA]],tbNucleo[ESCOLA],tbNucleo[COD ESCOLA],"")</f>
        <v/>
      </c>
      <c r="B4010" t="str" cm="1">
        <f t="array" ref="B4010">IFERROR(INDEX(tbNucleo[ESCOLA],ROUNDUP(ROW(B4009)/TotalEtapas,0)),"")</f>
        <v/>
      </c>
      <c r="E4010" t="str">
        <f>IFERROR(VLOOKUP(tbEscolas[[#This Row],[COD ETPA]],tbEtapas[],2,FALSE),"")</f>
        <v/>
      </c>
      <c r="F4010" t="str">
        <f>IFERROR(VLOOKUP(tbEscolas[[#This Row],[COD ETPA]],tbEtapas[],3,FALSE),"")</f>
        <v/>
      </c>
    </row>
    <row r="4011" spans="1:6" x14ac:dyDescent="0.25">
      <c r="A4011" s="24" t="str">
        <f>_xlfn.XLOOKUP(tbEscolas[[#This Row],[ESCOLA]],tbNucleo[ESCOLA],tbNucleo[COD ESCOLA],"")</f>
        <v/>
      </c>
      <c r="B4011" t="str" cm="1">
        <f t="array" ref="B4011">IFERROR(INDEX(tbNucleo[ESCOLA],ROUNDUP(ROW(B4010)/TotalEtapas,0)),"")</f>
        <v/>
      </c>
      <c r="E4011" t="str">
        <f>IFERROR(VLOOKUP(tbEscolas[[#This Row],[COD ETPA]],tbEtapas[],2,FALSE),"")</f>
        <v/>
      </c>
      <c r="F4011" t="str">
        <f>IFERROR(VLOOKUP(tbEscolas[[#This Row],[COD ETPA]],tbEtapas[],3,FALSE),"")</f>
        <v/>
      </c>
    </row>
    <row r="4012" spans="1:6" x14ac:dyDescent="0.25">
      <c r="A4012" s="24" t="str">
        <f>_xlfn.XLOOKUP(tbEscolas[[#This Row],[ESCOLA]],tbNucleo[ESCOLA],tbNucleo[COD ESCOLA],"")</f>
        <v/>
      </c>
      <c r="B4012" t="str" cm="1">
        <f t="array" ref="B4012">IFERROR(INDEX(tbNucleo[ESCOLA],ROUNDUP(ROW(B4011)/TotalEtapas,0)),"")</f>
        <v/>
      </c>
      <c r="E4012" t="str">
        <f>IFERROR(VLOOKUP(tbEscolas[[#This Row],[COD ETPA]],tbEtapas[],2,FALSE),"")</f>
        <v/>
      </c>
      <c r="F4012" t="str">
        <f>IFERROR(VLOOKUP(tbEscolas[[#This Row],[COD ETPA]],tbEtapas[],3,FALSE),"")</f>
        <v/>
      </c>
    </row>
    <row r="4013" spans="1:6" x14ac:dyDescent="0.25">
      <c r="A4013" s="24" t="str">
        <f>_xlfn.XLOOKUP(tbEscolas[[#This Row],[ESCOLA]],tbNucleo[ESCOLA],tbNucleo[COD ESCOLA],"")</f>
        <v/>
      </c>
      <c r="B4013" t="str" cm="1">
        <f t="array" ref="B4013">IFERROR(INDEX(tbNucleo[ESCOLA],ROUNDUP(ROW(B4012)/TotalEtapas,0)),"")</f>
        <v/>
      </c>
      <c r="E4013" t="str">
        <f>IFERROR(VLOOKUP(tbEscolas[[#This Row],[COD ETPA]],tbEtapas[],2,FALSE),"")</f>
        <v/>
      </c>
      <c r="F4013" t="str">
        <f>IFERROR(VLOOKUP(tbEscolas[[#This Row],[COD ETPA]],tbEtapas[],3,FALSE),"")</f>
        <v/>
      </c>
    </row>
    <row r="4014" spans="1:6" x14ac:dyDescent="0.25">
      <c r="A4014" s="24" t="str">
        <f>_xlfn.XLOOKUP(tbEscolas[[#This Row],[ESCOLA]],tbNucleo[ESCOLA],tbNucleo[COD ESCOLA],"")</f>
        <v/>
      </c>
      <c r="B4014" t="str" cm="1">
        <f t="array" ref="B4014">IFERROR(INDEX(tbNucleo[ESCOLA],ROUNDUP(ROW(B4013)/TotalEtapas,0)),"")</f>
        <v/>
      </c>
      <c r="E4014" t="str">
        <f>IFERROR(VLOOKUP(tbEscolas[[#This Row],[COD ETPA]],tbEtapas[],2,FALSE),"")</f>
        <v/>
      </c>
      <c r="F4014" t="str">
        <f>IFERROR(VLOOKUP(tbEscolas[[#This Row],[COD ETPA]],tbEtapas[],3,FALSE),"")</f>
        <v/>
      </c>
    </row>
    <row r="4015" spans="1:6" x14ac:dyDescent="0.25">
      <c r="A4015" s="24" t="str">
        <f>_xlfn.XLOOKUP(tbEscolas[[#This Row],[ESCOLA]],tbNucleo[ESCOLA],tbNucleo[COD ESCOLA],"")</f>
        <v/>
      </c>
      <c r="B4015" t="str" cm="1">
        <f t="array" ref="B4015">IFERROR(INDEX(tbNucleo[ESCOLA],ROUNDUP(ROW(B4014)/TotalEtapas,0)),"")</f>
        <v/>
      </c>
      <c r="E4015" t="str">
        <f>IFERROR(VLOOKUP(tbEscolas[[#This Row],[COD ETPA]],tbEtapas[],2,FALSE),"")</f>
        <v/>
      </c>
      <c r="F4015" t="str">
        <f>IFERROR(VLOOKUP(tbEscolas[[#This Row],[COD ETPA]],tbEtapas[],3,FALSE),"")</f>
        <v/>
      </c>
    </row>
    <row r="4016" spans="1:6" x14ac:dyDescent="0.25">
      <c r="A4016" s="24" t="str">
        <f>_xlfn.XLOOKUP(tbEscolas[[#This Row],[ESCOLA]],tbNucleo[ESCOLA],tbNucleo[COD ESCOLA],"")</f>
        <v/>
      </c>
      <c r="B4016" t="str" cm="1">
        <f t="array" ref="B4016">IFERROR(INDEX(tbNucleo[ESCOLA],ROUNDUP(ROW(B4015)/TotalEtapas,0)),"")</f>
        <v/>
      </c>
      <c r="E4016" t="str">
        <f>IFERROR(VLOOKUP(tbEscolas[[#This Row],[COD ETPA]],tbEtapas[],2,FALSE),"")</f>
        <v/>
      </c>
      <c r="F4016" t="str">
        <f>IFERROR(VLOOKUP(tbEscolas[[#This Row],[COD ETPA]],tbEtapas[],3,FALSE),"")</f>
        <v/>
      </c>
    </row>
    <row r="4017" spans="1:6" x14ac:dyDescent="0.25">
      <c r="A4017" s="24" t="str">
        <f>_xlfn.XLOOKUP(tbEscolas[[#This Row],[ESCOLA]],tbNucleo[ESCOLA],tbNucleo[COD ESCOLA],"")</f>
        <v/>
      </c>
      <c r="B4017" t="str" cm="1">
        <f t="array" ref="B4017">IFERROR(INDEX(tbNucleo[ESCOLA],ROUNDUP(ROW(B4016)/TotalEtapas,0)),"")</f>
        <v/>
      </c>
      <c r="E4017" t="str">
        <f>IFERROR(VLOOKUP(tbEscolas[[#This Row],[COD ETPA]],tbEtapas[],2,FALSE),"")</f>
        <v/>
      </c>
      <c r="F4017" t="str">
        <f>IFERROR(VLOOKUP(tbEscolas[[#This Row],[COD ETPA]],tbEtapas[],3,FALSE),"")</f>
        <v/>
      </c>
    </row>
    <row r="4018" spans="1:6" x14ac:dyDescent="0.25">
      <c r="A4018" s="24" t="str">
        <f>_xlfn.XLOOKUP(tbEscolas[[#This Row],[ESCOLA]],tbNucleo[ESCOLA],tbNucleo[COD ESCOLA],"")</f>
        <v/>
      </c>
      <c r="B4018" t="str" cm="1">
        <f t="array" ref="B4018">IFERROR(INDEX(tbNucleo[ESCOLA],ROUNDUP(ROW(B4017)/TotalEtapas,0)),"")</f>
        <v/>
      </c>
      <c r="E4018" t="str">
        <f>IFERROR(VLOOKUP(tbEscolas[[#This Row],[COD ETPA]],tbEtapas[],2,FALSE),"")</f>
        <v/>
      </c>
      <c r="F4018" t="str">
        <f>IFERROR(VLOOKUP(tbEscolas[[#This Row],[COD ETPA]],tbEtapas[],3,FALSE),"")</f>
        <v/>
      </c>
    </row>
    <row r="4019" spans="1:6" x14ac:dyDescent="0.25">
      <c r="A4019" s="24" t="str">
        <f>_xlfn.XLOOKUP(tbEscolas[[#This Row],[ESCOLA]],tbNucleo[ESCOLA],tbNucleo[COD ESCOLA],"")</f>
        <v/>
      </c>
      <c r="B4019" t="str" cm="1">
        <f t="array" ref="B4019">IFERROR(INDEX(tbNucleo[ESCOLA],ROUNDUP(ROW(B4018)/TotalEtapas,0)),"")</f>
        <v/>
      </c>
      <c r="E4019" t="str">
        <f>IFERROR(VLOOKUP(tbEscolas[[#This Row],[COD ETPA]],tbEtapas[],2,FALSE),"")</f>
        <v/>
      </c>
      <c r="F4019" t="str">
        <f>IFERROR(VLOOKUP(tbEscolas[[#This Row],[COD ETPA]],tbEtapas[],3,FALSE),"")</f>
        <v/>
      </c>
    </row>
    <row r="4020" spans="1:6" x14ac:dyDescent="0.25">
      <c r="A4020" s="24" t="str">
        <f>_xlfn.XLOOKUP(tbEscolas[[#This Row],[ESCOLA]],tbNucleo[ESCOLA],tbNucleo[COD ESCOLA],"")</f>
        <v/>
      </c>
      <c r="B4020" t="str" cm="1">
        <f t="array" ref="B4020">IFERROR(INDEX(tbNucleo[ESCOLA],ROUNDUP(ROW(B4019)/TotalEtapas,0)),"")</f>
        <v/>
      </c>
      <c r="E4020" t="str">
        <f>IFERROR(VLOOKUP(tbEscolas[[#This Row],[COD ETPA]],tbEtapas[],2,FALSE),"")</f>
        <v/>
      </c>
      <c r="F4020" t="str">
        <f>IFERROR(VLOOKUP(tbEscolas[[#This Row],[COD ETPA]],tbEtapas[],3,FALSE),"")</f>
        <v/>
      </c>
    </row>
    <row r="4021" spans="1:6" x14ac:dyDescent="0.25">
      <c r="A4021" s="24" t="str">
        <f>_xlfn.XLOOKUP(tbEscolas[[#This Row],[ESCOLA]],tbNucleo[ESCOLA],tbNucleo[COD ESCOLA],"")</f>
        <v/>
      </c>
      <c r="B4021" t="str" cm="1">
        <f t="array" ref="B4021">IFERROR(INDEX(tbNucleo[ESCOLA],ROUNDUP(ROW(B4020)/TotalEtapas,0)),"")</f>
        <v/>
      </c>
      <c r="E4021" t="str">
        <f>IFERROR(VLOOKUP(tbEscolas[[#This Row],[COD ETPA]],tbEtapas[],2,FALSE),"")</f>
        <v/>
      </c>
      <c r="F4021" t="str">
        <f>IFERROR(VLOOKUP(tbEscolas[[#This Row],[COD ETPA]],tbEtapas[],3,FALSE),"")</f>
        <v/>
      </c>
    </row>
    <row r="4022" spans="1:6" x14ac:dyDescent="0.25">
      <c r="A4022" s="24" t="str">
        <f>_xlfn.XLOOKUP(tbEscolas[[#This Row],[ESCOLA]],tbNucleo[ESCOLA],tbNucleo[COD ESCOLA],"")</f>
        <v/>
      </c>
      <c r="B4022" t="str" cm="1">
        <f t="array" ref="B4022">IFERROR(INDEX(tbNucleo[ESCOLA],ROUNDUP(ROW(B4021)/TotalEtapas,0)),"")</f>
        <v/>
      </c>
      <c r="E4022" t="str">
        <f>IFERROR(VLOOKUP(tbEscolas[[#This Row],[COD ETPA]],tbEtapas[],2,FALSE),"")</f>
        <v/>
      </c>
      <c r="F4022" t="str">
        <f>IFERROR(VLOOKUP(tbEscolas[[#This Row],[COD ETPA]],tbEtapas[],3,FALSE),"")</f>
        <v/>
      </c>
    </row>
    <row r="4023" spans="1:6" x14ac:dyDescent="0.25">
      <c r="A4023" s="24" t="str">
        <f>_xlfn.XLOOKUP(tbEscolas[[#This Row],[ESCOLA]],tbNucleo[ESCOLA],tbNucleo[COD ESCOLA],"")</f>
        <v/>
      </c>
      <c r="B4023" t="str" cm="1">
        <f t="array" ref="B4023">IFERROR(INDEX(tbNucleo[ESCOLA],ROUNDUP(ROW(B4022)/TotalEtapas,0)),"")</f>
        <v/>
      </c>
      <c r="E4023" t="str">
        <f>IFERROR(VLOOKUP(tbEscolas[[#This Row],[COD ETPA]],tbEtapas[],2,FALSE),"")</f>
        <v/>
      </c>
      <c r="F4023" t="str">
        <f>IFERROR(VLOOKUP(tbEscolas[[#This Row],[COD ETPA]],tbEtapas[],3,FALSE),"")</f>
        <v/>
      </c>
    </row>
    <row r="4024" spans="1:6" x14ac:dyDescent="0.25">
      <c r="A4024" s="24" t="str">
        <f>_xlfn.XLOOKUP(tbEscolas[[#This Row],[ESCOLA]],tbNucleo[ESCOLA],tbNucleo[COD ESCOLA],"")</f>
        <v/>
      </c>
      <c r="B4024" t="str" cm="1">
        <f t="array" ref="B4024">IFERROR(INDEX(tbNucleo[ESCOLA],ROUNDUP(ROW(B4023)/TotalEtapas,0)),"")</f>
        <v/>
      </c>
      <c r="E4024" t="str">
        <f>IFERROR(VLOOKUP(tbEscolas[[#This Row],[COD ETPA]],tbEtapas[],2,FALSE),"")</f>
        <v/>
      </c>
      <c r="F4024" t="str">
        <f>IFERROR(VLOOKUP(tbEscolas[[#This Row],[COD ETPA]],tbEtapas[],3,FALSE),"")</f>
        <v/>
      </c>
    </row>
    <row r="4025" spans="1:6" x14ac:dyDescent="0.25">
      <c r="A4025" s="24" t="str">
        <f>_xlfn.XLOOKUP(tbEscolas[[#This Row],[ESCOLA]],tbNucleo[ESCOLA],tbNucleo[COD ESCOLA],"")</f>
        <v/>
      </c>
      <c r="B4025" t="str" cm="1">
        <f t="array" ref="B4025">IFERROR(INDEX(tbNucleo[ESCOLA],ROUNDUP(ROW(B4024)/TotalEtapas,0)),"")</f>
        <v/>
      </c>
      <c r="E4025" t="str">
        <f>IFERROR(VLOOKUP(tbEscolas[[#This Row],[COD ETPA]],tbEtapas[],2,FALSE),"")</f>
        <v/>
      </c>
      <c r="F4025" t="str">
        <f>IFERROR(VLOOKUP(tbEscolas[[#This Row],[COD ETPA]],tbEtapas[],3,FALSE),"")</f>
        <v/>
      </c>
    </row>
    <row r="4026" spans="1:6" x14ac:dyDescent="0.25">
      <c r="A4026" s="24" t="str">
        <f>_xlfn.XLOOKUP(tbEscolas[[#This Row],[ESCOLA]],tbNucleo[ESCOLA],tbNucleo[COD ESCOLA],"")</f>
        <v/>
      </c>
      <c r="B4026" t="str" cm="1">
        <f t="array" ref="B4026">IFERROR(INDEX(tbNucleo[ESCOLA],ROUNDUP(ROW(B4025)/TotalEtapas,0)),"")</f>
        <v/>
      </c>
      <c r="E4026" t="str">
        <f>IFERROR(VLOOKUP(tbEscolas[[#This Row],[COD ETPA]],tbEtapas[],2,FALSE),"")</f>
        <v/>
      </c>
      <c r="F4026" t="str">
        <f>IFERROR(VLOOKUP(tbEscolas[[#This Row],[COD ETPA]],tbEtapas[],3,FALSE),"")</f>
        <v/>
      </c>
    </row>
    <row r="4027" spans="1:6" x14ac:dyDescent="0.25">
      <c r="A4027" s="24" t="str">
        <f>_xlfn.XLOOKUP(tbEscolas[[#This Row],[ESCOLA]],tbNucleo[ESCOLA],tbNucleo[COD ESCOLA],"")</f>
        <v/>
      </c>
      <c r="B4027" t="str" cm="1">
        <f t="array" ref="B4027">IFERROR(INDEX(tbNucleo[ESCOLA],ROUNDUP(ROW(B4026)/TotalEtapas,0)),"")</f>
        <v/>
      </c>
      <c r="E4027" t="str">
        <f>IFERROR(VLOOKUP(tbEscolas[[#This Row],[COD ETPA]],tbEtapas[],2,FALSE),"")</f>
        <v/>
      </c>
      <c r="F4027" t="str">
        <f>IFERROR(VLOOKUP(tbEscolas[[#This Row],[COD ETPA]],tbEtapas[],3,FALSE),"")</f>
        <v/>
      </c>
    </row>
    <row r="4028" spans="1:6" x14ac:dyDescent="0.25">
      <c r="A4028" s="24" t="str">
        <f>_xlfn.XLOOKUP(tbEscolas[[#This Row],[ESCOLA]],tbNucleo[ESCOLA],tbNucleo[COD ESCOLA],"")</f>
        <v/>
      </c>
      <c r="B4028" t="str" cm="1">
        <f t="array" ref="B4028">IFERROR(INDEX(tbNucleo[ESCOLA],ROUNDUP(ROW(B4027)/TotalEtapas,0)),"")</f>
        <v/>
      </c>
      <c r="E4028" t="str">
        <f>IFERROR(VLOOKUP(tbEscolas[[#This Row],[COD ETPA]],tbEtapas[],2,FALSE),"")</f>
        <v/>
      </c>
      <c r="F4028" t="str">
        <f>IFERROR(VLOOKUP(tbEscolas[[#This Row],[COD ETPA]],tbEtapas[],3,FALSE),"")</f>
        <v/>
      </c>
    </row>
    <row r="4029" spans="1:6" x14ac:dyDescent="0.25">
      <c r="A4029" s="24" t="str">
        <f>_xlfn.XLOOKUP(tbEscolas[[#This Row],[ESCOLA]],tbNucleo[ESCOLA],tbNucleo[COD ESCOLA],"")</f>
        <v/>
      </c>
      <c r="B4029" t="str" cm="1">
        <f t="array" ref="B4029">IFERROR(INDEX(tbNucleo[ESCOLA],ROUNDUP(ROW(B4028)/TotalEtapas,0)),"")</f>
        <v/>
      </c>
      <c r="E4029" t="str">
        <f>IFERROR(VLOOKUP(tbEscolas[[#This Row],[COD ETPA]],tbEtapas[],2,FALSE),"")</f>
        <v/>
      </c>
      <c r="F4029" t="str">
        <f>IFERROR(VLOOKUP(tbEscolas[[#This Row],[COD ETPA]],tbEtapas[],3,FALSE),"")</f>
        <v/>
      </c>
    </row>
    <row r="4030" spans="1:6" x14ac:dyDescent="0.25">
      <c r="A4030" s="24" t="str">
        <f>_xlfn.XLOOKUP(tbEscolas[[#This Row],[ESCOLA]],tbNucleo[ESCOLA],tbNucleo[COD ESCOLA],"")</f>
        <v/>
      </c>
      <c r="B4030" t="str" cm="1">
        <f t="array" ref="B4030">IFERROR(INDEX(tbNucleo[ESCOLA],ROUNDUP(ROW(B4029)/TotalEtapas,0)),"")</f>
        <v/>
      </c>
      <c r="E4030" t="str">
        <f>IFERROR(VLOOKUP(tbEscolas[[#This Row],[COD ETPA]],tbEtapas[],2,FALSE),"")</f>
        <v/>
      </c>
      <c r="F4030" t="str">
        <f>IFERROR(VLOOKUP(tbEscolas[[#This Row],[COD ETPA]],tbEtapas[],3,FALSE),"")</f>
        <v/>
      </c>
    </row>
    <row r="4031" spans="1:6" x14ac:dyDescent="0.25">
      <c r="A4031" s="24" t="str">
        <f>_xlfn.XLOOKUP(tbEscolas[[#This Row],[ESCOLA]],tbNucleo[ESCOLA],tbNucleo[COD ESCOLA],"")</f>
        <v/>
      </c>
      <c r="B4031" t="str" cm="1">
        <f t="array" ref="B4031">IFERROR(INDEX(tbNucleo[ESCOLA],ROUNDUP(ROW(B4030)/TotalEtapas,0)),"")</f>
        <v/>
      </c>
      <c r="E4031" t="str">
        <f>IFERROR(VLOOKUP(tbEscolas[[#This Row],[COD ETPA]],tbEtapas[],2,FALSE),"")</f>
        <v/>
      </c>
      <c r="F4031" t="str">
        <f>IFERROR(VLOOKUP(tbEscolas[[#This Row],[COD ETPA]],tbEtapas[],3,FALSE),"")</f>
        <v/>
      </c>
    </row>
    <row r="4032" spans="1:6" x14ac:dyDescent="0.25">
      <c r="A4032" s="24" t="str">
        <f>_xlfn.XLOOKUP(tbEscolas[[#This Row],[ESCOLA]],tbNucleo[ESCOLA],tbNucleo[COD ESCOLA],"")</f>
        <v/>
      </c>
      <c r="B4032" t="str" cm="1">
        <f t="array" ref="B4032">IFERROR(INDEX(tbNucleo[ESCOLA],ROUNDUP(ROW(B4031)/TotalEtapas,0)),"")</f>
        <v/>
      </c>
      <c r="E4032" t="str">
        <f>IFERROR(VLOOKUP(tbEscolas[[#This Row],[COD ETPA]],tbEtapas[],2,FALSE),"")</f>
        <v/>
      </c>
      <c r="F4032" t="str">
        <f>IFERROR(VLOOKUP(tbEscolas[[#This Row],[COD ETPA]],tbEtapas[],3,FALSE),"")</f>
        <v/>
      </c>
    </row>
    <row r="4033" spans="1:6" x14ac:dyDescent="0.25">
      <c r="A4033" s="24" t="str">
        <f>_xlfn.XLOOKUP(tbEscolas[[#This Row],[ESCOLA]],tbNucleo[ESCOLA],tbNucleo[COD ESCOLA],"")</f>
        <v/>
      </c>
      <c r="B4033" t="str" cm="1">
        <f t="array" ref="B4033">IFERROR(INDEX(tbNucleo[ESCOLA],ROUNDUP(ROW(B4032)/TotalEtapas,0)),"")</f>
        <v/>
      </c>
      <c r="E4033" t="str">
        <f>IFERROR(VLOOKUP(tbEscolas[[#This Row],[COD ETPA]],tbEtapas[],2,FALSE),"")</f>
        <v/>
      </c>
      <c r="F4033" t="str">
        <f>IFERROR(VLOOKUP(tbEscolas[[#This Row],[COD ETPA]],tbEtapas[],3,FALSE),"")</f>
        <v/>
      </c>
    </row>
    <row r="4034" spans="1:6" x14ac:dyDescent="0.25">
      <c r="A4034" s="24" t="str">
        <f>_xlfn.XLOOKUP(tbEscolas[[#This Row],[ESCOLA]],tbNucleo[ESCOLA],tbNucleo[COD ESCOLA],"")</f>
        <v/>
      </c>
      <c r="B4034" t="str" cm="1">
        <f t="array" ref="B4034">IFERROR(INDEX(tbNucleo[ESCOLA],ROUNDUP(ROW(B4033)/TotalEtapas,0)),"")</f>
        <v/>
      </c>
      <c r="E4034" t="str">
        <f>IFERROR(VLOOKUP(tbEscolas[[#This Row],[COD ETPA]],tbEtapas[],2,FALSE),"")</f>
        <v/>
      </c>
      <c r="F4034" t="str">
        <f>IFERROR(VLOOKUP(tbEscolas[[#This Row],[COD ETPA]],tbEtapas[],3,FALSE),"")</f>
        <v/>
      </c>
    </row>
    <row r="4035" spans="1:6" x14ac:dyDescent="0.25">
      <c r="A4035" s="24" t="str">
        <f>_xlfn.XLOOKUP(tbEscolas[[#This Row],[ESCOLA]],tbNucleo[ESCOLA],tbNucleo[COD ESCOLA],"")</f>
        <v/>
      </c>
      <c r="B4035" t="str" cm="1">
        <f t="array" ref="B4035">IFERROR(INDEX(tbNucleo[ESCOLA],ROUNDUP(ROW(B4034)/TotalEtapas,0)),"")</f>
        <v/>
      </c>
      <c r="E4035" t="str">
        <f>IFERROR(VLOOKUP(tbEscolas[[#This Row],[COD ETPA]],tbEtapas[],2,FALSE),"")</f>
        <v/>
      </c>
      <c r="F4035" t="str">
        <f>IFERROR(VLOOKUP(tbEscolas[[#This Row],[COD ETPA]],tbEtapas[],3,FALSE),"")</f>
        <v/>
      </c>
    </row>
    <row r="4036" spans="1:6" x14ac:dyDescent="0.25">
      <c r="A4036" s="24" t="str">
        <f>_xlfn.XLOOKUP(tbEscolas[[#This Row],[ESCOLA]],tbNucleo[ESCOLA],tbNucleo[COD ESCOLA],"")</f>
        <v/>
      </c>
      <c r="B4036" t="str" cm="1">
        <f t="array" ref="B4036">IFERROR(INDEX(tbNucleo[ESCOLA],ROUNDUP(ROW(B4035)/TotalEtapas,0)),"")</f>
        <v/>
      </c>
      <c r="E4036" t="str">
        <f>IFERROR(VLOOKUP(tbEscolas[[#This Row],[COD ETPA]],tbEtapas[],2,FALSE),"")</f>
        <v/>
      </c>
      <c r="F4036" t="str">
        <f>IFERROR(VLOOKUP(tbEscolas[[#This Row],[COD ETPA]],tbEtapas[],3,FALSE),"")</f>
        <v/>
      </c>
    </row>
    <row r="4037" spans="1:6" x14ac:dyDescent="0.25">
      <c r="A4037" s="24" t="str">
        <f>_xlfn.XLOOKUP(tbEscolas[[#This Row],[ESCOLA]],tbNucleo[ESCOLA],tbNucleo[COD ESCOLA],"")</f>
        <v/>
      </c>
      <c r="B4037" t="str" cm="1">
        <f t="array" ref="B4037">IFERROR(INDEX(tbNucleo[ESCOLA],ROUNDUP(ROW(B4036)/TotalEtapas,0)),"")</f>
        <v/>
      </c>
      <c r="E4037" t="str">
        <f>IFERROR(VLOOKUP(tbEscolas[[#This Row],[COD ETPA]],tbEtapas[],2,FALSE),"")</f>
        <v/>
      </c>
      <c r="F4037" t="str">
        <f>IFERROR(VLOOKUP(tbEscolas[[#This Row],[COD ETPA]],tbEtapas[],3,FALSE),"")</f>
        <v/>
      </c>
    </row>
    <row r="4038" spans="1:6" x14ac:dyDescent="0.25">
      <c r="A4038" s="24" t="str">
        <f>_xlfn.XLOOKUP(tbEscolas[[#This Row],[ESCOLA]],tbNucleo[ESCOLA],tbNucleo[COD ESCOLA],"")</f>
        <v/>
      </c>
      <c r="B4038" t="str" cm="1">
        <f t="array" ref="B4038">IFERROR(INDEX(tbNucleo[ESCOLA],ROUNDUP(ROW(B4037)/TotalEtapas,0)),"")</f>
        <v/>
      </c>
      <c r="E4038" t="str">
        <f>IFERROR(VLOOKUP(tbEscolas[[#This Row],[COD ETPA]],tbEtapas[],2,FALSE),"")</f>
        <v/>
      </c>
      <c r="F4038" t="str">
        <f>IFERROR(VLOOKUP(tbEscolas[[#This Row],[COD ETPA]],tbEtapas[],3,FALSE),"")</f>
        <v/>
      </c>
    </row>
    <row r="4039" spans="1:6" x14ac:dyDescent="0.25">
      <c r="A4039" s="24" t="str">
        <f>_xlfn.XLOOKUP(tbEscolas[[#This Row],[ESCOLA]],tbNucleo[ESCOLA],tbNucleo[COD ESCOLA],"")</f>
        <v/>
      </c>
      <c r="B4039" t="str" cm="1">
        <f t="array" ref="B4039">IFERROR(INDEX(tbNucleo[ESCOLA],ROUNDUP(ROW(B4038)/TotalEtapas,0)),"")</f>
        <v/>
      </c>
      <c r="E4039" t="str">
        <f>IFERROR(VLOOKUP(tbEscolas[[#This Row],[COD ETPA]],tbEtapas[],2,FALSE),"")</f>
        <v/>
      </c>
      <c r="F4039" t="str">
        <f>IFERROR(VLOOKUP(tbEscolas[[#This Row],[COD ETPA]],tbEtapas[],3,FALSE),"")</f>
        <v/>
      </c>
    </row>
    <row r="4040" spans="1:6" x14ac:dyDescent="0.25">
      <c r="A4040" s="24" t="str">
        <f>_xlfn.XLOOKUP(tbEscolas[[#This Row],[ESCOLA]],tbNucleo[ESCOLA],tbNucleo[COD ESCOLA],"")</f>
        <v/>
      </c>
      <c r="B4040" t="str" cm="1">
        <f t="array" ref="B4040">IFERROR(INDEX(tbNucleo[ESCOLA],ROUNDUP(ROW(B4039)/TotalEtapas,0)),"")</f>
        <v/>
      </c>
      <c r="E4040" t="str">
        <f>IFERROR(VLOOKUP(tbEscolas[[#This Row],[COD ETPA]],tbEtapas[],2,FALSE),"")</f>
        <v/>
      </c>
      <c r="F4040" t="str">
        <f>IFERROR(VLOOKUP(tbEscolas[[#This Row],[COD ETPA]],tbEtapas[],3,FALSE),"")</f>
        <v/>
      </c>
    </row>
    <row r="4041" spans="1:6" x14ac:dyDescent="0.25">
      <c r="A4041" s="24" t="str">
        <f>_xlfn.XLOOKUP(tbEscolas[[#This Row],[ESCOLA]],tbNucleo[ESCOLA],tbNucleo[COD ESCOLA],"")</f>
        <v/>
      </c>
      <c r="B4041" t="str" cm="1">
        <f t="array" ref="B4041">IFERROR(INDEX(tbNucleo[ESCOLA],ROUNDUP(ROW(B4040)/TotalEtapas,0)),"")</f>
        <v/>
      </c>
      <c r="E4041" t="str">
        <f>IFERROR(VLOOKUP(tbEscolas[[#This Row],[COD ETPA]],tbEtapas[],2,FALSE),"")</f>
        <v/>
      </c>
      <c r="F4041" t="str">
        <f>IFERROR(VLOOKUP(tbEscolas[[#This Row],[COD ETPA]],tbEtapas[],3,FALSE),"")</f>
        <v/>
      </c>
    </row>
    <row r="4042" spans="1:6" x14ac:dyDescent="0.25">
      <c r="A4042" s="24" t="str">
        <f>_xlfn.XLOOKUP(tbEscolas[[#This Row],[ESCOLA]],tbNucleo[ESCOLA],tbNucleo[COD ESCOLA],"")</f>
        <v/>
      </c>
      <c r="B4042" t="str" cm="1">
        <f t="array" ref="B4042">IFERROR(INDEX(tbNucleo[ESCOLA],ROUNDUP(ROW(B4041)/TotalEtapas,0)),"")</f>
        <v/>
      </c>
      <c r="E4042" t="str">
        <f>IFERROR(VLOOKUP(tbEscolas[[#This Row],[COD ETPA]],tbEtapas[],2,FALSE),"")</f>
        <v/>
      </c>
      <c r="F4042" t="str">
        <f>IFERROR(VLOOKUP(tbEscolas[[#This Row],[COD ETPA]],tbEtapas[],3,FALSE),"")</f>
        <v/>
      </c>
    </row>
    <row r="4043" spans="1:6" x14ac:dyDescent="0.25">
      <c r="A4043" s="24" t="str">
        <f>_xlfn.XLOOKUP(tbEscolas[[#This Row],[ESCOLA]],tbNucleo[ESCOLA],tbNucleo[COD ESCOLA],"")</f>
        <v/>
      </c>
      <c r="B4043" t="str" cm="1">
        <f t="array" ref="B4043">IFERROR(INDEX(tbNucleo[ESCOLA],ROUNDUP(ROW(B4042)/TotalEtapas,0)),"")</f>
        <v/>
      </c>
      <c r="E4043" t="str">
        <f>IFERROR(VLOOKUP(tbEscolas[[#This Row],[COD ETPA]],tbEtapas[],2,FALSE),"")</f>
        <v/>
      </c>
      <c r="F4043" t="str">
        <f>IFERROR(VLOOKUP(tbEscolas[[#This Row],[COD ETPA]],tbEtapas[],3,FALSE),"")</f>
        <v/>
      </c>
    </row>
    <row r="4044" spans="1:6" x14ac:dyDescent="0.25">
      <c r="A4044" s="24" t="str">
        <f>_xlfn.XLOOKUP(tbEscolas[[#This Row],[ESCOLA]],tbNucleo[ESCOLA],tbNucleo[COD ESCOLA],"")</f>
        <v/>
      </c>
      <c r="B4044" t="str" cm="1">
        <f t="array" ref="B4044">IFERROR(INDEX(tbNucleo[ESCOLA],ROUNDUP(ROW(B4043)/TotalEtapas,0)),"")</f>
        <v/>
      </c>
      <c r="E4044" t="str">
        <f>IFERROR(VLOOKUP(tbEscolas[[#This Row],[COD ETPA]],tbEtapas[],2,FALSE),"")</f>
        <v/>
      </c>
      <c r="F4044" t="str">
        <f>IFERROR(VLOOKUP(tbEscolas[[#This Row],[COD ETPA]],tbEtapas[],3,FALSE),"")</f>
        <v/>
      </c>
    </row>
    <row r="4045" spans="1:6" x14ac:dyDescent="0.25">
      <c r="A4045" s="24" t="str">
        <f>_xlfn.XLOOKUP(tbEscolas[[#This Row],[ESCOLA]],tbNucleo[ESCOLA],tbNucleo[COD ESCOLA],"")</f>
        <v/>
      </c>
      <c r="B4045" t="str" cm="1">
        <f t="array" ref="B4045">IFERROR(INDEX(tbNucleo[ESCOLA],ROUNDUP(ROW(B4044)/TotalEtapas,0)),"")</f>
        <v/>
      </c>
      <c r="E4045" t="str">
        <f>IFERROR(VLOOKUP(tbEscolas[[#This Row],[COD ETPA]],tbEtapas[],2,FALSE),"")</f>
        <v/>
      </c>
      <c r="F4045" t="str">
        <f>IFERROR(VLOOKUP(tbEscolas[[#This Row],[COD ETPA]],tbEtapas[],3,FALSE),"")</f>
        <v/>
      </c>
    </row>
    <row r="4046" spans="1:6" x14ac:dyDescent="0.25">
      <c r="A4046" s="24" t="str">
        <f>_xlfn.XLOOKUP(tbEscolas[[#This Row],[ESCOLA]],tbNucleo[ESCOLA],tbNucleo[COD ESCOLA],"")</f>
        <v/>
      </c>
      <c r="B4046" t="str" cm="1">
        <f t="array" ref="B4046">IFERROR(INDEX(tbNucleo[ESCOLA],ROUNDUP(ROW(B4045)/TotalEtapas,0)),"")</f>
        <v/>
      </c>
      <c r="E4046" t="str">
        <f>IFERROR(VLOOKUP(tbEscolas[[#This Row],[COD ETPA]],tbEtapas[],2,FALSE),"")</f>
        <v/>
      </c>
      <c r="F4046" t="str">
        <f>IFERROR(VLOOKUP(tbEscolas[[#This Row],[COD ETPA]],tbEtapas[],3,FALSE),"")</f>
        <v/>
      </c>
    </row>
    <row r="4047" spans="1:6" x14ac:dyDescent="0.25">
      <c r="A4047" s="24" t="str">
        <f>_xlfn.XLOOKUP(tbEscolas[[#This Row],[ESCOLA]],tbNucleo[ESCOLA],tbNucleo[COD ESCOLA],"")</f>
        <v/>
      </c>
      <c r="B4047" t="str" cm="1">
        <f t="array" ref="B4047">IFERROR(INDEX(tbNucleo[ESCOLA],ROUNDUP(ROW(B4046)/TotalEtapas,0)),"")</f>
        <v/>
      </c>
      <c r="E4047" t="str">
        <f>IFERROR(VLOOKUP(tbEscolas[[#This Row],[COD ETPA]],tbEtapas[],2,FALSE),"")</f>
        <v/>
      </c>
      <c r="F4047" t="str">
        <f>IFERROR(VLOOKUP(tbEscolas[[#This Row],[COD ETPA]],tbEtapas[],3,FALSE),"")</f>
        <v/>
      </c>
    </row>
    <row r="4048" spans="1:6" x14ac:dyDescent="0.25">
      <c r="A4048" s="24" t="str">
        <f>_xlfn.XLOOKUP(tbEscolas[[#This Row],[ESCOLA]],tbNucleo[ESCOLA],tbNucleo[COD ESCOLA],"")</f>
        <v/>
      </c>
      <c r="B4048" t="str" cm="1">
        <f t="array" ref="B4048">IFERROR(INDEX(tbNucleo[ESCOLA],ROUNDUP(ROW(B4047)/TotalEtapas,0)),"")</f>
        <v/>
      </c>
      <c r="E4048" t="str">
        <f>IFERROR(VLOOKUP(tbEscolas[[#This Row],[COD ETPA]],tbEtapas[],2,FALSE),"")</f>
        <v/>
      </c>
      <c r="F4048" t="str">
        <f>IFERROR(VLOOKUP(tbEscolas[[#This Row],[COD ETPA]],tbEtapas[],3,FALSE),"")</f>
        <v/>
      </c>
    </row>
    <row r="4049" spans="1:6" x14ac:dyDescent="0.25">
      <c r="A4049" s="24" t="str">
        <f>_xlfn.XLOOKUP(tbEscolas[[#This Row],[ESCOLA]],tbNucleo[ESCOLA],tbNucleo[COD ESCOLA],"")</f>
        <v/>
      </c>
      <c r="B4049" t="str" cm="1">
        <f t="array" ref="B4049">IFERROR(INDEX(tbNucleo[ESCOLA],ROUNDUP(ROW(B4048)/TotalEtapas,0)),"")</f>
        <v/>
      </c>
      <c r="E4049" t="str">
        <f>IFERROR(VLOOKUP(tbEscolas[[#This Row],[COD ETPA]],tbEtapas[],2,FALSE),"")</f>
        <v/>
      </c>
      <c r="F4049" t="str">
        <f>IFERROR(VLOOKUP(tbEscolas[[#This Row],[COD ETPA]],tbEtapas[],3,FALSE),"")</f>
        <v/>
      </c>
    </row>
    <row r="4050" spans="1:6" x14ac:dyDescent="0.25">
      <c r="A4050" s="24" t="str">
        <f>_xlfn.XLOOKUP(tbEscolas[[#This Row],[ESCOLA]],tbNucleo[ESCOLA],tbNucleo[COD ESCOLA],"")</f>
        <v/>
      </c>
      <c r="B4050" t="str" cm="1">
        <f t="array" ref="B4050">IFERROR(INDEX(tbNucleo[ESCOLA],ROUNDUP(ROW(B4049)/TotalEtapas,0)),"")</f>
        <v/>
      </c>
      <c r="E4050" t="str">
        <f>IFERROR(VLOOKUP(tbEscolas[[#This Row],[COD ETPA]],tbEtapas[],2,FALSE),"")</f>
        <v/>
      </c>
      <c r="F4050" t="str">
        <f>IFERROR(VLOOKUP(tbEscolas[[#This Row],[COD ETPA]],tbEtapas[],3,FALSE),"")</f>
        <v/>
      </c>
    </row>
    <row r="4051" spans="1:6" x14ac:dyDescent="0.25">
      <c r="A4051" s="24" t="str">
        <f>_xlfn.XLOOKUP(tbEscolas[[#This Row],[ESCOLA]],tbNucleo[ESCOLA],tbNucleo[COD ESCOLA],"")</f>
        <v/>
      </c>
      <c r="B4051" t="str" cm="1">
        <f t="array" ref="B4051">IFERROR(INDEX(tbNucleo[ESCOLA],ROUNDUP(ROW(B4050)/TotalEtapas,0)),"")</f>
        <v/>
      </c>
      <c r="E4051" t="str">
        <f>IFERROR(VLOOKUP(tbEscolas[[#This Row],[COD ETPA]],tbEtapas[],2,FALSE),"")</f>
        <v/>
      </c>
      <c r="F4051" t="str">
        <f>IFERROR(VLOOKUP(tbEscolas[[#This Row],[COD ETPA]],tbEtapas[],3,FALSE),"")</f>
        <v/>
      </c>
    </row>
    <row r="4052" spans="1:6" x14ac:dyDescent="0.25">
      <c r="A4052" s="24" t="str">
        <f>_xlfn.XLOOKUP(tbEscolas[[#This Row],[ESCOLA]],tbNucleo[ESCOLA],tbNucleo[COD ESCOLA],"")</f>
        <v/>
      </c>
      <c r="B4052" t="str" cm="1">
        <f t="array" ref="B4052">IFERROR(INDEX(tbNucleo[ESCOLA],ROUNDUP(ROW(B4051)/TotalEtapas,0)),"")</f>
        <v/>
      </c>
      <c r="E4052" t="str">
        <f>IFERROR(VLOOKUP(tbEscolas[[#This Row],[COD ETPA]],tbEtapas[],2,FALSE),"")</f>
        <v/>
      </c>
      <c r="F4052" t="str">
        <f>IFERROR(VLOOKUP(tbEscolas[[#This Row],[COD ETPA]],tbEtapas[],3,FALSE),"")</f>
        <v/>
      </c>
    </row>
    <row r="4053" spans="1:6" x14ac:dyDescent="0.25">
      <c r="A4053" s="24" t="str">
        <f>_xlfn.XLOOKUP(tbEscolas[[#This Row],[ESCOLA]],tbNucleo[ESCOLA],tbNucleo[COD ESCOLA],"")</f>
        <v/>
      </c>
      <c r="B4053" t="str" cm="1">
        <f t="array" ref="B4053">IFERROR(INDEX(tbNucleo[ESCOLA],ROUNDUP(ROW(B4052)/TotalEtapas,0)),"")</f>
        <v/>
      </c>
      <c r="E4053" t="str">
        <f>IFERROR(VLOOKUP(tbEscolas[[#This Row],[COD ETPA]],tbEtapas[],2,FALSE),"")</f>
        <v/>
      </c>
      <c r="F4053" t="str">
        <f>IFERROR(VLOOKUP(tbEscolas[[#This Row],[COD ETPA]],tbEtapas[],3,FALSE),"")</f>
        <v/>
      </c>
    </row>
    <row r="4054" spans="1:6" x14ac:dyDescent="0.25">
      <c r="A4054" s="24" t="str">
        <f>_xlfn.XLOOKUP(tbEscolas[[#This Row],[ESCOLA]],tbNucleo[ESCOLA],tbNucleo[COD ESCOLA],"")</f>
        <v/>
      </c>
      <c r="B4054" t="str" cm="1">
        <f t="array" ref="B4054">IFERROR(INDEX(tbNucleo[ESCOLA],ROUNDUP(ROW(B4053)/TotalEtapas,0)),"")</f>
        <v/>
      </c>
      <c r="E4054" t="str">
        <f>IFERROR(VLOOKUP(tbEscolas[[#This Row],[COD ETPA]],tbEtapas[],2,FALSE),"")</f>
        <v/>
      </c>
      <c r="F4054" t="str">
        <f>IFERROR(VLOOKUP(tbEscolas[[#This Row],[COD ETPA]],tbEtapas[],3,FALSE),"")</f>
        <v/>
      </c>
    </row>
    <row r="4055" spans="1:6" x14ac:dyDescent="0.25">
      <c r="A4055" s="24" t="str">
        <f>_xlfn.XLOOKUP(tbEscolas[[#This Row],[ESCOLA]],tbNucleo[ESCOLA],tbNucleo[COD ESCOLA],"")</f>
        <v/>
      </c>
      <c r="B4055" t="str" cm="1">
        <f t="array" ref="B4055">IFERROR(INDEX(tbNucleo[ESCOLA],ROUNDUP(ROW(B4054)/TotalEtapas,0)),"")</f>
        <v/>
      </c>
      <c r="E4055" t="str">
        <f>IFERROR(VLOOKUP(tbEscolas[[#This Row],[COD ETPA]],tbEtapas[],2,FALSE),"")</f>
        <v/>
      </c>
      <c r="F4055" t="str">
        <f>IFERROR(VLOOKUP(tbEscolas[[#This Row],[COD ETPA]],tbEtapas[],3,FALSE),"")</f>
        <v/>
      </c>
    </row>
    <row r="4056" spans="1:6" x14ac:dyDescent="0.25">
      <c r="A4056" s="24" t="str">
        <f>_xlfn.XLOOKUP(tbEscolas[[#This Row],[ESCOLA]],tbNucleo[ESCOLA],tbNucleo[COD ESCOLA],"")</f>
        <v/>
      </c>
      <c r="B4056" t="str" cm="1">
        <f t="array" ref="B4056">IFERROR(INDEX(tbNucleo[ESCOLA],ROUNDUP(ROW(B4055)/TotalEtapas,0)),"")</f>
        <v/>
      </c>
      <c r="E4056" t="str">
        <f>IFERROR(VLOOKUP(tbEscolas[[#This Row],[COD ETPA]],tbEtapas[],2,FALSE),"")</f>
        <v/>
      </c>
      <c r="F4056" t="str">
        <f>IFERROR(VLOOKUP(tbEscolas[[#This Row],[COD ETPA]],tbEtapas[],3,FALSE),"")</f>
        <v/>
      </c>
    </row>
    <row r="4057" spans="1:6" x14ac:dyDescent="0.25">
      <c r="A4057" s="24" t="str">
        <f>_xlfn.XLOOKUP(tbEscolas[[#This Row],[ESCOLA]],tbNucleo[ESCOLA],tbNucleo[COD ESCOLA],"")</f>
        <v/>
      </c>
      <c r="B4057" t="str" cm="1">
        <f t="array" ref="B4057">IFERROR(INDEX(tbNucleo[ESCOLA],ROUNDUP(ROW(B4056)/TotalEtapas,0)),"")</f>
        <v/>
      </c>
      <c r="E4057" t="str">
        <f>IFERROR(VLOOKUP(tbEscolas[[#This Row],[COD ETPA]],tbEtapas[],2,FALSE),"")</f>
        <v/>
      </c>
      <c r="F4057" t="str">
        <f>IFERROR(VLOOKUP(tbEscolas[[#This Row],[COD ETPA]],tbEtapas[],3,FALSE),"")</f>
        <v/>
      </c>
    </row>
    <row r="4058" spans="1:6" x14ac:dyDescent="0.25">
      <c r="A4058" s="24" t="str">
        <f>_xlfn.XLOOKUP(tbEscolas[[#This Row],[ESCOLA]],tbNucleo[ESCOLA],tbNucleo[COD ESCOLA],"")</f>
        <v/>
      </c>
      <c r="B4058" t="str" cm="1">
        <f t="array" ref="B4058">IFERROR(INDEX(tbNucleo[ESCOLA],ROUNDUP(ROW(B4057)/TotalEtapas,0)),"")</f>
        <v/>
      </c>
      <c r="E4058" t="str">
        <f>IFERROR(VLOOKUP(tbEscolas[[#This Row],[COD ETPA]],tbEtapas[],2,FALSE),"")</f>
        <v/>
      </c>
      <c r="F4058" t="str">
        <f>IFERROR(VLOOKUP(tbEscolas[[#This Row],[COD ETPA]],tbEtapas[],3,FALSE),"")</f>
        <v/>
      </c>
    </row>
    <row r="4059" spans="1:6" x14ac:dyDescent="0.25">
      <c r="A4059" s="24" t="str">
        <f>_xlfn.XLOOKUP(tbEscolas[[#This Row],[ESCOLA]],tbNucleo[ESCOLA],tbNucleo[COD ESCOLA],"")</f>
        <v/>
      </c>
      <c r="B4059" t="str" cm="1">
        <f t="array" ref="B4059">IFERROR(INDEX(tbNucleo[ESCOLA],ROUNDUP(ROW(B4058)/TotalEtapas,0)),"")</f>
        <v/>
      </c>
      <c r="E4059" t="str">
        <f>IFERROR(VLOOKUP(tbEscolas[[#This Row],[COD ETPA]],tbEtapas[],2,FALSE),"")</f>
        <v/>
      </c>
      <c r="F4059" t="str">
        <f>IFERROR(VLOOKUP(tbEscolas[[#This Row],[COD ETPA]],tbEtapas[],3,FALSE),"")</f>
        <v/>
      </c>
    </row>
    <row r="4060" spans="1:6" x14ac:dyDescent="0.25">
      <c r="A4060" s="24" t="str">
        <f>_xlfn.XLOOKUP(tbEscolas[[#This Row],[ESCOLA]],tbNucleo[ESCOLA],tbNucleo[COD ESCOLA],"")</f>
        <v/>
      </c>
      <c r="B4060" t="str" cm="1">
        <f t="array" ref="B4060">IFERROR(INDEX(tbNucleo[ESCOLA],ROUNDUP(ROW(B4059)/TotalEtapas,0)),"")</f>
        <v/>
      </c>
      <c r="E4060" t="str">
        <f>IFERROR(VLOOKUP(tbEscolas[[#This Row],[COD ETPA]],tbEtapas[],2,FALSE),"")</f>
        <v/>
      </c>
      <c r="F4060" t="str">
        <f>IFERROR(VLOOKUP(tbEscolas[[#This Row],[COD ETPA]],tbEtapas[],3,FALSE),"")</f>
        <v/>
      </c>
    </row>
    <row r="4061" spans="1:6" x14ac:dyDescent="0.25">
      <c r="A4061" s="24" t="str">
        <f>_xlfn.XLOOKUP(tbEscolas[[#This Row],[ESCOLA]],tbNucleo[ESCOLA],tbNucleo[COD ESCOLA],"")</f>
        <v/>
      </c>
      <c r="B4061" t="str" cm="1">
        <f t="array" ref="B4061">IFERROR(INDEX(tbNucleo[ESCOLA],ROUNDUP(ROW(B4060)/TotalEtapas,0)),"")</f>
        <v/>
      </c>
      <c r="E4061" t="str">
        <f>IFERROR(VLOOKUP(tbEscolas[[#This Row],[COD ETPA]],tbEtapas[],2,FALSE),"")</f>
        <v/>
      </c>
      <c r="F4061" t="str">
        <f>IFERROR(VLOOKUP(tbEscolas[[#This Row],[COD ETPA]],tbEtapas[],3,FALSE),"")</f>
        <v/>
      </c>
    </row>
    <row r="4062" spans="1:6" x14ac:dyDescent="0.25">
      <c r="A4062" s="24" t="str">
        <f>_xlfn.XLOOKUP(tbEscolas[[#This Row],[ESCOLA]],tbNucleo[ESCOLA],tbNucleo[COD ESCOLA],"")</f>
        <v/>
      </c>
      <c r="B4062" t="str" cm="1">
        <f t="array" ref="B4062">IFERROR(INDEX(tbNucleo[ESCOLA],ROUNDUP(ROW(B4061)/TotalEtapas,0)),"")</f>
        <v/>
      </c>
      <c r="E4062" t="str">
        <f>IFERROR(VLOOKUP(tbEscolas[[#This Row],[COD ETPA]],tbEtapas[],2,FALSE),"")</f>
        <v/>
      </c>
      <c r="F4062" t="str">
        <f>IFERROR(VLOOKUP(tbEscolas[[#This Row],[COD ETPA]],tbEtapas[],3,FALSE),"")</f>
        <v/>
      </c>
    </row>
    <row r="4063" spans="1:6" x14ac:dyDescent="0.25">
      <c r="A4063" s="24" t="str">
        <f>_xlfn.XLOOKUP(tbEscolas[[#This Row],[ESCOLA]],tbNucleo[ESCOLA],tbNucleo[COD ESCOLA],"")</f>
        <v/>
      </c>
      <c r="B4063" t="str" cm="1">
        <f t="array" ref="B4063">IFERROR(INDEX(tbNucleo[ESCOLA],ROUNDUP(ROW(B4062)/TotalEtapas,0)),"")</f>
        <v/>
      </c>
      <c r="E4063" t="str">
        <f>IFERROR(VLOOKUP(tbEscolas[[#This Row],[COD ETPA]],tbEtapas[],2,FALSE),"")</f>
        <v/>
      </c>
      <c r="F4063" t="str">
        <f>IFERROR(VLOOKUP(tbEscolas[[#This Row],[COD ETPA]],tbEtapas[],3,FALSE),"")</f>
        <v/>
      </c>
    </row>
    <row r="4064" spans="1:6" x14ac:dyDescent="0.25">
      <c r="A4064" s="24" t="str">
        <f>_xlfn.XLOOKUP(tbEscolas[[#This Row],[ESCOLA]],tbNucleo[ESCOLA],tbNucleo[COD ESCOLA],"")</f>
        <v/>
      </c>
      <c r="B4064" t="str" cm="1">
        <f t="array" ref="B4064">IFERROR(INDEX(tbNucleo[ESCOLA],ROUNDUP(ROW(B4063)/TotalEtapas,0)),"")</f>
        <v/>
      </c>
      <c r="E4064" t="str">
        <f>IFERROR(VLOOKUP(tbEscolas[[#This Row],[COD ETPA]],tbEtapas[],2,FALSE),"")</f>
        <v/>
      </c>
      <c r="F4064" t="str">
        <f>IFERROR(VLOOKUP(tbEscolas[[#This Row],[COD ETPA]],tbEtapas[],3,FALSE),"")</f>
        <v/>
      </c>
    </row>
    <row r="4065" spans="1:6" x14ac:dyDescent="0.25">
      <c r="A4065" s="24" t="str">
        <f>_xlfn.XLOOKUP(tbEscolas[[#This Row],[ESCOLA]],tbNucleo[ESCOLA],tbNucleo[COD ESCOLA],"")</f>
        <v/>
      </c>
      <c r="B4065" t="str" cm="1">
        <f t="array" ref="B4065">IFERROR(INDEX(tbNucleo[ESCOLA],ROUNDUP(ROW(B4064)/TotalEtapas,0)),"")</f>
        <v/>
      </c>
      <c r="E4065" t="str">
        <f>IFERROR(VLOOKUP(tbEscolas[[#This Row],[COD ETPA]],tbEtapas[],2,FALSE),"")</f>
        <v/>
      </c>
      <c r="F4065" t="str">
        <f>IFERROR(VLOOKUP(tbEscolas[[#This Row],[COD ETPA]],tbEtapas[],3,FALSE),"")</f>
        <v/>
      </c>
    </row>
    <row r="4066" spans="1:6" x14ac:dyDescent="0.25">
      <c r="A4066" s="24" t="str">
        <f>_xlfn.XLOOKUP(tbEscolas[[#This Row],[ESCOLA]],tbNucleo[ESCOLA],tbNucleo[COD ESCOLA],"")</f>
        <v/>
      </c>
      <c r="B4066" t="str" cm="1">
        <f t="array" ref="B4066">IFERROR(INDEX(tbNucleo[ESCOLA],ROUNDUP(ROW(B4065)/TotalEtapas,0)),"")</f>
        <v/>
      </c>
      <c r="E4066" t="str">
        <f>IFERROR(VLOOKUP(tbEscolas[[#This Row],[COD ETPA]],tbEtapas[],2,FALSE),"")</f>
        <v/>
      </c>
      <c r="F4066" t="str">
        <f>IFERROR(VLOOKUP(tbEscolas[[#This Row],[COD ETPA]],tbEtapas[],3,FALSE),"")</f>
        <v/>
      </c>
    </row>
    <row r="4067" spans="1:6" x14ac:dyDescent="0.25">
      <c r="A4067" s="24" t="str">
        <f>_xlfn.XLOOKUP(tbEscolas[[#This Row],[ESCOLA]],tbNucleo[ESCOLA],tbNucleo[COD ESCOLA],"")</f>
        <v/>
      </c>
      <c r="B4067" t="str" cm="1">
        <f t="array" ref="B4067">IFERROR(INDEX(tbNucleo[ESCOLA],ROUNDUP(ROW(B4066)/TotalEtapas,0)),"")</f>
        <v/>
      </c>
      <c r="E4067" t="str">
        <f>IFERROR(VLOOKUP(tbEscolas[[#This Row],[COD ETPA]],tbEtapas[],2,FALSE),"")</f>
        <v/>
      </c>
      <c r="F4067" t="str">
        <f>IFERROR(VLOOKUP(tbEscolas[[#This Row],[COD ETPA]],tbEtapas[],3,FALSE),"")</f>
        <v/>
      </c>
    </row>
    <row r="4068" spans="1:6" x14ac:dyDescent="0.25">
      <c r="A4068" s="24" t="str">
        <f>_xlfn.XLOOKUP(tbEscolas[[#This Row],[ESCOLA]],tbNucleo[ESCOLA],tbNucleo[COD ESCOLA],"")</f>
        <v/>
      </c>
      <c r="B4068" t="str" cm="1">
        <f t="array" ref="B4068">IFERROR(INDEX(tbNucleo[ESCOLA],ROUNDUP(ROW(B4067)/TotalEtapas,0)),"")</f>
        <v/>
      </c>
      <c r="E4068" t="str">
        <f>IFERROR(VLOOKUP(tbEscolas[[#This Row],[COD ETPA]],tbEtapas[],2,FALSE),"")</f>
        <v/>
      </c>
      <c r="F4068" t="str">
        <f>IFERROR(VLOOKUP(tbEscolas[[#This Row],[COD ETPA]],tbEtapas[],3,FALSE),"")</f>
        <v/>
      </c>
    </row>
    <row r="4069" spans="1:6" x14ac:dyDescent="0.25">
      <c r="A4069" s="24" t="str">
        <f>_xlfn.XLOOKUP(tbEscolas[[#This Row],[ESCOLA]],tbNucleo[ESCOLA],tbNucleo[COD ESCOLA],"")</f>
        <v/>
      </c>
      <c r="B4069" t="str" cm="1">
        <f t="array" ref="B4069">IFERROR(INDEX(tbNucleo[ESCOLA],ROUNDUP(ROW(B4068)/TotalEtapas,0)),"")</f>
        <v/>
      </c>
      <c r="E4069" t="str">
        <f>IFERROR(VLOOKUP(tbEscolas[[#This Row],[COD ETPA]],tbEtapas[],2,FALSE),"")</f>
        <v/>
      </c>
      <c r="F4069" t="str">
        <f>IFERROR(VLOOKUP(tbEscolas[[#This Row],[COD ETPA]],tbEtapas[],3,FALSE),"")</f>
        <v/>
      </c>
    </row>
    <row r="4070" spans="1:6" x14ac:dyDescent="0.25">
      <c r="A4070" s="24" t="str">
        <f>_xlfn.XLOOKUP(tbEscolas[[#This Row],[ESCOLA]],tbNucleo[ESCOLA],tbNucleo[COD ESCOLA],"")</f>
        <v/>
      </c>
      <c r="B4070" t="str" cm="1">
        <f t="array" ref="B4070">IFERROR(INDEX(tbNucleo[ESCOLA],ROUNDUP(ROW(B4069)/TotalEtapas,0)),"")</f>
        <v/>
      </c>
      <c r="E4070" t="str">
        <f>IFERROR(VLOOKUP(tbEscolas[[#This Row],[COD ETPA]],tbEtapas[],2,FALSE),"")</f>
        <v/>
      </c>
      <c r="F4070" t="str">
        <f>IFERROR(VLOOKUP(tbEscolas[[#This Row],[COD ETPA]],tbEtapas[],3,FALSE),"")</f>
        <v/>
      </c>
    </row>
    <row r="4071" spans="1:6" x14ac:dyDescent="0.25">
      <c r="A4071" s="24" t="str">
        <f>_xlfn.XLOOKUP(tbEscolas[[#This Row],[ESCOLA]],tbNucleo[ESCOLA],tbNucleo[COD ESCOLA],"")</f>
        <v/>
      </c>
      <c r="B4071" t="str" cm="1">
        <f t="array" ref="B4071">IFERROR(INDEX(tbNucleo[ESCOLA],ROUNDUP(ROW(B4070)/TotalEtapas,0)),"")</f>
        <v/>
      </c>
      <c r="E4071" t="str">
        <f>IFERROR(VLOOKUP(tbEscolas[[#This Row],[COD ETPA]],tbEtapas[],2,FALSE),"")</f>
        <v/>
      </c>
      <c r="F4071" t="str">
        <f>IFERROR(VLOOKUP(tbEscolas[[#This Row],[COD ETPA]],tbEtapas[],3,FALSE),"")</f>
        <v/>
      </c>
    </row>
    <row r="4072" spans="1:6" x14ac:dyDescent="0.25">
      <c r="A4072" s="24" t="str">
        <f>_xlfn.XLOOKUP(tbEscolas[[#This Row],[ESCOLA]],tbNucleo[ESCOLA],tbNucleo[COD ESCOLA],"")</f>
        <v/>
      </c>
      <c r="B4072" t="str" cm="1">
        <f t="array" ref="B4072">IFERROR(INDEX(tbNucleo[ESCOLA],ROUNDUP(ROW(B4071)/TotalEtapas,0)),"")</f>
        <v/>
      </c>
      <c r="E4072" t="str">
        <f>IFERROR(VLOOKUP(tbEscolas[[#This Row],[COD ETPA]],tbEtapas[],2,FALSE),"")</f>
        <v/>
      </c>
      <c r="F4072" t="str">
        <f>IFERROR(VLOOKUP(tbEscolas[[#This Row],[COD ETPA]],tbEtapas[],3,FALSE),"")</f>
        <v/>
      </c>
    </row>
    <row r="4073" spans="1:6" x14ac:dyDescent="0.25">
      <c r="A4073" s="24" t="str">
        <f>_xlfn.XLOOKUP(tbEscolas[[#This Row],[ESCOLA]],tbNucleo[ESCOLA],tbNucleo[COD ESCOLA],"")</f>
        <v/>
      </c>
      <c r="B4073" t="str" cm="1">
        <f t="array" ref="B4073">IFERROR(INDEX(tbNucleo[ESCOLA],ROUNDUP(ROW(B4072)/TotalEtapas,0)),"")</f>
        <v/>
      </c>
      <c r="E4073" t="str">
        <f>IFERROR(VLOOKUP(tbEscolas[[#This Row],[COD ETPA]],tbEtapas[],2,FALSE),"")</f>
        <v/>
      </c>
      <c r="F4073" t="str">
        <f>IFERROR(VLOOKUP(tbEscolas[[#This Row],[COD ETPA]],tbEtapas[],3,FALSE),"")</f>
        <v/>
      </c>
    </row>
    <row r="4074" spans="1:6" x14ac:dyDescent="0.25">
      <c r="A4074" s="24" t="str">
        <f>_xlfn.XLOOKUP(tbEscolas[[#This Row],[ESCOLA]],tbNucleo[ESCOLA],tbNucleo[COD ESCOLA],"")</f>
        <v/>
      </c>
      <c r="B4074" t="str" cm="1">
        <f t="array" ref="B4074">IFERROR(INDEX(tbNucleo[ESCOLA],ROUNDUP(ROW(B4073)/TotalEtapas,0)),"")</f>
        <v/>
      </c>
      <c r="E4074" t="str">
        <f>IFERROR(VLOOKUP(tbEscolas[[#This Row],[COD ETPA]],tbEtapas[],2,FALSE),"")</f>
        <v/>
      </c>
      <c r="F4074" t="str">
        <f>IFERROR(VLOOKUP(tbEscolas[[#This Row],[COD ETPA]],tbEtapas[],3,FALSE),"")</f>
        <v/>
      </c>
    </row>
    <row r="4075" spans="1:6" x14ac:dyDescent="0.25">
      <c r="A4075" s="24" t="str">
        <f>_xlfn.XLOOKUP(tbEscolas[[#This Row],[ESCOLA]],tbNucleo[ESCOLA],tbNucleo[COD ESCOLA],"")</f>
        <v/>
      </c>
      <c r="B4075" t="str" cm="1">
        <f t="array" ref="B4075">IFERROR(INDEX(tbNucleo[ESCOLA],ROUNDUP(ROW(B4074)/TotalEtapas,0)),"")</f>
        <v/>
      </c>
      <c r="E4075" t="str">
        <f>IFERROR(VLOOKUP(tbEscolas[[#This Row],[COD ETPA]],tbEtapas[],2,FALSE),"")</f>
        <v/>
      </c>
      <c r="F4075" t="str">
        <f>IFERROR(VLOOKUP(tbEscolas[[#This Row],[COD ETPA]],tbEtapas[],3,FALSE),"")</f>
        <v/>
      </c>
    </row>
    <row r="4076" spans="1:6" x14ac:dyDescent="0.25">
      <c r="A4076" s="24" t="str">
        <f>_xlfn.XLOOKUP(tbEscolas[[#This Row],[ESCOLA]],tbNucleo[ESCOLA],tbNucleo[COD ESCOLA],"")</f>
        <v/>
      </c>
      <c r="B4076" t="str" cm="1">
        <f t="array" ref="B4076">IFERROR(INDEX(tbNucleo[ESCOLA],ROUNDUP(ROW(B4075)/TotalEtapas,0)),"")</f>
        <v/>
      </c>
      <c r="E4076" t="str">
        <f>IFERROR(VLOOKUP(tbEscolas[[#This Row],[COD ETPA]],tbEtapas[],2,FALSE),"")</f>
        <v/>
      </c>
      <c r="F4076" t="str">
        <f>IFERROR(VLOOKUP(tbEscolas[[#This Row],[COD ETPA]],tbEtapas[],3,FALSE),"")</f>
        <v/>
      </c>
    </row>
    <row r="4077" spans="1:6" x14ac:dyDescent="0.25">
      <c r="A4077" s="24" t="str">
        <f>_xlfn.XLOOKUP(tbEscolas[[#This Row],[ESCOLA]],tbNucleo[ESCOLA],tbNucleo[COD ESCOLA],"")</f>
        <v/>
      </c>
      <c r="B4077" t="str" cm="1">
        <f t="array" ref="B4077">IFERROR(INDEX(tbNucleo[ESCOLA],ROUNDUP(ROW(B4076)/TotalEtapas,0)),"")</f>
        <v/>
      </c>
      <c r="E4077" t="str">
        <f>IFERROR(VLOOKUP(tbEscolas[[#This Row],[COD ETPA]],tbEtapas[],2,FALSE),"")</f>
        <v/>
      </c>
      <c r="F4077" t="str">
        <f>IFERROR(VLOOKUP(tbEscolas[[#This Row],[COD ETPA]],tbEtapas[],3,FALSE),"")</f>
        <v/>
      </c>
    </row>
    <row r="4078" spans="1:6" x14ac:dyDescent="0.25">
      <c r="A4078" s="24" t="str">
        <f>_xlfn.XLOOKUP(tbEscolas[[#This Row],[ESCOLA]],tbNucleo[ESCOLA],tbNucleo[COD ESCOLA],"")</f>
        <v/>
      </c>
      <c r="B4078" t="str" cm="1">
        <f t="array" ref="B4078">IFERROR(INDEX(tbNucleo[ESCOLA],ROUNDUP(ROW(B4077)/TotalEtapas,0)),"")</f>
        <v/>
      </c>
      <c r="E4078" t="str">
        <f>IFERROR(VLOOKUP(tbEscolas[[#This Row],[COD ETPA]],tbEtapas[],2,FALSE),"")</f>
        <v/>
      </c>
      <c r="F4078" t="str">
        <f>IFERROR(VLOOKUP(tbEscolas[[#This Row],[COD ETPA]],tbEtapas[],3,FALSE),"")</f>
        <v/>
      </c>
    </row>
    <row r="4079" spans="1:6" x14ac:dyDescent="0.25">
      <c r="A4079" s="24" t="str">
        <f>_xlfn.XLOOKUP(tbEscolas[[#This Row],[ESCOLA]],tbNucleo[ESCOLA],tbNucleo[COD ESCOLA],"")</f>
        <v/>
      </c>
      <c r="B4079" t="str" cm="1">
        <f t="array" ref="B4079">IFERROR(INDEX(tbNucleo[ESCOLA],ROUNDUP(ROW(B4078)/TotalEtapas,0)),"")</f>
        <v/>
      </c>
      <c r="E4079" t="str">
        <f>IFERROR(VLOOKUP(tbEscolas[[#This Row],[COD ETPA]],tbEtapas[],2,FALSE),"")</f>
        <v/>
      </c>
      <c r="F4079" t="str">
        <f>IFERROR(VLOOKUP(tbEscolas[[#This Row],[COD ETPA]],tbEtapas[],3,FALSE),"")</f>
        <v/>
      </c>
    </row>
    <row r="4080" spans="1:6" x14ac:dyDescent="0.25">
      <c r="A4080" s="24" t="str">
        <f>_xlfn.XLOOKUP(tbEscolas[[#This Row],[ESCOLA]],tbNucleo[ESCOLA],tbNucleo[COD ESCOLA],"")</f>
        <v/>
      </c>
      <c r="B4080" t="str" cm="1">
        <f t="array" ref="B4080">IFERROR(INDEX(tbNucleo[ESCOLA],ROUNDUP(ROW(B4079)/TotalEtapas,0)),"")</f>
        <v/>
      </c>
      <c r="E4080" t="str">
        <f>IFERROR(VLOOKUP(tbEscolas[[#This Row],[COD ETPA]],tbEtapas[],2,FALSE),"")</f>
        <v/>
      </c>
      <c r="F4080" t="str">
        <f>IFERROR(VLOOKUP(tbEscolas[[#This Row],[COD ETPA]],tbEtapas[],3,FALSE),"")</f>
        <v/>
      </c>
    </row>
    <row r="4081" spans="1:6" x14ac:dyDescent="0.25">
      <c r="A4081" s="24" t="str">
        <f>_xlfn.XLOOKUP(tbEscolas[[#This Row],[ESCOLA]],tbNucleo[ESCOLA],tbNucleo[COD ESCOLA],"")</f>
        <v/>
      </c>
      <c r="B4081" t="str" cm="1">
        <f t="array" ref="B4081">IFERROR(INDEX(tbNucleo[ESCOLA],ROUNDUP(ROW(B4080)/TotalEtapas,0)),"")</f>
        <v/>
      </c>
      <c r="E4081" t="str">
        <f>IFERROR(VLOOKUP(tbEscolas[[#This Row],[COD ETPA]],tbEtapas[],2,FALSE),"")</f>
        <v/>
      </c>
      <c r="F4081" t="str">
        <f>IFERROR(VLOOKUP(tbEscolas[[#This Row],[COD ETPA]],tbEtapas[],3,FALSE),"")</f>
        <v/>
      </c>
    </row>
    <row r="4082" spans="1:6" x14ac:dyDescent="0.25">
      <c r="A4082" s="24" t="str">
        <f>_xlfn.XLOOKUP(tbEscolas[[#This Row],[ESCOLA]],tbNucleo[ESCOLA],tbNucleo[COD ESCOLA],"")</f>
        <v/>
      </c>
      <c r="B4082" t="str" cm="1">
        <f t="array" ref="B4082">IFERROR(INDEX(tbNucleo[ESCOLA],ROUNDUP(ROW(B4081)/TotalEtapas,0)),"")</f>
        <v/>
      </c>
      <c r="E4082" t="str">
        <f>IFERROR(VLOOKUP(tbEscolas[[#This Row],[COD ETPA]],tbEtapas[],2,FALSE),"")</f>
        <v/>
      </c>
      <c r="F4082" t="str">
        <f>IFERROR(VLOOKUP(tbEscolas[[#This Row],[COD ETPA]],tbEtapas[],3,FALSE),"")</f>
        <v/>
      </c>
    </row>
    <row r="4083" spans="1:6" x14ac:dyDescent="0.25">
      <c r="A4083" s="24" t="str">
        <f>_xlfn.XLOOKUP(tbEscolas[[#This Row],[ESCOLA]],tbNucleo[ESCOLA],tbNucleo[COD ESCOLA],"")</f>
        <v/>
      </c>
      <c r="B4083" t="str" cm="1">
        <f t="array" ref="B4083">IFERROR(INDEX(tbNucleo[ESCOLA],ROUNDUP(ROW(B4082)/TotalEtapas,0)),"")</f>
        <v/>
      </c>
      <c r="E4083" t="str">
        <f>IFERROR(VLOOKUP(tbEscolas[[#This Row],[COD ETPA]],tbEtapas[],2,FALSE),"")</f>
        <v/>
      </c>
      <c r="F4083" t="str">
        <f>IFERROR(VLOOKUP(tbEscolas[[#This Row],[COD ETPA]],tbEtapas[],3,FALSE),"")</f>
        <v/>
      </c>
    </row>
    <row r="4084" spans="1:6" x14ac:dyDescent="0.25">
      <c r="A4084" s="24" t="str">
        <f>_xlfn.XLOOKUP(tbEscolas[[#This Row],[ESCOLA]],tbNucleo[ESCOLA],tbNucleo[COD ESCOLA],"")</f>
        <v/>
      </c>
      <c r="B4084" t="str" cm="1">
        <f t="array" ref="B4084">IFERROR(INDEX(tbNucleo[ESCOLA],ROUNDUP(ROW(B4083)/TotalEtapas,0)),"")</f>
        <v/>
      </c>
      <c r="E4084" t="str">
        <f>IFERROR(VLOOKUP(tbEscolas[[#This Row],[COD ETPA]],tbEtapas[],2,FALSE),"")</f>
        <v/>
      </c>
      <c r="F4084" t="str">
        <f>IFERROR(VLOOKUP(tbEscolas[[#This Row],[COD ETPA]],tbEtapas[],3,FALSE),"")</f>
        <v/>
      </c>
    </row>
    <row r="4085" spans="1:6" x14ac:dyDescent="0.25">
      <c r="A4085" s="24" t="str">
        <f>_xlfn.XLOOKUP(tbEscolas[[#This Row],[ESCOLA]],tbNucleo[ESCOLA],tbNucleo[COD ESCOLA],"")</f>
        <v/>
      </c>
      <c r="B4085" t="str" cm="1">
        <f t="array" ref="B4085">IFERROR(INDEX(tbNucleo[ESCOLA],ROUNDUP(ROW(B4084)/TotalEtapas,0)),"")</f>
        <v/>
      </c>
      <c r="E4085" t="str">
        <f>IFERROR(VLOOKUP(tbEscolas[[#This Row],[COD ETPA]],tbEtapas[],2,FALSE),"")</f>
        <v/>
      </c>
      <c r="F4085" t="str">
        <f>IFERROR(VLOOKUP(tbEscolas[[#This Row],[COD ETPA]],tbEtapas[],3,FALSE),"")</f>
        <v/>
      </c>
    </row>
    <row r="4086" spans="1:6" x14ac:dyDescent="0.25">
      <c r="A4086" s="24" t="str">
        <f>_xlfn.XLOOKUP(tbEscolas[[#This Row],[ESCOLA]],tbNucleo[ESCOLA],tbNucleo[COD ESCOLA],"")</f>
        <v/>
      </c>
      <c r="B4086" t="str" cm="1">
        <f t="array" ref="B4086">IFERROR(INDEX(tbNucleo[ESCOLA],ROUNDUP(ROW(B4085)/TotalEtapas,0)),"")</f>
        <v/>
      </c>
      <c r="E4086" t="str">
        <f>IFERROR(VLOOKUP(tbEscolas[[#This Row],[COD ETPA]],tbEtapas[],2,FALSE),"")</f>
        <v/>
      </c>
      <c r="F4086" t="str">
        <f>IFERROR(VLOOKUP(tbEscolas[[#This Row],[COD ETPA]],tbEtapas[],3,FALSE),"")</f>
        <v/>
      </c>
    </row>
    <row r="4087" spans="1:6" x14ac:dyDescent="0.25">
      <c r="A4087" s="24" t="str">
        <f>_xlfn.XLOOKUP(tbEscolas[[#This Row],[ESCOLA]],tbNucleo[ESCOLA],tbNucleo[COD ESCOLA],"")</f>
        <v/>
      </c>
      <c r="B4087" t="str" cm="1">
        <f t="array" ref="B4087">IFERROR(INDEX(tbNucleo[ESCOLA],ROUNDUP(ROW(B4086)/TotalEtapas,0)),"")</f>
        <v/>
      </c>
      <c r="E4087" t="str">
        <f>IFERROR(VLOOKUP(tbEscolas[[#This Row],[COD ETPA]],tbEtapas[],2,FALSE),"")</f>
        <v/>
      </c>
      <c r="F4087" t="str">
        <f>IFERROR(VLOOKUP(tbEscolas[[#This Row],[COD ETPA]],tbEtapas[],3,FALSE),"")</f>
        <v/>
      </c>
    </row>
    <row r="4088" spans="1:6" x14ac:dyDescent="0.25">
      <c r="A4088" s="24" t="str">
        <f>_xlfn.XLOOKUP(tbEscolas[[#This Row],[ESCOLA]],tbNucleo[ESCOLA],tbNucleo[COD ESCOLA],"")</f>
        <v/>
      </c>
      <c r="B4088" t="str" cm="1">
        <f t="array" ref="B4088">IFERROR(INDEX(tbNucleo[ESCOLA],ROUNDUP(ROW(B4087)/TotalEtapas,0)),"")</f>
        <v/>
      </c>
      <c r="E4088" t="str">
        <f>IFERROR(VLOOKUP(tbEscolas[[#This Row],[COD ETPA]],tbEtapas[],2,FALSE),"")</f>
        <v/>
      </c>
      <c r="F4088" t="str">
        <f>IFERROR(VLOOKUP(tbEscolas[[#This Row],[COD ETPA]],tbEtapas[],3,FALSE),"")</f>
        <v/>
      </c>
    </row>
    <row r="4089" spans="1:6" x14ac:dyDescent="0.25">
      <c r="A4089" s="24" t="str">
        <f>_xlfn.XLOOKUP(tbEscolas[[#This Row],[ESCOLA]],tbNucleo[ESCOLA],tbNucleo[COD ESCOLA],"")</f>
        <v/>
      </c>
      <c r="B4089" t="str" cm="1">
        <f t="array" ref="B4089">IFERROR(INDEX(tbNucleo[ESCOLA],ROUNDUP(ROW(B4088)/TotalEtapas,0)),"")</f>
        <v/>
      </c>
      <c r="E4089" t="str">
        <f>IFERROR(VLOOKUP(tbEscolas[[#This Row],[COD ETPA]],tbEtapas[],2,FALSE),"")</f>
        <v/>
      </c>
      <c r="F4089" t="str">
        <f>IFERROR(VLOOKUP(tbEscolas[[#This Row],[COD ETPA]],tbEtapas[],3,FALSE),"")</f>
        <v/>
      </c>
    </row>
    <row r="4090" spans="1:6" x14ac:dyDescent="0.25">
      <c r="A4090" s="24" t="str">
        <f>_xlfn.XLOOKUP(tbEscolas[[#This Row],[ESCOLA]],tbNucleo[ESCOLA],tbNucleo[COD ESCOLA],"")</f>
        <v/>
      </c>
      <c r="B4090" t="str" cm="1">
        <f t="array" ref="B4090">IFERROR(INDEX(tbNucleo[ESCOLA],ROUNDUP(ROW(B4089)/TotalEtapas,0)),"")</f>
        <v/>
      </c>
      <c r="E4090" t="str">
        <f>IFERROR(VLOOKUP(tbEscolas[[#This Row],[COD ETPA]],tbEtapas[],2,FALSE),"")</f>
        <v/>
      </c>
      <c r="F4090" t="str">
        <f>IFERROR(VLOOKUP(tbEscolas[[#This Row],[COD ETPA]],tbEtapas[],3,FALSE),"")</f>
        <v/>
      </c>
    </row>
    <row r="4091" spans="1:6" x14ac:dyDescent="0.25">
      <c r="A4091" s="24" t="str">
        <f>_xlfn.XLOOKUP(tbEscolas[[#This Row],[ESCOLA]],tbNucleo[ESCOLA],tbNucleo[COD ESCOLA],"")</f>
        <v/>
      </c>
      <c r="B4091" t="str" cm="1">
        <f t="array" ref="B4091">IFERROR(INDEX(tbNucleo[ESCOLA],ROUNDUP(ROW(B4090)/TotalEtapas,0)),"")</f>
        <v/>
      </c>
      <c r="E4091" t="str">
        <f>IFERROR(VLOOKUP(tbEscolas[[#This Row],[COD ETPA]],tbEtapas[],2,FALSE),"")</f>
        <v/>
      </c>
      <c r="F4091" t="str">
        <f>IFERROR(VLOOKUP(tbEscolas[[#This Row],[COD ETPA]],tbEtapas[],3,FALSE),"")</f>
        <v/>
      </c>
    </row>
    <row r="4092" spans="1:6" x14ac:dyDescent="0.25">
      <c r="A4092" s="24" t="str">
        <f>_xlfn.XLOOKUP(tbEscolas[[#This Row],[ESCOLA]],tbNucleo[ESCOLA],tbNucleo[COD ESCOLA],"")</f>
        <v/>
      </c>
      <c r="B4092" t="str" cm="1">
        <f t="array" ref="B4092">IFERROR(INDEX(tbNucleo[ESCOLA],ROUNDUP(ROW(B4091)/TotalEtapas,0)),"")</f>
        <v/>
      </c>
      <c r="E4092" t="str">
        <f>IFERROR(VLOOKUP(tbEscolas[[#This Row],[COD ETPA]],tbEtapas[],2,FALSE),"")</f>
        <v/>
      </c>
      <c r="F4092" t="str">
        <f>IFERROR(VLOOKUP(tbEscolas[[#This Row],[COD ETPA]],tbEtapas[],3,FALSE),"")</f>
        <v/>
      </c>
    </row>
    <row r="4093" spans="1:6" x14ac:dyDescent="0.25">
      <c r="A4093" s="24" t="str">
        <f>_xlfn.XLOOKUP(tbEscolas[[#This Row],[ESCOLA]],tbNucleo[ESCOLA],tbNucleo[COD ESCOLA],"")</f>
        <v/>
      </c>
      <c r="B4093" t="str" cm="1">
        <f t="array" ref="B4093">IFERROR(INDEX(tbNucleo[ESCOLA],ROUNDUP(ROW(B4092)/TotalEtapas,0)),"")</f>
        <v/>
      </c>
      <c r="E4093" t="str">
        <f>IFERROR(VLOOKUP(tbEscolas[[#This Row],[COD ETPA]],tbEtapas[],2,FALSE),"")</f>
        <v/>
      </c>
      <c r="F4093" t="str">
        <f>IFERROR(VLOOKUP(tbEscolas[[#This Row],[COD ETPA]],tbEtapas[],3,FALSE),"")</f>
        <v/>
      </c>
    </row>
    <row r="4094" spans="1:6" x14ac:dyDescent="0.25">
      <c r="A4094" s="24" t="str">
        <f>_xlfn.XLOOKUP(tbEscolas[[#This Row],[ESCOLA]],tbNucleo[ESCOLA],tbNucleo[COD ESCOLA],"")</f>
        <v/>
      </c>
      <c r="B4094" t="str" cm="1">
        <f t="array" ref="B4094">IFERROR(INDEX(tbNucleo[ESCOLA],ROUNDUP(ROW(B4093)/TotalEtapas,0)),"")</f>
        <v/>
      </c>
      <c r="E4094" t="str">
        <f>IFERROR(VLOOKUP(tbEscolas[[#This Row],[COD ETPA]],tbEtapas[],2,FALSE),"")</f>
        <v/>
      </c>
      <c r="F4094" t="str">
        <f>IFERROR(VLOOKUP(tbEscolas[[#This Row],[COD ETPA]],tbEtapas[],3,FALSE),"")</f>
        <v/>
      </c>
    </row>
    <row r="4095" spans="1:6" x14ac:dyDescent="0.25">
      <c r="A4095" s="24" t="str">
        <f>_xlfn.XLOOKUP(tbEscolas[[#This Row],[ESCOLA]],tbNucleo[ESCOLA],tbNucleo[COD ESCOLA],"")</f>
        <v/>
      </c>
      <c r="B4095" t="str" cm="1">
        <f t="array" ref="B4095">IFERROR(INDEX(tbNucleo[ESCOLA],ROUNDUP(ROW(B4094)/TotalEtapas,0)),"")</f>
        <v/>
      </c>
      <c r="E4095" t="str">
        <f>IFERROR(VLOOKUP(tbEscolas[[#This Row],[COD ETPA]],tbEtapas[],2,FALSE),"")</f>
        <v/>
      </c>
      <c r="F4095" t="str">
        <f>IFERROR(VLOOKUP(tbEscolas[[#This Row],[COD ETPA]],tbEtapas[],3,FALSE),"")</f>
        <v/>
      </c>
    </row>
    <row r="4096" spans="1:6" x14ac:dyDescent="0.25">
      <c r="A4096" s="24" t="str">
        <f>_xlfn.XLOOKUP(tbEscolas[[#This Row],[ESCOLA]],tbNucleo[ESCOLA],tbNucleo[COD ESCOLA],"")</f>
        <v/>
      </c>
      <c r="B4096" t="str" cm="1">
        <f t="array" ref="B4096">IFERROR(INDEX(tbNucleo[ESCOLA],ROUNDUP(ROW(B4095)/TotalEtapas,0)),"")</f>
        <v/>
      </c>
      <c r="E4096" t="str">
        <f>IFERROR(VLOOKUP(tbEscolas[[#This Row],[COD ETPA]],tbEtapas[],2,FALSE),"")</f>
        <v/>
      </c>
      <c r="F4096" t="str">
        <f>IFERROR(VLOOKUP(tbEscolas[[#This Row],[COD ETPA]],tbEtapas[],3,FALSE),"")</f>
        <v/>
      </c>
    </row>
    <row r="4097" spans="1:6" x14ac:dyDescent="0.25">
      <c r="A4097" s="24" t="str">
        <f>_xlfn.XLOOKUP(tbEscolas[[#This Row],[ESCOLA]],tbNucleo[ESCOLA],tbNucleo[COD ESCOLA],"")</f>
        <v/>
      </c>
      <c r="B4097" t="str" cm="1">
        <f t="array" ref="B4097">IFERROR(INDEX(tbNucleo[ESCOLA],ROUNDUP(ROW(B4096)/TotalEtapas,0)),"")</f>
        <v/>
      </c>
      <c r="E4097" t="str">
        <f>IFERROR(VLOOKUP(tbEscolas[[#This Row],[COD ETPA]],tbEtapas[],2,FALSE),"")</f>
        <v/>
      </c>
      <c r="F4097" t="str">
        <f>IFERROR(VLOOKUP(tbEscolas[[#This Row],[COD ETPA]],tbEtapas[],3,FALSE),"")</f>
        <v/>
      </c>
    </row>
    <row r="4098" spans="1:6" x14ac:dyDescent="0.25">
      <c r="A4098" s="24" t="str">
        <f>_xlfn.XLOOKUP(tbEscolas[[#This Row],[ESCOLA]],tbNucleo[ESCOLA],tbNucleo[COD ESCOLA],"")</f>
        <v/>
      </c>
      <c r="B4098" t="str" cm="1">
        <f t="array" ref="B4098">IFERROR(INDEX(tbNucleo[ESCOLA],ROUNDUP(ROW(B4097)/TotalEtapas,0)),"")</f>
        <v/>
      </c>
      <c r="E4098" t="str">
        <f>IFERROR(VLOOKUP(tbEscolas[[#This Row],[COD ETPA]],tbEtapas[],2,FALSE),"")</f>
        <v/>
      </c>
      <c r="F4098" t="str">
        <f>IFERROR(VLOOKUP(tbEscolas[[#This Row],[COD ETPA]],tbEtapas[],3,FALSE),"")</f>
        <v/>
      </c>
    </row>
    <row r="4099" spans="1:6" x14ac:dyDescent="0.25">
      <c r="A4099" s="24" t="str">
        <f>_xlfn.XLOOKUP(tbEscolas[[#This Row],[ESCOLA]],tbNucleo[ESCOLA],tbNucleo[COD ESCOLA],"")</f>
        <v/>
      </c>
      <c r="B4099" t="str" cm="1">
        <f t="array" ref="B4099">IFERROR(INDEX(tbNucleo[ESCOLA],ROUNDUP(ROW(B4098)/TotalEtapas,0)),"")</f>
        <v/>
      </c>
      <c r="E4099" t="str">
        <f>IFERROR(VLOOKUP(tbEscolas[[#This Row],[COD ETPA]],tbEtapas[],2,FALSE),"")</f>
        <v/>
      </c>
      <c r="F4099" t="str">
        <f>IFERROR(VLOOKUP(tbEscolas[[#This Row],[COD ETPA]],tbEtapas[],3,FALSE),"")</f>
        <v/>
      </c>
    </row>
    <row r="4100" spans="1:6" x14ac:dyDescent="0.25">
      <c r="A4100" s="24" t="str">
        <f>_xlfn.XLOOKUP(tbEscolas[[#This Row],[ESCOLA]],tbNucleo[ESCOLA],tbNucleo[COD ESCOLA],"")</f>
        <v/>
      </c>
      <c r="B4100" t="str" cm="1">
        <f t="array" ref="B4100">IFERROR(INDEX(tbNucleo[ESCOLA],ROUNDUP(ROW(B4099)/TotalEtapas,0)),"")</f>
        <v/>
      </c>
      <c r="E4100" t="str">
        <f>IFERROR(VLOOKUP(tbEscolas[[#This Row],[COD ETPA]],tbEtapas[],2,FALSE),"")</f>
        <v/>
      </c>
      <c r="F4100" t="str">
        <f>IFERROR(VLOOKUP(tbEscolas[[#This Row],[COD ETPA]],tbEtapas[],3,FALSE),"")</f>
        <v/>
      </c>
    </row>
    <row r="4101" spans="1:6" x14ac:dyDescent="0.25">
      <c r="A4101" s="24" t="str">
        <f>_xlfn.XLOOKUP(tbEscolas[[#This Row],[ESCOLA]],tbNucleo[ESCOLA],tbNucleo[COD ESCOLA],"")</f>
        <v/>
      </c>
      <c r="B4101" t="str" cm="1">
        <f t="array" ref="B4101">IFERROR(INDEX(tbNucleo[ESCOLA],ROUNDUP(ROW(B4100)/TotalEtapas,0)),"")</f>
        <v/>
      </c>
      <c r="E4101" t="str">
        <f>IFERROR(VLOOKUP(tbEscolas[[#This Row],[COD ETPA]],tbEtapas[],2,FALSE),"")</f>
        <v/>
      </c>
      <c r="F4101" t="str">
        <f>IFERROR(VLOOKUP(tbEscolas[[#This Row],[COD ETPA]],tbEtapas[],3,FALSE),"")</f>
        <v/>
      </c>
    </row>
    <row r="4102" spans="1:6" x14ac:dyDescent="0.25">
      <c r="A4102" s="24" t="str">
        <f>_xlfn.XLOOKUP(tbEscolas[[#This Row],[ESCOLA]],tbNucleo[ESCOLA],tbNucleo[COD ESCOLA],"")</f>
        <v/>
      </c>
      <c r="B4102" t="str" cm="1">
        <f t="array" ref="B4102">IFERROR(INDEX(tbNucleo[ESCOLA],ROUNDUP(ROW(B4101)/TotalEtapas,0)),"")</f>
        <v/>
      </c>
      <c r="E4102" t="str">
        <f>IFERROR(VLOOKUP(tbEscolas[[#This Row],[COD ETPA]],tbEtapas[],2,FALSE),"")</f>
        <v/>
      </c>
      <c r="F4102" t="str">
        <f>IFERROR(VLOOKUP(tbEscolas[[#This Row],[COD ETPA]],tbEtapas[],3,FALSE),"")</f>
        <v/>
      </c>
    </row>
    <row r="4103" spans="1:6" x14ac:dyDescent="0.25">
      <c r="A4103" s="24" t="str">
        <f>_xlfn.XLOOKUP(tbEscolas[[#This Row],[ESCOLA]],tbNucleo[ESCOLA],tbNucleo[COD ESCOLA],"")</f>
        <v/>
      </c>
      <c r="B4103" t="str" cm="1">
        <f t="array" ref="B4103">IFERROR(INDEX(tbNucleo[ESCOLA],ROUNDUP(ROW(B4102)/TotalEtapas,0)),"")</f>
        <v/>
      </c>
      <c r="E4103" t="str">
        <f>IFERROR(VLOOKUP(tbEscolas[[#This Row],[COD ETPA]],tbEtapas[],2,FALSE),"")</f>
        <v/>
      </c>
      <c r="F4103" t="str">
        <f>IFERROR(VLOOKUP(tbEscolas[[#This Row],[COD ETPA]],tbEtapas[],3,FALSE),"")</f>
        <v/>
      </c>
    </row>
    <row r="4104" spans="1:6" x14ac:dyDescent="0.25">
      <c r="A4104" s="24" t="str">
        <f>_xlfn.XLOOKUP(tbEscolas[[#This Row],[ESCOLA]],tbNucleo[ESCOLA],tbNucleo[COD ESCOLA],"")</f>
        <v/>
      </c>
      <c r="B4104" t="str" cm="1">
        <f t="array" ref="B4104">IFERROR(INDEX(tbNucleo[ESCOLA],ROUNDUP(ROW(B4103)/TotalEtapas,0)),"")</f>
        <v/>
      </c>
      <c r="E4104" t="str">
        <f>IFERROR(VLOOKUP(tbEscolas[[#This Row],[COD ETPA]],tbEtapas[],2,FALSE),"")</f>
        <v/>
      </c>
      <c r="F4104" t="str">
        <f>IFERROR(VLOOKUP(tbEscolas[[#This Row],[COD ETPA]],tbEtapas[],3,FALSE),"")</f>
        <v/>
      </c>
    </row>
    <row r="4105" spans="1:6" x14ac:dyDescent="0.25">
      <c r="A4105" s="24" t="str">
        <f>_xlfn.XLOOKUP(tbEscolas[[#This Row],[ESCOLA]],tbNucleo[ESCOLA],tbNucleo[COD ESCOLA],"")</f>
        <v/>
      </c>
      <c r="B4105" t="str" cm="1">
        <f t="array" ref="B4105">IFERROR(INDEX(tbNucleo[ESCOLA],ROUNDUP(ROW(B4104)/TotalEtapas,0)),"")</f>
        <v/>
      </c>
      <c r="E4105" t="str">
        <f>IFERROR(VLOOKUP(tbEscolas[[#This Row],[COD ETPA]],tbEtapas[],2,FALSE),"")</f>
        <v/>
      </c>
      <c r="F4105" t="str">
        <f>IFERROR(VLOOKUP(tbEscolas[[#This Row],[COD ETPA]],tbEtapas[],3,FALSE),"")</f>
        <v/>
      </c>
    </row>
    <row r="4106" spans="1:6" x14ac:dyDescent="0.25">
      <c r="A4106" s="24" t="str">
        <f>_xlfn.XLOOKUP(tbEscolas[[#This Row],[ESCOLA]],tbNucleo[ESCOLA],tbNucleo[COD ESCOLA],"")</f>
        <v/>
      </c>
      <c r="B4106" t="str" cm="1">
        <f t="array" ref="B4106">IFERROR(INDEX(tbNucleo[ESCOLA],ROUNDUP(ROW(B4105)/TotalEtapas,0)),"")</f>
        <v/>
      </c>
      <c r="E4106" t="str">
        <f>IFERROR(VLOOKUP(tbEscolas[[#This Row],[COD ETPA]],tbEtapas[],2,FALSE),"")</f>
        <v/>
      </c>
      <c r="F4106" t="str">
        <f>IFERROR(VLOOKUP(tbEscolas[[#This Row],[COD ETPA]],tbEtapas[],3,FALSE),"")</f>
        <v/>
      </c>
    </row>
    <row r="4107" spans="1:6" x14ac:dyDescent="0.25">
      <c r="A4107" s="24" t="str">
        <f>_xlfn.XLOOKUP(tbEscolas[[#This Row],[ESCOLA]],tbNucleo[ESCOLA],tbNucleo[COD ESCOLA],"")</f>
        <v/>
      </c>
      <c r="B4107" t="str" cm="1">
        <f t="array" ref="B4107">IFERROR(INDEX(tbNucleo[ESCOLA],ROUNDUP(ROW(B4106)/TotalEtapas,0)),"")</f>
        <v/>
      </c>
      <c r="E4107" t="str">
        <f>IFERROR(VLOOKUP(tbEscolas[[#This Row],[COD ETPA]],tbEtapas[],2,FALSE),"")</f>
        <v/>
      </c>
      <c r="F4107" t="str">
        <f>IFERROR(VLOOKUP(tbEscolas[[#This Row],[COD ETPA]],tbEtapas[],3,FALSE),"")</f>
        <v/>
      </c>
    </row>
    <row r="4108" spans="1:6" x14ac:dyDescent="0.25">
      <c r="A4108" s="24" t="str">
        <f>_xlfn.XLOOKUP(tbEscolas[[#This Row],[ESCOLA]],tbNucleo[ESCOLA],tbNucleo[COD ESCOLA],"")</f>
        <v/>
      </c>
      <c r="B4108" t="str" cm="1">
        <f t="array" ref="B4108">IFERROR(INDEX(tbNucleo[ESCOLA],ROUNDUP(ROW(B4107)/TotalEtapas,0)),"")</f>
        <v/>
      </c>
      <c r="E4108" t="str">
        <f>IFERROR(VLOOKUP(tbEscolas[[#This Row],[COD ETPA]],tbEtapas[],2,FALSE),"")</f>
        <v/>
      </c>
      <c r="F4108" t="str">
        <f>IFERROR(VLOOKUP(tbEscolas[[#This Row],[COD ETPA]],tbEtapas[],3,FALSE),"")</f>
        <v/>
      </c>
    </row>
    <row r="4109" spans="1:6" x14ac:dyDescent="0.25">
      <c r="A4109" s="24" t="str">
        <f>_xlfn.XLOOKUP(tbEscolas[[#This Row],[ESCOLA]],tbNucleo[ESCOLA],tbNucleo[COD ESCOLA],"")</f>
        <v/>
      </c>
      <c r="B4109" t="str" cm="1">
        <f t="array" ref="B4109">IFERROR(INDEX(tbNucleo[ESCOLA],ROUNDUP(ROW(B4108)/TotalEtapas,0)),"")</f>
        <v/>
      </c>
      <c r="E4109" t="str">
        <f>IFERROR(VLOOKUP(tbEscolas[[#This Row],[COD ETPA]],tbEtapas[],2,FALSE),"")</f>
        <v/>
      </c>
      <c r="F4109" t="str">
        <f>IFERROR(VLOOKUP(tbEscolas[[#This Row],[COD ETPA]],tbEtapas[],3,FALSE),"")</f>
        <v/>
      </c>
    </row>
    <row r="4110" spans="1:6" x14ac:dyDescent="0.25">
      <c r="A4110" s="24" t="str">
        <f>_xlfn.XLOOKUP(tbEscolas[[#This Row],[ESCOLA]],tbNucleo[ESCOLA],tbNucleo[COD ESCOLA],"")</f>
        <v/>
      </c>
      <c r="B4110" t="str" cm="1">
        <f t="array" ref="B4110">IFERROR(INDEX(tbNucleo[ESCOLA],ROUNDUP(ROW(B4109)/TotalEtapas,0)),"")</f>
        <v/>
      </c>
      <c r="E4110" t="str">
        <f>IFERROR(VLOOKUP(tbEscolas[[#This Row],[COD ETPA]],tbEtapas[],2,FALSE),"")</f>
        <v/>
      </c>
      <c r="F4110" t="str">
        <f>IFERROR(VLOOKUP(tbEscolas[[#This Row],[COD ETPA]],tbEtapas[],3,FALSE),"")</f>
        <v/>
      </c>
    </row>
    <row r="4111" spans="1:6" x14ac:dyDescent="0.25">
      <c r="A4111" s="24" t="str">
        <f>_xlfn.XLOOKUP(tbEscolas[[#This Row],[ESCOLA]],tbNucleo[ESCOLA],tbNucleo[COD ESCOLA],"")</f>
        <v/>
      </c>
      <c r="B4111" t="str" cm="1">
        <f t="array" ref="B4111">IFERROR(INDEX(tbNucleo[ESCOLA],ROUNDUP(ROW(B4110)/TotalEtapas,0)),"")</f>
        <v/>
      </c>
      <c r="E4111" t="str">
        <f>IFERROR(VLOOKUP(tbEscolas[[#This Row],[COD ETPA]],tbEtapas[],2,FALSE),"")</f>
        <v/>
      </c>
      <c r="F4111" t="str">
        <f>IFERROR(VLOOKUP(tbEscolas[[#This Row],[COD ETPA]],tbEtapas[],3,FALSE),"")</f>
        <v/>
      </c>
    </row>
    <row r="4112" spans="1:6" x14ac:dyDescent="0.25">
      <c r="A4112" s="24" t="str">
        <f>_xlfn.XLOOKUP(tbEscolas[[#This Row],[ESCOLA]],tbNucleo[ESCOLA],tbNucleo[COD ESCOLA],"")</f>
        <v/>
      </c>
      <c r="B4112" t="str" cm="1">
        <f t="array" ref="B4112">IFERROR(INDEX(tbNucleo[ESCOLA],ROUNDUP(ROW(B4111)/TotalEtapas,0)),"")</f>
        <v/>
      </c>
      <c r="E4112" t="str">
        <f>IFERROR(VLOOKUP(tbEscolas[[#This Row],[COD ETPA]],tbEtapas[],2,FALSE),"")</f>
        <v/>
      </c>
      <c r="F4112" t="str">
        <f>IFERROR(VLOOKUP(tbEscolas[[#This Row],[COD ETPA]],tbEtapas[],3,FALSE),"")</f>
        <v/>
      </c>
    </row>
    <row r="4113" spans="1:6" x14ac:dyDescent="0.25">
      <c r="A4113" s="24" t="str">
        <f>_xlfn.XLOOKUP(tbEscolas[[#This Row],[ESCOLA]],tbNucleo[ESCOLA],tbNucleo[COD ESCOLA],"")</f>
        <v/>
      </c>
      <c r="B4113" t="str" cm="1">
        <f t="array" ref="B4113">IFERROR(INDEX(tbNucleo[ESCOLA],ROUNDUP(ROW(B4112)/TotalEtapas,0)),"")</f>
        <v/>
      </c>
      <c r="E4113" t="str">
        <f>IFERROR(VLOOKUP(tbEscolas[[#This Row],[COD ETPA]],tbEtapas[],2,FALSE),"")</f>
        <v/>
      </c>
      <c r="F4113" t="str">
        <f>IFERROR(VLOOKUP(tbEscolas[[#This Row],[COD ETPA]],tbEtapas[],3,FALSE),"")</f>
        <v/>
      </c>
    </row>
    <row r="4114" spans="1:6" x14ac:dyDescent="0.25">
      <c r="A4114" s="24" t="str">
        <f>_xlfn.XLOOKUP(tbEscolas[[#This Row],[ESCOLA]],tbNucleo[ESCOLA],tbNucleo[COD ESCOLA],"")</f>
        <v/>
      </c>
      <c r="B4114" t="str" cm="1">
        <f t="array" ref="B4114">IFERROR(INDEX(tbNucleo[ESCOLA],ROUNDUP(ROW(B4113)/TotalEtapas,0)),"")</f>
        <v/>
      </c>
      <c r="E4114" t="str">
        <f>IFERROR(VLOOKUP(tbEscolas[[#This Row],[COD ETPA]],tbEtapas[],2,FALSE),"")</f>
        <v/>
      </c>
      <c r="F4114" t="str">
        <f>IFERROR(VLOOKUP(tbEscolas[[#This Row],[COD ETPA]],tbEtapas[],3,FALSE),"")</f>
        <v/>
      </c>
    </row>
    <row r="4115" spans="1:6" x14ac:dyDescent="0.25">
      <c r="A4115" s="24" t="str">
        <f>_xlfn.XLOOKUP(tbEscolas[[#This Row],[ESCOLA]],tbNucleo[ESCOLA],tbNucleo[COD ESCOLA],"")</f>
        <v/>
      </c>
      <c r="B4115" t="str" cm="1">
        <f t="array" ref="B4115">IFERROR(INDEX(tbNucleo[ESCOLA],ROUNDUP(ROW(B4114)/TotalEtapas,0)),"")</f>
        <v/>
      </c>
      <c r="E4115" t="str">
        <f>IFERROR(VLOOKUP(tbEscolas[[#This Row],[COD ETPA]],tbEtapas[],2,FALSE),"")</f>
        <v/>
      </c>
      <c r="F4115" t="str">
        <f>IFERROR(VLOOKUP(tbEscolas[[#This Row],[COD ETPA]],tbEtapas[],3,FALSE),"")</f>
        <v/>
      </c>
    </row>
    <row r="4116" spans="1:6" x14ac:dyDescent="0.25">
      <c r="A4116" s="24" t="str">
        <f>_xlfn.XLOOKUP(tbEscolas[[#This Row],[ESCOLA]],tbNucleo[ESCOLA],tbNucleo[COD ESCOLA],"")</f>
        <v/>
      </c>
      <c r="B4116" t="str" cm="1">
        <f t="array" ref="B4116">IFERROR(INDEX(tbNucleo[ESCOLA],ROUNDUP(ROW(B4115)/TotalEtapas,0)),"")</f>
        <v/>
      </c>
      <c r="E4116" t="str">
        <f>IFERROR(VLOOKUP(tbEscolas[[#This Row],[COD ETPA]],tbEtapas[],2,FALSE),"")</f>
        <v/>
      </c>
      <c r="F4116" t="str">
        <f>IFERROR(VLOOKUP(tbEscolas[[#This Row],[COD ETPA]],tbEtapas[],3,FALSE),"")</f>
        <v/>
      </c>
    </row>
    <row r="4117" spans="1:6" x14ac:dyDescent="0.25">
      <c r="A4117" s="24" t="str">
        <f>_xlfn.XLOOKUP(tbEscolas[[#This Row],[ESCOLA]],tbNucleo[ESCOLA],tbNucleo[COD ESCOLA],"")</f>
        <v/>
      </c>
      <c r="B4117" t="str" cm="1">
        <f t="array" ref="B4117">IFERROR(INDEX(tbNucleo[ESCOLA],ROUNDUP(ROW(B4116)/TotalEtapas,0)),"")</f>
        <v/>
      </c>
      <c r="E4117" t="str">
        <f>IFERROR(VLOOKUP(tbEscolas[[#This Row],[COD ETPA]],tbEtapas[],2,FALSE),"")</f>
        <v/>
      </c>
      <c r="F4117" t="str">
        <f>IFERROR(VLOOKUP(tbEscolas[[#This Row],[COD ETPA]],tbEtapas[],3,FALSE),"")</f>
        <v/>
      </c>
    </row>
    <row r="4118" spans="1:6" x14ac:dyDescent="0.25">
      <c r="A4118" s="24" t="str">
        <f>_xlfn.XLOOKUP(tbEscolas[[#This Row],[ESCOLA]],tbNucleo[ESCOLA],tbNucleo[COD ESCOLA],"")</f>
        <v/>
      </c>
      <c r="B4118" t="str" cm="1">
        <f t="array" ref="B4118">IFERROR(INDEX(tbNucleo[ESCOLA],ROUNDUP(ROW(B4117)/TotalEtapas,0)),"")</f>
        <v/>
      </c>
      <c r="E4118" t="str">
        <f>IFERROR(VLOOKUP(tbEscolas[[#This Row],[COD ETPA]],tbEtapas[],2,FALSE),"")</f>
        <v/>
      </c>
      <c r="F4118" t="str">
        <f>IFERROR(VLOOKUP(tbEscolas[[#This Row],[COD ETPA]],tbEtapas[],3,FALSE),"")</f>
        <v/>
      </c>
    </row>
    <row r="4119" spans="1:6" x14ac:dyDescent="0.25">
      <c r="A4119" s="24" t="str">
        <f>_xlfn.XLOOKUP(tbEscolas[[#This Row],[ESCOLA]],tbNucleo[ESCOLA],tbNucleo[COD ESCOLA],"")</f>
        <v/>
      </c>
      <c r="B4119" t="str" cm="1">
        <f t="array" ref="B4119">IFERROR(INDEX(tbNucleo[ESCOLA],ROUNDUP(ROW(B4118)/TotalEtapas,0)),"")</f>
        <v/>
      </c>
      <c r="E4119" t="str">
        <f>IFERROR(VLOOKUP(tbEscolas[[#This Row],[COD ETPA]],tbEtapas[],2,FALSE),"")</f>
        <v/>
      </c>
      <c r="F4119" t="str">
        <f>IFERROR(VLOOKUP(tbEscolas[[#This Row],[COD ETPA]],tbEtapas[],3,FALSE),"")</f>
        <v/>
      </c>
    </row>
    <row r="4120" spans="1:6" x14ac:dyDescent="0.25">
      <c r="A4120" s="24" t="str">
        <f>_xlfn.XLOOKUP(tbEscolas[[#This Row],[ESCOLA]],tbNucleo[ESCOLA],tbNucleo[COD ESCOLA],"")</f>
        <v/>
      </c>
      <c r="B4120" t="str" cm="1">
        <f t="array" ref="B4120">IFERROR(INDEX(tbNucleo[ESCOLA],ROUNDUP(ROW(B4119)/TotalEtapas,0)),"")</f>
        <v/>
      </c>
      <c r="E4120" t="str">
        <f>IFERROR(VLOOKUP(tbEscolas[[#This Row],[COD ETPA]],tbEtapas[],2,FALSE),"")</f>
        <v/>
      </c>
      <c r="F4120" t="str">
        <f>IFERROR(VLOOKUP(tbEscolas[[#This Row],[COD ETPA]],tbEtapas[],3,FALSE),"")</f>
        <v/>
      </c>
    </row>
    <row r="4121" spans="1:6" x14ac:dyDescent="0.25">
      <c r="A4121" s="24" t="str">
        <f>_xlfn.XLOOKUP(tbEscolas[[#This Row],[ESCOLA]],tbNucleo[ESCOLA],tbNucleo[COD ESCOLA],"")</f>
        <v/>
      </c>
      <c r="B4121" t="str" cm="1">
        <f t="array" ref="B4121">IFERROR(INDEX(tbNucleo[ESCOLA],ROUNDUP(ROW(B4120)/TotalEtapas,0)),"")</f>
        <v/>
      </c>
      <c r="E4121" t="str">
        <f>IFERROR(VLOOKUP(tbEscolas[[#This Row],[COD ETPA]],tbEtapas[],2,FALSE),"")</f>
        <v/>
      </c>
      <c r="F4121" t="str">
        <f>IFERROR(VLOOKUP(tbEscolas[[#This Row],[COD ETPA]],tbEtapas[],3,FALSE),"")</f>
        <v/>
      </c>
    </row>
    <row r="4122" spans="1:6" x14ac:dyDescent="0.25">
      <c r="A4122" s="24" t="str">
        <f>_xlfn.XLOOKUP(tbEscolas[[#This Row],[ESCOLA]],tbNucleo[ESCOLA],tbNucleo[COD ESCOLA],"")</f>
        <v/>
      </c>
      <c r="B4122" t="str" cm="1">
        <f t="array" ref="B4122">IFERROR(INDEX(tbNucleo[ESCOLA],ROUNDUP(ROW(B4121)/TotalEtapas,0)),"")</f>
        <v/>
      </c>
      <c r="E4122" t="str">
        <f>IFERROR(VLOOKUP(tbEscolas[[#This Row],[COD ETPA]],tbEtapas[],2,FALSE),"")</f>
        <v/>
      </c>
      <c r="F4122" t="str">
        <f>IFERROR(VLOOKUP(tbEscolas[[#This Row],[COD ETPA]],tbEtapas[],3,FALSE),"")</f>
        <v/>
      </c>
    </row>
    <row r="4123" spans="1:6" x14ac:dyDescent="0.25">
      <c r="A4123" s="24" t="str">
        <f>_xlfn.XLOOKUP(tbEscolas[[#This Row],[ESCOLA]],tbNucleo[ESCOLA],tbNucleo[COD ESCOLA],"")</f>
        <v/>
      </c>
      <c r="B4123" t="str" cm="1">
        <f t="array" ref="B4123">IFERROR(INDEX(tbNucleo[ESCOLA],ROUNDUP(ROW(B4122)/TotalEtapas,0)),"")</f>
        <v/>
      </c>
      <c r="E4123" t="str">
        <f>IFERROR(VLOOKUP(tbEscolas[[#This Row],[COD ETPA]],tbEtapas[],2,FALSE),"")</f>
        <v/>
      </c>
      <c r="F4123" t="str">
        <f>IFERROR(VLOOKUP(tbEscolas[[#This Row],[COD ETPA]],tbEtapas[],3,FALSE),"")</f>
        <v/>
      </c>
    </row>
    <row r="4124" spans="1:6" x14ac:dyDescent="0.25">
      <c r="A4124" s="24" t="str">
        <f>_xlfn.XLOOKUP(tbEscolas[[#This Row],[ESCOLA]],tbNucleo[ESCOLA],tbNucleo[COD ESCOLA],"")</f>
        <v/>
      </c>
      <c r="B4124" t="str" cm="1">
        <f t="array" ref="B4124">IFERROR(INDEX(tbNucleo[ESCOLA],ROUNDUP(ROW(B4123)/TotalEtapas,0)),"")</f>
        <v/>
      </c>
      <c r="E4124" t="str">
        <f>IFERROR(VLOOKUP(tbEscolas[[#This Row],[COD ETPA]],tbEtapas[],2,FALSE),"")</f>
        <v/>
      </c>
      <c r="F4124" t="str">
        <f>IFERROR(VLOOKUP(tbEscolas[[#This Row],[COD ETPA]],tbEtapas[],3,FALSE),"")</f>
        <v/>
      </c>
    </row>
    <row r="4125" spans="1:6" x14ac:dyDescent="0.25">
      <c r="A4125" s="24" t="str">
        <f>_xlfn.XLOOKUP(tbEscolas[[#This Row],[ESCOLA]],tbNucleo[ESCOLA],tbNucleo[COD ESCOLA],"")</f>
        <v/>
      </c>
      <c r="B4125" t="str" cm="1">
        <f t="array" ref="B4125">IFERROR(INDEX(tbNucleo[ESCOLA],ROUNDUP(ROW(B4124)/TotalEtapas,0)),"")</f>
        <v/>
      </c>
      <c r="E4125" t="str">
        <f>IFERROR(VLOOKUP(tbEscolas[[#This Row],[COD ETPA]],tbEtapas[],2,FALSE),"")</f>
        <v/>
      </c>
      <c r="F4125" t="str">
        <f>IFERROR(VLOOKUP(tbEscolas[[#This Row],[COD ETPA]],tbEtapas[],3,FALSE),"")</f>
        <v/>
      </c>
    </row>
    <row r="4126" spans="1:6" x14ac:dyDescent="0.25">
      <c r="A4126" s="24" t="str">
        <f>_xlfn.XLOOKUP(tbEscolas[[#This Row],[ESCOLA]],tbNucleo[ESCOLA],tbNucleo[COD ESCOLA],"")</f>
        <v/>
      </c>
      <c r="B4126" t="str" cm="1">
        <f t="array" ref="B4126">IFERROR(INDEX(tbNucleo[ESCOLA],ROUNDUP(ROW(B4125)/TotalEtapas,0)),"")</f>
        <v/>
      </c>
      <c r="E4126" t="str">
        <f>IFERROR(VLOOKUP(tbEscolas[[#This Row],[COD ETPA]],tbEtapas[],2,FALSE),"")</f>
        <v/>
      </c>
      <c r="F4126" t="str">
        <f>IFERROR(VLOOKUP(tbEscolas[[#This Row],[COD ETPA]],tbEtapas[],3,FALSE),"")</f>
        <v/>
      </c>
    </row>
    <row r="4127" spans="1:6" x14ac:dyDescent="0.25">
      <c r="A4127" s="24" t="str">
        <f>_xlfn.XLOOKUP(tbEscolas[[#This Row],[ESCOLA]],tbNucleo[ESCOLA],tbNucleo[COD ESCOLA],"")</f>
        <v/>
      </c>
      <c r="B4127" t="str" cm="1">
        <f t="array" ref="B4127">IFERROR(INDEX(tbNucleo[ESCOLA],ROUNDUP(ROW(B4126)/TotalEtapas,0)),"")</f>
        <v/>
      </c>
      <c r="E4127" t="str">
        <f>IFERROR(VLOOKUP(tbEscolas[[#This Row],[COD ETPA]],tbEtapas[],2,FALSE),"")</f>
        <v/>
      </c>
      <c r="F4127" t="str">
        <f>IFERROR(VLOOKUP(tbEscolas[[#This Row],[COD ETPA]],tbEtapas[],3,FALSE),"")</f>
        <v/>
      </c>
    </row>
    <row r="4128" spans="1:6" x14ac:dyDescent="0.25">
      <c r="A4128" s="24" t="str">
        <f>_xlfn.XLOOKUP(tbEscolas[[#This Row],[ESCOLA]],tbNucleo[ESCOLA],tbNucleo[COD ESCOLA],"")</f>
        <v/>
      </c>
      <c r="B4128" t="str" cm="1">
        <f t="array" ref="B4128">IFERROR(INDEX(tbNucleo[ESCOLA],ROUNDUP(ROW(B4127)/TotalEtapas,0)),"")</f>
        <v/>
      </c>
      <c r="E4128" t="str">
        <f>IFERROR(VLOOKUP(tbEscolas[[#This Row],[COD ETPA]],tbEtapas[],2,FALSE),"")</f>
        <v/>
      </c>
      <c r="F4128" t="str">
        <f>IFERROR(VLOOKUP(tbEscolas[[#This Row],[COD ETPA]],tbEtapas[],3,FALSE),"")</f>
        <v/>
      </c>
    </row>
    <row r="4129" spans="1:6" x14ac:dyDescent="0.25">
      <c r="A4129" s="24" t="str">
        <f>_xlfn.XLOOKUP(tbEscolas[[#This Row],[ESCOLA]],tbNucleo[ESCOLA],tbNucleo[COD ESCOLA],"")</f>
        <v/>
      </c>
      <c r="B4129" t="str" cm="1">
        <f t="array" ref="B4129">IFERROR(INDEX(tbNucleo[ESCOLA],ROUNDUP(ROW(B4128)/TotalEtapas,0)),"")</f>
        <v/>
      </c>
      <c r="E4129" t="str">
        <f>IFERROR(VLOOKUP(tbEscolas[[#This Row],[COD ETPA]],tbEtapas[],2,FALSE),"")</f>
        <v/>
      </c>
      <c r="F4129" t="str">
        <f>IFERROR(VLOOKUP(tbEscolas[[#This Row],[COD ETPA]],tbEtapas[],3,FALSE),"")</f>
        <v/>
      </c>
    </row>
    <row r="4130" spans="1:6" x14ac:dyDescent="0.25">
      <c r="A4130" s="24" t="str">
        <f>_xlfn.XLOOKUP(tbEscolas[[#This Row],[ESCOLA]],tbNucleo[ESCOLA],tbNucleo[COD ESCOLA],"")</f>
        <v/>
      </c>
      <c r="B4130" t="str" cm="1">
        <f t="array" ref="B4130">IFERROR(INDEX(tbNucleo[ESCOLA],ROUNDUP(ROW(B4129)/TotalEtapas,0)),"")</f>
        <v/>
      </c>
      <c r="E4130" t="str">
        <f>IFERROR(VLOOKUP(tbEscolas[[#This Row],[COD ETPA]],tbEtapas[],2,FALSE),"")</f>
        <v/>
      </c>
      <c r="F4130" t="str">
        <f>IFERROR(VLOOKUP(tbEscolas[[#This Row],[COD ETPA]],tbEtapas[],3,FALSE),"")</f>
        <v/>
      </c>
    </row>
    <row r="4131" spans="1:6" x14ac:dyDescent="0.25">
      <c r="A4131" s="24" t="str">
        <f>_xlfn.XLOOKUP(tbEscolas[[#This Row],[ESCOLA]],tbNucleo[ESCOLA],tbNucleo[COD ESCOLA],"")</f>
        <v/>
      </c>
      <c r="B4131" t="str" cm="1">
        <f t="array" ref="B4131">IFERROR(INDEX(tbNucleo[ESCOLA],ROUNDUP(ROW(B4130)/TotalEtapas,0)),"")</f>
        <v/>
      </c>
      <c r="E4131" t="str">
        <f>IFERROR(VLOOKUP(tbEscolas[[#This Row],[COD ETPA]],tbEtapas[],2,FALSE),"")</f>
        <v/>
      </c>
      <c r="F4131" t="str">
        <f>IFERROR(VLOOKUP(tbEscolas[[#This Row],[COD ETPA]],tbEtapas[],3,FALSE),"")</f>
        <v/>
      </c>
    </row>
    <row r="4132" spans="1:6" x14ac:dyDescent="0.25">
      <c r="A4132" s="24" t="str">
        <f>_xlfn.XLOOKUP(tbEscolas[[#This Row],[ESCOLA]],tbNucleo[ESCOLA],tbNucleo[COD ESCOLA],"")</f>
        <v/>
      </c>
      <c r="B4132" t="str" cm="1">
        <f t="array" ref="B4132">IFERROR(INDEX(tbNucleo[ESCOLA],ROUNDUP(ROW(B4131)/TotalEtapas,0)),"")</f>
        <v/>
      </c>
      <c r="E4132" t="str">
        <f>IFERROR(VLOOKUP(tbEscolas[[#This Row],[COD ETPA]],tbEtapas[],2,FALSE),"")</f>
        <v/>
      </c>
      <c r="F4132" t="str">
        <f>IFERROR(VLOOKUP(tbEscolas[[#This Row],[COD ETPA]],tbEtapas[],3,FALSE),"")</f>
        <v/>
      </c>
    </row>
    <row r="4133" spans="1:6" x14ac:dyDescent="0.25">
      <c r="A4133" s="24" t="str">
        <f>_xlfn.XLOOKUP(tbEscolas[[#This Row],[ESCOLA]],tbNucleo[ESCOLA],tbNucleo[COD ESCOLA],"")</f>
        <v/>
      </c>
      <c r="B4133" t="str" cm="1">
        <f t="array" ref="B4133">IFERROR(INDEX(tbNucleo[ESCOLA],ROUNDUP(ROW(B4132)/TotalEtapas,0)),"")</f>
        <v/>
      </c>
      <c r="E4133" t="str">
        <f>IFERROR(VLOOKUP(tbEscolas[[#This Row],[COD ETPA]],tbEtapas[],2,FALSE),"")</f>
        <v/>
      </c>
      <c r="F4133" t="str">
        <f>IFERROR(VLOOKUP(tbEscolas[[#This Row],[COD ETPA]],tbEtapas[],3,FALSE),"")</f>
        <v/>
      </c>
    </row>
    <row r="4134" spans="1:6" x14ac:dyDescent="0.25">
      <c r="A4134" s="24" t="str">
        <f>_xlfn.XLOOKUP(tbEscolas[[#This Row],[ESCOLA]],tbNucleo[ESCOLA],tbNucleo[COD ESCOLA],"")</f>
        <v/>
      </c>
      <c r="B4134" t="str" cm="1">
        <f t="array" ref="B4134">IFERROR(INDEX(tbNucleo[ESCOLA],ROUNDUP(ROW(B4133)/TotalEtapas,0)),"")</f>
        <v/>
      </c>
      <c r="E4134" t="str">
        <f>IFERROR(VLOOKUP(tbEscolas[[#This Row],[COD ETPA]],tbEtapas[],2,FALSE),"")</f>
        <v/>
      </c>
      <c r="F4134" t="str">
        <f>IFERROR(VLOOKUP(tbEscolas[[#This Row],[COD ETPA]],tbEtapas[],3,FALSE),"")</f>
        <v/>
      </c>
    </row>
    <row r="4135" spans="1:6" x14ac:dyDescent="0.25">
      <c r="A4135" s="24" t="str">
        <f>_xlfn.XLOOKUP(tbEscolas[[#This Row],[ESCOLA]],tbNucleo[ESCOLA],tbNucleo[COD ESCOLA],"")</f>
        <v/>
      </c>
      <c r="B4135" t="str" cm="1">
        <f t="array" ref="B4135">IFERROR(INDEX(tbNucleo[ESCOLA],ROUNDUP(ROW(B4134)/TotalEtapas,0)),"")</f>
        <v/>
      </c>
      <c r="E4135" t="str">
        <f>IFERROR(VLOOKUP(tbEscolas[[#This Row],[COD ETPA]],tbEtapas[],2,FALSE),"")</f>
        <v/>
      </c>
      <c r="F4135" t="str">
        <f>IFERROR(VLOOKUP(tbEscolas[[#This Row],[COD ETPA]],tbEtapas[],3,FALSE),"")</f>
        <v/>
      </c>
    </row>
    <row r="4136" spans="1:6" x14ac:dyDescent="0.25">
      <c r="A4136" s="24" t="str">
        <f>_xlfn.XLOOKUP(tbEscolas[[#This Row],[ESCOLA]],tbNucleo[ESCOLA],tbNucleo[COD ESCOLA],"")</f>
        <v/>
      </c>
      <c r="B4136" t="str" cm="1">
        <f t="array" ref="B4136">IFERROR(INDEX(tbNucleo[ESCOLA],ROUNDUP(ROW(B4135)/TotalEtapas,0)),"")</f>
        <v/>
      </c>
      <c r="E4136" t="str">
        <f>IFERROR(VLOOKUP(tbEscolas[[#This Row],[COD ETPA]],tbEtapas[],2,FALSE),"")</f>
        <v/>
      </c>
      <c r="F4136" t="str">
        <f>IFERROR(VLOOKUP(tbEscolas[[#This Row],[COD ETPA]],tbEtapas[],3,FALSE),"")</f>
        <v/>
      </c>
    </row>
    <row r="4137" spans="1:6" x14ac:dyDescent="0.25">
      <c r="A4137" s="24" t="str">
        <f>_xlfn.XLOOKUP(tbEscolas[[#This Row],[ESCOLA]],tbNucleo[ESCOLA],tbNucleo[COD ESCOLA],"")</f>
        <v/>
      </c>
      <c r="B4137" t="str" cm="1">
        <f t="array" ref="B4137">IFERROR(INDEX(tbNucleo[ESCOLA],ROUNDUP(ROW(B4136)/TotalEtapas,0)),"")</f>
        <v/>
      </c>
      <c r="E4137" t="str">
        <f>IFERROR(VLOOKUP(tbEscolas[[#This Row],[COD ETPA]],tbEtapas[],2,FALSE),"")</f>
        <v/>
      </c>
      <c r="F4137" t="str">
        <f>IFERROR(VLOOKUP(tbEscolas[[#This Row],[COD ETPA]],tbEtapas[],3,FALSE),"")</f>
        <v/>
      </c>
    </row>
    <row r="4138" spans="1:6" x14ac:dyDescent="0.25">
      <c r="A4138" s="24" t="str">
        <f>_xlfn.XLOOKUP(tbEscolas[[#This Row],[ESCOLA]],tbNucleo[ESCOLA],tbNucleo[COD ESCOLA],"")</f>
        <v/>
      </c>
      <c r="B4138" t="str" cm="1">
        <f t="array" ref="B4138">IFERROR(INDEX(tbNucleo[ESCOLA],ROUNDUP(ROW(B4137)/TotalEtapas,0)),"")</f>
        <v/>
      </c>
      <c r="E4138" t="str">
        <f>IFERROR(VLOOKUP(tbEscolas[[#This Row],[COD ETPA]],tbEtapas[],2,FALSE),"")</f>
        <v/>
      </c>
      <c r="F4138" t="str">
        <f>IFERROR(VLOOKUP(tbEscolas[[#This Row],[COD ETPA]],tbEtapas[],3,FALSE),"")</f>
        <v/>
      </c>
    </row>
    <row r="4139" spans="1:6" x14ac:dyDescent="0.25">
      <c r="A4139" s="24" t="str">
        <f>_xlfn.XLOOKUP(tbEscolas[[#This Row],[ESCOLA]],tbNucleo[ESCOLA],tbNucleo[COD ESCOLA],"")</f>
        <v/>
      </c>
      <c r="B4139" t="str" cm="1">
        <f t="array" ref="B4139">IFERROR(INDEX(tbNucleo[ESCOLA],ROUNDUP(ROW(B4138)/TotalEtapas,0)),"")</f>
        <v/>
      </c>
      <c r="E4139" t="str">
        <f>IFERROR(VLOOKUP(tbEscolas[[#This Row],[COD ETPA]],tbEtapas[],2,FALSE),"")</f>
        <v/>
      </c>
      <c r="F4139" t="str">
        <f>IFERROR(VLOOKUP(tbEscolas[[#This Row],[COD ETPA]],tbEtapas[],3,FALSE),"")</f>
        <v/>
      </c>
    </row>
    <row r="4140" spans="1:6" x14ac:dyDescent="0.25">
      <c r="A4140" s="24" t="str">
        <f>_xlfn.XLOOKUP(tbEscolas[[#This Row],[ESCOLA]],tbNucleo[ESCOLA],tbNucleo[COD ESCOLA],"")</f>
        <v/>
      </c>
      <c r="B4140" t="str" cm="1">
        <f t="array" ref="B4140">IFERROR(INDEX(tbNucleo[ESCOLA],ROUNDUP(ROW(B4139)/TotalEtapas,0)),"")</f>
        <v/>
      </c>
      <c r="E4140" t="str">
        <f>IFERROR(VLOOKUP(tbEscolas[[#This Row],[COD ETPA]],tbEtapas[],2,FALSE),"")</f>
        <v/>
      </c>
      <c r="F4140" t="str">
        <f>IFERROR(VLOOKUP(tbEscolas[[#This Row],[COD ETPA]],tbEtapas[],3,FALSE),"")</f>
        <v/>
      </c>
    </row>
    <row r="4141" spans="1:6" x14ac:dyDescent="0.25">
      <c r="A4141" s="24" t="str">
        <f>_xlfn.XLOOKUP(tbEscolas[[#This Row],[ESCOLA]],tbNucleo[ESCOLA],tbNucleo[COD ESCOLA],"")</f>
        <v/>
      </c>
      <c r="B4141" t="str" cm="1">
        <f t="array" ref="B4141">IFERROR(INDEX(tbNucleo[ESCOLA],ROUNDUP(ROW(B4140)/TotalEtapas,0)),"")</f>
        <v/>
      </c>
      <c r="E4141" t="str">
        <f>IFERROR(VLOOKUP(tbEscolas[[#This Row],[COD ETPA]],tbEtapas[],2,FALSE),"")</f>
        <v/>
      </c>
      <c r="F4141" t="str">
        <f>IFERROR(VLOOKUP(tbEscolas[[#This Row],[COD ETPA]],tbEtapas[],3,FALSE),"")</f>
        <v/>
      </c>
    </row>
    <row r="4142" spans="1:6" x14ac:dyDescent="0.25">
      <c r="A4142" s="24" t="str">
        <f>_xlfn.XLOOKUP(tbEscolas[[#This Row],[ESCOLA]],tbNucleo[ESCOLA],tbNucleo[COD ESCOLA],"")</f>
        <v/>
      </c>
      <c r="B4142" t="str" cm="1">
        <f t="array" ref="B4142">IFERROR(INDEX(tbNucleo[ESCOLA],ROUNDUP(ROW(B4141)/TotalEtapas,0)),"")</f>
        <v/>
      </c>
      <c r="E4142" t="str">
        <f>IFERROR(VLOOKUP(tbEscolas[[#This Row],[COD ETPA]],tbEtapas[],2,FALSE),"")</f>
        <v/>
      </c>
      <c r="F4142" t="str">
        <f>IFERROR(VLOOKUP(tbEscolas[[#This Row],[COD ETPA]],tbEtapas[],3,FALSE),"")</f>
        <v/>
      </c>
    </row>
    <row r="4143" spans="1:6" x14ac:dyDescent="0.25">
      <c r="A4143" s="24" t="str">
        <f>_xlfn.XLOOKUP(tbEscolas[[#This Row],[ESCOLA]],tbNucleo[ESCOLA],tbNucleo[COD ESCOLA],"")</f>
        <v/>
      </c>
      <c r="B4143" t="str" cm="1">
        <f t="array" ref="B4143">IFERROR(INDEX(tbNucleo[ESCOLA],ROUNDUP(ROW(B4142)/TotalEtapas,0)),"")</f>
        <v/>
      </c>
      <c r="E4143" t="str">
        <f>IFERROR(VLOOKUP(tbEscolas[[#This Row],[COD ETPA]],tbEtapas[],2,FALSE),"")</f>
        <v/>
      </c>
      <c r="F4143" t="str">
        <f>IFERROR(VLOOKUP(tbEscolas[[#This Row],[COD ETPA]],tbEtapas[],3,FALSE),"")</f>
        <v/>
      </c>
    </row>
    <row r="4144" spans="1:6" x14ac:dyDescent="0.25">
      <c r="A4144" s="24" t="str">
        <f>_xlfn.XLOOKUP(tbEscolas[[#This Row],[ESCOLA]],tbNucleo[ESCOLA],tbNucleo[COD ESCOLA],"")</f>
        <v/>
      </c>
      <c r="B4144" t="str" cm="1">
        <f t="array" ref="B4144">IFERROR(INDEX(tbNucleo[ESCOLA],ROUNDUP(ROW(B4143)/TotalEtapas,0)),"")</f>
        <v/>
      </c>
      <c r="E4144" t="str">
        <f>IFERROR(VLOOKUP(tbEscolas[[#This Row],[COD ETPA]],tbEtapas[],2,FALSE),"")</f>
        <v/>
      </c>
      <c r="F4144" t="str">
        <f>IFERROR(VLOOKUP(tbEscolas[[#This Row],[COD ETPA]],tbEtapas[],3,FALSE),"")</f>
        <v/>
      </c>
    </row>
    <row r="4145" spans="1:6" x14ac:dyDescent="0.25">
      <c r="A4145" s="24" t="str">
        <f>_xlfn.XLOOKUP(tbEscolas[[#This Row],[ESCOLA]],tbNucleo[ESCOLA],tbNucleo[COD ESCOLA],"")</f>
        <v/>
      </c>
      <c r="B4145" t="str" cm="1">
        <f t="array" ref="B4145">IFERROR(INDEX(tbNucleo[ESCOLA],ROUNDUP(ROW(B4144)/TotalEtapas,0)),"")</f>
        <v/>
      </c>
      <c r="E4145" t="str">
        <f>IFERROR(VLOOKUP(tbEscolas[[#This Row],[COD ETPA]],tbEtapas[],2,FALSE),"")</f>
        <v/>
      </c>
      <c r="F4145" t="str">
        <f>IFERROR(VLOOKUP(tbEscolas[[#This Row],[COD ETPA]],tbEtapas[],3,FALSE),"")</f>
        <v/>
      </c>
    </row>
    <row r="4146" spans="1:6" x14ac:dyDescent="0.25">
      <c r="A4146" s="24" t="str">
        <f>_xlfn.XLOOKUP(tbEscolas[[#This Row],[ESCOLA]],tbNucleo[ESCOLA],tbNucleo[COD ESCOLA],"")</f>
        <v/>
      </c>
      <c r="B4146" t="str" cm="1">
        <f t="array" ref="B4146">IFERROR(INDEX(tbNucleo[ESCOLA],ROUNDUP(ROW(B4145)/TotalEtapas,0)),"")</f>
        <v/>
      </c>
      <c r="E4146" t="str">
        <f>IFERROR(VLOOKUP(tbEscolas[[#This Row],[COD ETPA]],tbEtapas[],2,FALSE),"")</f>
        <v/>
      </c>
      <c r="F4146" t="str">
        <f>IFERROR(VLOOKUP(tbEscolas[[#This Row],[COD ETPA]],tbEtapas[],3,FALSE),"")</f>
        <v/>
      </c>
    </row>
    <row r="4147" spans="1:6" x14ac:dyDescent="0.25">
      <c r="A4147" s="24" t="str">
        <f>_xlfn.XLOOKUP(tbEscolas[[#This Row],[ESCOLA]],tbNucleo[ESCOLA],tbNucleo[COD ESCOLA],"")</f>
        <v/>
      </c>
      <c r="B4147" t="str" cm="1">
        <f t="array" ref="B4147">IFERROR(INDEX(tbNucleo[ESCOLA],ROUNDUP(ROW(B4146)/TotalEtapas,0)),"")</f>
        <v/>
      </c>
      <c r="E4147" t="str">
        <f>IFERROR(VLOOKUP(tbEscolas[[#This Row],[COD ETPA]],tbEtapas[],2,FALSE),"")</f>
        <v/>
      </c>
      <c r="F4147" t="str">
        <f>IFERROR(VLOOKUP(tbEscolas[[#This Row],[COD ETPA]],tbEtapas[],3,FALSE),"")</f>
        <v/>
      </c>
    </row>
    <row r="4148" spans="1:6" x14ac:dyDescent="0.25">
      <c r="A4148" s="24" t="str">
        <f>_xlfn.XLOOKUP(tbEscolas[[#This Row],[ESCOLA]],tbNucleo[ESCOLA],tbNucleo[COD ESCOLA],"")</f>
        <v/>
      </c>
      <c r="B4148" t="str" cm="1">
        <f t="array" ref="B4148">IFERROR(INDEX(tbNucleo[ESCOLA],ROUNDUP(ROW(B4147)/TotalEtapas,0)),"")</f>
        <v/>
      </c>
      <c r="E4148" t="str">
        <f>IFERROR(VLOOKUP(tbEscolas[[#This Row],[COD ETPA]],tbEtapas[],2,FALSE),"")</f>
        <v/>
      </c>
      <c r="F4148" t="str">
        <f>IFERROR(VLOOKUP(tbEscolas[[#This Row],[COD ETPA]],tbEtapas[],3,FALSE),"")</f>
        <v/>
      </c>
    </row>
    <row r="4149" spans="1:6" x14ac:dyDescent="0.25">
      <c r="A4149" s="24" t="str">
        <f>_xlfn.XLOOKUP(tbEscolas[[#This Row],[ESCOLA]],tbNucleo[ESCOLA],tbNucleo[COD ESCOLA],"")</f>
        <v/>
      </c>
      <c r="B4149" t="str" cm="1">
        <f t="array" ref="B4149">IFERROR(INDEX(tbNucleo[ESCOLA],ROUNDUP(ROW(B4148)/TotalEtapas,0)),"")</f>
        <v/>
      </c>
      <c r="E4149" t="str">
        <f>IFERROR(VLOOKUP(tbEscolas[[#This Row],[COD ETPA]],tbEtapas[],2,FALSE),"")</f>
        <v/>
      </c>
      <c r="F4149" t="str">
        <f>IFERROR(VLOOKUP(tbEscolas[[#This Row],[COD ETPA]],tbEtapas[],3,FALSE),"")</f>
        <v/>
      </c>
    </row>
    <row r="4150" spans="1:6" x14ac:dyDescent="0.25">
      <c r="A4150" s="24" t="str">
        <f>_xlfn.XLOOKUP(tbEscolas[[#This Row],[ESCOLA]],tbNucleo[ESCOLA],tbNucleo[COD ESCOLA],"")</f>
        <v/>
      </c>
      <c r="B4150" t="str" cm="1">
        <f t="array" ref="B4150">IFERROR(INDEX(tbNucleo[ESCOLA],ROUNDUP(ROW(B4149)/TotalEtapas,0)),"")</f>
        <v/>
      </c>
      <c r="E4150" t="str">
        <f>IFERROR(VLOOKUP(tbEscolas[[#This Row],[COD ETPA]],tbEtapas[],2,FALSE),"")</f>
        <v/>
      </c>
      <c r="F4150" t="str">
        <f>IFERROR(VLOOKUP(tbEscolas[[#This Row],[COD ETPA]],tbEtapas[],3,FALSE),"")</f>
        <v/>
      </c>
    </row>
    <row r="4151" spans="1:6" x14ac:dyDescent="0.25">
      <c r="A4151" s="24" t="str">
        <f>_xlfn.XLOOKUP(tbEscolas[[#This Row],[ESCOLA]],tbNucleo[ESCOLA],tbNucleo[COD ESCOLA],"")</f>
        <v/>
      </c>
      <c r="B4151" t="str" cm="1">
        <f t="array" ref="B4151">IFERROR(INDEX(tbNucleo[ESCOLA],ROUNDUP(ROW(B4150)/TotalEtapas,0)),"")</f>
        <v/>
      </c>
      <c r="E4151" t="str">
        <f>IFERROR(VLOOKUP(tbEscolas[[#This Row],[COD ETPA]],tbEtapas[],2,FALSE),"")</f>
        <v/>
      </c>
      <c r="F4151" t="str">
        <f>IFERROR(VLOOKUP(tbEscolas[[#This Row],[COD ETPA]],tbEtapas[],3,FALSE),"")</f>
        <v/>
      </c>
    </row>
    <row r="4152" spans="1:6" x14ac:dyDescent="0.25">
      <c r="A4152" s="24" t="str">
        <f>_xlfn.XLOOKUP(tbEscolas[[#This Row],[ESCOLA]],tbNucleo[ESCOLA],tbNucleo[COD ESCOLA],"")</f>
        <v/>
      </c>
      <c r="B4152" t="str" cm="1">
        <f t="array" ref="B4152">IFERROR(INDEX(tbNucleo[ESCOLA],ROUNDUP(ROW(B4151)/TotalEtapas,0)),"")</f>
        <v/>
      </c>
      <c r="E4152" t="str">
        <f>IFERROR(VLOOKUP(tbEscolas[[#This Row],[COD ETPA]],tbEtapas[],2,FALSE),"")</f>
        <v/>
      </c>
      <c r="F4152" t="str">
        <f>IFERROR(VLOOKUP(tbEscolas[[#This Row],[COD ETPA]],tbEtapas[],3,FALSE),"")</f>
        <v/>
      </c>
    </row>
    <row r="4153" spans="1:6" x14ac:dyDescent="0.25">
      <c r="A4153" s="24" t="str">
        <f>_xlfn.XLOOKUP(tbEscolas[[#This Row],[ESCOLA]],tbNucleo[ESCOLA],tbNucleo[COD ESCOLA],"")</f>
        <v/>
      </c>
      <c r="B4153" t="str" cm="1">
        <f t="array" ref="B4153">IFERROR(INDEX(tbNucleo[ESCOLA],ROUNDUP(ROW(B4152)/TotalEtapas,0)),"")</f>
        <v/>
      </c>
      <c r="E4153" t="str">
        <f>IFERROR(VLOOKUP(tbEscolas[[#This Row],[COD ETPA]],tbEtapas[],2,FALSE),"")</f>
        <v/>
      </c>
      <c r="F4153" t="str">
        <f>IFERROR(VLOOKUP(tbEscolas[[#This Row],[COD ETPA]],tbEtapas[],3,FALSE),"")</f>
        <v/>
      </c>
    </row>
    <row r="4154" spans="1:6" x14ac:dyDescent="0.25">
      <c r="A4154" s="24" t="str">
        <f>_xlfn.XLOOKUP(tbEscolas[[#This Row],[ESCOLA]],tbNucleo[ESCOLA],tbNucleo[COD ESCOLA],"")</f>
        <v/>
      </c>
      <c r="B4154" t="str" cm="1">
        <f t="array" ref="B4154">IFERROR(INDEX(tbNucleo[ESCOLA],ROUNDUP(ROW(B4153)/TotalEtapas,0)),"")</f>
        <v/>
      </c>
      <c r="E4154" t="str">
        <f>IFERROR(VLOOKUP(tbEscolas[[#This Row],[COD ETPA]],tbEtapas[],2,FALSE),"")</f>
        <v/>
      </c>
      <c r="F4154" t="str">
        <f>IFERROR(VLOOKUP(tbEscolas[[#This Row],[COD ETPA]],tbEtapas[],3,FALSE),"")</f>
        <v/>
      </c>
    </row>
    <row r="4155" spans="1:6" x14ac:dyDescent="0.25">
      <c r="A4155" s="24" t="str">
        <f>_xlfn.XLOOKUP(tbEscolas[[#This Row],[ESCOLA]],tbNucleo[ESCOLA],tbNucleo[COD ESCOLA],"")</f>
        <v/>
      </c>
      <c r="B4155" t="str" cm="1">
        <f t="array" ref="B4155">IFERROR(INDEX(tbNucleo[ESCOLA],ROUNDUP(ROW(B4154)/TotalEtapas,0)),"")</f>
        <v/>
      </c>
      <c r="E4155" t="str">
        <f>IFERROR(VLOOKUP(tbEscolas[[#This Row],[COD ETPA]],tbEtapas[],2,FALSE),"")</f>
        <v/>
      </c>
      <c r="F4155" t="str">
        <f>IFERROR(VLOOKUP(tbEscolas[[#This Row],[COD ETPA]],tbEtapas[],3,FALSE),"")</f>
        <v/>
      </c>
    </row>
    <row r="4156" spans="1:6" x14ac:dyDescent="0.25">
      <c r="A4156" s="24" t="str">
        <f>_xlfn.XLOOKUP(tbEscolas[[#This Row],[ESCOLA]],tbNucleo[ESCOLA],tbNucleo[COD ESCOLA],"")</f>
        <v/>
      </c>
      <c r="B4156" t="str" cm="1">
        <f t="array" ref="B4156">IFERROR(INDEX(tbNucleo[ESCOLA],ROUNDUP(ROW(B4155)/TotalEtapas,0)),"")</f>
        <v/>
      </c>
      <c r="E4156" t="str">
        <f>IFERROR(VLOOKUP(tbEscolas[[#This Row],[COD ETPA]],tbEtapas[],2,FALSE),"")</f>
        <v/>
      </c>
      <c r="F4156" t="str">
        <f>IFERROR(VLOOKUP(tbEscolas[[#This Row],[COD ETPA]],tbEtapas[],3,FALSE),"")</f>
        <v/>
      </c>
    </row>
    <row r="4157" spans="1:6" x14ac:dyDescent="0.25">
      <c r="A4157" s="24" t="str">
        <f>_xlfn.XLOOKUP(tbEscolas[[#This Row],[ESCOLA]],tbNucleo[ESCOLA],tbNucleo[COD ESCOLA],"")</f>
        <v/>
      </c>
      <c r="B4157" t="str" cm="1">
        <f t="array" ref="B4157">IFERROR(INDEX(tbNucleo[ESCOLA],ROUNDUP(ROW(B4156)/TotalEtapas,0)),"")</f>
        <v/>
      </c>
      <c r="E4157" t="str">
        <f>IFERROR(VLOOKUP(tbEscolas[[#This Row],[COD ETPA]],tbEtapas[],2,FALSE),"")</f>
        <v/>
      </c>
      <c r="F4157" t="str">
        <f>IFERROR(VLOOKUP(tbEscolas[[#This Row],[COD ETPA]],tbEtapas[],3,FALSE),"")</f>
        <v/>
      </c>
    </row>
    <row r="4158" spans="1:6" x14ac:dyDescent="0.25">
      <c r="A4158" s="24" t="str">
        <f>_xlfn.XLOOKUP(tbEscolas[[#This Row],[ESCOLA]],tbNucleo[ESCOLA],tbNucleo[COD ESCOLA],"")</f>
        <v/>
      </c>
      <c r="B4158" t="str" cm="1">
        <f t="array" ref="B4158">IFERROR(INDEX(tbNucleo[ESCOLA],ROUNDUP(ROW(B4157)/TotalEtapas,0)),"")</f>
        <v/>
      </c>
      <c r="E4158" t="str">
        <f>IFERROR(VLOOKUP(tbEscolas[[#This Row],[COD ETPA]],tbEtapas[],2,FALSE),"")</f>
        <v/>
      </c>
      <c r="F4158" t="str">
        <f>IFERROR(VLOOKUP(tbEscolas[[#This Row],[COD ETPA]],tbEtapas[],3,FALSE),"")</f>
        <v/>
      </c>
    </row>
    <row r="4159" spans="1:6" x14ac:dyDescent="0.25">
      <c r="A4159" s="24" t="str">
        <f>_xlfn.XLOOKUP(tbEscolas[[#This Row],[ESCOLA]],tbNucleo[ESCOLA],tbNucleo[COD ESCOLA],"")</f>
        <v/>
      </c>
      <c r="B4159" t="str" cm="1">
        <f t="array" ref="B4159">IFERROR(INDEX(tbNucleo[ESCOLA],ROUNDUP(ROW(B4158)/TotalEtapas,0)),"")</f>
        <v/>
      </c>
      <c r="E4159" t="str">
        <f>IFERROR(VLOOKUP(tbEscolas[[#This Row],[COD ETPA]],tbEtapas[],2,FALSE),"")</f>
        <v/>
      </c>
      <c r="F4159" t="str">
        <f>IFERROR(VLOOKUP(tbEscolas[[#This Row],[COD ETPA]],tbEtapas[],3,FALSE),"")</f>
        <v/>
      </c>
    </row>
    <row r="4160" spans="1:6" x14ac:dyDescent="0.25">
      <c r="A4160" s="24" t="str">
        <f>_xlfn.XLOOKUP(tbEscolas[[#This Row],[ESCOLA]],tbNucleo[ESCOLA],tbNucleo[COD ESCOLA],"")</f>
        <v/>
      </c>
      <c r="B4160" t="str" cm="1">
        <f t="array" ref="B4160">IFERROR(INDEX(tbNucleo[ESCOLA],ROUNDUP(ROW(B4159)/TotalEtapas,0)),"")</f>
        <v/>
      </c>
      <c r="E4160" t="str">
        <f>IFERROR(VLOOKUP(tbEscolas[[#This Row],[COD ETPA]],tbEtapas[],2,FALSE),"")</f>
        <v/>
      </c>
      <c r="F4160" t="str">
        <f>IFERROR(VLOOKUP(tbEscolas[[#This Row],[COD ETPA]],tbEtapas[],3,FALSE),"")</f>
        <v/>
      </c>
    </row>
    <row r="4161" spans="1:6" x14ac:dyDescent="0.25">
      <c r="A4161" s="24" t="str">
        <f>_xlfn.XLOOKUP(tbEscolas[[#This Row],[ESCOLA]],tbNucleo[ESCOLA],tbNucleo[COD ESCOLA],"")</f>
        <v/>
      </c>
      <c r="B4161" t="str" cm="1">
        <f t="array" ref="B4161">IFERROR(INDEX(tbNucleo[ESCOLA],ROUNDUP(ROW(B4160)/TotalEtapas,0)),"")</f>
        <v/>
      </c>
      <c r="E4161" t="str">
        <f>IFERROR(VLOOKUP(tbEscolas[[#This Row],[COD ETPA]],tbEtapas[],2,FALSE),"")</f>
        <v/>
      </c>
      <c r="F4161" t="str">
        <f>IFERROR(VLOOKUP(tbEscolas[[#This Row],[COD ETPA]],tbEtapas[],3,FALSE),"")</f>
        <v/>
      </c>
    </row>
    <row r="4162" spans="1:6" x14ac:dyDescent="0.25">
      <c r="A4162" s="24" t="str">
        <f>_xlfn.XLOOKUP(tbEscolas[[#This Row],[ESCOLA]],tbNucleo[ESCOLA],tbNucleo[COD ESCOLA],"")</f>
        <v/>
      </c>
      <c r="B4162" t="str" cm="1">
        <f t="array" ref="B4162">IFERROR(INDEX(tbNucleo[ESCOLA],ROUNDUP(ROW(B4161)/TotalEtapas,0)),"")</f>
        <v/>
      </c>
      <c r="E4162" t="str">
        <f>IFERROR(VLOOKUP(tbEscolas[[#This Row],[COD ETPA]],tbEtapas[],2,FALSE),"")</f>
        <v/>
      </c>
      <c r="F4162" t="str">
        <f>IFERROR(VLOOKUP(tbEscolas[[#This Row],[COD ETPA]],tbEtapas[],3,FALSE),"")</f>
        <v/>
      </c>
    </row>
    <row r="4163" spans="1:6" x14ac:dyDescent="0.25">
      <c r="A4163" s="24" t="str">
        <f>_xlfn.XLOOKUP(tbEscolas[[#This Row],[ESCOLA]],tbNucleo[ESCOLA],tbNucleo[COD ESCOLA],"")</f>
        <v/>
      </c>
      <c r="B4163" t="str" cm="1">
        <f t="array" ref="B4163">IFERROR(INDEX(tbNucleo[ESCOLA],ROUNDUP(ROW(B4162)/TotalEtapas,0)),"")</f>
        <v/>
      </c>
      <c r="E4163" t="str">
        <f>IFERROR(VLOOKUP(tbEscolas[[#This Row],[COD ETPA]],tbEtapas[],2,FALSE),"")</f>
        <v/>
      </c>
      <c r="F4163" t="str">
        <f>IFERROR(VLOOKUP(tbEscolas[[#This Row],[COD ETPA]],tbEtapas[],3,FALSE),"")</f>
        <v/>
      </c>
    </row>
    <row r="4164" spans="1:6" x14ac:dyDescent="0.25">
      <c r="A4164" s="24" t="str">
        <f>_xlfn.XLOOKUP(tbEscolas[[#This Row],[ESCOLA]],tbNucleo[ESCOLA],tbNucleo[COD ESCOLA],"")</f>
        <v/>
      </c>
      <c r="B4164" t="str" cm="1">
        <f t="array" ref="B4164">IFERROR(INDEX(tbNucleo[ESCOLA],ROUNDUP(ROW(B4163)/TotalEtapas,0)),"")</f>
        <v/>
      </c>
      <c r="E4164" t="str">
        <f>IFERROR(VLOOKUP(tbEscolas[[#This Row],[COD ETPA]],tbEtapas[],2,FALSE),"")</f>
        <v/>
      </c>
      <c r="F4164" t="str">
        <f>IFERROR(VLOOKUP(tbEscolas[[#This Row],[COD ETPA]],tbEtapas[],3,FALSE),"")</f>
        <v/>
      </c>
    </row>
    <row r="4165" spans="1:6" x14ac:dyDescent="0.25">
      <c r="A4165" s="24" t="str">
        <f>_xlfn.XLOOKUP(tbEscolas[[#This Row],[ESCOLA]],tbNucleo[ESCOLA],tbNucleo[COD ESCOLA],"")</f>
        <v/>
      </c>
      <c r="B4165" t="str" cm="1">
        <f t="array" ref="B4165">IFERROR(INDEX(tbNucleo[ESCOLA],ROUNDUP(ROW(B4164)/TotalEtapas,0)),"")</f>
        <v/>
      </c>
      <c r="E4165" t="str">
        <f>IFERROR(VLOOKUP(tbEscolas[[#This Row],[COD ETPA]],tbEtapas[],2,FALSE),"")</f>
        <v/>
      </c>
      <c r="F4165" t="str">
        <f>IFERROR(VLOOKUP(tbEscolas[[#This Row],[COD ETPA]],tbEtapas[],3,FALSE),"")</f>
        <v/>
      </c>
    </row>
    <row r="4166" spans="1:6" x14ac:dyDescent="0.25">
      <c r="A4166" s="24" t="str">
        <f>_xlfn.XLOOKUP(tbEscolas[[#This Row],[ESCOLA]],tbNucleo[ESCOLA],tbNucleo[COD ESCOLA],"")</f>
        <v/>
      </c>
      <c r="B4166" t="str" cm="1">
        <f t="array" ref="B4166">IFERROR(INDEX(tbNucleo[ESCOLA],ROUNDUP(ROW(B4165)/TotalEtapas,0)),"")</f>
        <v/>
      </c>
      <c r="E4166" t="str">
        <f>IFERROR(VLOOKUP(tbEscolas[[#This Row],[COD ETPA]],tbEtapas[],2,FALSE),"")</f>
        <v/>
      </c>
      <c r="F4166" t="str">
        <f>IFERROR(VLOOKUP(tbEscolas[[#This Row],[COD ETPA]],tbEtapas[],3,FALSE),"")</f>
        <v/>
      </c>
    </row>
    <row r="4167" spans="1:6" x14ac:dyDescent="0.25">
      <c r="A4167" s="24" t="str">
        <f>_xlfn.XLOOKUP(tbEscolas[[#This Row],[ESCOLA]],tbNucleo[ESCOLA],tbNucleo[COD ESCOLA],"")</f>
        <v/>
      </c>
      <c r="B4167" t="str" cm="1">
        <f t="array" ref="B4167">IFERROR(INDEX(tbNucleo[ESCOLA],ROUNDUP(ROW(B4166)/TotalEtapas,0)),"")</f>
        <v/>
      </c>
      <c r="E4167" t="str">
        <f>IFERROR(VLOOKUP(tbEscolas[[#This Row],[COD ETPA]],tbEtapas[],2,FALSE),"")</f>
        <v/>
      </c>
      <c r="F4167" t="str">
        <f>IFERROR(VLOOKUP(tbEscolas[[#This Row],[COD ETPA]],tbEtapas[],3,FALSE),"")</f>
        <v/>
      </c>
    </row>
    <row r="4168" spans="1:6" x14ac:dyDescent="0.25">
      <c r="A4168" s="24" t="str">
        <f>_xlfn.XLOOKUP(tbEscolas[[#This Row],[ESCOLA]],tbNucleo[ESCOLA],tbNucleo[COD ESCOLA],"")</f>
        <v/>
      </c>
      <c r="B4168" t="str" cm="1">
        <f t="array" ref="B4168">IFERROR(INDEX(tbNucleo[ESCOLA],ROUNDUP(ROW(B4167)/TotalEtapas,0)),"")</f>
        <v/>
      </c>
      <c r="E4168" t="str">
        <f>IFERROR(VLOOKUP(tbEscolas[[#This Row],[COD ETPA]],tbEtapas[],2,FALSE),"")</f>
        <v/>
      </c>
      <c r="F4168" t="str">
        <f>IFERROR(VLOOKUP(tbEscolas[[#This Row],[COD ETPA]],tbEtapas[],3,FALSE),"")</f>
        <v/>
      </c>
    </row>
    <row r="4169" spans="1:6" x14ac:dyDescent="0.25">
      <c r="A4169" s="24" t="str">
        <f>_xlfn.XLOOKUP(tbEscolas[[#This Row],[ESCOLA]],tbNucleo[ESCOLA],tbNucleo[COD ESCOLA],"")</f>
        <v/>
      </c>
      <c r="B4169" t="str" cm="1">
        <f t="array" ref="B4169">IFERROR(INDEX(tbNucleo[ESCOLA],ROUNDUP(ROW(B4168)/TotalEtapas,0)),"")</f>
        <v/>
      </c>
      <c r="E4169" t="str">
        <f>IFERROR(VLOOKUP(tbEscolas[[#This Row],[COD ETPA]],tbEtapas[],2,FALSE),"")</f>
        <v/>
      </c>
      <c r="F4169" t="str">
        <f>IFERROR(VLOOKUP(tbEscolas[[#This Row],[COD ETPA]],tbEtapas[],3,FALSE),"")</f>
        <v/>
      </c>
    </row>
    <row r="4170" spans="1:6" x14ac:dyDescent="0.25">
      <c r="A4170" s="24" t="str">
        <f>_xlfn.XLOOKUP(tbEscolas[[#This Row],[ESCOLA]],tbNucleo[ESCOLA],tbNucleo[COD ESCOLA],"")</f>
        <v/>
      </c>
      <c r="B4170" t="str" cm="1">
        <f t="array" ref="B4170">IFERROR(INDEX(tbNucleo[ESCOLA],ROUNDUP(ROW(B4169)/TotalEtapas,0)),"")</f>
        <v/>
      </c>
      <c r="E4170" t="str">
        <f>IFERROR(VLOOKUP(tbEscolas[[#This Row],[COD ETPA]],tbEtapas[],2,FALSE),"")</f>
        <v/>
      </c>
      <c r="F4170" t="str">
        <f>IFERROR(VLOOKUP(tbEscolas[[#This Row],[COD ETPA]],tbEtapas[],3,FALSE),"")</f>
        <v/>
      </c>
    </row>
    <row r="4171" spans="1:6" x14ac:dyDescent="0.25">
      <c r="A4171" s="24" t="str">
        <f>_xlfn.XLOOKUP(tbEscolas[[#This Row],[ESCOLA]],tbNucleo[ESCOLA],tbNucleo[COD ESCOLA],"")</f>
        <v/>
      </c>
      <c r="B4171" t="str" cm="1">
        <f t="array" ref="B4171">IFERROR(INDEX(tbNucleo[ESCOLA],ROUNDUP(ROW(B4170)/TotalEtapas,0)),"")</f>
        <v/>
      </c>
      <c r="E4171" t="str">
        <f>IFERROR(VLOOKUP(tbEscolas[[#This Row],[COD ETPA]],tbEtapas[],2,FALSE),"")</f>
        <v/>
      </c>
      <c r="F4171" t="str">
        <f>IFERROR(VLOOKUP(tbEscolas[[#This Row],[COD ETPA]],tbEtapas[],3,FALSE),"")</f>
        <v/>
      </c>
    </row>
    <row r="4172" spans="1:6" x14ac:dyDescent="0.25">
      <c r="A4172" s="24" t="str">
        <f>_xlfn.XLOOKUP(tbEscolas[[#This Row],[ESCOLA]],tbNucleo[ESCOLA],tbNucleo[COD ESCOLA],"")</f>
        <v/>
      </c>
      <c r="B4172" t="str" cm="1">
        <f t="array" ref="B4172">IFERROR(INDEX(tbNucleo[ESCOLA],ROUNDUP(ROW(B4171)/TotalEtapas,0)),"")</f>
        <v/>
      </c>
      <c r="E4172" t="str">
        <f>IFERROR(VLOOKUP(tbEscolas[[#This Row],[COD ETPA]],tbEtapas[],2,FALSE),"")</f>
        <v/>
      </c>
      <c r="F4172" t="str">
        <f>IFERROR(VLOOKUP(tbEscolas[[#This Row],[COD ETPA]],tbEtapas[],3,FALSE),"")</f>
        <v/>
      </c>
    </row>
    <row r="4173" spans="1:6" x14ac:dyDescent="0.25">
      <c r="A4173" s="24" t="str">
        <f>_xlfn.XLOOKUP(tbEscolas[[#This Row],[ESCOLA]],tbNucleo[ESCOLA],tbNucleo[COD ESCOLA],"")</f>
        <v/>
      </c>
      <c r="B4173" t="str" cm="1">
        <f t="array" ref="B4173">IFERROR(INDEX(tbNucleo[ESCOLA],ROUNDUP(ROW(B4172)/TotalEtapas,0)),"")</f>
        <v/>
      </c>
      <c r="E4173" t="str">
        <f>IFERROR(VLOOKUP(tbEscolas[[#This Row],[COD ETPA]],tbEtapas[],2,FALSE),"")</f>
        <v/>
      </c>
      <c r="F4173" t="str">
        <f>IFERROR(VLOOKUP(tbEscolas[[#This Row],[COD ETPA]],tbEtapas[],3,FALSE),"")</f>
        <v/>
      </c>
    </row>
    <row r="4174" spans="1:6" x14ac:dyDescent="0.25">
      <c r="A4174" s="24" t="str">
        <f>_xlfn.XLOOKUP(tbEscolas[[#This Row],[ESCOLA]],tbNucleo[ESCOLA],tbNucleo[COD ESCOLA],"")</f>
        <v/>
      </c>
      <c r="B4174" t="str" cm="1">
        <f t="array" ref="B4174">IFERROR(INDEX(tbNucleo[ESCOLA],ROUNDUP(ROW(B4173)/TotalEtapas,0)),"")</f>
        <v/>
      </c>
      <c r="E4174" t="str">
        <f>IFERROR(VLOOKUP(tbEscolas[[#This Row],[COD ETPA]],tbEtapas[],2,FALSE),"")</f>
        <v/>
      </c>
      <c r="F4174" t="str">
        <f>IFERROR(VLOOKUP(tbEscolas[[#This Row],[COD ETPA]],tbEtapas[],3,FALSE),"")</f>
        <v/>
      </c>
    </row>
    <row r="4175" spans="1:6" x14ac:dyDescent="0.25">
      <c r="A4175" s="24" t="str">
        <f>_xlfn.XLOOKUP(tbEscolas[[#This Row],[ESCOLA]],tbNucleo[ESCOLA],tbNucleo[COD ESCOLA],"")</f>
        <v/>
      </c>
      <c r="B4175" t="str" cm="1">
        <f t="array" ref="B4175">IFERROR(INDEX(tbNucleo[ESCOLA],ROUNDUP(ROW(B4174)/TotalEtapas,0)),"")</f>
        <v/>
      </c>
      <c r="E4175" t="str">
        <f>IFERROR(VLOOKUP(tbEscolas[[#This Row],[COD ETPA]],tbEtapas[],2,FALSE),"")</f>
        <v/>
      </c>
      <c r="F4175" t="str">
        <f>IFERROR(VLOOKUP(tbEscolas[[#This Row],[COD ETPA]],tbEtapas[],3,FALSE),"")</f>
        <v/>
      </c>
    </row>
    <row r="4176" spans="1:6" x14ac:dyDescent="0.25">
      <c r="A4176" s="24" t="str">
        <f>_xlfn.XLOOKUP(tbEscolas[[#This Row],[ESCOLA]],tbNucleo[ESCOLA],tbNucleo[COD ESCOLA],"")</f>
        <v/>
      </c>
      <c r="B4176" t="str" cm="1">
        <f t="array" ref="B4176">IFERROR(INDEX(tbNucleo[ESCOLA],ROUNDUP(ROW(B4175)/TotalEtapas,0)),"")</f>
        <v/>
      </c>
      <c r="E4176" t="str">
        <f>IFERROR(VLOOKUP(tbEscolas[[#This Row],[COD ETPA]],tbEtapas[],2,FALSE),"")</f>
        <v/>
      </c>
      <c r="F4176" t="str">
        <f>IFERROR(VLOOKUP(tbEscolas[[#This Row],[COD ETPA]],tbEtapas[],3,FALSE),"")</f>
        <v/>
      </c>
    </row>
    <row r="4177" spans="1:6" x14ac:dyDescent="0.25">
      <c r="A4177" s="24" t="str">
        <f>_xlfn.XLOOKUP(tbEscolas[[#This Row],[ESCOLA]],tbNucleo[ESCOLA],tbNucleo[COD ESCOLA],"")</f>
        <v/>
      </c>
      <c r="B4177" t="str" cm="1">
        <f t="array" ref="B4177">IFERROR(INDEX(tbNucleo[ESCOLA],ROUNDUP(ROW(B4176)/TotalEtapas,0)),"")</f>
        <v/>
      </c>
      <c r="E4177" t="str">
        <f>IFERROR(VLOOKUP(tbEscolas[[#This Row],[COD ETPA]],tbEtapas[],2,FALSE),"")</f>
        <v/>
      </c>
      <c r="F4177" t="str">
        <f>IFERROR(VLOOKUP(tbEscolas[[#This Row],[COD ETPA]],tbEtapas[],3,FALSE),"")</f>
        <v/>
      </c>
    </row>
    <row r="4178" spans="1:6" x14ac:dyDescent="0.25">
      <c r="A4178" s="24" t="str">
        <f>_xlfn.XLOOKUP(tbEscolas[[#This Row],[ESCOLA]],tbNucleo[ESCOLA],tbNucleo[COD ESCOLA],"")</f>
        <v/>
      </c>
      <c r="B4178" t="str" cm="1">
        <f t="array" ref="B4178">IFERROR(INDEX(tbNucleo[ESCOLA],ROUNDUP(ROW(B4177)/TotalEtapas,0)),"")</f>
        <v/>
      </c>
      <c r="E4178" t="str">
        <f>IFERROR(VLOOKUP(tbEscolas[[#This Row],[COD ETPA]],tbEtapas[],2,FALSE),"")</f>
        <v/>
      </c>
      <c r="F4178" t="str">
        <f>IFERROR(VLOOKUP(tbEscolas[[#This Row],[COD ETPA]],tbEtapas[],3,FALSE),"")</f>
        <v/>
      </c>
    </row>
    <row r="4179" spans="1:6" x14ac:dyDescent="0.25">
      <c r="A4179" s="24" t="str">
        <f>_xlfn.XLOOKUP(tbEscolas[[#This Row],[ESCOLA]],tbNucleo[ESCOLA],tbNucleo[COD ESCOLA],"")</f>
        <v/>
      </c>
      <c r="B4179" t="str" cm="1">
        <f t="array" ref="B4179">IFERROR(INDEX(tbNucleo[ESCOLA],ROUNDUP(ROW(B4178)/TotalEtapas,0)),"")</f>
        <v/>
      </c>
      <c r="E4179" t="str">
        <f>IFERROR(VLOOKUP(tbEscolas[[#This Row],[COD ETPA]],tbEtapas[],2,FALSE),"")</f>
        <v/>
      </c>
      <c r="F4179" t="str">
        <f>IFERROR(VLOOKUP(tbEscolas[[#This Row],[COD ETPA]],tbEtapas[],3,FALSE),"")</f>
        <v/>
      </c>
    </row>
    <row r="4180" spans="1:6" x14ac:dyDescent="0.25">
      <c r="A4180" s="24" t="str">
        <f>_xlfn.XLOOKUP(tbEscolas[[#This Row],[ESCOLA]],tbNucleo[ESCOLA],tbNucleo[COD ESCOLA],"")</f>
        <v/>
      </c>
      <c r="B4180" t="str" cm="1">
        <f t="array" ref="B4180">IFERROR(INDEX(tbNucleo[ESCOLA],ROUNDUP(ROW(B4179)/TotalEtapas,0)),"")</f>
        <v/>
      </c>
      <c r="E4180" t="str">
        <f>IFERROR(VLOOKUP(tbEscolas[[#This Row],[COD ETPA]],tbEtapas[],2,FALSE),"")</f>
        <v/>
      </c>
      <c r="F4180" t="str">
        <f>IFERROR(VLOOKUP(tbEscolas[[#This Row],[COD ETPA]],tbEtapas[],3,FALSE),"")</f>
        <v/>
      </c>
    </row>
    <row r="4181" spans="1:6" x14ac:dyDescent="0.25">
      <c r="A4181" s="24" t="str">
        <f>_xlfn.XLOOKUP(tbEscolas[[#This Row],[ESCOLA]],tbNucleo[ESCOLA],tbNucleo[COD ESCOLA],"")</f>
        <v/>
      </c>
      <c r="B4181" t="str" cm="1">
        <f t="array" ref="B4181">IFERROR(INDEX(tbNucleo[ESCOLA],ROUNDUP(ROW(B4180)/TotalEtapas,0)),"")</f>
        <v/>
      </c>
      <c r="E4181" t="str">
        <f>IFERROR(VLOOKUP(tbEscolas[[#This Row],[COD ETPA]],tbEtapas[],2,FALSE),"")</f>
        <v/>
      </c>
      <c r="F4181" t="str">
        <f>IFERROR(VLOOKUP(tbEscolas[[#This Row],[COD ETPA]],tbEtapas[],3,FALSE),"")</f>
        <v/>
      </c>
    </row>
    <row r="4182" spans="1:6" x14ac:dyDescent="0.25">
      <c r="A4182" s="24" t="str">
        <f>_xlfn.XLOOKUP(tbEscolas[[#This Row],[ESCOLA]],tbNucleo[ESCOLA],tbNucleo[COD ESCOLA],"")</f>
        <v/>
      </c>
      <c r="B4182" t="str" cm="1">
        <f t="array" ref="B4182">IFERROR(INDEX(tbNucleo[ESCOLA],ROUNDUP(ROW(B4181)/TotalEtapas,0)),"")</f>
        <v/>
      </c>
      <c r="E4182" t="str">
        <f>IFERROR(VLOOKUP(tbEscolas[[#This Row],[COD ETPA]],tbEtapas[],2,FALSE),"")</f>
        <v/>
      </c>
      <c r="F4182" t="str">
        <f>IFERROR(VLOOKUP(tbEscolas[[#This Row],[COD ETPA]],tbEtapas[],3,FALSE),"")</f>
        <v/>
      </c>
    </row>
    <row r="4183" spans="1:6" x14ac:dyDescent="0.25">
      <c r="A4183" s="24" t="str">
        <f>_xlfn.XLOOKUP(tbEscolas[[#This Row],[ESCOLA]],tbNucleo[ESCOLA],tbNucleo[COD ESCOLA],"")</f>
        <v/>
      </c>
      <c r="B4183" t="str" cm="1">
        <f t="array" ref="B4183">IFERROR(INDEX(tbNucleo[ESCOLA],ROUNDUP(ROW(B4182)/TotalEtapas,0)),"")</f>
        <v/>
      </c>
      <c r="E4183" t="str">
        <f>IFERROR(VLOOKUP(tbEscolas[[#This Row],[COD ETPA]],tbEtapas[],2,FALSE),"")</f>
        <v/>
      </c>
      <c r="F4183" t="str">
        <f>IFERROR(VLOOKUP(tbEscolas[[#This Row],[COD ETPA]],tbEtapas[],3,FALSE),"")</f>
        <v/>
      </c>
    </row>
    <row r="4184" spans="1:6" x14ac:dyDescent="0.25">
      <c r="A4184" s="24" t="str">
        <f>_xlfn.XLOOKUP(tbEscolas[[#This Row],[ESCOLA]],tbNucleo[ESCOLA],tbNucleo[COD ESCOLA],"")</f>
        <v/>
      </c>
      <c r="B4184" t="str" cm="1">
        <f t="array" ref="B4184">IFERROR(INDEX(tbNucleo[ESCOLA],ROUNDUP(ROW(B4183)/TotalEtapas,0)),"")</f>
        <v/>
      </c>
      <c r="E4184" t="str">
        <f>IFERROR(VLOOKUP(tbEscolas[[#This Row],[COD ETPA]],tbEtapas[],2,FALSE),"")</f>
        <v/>
      </c>
      <c r="F4184" t="str">
        <f>IFERROR(VLOOKUP(tbEscolas[[#This Row],[COD ETPA]],tbEtapas[],3,FALSE),"")</f>
        <v/>
      </c>
    </row>
    <row r="4185" spans="1:6" x14ac:dyDescent="0.25">
      <c r="A4185" s="24" t="str">
        <f>_xlfn.XLOOKUP(tbEscolas[[#This Row],[ESCOLA]],tbNucleo[ESCOLA],tbNucleo[COD ESCOLA],"")</f>
        <v/>
      </c>
      <c r="B4185" t="str" cm="1">
        <f t="array" ref="B4185">IFERROR(INDEX(tbNucleo[ESCOLA],ROUNDUP(ROW(B4184)/TotalEtapas,0)),"")</f>
        <v/>
      </c>
      <c r="E4185" t="str">
        <f>IFERROR(VLOOKUP(tbEscolas[[#This Row],[COD ETPA]],tbEtapas[],2,FALSE),"")</f>
        <v/>
      </c>
      <c r="F4185" t="str">
        <f>IFERROR(VLOOKUP(tbEscolas[[#This Row],[COD ETPA]],tbEtapas[],3,FALSE),"")</f>
        <v/>
      </c>
    </row>
    <row r="4186" spans="1:6" x14ac:dyDescent="0.25">
      <c r="A4186" s="24" t="str">
        <f>_xlfn.XLOOKUP(tbEscolas[[#This Row],[ESCOLA]],tbNucleo[ESCOLA],tbNucleo[COD ESCOLA],"")</f>
        <v/>
      </c>
      <c r="B4186" t="str" cm="1">
        <f t="array" ref="B4186">IFERROR(INDEX(tbNucleo[ESCOLA],ROUNDUP(ROW(B4185)/TotalEtapas,0)),"")</f>
        <v/>
      </c>
      <c r="E4186" t="str">
        <f>IFERROR(VLOOKUP(tbEscolas[[#This Row],[COD ETPA]],tbEtapas[],2,FALSE),"")</f>
        <v/>
      </c>
      <c r="F4186" t="str">
        <f>IFERROR(VLOOKUP(tbEscolas[[#This Row],[COD ETPA]],tbEtapas[],3,FALSE),"")</f>
        <v/>
      </c>
    </row>
    <row r="4187" spans="1:6" x14ac:dyDescent="0.25">
      <c r="A4187" s="24" t="str">
        <f>_xlfn.XLOOKUP(tbEscolas[[#This Row],[ESCOLA]],tbNucleo[ESCOLA],tbNucleo[COD ESCOLA],"")</f>
        <v/>
      </c>
      <c r="B4187" t="str" cm="1">
        <f t="array" ref="B4187">IFERROR(INDEX(tbNucleo[ESCOLA],ROUNDUP(ROW(B4186)/TotalEtapas,0)),"")</f>
        <v/>
      </c>
      <c r="E4187" t="str">
        <f>IFERROR(VLOOKUP(tbEscolas[[#This Row],[COD ETPA]],tbEtapas[],2,FALSE),"")</f>
        <v/>
      </c>
      <c r="F4187" t="str">
        <f>IFERROR(VLOOKUP(tbEscolas[[#This Row],[COD ETPA]],tbEtapas[],3,FALSE),"")</f>
        <v/>
      </c>
    </row>
    <row r="4188" spans="1:6" x14ac:dyDescent="0.25">
      <c r="A4188" s="24" t="str">
        <f>_xlfn.XLOOKUP(tbEscolas[[#This Row],[ESCOLA]],tbNucleo[ESCOLA],tbNucleo[COD ESCOLA],"")</f>
        <v/>
      </c>
      <c r="B4188" t="str" cm="1">
        <f t="array" ref="B4188">IFERROR(INDEX(tbNucleo[ESCOLA],ROUNDUP(ROW(B4187)/TotalEtapas,0)),"")</f>
        <v/>
      </c>
      <c r="E4188" t="str">
        <f>IFERROR(VLOOKUP(tbEscolas[[#This Row],[COD ETPA]],tbEtapas[],2,FALSE),"")</f>
        <v/>
      </c>
      <c r="F4188" t="str">
        <f>IFERROR(VLOOKUP(tbEscolas[[#This Row],[COD ETPA]],tbEtapas[],3,FALSE),"")</f>
        <v/>
      </c>
    </row>
    <row r="4189" spans="1:6" x14ac:dyDescent="0.25">
      <c r="A4189" s="24" t="str">
        <f>_xlfn.XLOOKUP(tbEscolas[[#This Row],[ESCOLA]],tbNucleo[ESCOLA],tbNucleo[COD ESCOLA],"")</f>
        <v/>
      </c>
      <c r="B4189" t="str" cm="1">
        <f t="array" ref="B4189">IFERROR(INDEX(tbNucleo[ESCOLA],ROUNDUP(ROW(B4188)/TotalEtapas,0)),"")</f>
        <v/>
      </c>
      <c r="E4189" t="str">
        <f>IFERROR(VLOOKUP(tbEscolas[[#This Row],[COD ETPA]],tbEtapas[],2,FALSE),"")</f>
        <v/>
      </c>
      <c r="F4189" t="str">
        <f>IFERROR(VLOOKUP(tbEscolas[[#This Row],[COD ETPA]],tbEtapas[],3,FALSE),"")</f>
        <v/>
      </c>
    </row>
    <row r="4190" spans="1:6" x14ac:dyDescent="0.25">
      <c r="A4190" s="24" t="str">
        <f>_xlfn.XLOOKUP(tbEscolas[[#This Row],[ESCOLA]],tbNucleo[ESCOLA],tbNucleo[COD ESCOLA],"")</f>
        <v/>
      </c>
      <c r="B4190" t="str" cm="1">
        <f t="array" ref="B4190">IFERROR(INDEX(tbNucleo[ESCOLA],ROUNDUP(ROW(B4189)/TotalEtapas,0)),"")</f>
        <v/>
      </c>
      <c r="E4190" t="str">
        <f>IFERROR(VLOOKUP(tbEscolas[[#This Row],[COD ETPA]],tbEtapas[],2,FALSE),"")</f>
        <v/>
      </c>
      <c r="F4190" t="str">
        <f>IFERROR(VLOOKUP(tbEscolas[[#This Row],[COD ETPA]],tbEtapas[],3,FALSE),"")</f>
        <v/>
      </c>
    </row>
    <row r="4191" spans="1:6" x14ac:dyDescent="0.25">
      <c r="A4191" s="24" t="str">
        <f>_xlfn.XLOOKUP(tbEscolas[[#This Row],[ESCOLA]],tbNucleo[ESCOLA],tbNucleo[COD ESCOLA],"")</f>
        <v/>
      </c>
      <c r="B4191" t="str" cm="1">
        <f t="array" ref="B4191">IFERROR(INDEX(tbNucleo[ESCOLA],ROUNDUP(ROW(B4190)/TotalEtapas,0)),"")</f>
        <v/>
      </c>
      <c r="E4191" t="str">
        <f>IFERROR(VLOOKUP(tbEscolas[[#This Row],[COD ETPA]],tbEtapas[],2,FALSE),"")</f>
        <v/>
      </c>
      <c r="F4191" t="str">
        <f>IFERROR(VLOOKUP(tbEscolas[[#This Row],[COD ETPA]],tbEtapas[],3,FALSE),"")</f>
        <v/>
      </c>
    </row>
    <row r="4192" spans="1:6" x14ac:dyDescent="0.25">
      <c r="A4192" s="24" t="str">
        <f>_xlfn.XLOOKUP(tbEscolas[[#This Row],[ESCOLA]],tbNucleo[ESCOLA],tbNucleo[COD ESCOLA],"")</f>
        <v/>
      </c>
      <c r="B4192" t="str" cm="1">
        <f t="array" ref="B4192">IFERROR(INDEX(tbNucleo[ESCOLA],ROUNDUP(ROW(B4191)/TotalEtapas,0)),"")</f>
        <v/>
      </c>
      <c r="E4192" t="str">
        <f>IFERROR(VLOOKUP(tbEscolas[[#This Row],[COD ETPA]],tbEtapas[],2,FALSE),"")</f>
        <v/>
      </c>
      <c r="F4192" t="str">
        <f>IFERROR(VLOOKUP(tbEscolas[[#This Row],[COD ETPA]],tbEtapas[],3,FALSE),"")</f>
        <v/>
      </c>
    </row>
    <row r="4193" spans="1:6" x14ac:dyDescent="0.25">
      <c r="A4193" s="24" t="str">
        <f>_xlfn.XLOOKUP(tbEscolas[[#This Row],[ESCOLA]],tbNucleo[ESCOLA],tbNucleo[COD ESCOLA],"")</f>
        <v/>
      </c>
      <c r="B4193" t="str" cm="1">
        <f t="array" ref="B4193">IFERROR(INDEX(tbNucleo[ESCOLA],ROUNDUP(ROW(B4192)/TotalEtapas,0)),"")</f>
        <v/>
      </c>
      <c r="E4193" t="str">
        <f>IFERROR(VLOOKUP(tbEscolas[[#This Row],[COD ETPA]],tbEtapas[],2,FALSE),"")</f>
        <v/>
      </c>
      <c r="F4193" t="str">
        <f>IFERROR(VLOOKUP(tbEscolas[[#This Row],[COD ETPA]],tbEtapas[],3,FALSE),"")</f>
        <v/>
      </c>
    </row>
    <row r="4194" spans="1:6" x14ac:dyDescent="0.25">
      <c r="A4194" s="24" t="str">
        <f>_xlfn.XLOOKUP(tbEscolas[[#This Row],[ESCOLA]],tbNucleo[ESCOLA],tbNucleo[COD ESCOLA],"")</f>
        <v/>
      </c>
      <c r="B4194" t="str" cm="1">
        <f t="array" ref="B4194">IFERROR(INDEX(tbNucleo[ESCOLA],ROUNDUP(ROW(B4193)/TotalEtapas,0)),"")</f>
        <v/>
      </c>
      <c r="E4194" t="str">
        <f>IFERROR(VLOOKUP(tbEscolas[[#This Row],[COD ETPA]],tbEtapas[],2,FALSE),"")</f>
        <v/>
      </c>
      <c r="F4194" t="str">
        <f>IFERROR(VLOOKUP(tbEscolas[[#This Row],[COD ETPA]],tbEtapas[],3,FALSE),"")</f>
        <v/>
      </c>
    </row>
    <row r="4195" spans="1:6" x14ac:dyDescent="0.25">
      <c r="A4195" s="24" t="str">
        <f>_xlfn.XLOOKUP(tbEscolas[[#This Row],[ESCOLA]],tbNucleo[ESCOLA],tbNucleo[COD ESCOLA],"")</f>
        <v/>
      </c>
      <c r="B4195" t="str" cm="1">
        <f t="array" ref="B4195">IFERROR(INDEX(tbNucleo[ESCOLA],ROUNDUP(ROW(B4194)/TotalEtapas,0)),"")</f>
        <v/>
      </c>
      <c r="E4195" t="str">
        <f>IFERROR(VLOOKUP(tbEscolas[[#This Row],[COD ETPA]],tbEtapas[],2,FALSE),"")</f>
        <v/>
      </c>
      <c r="F4195" t="str">
        <f>IFERROR(VLOOKUP(tbEscolas[[#This Row],[COD ETPA]],tbEtapas[],3,FALSE),"")</f>
        <v/>
      </c>
    </row>
    <row r="4196" spans="1:6" x14ac:dyDescent="0.25">
      <c r="A4196" s="24" t="str">
        <f>_xlfn.XLOOKUP(tbEscolas[[#This Row],[ESCOLA]],tbNucleo[ESCOLA],tbNucleo[COD ESCOLA],"")</f>
        <v/>
      </c>
      <c r="B4196" t="str" cm="1">
        <f t="array" ref="B4196">IFERROR(INDEX(tbNucleo[ESCOLA],ROUNDUP(ROW(B4195)/TotalEtapas,0)),"")</f>
        <v/>
      </c>
      <c r="E4196" t="str">
        <f>IFERROR(VLOOKUP(tbEscolas[[#This Row],[COD ETPA]],tbEtapas[],2,FALSE),"")</f>
        <v/>
      </c>
      <c r="F4196" t="str">
        <f>IFERROR(VLOOKUP(tbEscolas[[#This Row],[COD ETPA]],tbEtapas[],3,FALSE),"")</f>
        <v/>
      </c>
    </row>
    <row r="4197" spans="1:6" x14ac:dyDescent="0.25">
      <c r="A4197" s="24" t="str">
        <f>_xlfn.XLOOKUP(tbEscolas[[#This Row],[ESCOLA]],tbNucleo[ESCOLA],tbNucleo[COD ESCOLA],"")</f>
        <v/>
      </c>
      <c r="B4197" t="str" cm="1">
        <f t="array" ref="B4197">IFERROR(INDEX(tbNucleo[ESCOLA],ROUNDUP(ROW(B4196)/TotalEtapas,0)),"")</f>
        <v/>
      </c>
      <c r="E4197" t="str">
        <f>IFERROR(VLOOKUP(tbEscolas[[#This Row],[COD ETPA]],tbEtapas[],2,FALSE),"")</f>
        <v/>
      </c>
      <c r="F4197" t="str">
        <f>IFERROR(VLOOKUP(tbEscolas[[#This Row],[COD ETPA]],tbEtapas[],3,FALSE),"")</f>
        <v/>
      </c>
    </row>
    <row r="4198" spans="1:6" x14ac:dyDescent="0.25">
      <c r="A4198" s="24" t="str">
        <f>_xlfn.XLOOKUP(tbEscolas[[#This Row],[ESCOLA]],tbNucleo[ESCOLA],tbNucleo[COD ESCOLA],"")</f>
        <v/>
      </c>
      <c r="B4198" t="str" cm="1">
        <f t="array" ref="B4198">IFERROR(INDEX(tbNucleo[ESCOLA],ROUNDUP(ROW(B4197)/TotalEtapas,0)),"")</f>
        <v/>
      </c>
      <c r="E4198" t="str">
        <f>IFERROR(VLOOKUP(tbEscolas[[#This Row],[COD ETPA]],tbEtapas[],2,FALSE),"")</f>
        <v/>
      </c>
      <c r="F4198" t="str">
        <f>IFERROR(VLOOKUP(tbEscolas[[#This Row],[COD ETPA]],tbEtapas[],3,FALSE),"")</f>
        <v/>
      </c>
    </row>
    <row r="4199" spans="1:6" x14ac:dyDescent="0.25">
      <c r="A4199" s="24" t="str">
        <f>_xlfn.XLOOKUP(tbEscolas[[#This Row],[ESCOLA]],tbNucleo[ESCOLA],tbNucleo[COD ESCOLA],"")</f>
        <v/>
      </c>
      <c r="B4199" t="str" cm="1">
        <f t="array" ref="B4199">IFERROR(INDEX(tbNucleo[ESCOLA],ROUNDUP(ROW(B4198)/TotalEtapas,0)),"")</f>
        <v/>
      </c>
      <c r="E4199" t="str">
        <f>IFERROR(VLOOKUP(tbEscolas[[#This Row],[COD ETPA]],tbEtapas[],2,FALSE),"")</f>
        <v/>
      </c>
      <c r="F4199" t="str">
        <f>IFERROR(VLOOKUP(tbEscolas[[#This Row],[COD ETPA]],tbEtapas[],3,FALSE),"")</f>
        <v/>
      </c>
    </row>
    <row r="4200" spans="1:6" x14ac:dyDescent="0.25">
      <c r="A4200" s="24" t="str">
        <f>_xlfn.XLOOKUP(tbEscolas[[#This Row],[ESCOLA]],tbNucleo[ESCOLA],tbNucleo[COD ESCOLA],"")</f>
        <v/>
      </c>
      <c r="B4200" t="str" cm="1">
        <f t="array" ref="B4200">IFERROR(INDEX(tbNucleo[ESCOLA],ROUNDUP(ROW(B4199)/TotalEtapas,0)),"")</f>
        <v/>
      </c>
      <c r="E4200" t="str">
        <f>IFERROR(VLOOKUP(tbEscolas[[#This Row],[COD ETPA]],tbEtapas[],2,FALSE),"")</f>
        <v/>
      </c>
      <c r="F4200" t="str">
        <f>IFERROR(VLOOKUP(tbEscolas[[#This Row],[COD ETPA]],tbEtapas[],3,FALSE),"")</f>
        <v/>
      </c>
    </row>
    <row r="4201" spans="1:6" x14ac:dyDescent="0.25">
      <c r="A4201" s="24" t="str">
        <f>_xlfn.XLOOKUP(tbEscolas[[#This Row],[ESCOLA]],tbNucleo[ESCOLA],tbNucleo[COD ESCOLA],"")</f>
        <v/>
      </c>
      <c r="B4201" t="str" cm="1">
        <f t="array" ref="B4201">IFERROR(INDEX(tbNucleo[ESCOLA],ROUNDUP(ROW(B4200)/TotalEtapas,0)),"")</f>
        <v/>
      </c>
      <c r="E4201" t="str">
        <f>IFERROR(VLOOKUP(tbEscolas[[#This Row],[COD ETPA]],tbEtapas[],2,FALSE),"")</f>
        <v/>
      </c>
      <c r="F4201" t="str">
        <f>IFERROR(VLOOKUP(tbEscolas[[#This Row],[COD ETPA]],tbEtapas[],3,FALSE),"")</f>
        <v/>
      </c>
    </row>
    <row r="4202" spans="1:6" x14ac:dyDescent="0.25">
      <c r="A4202" s="24" t="str">
        <f>_xlfn.XLOOKUP(tbEscolas[[#This Row],[ESCOLA]],tbNucleo[ESCOLA],tbNucleo[COD ESCOLA],"")</f>
        <v/>
      </c>
      <c r="B4202" t="str" cm="1">
        <f t="array" ref="B4202">IFERROR(INDEX(tbNucleo[ESCOLA],ROUNDUP(ROW(B4201)/TotalEtapas,0)),"")</f>
        <v/>
      </c>
      <c r="E4202" t="str">
        <f>IFERROR(VLOOKUP(tbEscolas[[#This Row],[COD ETPA]],tbEtapas[],2,FALSE),"")</f>
        <v/>
      </c>
      <c r="F4202" t="str">
        <f>IFERROR(VLOOKUP(tbEscolas[[#This Row],[COD ETPA]],tbEtapas[],3,FALSE),"")</f>
        <v/>
      </c>
    </row>
    <row r="4203" spans="1:6" x14ac:dyDescent="0.25">
      <c r="A4203" s="24" t="str">
        <f>_xlfn.XLOOKUP(tbEscolas[[#This Row],[ESCOLA]],tbNucleo[ESCOLA],tbNucleo[COD ESCOLA],"")</f>
        <v/>
      </c>
      <c r="B4203" t="str" cm="1">
        <f t="array" ref="B4203">IFERROR(INDEX(tbNucleo[ESCOLA],ROUNDUP(ROW(B4202)/TotalEtapas,0)),"")</f>
        <v/>
      </c>
      <c r="E4203" t="str">
        <f>IFERROR(VLOOKUP(tbEscolas[[#This Row],[COD ETPA]],tbEtapas[],2,FALSE),"")</f>
        <v/>
      </c>
      <c r="F4203" t="str">
        <f>IFERROR(VLOOKUP(tbEscolas[[#This Row],[COD ETPA]],tbEtapas[],3,FALSE),"")</f>
        <v/>
      </c>
    </row>
    <row r="4204" spans="1:6" x14ac:dyDescent="0.25">
      <c r="A4204" s="24" t="str">
        <f>_xlfn.XLOOKUP(tbEscolas[[#This Row],[ESCOLA]],tbNucleo[ESCOLA],tbNucleo[COD ESCOLA],"")</f>
        <v/>
      </c>
      <c r="B4204" t="str" cm="1">
        <f t="array" ref="B4204">IFERROR(INDEX(tbNucleo[ESCOLA],ROUNDUP(ROW(B4203)/TotalEtapas,0)),"")</f>
        <v/>
      </c>
      <c r="E4204" t="str">
        <f>IFERROR(VLOOKUP(tbEscolas[[#This Row],[COD ETPA]],tbEtapas[],2,FALSE),"")</f>
        <v/>
      </c>
      <c r="F4204" t="str">
        <f>IFERROR(VLOOKUP(tbEscolas[[#This Row],[COD ETPA]],tbEtapas[],3,FALSE),"")</f>
        <v/>
      </c>
    </row>
    <row r="4205" spans="1:6" x14ac:dyDescent="0.25">
      <c r="A4205" s="24" t="str">
        <f>_xlfn.XLOOKUP(tbEscolas[[#This Row],[ESCOLA]],tbNucleo[ESCOLA],tbNucleo[COD ESCOLA],"")</f>
        <v/>
      </c>
      <c r="B4205" t="str" cm="1">
        <f t="array" ref="B4205">IFERROR(INDEX(tbNucleo[ESCOLA],ROUNDUP(ROW(B4204)/TotalEtapas,0)),"")</f>
        <v/>
      </c>
      <c r="E4205" t="str">
        <f>IFERROR(VLOOKUP(tbEscolas[[#This Row],[COD ETPA]],tbEtapas[],2,FALSE),"")</f>
        <v/>
      </c>
      <c r="F4205" t="str">
        <f>IFERROR(VLOOKUP(tbEscolas[[#This Row],[COD ETPA]],tbEtapas[],3,FALSE),"")</f>
        <v/>
      </c>
    </row>
    <row r="4206" spans="1:6" x14ac:dyDescent="0.25">
      <c r="A4206" s="24" t="str">
        <f>_xlfn.XLOOKUP(tbEscolas[[#This Row],[ESCOLA]],tbNucleo[ESCOLA],tbNucleo[COD ESCOLA],"")</f>
        <v/>
      </c>
      <c r="B4206" t="str" cm="1">
        <f t="array" ref="B4206">IFERROR(INDEX(tbNucleo[ESCOLA],ROUNDUP(ROW(B4205)/TotalEtapas,0)),"")</f>
        <v/>
      </c>
      <c r="E4206" t="str">
        <f>IFERROR(VLOOKUP(tbEscolas[[#This Row],[COD ETPA]],tbEtapas[],2,FALSE),"")</f>
        <v/>
      </c>
      <c r="F4206" t="str">
        <f>IFERROR(VLOOKUP(tbEscolas[[#This Row],[COD ETPA]],tbEtapas[],3,FALSE),"")</f>
        <v/>
      </c>
    </row>
    <row r="4207" spans="1:6" x14ac:dyDescent="0.25">
      <c r="A4207" s="24" t="str">
        <f>_xlfn.XLOOKUP(tbEscolas[[#This Row],[ESCOLA]],tbNucleo[ESCOLA],tbNucleo[COD ESCOLA],"")</f>
        <v/>
      </c>
      <c r="B4207" t="str" cm="1">
        <f t="array" ref="B4207">IFERROR(INDEX(tbNucleo[ESCOLA],ROUNDUP(ROW(B4206)/TotalEtapas,0)),"")</f>
        <v/>
      </c>
      <c r="E4207" t="str">
        <f>IFERROR(VLOOKUP(tbEscolas[[#This Row],[COD ETPA]],tbEtapas[],2,FALSE),"")</f>
        <v/>
      </c>
      <c r="F4207" t="str">
        <f>IFERROR(VLOOKUP(tbEscolas[[#This Row],[COD ETPA]],tbEtapas[],3,FALSE),"")</f>
        <v/>
      </c>
    </row>
    <row r="4208" spans="1:6" x14ac:dyDescent="0.25">
      <c r="A4208" s="24" t="str">
        <f>_xlfn.XLOOKUP(tbEscolas[[#This Row],[ESCOLA]],tbNucleo[ESCOLA],tbNucleo[COD ESCOLA],"")</f>
        <v/>
      </c>
      <c r="B4208" t="str" cm="1">
        <f t="array" ref="B4208">IFERROR(INDEX(tbNucleo[ESCOLA],ROUNDUP(ROW(B4207)/TotalEtapas,0)),"")</f>
        <v/>
      </c>
      <c r="E4208" t="str">
        <f>IFERROR(VLOOKUP(tbEscolas[[#This Row],[COD ETPA]],tbEtapas[],2,FALSE),"")</f>
        <v/>
      </c>
      <c r="F4208" t="str">
        <f>IFERROR(VLOOKUP(tbEscolas[[#This Row],[COD ETPA]],tbEtapas[],3,FALSE),"")</f>
        <v/>
      </c>
    </row>
    <row r="4209" spans="1:6" x14ac:dyDescent="0.25">
      <c r="A4209" s="24" t="str">
        <f>_xlfn.XLOOKUP(tbEscolas[[#This Row],[ESCOLA]],tbNucleo[ESCOLA],tbNucleo[COD ESCOLA],"")</f>
        <v/>
      </c>
      <c r="B4209" t="str" cm="1">
        <f t="array" ref="B4209">IFERROR(INDEX(tbNucleo[ESCOLA],ROUNDUP(ROW(B4208)/TotalEtapas,0)),"")</f>
        <v/>
      </c>
      <c r="E4209" t="str">
        <f>IFERROR(VLOOKUP(tbEscolas[[#This Row],[COD ETPA]],tbEtapas[],2,FALSE),"")</f>
        <v/>
      </c>
      <c r="F4209" t="str">
        <f>IFERROR(VLOOKUP(tbEscolas[[#This Row],[COD ETPA]],tbEtapas[],3,FALSE),"")</f>
        <v/>
      </c>
    </row>
    <row r="4210" spans="1:6" x14ac:dyDescent="0.25">
      <c r="A4210" s="24" t="str">
        <f>_xlfn.XLOOKUP(tbEscolas[[#This Row],[ESCOLA]],tbNucleo[ESCOLA],tbNucleo[COD ESCOLA],"")</f>
        <v/>
      </c>
      <c r="B4210" t="str" cm="1">
        <f t="array" ref="B4210">IFERROR(INDEX(tbNucleo[ESCOLA],ROUNDUP(ROW(B4209)/TotalEtapas,0)),"")</f>
        <v/>
      </c>
      <c r="E4210" t="str">
        <f>IFERROR(VLOOKUP(tbEscolas[[#This Row],[COD ETPA]],tbEtapas[],2,FALSE),"")</f>
        <v/>
      </c>
      <c r="F4210" t="str">
        <f>IFERROR(VLOOKUP(tbEscolas[[#This Row],[COD ETPA]],tbEtapas[],3,FALSE),"")</f>
        <v/>
      </c>
    </row>
    <row r="4211" spans="1:6" x14ac:dyDescent="0.25">
      <c r="A4211" s="24" t="str">
        <f>_xlfn.XLOOKUP(tbEscolas[[#This Row],[ESCOLA]],tbNucleo[ESCOLA],tbNucleo[COD ESCOLA],"")</f>
        <v/>
      </c>
      <c r="B4211" t="str" cm="1">
        <f t="array" ref="B4211">IFERROR(INDEX(tbNucleo[ESCOLA],ROUNDUP(ROW(B4210)/TotalEtapas,0)),"")</f>
        <v/>
      </c>
      <c r="E4211" t="str">
        <f>IFERROR(VLOOKUP(tbEscolas[[#This Row],[COD ETPA]],tbEtapas[],2,FALSE),"")</f>
        <v/>
      </c>
      <c r="F4211" t="str">
        <f>IFERROR(VLOOKUP(tbEscolas[[#This Row],[COD ETPA]],tbEtapas[],3,FALSE),"")</f>
        <v/>
      </c>
    </row>
    <row r="4212" spans="1:6" x14ac:dyDescent="0.25">
      <c r="A4212" s="24" t="str">
        <f>_xlfn.XLOOKUP(tbEscolas[[#This Row],[ESCOLA]],tbNucleo[ESCOLA],tbNucleo[COD ESCOLA],"")</f>
        <v/>
      </c>
      <c r="B4212" t="str" cm="1">
        <f t="array" ref="B4212">IFERROR(INDEX(tbNucleo[ESCOLA],ROUNDUP(ROW(B4211)/TotalEtapas,0)),"")</f>
        <v/>
      </c>
      <c r="E4212" t="str">
        <f>IFERROR(VLOOKUP(tbEscolas[[#This Row],[COD ETPA]],tbEtapas[],2,FALSE),"")</f>
        <v/>
      </c>
      <c r="F4212" t="str">
        <f>IFERROR(VLOOKUP(tbEscolas[[#This Row],[COD ETPA]],tbEtapas[],3,FALSE),"")</f>
        <v/>
      </c>
    </row>
    <row r="4213" spans="1:6" x14ac:dyDescent="0.25">
      <c r="A4213" s="24" t="str">
        <f>_xlfn.XLOOKUP(tbEscolas[[#This Row],[ESCOLA]],tbNucleo[ESCOLA],tbNucleo[COD ESCOLA],"")</f>
        <v/>
      </c>
      <c r="B4213" t="str" cm="1">
        <f t="array" ref="B4213">IFERROR(INDEX(tbNucleo[ESCOLA],ROUNDUP(ROW(B4212)/TotalEtapas,0)),"")</f>
        <v/>
      </c>
      <c r="E4213" t="str">
        <f>IFERROR(VLOOKUP(tbEscolas[[#This Row],[COD ETPA]],tbEtapas[],2,FALSE),"")</f>
        <v/>
      </c>
      <c r="F4213" t="str">
        <f>IFERROR(VLOOKUP(tbEscolas[[#This Row],[COD ETPA]],tbEtapas[],3,FALSE),"")</f>
        <v/>
      </c>
    </row>
    <row r="4214" spans="1:6" x14ac:dyDescent="0.25">
      <c r="A4214" s="24" t="str">
        <f>_xlfn.XLOOKUP(tbEscolas[[#This Row],[ESCOLA]],tbNucleo[ESCOLA],tbNucleo[COD ESCOLA],"")</f>
        <v/>
      </c>
      <c r="B4214" t="str" cm="1">
        <f t="array" ref="B4214">IFERROR(INDEX(tbNucleo[ESCOLA],ROUNDUP(ROW(B4213)/TotalEtapas,0)),"")</f>
        <v/>
      </c>
      <c r="E4214" t="str">
        <f>IFERROR(VLOOKUP(tbEscolas[[#This Row],[COD ETPA]],tbEtapas[],2,FALSE),"")</f>
        <v/>
      </c>
      <c r="F4214" t="str">
        <f>IFERROR(VLOOKUP(tbEscolas[[#This Row],[COD ETPA]],tbEtapas[],3,FALSE),"")</f>
        <v/>
      </c>
    </row>
    <row r="4215" spans="1:6" x14ac:dyDescent="0.25">
      <c r="A4215" s="24" t="str">
        <f>_xlfn.XLOOKUP(tbEscolas[[#This Row],[ESCOLA]],tbNucleo[ESCOLA],tbNucleo[COD ESCOLA],"")</f>
        <v/>
      </c>
      <c r="B4215" t="str" cm="1">
        <f t="array" ref="B4215">IFERROR(INDEX(tbNucleo[ESCOLA],ROUNDUP(ROW(B4214)/TotalEtapas,0)),"")</f>
        <v/>
      </c>
      <c r="E4215" t="str">
        <f>IFERROR(VLOOKUP(tbEscolas[[#This Row],[COD ETPA]],tbEtapas[],2,FALSE),"")</f>
        <v/>
      </c>
      <c r="F4215" t="str">
        <f>IFERROR(VLOOKUP(tbEscolas[[#This Row],[COD ETPA]],tbEtapas[],3,FALSE),"")</f>
        <v/>
      </c>
    </row>
    <row r="4216" spans="1:6" x14ac:dyDescent="0.25">
      <c r="A4216" s="24" t="str">
        <f>_xlfn.XLOOKUP(tbEscolas[[#This Row],[ESCOLA]],tbNucleo[ESCOLA],tbNucleo[COD ESCOLA],"")</f>
        <v/>
      </c>
      <c r="B4216" t="str" cm="1">
        <f t="array" ref="B4216">IFERROR(INDEX(tbNucleo[ESCOLA],ROUNDUP(ROW(B4215)/TotalEtapas,0)),"")</f>
        <v/>
      </c>
      <c r="E4216" t="str">
        <f>IFERROR(VLOOKUP(tbEscolas[[#This Row],[COD ETPA]],tbEtapas[],2,FALSE),"")</f>
        <v/>
      </c>
      <c r="F4216" t="str">
        <f>IFERROR(VLOOKUP(tbEscolas[[#This Row],[COD ETPA]],tbEtapas[],3,FALSE),"")</f>
        <v/>
      </c>
    </row>
    <row r="4217" spans="1:6" x14ac:dyDescent="0.25">
      <c r="A4217" s="24" t="str">
        <f>_xlfn.XLOOKUP(tbEscolas[[#This Row],[ESCOLA]],tbNucleo[ESCOLA],tbNucleo[COD ESCOLA],"")</f>
        <v/>
      </c>
      <c r="B4217" t="str" cm="1">
        <f t="array" ref="B4217">IFERROR(INDEX(tbNucleo[ESCOLA],ROUNDUP(ROW(B4216)/TotalEtapas,0)),"")</f>
        <v/>
      </c>
      <c r="E4217" t="str">
        <f>IFERROR(VLOOKUP(tbEscolas[[#This Row],[COD ETPA]],tbEtapas[],2,FALSE),"")</f>
        <v/>
      </c>
      <c r="F4217" t="str">
        <f>IFERROR(VLOOKUP(tbEscolas[[#This Row],[COD ETPA]],tbEtapas[],3,FALSE),"")</f>
        <v/>
      </c>
    </row>
    <row r="4218" spans="1:6" x14ac:dyDescent="0.25">
      <c r="A4218" s="24" t="str">
        <f>_xlfn.XLOOKUP(tbEscolas[[#This Row],[ESCOLA]],tbNucleo[ESCOLA],tbNucleo[COD ESCOLA],"")</f>
        <v/>
      </c>
      <c r="B4218" t="str" cm="1">
        <f t="array" ref="B4218">IFERROR(INDEX(tbNucleo[ESCOLA],ROUNDUP(ROW(B4217)/TotalEtapas,0)),"")</f>
        <v/>
      </c>
      <c r="E4218" t="str">
        <f>IFERROR(VLOOKUP(tbEscolas[[#This Row],[COD ETPA]],tbEtapas[],2,FALSE),"")</f>
        <v/>
      </c>
      <c r="F4218" t="str">
        <f>IFERROR(VLOOKUP(tbEscolas[[#This Row],[COD ETPA]],tbEtapas[],3,FALSE),"")</f>
        <v/>
      </c>
    </row>
    <row r="4219" spans="1:6" x14ac:dyDescent="0.25">
      <c r="A4219" s="24" t="str">
        <f>_xlfn.XLOOKUP(tbEscolas[[#This Row],[ESCOLA]],tbNucleo[ESCOLA],tbNucleo[COD ESCOLA],"")</f>
        <v/>
      </c>
      <c r="B4219" t="str" cm="1">
        <f t="array" ref="B4219">IFERROR(INDEX(tbNucleo[ESCOLA],ROUNDUP(ROW(B4218)/TotalEtapas,0)),"")</f>
        <v/>
      </c>
      <c r="E4219" t="str">
        <f>IFERROR(VLOOKUP(tbEscolas[[#This Row],[COD ETPA]],tbEtapas[],2,FALSE),"")</f>
        <v/>
      </c>
      <c r="F4219" t="str">
        <f>IFERROR(VLOOKUP(tbEscolas[[#This Row],[COD ETPA]],tbEtapas[],3,FALSE),"")</f>
        <v/>
      </c>
    </row>
    <row r="4220" spans="1:6" x14ac:dyDescent="0.25">
      <c r="A4220" s="24" t="str">
        <f>_xlfn.XLOOKUP(tbEscolas[[#This Row],[ESCOLA]],tbNucleo[ESCOLA],tbNucleo[COD ESCOLA],"")</f>
        <v/>
      </c>
      <c r="B4220" t="str" cm="1">
        <f t="array" ref="B4220">IFERROR(INDEX(tbNucleo[ESCOLA],ROUNDUP(ROW(B4219)/TotalEtapas,0)),"")</f>
        <v/>
      </c>
      <c r="E4220" t="str">
        <f>IFERROR(VLOOKUP(tbEscolas[[#This Row],[COD ETPA]],tbEtapas[],2,FALSE),"")</f>
        <v/>
      </c>
      <c r="F4220" t="str">
        <f>IFERROR(VLOOKUP(tbEscolas[[#This Row],[COD ETPA]],tbEtapas[],3,FALSE),"")</f>
        <v/>
      </c>
    </row>
    <row r="4221" spans="1:6" x14ac:dyDescent="0.25">
      <c r="A4221" s="24" t="str">
        <f>_xlfn.XLOOKUP(tbEscolas[[#This Row],[ESCOLA]],tbNucleo[ESCOLA],tbNucleo[COD ESCOLA],"")</f>
        <v/>
      </c>
      <c r="B4221" t="str" cm="1">
        <f t="array" ref="B4221">IFERROR(INDEX(tbNucleo[ESCOLA],ROUNDUP(ROW(B4220)/TotalEtapas,0)),"")</f>
        <v/>
      </c>
      <c r="E4221" t="str">
        <f>IFERROR(VLOOKUP(tbEscolas[[#This Row],[COD ETPA]],tbEtapas[],2,FALSE),"")</f>
        <v/>
      </c>
      <c r="F4221" t="str">
        <f>IFERROR(VLOOKUP(tbEscolas[[#This Row],[COD ETPA]],tbEtapas[],3,FALSE),"")</f>
        <v/>
      </c>
    </row>
    <row r="4222" spans="1:6" x14ac:dyDescent="0.25">
      <c r="A4222" s="24" t="str">
        <f>_xlfn.XLOOKUP(tbEscolas[[#This Row],[ESCOLA]],tbNucleo[ESCOLA],tbNucleo[COD ESCOLA],"")</f>
        <v/>
      </c>
      <c r="B4222" t="str" cm="1">
        <f t="array" ref="B4222">IFERROR(INDEX(tbNucleo[ESCOLA],ROUNDUP(ROW(B4221)/TotalEtapas,0)),"")</f>
        <v/>
      </c>
      <c r="E4222" t="str">
        <f>IFERROR(VLOOKUP(tbEscolas[[#This Row],[COD ETPA]],tbEtapas[],2,FALSE),"")</f>
        <v/>
      </c>
      <c r="F4222" t="str">
        <f>IFERROR(VLOOKUP(tbEscolas[[#This Row],[COD ETPA]],tbEtapas[],3,FALSE),"")</f>
        <v/>
      </c>
    </row>
    <row r="4223" spans="1:6" x14ac:dyDescent="0.25">
      <c r="A4223" s="24" t="str">
        <f>_xlfn.XLOOKUP(tbEscolas[[#This Row],[ESCOLA]],tbNucleo[ESCOLA],tbNucleo[COD ESCOLA],"")</f>
        <v/>
      </c>
      <c r="B4223" t="str" cm="1">
        <f t="array" ref="B4223">IFERROR(INDEX(tbNucleo[ESCOLA],ROUNDUP(ROW(B4222)/TotalEtapas,0)),"")</f>
        <v/>
      </c>
      <c r="E4223" t="str">
        <f>IFERROR(VLOOKUP(tbEscolas[[#This Row],[COD ETPA]],tbEtapas[],2,FALSE),"")</f>
        <v/>
      </c>
      <c r="F4223" t="str">
        <f>IFERROR(VLOOKUP(tbEscolas[[#This Row],[COD ETPA]],tbEtapas[],3,FALSE),"")</f>
        <v/>
      </c>
    </row>
    <row r="4224" spans="1:6" x14ac:dyDescent="0.25">
      <c r="A4224" s="24" t="str">
        <f>_xlfn.XLOOKUP(tbEscolas[[#This Row],[ESCOLA]],tbNucleo[ESCOLA],tbNucleo[COD ESCOLA],"")</f>
        <v/>
      </c>
      <c r="B4224" t="str" cm="1">
        <f t="array" ref="B4224">IFERROR(INDEX(tbNucleo[ESCOLA],ROUNDUP(ROW(B4223)/TotalEtapas,0)),"")</f>
        <v/>
      </c>
      <c r="E4224" t="str">
        <f>IFERROR(VLOOKUP(tbEscolas[[#This Row],[COD ETPA]],tbEtapas[],2,FALSE),"")</f>
        <v/>
      </c>
      <c r="F4224" t="str">
        <f>IFERROR(VLOOKUP(tbEscolas[[#This Row],[COD ETPA]],tbEtapas[],3,FALSE),"")</f>
        <v/>
      </c>
    </row>
    <row r="4225" spans="1:6" x14ac:dyDescent="0.25">
      <c r="A4225" s="24" t="str">
        <f>_xlfn.XLOOKUP(tbEscolas[[#This Row],[ESCOLA]],tbNucleo[ESCOLA],tbNucleo[COD ESCOLA],"")</f>
        <v/>
      </c>
      <c r="B4225" t="str" cm="1">
        <f t="array" ref="B4225">IFERROR(INDEX(tbNucleo[ESCOLA],ROUNDUP(ROW(B4224)/TotalEtapas,0)),"")</f>
        <v/>
      </c>
      <c r="E4225" t="str">
        <f>IFERROR(VLOOKUP(tbEscolas[[#This Row],[COD ETPA]],tbEtapas[],2,FALSE),"")</f>
        <v/>
      </c>
      <c r="F4225" t="str">
        <f>IFERROR(VLOOKUP(tbEscolas[[#This Row],[COD ETPA]],tbEtapas[],3,FALSE),"")</f>
        <v/>
      </c>
    </row>
    <row r="4226" spans="1:6" x14ac:dyDescent="0.25">
      <c r="A4226" s="24" t="str">
        <f>_xlfn.XLOOKUP(tbEscolas[[#This Row],[ESCOLA]],tbNucleo[ESCOLA],tbNucleo[COD ESCOLA],"")</f>
        <v/>
      </c>
      <c r="B4226" t="str" cm="1">
        <f t="array" ref="B4226">IFERROR(INDEX(tbNucleo[ESCOLA],ROUNDUP(ROW(B4225)/TotalEtapas,0)),"")</f>
        <v/>
      </c>
      <c r="E4226" t="str">
        <f>IFERROR(VLOOKUP(tbEscolas[[#This Row],[COD ETPA]],tbEtapas[],2,FALSE),"")</f>
        <v/>
      </c>
      <c r="F4226" t="str">
        <f>IFERROR(VLOOKUP(tbEscolas[[#This Row],[COD ETPA]],tbEtapas[],3,FALSE),"")</f>
        <v/>
      </c>
    </row>
    <row r="4227" spans="1:6" x14ac:dyDescent="0.25">
      <c r="A4227" s="24" t="str">
        <f>_xlfn.XLOOKUP(tbEscolas[[#This Row],[ESCOLA]],tbNucleo[ESCOLA],tbNucleo[COD ESCOLA],"")</f>
        <v/>
      </c>
      <c r="B4227" t="str" cm="1">
        <f t="array" ref="B4227">IFERROR(INDEX(tbNucleo[ESCOLA],ROUNDUP(ROW(B4226)/TotalEtapas,0)),"")</f>
        <v/>
      </c>
      <c r="E4227" t="str">
        <f>IFERROR(VLOOKUP(tbEscolas[[#This Row],[COD ETPA]],tbEtapas[],2,FALSE),"")</f>
        <v/>
      </c>
      <c r="F4227" t="str">
        <f>IFERROR(VLOOKUP(tbEscolas[[#This Row],[COD ETPA]],tbEtapas[],3,FALSE),"")</f>
        <v/>
      </c>
    </row>
    <row r="4228" spans="1:6" x14ac:dyDescent="0.25">
      <c r="A4228" s="24" t="str">
        <f>_xlfn.XLOOKUP(tbEscolas[[#This Row],[ESCOLA]],tbNucleo[ESCOLA],tbNucleo[COD ESCOLA],"")</f>
        <v/>
      </c>
      <c r="B4228" t="str" cm="1">
        <f t="array" ref="B4228">IFERROR(INDEX(tbNucleo[ESCOLA],ROUNDUP(ROW(B4227)/TotalEtapas,0)),"")</f>
        <v/>
      </c>
      <c r="E4228" t="str">
        <f>IFERROR(VLOOKUP(tbEscolas[[#This Row],[COD ETPA]],tbEtapas[],2,FALSE),"")</f>
        <v/>
      </c>
      <c r="F4228" t="str">
        <f>IFERROR(VLOOKUP(tbEscolas[[#This Row],[COD ETPA]],tbEtapas[],3,FALSE),"")</f>
        <v/>
      </c>
    </row>
    <row r="4229" spans="1:6" x14ac:dyDescent="0.25">
      <c r="A4229" s="24" t="str">
        <f>_xlfn.XLOOKUP(tbEscolas[[#This Row],[ESCOLA]],tbNucleo[ESCOLA],tbNucleo[COD ESCOLA],"")</f>
        <v/>
      </c>
      <c r="B4229" t="str" cm="1">
        <f t="array" ref="B4229">IFERROR(INDEX(tbNucleo[ESCOLA],ROUNDUP(ROW(B4228)/TotalEtapas,0)),"")</f>
        <v/>
      </c>
      <c r="E4229" t="str">
        <f>IFERROR(VLOOKUP(tbEscolas[[#This Row],[COD ETPA]],tbEtapas[],2,FALSE),"")</f>
        <v/>
      </c>
      <c r="F4229" t="str">
        <f>IFERROR(VLOOKUP(tbEscolas[[#This Row],[COD ETPA]],tbEtapas[],3,FALSE),"")</f>
        <v/>
      </c>
    </row>
    <row r="4230" spans="1:6" x14ac:dyDescent="0.25">
      <c r="A4230" s="24" t="str">
        <f>_xlfn.XLOOKUP(tbEscolas[[#This Row],[ESCOLA]],tbNucleo[ESCOLA],tbNucleo[COD ESCOLA],"")</f>
        <v/>
      </c>
      <c r="B4230" t="str" cm="1">
        <f t="array" ref="B4230">IFERROR(INDEX(tbNucleo[ESCOLA],ROUNDUP(ROW(B4229)/TotalEtapas,0)),"")</f>
        <v/>
      </c>
      <c r="E4230" t="str">
        <f>IFERROR(VLOOKUP(tbEscolas[[#This Row],[COD ETPA]],tbEtapas[],2,FALSE),"")</f>
        <v/>
      </c>
      <c r="F4230" t="str">
        <f>IFERROR(VLOOKUP(tbEscolas[[#This Row],[COD ETPA]],tbEtapas[],3,FALSE),"")</f>
        <v/>
      </c>
    </row>
    <row r="4231" spans="1:6" x14ac:dyDescent="0.25">
      <c r="A4231" s="24" t="str">
        <f>_xlfn.XLOOKUP(tbEscolas[[#This Row],[ESCOLA]],tbNucleo[ESCOLA],tbNucleo[COD ESCOLA],"")</f>
        <v/>
      </c>
      <c r="B4231" t="str" cm="1">
        <f t="array" ref="B4231">IFERROR(INDEX(tbNucleo[ESCOLA],ROUNDUP(ROW(B4230)/TotalEtapas,0)),"")</f>
        <v/>
      </c>
      <c r="E4231" t="str">
        <f>IFERROR(VLOOKUP(tbEscolas[[#This Row],[COD ETPA]],tbEtapas[],2,FALSE),"")</f>
        <v/>
      </c>
      <c r="F4231" t="str">
        <f>IFERROR(VLOOKUP(tbEscolas[[#This Row],[COD ETPA]],tbEtapas[],3,FALSE),"")</f>
        <v/>
      </c>
    </row>
    <row r="4232" spans="1:6" x14ac:dyDescent="0.25">
      <c r="A4232" s="24" t="str">
        <f>_xlfn.XLOOKUP(tbEscolas[[#This Row],[ESCOLA]],tbNucleo[ESCOLA],tbNucleo[COD ESCOLA],"")</f>
        <v/>
      </c>
      <c r="B4232" t="str" cm="1">
        <f t="array" ref="B4232">IFERROR(INDEX(tbNucleo[ESCOLA],ROUNDUP(ROW(B4231)/TotalEtapas,0)),"")</f>
        <v/>
      </c>
      <c r="E4232" t="str">
        <f>IFERROR(VLOOKUP(tbEscolas[[#This Row],[COD ETPA]],tbEtapas[],2,FALSE),"")</f>
        <v/>
      </c>
      <c r="F4232" t="str">
        <f>IFERROR(VLOOKUP(tbEscolas[[#This Row],[COD ETPA]],tbEtapas[],3,FALSE),"")</f>
        <v/>
      </c>
    </row>
    <row r="4233" spans="1:6" x14ac:dyDescent="0.25">
      <c r="A4233" s="24" t="str">
        <f>_xlfn.XLOOKUP(tbEscolas[[#This Row],[ESCOLA]],tbNucleo[ESCOLA],tbNucleo[COD ESCOLA],"")</f>
        <v/>
      </c>
      <c r="B4233" t="str" cm="1">
        <f t="array" ref="B4233">IFERROR(INDEX(tbNucleo[ESCOLA],ROUNDUP(ROW(B4232)/TotalEtapas,0)),"")</f>
        <v/>
      </c>
      <c r="E4233" t="str">
        <f>IFERROR(VLOOKUP(tbEscolas[[#This Row],[COD ETPA]],tbEtapas[],2,FALSE),"")</f>
        <v/>
      </c>
      <c r="F4233" t="str">
        <f>IFERROR(VLOOKUP(tbEscolas[[#This Row],[COD ETPA]],tbEtapas[],3,FALSE),"")</f>
        <v/>
      </c>
    </row>
    <row r="4234" spans="1:6" x14ac:dyDescent="0.25">
      <c r="A4234" s="24" t="str">
        <f>_xlfn.XLOOKUP(tbEscolas[[#This Row],[ESCOLA]],tbNucleo[ESCOLA],tbNucleo[COD ESCOLA],"")</f>
        <v/>
      </c>
      <c r="B4234" t="str" cm="1">
        <f t="array" ref="B4234">IFERROR(INDEX(tbNucleo[ESCOLA],ROUNDUP(ROW(B4233)/TotalEtapas,0)),"")</f>
        <v/>
      </c>
      <c r="E4234" t="str">
        <f>IFERROR(VLOOKUP(tbEscolas[[#This Row],[COD ETPA]],tbEtapas[],2,FALSE),"")</f>
        <v/>
      </c>
      <c r="F4234" t="str">
        <f>IFERROR(VLOOKUP(tbEscolas[[#This Row],[COD ETPA]],tbEtapas[],3,FALSE),"")</f>
        <v/>
      </c>
    </row>
    <row r="4235" spans="1:6" x14ac:dyDescent="0.25">
      <c r="A4235" s="24" t="str">
        <f>_xlfn.XLOOKUP(tbEscolas[[#This Row],[ESCOLA]],tbNucleo[ESCOLA],tbNucleo[COD ESCOLA],"")</f>
        <v/>
      </c>
      <c r="B4235" t="str" cm="1">
        <f t="array" ref="B4235">IFERROR(INDEX(tbNucleo[ESCOLA],ROUNDUP(ROW(B4234)/TotalEtapas,0)),"")</f>
        <v/>
      </c>
      <c r="E4235" t="str">
        <f>IFERROR(VLOOKUP(tbEscolas[[#This Row],[COD ETPA]],tbEtapas[],2,FALSE),"")</f>
        <v/>
      </c>
      <c r="F4235" t="str">
        <f>IFERROR(VLOOKUP(tbEscolas[[#This Row],[COD ETPA]],tbEtapas[],3,FALSE),"")</f>
        <v/>
      </c>
    </row>
    <row r="4236" spans="1:6" x14ac:dyDescent="0.25">
      <c r="A4236" s="24" t="str">
        <f>_xlfn.XLOOKUP(tbEscolas[[#This Row],[ESCOLA]],tbNucleo[ESCOLA],tbNucleo[COD ESCOLA],"")</f>
        <v/>
      </c>
      <c r="B4236" t="str" cm="1">
        <f t="array" ref="B4236">IFERROR(INDEX(tbNucleo[ESCOLA],ROUNDUP(ROW(B4235)/TotalEtapas,0)),"")</f>
        <v/>
      </c>
      <c r="E4236" t="str">
        <f>IFERROR(VLOOKUP(tbEscolas[[#This Row],[COD ETPA]],tbEtapas[],2,FALSE),"")</f>
        <v/>
      </c>
      <c r="F4236" t="str">
        <f>IFERROR(VLOOKUP(tbEscolas[[#This Row],[COD ETPA]],tbEtapas[],3,FALSE),"")</f>
        <v/>
      </c>
    </row>
    <row r="4237" spans="1:6" x14ac:dyDescent="0.25">
      <c r="A4237" s="24" t="str">
        <f>_xlfn.XLOOKUP(tbEscolas[[#This Row],[ESCOLA]],tbNucleo[ESCOLA],tbNucleo[COD ESCOLA],"")</f>
        <v/>
      </c>
      <c r="B4237" t="str" cm="1">
        <f t="array" ref="B4237">IFERROR(INDEX(tbNucleo[ESCOLA],ROUNDUP(ROW(B4236)/TotalEtapas,0)),"")</f>
        <v/>
      </c>
      <c r="E4237" t="str">
        <f>IFERROR(VLOOKUP(tbEscolas[[#This Row],[COD ETPA]],tbEtapas[],2,FALSE),"")</f>
        <v/>
      </c>
      <c r="F4237" t="str">
        <f>IFERROR(VLOOKUP(tbEscolas[[#This Row],[COD ETPA]],tbEtapas[],3,FALSE),"")</f>
        <v/>
      </c>
    </row>
    <row r="4238" spans="1:6" x14ac:dyDescent="0.25">
      <c r="A4238" s="24" t="str">
        <f>_xlfn.XLOOKUP(tbEscolas[[#This Row],[ESCOLA]],tbNucleo[ESCOLA],tbNucleo[COD ESCOLA],"")</f>
        <v/>
      </c>
      <c r="B4238" t="str" cm="1">
        <f t="array" ref="B4238">IFERROR(INDEX(tbNucleo[ESCOLA],ROUNDUP(ROW(B4237)/TotalEtapas,0)),"")</f>
        <v/>
      </c>
      <c r="E4238" t="str">
        <f>IFERROR(VLOOKUP(tbEscolas[[#This Row],[COD ETPA]],tbEtapas[],2,FALSE),"")</f>
        <v/>
      </c>
      <c r="F4238" t="str">
        <f>IFERROR(VLOOKUP(tbEscolas[[#This Row],[COD ETPA]],tbEtapas[],3,FALSE),"")</f>
        <v/>
      </c>
    </row>
    <row r="4239" spans="1:6" x14ac:dyDescent="0.25">
      <c r="A4239" s="24" t="str">
        <f>_xlfn.XLOOKUP(tbEscolas[[#This Row],[ESCOLA]],tbNucleo[ESCOLA],tbNucleo[COD ESCOLA],"")</f>
        <v/>
      </c>
      <c r="B4239" t="str" cm="1">
        <f t="array" ref="B4239">IFERROR(INDEX(tbNucleo[ESCOLA],ROUNDUP(ROW(B4238)/TotalEtapas,0)),"")</f>
        <v/>
      </c>
      <c r="E4239" t="str">
        <f>IFERROR(VLOOKUP(tbEscolas[[#This Row],[COD ETPA]],tbEtapas[],2,FALSE),"")</f>
        <v/>
      </c>
      <c r="F4239" t="str">
        <f>IFERROR(VLOOKUP(tbEscolas[[#This Row],[COD ETPA]],tbEtapas[],3,FALSE),"")</f>
        <v/>
      </c>
    </row>
    <row r="4240" spans="1:6" x14ac:dyDescent="0.25">
      <c r="A4240" s="24" t="str">
        <f>_xlfn.XLOOKUP(tbEscolas[[#This Row],[ESCOLA]],tbNucleo[ESCOLA],tbNucleo[COD ESCOLA],"")</f>
        <v/>
      </c>
      <c r="B4240" t="str" cm="1">
        <f t="array" ref="B4240">IFERROR(INDEX(tbNucleo[ESCOLA],ROUNDUP(ROW(B4239)/TotalEtapas,0)),"")</f>
        <v/>
      </c>
      <c r="E4240" t="str">
        <f>IFERROR(VLOOKUP(tbEscolas[[#This Row],[COD ETPA]],tbEtapas[],2,FALSE),"")</f>
        <v/>
      </c>
      <c r="F4240" t="str">
        <f>IFERROR(VLOOKUP(tbEscolas[[#This Row],[COD ETPA]],tbEtapas[],3,FALSE),"")</f>
        <v/>
      </c>
    </row>
    <row r="4241" spans="1:6" x14ac:dyDescent="0.25">
      <c r="A4241" s="24" t="str">
        <f>_xlfn.XLOOKUP(tbEscolas[[#This Row],[ESCOLA]],tbNucleo[ESCOLA],tbNucleo[COD ESCOLA],"")</f>
        <v/>
      </c>
      <c r="B4241" t="str" cm="1">
        <f t="array" ref="B4241">IFERROR(INDEX(tbNucleo[ESCOLA],ROUNDUP(ROW(B4240)/TotalEtapas,0)),"")</f>
        <v/>
      </c>
      <c r="E4241" t="str">
        <f>IFERROR(VLOOKUP(tbEscolas[[#This Row],[COD ETPA]],tbEtapas[],2,FALSE),"")</f>
        <v/>
      </c>
      <c r="F4241" t="str">
        <f>IFERROR(VLOOKUP(tbEscolas[[#This Row],[COD ETPA]],tbEtapas[],3,FALSE),"")</f>
        <v/>
      </c>
    </row>
    <row r="4242" spans="1:6" x14ac:dyDescent="0.25">
      <c r="A4242" s="24" t="str">
        <f>_xlfn.XLOOKUP(tbEscolas[[#This Row],[ESCOLA]],tbNucleo[ESCOLA],tbNucleo[COD ESCOLA],"")</f>
        <v/>
      </c>
      <c r="B4242" t="str" cm="1">
        <f t="array" ref="B4242">IFERROR(INDEX(tbNucleo[ESCOLA],ROUNDUP(ROW(B4241)/TotalEtapas,0)),"")</f>
        <v/>
      </c>
      <c r="E4242" t="str">
        <f>IFERROR(VLOOKUP(tbEscolas[[#This Row],[COD ETPA]],tbEtapas[],2,FALSE),"")</f>
        <v/>
      </c>
      <c r="F4242" t="str">
        <f>IFERROR(VLOOKUP(tbEscolas[[#This Row],[COD ETPA]],tbEtapas[],3,FALSE),"")</f>
        <v/>
      </c>
    </row>
    <row r="4243" spans="1:6" x14ac:dyDescent="0.25">
      <c r="A4243" s="24" t="str">
        <f>_xlfn.XLOOKUP(tbEscolas[[#This Row],[ESCOLA]],tbNucleo[ESCOLA],tbNucleo[COD ESCOLA],"")</f>
        <v/>
      </c>
      <c r="B4243" t="str" cm="1">
        <f t="array" ref="B4243">IFERROR(INDEX(tbNucleo[ESCOLA],ROUNDUP(ROW(B4242)/TotalEtapas,0)),"")</f>
        <v/>
      </c>
      <c r="E4243" t="str">
        <f>IFERROR(VLOOKUP(tbEscolas[[#This Row],[COD ETPA]],tbEtapas[],2,FALSE),"")</f>
        <v/>
      </c>
      <c r="F4243" t="str">
        <f>IFERROR(VLOOKUP(tbEscolas[[#This Row],[COD ETPA]],tbEtapas[],3,FALSE),"")</f>
        <v/>
      </c>
    </row>
    <row r="4244" spans="1:6" x14ac:dyDescent="0.25">
      <c r="A4244" s="24" t="str">
        <f>_xlfn.XLOOKUP(tbEscolas[[#This Row],[ESCOLA]],tbNucleo[ESCOLA],tbNucleo[COD ESCOLA],"")</f>
        <v/>
      </c>
      <c r="B4244" t="str" cm="1">
        <f t="array" ref="B4244">IFERROR(INDEX(tbNucleo[ESCOLA],ROUNDUP(ROW(B4243)/TotalEtapas,0)),"")</f>
        <v/>
      </c>
      <c r="E4244" t="str">
        <f>IFERROR(VLOOKUP(tbEscolas[[#This Row],[COD ETPA]],tbEtapas[],2,FALSE),"")</f>
        <v/>
      </c>
      <c r="F4244" t="str">
        <f>IFERROR(VLOOKUP(tbEscolas[[#This Row],[COD ETPA]],tbEtapas[],3,FALSE),"")</f>
        <v/>
      </c>
    </row>
    <row r="4245" spans="1:6" x14ac:dyDescent="0.25">
      <c r="A4245" s="24" t="str">
        <f>_xlfn.XLOOKUP(tbEscolas[[#This Row],[ESCOLA]],tbNucleo[ESCOLA],tbNucleo[COD ESCOLA],"")</f>
        <v/>
      </c>
      <c r="B4245" t="str" cm="1">
        <f t="array" ref="B4245">IFERROR(INDEX(tbNucleo[ESCOLA],ROUNDUP(ROW(B4244)/TotalEtapas,0)),"")</f>
        <v/>
      </c>
      <c r="E4245" t="str">
        <f>IFERROR(VLOOKUP(tbEscolas[[#This Row],[COD ETPA]],tbEtapas[],2,FALSE),"")</f>
        <v/>
      </c>
      <c r="F4245" t="str">
        <f>IFERROR(VLOOKUP(tbEscolas[[#This Row],[COD ETPA]],tbEtapas[],3,FALSE),"")</f>
        <v/>
      </c>
    </row>
    <row r="4246" spans="1:6" x14ac:dyDescent="0.25">
      <c r="A4246" s="24" t="str">
        <f>_xlfn.XLOOKUP(tbEscolas[[#This Row],[ESCOLA]],tbNucleo[ESCOLA],tbNucleo[COD ESCOLA],"")</f>
        <v/>
      </c>
      <c r="B4246" t="str" cm="1">
        <f t="array" ref="B4246">IFERROR(INDEX(tbNucleo[ESCOLA],ROUNDUP(ROW(B4245)/TotalEtapas,0)),"")</f>
        <v/>
      </c>
      <c r="E4246" t="str">
        <f>IFERROR(VLOOKUP(tbEscolas[[#This Row],[COD ETPA]],tbEtapas[],2,FALSE),"")</f>
        <v/>
      </c>
      <c r="F4246" t="str">
        <f>IFERROR(VLOOKUP(tbEscolas[[#This Row],[COD ETPA]],tbEtapas[],3,FALSE),"")</f>
        <v/>
      </c>
    </row>
    <row r="4247" spans="1:6" x14ac:dyDescent="0.25">
      <c r="A4247" s="24" t="str">
        <f>_xlfn.XLOOKUP(tbEscolas[[#This Row],[ESCOLA]],tbNucleo[ESCOLA],tbNucleo[COD ESCOLA],"")</f>
        <v/>
      </c>
      <c r="B4247" t="str" cm="1">
        <f t="array" ref="B4247">IFERROR(INDEX(tbNucleo[ESCOLA],ROUNDUP(ROW(B4246)/TotalEtapas,0)),"")</f>
        <v/>
      </c>
      <c r="E4247" t="str">
        <f>IFERROR(VLOOKUP(tbEscolas[[#This Row],[COD ETPA]],tbEtapas[],2,FALSE),"")</f>
        <v/>
      </c>
      <c r="F4247" t="str">
        <f>IFERROR(VLOOKUP(tbEscolas[[#This Row],[COD ETPA]],tbEtapas[],3,FALSE),"")</f>
        <v/>
      </c>
    </row>
    <row r="4248" spans="1:6" x14ac:dyDescent="0.25">
      <c r="A4248" s="24" t="str">
        <f>_xlfn.XLOOKUP(tbEscolas[[#This Row],[ESCOLA]],tbNucleo[ESCOLA],tbNucleo[COD ESCOLA],"")</f>
        <v/>
      </c>
      <c r="B4248" t="str" cm="1">
        <f t="array" ref="B4248">IFERROR(INDEX(tbNucleo[ESCOLA],ROUNDUP(ROW(B4247)/TotalEtapas,0)),"")</f>
        <v/>
      </c>
      <c r="E4248" t="str">
        <f>IFERROR(VLOOKUP(tbEscolas[[#This Row],[COD ETPA]],tbEtapas[],2,FALSE),"")</f>
        <v/>
      </c>
      <c r="F4248" t="str">
        <f>IFERROR(VLOOKUP(tbEscolas[[#This Row],[COD ETPA]],tbEtapas[],3,FALSE),"")</f>
        <v/>
      </c>
    </row>
    <row r="4249" spans="1:6" x14ac:dyDescent="0.25">
      <c r="A4249" s="24" t="str">
        <f>_xlfn.XLOOKUP(tbEscolas[[#This Row],[ESCOLA]],tbNucleo[ESCOLA],tbNucleo[COD ESCOLA],"")</f>
        <v/>
      </c>
      <c r="B4249" t="str" cm="1">
        <f t="array" ref="B4249">IFERROR(INDEX(tbNucleo[ESCOLA],ROUNDUP(ROW(B4248)/TotalEtapas,0)),"")</f>
        <v/>
      </c>
      <c r="E4249" t="str">
        <f>IFERROR(VLOOKUP(tbEscolas[[#This Row],[COD ETPA]],tbEtapas[],2,FALSE),"")</f>
        <v/>
      </c>
      <c r="F4249" t="str">
        <f>IFERROR(VLOOKUP(tbEscolas[[#This Row],[COD ETPA]],tbEtapas[],3,FALSE),"")</f>
        <v/>
      </c>
    </row>
    <row r="4250" spans="1:6" x14ac:dyDescent="0.25">
      <c r="A4250" s="24" t="str">
        <f>_xlfn.XLOOKUP(tbEscolas[[#This Row],[ESCOLA]],tbNucleo[ESCOLA],tbNucleo[COD ESCOLA],"")</f>
        <v/>
      </c>
      <c r="B4250" t="str" cm="1">
        <f t="array" ref="B4250">IFERROR(INDEX(tbNucleo[ESCOLA],ROUNDUP(ROW(B4249)/TotalEtapas,0)),"")</f>
        <v/>
      </c>
      <c r="E4250" t="str">
        <f>IFERROR(VLOOKUP(tbEscolas[[#This Row],[COD ETPA]],tbEtapas[],2,FALSE),"")</f>
        <v/>
      </c>
      <c r="F4250" t="str">
        <f>IFERROR(VLOOKUP(tbEscolas[[#This Row],[COD ETPA]],tbEtapas[],3,FALSE),"")</f>
        <v/>
      </c>
    </row>
    <row r="4251" spans="1:6" x14ac:dyDescent="0.25">
      <c r="A4251" s="24" t="str">
        <f>_xlfn.XLOOKUP(tbEscolas[[#This Row],[ESCOLA]],tbNucleo[ESCOLA],tbNucleo[COD ESCOLA],"")</f>
        <v/>
      </c>
      <c r="B4251" t="str" cm="1">
        <f t="array" ref="B4251">IFERROR(INDEX(tbNucleo[ESCOLA],ROUNDUP(ROW(B4250)/TotalEtapas,0)),"")</f>
        <v/>
      </c>
      <c r="E4251" t="str">
        <f>IFERROR(VLOOKUP(tbEscolas[[#This Row],[COD ETPA]],tbEtapas[],2,FALSE),"")</f>
        <v/>
      </c>
      <c r="F4251" t="str">
        <f>IFERROR(VLOOKUP(tbEscolas[[#This Row],[COD ETPA]],tbEtapas[],3,FALSE),"")</f>
        <v/>
      </c>
    </row>
    <row r="4252" spans="1:6" x14ac:dyDescent="0.25">
      <c r="A4252" s="24" t="str">
        <f>_xlfn.XLOOKUP(tbEscolas[[#This Row],[ESCOLA]],tbNucleo[ESCOLA],tbNucleo[COD ESCOLA],"")</f>
        <v/>
      </c>
      <c r="B4252" t="str" cm="1">
        <f t="array" ref="B4252">IFERROR(INDEX(tbNucleo[ESCOLA],ROUNDUP(ROW(B4251)/TotalEtapas,0)),"")</f>
        <v/>
      </c>
      <c r="E4252" t="str">
        <f>IFERROR(VLOOKUP(tbEscolas[[#This Row],[COD ETPA]],tbEtapas[],2,FALSE),"")</f>
        <v/>
      </c>
      <c r="F4252" t="str">
        <f>IFERROR(VLOOKUP(tbEscolas[[#This Row],[COD ETPA]],tbEtapas[],3,FALSE),"")</f>
        <v/>
      </c>
    </row>
    <row r="4253" spans="1:6" x14ac:dyDescent="0.25">
      <c r="A4253" s="24" t="str">
        <f>_xlfn.XLOOKUP(tbEscolas[[#This Row],[ESCOLA]],tbNucleo[ESCOLA],tbNucleo[COD ESCOLA],"")</f>
        <v/>
      </c>
      <c r="B4253" t="str" cm="1">
        <f t="array" ref="B4253">IFERROR(INDEX(tbNucleo[ESCOLA],ROUNDUP(ROW(B4252)/TotalEtapas,0)),"")</f>
        <v/>
      </c>
      <c r="E4253" t="str">
        <f>IFERROR(VLOOKUP(tbEscolas[[#This Row],[COD ETPA]],tbEtapas[],2,FALSE),"")</f>
        <v/>
      </c>
      <c r="F4253" t="str">
        <f>IFERROR(VLOOKUP(tbEscolas[[#This Row],[COD ETPA]],tbEtapas[],3,FALSE),"")</f>
        <v/>
      </c>
    </row>
    <row r="4254" spans="1:6" x14ac:dyDescent="0.25">
      <c r="A4254" s="24" t="str">
        <f>_xlfn.XLOOKUP(tbEscolas[[#This Row],[ESCOLA]],tbNucleo[ESCOLA],tbNucleo[COD ESCOLA],"")</f>
        <v/>
      </c>
      <c r="B4254" t="str" cm="1">
        <f t="array" ref="B4254">IFERROR(INDEX(tbNucleo[ESCOLA],ROUNDUP(ROW(B4253)/TotalEtapas,0)),"")</f>
        <v/>
      </c>
      <c r="E4254" t="str">
        <f>IFERROR(VLOOKUP(tbEscolas[[#This Row],[COD ETPA]],tbEtapas[],2,FALSE),"")</f>
        <v/>
      </c>
      <c r="F4254" t="str">
        <f>IFERROR(VLOOKUP(tbEscolas[[#This Row],[COD ETPA]],tbEtapas[],3,FALSE),"")</f>
        <v/>
      </c>
    </row>
    <row r="4255" spans="1:6" x14ac:dyDescent="0.25">
      <c r="A4255" s="24" t="str">
        <f>_xlfn.XLOOKUP(tbEscolas[[#This Row],[ESCOLA]],tbNucleo[ESCOLA],tbNucleo[COD ESCOLA],"")</f>
        <v/>
      </c>
      <c r="B4255" t="str" cm="1">
        <f t="array" ref="B4255">IFERROR(INDEX(tbNucleo[ESCOLA],ROUNDUP(ROW(B4254)/TotalEtapas,0)),"")</f>
        <v/>
      </c>
      <c r="E4255" t="str">
        <f>IFERROR(VLOOKUP(tbEscolas[[#This Row],[COD ETPA]],tbEtapas[],2,FALSE),"")</f>
        <v/>
      </c>
      <c r="F4255" t="str">
        <f>IFERROR(VLOOKUP(tbEscolas[[#This Row],[COD ETPA]],tbEtapas[],3,FALSE),"")</f>
        <v/>
      </c>
    </row>
    <row r="4256" spans="1:6" x14ac:dyDescent="0.25">
      <c r="A4256" s="24" t="str">
        <f>_xlfn.XLOOKUP(tbEscolas[[#This Row],[ESCOLA]],tbNucleo[ESCOLA],tbNucleo[COD ESCOLA],"")</f>
        <v/>
      </c>
      <c r="B4256" t="str" cm="1">
        <f t="array" ref="B4256">IFERROR(INDEX(tbNucleo[ESCOLA],ROUNDUP(ROW(B4255)/TotalEtapas,0)),"")</f>
        <v/>
      </c>
      <c r="E4256" t="str">
        <f>IFERROR(VLOOKUP(tbEscolas[[#This Row],[COD ETPA]],tbEtapas[],2,FALSE),"")</f>
        <v/>
      </c>
      <c r="F4256" t="str">
        <f>IFERROR(VLOOKUP(tbEscolas[[#This Row],[COD ETPA]],tbEtapas[],3,FALSE),"")</f>
        <v/>
      </c>
    </row>
    <row r="4257" spans="1:6" x14ac:dyDescent="0.25">
      <c r="A4257" s="24" t="str">
        <f>_xlfn.XLOOKUP(tbEscolas[[#This Row],[ESCOLA]],tbNucleo[ESCOLA],tbNucleo[COD ESCOLA],"")</f>
        <v/>
      </c>
      <c r="B4257" t="str" cm="1">
        <f t="array" ref="B4257">IFERROR(INDEX(tbNucleo[ESCOLA],ROUNDUP(ROW(B4256)/TotalEtapas,0)),"")</f>
        <v/>
      </c>
      <c r="E4257" t="str">
        <f>IFERROR(VLOOKUP(tbEscolas[[#This Row],[COD ETPA]],tbEtapas[],2,FALSE),"")</f>
        <v/>
      </c>
      <c r="F4257" t="str">
        <f>IFERROR(VLOOKUP(tbEscolas[[#This Row],[COD ETPA]],tbEtapas[],3,FALSE),"")</f>
        <v/>
      </c>
    </row>
    <row r="4258" spans="1:6" x14ac:dyDescent="0.25">
      <c r="A4258" s="24" t="str">
        <f>_xlfn.XLOOKUP(tbEscolas[[#This Row],[ESCOLA]],tbNucleo[ESCOLA],tbNucleo[COD ESCOLA],"")</f>
        <v/>
      </c>
      <c r="B4258" t="str" cm="1">
        <f t="array" ref="B4258">IFERROR(INDEX(tbNucleo[ESCOLA],ROUNDUP(ROW(B4257)/TotalEtapas,0)),"")</f>
        <v/>
      </c>
      <c r="E4258" t="str">
        <f>IFERROR(VLOOKUP(tbEscolas[[#This Row],[COD ETPA]],tbEtapas[],2,FALSE),"")</f>
        <v/>
      </c>
      <c r="F4258" t="str">
        <f>IFERROR(VLOOKUP(tbEscolas[[#This Row],[COD ETPA]],tbEtapas[],3,FALSE),"")</f>
        <v/>
      </c>
    </row>
    <row r="4259" spans="1:6" x14ac:dyDescent="0.25">
      <c r="A4259" s="24" t="str">
        <f>_xlfn.XLOOKUP(tbEscolas[[#This Row],[ESCOLA]],tbNucleo[ESCOLA],tbNucleo[COD ESCOLA],"")</f>
        <v/>
      </c>
      <c r="B4259" t="str" cm="1">
        <f t="array" ref="B4259">IFERROR(INDEX(tbNucleo[ESCOLA],ROUNDUP(ROW(B4258)/TotalEtapas,0)),"")</f>
        <v/>
      </c>
      <c r="E4259" t="str">
        <f>IFERROR(VLOOKUP(tbEscolas[[#This Row],[COD ETPA]],tbEtapas[],2,FALSE),"")</f>
        <v/>
      </c>
      <c r="F4259" t="str">
        <f>IFERROR(VLOOKUP(tbEscolas[[#This Row],[COD ETPA]],tbEtapas[],3,FALSE),"")</f>
        <v/>
      </c>
    </row>
    <row r="4260" spans="1:6" x14ac:dyDescent="0.25">
      <c r="A4260" s="24" t="str">
        <f>_xlfn.XLOOKUP(tbEscolas[[#This Row],[ESCOLA]],tbNucleo[ESCOLA],tbNucleo[COD ESCOLA],"")</f>
        <v/>
      </c>
      <c r="B4260" t="str" cm="1">
        <f t="array" ref="B4260">IFERROR(INDEX(tbNucleo[ESCOLA],ROUNDUP(ROW(B4259)/TotalEtapas,0)),"")</f>
        <v/>
      </c>
      <c r="E4260" t="str">
        <f>IFERROR(VLOOKUP(tbEscolas[[#This Row],[COD ETPA]],tbEtapas[],2,FALSE),"")</f>
        <v/>
      </c>
      <c r="F4260" t="str">
        <f>IFERROR(VLOOKUP(tbEscolas[[#This Row],[COD ETPA]],tbEtapas[],3,FALSE),"")</f>
        <v/>
      </c>
    </row>
    <row r="4261" spans="1:6" x14ac:dyDescent="0.25">
      <c r="A4261" s="24" t="str">
        <f>_xlfn.XLOOKUP(tbEscolas[[#This Row],[ESCOLA]],tbNucleo[ESCOLA],tbNucleo[COD ESCOLA],"")</f>
        <v/>
      </c>
      <c r="B4261" t="str" cm="1">
        <f t="array" ref="B4261">IFERROR(INDEX(tbNucleo[ESCOLA],ROUNDUP(ROW(B4260)/TotalEtapas,0)),"")</f>
        <v/>
      </c>
      <c r="E4261" t="str">
        <f>IFERROR(VLOOKUP(tbEscolas[[#This Row],[COD ETPA]],tbEtapas[],2,FALSE),"")</f>
        <v/>
      </c>
      <c r="F4261" t="str">
        <f>IFERROR(VLOOKUP(tbEscolas[[#This Row],[COD ETPA]],tbEtapas[],3,FALSE),"")</f>
        <v/>
      </c>
    </row>
    <row r="4262" spans="1:6" x14ac:dyDescent="0.25">
      <c r="A4262" s="24" t="str">
        <f>_xlfn.XLOOKUP(tbEscolas[[#This Row],[ESCOLA]],tbNucleo[ESCOLA],tbNucleo[COD ESCOLA],"")</f>
        <v/>
      </c>
      <c r="B4262" t="str" cm="1">
        <f t="array" ref="B4262">IFERROR(INDEX(tbNucleo[ESCOLA],ROUNDUP(ROW(B4261)/TotalEtapas,0)),"")</f>
        <v/>
      </c>
      <c r="E4262" t="str">
        <f>IFERROR(VLOOKUP(tbEscolas[[#This Row],[COD ETPA]],tbEtapas[],2,FALSE),"")</f>
        <v/>
      </c>
      <c r="F4262" t="str">
        <f>IFERROR(VLOOKUP(tbEscolas[[#This Row],[COD ETPA]],tbEtapas[],3,FALSE),"")</f>
        <v/>
      </c>
    </row>
    <row r="4263" spans="1:6" x14ac:dyDescent="0.25">
      <c r="A4263" s="24" t="str">
        <f>_xlfn.XLOOKUP(tbEscolas[[#This Row],[ESCOLA]],tbNucleo[ESCOLA],tbNucleo[COD ESCOLA],"")</f>
        <v/>
      </c>
      <c r="B4263" t="str" cm="1">
        <f t="array" ref="B4263">IFERROR(INDEX(tbNucleo[ESCOLA],ROUNDUP(ROW(B4262)/TotalEtapas,0)),"")</f>
        <v/>
      </c>
      <c r="E4263" t="str">
        <f>IFERROR(VLOOKUP(tbEscolas[[#This Row],[COD ETPA]],tbEtapas[],2,FALSE),"")</f>
        <v/>
      </c>
      <c r="F4263" t="str">
        <f>IFERROR(VLOOKUP(tbEscolas[[#This Row],[COD ETPA]],tbEtapas[],3,FALSE),"")</f>
        <v/>
      </c>
    </row>
    <row r="4264" spans="1:6" x14ac:dyDescent="0.25">
      <c r="A4264" s="24" t="str">
        <f>_xlfn.XLOOKUP(tbEscolas[[#This Row],[ESCOLA]],tbNucleo[ESCOLA],tbNucleo[COD ESCOLA],"")</f>
        <v/>
      </c>
      <c r="B4264" t="str" cm="1">
        <f t="array" ref="B4264">IFERROR(INDEX(tbNucleo[ESCOLA],ROUNDUP(ROW(B4263)/TotalEtapas,0)),"")</f>
        <v/>
      </c>
      <c r="E4264" t="str">
        <f>IFERROR(VLOOKUP(tbEscolas[[#This Row],[COD ETPA]],tbEtapas[],2,FALSE),"")</f>
        <v/>
      </c>
      <c r="F4264" t="str">
        <f>IFERROR(VLOOKUP(tbEscolas[[#This Row],[COD ETPA]],tbEtapas[],3,FALSE),"")</f>
        <v/>
      </c>
    </row>
    <row r="4265" spans="1:6" x14ac:dyDescent="0.25">
      <c r="A4265" s="24" t="str">
        <f>_xlfn.XLOOKUP(tbEscolas[[#This Row],[ESCOLA]],tbNucleo[ESCOLA],tbNucleo[COD ESCOLA],"")</f>
        <v/>
      </c>
      <c r="B4265" t="str" cm="1">
        <f t="array" ref="B4265">IFERROR(INDEX(tbNucleo[ESCOLA],ROUNDUP(ROW(B4264)/TotalEtapas,0)),"")</f>
        <v/>
      </c>
      <c r="E4265" t="str">
        <f>IFERROR(VLOOKUP(tbEscolas[[#This Row],[COD ETPA]],tbEtapas[],2,FALSE),"")</f>
        <v/>
      </c>
      <c r="F4265" t="str">
        <f>IFERROR(VLOOKUP(tbEscolas[[#This Row],[COD ETPA]],tbEtapas[],3,FALSE),"")</f>
        <v/>
      </c>
    </row>
    <row r="4266" spans="1:6" x14ac:dyDescent="0.25">
      <c r="A4266" s="24" t="str">
        <f>_xlfn.XLOOKUP(tbEscolas[[#This Row],[ESCOLA]],tbNucleo[ESCOLA],tbNucleo[COD ESCOLA],"")</f>
        <v/>
      </c>
      <c r="B4266" t="str" cm="1">
        <f t="array" ref="B4266">IFERROR(INDEX(tbNucleo[ESCOLA],ROUNDUP(ROW(B4265)/TotalEtapas,0)),"")</f>
        <v/>
      </c>
      <c r="E4266" t="str">
        <f>IFERROR(VLOOKUP(tbEscolas[[#This Row],[COD ETPA]],tbEtapas[],2,FALSE),"")</f>
        <v/>
      </c>
      <c r="F4266" t="str">
        <f>IFERROR(VLOOKUP(tbEscolas[[#This Row],[COD ETPA]],tbEtapas[],3,FALSE),"")</f>
        <v/>
      </c>
    </row>
    <row r="4267" spans="1:6" x14ac:dyDescent="0.25">
      <c r="A4267" s="24" t="str">
        <f>_xlfn.XLOOKUP(tbEscolas[[#This Row],[ESCOLA]],tbNucleo[ESCOLA],tbNucleo[COD ESCOLA],"")</f>
        <v/>
      </c>
      <c r="B4267" t="str" cm="1">
        <f t="array" ref="B4267">IFERROR(INDEX(tbNucleo[ESCOLA],ROUNDUP(ROW(B4266)/TotalEtapas,0)),"")</f>
        <v/>
      </c>
      <c r="E4267" t="str">
        <f>IFERROR(VLOOKUP(tbEscolas[[#This Row],[COD ETPA]],tbEtapas[],2,FALSE),"")</f>
        <v/>
      </c>
      <c r="F4267" t="str">
        <f>IFERROR(VLOOKUP(tbEscolas[[#This Row],[COD ETPA]],tbEtapas[],3,FALSE),"")</f>
        <v/>
      </c>
    </row>
    <row r="4268" spans="1:6" x14ac:dyDescent="0.25">
      <c r="A4268" s="24" t="str">
        <f>_xlfn.XLOOKUP(tbEscolas[[#This Row],[ESCOLA]],tbNucleo[ESCOLA],tbNucleo[COD ESCOLA],"")</f>
        <v/>
      </c>
      <c r="B4268" t="str" cm="1">
        <f t="array" ref="B4268">IFERROR(INDEX(tbNucleo[ESCOLA],ROUNDUP(ROW(B4267)/TotalEtapas,0)),"")</f>
        <v/>
      </c>
      <c r="E4268" t="str">
        <f>IFERROR(VLOOKUP(tbEscolas[[#This Row],[COD ETPA]],tbEtapas[],2,FALSE),"")</f>
        <v/>
      </c>
      <c r="F4268" t="str">
        <f>IFERROR(VLOOKUP(tbEscolas[[#This Row],[COD ETPA]],tbEtapas[],3,FALSE),"")</f>
        <v/>
      </c>
    </row>
    <row r="4269" spans="1:6" x14ac:dyDescent="0.25">
      <c r="A4269" s="24" t="str">
        <f>_xlfn.XLOOKUP(tbEscolas[[#This Row],[ESCOLA]],tbNucleo[ESCOLA],tbNucleo[COD ESCOLA],"")</f>
        <v/>
      </c>
      <c r="B4269" t="str" cm="1">
        <f t="array" ref="B4269">IFERROR(INDEX(tbNucleo[ESCOLA],ROUNDUP(ROW(B4268)/TotalEtapas,0)),"")</f>
        <v/>
      </c>
      <c r="E4269" t="str">
        <f>IFERROR(VLOOKUP(tbEscolas[[#This Row],[COD ETPA]],tbEtapas[],2,FALSE),"")</f>
        <v/>
      </c>
      <c r="F4269" t="str">
        <f>IFERROR(VLOOKUP(tbEscolas[[#This Row],[COD ETPA]],tbEtapas[],3,FALSE),"")</f>
        <v/>
      </c>
    </row>
    <row r="4270" spans="1:6" x14ac:dyDescent="0.25">
      <c r="A4270" s="24" t="str">
        <f>_xlfn.XLOOKUP(tbEscolas[[#This Row],[ESCOLA]],tbNucleo[ESCOLA],tbNucleo[COD ESCOLA],"")</f>
        <v/>
      </c>
      <c r="B4270" t="str" cm="1">
        <f t="array" ref="B4270">IFERROR(INDEX(tbNucleo[ESCOLA],ROUNDUP(ROW(B4269)/TotalEtapas,0)),"")</f>
        <v/>
      </c>
      <c r="E4270" t="str">
        <f>IFERROR(VLOOKUP(tbEscolas[[#This Row],[COD ETPA]],tbEtapas[],2,FALSE),"")</f>
        <v/>
      </c>
      <c r="F4270" t="str">
        <f>IFERROR(VLOOKUP(tbEscolas[[#This Row],[COD ETPA]],tbEtapas[],3,FALSE),"")</f>
        <v/>
      </c>
    </row>
    <row r="4271" spans="1:6" x14ac:dyDescent="0.25">
      <c r="A4271" s="24" t="str">
        <f>_xlfn.XLOOKUP(tbEscolas[[#This Row],[ESCOLA]],tbNucleo[ESCOLA],tbNucleo[COD ESCOLA],"")</f>
        <v/>
      </c>
      <c r="B4271" t="str" cm="1">
        <f t="array" ref="B4271">IFERROR(INDEX(tbNucleo[ESCOLA],ROUNDUP(ROW(B4270)/TotalEtapas,0)),"")</f>
        <v/>
      </c>
      <c r="E4271" t="str">
        <f>IFERROR(VLOOKUP(tbEscolas[[#This Row],[COD ETPA]],tbEtapas[],2,FALSE),"")</f>
        <v/>
      </c>
      <c r="F4271" t="str">
        <f>IFERROR(VLOOKUP(tbEscolas[[#This Row],[COD ETPA]],tbEtapas[],3,FALSE),"")</f>
        <v/>
      </c>
    </row>
    <row r="4272" spans="1:6" x14ac:dyDescent="0.25">
      <c r="A4272" s="24" t="str">
        <f>_xlfn.XLOOKUP(tbEscolas[[#This Row],[ESCOLA]],tbNucleo[ESCOLA],tbNucleo[COD ESCOLA],"")</f>
        <v/>
      </c>
      <c r="B4272" t="str" cm="1">
        <f t="array" ref="B4272">IFERROR(INDEX(tbNucleo[ESCOLA],ROUNDUP(ROW(B4271)/TotalEtapas,0)),"")</f>
        <v/>
      </c>
      <c r="E4272" t="str">
        <f>IFERROR(VLOOKUP(tbEscolas[[#This Row],[COD ETPA]],tbEtapas[],2,FALSE),"")</f>
        <v/>
      </c>
      <c r="F4272" t="str">
        <f>IFERROR(VLOOKUP(tbEscolas[[#This Row],[COD ETPA]],tbEtapas[],3,FALSE),"")</f>
        <v/>
      </c>
    </row>
    <row r="4273" spans="1:6" x14ac:dyDescent="0.25">
      <c r="A4273" s="24" t="str">
        <f>_xlfn.XLOOKUP(tbEscolas[[#This Row],[ESCOLA]],tbNucleo[ESCOLA],tbNucleo[COD ESCOLA],"")</f>
        <v/>
      </c>
      <c r="B4273" t="str" cm="1">
        <f t="array" ref="B4273">IFERROR(INDEX(tbNucleo[ESCOLA],ROUNDUP(ROW(B4272)/TotalEtapas,0)),"")</f>
        <v/>
      </c>
      <c r="E4273" t="str">
        <f>IFERROR(VLOOKUP(tbEscolas[[#This Row],[COD ETPA]],tbEtapas[],2,FALSE),"")</f>
        <v/>
      </c>
      <c r="F4273" t="str">
        <f>IFERROR(VLOOKUP(tbEscolas[[#This Row],[COD ETPA]],tbEtapas[],3,FALSE),"")</f>
        <v/>
      </c>
    </row>
    <row r="4274" spans="1:6" x14ac:dyDescent="0.25">
      <c r="A4274" s="24" t="str">
        <f>_xlfn.XLOOKUP(tbEscolas[[#This Row],[ESCOLA]],tbNucleo[ESCOLA],tbNucleo[COD ESCOLA],"")</f>
        <v/>
      </c>
      <c r="B4274" t="str" cm="1">
        <f t="array" ref="B4274">IFERROR(INDEX(tbNucleo[ESCOLA],ROUNDUP(ROW(B4273)/TotalEtapas,0)),"")</f>
        <v/>
      </c>
      <c r="E4274" t="str">
        <f>IFERROR(VLOOKUP(tbEscolas[[#This Row],[COD ETPA]],tbEtapas[],2,FALSE),"")</f>
        <v/>
      </c>
      <c r="F4274" t="str">
        <f>IFERROR(VLOOKUP(tbEscolas[[#This Row],[COD ETPA]],tbEtapas[],3,FALSE),"")</f>
        <v/>
      </c>
    </row>
    <row r="4275" spans="1:6" x14ac:dyDescent="0.25">
      <c r="A4275" s="24" t="str">
        <f>_xlfn.XLOOKUP(tbEscolas[[#This Row],[ESCOLA]],tbNucleo[ESCOLA],tbNucleo[COD ESCOLA],"")</f>
        <v/>
      </c>
      <c r="B4275" t="str" cm="1">
        <f t="array" ref="B4275">IFERROR(INDEX(tbNucleo[ESCOLA],ROUNDUP(ROW(B4274)/TotalEtapas,0)),"")</f>
        <v/>
      </c>
      <c r="E4275" t="str">
        <f>IFERROR(VLOOKUP(tbEscolas[[#This Row],[COD ETPA]],tbEtapas[],2,FALSE),"")</f>
        <v/>
      </c>
      <c r="F4275" t="str">
        <f>IFERROR(VLOOKUP(tbEscolas[[#This Row],[COD ETPA]],tbEtapas[],3,FALSE),"")</f>
        <v/>
      </c>
    </row>
    <row r="4276" spans="1:6" x14ac:dyDescent="0.25">
      <c r="A4276" s="24" t="str">
        <f>_xlfn.XLOOKUP(tbEscolas[[#This Row],[ESCOLA]],tbNucleo[ESCOLA],tbNucleo[COD ESCOLA],"")</f>
        <v/>
      </c>
      <c r="B4276" t="str" cm="1">
        <f t="array" ref="B4276">IFERROR(INDEX(tbNucleo[ESCOLA],ROUNDUP(ROW(B4275)/TotalEtapas,0)),"")</f>
        <v/>
      </c>
      <c r="E4276" t="str">
        <f>IFERROR(VLOOKUP(tbEscolas[[#This Row],[COD ETPA]],tbEtapas[],2,FALSE),"")</f>
        <v/>
      </c>
      <c r="F4276" t="str">
        <f>IFERROR(VLOOKUP(tbEscolas[[#This Row],[COD ETPA]],tbEtapas[],3,FALSE),"")</f>
        <v/>
      </c>
    </row>
    <row r="4277" spans="1:6" x14ac:dyDescent="0.25">
      <c r="A4277" s="24" t="str">
        <f>_xlfn.XLOOKUP(tbEscolas[[#This Row],[ESCOLA]],tbNucleo[ESCOLA],tbNucleo[COD ESCOLA],"")</f>
        <v/>
      </c>
      <c r="B4277" t="str" cm="1">
        <f t="array" ref="B4277">IFERROR(INDEX(tbNucleo[ESCOLA],ROUNDUP(ROW(B4276)/TotalEtapas,0)),"")</f>
        <v/>
      </c>
      <c r="E4277" t="str">
        <f>IFERROR(VLOOKUP(tbEscolas[[#This Row],[COD ETPA]],tbEtapas[],2,FALSE),"")</f>
        <v/>
      </c>
      <c r="F4277" t="str">
        <f>IFERROR(VLOOKUP(tbEscolas[[#This Row],[COD ETPA]],tbEtapas[],3,FALSE),"")</f>
        <v/>
      </c>
    </row>
    <row r="4278" spans="1:6" x14ac:dyDescent="0.25">
      <c r="A4278" s="24" t="str">
        <f>_xlfn.XLOOKUP(tbEscolas[[#This Row],[ESCOLA]],tbNucleo[ESCOLA],tbNucleo[COD ESCOLA],"")</f>
        <v/>
      </c>
      <c r="B4278" t="str" cm="1">
        <f t="array" ref="B4278">IFERROR(INDEX(tbNucleo[ESCOLA],ROUNDUP(ROW(B4277)/TotalEtapas,0)),"")</f>
        <v/>
      </c>
      <c r="E4278" t="str">
        <f>IFERROR(VLOOKUP(tbEscolas[[#This Row],[COD ETPA]],tbEtapas[],2,FALSE),"")</f>
        <v/>
      </c>
      <c r="F4278" t="str">
        <f>IFERROR(VLOOKUP(tbEscolas[[#This Row],[COD ETPA]],tbEtapas[],3,FALSE),"")</f>
        <v/>
      </c>
    </row>
    <row r="4279" spans="1:6" x14ac:dyDescent="0.25">
      <c r="A4279" s="24" t="str">
        <f>_xlfn.XLOOKUP(tbEscolas[[#This Row],[ESCOLA]],tbNucleo[ESCOLA],tbNucleo[COD ESCOLA],"")</f>
        <v/>
      </c>
      <c r="B4279" t="str" cm="1">
        <f t="array" ref="B4279">IFERROR(INDEX(tbNucleo[ESCOLA],ROUNDUP(ROW(B4278)/TotalEtapas,0)),"")</f>
        <v/>
      </c>
      <c r="E4279" t="str">
        <f>IFERROR(VLOOKUP(tbEscolas[[#This Row],[COD ETPA]],tbEtapas[],2,FALSE),"")</f>
        <v/>
      </c>
      <c r="F4279" t="str">
        <f>IFERROR(VLOOKUP(tbEscolas[[#This Row],[COD ETPA]],tbEtapas[],3,FALSE),"")</f>
        <v/>
      </c>
    </row>
    <row r="4280" spans="1:6" x14ac:dyDescent="0.25">
      <c r="A4280" s="24" t="str">
        <f>_xlfn.XLOOKUP(tbEscolas[[#This Row],[ESCOLA]],tbNucleo[ESCOLA],tbNucleo[COD ESCOLA],"")</f>
        <v/>
      </c>
      <c r="B4280" t="str" cm="1">
        <f t="array" ref="B4280">IFERROR(INDEX(tbNucleo[ESCOLA],ROUNDUP(ROW(B4279)/TotalEtapas,0)),"")</f>
        <v/>
      </c>
      <c r="E4280" t="str">
        <f>IFERROR(VLOOKUP(tbEscolas[[#This Row],[COD ETPA]],tbEtapas[],2,FALSE),"")</f>
        <v/>
      </c>
      <c r="F4280" t="str">
        <f>IFERROR(VLOOKUP(tbEscolas[[#This Row],[COD ETPA]],tbEtapas[],3,FALSE),"")</f>
        <v/>
      </c>
    </row>
    <row r="4281" spans="1:6" x14ac:dyDescent="0.25">
      <c r="A4281" s="24" t="str">
        <f>_xlfn.XLOOKUP(tbEscolas[[#This Row],[ESCOLA]],tbNucleo[ESCOLA],tbNucleo[COD ESCOLA],"")</f>
        <v/>
      </c>
      <c r="B4281" t="str" cm="1">
        <f t="array" ref="B4281">IFERROR(INDEX(tbNucleo[ESCOLA],ROUNDUP(ROW(B4280)/TotalEtapas,0)),"")</f>
        <v/>
      </c>
      <c r="E4281" t="str">
        <f>IFERROR(VLOOKUP(tbEscolas[[#This Row],[COD ETPA]],tbEtapas[],2,FALSE),"")</f>
        <v/>
      </c>
      <c r="F4281" t="str">
        <f>IFERROR(VLOOKUP(tbEscolas[[#This Row],[COD ETPA]],tbEtapas[],3,FALSE),"")</f>
        <v/>
      </c>
    </row>
    <row r="4282" spans="1:6" x14ac:dyDescent="0.25">
      <c r="A4282" s="24" t="str">
        <f>_xlfn.XLOOKUP(tbEscolas[[#This Row],[ESCOLA]],tbNucleo[ESCOLA],tbNucleo[COD ESCOLA],"")</f>
        <v/>
      </c>
      <c r="B4282" t="str" cm="1">
        <f t="array" ref="B4282">IFERROR(INDEX(tbNucleo[ESCOLA],ROUNDUP(ROW(B4281)/TotalEtapas,0)),"")</f>
        <v/>
      </c>
      <c r="E4282" t="str">
        <f>IFERROR(VLOOKUP(tbEscolas[[#This Row],[COD ETPA]],tbEtapas[],2,FALSE),"")</f>
        <v/>
      </c>
      <c r="F4282" t="str">
        <f>IFERROR(VLOOKUP(tbEscolas[[#This Row],[COD ETPA]],tbEtapas[],3,FALSE),"")</f>
        <v/>
      </c>
    </row>
    <row r="4283" spans="1:6" x14ac:dyDescent="0.25">
      <c r="A4283" s="24" t="str">
        <f>_xlfn.XLOOKUP(tbEscolas[[#This Row],[ESCOLA]],tbNucleo[ESCOLA],tbNucleo[COD ESCOLA],"")</f>
        <v/>
      </c>
      <c r="B4283" t="str" cm="1">
        <f t="array" ref="B4283">IFERROR(INDEX(tbNucleo[ESCOLA],ROUNDUP(ROW(B4282)/TotalEtapas,0)),"")</f>
        <v/>
      </c>
      <c r="E4283" t="str">
        <f>IFERROR(VLOOKUP(tbEscolas[[#This Row],[COD ETPA]],tbEtapas[],2,FALSE),"")</f>
        <v/>
      </c>
      <c r="F4283" t="str">
        <f>IFERROR(VLOOKUP(tbEscolas[[#This Row],[COD ETPA]],tbEtapas[],3,FALSE),"")</f>
        <v/>
      </c>
    </row>
    <row r="4284" spans="1:6" x14ac:dyDescent="0.25">
      <c r="A4284" s="24" t="str">
        <f>_xlfn.XLOOKUP(tbEscolas[[#This Row],[ESCOLA]],tbNucleo[ESCOLA],tbNucleo[COD ESCOLA],"")</f>
        <v/>
      </c>
      <c r="B4284" t="str" cm="1">
        <f t="array" ref="B4284">IFERROR(INDEX(tbNucleo[ESCOLA],ROUNDUP(ROW(B4283)/TotalEtapas,0)),"")</f>
        <v/>
      </c>
      <c r="E4284" t="str">
        <f>IFERROR(VLOOKUP(tbEscolas[[#This Row],[COD ETPA]],tbEtapas[],2,FALSE),"")</f>
        <v/>
      </c>
      <c r="F4284" t="str">
        <f>IFERROR(VLOOKUP(tbEscolas[[#This Row],[COD ETPA]],tbEtapas[],3,FALSE),"")</f>
        <v/>
      </c>
    </row>
    <row r="4285" spans="1:6" x14ac:dyDescent="0.25">
      <c r="A4285" s="24" t="str">
        <f>_xlfn.XLOOKUP(tbEscolas[[#This Row],[ESCOLA]],tbNucleo[ESCOLA],tbNucleo[COD ESCOLA],"")</f>
        <v/>
      </c>
      <c r="B4285" t="str" cm="1">
        <f t="array" ref="B4285">IFERROR(INDEX(tbNucleo[ESCOLA],ROUNDUP(ROW(B4284)/TotalEtapas,0)),"")</f>
        <v/>
      </c>
      <c r="E4285" t="str">
        <f>IFERROR(VLOOKUP(tbEscolas[[#This Row],[COD ETPA]],tbEtapas[],2,FALSE),"")</f>
        <v/>
      </c>
      <c r="F4285" t="str">
        <f>IFERROR(VLOOKUP(tbEscolas[[#This Row],[COD ETPA]],tbEtapas[],3,FALSE),"")</f>
        <v/>
      </c>
    </row>
    <row r="4286" spans="1:6" x14ac:dyDescent="0.25">
      <c r="A4286" s="24" t="str">
        <f>_xlfn.XLOOKUP(tbEscolas[[#This Row],[ESCOLA]],tbNucleo[ESCOLA],tbNucleo[COD ESCOLA],"")</f>
        <v/>
      </c>
      <c r="B4286" t="str" cm="1">
        <f t="array" ref="B4286">IFERROR(INDEX(tbNucleo[ESCOLA],ROUNDUP(ROW(B4285)/TotalEtapas,0)),"")</f>
        <v/>
      </c>
      <c r="E4286" t="str">
        <f>IFERROR(VLOOKUP(tbEscolas[[#This Row],[COD ETPA]],tbEtapas[],2,FALSE),"")</f>
        <v/>
      </c>
      <c r="F4286" t="str">
        <f>IFERROR(VLOOKUP(tbEscolas[[#This Row],[COD ETPA]],tbEtapas[],3,FALSE),"")</f>
        <v/>
      </c>
    </row>
    <row r="4287" spans="1:6" x14ac:dyDescent="0.25">
      <c r="A4287" s="24" t="str">
        <f>_xlfn.XLOOKUP(tbEscolas[[#This Row],[ESCOLA]],tbNucleo[ESCOLA],tbNucleo[COD ESCOLA],"")</f>
        <v/>
      </c>
      <c r="B4287" t="str" cm="1">
        <f t="array" ref="B4287">IFERROR(INDEX(tbNucleo[ESCOLA],ROUNDUP(ROW(B4286)/TotalEtapas,0)),"")</f>
        <v/>
      </c>
      <c r="E4287" t="str">
        <f>IFERROR(VLOOKUP(tbEscolas[[#This Row],[COD ETPA]],tbEtapas[],2,FALSE),"")</f>
        <v/>
      </c>
      <c r="F4287" t="str">
        <f>IFERROR(VLOOKUP(tbEscolas[[#This Row],[COD ETPA]],tbEtapas[],3,FALSE),"")</f>
        <v/>
      </c>
    </row>
    <row r="4288" spans="1:6" x14ac:dyDescent="0.25">
      <c r="A4288" s="24" t="str">
        <f>_xlfn.XLOOKUP(tbEscolas[[#This Row],[ESCOLA]],tbNucleo[ESCOLA],tbNucleo[COD ESCOLA],"")</f>
        <v/>
      </c>
      <c r="B4288" t="str" cm="1">
        <f t="array" ref="B4288">IFERROR(INDEX(tbNucleo[ESCOLA],ROUNDUP(ROW(B4287)/TotalEtapas,0)),"")</f>
        <v/>
      </c>
      <c r="E4288" t="str">
        <f>IFERROR(VLOOKUP(tbEscolas[[#This Row],[COD ETPA]],tbEtapas[],2,FALSE),"")</f>
        <v/>
      </c>
      <c r="F4288" t="str">
        <f>IFERROR(VLOOKUP(tbEscolas[[#This Row],[COD ETPA]],tbEtapas[],3,FALSE),"")</f>
        <v/>
      </c>
    </row>
    <row r="4289" spans="1:6" x14ac:dyDescent="0.25">
      <c r="A4289" s="24" t="str">
        <f>_xlfn.XLOOKUP(tbEscolas[[#This Row],[ESCOLA]],tbNucleo[ESCOLA],tbNucleo[COD ESCOLA],"")</f>
        <v/>
      </c>
      <c r="B4289" t="str" cm="1">
        <f t="array" ref="B4289">IFERROR(INDEX(tbNucleo[ESCOLA],ROUNDUP(ROW(B4288)/TotalEtapas,0)),"")</f>
        <v/>
      </c>
      <c r="E4289" t="str">
        <f>IFERROR(VLOOKUP(tbEscolas[[#This Row],[COD ETPA]],tbEtapas[],2,FALSE),"")</f>
        <v/>
      </c>
      <c r="F4289" t="str">
        <f>IFERROR(VLOOKUP(tbEscolas[[#This Row],[COD ETPA]],tbEtapas[],3,FALSE),"")</f>
        <v/>
      </c>
    </row>
    <row r="4290" spans="1:6" x14ac:dyDescent="0.25">
      <c r="A4290" s="24" t="str">
        <f>_xlfn.XLOOKUP(tbEscolas[[#This Row],[ESCOLA]],tbNucleo[ESCOLA],tbNucleo[COD ESCOLA],"")</f>
        <v/>
      </c>
      <c r="B4290" t="str" cm="1">
        <f t="array" ref="B4290">IFERROR(INDEX(tbNucleo[ESCOLA],ROUNDUP(ROW(B4289)/TotalEtapas,0)),"")</f>
        <v/>
      </c>
      <c r="E4290" t="str">
        <f>IFERROR(VLOOKUP(tbEscolas[[#This Row],[COD ETPA]],tbEtapas[],2,FALSE),"")</f>
        <v/>
      </c>
      <c r="F4290" t="str">
        <f>IFERROR(VLOOKUP(tbEscolas[[#This Row],[COD ETPA]],tbEtapas[],3,FALSE),"")</f>
        <v/>
      </c>
    </row>
    <row r="4291" spans="1:6" x14ac:dyDescent="0.25">
      <c r="A4291" s="24" t="str">
        <f>_xlfn.XLOOKUP(tbEscolas[[#This Row],[ESCOLA]],tbNucleo[ESCOLA],tbNucleo[COD ESCOLA],"")</f>
        <v/>
      </c>
      <c r="B4291" t="str" cm="1">
        <f t="array" ref="B4291">IFERROR(INDEX(tbNucleo[ESCOLA],ROUNDUP(ROW(B4290)/TotalEtapas,0)),"")</f>
        <v/>
      </c>
      <c r="E4291" t="str">
        <f>IFERROR(VLOOKUP(tbEscolas[[#This Row],[COD ETPA]],tbEtapas[],2,FALSE),"")</f>
        <v/>
      </c>
      <c r="F4291" t="str">
        <f>IFERROR(VLOOKUP(tbEscolas[[#This Row],[COD ETPA]],tbEtapas[],3,FALSE),"")</f>
        <v/>
      </c>
    </row>
    <row r="4292" spans="1:6" x14ac:dyDescent="0.25">
      <c r="A4292" s="24" t="str">
        <f>_xlfn.XLOOKUP(tbEscolas[[#This Row],[ESCOLA]],tbNucleo[ESCOLA],tbNucleo[COD ESCOLA],"")</f>
        <v/>
      </c>
      <c r="B4292" t="str" cm="1">
        <f t="array" ref="B4292">IFERROR(INDEX(tbNucleo[ESCOLA],ROUNDUP(ROW(B4291)/TotalEtapas,0)),"")</f>
        <v/>
      </c>
      <c r="E4292" t="str">
        <f>IFERROR(VLOOKUP(tbEscolas[[#This Row],[COD ETPA]],tbEtapas[],2,FALSE),"")</f>
        <v/>
      </c>
      <c r="F4292" t="str">
        <f>IFERROR(VLOOKUP(tbEscolas[[#This Row],[COD ETPA]],tbEtapas[],3,FALSE),"")</f>
        <v/>
      </c>
    </row>
    <row r="4293" spans="1:6" x14ac:dyDescent="0.25">
      <c r="A4293" s="24" t="str">
        <f>_xlfn.XLOOKUP(tbEscolas[[#This Row],[ESCOLA]],tbNucleo[ESCOLA],tbNucleo[COD ESCOLA],"")</f>
        <v/>
      </c>
      <c r="B4293" t="str" cm="1">
        <f t="array" ref="B4293">IFERROR(INDEX(tbNucleo[ESCOLA],ROUNDUP(ROW(B4292)/TotalEtapas,0)),"")</f>
        <v/>
      </c>
      <c r="E4293" t="str">
        <f>IFERROR(VLOOKUP(tbEscolas[[#This Row],[COD ETPA]],tbEtapas[],2,FALSE),"")</f>
        <v/>
      </c>
      <c r="F4293" t="str">
        <f>IFERROR(VLOOKUP(tbEscolas[[#This Row],[COD ETPA]],tbEtapas[],3,FALSE),"")</f>
        <v/>
      </c>
    </row>
    <row r="4294" spans="1:6" x14ac:dyDescent="0.25">
      <c r="A4294" s="24" t="str">
        <f>_xlfn.XLOOKUP(tbEscolas[[#This Row],[ESCOLA]],tbNucleo[ESCOLA],tbNucleo[COD ESCOLA],"")</f>
        <v/>
      </c>
      <c r="B4294" t="str" cm="1">
        <f t="array" ref="B4294">IFERROR(INDEX(tbNucleo[ESCOLA],ROUNDUP(ROW(B4293)/TotalEtapas,0)),"")</f>
        <v/>
      </c>
      <c r="E4294" t="str">
        <f>IFERROR(VLOOKUP(tbEscolas[[#This Row],[COD ETPA]],tbEtapas[],2,FALSE),"")</f>
        <v/>
      </c>
      <c r="F4294" t="str">
        <f>IFERROR(VLOOKUP(tbEscolas[[#This Row],[COD ETPA]],tbEtapas[],3,FALSE),"")</f>
        <v/>
      </c>
    </row>
    <row r="4295" spans="1:6" x14ac:dyDescent="0.25">
      <c r="A4295" s="24" t="str">
        <f>_xlfn.XLOOKUP(tbEscolas[[#This Row],[ESCOLA]],tbNucleo[ESCOLA],tbNucleo[COD ESCOLA],"")</f>
        <v/>
      </c>
      <c r="B4295" t="str" cm="1">
        <f t="array" ref="B4295">IFERROR(INDEX(tbNucleo[ESCOLA],ROUNDUP(ROW(B4294)/TotalEtapas,0)),"")</f>
        <v/>
      </c>
      <c r="E4295" t="str">
        <f>IFERROR(VLOOKUP(tbEscolas[[#This Row],[COD ETPA]],tbEtapas[],2,FALSE),"")</f>
        <v/>
      </c>
      <c r="F4295" t="str">
        <f>IFERROR(VLOOKUP(tbEscolas[[#This Row],[COD ETPA]],tbEtapas[],3,FALSE),"")</f>
        <v/>
      </c>
    </row>
    <row r="4296" spans="1:6" x14ac:dyDescent="0.25">
      <c r="A4296" s="24" t="str">
        <f>_xlfn.XLOOKUP(tbEscolas[[#This Row],[ESCOLA]],tbNucleo[ESCOLA],tbNucleo[COD ESCOLA],"")</f>
        <v/>
      </c>
      <c r="B4296" t="str" cm="1">
        <f t="array" ref="B4296">IFERROR(INDEX(tbNucleo[ESCOLA],ROUNDUP(ROW(B4295)/TotalEtapas,0)),"")</f>
        <v/>
      </c>
      <c r="E4296" t="str">
        <f>IFERROR(VLOOKUP(tbEscolas[[#This Row],[COD ETPA]],tbEtapas[],2,FALSE),"")</f>
        <v/>
      </c>
      <c r="F4296" t="str">
        <f>IFERROR(VLOOKUP(tbEscolas[[#This Row],[COD ETPA]],tbEtapas[],3,FALSE),"")</f>
        <v/>
      </c>
    </row>
    <row r="4297" spans="1:6" x14ac:dyDescent="0.25">
      <c r="A4297" s="24" t="str">
        <f>_xlfn.XLOOKUP(tbEscolas[[#This Row],[ESCOLA]],tbNucleo[ESCOLA],tbNucleo[COD ESCOLA],"")</f>
        <v/>
      </c>
      <c r="B4297" t="str" cm="1">
        <f t="array" ref="B4297">IFERROR(INDEX(tbNucleo[ESCOLA],ROUNDUP(ROW(B4296)/TotalEtapas,0)),"")</f>
        <v/>
      </c>
      <c r="E4297" t="str">
        <f>IFERROR(VLOOKUP(tbEscolas[[#This Row],[COD ETPA]],tbEtapas[],2,FALSE),"")</f>
        <v/>
      </c>
      <c r="F4297" t="str">
        <f>IFERROR(VLOOKUP(tbEscolas[[#This Row],[COD ETPA]],tbEtapas[],3,FALSE),"")</f>
        <v/>
      </c>
    </row>
    <row r="4298" spans="1:6" x14ac:dyDescent="0.25">
      <c r="A4298" s="24" t="str">
        <f>_xlfn.XLOOKUP(tbEscolas[[#This Row],[ESCOLA]],tbNucleo[ESCOLA],tbNucleo[COD ESCOLA],"")</f>
        <v/>
      </c>
      <c r="B4298" t="str" cm="1">
        <f t="array" ref="B4298">IFERROR(INDEX(tbNucleo[ESCOLA],ROUNDUP(ROW(B4297)/TotalEtapas,0)),"")</f>
        <v/>
      </c>
      <c r="E4298" t="str">
        <f>IFERROR(VLOOKUP(tbEscolas[[#This Row],[COD ETPA]],tbEtapas[],2,FALSE),"")</f>
        <v/>
      </c>
      <c r="F4298" t="str">
        <f>IFERROR(VLOOKUP(tbEscolas[[#This Row],[COD ETPA]],tbEtapas[],3,FALSE),"")</f>
        <v/>
      </c>
    </row>
    <row r="4299" spans="1:6" x14ac:dyDescent="0.25">
      <c r="A4299" s="24" t="str">
        <f>_xlfn.XLOOKUP(tbEscolas[[#This Row],[ESCOLA]],tbNucleo[ESCOLA],tbNucleo[COD ESCOLA],"")</f>
        <v/>
      </c>
      <c r="B4299" t="str" cm="1">
        <f t="array" ref="B4299">IFERROR(INDEX(tbNucleo[ESCOLA],ROUNDUP(ROW(B4298)/TotalEtapas,0)),"")</f>
        <v/>
      </c>
      <c r="E4299" t="str">
        <f>IFERROR(VLOOKUP(tbEscolas[[#This Row],[COD ETPA]],tbEtapas[],2,FALSE),"")</f>
        <v/>
      </c>
      <c r="F4299" t="str">
        <f>IFERROR(VLOOKUP(tbEscolas[[#This Row],[COD ETPA]],tbEtapas[],3,FALSE),"")</f>
        <v/>
      </c>
    </row>
    <row r="4300" spans="1:6" x14ac:dyDescent="0.25">
      <c r="A4300" s="24" t="str">
        <f>_xlfn.XLOOKUP(tbEscolas[[#This Row],[ESCOLA]],tbNucleo[ESCOLA],tbNucleo[COD ESCOLA],"")</f>
        <v/>
      </c>
      <c r="B4300" t="str" cm="1">
        <f t="array" ref="B4300">IFERROR(INDEX(tbNucleo[ESCOLA],ROUNDUP(ROW(B4299)/TotalEtapas,0)),"")</f>
        <v/>
      </c>
      <c r="E4300" t="str">
        <f>IFERROR(VLOOKUP(tbEscolas[[#This Row],[COD ETPA]],tbEtapas[],2,FALSE),"")</f>
        <v/>
      </c>
      <c r="F4300" t="str">
        <f>IFERROR(VLOOKUP(tbEscolas[[#This Row],[COD ETPA]],tbEtapas[],3,FALSE),"")</f>
        <v/>
      </c>
    </row>
    <row r="4301" spans="1:6" x14ac:dyDescent="0.25">
      <c r="A4301" s="24" t="str">
        <f>_xlfn.XLOOKUP(tbEscolas[[#This Row],[ESCOLA]],tbNucleo[ESCOLA],tbNucleo[COD ESCOLA],"")</f>
        <v/>
      </c>
      <c r="B4301" t="str" cm="1">
        <f t="array" ref="B4301">IFERROR(INDEX(tbNucleo[ESCOLA],ROUNDUP(ROW(B4300)/TotalEtapas,0)),"")</f>
        <v/>
      </c>
      <c r="E4301" t="str">
        <f>IFERROR(VLOOKUP(tbEscolas[[#This Row],[COD ETPA]],tbEtapas[],2,FALSE),"")</f>
        <v/>
      </c>
      <c r="F4301" t="str">
        <f>IFERROR(VLOOKUP(tbEscolas[[#This Row],[COD ETPA]],tbEtapas[],3,FALSE),"")</f>
        <v/>
      </c>
    </row>
    <row r="4302" spans="1:6" x14ac:dyDescent="0.25">
      <c r="A4302" s="24" t="str">
        <f>_xlfn.XLOOKUP(tbEscolas[[#This Row],[ESCOLA]],tbNucleo[ESCOLA],tbNucleo[COD ESCOLA],"")</f>
        <v/>
      </c>
      <c r="B4302" t="str" cm="1">
        <f t="array" ref="B4302">IFERROR(INDEX(tbNucleo[ESCOLA],ROUNDUP(ROW(B4301)/TotalEtapas,0)),"")</f>
        <v/>
      </c>
      <c r="E4302" t="str">
        <f>IFERROR(VLOOKUP(tbEscolas[[#This Row],[COD ETPA]],tbEtapas[],2,FALSE),"")</f>
        <v/>
      </c>
      <c r="F4302" t="str">
        <f>IFERROR(VLOOKUP(tbEscolas[[#This Row],[COD ETPA]],tbEtapas[],3,FALSE),"")</f>
        <v/>
      </c>
    </row>
    <row r="4303" spans="1:6" x14ac:dyDescent="0.25">
      <c r="A4303" s="24" t="str">
        <f>_xlfn.XLOOKUP(tbEscolas[[#This Row],[ESCOLA]],tbNucleo[ESCOLA],tbNucleo[COD ESCOLA],"")</f>
        <v/>
      </c>
      <c r="B4303" t="str" cm="1">
        <f t="array" ref="B4303">IFERROR(INDEX(tbNucleo[ESCOLA],ROUNDUP(ROW(B4302)/TotalEtapas,0)),"")</f>
        <v/>
      </c>
      <c r="E4303" t="str">
        <f>IFERROR(VLOOKUP(tbEscolas[[#This Row],[COD ETPA]],tbEtapas[],2,FALSE),"")</f>
        <v/>
      </c>
      <c r="F4303" t="str">
        <f>IFERROR(VLOOKUP(tbEscolas[[#This Row],[COD ETPA]],tbEtapas[],3,FALSE),"")</f>
        <v/>
      </c>
    </row>
    <row r="4304" spans="1:6" x14ac:dyDescent="0.25">
      <c r="A4304" s="24" t="str">
        <f>_xlfn.XLOOKUP(tbEscolas[[#This Row],[ESCOLA]],tbNucleo[ESCOLA],tbNucleo[COD ESCOLA],"")</f>
        <v/>
      </c>
      <c r="B4304" t="str" cm="1">
        <f t="array" ref="B4304">IFERROR(INDEX(tbNucleo[ESCOLA],ROUNDUP(ROW(B4303)/TotalEtapas,0)),"")</f>
        <v/>
      </c>
      <c r="E4304" t="str">
        <f>IFERROR(VLOOKUP(tbEscolas[[#This Row],[COD ETPA]],tbEtapas[],2,FALSE),"")</f>
        <v/>
      </c>
      <c r="F4304" t="str">
        <f>IFERROR(VLOOKUP(tbEscolas[[#This Row],[COD ETPA]],tbEtapas[],3,FALSE),"")</f>
        <v/>
      </c>
    </row>
    <row r="4305" spans="1:6" x14ac:dyDescent="0.25">
      <c r="A4305" s="24" t="str">
        <f>_xlfn.XLOOKUP(tbEscolas[[#This Row],[ESCOLA]],tbNucleo[ESCOLA],tbNucleo[COD ESCOLA],"")</f>
        <v/>
      </c>
      <c r="B4305" t="str" cm="1">
        <f t="array" ref="B4305">IFERROR(INDEX(tbNucleo[ESCOLA],ROUNDUP(ROW(B4304)/TotalEtapas,0)),"")</f>
        <v/>
      </c>
      <c r="E4305" t="str">
        <f>IFERROR(VLOOKUP(tbEscolas[[#This Row],[COD ETPA]],tbEtapas[],2,FALSE),"")</f>
        <v/>
      </c>
      <c r="F4305" t="str">
        <f>IFERROR(VLOOKUP(tbEscolas[[#This Row],[COD ETPA]],tbEtapas[],3,FALSE),"")</f>
        <v/>
      </c>
    </row>
    <row r="4306" spans="1:6" x14ac:dyDescent="0.25">
      <c r="A4306" s="24" t="str">
        <f>_xlfn.XLOOKUP(tbEscolas[[#This Row],[ESCOLA]],tbNucleo[ESCOLA],tbNucleo[COD ESCOLA],"")</f>
        <v/>
      </c>
      <c r="B4306" t="str" cm="1">
        <f t="array" ref="B4306">IFERROR(INDEX(tbNucleo[ESCOLA],ROUNDUP(ROW(B4305)/TotalEtapas,0)),"")</f>
        <v/>
      </c>
      <c r="E4306" t="str">
        <f>IFERROR(VLOOKUP(tbEscolas[[#This Row],[COD ETPA]],tbEtapas[],2,FALSE),"")</f>
        <v/>
      </c>
      <c r="F4306" t="str">
        <f>IFERROR(VLOOKUP(tbEscolas[[#This Row],[COD ETPA]],tbEtapas[],3,FALSE),"")</f>
        <v/>
      </c>
    </row>
    <row r="4307" spans="1:6" x14ac:dyDescent="0.25">
      <c r="A4307" s="24" t="str">
        <f>_xlfn.XLOOKUP(tbEscolas[[#This Row],[ESCOLA]],tbNucleo[ESCOLA],tbNucleo[COD ESCOLA],"")</f>
        <v/>
      </c>
      <c r="B4307" t="str" cm="1">
        <f t="array" ref="B4307">IFERROR(INDEX(tbNucleo[ESCOLA],ROUNDUP(ROW(B4306)/TotalEtapas,0)),"")</f>
        <v/>
      </c>
      <c r="E4307" t="str">
        <f>IFERROR(VLOOKUP(tbEscolas[[#This Row],[COD ETPA]],tbEtapas[],2,FALSE),"")</f>
        <v/>
      </c>
      <c r="F4307" t="str">
        <f>IFERROR(VLOOKUP(tbEscolas[[#This Row],[COD ETPA]],tbEtapas[],3,FALSE),"")</f>
        <v/>
      </c>
    </row>
    <row r="4308" spans="1:6" x14ac:dyDescent="0.25">
      <c r="A4308" s="24" t="str">
        <f>_xlfn.XLOOKUP(tbEscolas[[#This Row],[ESCOLA]],tbNucleo[ESCOLA],tbNucleo[COD ESCOLA],"")</f>
        <v/>
      </c>
      <c r="B4308" t="str" cm="1">
        <f t="array" ref="B4308">IFERROR(INDEX(tbNucleo[ESCOLA],ROUNDUP(ROW(B4307)/TotalEtapas,0)),"")</f>
        <v/>
      </c>
      <c r="E4308" t="str">
        <f>IFERROR(VLOOKUP(tbEscolas[[#This Row],[COD ETPA]],tbEtapas[],2,FALSE),"")</f>
        <v/>
      </c>
      <c r="F4308" t="str">
        <f>IFERROR(VLOOKUP(tbEscolas[[#This Row],[COD ETPA]],tbEtapas[],3,FALSE),"")</f>
        <v/>
      </c>
    </row>
    <row r="4309" spans="1:6" x14ac:dyDescent="0.25">
      <c r="A4309" s="24" t="str">
        <f>_xlfn.XLOOKUP(tbEscolas[[#This Row],[ESCOLA]],tbNucleo[ESCOLA],tbNucleo[COD ESCOLA],"")</f>
        <v/>
      </c>
      <c r="B4309" t="str" cm="1">
        <f t="array" ref="B4309">IFERROR(INDEX(tbNucleo[ESCOLA],ROUNDUP(ROW(B4308)/TotalEtapas,0)),"")</f>
        <v/>
      </c>
      <c r="E4309" t="str">
        <f>IFERROR(VLOOKUP(tbEscolas[[#This Row],[COD ETPA]],tbEtapas[],2,FALSE),"")</f>
        <v/>
      </c>
      <c r="F4309" t="str">
        <f>IFERROR(VLOOKUP(tbEscolas[[#This Row],[COD ETPA]],tbEtapas[],3,FALSE),"")</f>
        <v/>
      </c>
    </row>
    <row r="4310" spans="1:6" x14ac:dyDescent="0.25">
      <c r="A4310" s="24" t="str">
        <f>_xlfn.XLOOKUP(tbEscolas[[#This Row],[ESCOLA]],tbNucleo[ESCOLA],tbNucleo[COD ESCOLA],"")</f>
        <v/>
      </c>
      <c r="B4310" t="str" cm="1">
        <f t="array" ref="B4310">IFERROR(INDEX(tbNucleo[ESCOLA],ROUNDUP(ROW(B4309)/TotalEtapas,0)),"")</f>
        <v/>
      </c>
      <c r="E4310" t="str">
        <f>IFERROR(VLOOKUP(tbEscolas[[#This Row],[COD ETPA]],tbEtapas[],2,FALSE),"")</f>
        <v/>
      </c>
      <c r="F4310" t="str">
        <f>IFERROR(VLOOKUP(tbEscolas[[#This Row],[COD ETPA]],tbEtapas[],3,FALSE),"")</f>
        <v/>
      </c>
    </row>
    <row r="4311" spans="1:6" x14ac:dyDescent="0.25">
      <c r="A4311" s="24" t="str">
        <f>_xlfn.XLOOKUP(tbEscolas[[#This Row],[ESCOLA]],tbNucleo[ESCOLA],tbNucleo[COD ESCOLA],"")</f>
        <v/>
      </c>
      <c r="B4311" t="str" cm="1">
        <f t="array" ref="B4311">IFERROR(INDEX(tbNucleo[ESCOLA],ROUNDUP(ROW(B4310)/TotalEtapas,0)),"")</f>
        <v/>
      </c>
      <c r="E4311" t="str">
        <f>IFERROR(VLOOKUP(tbEscolas[[#This Row],[COD ETPA]],tbEtapas[],2,FALSE),"")</f>
        <v/>
      </c>
      <c r="F4311" t="str">
        <f>IFERROR(VLOOKUP(tbEscolas[[#This Row],[COD ETPA]],tbEtapas[],3,FALSE),"")</f>
        <v/>
      </c>
    </row>
    <row r="4312" spans="1:6" x14ac:dyDescent="0.25">
      <c r="A4312" s="24" t="str">
        <f>_xlfn.XLOOKUP(tbEscolas[[#This Row],[ESCOLA]],tbNucleo[ESCOLA],tbNucleo[COD ESCOLA],"")</f>
        <v/>
      </c>
      <c r="B4312" t="str" cm="1">
        <f t="array" ref="B4312">IFERROR(INDEX(tbNucleo[ESCOLA],ROUNDUP(ROW(B4311)/TotalEtapas,0)),"")</f>
        <v/>
      </c>
      <c r="E4312" t="str">
        <f>IFERROR(VLOOKUP(tbEscolas[[#This Row],[COD ETPA]],tbEtapas[],2,FALSE),"")</f>
        <v/>
      </c>
      <c r="F4312" t="str">
        <f>IFERROR(VLOOKUP(tbEscolas[[#This Row],[COD ETPA]],tbEtapas[],3,FALSE),"")</f>
        <v/>
      </c>
    </row>
    <row r="4313" spans="1:6" x14ac:dyDescent="0.25">
      <c r="A4313" s="24" t="str">
        <f>_xlfn.XLOOKUP(tbEscolas[[#This Row],[ESCOLA]],tbNucleo[ESCOLA],tbNucleo[COD ESCOLA],"")</f>
        <v/>
      </c>
      <c r="B4313" t="str" cm="1">
        <f t="array" ref="B4313">IFERROR(INDEX(tbNucleo[ESCOLA],ROUNDUP(ROW(B4312)/TotalEtapas,0)),"")</f>
        <v/>
      </c>
      <c r="E4313" t="str">
        <f>IFERROR(VLOOKUP(tbEscolas[[#This Row],[COD ETPA]],tbEtapas[],2,FALSE),"")</f>
        <v/>
      </c>
      <c r="F4313" t="str">
        <f>IFERROR(VLOOKUP(tbEscolas[[#This Row],[COD ETPA]],tbEtapas[],3,FALSE),"")</f>
        <v/>
      </c>
    </row>
    <row r="4314" spans="1:6" x14ac:dyDescent="0.25">
      <c r="A4314" s="24" t="str">
        <f>_xlfn.XLOOKUP(tbEscolas[[#This Row],[ESCOLA]],tbNucleo[ESCOLA],tbNucleo[COD ESCOLA],"")</f>
        <v/>
      </c>
      <c r="B4314" t="str" cm="1">
        <f t="array" ref="B4314">IFERROR(INDEX(tbNucleo[ESCOLA],ROUNDUP(ROW(B4313)/TotalEtapas,0)),"")</f>
        <v/>
      </c>
      <c r="E4314" t="str">
        <f>IFERROR(VLOOKUP(tbEscolas[[#This Row],[COD ETPA]],tbEtapas[],2,FALSE),"")</f>
        <v/>
      </c>
      <c r="F4314" t="str">
        <f>IFERROR(VLOOKUP(tbEscolas[[#This Row],[COD ETPA]],tbEtapas[],3,FALSE),"")</f>
        <v/>
      </c>
    </row>
    <row r="4315" spans="1:6" x14ac:dyDescent="0.25">
      <c r="A4315" s="24" t="str">
        <f>_xlfn.XLOOKUP(tbEscolas[[#This Row],[ESCOLA]],tbNucleo[ESCOLA],tbNucleo[COD ESCOLA],"")</f>
        <v/>
      </c>
      <c r="B4315" t="str" cm="1">
        <f t="array" ref="B4315">IFERROR(INDEX(tbNucleo[ESCOLA],ROUNDUP(ROW(B4314)/TotalEtapas,0)),"")</f>
        <v/>
      </c>
      <c r="E4315" t="str">
        <f>IFERROR(VLOOKUP(tbEscolas[[#This Row],[COD ETPA]],tbEtapas[],2,FALSE),"")</f>
        <v/>
      </c>
      <c r="F4315" t="str">
        <f>IFERROR(VLOOKUP(tbEscolas[[#This Row],[COD ETPA]],tbEtapas[],3,FALSE),"")</f>
        <v/>
      </c>
    </row>
    <row r="4316" spans="1:6" x14ac:dyDescent="0.25">
      <c r="A4316" s="24" t="str">
        <f>_xlfn.XLOOKUP(tbEscolas[[#This Row],[ESCOLA]],tbNucleo[ESCOLA],tbNucleo[COD ESCOLA],"")</f>
        <v/>
      </c>
      <c r="B4316" t="str" cm="1">
        <f t="array" ref="B4316">IFERROR(INDEX(tbNucleo[ESCOLA],ROUNDUP(ROW(B4315)/TotalEtapas,0)),"")</f>
        <v/>
      </c>
      <c r="E4316" t="str">
        <f>IFERROR(VLOOKUP(tbEscolas[[#This Row],[COD ETPA]],tbEtapas[],2,FALSE),"")</f>
        <v/>
      </c>
      <c r="F4316" t="str">
        <f>IFERROR(VLOOKUP(tbEscolas[[#This Row],[COD ETPA]],tbEtapas[],3,FALSE),"")</f>
        <v/>
      </c>
    </row>
    <row r="4317" spans="1:6" x14ac:dyDescent="0.25">
      <c r="A4317" s="24" t="str">
        <f>_xlfn.XLOOKUP(tbEscolas[[#This Row],[ESCOLA]],tbNucleo[ESCOLA],tbNucleo[COD ESCOLA],"")</f>
        <v/>
      </c>
      <c r="B4317" t="str" cm="1">
        <f t="array" ref="B4317">IFERROR(INDEX(tbNucleo[ESCOLA],ROUNDUP(ROW(B4316)/TotalEtapas,0)),"")</f>
        <v/>
      </c>
      <c r="E4317" t="str">
        <f>IFERROR(VLOOKUP(tbEscolas[[#This Row],[COD ETPA]],tbEtapas[],2,FALSE),"")</f>
        <v/>
      </c>
      <c r="F4317" t="str">
        <f>IFERROR(VLOOKUP(tbEscolas[[#This Row],[COD ETPA]],tbEtapas[],3,FALSE),"")</f>
        <v/>
      </c>
    </row>
    <row r="4318" spans="1:6" x14ac:dyDescent="0.25">
      <c r="A4318" s="24" t="str">
        <f>_xlfn.XLOOKUP(tbEscolas[[#This Row],[ESCOLA]],tbNucleo[ESCOLA],tbNucleo[COD ESCOLA],"")</f>
        <v/>
      </c>
      <c r="B4318" t="str" cm="1">
        <f t="array" ref="B4318">IFERROR(INDEX(tbNucleo[ESCOLA],ROUNDUP(ROW(B4317)/TotalEtapas,0)),"")</f>
        <v/>
      </c>
      <c r="E4318" t="str">
        <f>IFERROR(VLOOKUP(tbEscolas[[#This Row],[COD ETPA]],tbEtapas[],2,FALSE),"")</f>
        <v/>
      </c>
      <c r="F4318" t="str">
        <f>IFERROR(VLOOKUP(tbEscolas[[#This Row],[COD ETPA]],tbEtapas[],3,FALSE),"")</f>
        <v/>
      </c>
    </row>
    <row r="4319" spans="1:6" x14ac:dyDescent="0.25">
      <c r="A4319" s="24" t="str">
        <f>_xlfn.XLOOKUP(tbEscolas[[#This Row],[ESCOLA]],tbNucleo[ESCOLA],tbNucleo[COD ESCOLA],"")</f>
        <v/>
      </c>
      <c r="B4319" t="str" cm="1">
        <f t="array" ref="B4319">IFERROR(INDEX(tbNucleo[ESCOLA],ROUNDUP(ROW(B4318)/TotalEtapas,0)),"")</f>
        <v/>
      </c>
      <c r="E4319" t="str">
        <f>IFERROR(VLOOKUP(tbEscolas[[#This Row],[COD ETPA]],tbEtapas[],2,FALSE),"")</f>
        <v/>
      </c>
      <c r="F4319" t="str">
        <f>IFERROR(VLOOKUP(tbEscolas[[#This Row],[COD ETPA]],tbEtapas[],3,FALSE),"")</f>
        <v/>
      </c>
    </row>
    <row r="4320" spans="1:6" x14ac:dyDescent="0.25">
      <c r="A4320" s="24" t="str">
        <f>_xlfn.XLOOKUP(tbEscolas[[#This Row],[ESCOLA]],tbNucleo[ESCOLA],tbNucleo[COD ESCOLA],"")</f>
        <v/>
      </c>
      <c r="B4320" t="str" cm="1">
        <f t="array" ref="B4320">IFERROR(INDEX(tbNucleo[ESCOLA],ROUNDUP(ROW(B4319)/TotalEtapas,0)),"")</f>
        <v/>
      </c>
      <c r="E4320" t="str">
        <f>IFERROR(VLOOKUP(tbEscolas[[#This Row],[COD ETPA]],tbEtapas[],2,FALSE),"")</f>
        <v/>
      </c>
      <c r="F4320" t="str">
        <f>IFERROR(VLOOKUP(tbEscolas[[#This Row],[COD ETPA]],tbEtapas[],3,FALSE),"")</f>
        <v/>
      </c>
    </row>
    <row r="4321" spans="1:6" x14ac:dyDescent="0.25">
      <c r="A4321" s="24" t="str">
        <f>_xlfn.XLOOKUP(tbEscolas[[#This Row],[ESCOLA]],tbNucleo[ESCOLA],tbNucleo[COD ESCOLA],"")</f>
        <v/>
      </c>
      <c r="B4321" t="str" cm="1">
        <f t="array" ref="B4321">IFERROR(INDEX(tbNucleo[ESCOLA],ROUNDUP(ROW(B4320)/TotalEtapas,0)),"")</f>
        <v/>
      </c>
      <c r="E4321" t="str">
        <f>IFERROR(VLOOKUP(tbEscolas[[#This Row],[COD ETPA]],tbEtapas[],2,FALSE),"")</f>
        <v/>
      </c>
      <c r="F4321" t="str">
        <f>IFERROR(VLOOKUP(tbEscolas[[#This Row],[COD ETPA]],tbEtapas[],3,FALSE),"")</f>
        <v/>
      </c>
    </row>
    <row r="4322" spans="1:6" x14ac:dyDescent="0.25">
      <c r="A4322" s="24" t="str">
        <f>_xlfn.XLOOKUP(tbEscolas[[#This Row],[ESCOLA]],tbNucleo[ESCOLA],tbNucleo[COD ESCOLA],"")</f>
        <v/>
      </c>
      <c r="B4322" t="str" cm="1">
        <f t="array" ref="B4322">IFERROR(INDEX(tbNucleo[ESCOLA],ROUNDUP(ROW(B4321)/TotalEtapas,0)),"")</f>
        <v/>
      </c>
      <c r="E4322" t="str">
        <f>IFERROR(VLOOKUP(tbEscolas[[#This Row],[COD ETPA]],tbEtapas[],2,FALSE),"")</f>
        <v/>
      </c>
      <c r="F4322" t="str">
        <f>IFERROR(VLOOKUP(tbEscolas[[#This Row],[COD ETPA]],tbEtapas[],3,FALSE),"")</f>
        <v/>
      </c>
    </row>
    <row r="4323" spans="1:6" x14ac:dyDescent="0.25">
      <c r="A4323" s="24" t="str">
        <f>_xlfn.XLOOKUP(tbEscolas[[#This Row],[ESCOLA]],tbNucleo[ESCOLA],tbNucleo[COD ESCOLA],"")</f>
        <v/>
      </c>
      <c r="B4323" t="str" cm="1">
        <f t="array" ref="B4323">IFERROR(INDEX(tbNucleo[ESCOLA],ROUNDUP(ROW(B4322)/TotalEtapas,0)),"")</f>
        <v/>
      </c>
      <c r="E4323" t="str">
        <f>IFERROR(VLOOKUP(tbEscolas[[#This Row],[COD ETPA]],tbEtapas[],2,FALSE),"")</f>
        <v/>
      </c>
      <c r="F4323" t="str">
        <f>IFERROR(VLOOKUP(tbEscolas[[#This Row],[COD ETPA]],tbEtapas[],3,FALSE),"")</f>
        <v/>
      </c>
    </row>
    <row r="4324" spans="1:6" x14ac:dyDescent="0.25">
      <c r="A4324" s="24" t="str">
        <f>_xlfn.XLOOKUP(tbEscolas[[#This Row],[ESCOLA]],tbNucleo[ESCOLA],tbNucleo[COD ESCOLA],"")</f>
        <v/>
      </c>
      <c r="B4324" t="str" cm="1">
        <f t="array" ref="B4324">IFERROR(INDEX(tbNucleo[ESCOLA],ROUNDUP(ROW(B4323)/TotalEtapas,0)),"")</f>
        <v/>
      </c>
      <c r="E4324" t="str">
        <f>IFERROR(VLOOKUP(tbEscolas[[#This Row],[COD ETPA]],tbEtapas[],2,FALSE),"")</f>
        <v/>
      </c>
      <c r="F4324" t="str">
        <f>IFERROR(VLOOKUP(tbEscolas[[#This Row],[COD ETPA]],tbEtapas[],3,FALSE),"")</f>
        <v/>
      </c>
    </row>
    <row r="4325" spans="1:6" x14ac:dyDescent="0.25">
      <c r="A4325" s="24" t="str">
        <f>_xlfn.XLOOKUP(tbEscolas[[#This Row],[ESCOLA]],tbNucleo[ESCOLA],tbNucleo[COD ESCOLA],"")</f>
        <v/>
      </c>
      <c r="B4325" t="str" cm="1">
        <f t="array" ref="B4325">IFERROR(INDEX(tbNucleo[ESCOLA],ROUNDUP(ROW(B4324)/TotalEtapas,0)),"")</f>
        <v/>
      </c>
      <c r="E4325" t="str">
        <f>IFERROR(VLOOKUP(tbEscolas[[#This Row],[COD ETPA]],tbEtapas[],2,FALSE),"")</f>
        <v/>
      </c>
      <c r="F4325" t="str">
        <f>IFERROR(VLOOKUP(tbEscolas[[#This Row],[COD ETPA]],tbEtapas[],3,FALSE),"")</f>
        <v/>
      </c>
    </row>
    <row r="4326" spans="1:6" x14ac:dyDescent="0.25">
      <c r="A4326" s="24" t="str">
        <f>_xlfn.XLOOKUP(tbEscolas[[#This Row],[ESCOLA]],tbNucleo[ESCOLA],tbNucleo[COD ESCOLA],"")</f>
        <v/>
      </c>
      <c r="B4326" t="str" cm="1">
        <f t="array" ref="B4326">IFERROR(INDEX(tbNucleo[ESCOLA],ROUNDUP(ROW(B4325)/TotalEtapas,0)),"")</f>
        <v/>
      </c>
      <c r="E4326" t="str">
        <f>IFERROR(VLOOKUP(tbEscolas[[#This Row],[COD ETPA]],tbEtapas[],2,FALSE),"")</f>
        <v/>
      </c>
      <c r="F4326" t="str">
        <f>IFERROR(VLOOKUP(tbEscolas[[#This Row],[COD ETPA]],tbEtapas[],3,FALSE),"")</f>
        <v/>
      </c>
    </row>
    <row r="4327" spans="1:6" x14ac:dyDescent="0.25">
      <c r="A4327" s="24" t="str">
        <f>_xlfn.XLOOKUP(tbEscolas[[#This Row],[ESCOLA]],tbNucleo[ESCOLA],tbNucleo[COD ESCOLA],"")</f>
        <v/>
      </c>
      <c r="B4327" t="str" cm="1">
        <f t="array" ref="B4327">IFERROR(INDEX(tbNucleo[ESCOLA],ROUNDUP(ROW(B4326)/TotalEtapas,0)),"")</f>
        <v/>
      </c>
      <c r="E4327" t="str">
        <f>IFERROR(VLOOKUP(tbEscolas[[#This Row],[COD ETPA]],tbEtapas[],2,FALSE),"")</f>
        <v/>
      </c>
      <c r="F4327" t="str">
        <f>IFERROR(VLOOKUP(tbEscolas[[#This Row],[COD ETPA]],tbEtapas[],3,FALSE),"")</f>
        <v/>
      </c>
    </row>
    <row r="4328" spans="1:6" x14ac:dyDescent="0.25">
      <c r="A4328" s="24" t="str">
        <f>_xlfn.XLOOKUP(tbEscolas[[#This Row],[ESCOLA]],tbNucleo[ESCOLA],tbNucleo[COD ESCOLA],"")</f>
        <v/>
      </c>
      <c r="B4328" t="str" cm="1">
        <f t="array" ref="B4328">IFERROR(INDEX(tbNucleo[ESCOLA],ROUNDUP(ROW(B4327)/TotalEtapas,0)),"")</f>
        <v/>
      </c>
      <c r="E4328" t="str">
        <f>IFERROR(VLOOKUP(tbEscolas[[#This Row],[COD ETPA]],tbEtapas[],2,FALSE),"")</f>
        <v/>
      </c>
      <c r="F4328" t="str">
        <f>IFERROR(VLOOKUP(tbEscolas[[#This Row],[COD ETPA]],tbEtapas[],3,FALSE),"")</f>
        <v/>
      </c>
    </row>
    <row r="4329" spans="1:6" x14ac:dyDescent="0.25">
      <c r="A4329" s="24" t="str">
        <f>_xlfn.XLOOKUP(tbEscolas[[#This Row],[ESCOLA]],tbNucleo[ESCOLA],tbNucleo[COD ESCOLA],"")</f>
        <v/>
      </c>
      <c r="B4329" t="str" cm="1">
        <f t="array" ref="B4329">IFERROR(INDEX(tbNucleo[ESCOLA],ROUNDUP(ROW(B4328)/TotalEtapas,0)),"")</f>
        <v/>
      </c>
      <c r="E4329" t="str">
        <f>IFERROR(VLOOKUP(tbEscolas[[#This Row],[COD ETPA]],tbEtapas[],2,FALSE),"")</f>
        <v/>
      </c>
      <c r="F4329" t="str">
        <f>IFERROR(VLOOKUP(tbEscolas[[#This Row],[COD ETPA]],tbEtapas[],3,FALSE),"")</f>
        <v/>
      </c>
    </row>
    <row r="4330" spans="1:6" x14ac:dyDescent="0.25">
      <c r="A4330" s="24" t="str">
        <f>_xlfn.XLOOKUP(tbEscolas[[#This Row],[ESCOLA]],tbNucleo[ESCOLA],tbNucleo[COD ESCOLA],"")</f>
        <v/>
      </c>
      <c r="B4330" t="str" cm="1">
        <f t="array" ref="B4330">IFERROR(INDEX(tbNucleo[ESCOLA],ROUNDUP(ROW(B4329)/TotalEtapas,0)),"")</f>
        <v/>
      </c>
      <c r="E4330" t="str">
        <f>IFERROR(VLOOKUP(tbEscolas[[#This Row],[COD ETPA]],tbEtapas[],2,FALSE),"")</f>
        <v/>
      </c>
      <c r="F4330" t="str">
        <f>IFERROR(VLOOKUP(tbEscolas[[#This Row],[COD ETPA]],tbEtapas[],3,FALSE),"")</f>
        <v/>
      </c>
    </row>
    <row r="4331" spans="1:6" x14ac:dyDescent="0.25">
      <c r="A4331" s="24" t="str">
        <f>_xlfn.XLOOKUP(tbEscolas[[#This Row],[ESCOLA]],tbNucleo[ESCOLA],tbNucleo[COD ESCOLA],"")</f>
        <v/>
      </c>
      <c r="B4331" t="str" cm="1">
        <f t="array" ref="B4331">IFERROR(INDEX(tbNucleo[ESCOLA],ROUNDUP(ROW(B4330)/TotalEtapas,0)),"")</f>
        <v/>
      </c>
      <c r="E4331" t="str">
        <f>IFERROR(VLOOKUP(tbEscolas[[#This Row],[COD ETPA]],tbEtapas[],2,FALSE),"")</f>
        <v/>
      </c>
      <c r="F4331" t="str">
        <f>IFERROR(VLOOKUP(tbEscolas[[#This Row],[COD ETPA]],tbEtapas[],3,FALSE),"")</f>
        <v/>
      </c>
    </row>
    <row r="4332" spans="1:6" x14ac:dyDescent="0.25">
      <c r="A4332" s="24" t="str">
        <f>_xlfn.XLOOKUP(tbEscolas[[#This Row],[ESCOLA]],tbNucleo[ESCOLA],tbNucleo[COD ESCOLA],"")</f>
        <v/>
      </c>
      <c r="B4332" t="str" cm="1">
        <f t="array" ref="B4332">IFERROR(INDEX(tbNucleo[ESCOLA],ROUNDUP(ROW(B4331)/TotalEtapas,0)),"")</f>
        <v/>
      </c>
      <c r="E4332" t="str">
        <f>IFERROR(VLOOKUP(tbEscolas[[#This Row],[COD ETPA]],tbEtapas[],2,FALSE),"")</f>
        <v/>
      </c>
      <c r="F4332" t="str">
        <f>IFERROR(VLOOKUP(tbEscolas[[#This Row],[COD ETPA]],tbEtapas[],3,FALSE),"")</f>
        <v/>
      </c>
    </row>
    <row r="4333" spans="1:6" x14ac:dyDescent="0.25">
      <c r="A4333" s="24" t="str">
        <f>_xlfn.XLOOKUP(tbEscolas[[#This Row],[ESCOLA]],tbNucleo[ESCOLA],tbNucleo[COD ESCOLA],"")</f>
        <v/>
      </c>
      <c r="B4333" t="str" cm="1">
        <f t="array" ref="B4333">IFERROR(INDEX(tbNucleo[ESCOLA],ROUNDUP(ROW(B4332)/TotalEtapas,0)),"")</f>
        <v/>
      </c>
      <c r="E4333" t="str">
        <f>IFERROR(VLOOKUP(tbEscolas[[#This Row],[COD ETPA]],tbEtapas[],2,FALSE),"")</f>
        <v/>
      </c>
      <c r="F4333" t="str">
        <f>IFERROR(VLOOKUP(tbEscolas[[#This Row],[COD ETPA]],tbEtapas[],3,FALSE),"")</f>
        <v/>
      </c>
    </row>
    <row r="4334" spans="1:6" x14ac:dyDescent="0.25">
      <c r="A4334" s="24" t="str">
        <f>_xlfn.XLOOKUP(tbEscolas[[#This Row],[ESCOLA]],tbNucleo[ESCOLA],tbNucleo[COD ESCOLA],"")</f>
        <v/>
      </c>
      <c r="B4334" t="str" cm="1">
        <f t="array" ref="B4334">IFERROR(INDEX(tbNucleo[ESCOLA],ROUNDUP(ROW(B4333)/TotalEtapas,0)),"")</f>
        <v/>
      </c>
      <c r="E4334" t="str">
        <f>IFERROR(VLOOKUP(tbEscolas[[#This Row],[COD ETPA]],tbEtapas[],2,FALSE),"")</f>
        <v/>
      </c>
      <c r="F4334" t="str">
        <f>IFERROR(VLOOKUP(tbEscolas[[#This Row],[COD ETPA]],tbEtapas[],3,FALSE),"")</f>
        <v/>
      </c>
    </row>
    <row r="4335" spans="1:6" x14ac:dyDescent="0.25">
      <c r="A4335" s="24" t="str">
        <f>_xlfn.XLOOKUP(tbEscolas[[#This Row],[ESCOLA]],tbNucleo[ESCOLA],tbNucleo[COD ESCOLA],"")</f>
        <v/>
      </c>
      <c r="B4335" t="str" cm="1">
        <f t="array" ref="B4335">IFERROR(INDEX(tbNucleo[ESCOLA],ROUNDUP(ROW(B4334)/TotalEtapas,0)),"")</f>
        <v/>
      </c>
      <c r="E4335" t="str">
        <f>IFERROR(VLOOKUP(tbEscolas[[#This Row],[COD ETPA]],tbEtapas[],2,FALSE),"")</f>
        <v/>
      </c>
      <c r="F4335" t="str">
        <f>IFERROR(VLOOKUP(tbEscolas[[#This Row],[COD ETPA]],tbEtapas[],3,FALSE),"")</f>
        <v/>
      </c>
    </row>
    <row r="4336" spans="1:6" x14ac:dyDescent="0.25">
      <c r="A4336" s="24" t="str">
        <f>_xlfn.XLOOKUP(tbEscolas[[#This Row],[ESCOLA]],tbNucleo[ESCOLA],tbNucleo[COD ESCOLA],"")</f>
        <v/>
      </c>
      <c r="B4336" t="str" cm="1">
        <f t="array" ref="B4336">IFERROR(INDEX(tbNucleo[ESCOLA],ROUNDUP(ROW(B4335)/TotalEtapas,0)),"")</f>
        <v/>
      </c>
      <c r="E4336" t="str">
        <f>IFERROR(VLOOKUP(tbEscolas[[#This Row],[COD ETPA]],tbEtapas[],2,FALSE),"")</f>
        <v/>
      </c>
      <c r="F4336" t="str">
        <f>IFERROR(VLOOKUP(tbEscolas[[#This Row],[COD ETPA]],tbEtapas[],3,FALSE),"")</f>
        <v/>
      </c>
    </row>
    <row r="4337" spans="1:6" x14ac:dyDescent="0.25">
      <c r="A4337" s="24" t="str">
        <f>_xlfn.XLOOKUP(tbEscolas[[#This Row],[ESCOLA]],tbNucleo[ESCOLA],tbNucleo[COD ESCOLA],"")</f>
        <v/>
      </c>
      <c r="B4337" t="str" cm="1">
        <f t="array" ref="B4337">IFERROR(INDEX(tbNucleo[ESCOLA],ROUNDUP(ROW(B4336)/TotalEtapas,0)),"")</f>
        <v/>
      </c>
      <c r="E4337" t="str">
        <f>IFERROR(VLOOKUP(tbEscolas[[#This Row],[COD ETPA]],tbEtapas[],2,FALSE),"")</f>
        <v/>
      </c>
      <c r="F4337" t="str">
        <f>IFERROR(VLOOKUP(tbEscolas[[#This Row],[COD ETPA]],tbEtapas[],3,FALSE),"")</f>
        <v/>
      </c>
    </row>
    <row r="4338" spans="1:6" x14ac:dyDescent="0.25">
      <c r="A4338" s="24" t="str">
        <f>_xlfn.XLOOKUP(tbEscolas[[#This Row],[ESCOLA]],tbNucleo[ESCOLA],tbNucleo[COD ESCOLA],"")</f>
        <v/>
      </c>
      <c r="B4338" t="str" cm="1">
        <f t="array" ref="B4338">IFERROR(INDEX(tbNucleo[ESCOLA],ROUNDUP(ROW(B4337)/TotalEtapas,0)),"")</f>
        <v/>
      </c>
      <c r="E4338" t="str">
        <f>IFERROR(VLOOKUP(tbEscolas[[#This Row],[COD ETPA]],tbEtapas[],2,FALSE),"")</f>
        <v/>
      </c>
      <c r="F4338" t="str">
        <f>IFERROR(VLOOKUP(tbEscolas[[#This Row],[COD ETPA]],tbEtapas[],3,FALSE),"")</f>
        <v/>
      </c>
    </row>
    <row r="4339" spans="1:6" x14ac:dyDescent="0.25">
      <c r="A4339" s="24" t="str">
        <f>_xlfn.XLOOKUP(tbEscolas[[#This Row],[ESCOLA]],tbNucleo[ESCOLA],tbNucleo[COD ESCOLA],"")</f>
        <v/>
      </c>
      <c r="B4339" t="str" cm="1">
        <f t="array" ref="B4339">IFERROR(INDEX(tbNucleo[ESCOLA],ROUNDUP(ROW(B4338)/TotalEtapas,0)),"")</f>
        <v/>
      </c>
      <c r="E4339" t="str">
        <f>IFERROR(VLOOKUP(tbEscolas[[#This Row],[COD ETPA]],tbEtapas[],2,FALSE),"")</f>
        <v/>
      </c>
      <c r="F4339" t="str">
        <f>IFERROR(VLOOKUP(tbEscolas[[#This Row],[COD ETPA]],tbEtapas[],3,FALSE),"")</f>
        <v/>
      </c>
    </row>
    <row r="4340" spans="1:6" x14ac:dyDescent="0.25">
      <c r="A4340" s="24" t="str">
        <f>_xlfn.XLOOKUP(tbEscolas[[#This Row],[ESCOLA]],tbNucleo[ESCOLA],tbNucleo[COD ESCOLA],"")</f>
        <v/>
      </c>
      <c r="B4340" t="str" cm="1">
        <f t="array" ref="B4340">IFERROR(INDEX(tbNucleo[ESCOLA],ROUNDUP(ROW(B4339)/TotalEtapas,0)),"")</f>
        <v/>
      </c>
      <c r="E4340" t="str">
        <f>IFERROR(VLOOKUP(tbEscolas[[#This Row],[COD ETPA]],tbEtapas[],2,FALSE),"")</f>
        <v/>
      </c>
      <c r="F4340" t="str">
        <f>IFERROR(VLOOKUP(tbEscolas[[#This Row],[COD ETPA]],tbEtapas[],3,FALSE),"")</f>
        <v/>
      </c>
    </row>
    <row r="4341" spans="1:6" x14ac:dyDescent="0.25">
      <c r="A4341" s="24" t="str">
        <f>_xlfn.XLOOKUP(tbEscolas[[#This Row],[ESCOLA]],tbNucleo[ESCOLA],tbNucleo[COD ESCOLA],"")</f>
        <v/>
      </c>
      <c r="B4341" t="str" cm="1">
        <f t="array" ref="B4341">IFERROR(INDEX(tbNucleo[ESCOLA],ROUNDUP(ROW(B4340)/TotalEtapas,0)),"")</f>
        <v/>
      </c>
      <c r="E4341" t="str">
        <f>IFERROR(VLOOKUP(tbEscolas[[#This Row],[COD ETPA]],tbEtapas[],2,FALSE),"")</f>
        <v/>
      </c>
      <c r="F4341" t="str">
        <f>IFERROR(VLOOKUP(tbEscolas[[#This Row],[COD ETPA]],tbEtapas[],3,FALSE),"")</f>
        <v/>
      </c>
    </row>
    <row r="4342" spans="1:6" x14ac:dyDescent="0.25">
      <c r="A4342" s="24" t="str">
        <f>_xlfn.XLOOKUP(tbEscolas[[#This Row],[ESCOLA]],tbNucleo[ESCOLA],tbNucleo[COD ESCOLA],"")</f>
        <v/>
      </c>
      <c r="B4342" t="str" cm="1">
        <f t="array" ref="B4342">IFERROR(INDEX(tbNucleo[ESCOLA],ROUNDUP(ROW(B4341)/TotalEtapas,0)),"")</f>
        <v/>
      </c>
      <c r="E4342" t="str">
        <f>IFERROR(VLOOKUP(tbEscolas[[#This Row],[COD ETPA]],tbEtapas[],2,FALSE),"")</f>
        <v/>
      </c>
      <c r="F4342" t="str">
        <f>IFERROR(VLOOKUP(tbEscolas[[#This Row],[COD ETPA]],tbEtapas[],3,FALSE),"")</f>
        <v/>
      </c>
    </row>
    <row r="4343" spans="1:6" x14ac:dyDescent="0.25">
      <c r="A4343" s="24" t="str">
        <f>_xlfn.XLOOKUP(tbEscolas[[#This Row],[ESCOLA]],tbNucleo[ESCOLA],tbNucleo[COD ESCOLA],"")</f>
        <v/>
      </c>
      <c r="B4343" t="str" cm="1">
        <f t="array" ref="B4343">IFERROR(INDEX(tbNucleo[ESCOLA],ROUNDUP(ROW(B4342)/TotalEtapas,0)),"")</f>
        <v/>
      </c>
      <c r="E4343" t="str">
        <f>IFERROR(VLOOKUP(tbEscolas[[#This Row],[COD ETPA]],tbEtapas[],2,FALSE),"")</f>
        <v/>
      </c>
      <c r="F4343" t="str">
        <f>IFERROR(VLOOKUP(tbEscolas[[#This Row],[COD ETPA]],tbEtapas[],3,FALSE),"")</f>
        <v/>
      </c>
    </row>
    <row r="4344" spans="1:6" x14ac:dyDescent="0.25">
      <c r="A4344" s="24" t="str">
        <f>_xlfn.XLOOKUP(tbEscolas[[#This Row],[ESCOLA]],tbNucleo[ESCOLA],tbNucleo[COD ESCOLA],"")</f>
        <v/>
      </c>
      <c r="B4344" t="str" cm="1">
        <f t="array" ref="B4344">IFERROR(INDEX(tbNucleo[ESCOLA],ROUNDUP(ROW(B4343)/TotalEtapas,0)),"")</f>
        <v/>
      </c>
      <c r="E4344" t="str">
        <f>IFERROR(VLOOKUP(tbEscolas[[#This Row],[COD ETPA]],tbEtapas[],2,FALSE),"")</f>
        <v/>
      </c>
      <c r="F4344" t="str">
        <f>IFERROR(VLOOKUP(tbEscolas[[#This Row],[COD ETPA]],tbEtapas[],3,FALSE),"")</f>
        <v/>
      </c>
    </row>
    <row r="4345" spans="1:6" x14ac:dyDescent="0.25">
      <c r="A4345" s="24" t="str">
        <f>_xlfn.XLOOKUP(tbEscolas[[#This Row],[ESCOLA]],tbNucleo[ESCOLA],tbNucleo[COD ESCOLA],"")</f>
        <v/>
      </c>
      <c r="B4345" t="str" cm="1">
        <f t="array" ref="B4345">IFERROR(INDEX(tbNucleo[ESCOLA],ROUNDUP(ROW(B4344)/TotalEtapas,0)),"")</f>
        <v/>
      </c>
      <c r="E4345" t="str">
        <f>IFERROR(VLOOKUP(tbEscolas[[#This Row],[COD ETPA]],tbEtapas[],2,FALSE),"")</f>
        <v/>
      </c>
      <c r="F4345" t="str">
        <f>IFERROR(VLOOKUP(tbEscolas[[#This Row],[COD ETPA]],tbEtapas[],3,FALSE),"")</f>
        <v/>
      </c>
    </row>
    <row r="4346" spans="1:6" x14ac:dyDescent="0.25">
      <c r="A4346" s="24" t="str">
        <f>_xlfn.XLOOKUP(tbEscolas[[#This Row],[ESCOLA]],tbNucleo[ESCOLA],tbNucleo[COD ESCOLA],"")</f>
        <v/>
      </c>
      <c r="B4346" t="str" cm="1">
        <f t="array" ref="B4346">IFERROR(INDEX(tbNucleo[ESCOLA],ROUNDUP(ROW(B4345)/TotalEtapas,0)),"")</f>
        <v/>
      </c>
      <c r="E4346" t="str">
        <f>IFERROR(VLOOKUP(tbEscolas[[#This Row],[COD ETPA]],tbEtapas[],2,FALSE),"")</f>
        <v/>
      </c>
      <c r="F4346" t="str">
        <f>IFERROR(VLOOKUP(tbEscolas[[#This Row],[COD ETPA]],tbEtapas[],3,FALSE),"")</f>
        <v/>
      </c>
    </row>
    <row r="4347" spans="1:6" x14ac:dyDescent="0.25">
      <c r="A4347" s="24" t="str">
        <f>_xlfn.XLOOKUP(tbEscolas[[#This Row],[ESCOLA]],tbNucleo[ESCOLA],tbNucleo[COD ESCOLA],"")</f>
        <v/>
      </c>
      <c r="B4347" t="str" cm="1">
        <f t="array" ref="B4347">IFERROR(INDEX(tbNucleo[ESCOLA],ROUNDUP(ROW(B4346)/TotalEtapas,0)),"")</f>
        <v/>
      </c>
      <c r="E4347" t="str">
        <f>IFERROR(VLOOKUP(tbEscolas[[#This Row],[COD ETPA]],tbEtapas[],2,FALSE),"")</f>
        <v/>
      </c>
      <c r="F4347" t="str">
        <f>IFERROR(VLOOKUP(tbEscolas[[#This Row],[COD ETPA]],tbEtapas[],3,FALSE),"")</f>
        <v/>
      </c>
    </row>
    <row r="4348" spans="1:6" x14ac:dyDescent="0.25">
      <c r="A4348" s="24" t="str">
        <f>_xlfn.XLOOKUP(tbEscolas[[#This Row],[ESCOLA]],tbNucleo[ESCOLA],tbNucleo[COD ESCOLA],"")</f>
        <v/>
      </c>
      <c r="B4348" t="str" cm="1">
        <f t="array" ref="B4348">IFERROR(INDEX(tbNucleo[ESCOLA],ROUNDUP(ROW(B4347)/TotalEtapas,0)),"")</f>
        <v/>
      </c>
      <c r="E4348" t="str">
        <f>IFERROR(VLOOKUP(tbEscolas[[#This Row],[COD ETPA]],tbEtapas[],2,FALSE),"")</f>
        <v/>
      </c>
      <c r="F4348" t="str">
        <f>IFERROR(VLOOKUP(tbEscolas[[#This Row],[COD ETPA]],tbEtapas[],3,FALSE),"")</f>
        <v/>
      </c>
    </row>
    <row r="4349" spans="1:6" x14ac:dyDescent="0.25">
      <c r="A4349" s="24" t="str">
        <f>_xlfn.XLOOKUP(tbEscolas[[#This Row],[ESCOLA]],tbNucleo[ESCOLA],tbNucleo[COD ESCOLA],"")</f>
        <v/>
      </c>
      <c r="B4349" t="str" cm="1">
        <f t="array" ref="B4349">IFERROR(INDEX(tbNucleo[ESCOLA],ROUNDUP(ROW(B4348)/TotalEtapas,0)),"")</f>
        <v/>
      </c>
      <c r="E4349" t="str">
        <f>IFERROR(VLOOKUP(tbEscolas[[#This Row],[COD ETPA]],tbEtapas[],2,FALSE),"")</f>
        <v/>
      </c>
      <c r="F4349" t="str">
        <f>IFERROR(VLOOKUP(tbEscolas[[#This Row],[COD ETPA]],tbEtapas[],3,FALSE),"")</f>
        <v/>
      </c>
    </row>
    <row r="4350" spans="1:6" x14ac:dyDescent="0.25">
      <c r="A4350" s="24" t="str">
        <f>_xlfn.XLOOKUP(tbEscolas[[#This Row],[ESCOLA]],tbNucleo[ESCOLA],tbNucleo[COD ESCOLA],"")</f>
        <v/>
      </c>
      <c r="B4350" t="str" cm="1">
        <f t="array" ref="B4350">IFERROR(INDEX(tbNucleo[ESCOLA],ROUNDUP(ROW(B4349)/TotalEtapas,0)),"")</f>
        <v/>
      </c>
      <c r="E4350" t="str">
        <f>IFERROR(VLOOKUP(tbEscolas[[#This Row],[COD ETPA]],tbEtapas[],2,FALSE),"")</f>
        <v/>
      </c>
      <c r="F4350" t="str">
        <f>IFERROR(VLOOKUP(tbEscolas[[#This Row],[COD ETPA]],tbEtapas[],3,FALSE),"")</f>
        <v/>
      </c>
    </row>
    <row r="4351" spans="1:6" x14ac:dyDescent="0.25">
      <c r="A4351" s="24" t="str">
        <f>_xlfn.XLOOKUP(tbEscolas[[#This Row],[ESCOLA]],tbNucleo[ESCOLA],tbNucleo[COD ESCOLA],"")</f>
        <v/>
      </c>
      <c r="B4351" t="str" cm="1">
        <f t="array" ref="B4351">IFERROR(INDEX(tbNucleo[ESCOLA],ROUNDUP(ROW(B4350)/TotalEtapas,0)),"")</f>
        <v/>
      </c>
      <c r="E4351" t="str">
        <f>IFERROR(VLOOKUP(tbEscolas[[#This Row],[COD ETPA]],tbEtapas[],2,FALSE),"")</f>
        <v/>
      </c>
      <c r="F4351" t="str">
        <f>IFERROR(VLOOKUP(tbEscolas[[#This Row],[COD ETPA]],tbEtapas[],3,FALSE),"")</f>
        <v/>
      </c>
    </row>
    <row r="4352" spans="1:6" x14ac:dyDescent="0.25">
      <c r="A4352" s="24" t="str">
        <f>_xlfn.XLOOKUP(tbEscolas[[#This Row],[ESCOLA]],tbNucleo[ESCOLA],tbNucleo[COD ESCOLA],"")</f>
        <v/>
      </c>
      <c r="B4352" t="str" cm="1">
        <f t="array" ref="B4352">IFERROR(INDEX(tbNucleo[ESCOLA],ROUNDUP(ROW(B4351)/TotalEtapas,0)),"")</f>
        <v/>
      </c>
      <c r="E4352" t="str">
        <f>IFERROR(VLOOKUP(tbEscolas[[#This Row],[COD ETPA]],tbEtapas[],2,FALSE),"")</f>
        <v/>
      </c>
      <c r="F4352" t="str">
        <f>IFERROR(VLOOKUP(tbEscolas[[#This Row],[COD ETPA]],tbEtapas[],3,FALSE),"")</f>
        <v/>
      </c>
    </row>
    <row r="4353" spans="1:6" x14ac:dyDescent="0.25">
      <c r="A4353" s="24" t="str">
        <f>_xlfn.XLOOKUP(tbEscolas[[#This Row],[ESCOLA]],tbNucleo[ESCOLA],tbNucleo[COD ESCOLA],"")</f>
        <v/>
      </c>
      <c r="B4353" t="str" cm="1">
        <f t="array" ref="B4353">IFERROR(INDEX(tbNucleo[ESCOLA],ROUNDUP(ROW(B4352)/TotalEtapas,0)),"")</f>
        <v/>
      </c>
      <c r="E4353" t="str">
        <f>IFERROR(VLOOKUP(tbEscolas[[#This Row],[COD ETPA]],tbEtapas[],2,FALSE),"")</f>
        <v/>
      </c>
      <c r="F4353" t="str">
        <f>IFERROR(VLOOKUP(tbEscolas[[#This Row],[COD ETPA]],tbEtapas[],3,FALSE),"")</f>
        <v/>
      </c>
    </row>
    <row r="4354" spans="1:6" x14ac:dyDescent="0.25">
      <c r="A4354" s="24" t="str">
        <f>_xlfn.XLOOKUP(tbEscolas[[#This Row],[ESCOLA]],tbNucleo[ESCOLA],tbNucleo[COD ESCOLA],"")</f>
        <v/>
      </c>
      <c r="B4354" t="str" cm="1">
        <f t="array" ref="B4354">IFERROR(INDEX(tbNucleo[ESCOLA],ROUNDUP(ROW(B4353)/TotalEtapas,0)),"")</f>
        <v/>
      </c>
      <c r="E4354" t="str">
        <f>IFERROR(VLOOKUP(tbEscolas[[#This Row],[COD ETPA]],tbEtapas[],2,FALSE),"")</f>
        <v/>
      </c>
      <c r="F4354" t="str">
        <f>IFERROR(VLOOKUP(tbEscolas[[#This Row],[COD ETPA]],tbEtapas[],3,FALSE),"")</f>
        <v/>
      </c>
    </row>
    <row r="4355" spans="1:6" x14ac:dyDescent="0.25">
      <c r="A4355" s="24" t="str">
        <f>_xlfn.XLOOKUP(tbEscolas[[#This Row],[ESCOLA]],tbNucleo[ESCOLA],tbNucleo[COD ESCOLA],"")</f>
        <v/>
      </c>
      <c r="B4355" t="str" cm="1">
        <f t="array" ref="B4355">IFERROR(INDEX(tbNucleo[ESCOLA],ROUNDUP(ROW(B4354)/TotalEtapas,0)),"")</f>
        <v/>
      </c>
      <c r="E4355" t="str">
        <f>IFERROR(VLOOKUP(tbEscolas[[#This Row],[COD ETPA]],tbEtapas[],2,FALSE),"")</f>
        <v/>
      </c>
      <c r="F4355" t="str">
        <f>IFERROR(VLOOKUP(tbEscolas[[#This Row],[COD ETPA]],tbEtapas[],3,FALSE),"")</f>
        <v/>
      </c>
    </row>
    <row r="4356" spans="1:6" x14ac:dyDescent="0.25">
      <c r="A4356" s="24" t="str">
        <f>_xlfn.XLOOKUP(tbEscolas[[#This Row],[ESCOLA]],tbNucleo[ESCOLA],tbNucleo[COD ESCOLA],"")</f>
        <v/>
      </c>
      <c r="B4356" t="str" cm="1">
        <f t="array" ref="B4356">IFERROR(INDEX(tbNucleo[ESCOLA],ROUNDUP(ROW(B4355)/TotalEtapas,0)),"")</f>
        <v/>
      </c>
      <c r="E4356" t="str">
        <f>IFERROR(VLOOKUP(tbEscolas[[#This Row],[COD ETPA]],tbEtapas[],2,FALSE),"")</f>
        <v/>
      </c>
      <c r="F4356" t="str">
        <f>IFERROR(VLOOKUP(tbEscolas[[#This Row],[COD ETPA]],tbEtapas[],3,FALSE),"")</f>
        <v/>
      </c>
    </row>
    <row r="4357" spans="1:6" x14ac:dyDescent="0.25">
      <c r="A4357" s="24" t="str">
        <f>_xlfn.XLOOKUP(tbEscolas[[#This Row],[ESCOLA]],tbNucleo[ESCOLA],tbNucleo[COD ESCOLA],"")</f>
        <v/>
      </c>
      <c r="B4357" t="str" cm="1">
        <f t="array" ref="B4357">IFERROR(INDEX(tbNucleo[ESCOLA],ROUNDUP(ROW(B4356)/TotalEtapas,0)),"")</f>
        <v/>
      </c>
      <c r="E4357" t="str">
        <f>IFERROR(VLOOKUP(tbEscolas[[#This Row],[COD ETPA]],tbEtapas[],2,FALSE),"")</f>
        <v/>
      </c>
      <c r="F4357" t="str">
        <f>IFERROR(VLOOKUP(tbEscolas[[#This Row],[COD ETPA]],tbEtapas[],3,FALSE),"")</f>
        <v/>
      </c>
    </row>
    <row r="4358" spans="1:6" x14ac:dyDescent="0.25">
      <c r="A4358" s="24" t="str">
        <f>_xlfn.XLOOKUP(tbEscolas[[#This Row],[ESCOLA]],tbNucleo[ESCOLA],tbNucleo[COD ESCOLA],"")</f>
        <v/>
      </c>
      <c r="B4358" t="str" cm="1">
        <f t="array" ref="B4358">IFERROR(INDEX(tbNucleo[ESCOLA],ROUNDUP(ROW(B4357)/TotalEtapas,0)),"")</f>
        <v/>
      </c>
      <c r="E4358" t="str">
        <f>IFERROR(VLOOKUP(tbEscolas[[#This Row],[COD ETPA]],tbEtapas[],2,FALSE),"")</f>
        <v/>
      </c>
      <c r="F4358" t="str">
        <f>IFERROR(VLOOKUP(tbEscolas[[#This Row],[COD ETPA]],tbEtapas[],3,FALSE),"")</f>
        <v/>
      </c>
    </row>
    <row r="4359" spans="1:6" x14ac:dyDescent="0.25">
      <c r="A4359" s="24" t="str">
        <f>_xlfn.XLOOKUP(tbEscolas[[#This Row],[ESCOLA]],tbNucleo[ESCOLA],tbNucleo[COD ESCOLA],"")</f>
        <v/>
      </c>
      <c r="B4359" t="str" cm="1">
        <f t="array" ref="B4359">IFERROR(INDEX(tbNucleo[ESCOLA],ROUNDUP(ROW(B4358)/TotalEtapas,0)),"")</f>
        <v/>
      </c>
      <c r="E4359" t="str">
        <f>IFERROR(VLOOKUP(tbEscolas[[#This Row],[COD ETPA]],tbEtapas[],2,FALSE),"")</f>
        <v/>
      </c>
      <c r="F4359" t="str">
        <f>IFERROR(VLOOKUP(tbEscolas[[#This Row],[COD ETPA]],tbEtapas[],3,FALSE),"")</f>
        <v/>
      </c>
    </row>
    <row r="4360" spans="1:6" x14ac:dyDescent="0.25">
      <c r="A4360" s="24" t="str">
        <f>_xlfn.XLOOKUP(tbEscolas[[#This Row],[ESCOLA]],tbNucleo[ESCOLA],tbNucleo[COD ESCOLA],"")</f>
        <v/>
      </c>
      <c r="B4360" t="str" cm="1">
        <f t="array" ref="B4360">IFERROR(INDEX(tbNucleo[ESCOLA],ROUNDUP(ROW(B4359)/TotalEtapas,0)),"")</f>
        <v/>
      </c>
      <c r="E4360" t="str">
        <f>IFERROR(VLOOKUP(tbEscolas[[#This Row],[COD ETPA]],tbEtapas[],2,FALSE),"")</f>
        <v/>
      </c>
      <c r="F4360" t="str">
        <f>IFERROR(VLOOKUP(tbEscolas[[#This Row],[COD ETPA]],tbEtapas[],3,FALSE),"")</f>
        <v/>
      </c>
    </row>
    <row r="4361" spans="1:6" x14ac:dyDescent="0.25">
      <c r="A4361" s="24" t="str">
        <f>_xlfn.XLOOKUP(tbEscolas[[#This Row],[ESCOLA]],tbNucleo[ESCOLA],tbNucleo[COD ESCOLA],"")</f>
        <v/>
      </c>
      <c r="B4361" t="str" cm="1">
        <f t="array" ref="B4361">IFERROR(INDEX(tbNucleo[ESCOLA],ROUNDUP(ROW(B4360)/TotalEtapas,0)),"")</f>
        <v/>
      </c>
      <c r="E4361" t="str">
        <f>IFERROR(VLOOKUP(tbEscolas[[#This Row],[COD ETPA]],tbEtapas[],2,FALSE),"")</f>
        <v/>
      </c>
      <c r="F4361" t="str">
        <f>IFERROR(VLOOKUP(tbEscolas[[#This Row],[COD ETPA]],tbEtapas[],3,FALSE),"")</f>
        <v/>
      </c>
    </row>
    <row r="4362" spans="1:6" x14ac:dyDescent="0.25">
      <c r="A4362" s="24" t="str">
        <f>_xlfn.XLOOKUP(tbEscolas[[#This Row],[ESCOLA]],tbNucleo[ESCOLA],tbNucleo[COD ESCOLA],"")</f>
        <v/>
      </c>
      <c r="B4362" t="str" cm="1">
        <f t="array" ref="B4362">IFERROR(INDEX(tbNucleo[ESCOLA],ROUNDUP(ROW(B4361)/TotalEtapas,0)),"")</f>
        <v/>
      </c>
      <c r="E4362" t="str">
        <f>IFERROR(VLOOKUP(tbEscolas[[#This Row],[COD ETPA]],tbEtapas[],2,FALSE),"")</f>
        <v/>
      </c>
      <c r="F4362" t="str">
        <f>IFERROR(VLOOKUP(tbEscolas[[#This Row],[COD ETPA]],tbEtapas[],3,FALSE),"")</f>
        <v/>
      </c>
    </row>
    <row r="4363" spans="1:6" x14ac:dyDescent="0.25">
      <c r="A4363" s="24" t="str">
        <f>_xlfn.XLOOKUP(tbEscolas[[#This Row],[ESCOLA]],tbNucleo[ESCOLA],tbNucleo[COD ESCOLA],"")</f>
        <v/>
      </c>
      <c r="B4363" t="str" cm="1">
        <f t="array" ref="B4363">IFERROR(INDEX(tbNucleo[ESCOLA],ROUNDUP(ROW(B4362)/TotalEtapas,0)),"")</f>
        <v/>
      </c>
      <c r="E4363" t="str">
        <f>IFERROR(VLOOKUP(tbEscolas[[#This Row],[COD ETPA]],tbEtapas[],2,FALSE),"")</f>
        <v/>
      </c>
      <c r="F4363" t="str">
        <f>IFERROR(VLOOKUP(tbEscolas[[#This Row],[COD ETPA]],tbEtapas[],3,FALSE),"")</f>
        <v/>
      </c>
    </row>
    <row r="4364" spans="1:6" x14ac:dyDescent="0.25">
      <c r="A4364" s="24" t="str">
        <f>_xlfn.XLOOKUP(tbEscolas[[#This Row],[ESCOLA]],tbNucleo[ESCOLA],tbNucleo[COD ESCOLA],"")</f>
        <v/>
      </c>
      <c r="B4364" t="str" cm="1">
        <f t="array" ref="B4364">IFERROR(INDEX(tbNucleo[ESCOLA],ROUNDUP(ROW(B4363)/TotalEtapas,0)),"")</f>
        <v/>
      </c>
      <c r="E4364" t="str">
        <f>IFERROR(VLOOKUP(tbEscolas[[#This Row],[COD ETPA]],tbEtapas[],2,FALSE),"")</f>
        <v/>
      </c>
      <c r="F4364" t="str">
        <f>IFERROR(VLOOKUP(tbEscolas[[#This Row],[COD ETPA]],tbEtapas[],3,FALSE),"")</f>
        <v/>
      </c>
    </row>
    <row r="4365" spans="1:6" x14ac:dyDescent="0.25">
      <c r="A4365" s="24" t="str">
        <f>_xlfn.XLOOKUP(tbEscolas[[#This Row],[ESCOLA]],tbNucleo[ESCOLA],tbNucleo[COD ESCOLA],"")</f>
        <v/>
      </c>
      <c r="B4365" t="str" cm="1">
        <f t="array" ref="B4365">IFERROR(INDEX(tbNucleo[ESCOLA],ROUNDUP(ROW(B4364)/TotalEtapas,0)),"")</f>
        <v/>
      </c>
      <c r="E4365" t="str">
        <f>IFERROR(VLOOKUP(tbEscolas[[#This Row],[COD ETPA]],tbEtapas[],2,FALSE),"")</f>
        <v/>
      </c>
      <c r="F4365" t="str">
        <f>IFERROR(VLOOKUP(tbEscolas[[#This Row],[COD ETPA]],tbEtapas[],3,FALSE),"")</f>
        <v/>
      </c>
    </row>
    <row r="4366" spans="1:6" x14ac:dyDescent="0.25">
      <c r="A4366" s="24" t="str">
        <f>_xlfn.XLOOKUP(tbEscolas[[#This Row],[ESCOLA]],tbNucleo[ESCOLA],tbNucleo[COD ESCOLA],"")</f>
        <v/>
      </c>
      <c r="B4366" t="str" cm="1">
        <f t="array" ref="B4366">IFERROR(INDEX(tbNucleo[ESCOLA],ROUNDUP(ROW(B4365)/TotalEtapas,0)),"")</f>
        <v/>
      </c>
      <c r="E4366" t="str">
        <f>IFERROR(VLOOKUP(tbEscolas[[#This Row],[COD ETPA]],tbEtapas[],2,FALSE),"")</f>
        <v/>
      </c>
      <c r="F4366" t="str">
        <f>IFERROR(VLOOKUP(tbEscolas[[#This Row],[COD ETPA]],tbEtapas[],3,FALSE),"")</f>
        <v/>
      </c>
    </row>
    <row r="4367" spans="1:6" x14ac:dyDescent="0.25">
      <c r="A4367" s="24" t="str">
        <f>_xlfn.XLOOKUP(tbEscolas[[#This Row],[ESCOLA]],tbNucleo[ESCOLA],tbNucleo[COD ESCOLA],"")</f>
        <v/>
      </c>
      <c r="B4367" t="str" cm="1">
        <f t="array" ref="B4367">IFERROR(INDEX(tbNucleo[ESCOLA],ROUNDUP(ROW(B4366)/TotalEtapas,0)),"")</f>
        <v/>
      </c>
      <c r="E4367" t="str">
        <f>IFERROR(VLOOKUP(tbEscolas[[#This Row],[COD ETPA]],tbEtapas[],2,FALSE),"")</f>
        <v/>
      </c>
      <c r="F4367" t="str">
        <f>IFERROR(VLOOKUP(tbEscolas[[#This Row],[COD ETPA]],tbEtapas[],3,FALSE),"")</f>
        <v/>
      </c>
    </row>
    <row r="4368" spans="1:6" x14ac:dyDescent="0.25">
      <c r="A4368" s="24" t="str">
        <f>_xlfn.XLOOKUP(tbEscolas[[#This Row],[ESCOLA]],tbNucleo[ESCOLA],tbNucleo[COD ESCOLA],"")</f>
        <v/>
      </c>
      <c r="B4368" t="str" cm="1">
        <f t="array" ref="B4368">IFERROR(INDEX(tbNucleo[ESCOLA],ROUNDUP(ROW(B4367)/TotalEtapas,0)),"")</f>
        <v/>
      </c>
      <c r="E4368" t="str">
        <f>IFERROR(VLOOKUP(tbEscolas[[#This Row],[COD ETPA]],tbEtapas[],2,FALSE),"")</f>
        <v/>
      </c>
      <c r="F4368" t="str">
        <f>IFERROR(VLOOKUP(tbEscolas[[#This Row],[COD ETPA]],tbEtapas[],3,FALSE),"")</f>
        <v/>
      </c>
    </row>
    <row r="4369" spans="1:6" x14ac:dyDescent="0.25">
      <c r="A4369" s="24" t="str">
        <f>_xlfn.XLOOKUP(tbEscolas[[#This Row],[ESCOLA]],tbNucleo[ESCOLA],tbNucleo[COD ESCOLA],"")</f>
        <v/>
      </c>
      <c r="B4369" t="str" cm="1">
        <f t="array" ref="B4369">IFERROR(INDEX(tbNucleo[ESCOLA],ROUNDUP(ROW(B4368)/TotalEtapas,0)),"")</f>
        <v/>
      </c>
      <c r="E4369" t="str">
        <f>IFERROR(VLOOKUP(tbEscolas[[#This Row],[COD ETPA]],tbEtapas[],2,FALSE),"")</f>
        <v/>
      </c>
      <c r="F4369" t="str">
        <f>IFERROR(VLOOKUP(tbEscolas[[#This Row],[COD ETPA]],tbEtapas[],3,FALSE),"")</f>
        <v/>
      </c>
    </row>
    <row r="4370" spans="1:6" x14ac:dyDescent="0.25">
      <c r="A4370" s="24" t="str">
        <f>_xlfn.XLOOKUP(tbEscolas[[#This Row],[ESCOLA]],tbNucleo[ESCOLA],tbNucleo[COD ESCOLA],"")</f>
        <v/>
      </c>
      <c r="B4370" t="str" cm="1">
        <f t="array" ref="B4370">IFERROR(INDEX(tbNucleo[ESCOLA],ROUNDUP(ROW(B4369)/TotalEtapas,0)),"")</f>
        <v/>
      </c>
      <c r="E4370" t="str">
        <f>IFERROR(VLOOKUP(tbEscolas[[#This Row],[COD ETPA]],tbEtapas[],2,FALSE),"")</f>
        <v/>
      </c>
      <c r="F4370" t="str">
        <f>IFERROR(VLOOKUP(tbEscolas[[#This Row],[COD ETPA]],tbEtapas[],3,FALSE),"")</f>
        <v/>
      </c>
    </row>
    <row r="4371" spans="1:6" x14ac:dyDescent="0.25">
      <c r="A4371" s="24" t="str">
        <f>_xlfn.XLOOKUP(tbEscolas[[#This Row],[ESCOLA]],tbNucleo[ESCOLA],tbNucleo[COD ESCOLA],"")</f>
        <v/>
      </c>
      <c r="B4371" t="str" cm="1">
        <f t="array" ref="B4371">IFERROR(INDEX(tbNucleo[ESCOLA],ROUNDUP(ROW(B4370)/TotalEtapas,0)),"")</f>
        <v/>
      </c>
      <c r="E4371" t="str">
        <f>IFERROR(VLOOKUP(tbEscolas[[#This Row],[COD ETPA]],tbEtapas[],2,FALSE),"")</f>
        <v/>
      </c>
      <c r="F4371" t="str">
        <f>IFERROR(VLOOKUP(tbEscolas[[#This Row],[COD ETPA]],tbEtapas[],3,FALSE),"")</f>
        <v/>
      </c>
    </row>
    <row r="4372" spans="1:6" x14ac:dyDescent="0.25">
      <c r="A4372" s="24" t="str">
        <f>_xlfn.XLOOKUP(tbEscolas[[#This Row],[ESCOLA]],tbNucleo[ESCOLA],tbNucleo[COD ESCOLA],"")</f>
        <v/>
      </c>
      <c r="B4372" t="str" cm="1">
        <f t="array" ref="B4372">IFERROR(INDEX(tbNucleo[ESCOLA],ROUNDUP(ROW(B4371)/TotalEtapas,0)),"")</f>
        <v/>
      </c>
      <c r="E4372" t="str">
        <f>IFERROR(VLOOKUP(tbEscolas[[#This Row],[COD ETPA]],tbEtapas[],2,FALSE),"")</f>
        <v/>
      </c>
      <c r="F4372" t="str">
        <f>IFERROR(VLOOKUP(tbEscolas[[#This Row],[COD ETPA]],tbEtapas[],3,FALSE),"")</f>
        <v/>
      </c>
    </row>
    <row r="4373" spans="1:6" x14ac:dyDescent="0.25">
      <c r="A4373" s="24" t="str">
        <f>_xlfn.XLOOKUP(tbEscolas[[#This Row],[ESCOLA]],tbNucleo[ESCOLA],tbNucleo[COD ESCOLA],"")</f>
        <v/>
      </c>
      <c r="B4373" t="str" cm="1">
        <f t="array" ref="B4373">IFERROR(INDEX(tbNucleo[ESCOLA],ROUNDUP(ROW(B4372)/TotalEtapas,0)),"")</f>
        <v/>
      </c>
      <c r="E4373" t="str">
        <f>IFERROR(VLOOKUP(tbEscolas[[#This Row],[COD ETPA]],tbEtapas[],2,FALSE),"")</f>
        <v/>
      </c>
      <c r="F4373" t="str">
        <f>IFERROR(VLOOKUP(tbEscolas[[#This Row],[COD ETPA]],tbEtapas[],3,FALSE),"")</f>
        <v/>
      </c>
    </row>
    <row r="4374" spans="1:6" x14ac:dyDescent="0.25">
      <c r="A4374" s="24" t="str">
        <f>_xlfn.XLOOKUP(tbEscolas[[#This Row],[ESCOLA]],tbNucleo[ESCOLA],tbNucleo[COD ESCOLA],"")</f>
        <v/>
      </c>
      <c r="B4374" t="str" cm="1">
        <f t="array" ref="B4374">IFERROR(INDEX(tbNucleo[ESCOLA],ROUNDUP(ROW(B4373)/TotalEtapas,0)),"")</f>
        <v/>
      </c>
      <c r="E4374" t="str">
        <f>IFERROR(VLOOKUP(tbEscolas[[#This Row],[COD ETPA]],tbEtapas[],2,FALSE),"")</f>
        <v/>
      </c>
      <c r="F4374" t="str">
        <f>IFERROR(VLOOKUP(tbEscolas[[#This Row],[COD ETPA]],tbEtapas[],3,FALSE),"")</f>
        <v/>
      </c>
    </row>
    <row r="4375" spans="1:6" x14ac:dyDescent="0.25">
      <c r="A4375" s="24" t="str">
        <f>_xlfn.XLOOKUP(tbEscolas[[#This Row],[ESCOLA]],tbNucleo[ESCOLA],tbNucleo[COD ESCOLA],"")</f>
        <v/>
      </c>
      <c r="B4375" t="str" cm="1">
        <f t="array" ref="B4375">IFERROR(INDEX(tbNucleo[ESCOLA],ROUNDUP(ROW(B4374)/TotalEtapas,0)),"")</f>
        <v/>
      </c>
      <c r="E4375" t="str">
        <f>IFERROR(VLOOKUP(tbEscolas[[#This Row],[COD ETPA]],tbEtapas[],2,FALSE),"")</f>
        <v/>
      </c>
      <c r="F4375" t="str">
        <f>IFERROR(VLOOKUP(tbEscolas[[#This Row],[COD ETPA]],tbEtapas[],3,FALSE),"")</f>
        <v/>
      </c>
    </row>
    <row r="4376" spans="1:6" x14ac:dyDescent="0.25">
      <c r="A4376" s="24" t="str">
        <f>_xlfn.XLOOKUP(tbEscolas[[#This Row],[ESCOLA]],tbNucleo[ESCOLA],tbNucleo[COD ESCOLA],"")</f>
        <v/>
      </c>
      <c r="B4376" t="str" cm="1">
        <f t="array" ref="B4376">IFERROR(INDEX(tbNucleo[ESCOLA],ROUNDUP(ROW(B4375)/TotalEtapas,0)),"")</f>
        <v/>
      </c>
      <c r="E4376" t="str">
        <f>IFERROR(VLOOKUP(tbEscolas[[#This Row],[COD ETPA]],tbEtapas[],2,FALSE),"")</f>
        <v/>
      </c>
      <c r="F4376" t="str">
        <f>IFERROR(VLOOKUP(tbEscolas[[#This Row],[COD ETPA]],tbEtapas[],3,FALSE),"")</f>
        <v/>
      </c>
    </row>
    <row r="4377" spans="1:6" x14ac:dyDescent="0.25">
      <c r="A4377" s="24" t="str">
        <f>_xlfn.XLOOKUP(tbEscolas[[#This Row],[ESCOLA]],tbNucleo[ESCOLA],tbNucleo[COD ESCOLA],"")</f>
        <v/>
      </c>
      <c r="B4377" t="str" cm="1">
        <f t="array" ref="B4377">IFERROR(INDEX(tbNucleo[ESCOLA],ROUNDUP(ROW(B4376)/TotalEtapas,0)),"")</f>
        <v/>
      </c>
      <c r="E4377" t="str">
        <f>IFERROR(VLOOKUP(tbEscolas[[#This Row],[COD ETPA]],tbEtapas[],2,FALSE),"")</f>
        <v/>
      </c>
      <c r="F4377" t="str">
        <f>IFERROR(VLOOKUP(tbEscolas[[#This Row],[COD ETPA]],tbEtapas[],3,FALSE),"")</f>
        <v/>
      </c>
    </row>
    <row r="4378" spans="1:6" x14ac:dyDescent="0.25">
      <c r="A4378" s="24" t="str">
        <f>_xlfn.XLOOKUP(tbEscolas[[#This Row],[ESCOLA]],tbNucleo[ESCOLA],tbNucleo[COD ESCOLA],"")</f>
        <v/>
      </c>
      <c r="B4378" t="str" cm="1">
        <f t="array" ref="B4378">IFERROR(INDEX(tbNucleo[ESCOLA],ROUNDUP(ROW(B4377)/TotalEtapas,0)),"")</f>
        <v/>
      </c>
      <c r="E4378" t="str">
        <f>IFERROR(VLOOKUP(tbEscolas[[#This Row],[COD ETPA]],tbEtapas[],2,FALSE),"")</f>
        <v/>
      </c>
      <c r="F4378" t="str">
        <f>IFERROR(VLOOKUP(tbEscolas[[#This Row],[COD ETPA]],tbEtapas[],3,FALSE),"")</f>
        <v/>
      </c>
    </row>
    <row r="4379" spans="1:6" x14ac:dyDescent="0.25">
      <c r="A4379" s="24" t="str">
        <f>_xlfn.XLOOKUP(tbEscolas[[#This Row],[ESCOLA]],tbNucleo[ESCOLA],tbNucleo[COD ESCOLA],"")</f>
        <v/>
      </c>
      <c r="B4379" t="str" cm="1">
        <f t="array" ref="B4379">IFERROR(INDEX(tbNucleo[ESCOLA],ROUNDUP(ROW(B4378)/TotalEtapas,0)),"")</f>
        <v/>
      </c>
      <c r="E4379" t="str">
        <f>IFERROR(VLOOKUP(tbEscolas[[#This Row],[COD ETPA]],tbEtapas[],2,FALSE),"")</f>
        <v/>
      </c>
      <c r="F4379" t="str">
        <f>IFERROR(VLOOKUP(tbEscolas[[#This Row],[COD ETPA]],tbEtapas[],3,FALSE),"")</f>
        <v/>
      </c>
    </row>
    <row r="4380" spans="1:6" x14ac:dyDescent="0.25">
      <c r="A4380" s="24" t="str">
        <f>_xlfn.XLOOKUP(tbEscolas[[#This Row],[ESCOLA]],tbNucleo[ESCOLA],tbNucleo[COD ESCOLA],"")</f>
        <v/>
      </c>
      <c r="B4380" t="str" cm="1">
        <f t="array" ref="B4380">IFERROR(INDEX(tbNucleo[ESCOLA],ROUNDUP(ROW(B4379)/TotalEtapas,0)),"")</f>
        <v/>
      </c>
      <c r="E4380" t="str">
        <f>IFERROR(VLOOKUP(tbEscolas[[#This Row],[COD ETPA]],tbEtapas[],2,FALSE),"")</f>
        <v/>
      </c>
      <c r="F4380" t="str">
        <f>IFERROR(VLOOKUP(tbEscolas[[#This Row],[COD ETPA]],tbEtapas[],3,FALSE),"")</f>
        <v/>
      </c>
    </row>
    <row r="4381" spans="1:6" x14ac:dyDescent="0.25">
      <c r="A4381" s="24" t="str">
        <f>_xlfn.XLOOKUP(tbEscolas[[#This Row],[ESCOLA]],tbNucleo[ESCOLA],tbNucleo[COD ESCOLA],"")</f>
        <v/>
      </c>
      <c r="B4381" t="str" cm="1">
        <f t="array" ref="B4381">IFERROR(INDEX(tbNucleo[ESCOLA],ROUNDUP(ROW(B4380)/TotalEtapas,0)),"")</f>
        <v/>
      </c>
      <c r="E4381" t="str">
        <f>IFERROR(VLOOKUP(tbEscolas[[#This Row],[COD ETPA]],tbEtapas[],2,FALSE),"")</f>
        <v/>
      </c>
      <c r="F4381" t="str">
        <f>IFERROR(VLOOKUP(tbEscolas[[#This Row],[COD ETPA]],tbEtapas[],3,FALSE),"")</f>
        <v/>
      </c>
    </row>
    <row r="4382" spans="1:6" x14ac:dyDescent="0.25">
      <c r="A4382" s="24" t="str">
        <f>_xlfn.XLOOKUP(tbEscolas[[#This Row],[ESCOLA]],tbNucleo[ESCOLA],tbNucleo[COD ESCOLA],"")</f>
        <v/>
      </c>
      <c r="B4382" t="str" cm="1">
        <f t="array" ref="B4382">IFERROR(INDEX(tbNucleo[ESCOLA],ROUNDUP(ROW(B4381)/TotalEtapas,0)),"")</f>
        <v/>
      </c>
      <c r="E4382" t="str">
        <f>IFERROR(VLOOKUP(tbEscolas[[#This Row],[COD ETPA]],tbEtapas[],2,FALSE),"")</f>
        <v/>
      </c>
      <c r="F4382" t="str">
        <f>IFERROR(VLOOKUP(tbEscolas[[#This Row],[COD ETPA]],tbEtapas[],3,FALSE),"")</f>
        <v/>
      </c>
    </row>
    <row r="4383" spans="1:6" x14ac:dyDescent="0.25">
      <c r="A4383" s="24" t="str">
        <f>_xlfn.XLOOKUP(tbEscolas[[#This Row],[ESCOLA]],tbNucleo[ESCOLA],tbNucleo[COD ESCOLA],"")</f>
        <v/>
      </c>
      <c r="B4383" t="str" cm="1">
        <f t="array" ref="B4383">IFERROR(INDEX(tbNucleo[ESCOLA],ROUNDUP(ROW(B4382)/TotalEtapas,0)),"")</f>
        <v/>
      </c>
      <c r="E4383" t="str">
        <f>IFERROR(VLOOKUP(tbEscolas[[#This Row],[COD ETPA]],tbEtapas[],2,FALSE),"")</f>
        <v/>
      </c>
      <c r="F4383" t="str">
        <f>IFERROR(VLOOKUP(tbEscolas[[#This Row],[COD ETPA]],tbEtapas[],3,FALSE),"")</f>
        <v/>
      </c>
    </row>
    <row r="4384" spans="1:6" x14ac:dyDescent="0.25">
      <c r="A4384" s="24" t="str">
        <f>_xlfn.XLOOKUP(tbEscolas[[#This Row],[ESCOLA]],tbNucleo[ESCOLA],tbNucleo[COD ESCOLA],"")</f>
        <v/>
      </c>
      <c r="B4384" t="str" cm="1">
        <f t="array" ref="B4384">IFERROR(INDEX(tbNucleo[ESCOLA],ROUNDUP(ROW(B4383)/TotalEtapas,0)),"")</f>
        <v/>
      </c>
      <c r="E4384" t="str">
        <f>IFERROR(VLOOKUP(tbEscolas[[#This Row],[COD ETPA]],tbEtapas[],2,FALSE),"")</f>
        <v/>
      </c>
      <c r="F4384" t="str">
        <f>IFERROR(VLOOKUP(tbEscolas[[#This Row],[COD ETPA]],tbEtapas[],3,FALSE),"")</f>
        <v/>
      </c>
    </row>
    <row r="4385" spans="1:6" x14ac:dyDescent="0.25">
      <c r="A4385" s="24" t="str">
        <f>_xlfn.XLOOKUP(tbEscolas[[#This Row],[ESCOLA]],tbNucleo[ESCOLA],tbNucleo[COD ESCOLA],"")</f>
        <v/>
      </c>
      <c r="B4385" t="str" cm="1">
        <f t="array" ref="B4385">IFERROR(INDEX(tbNucleo[ESCOLA],ROUNDUP(ROW(B4384)/TotalEtapas,0)),"")</f>
        <v/>
      </c>
      <c r="E4385" t="str">
        <f>IFERROR(VLOOKUP(tbEscolas[[#This Row],[COD ETPA]],tbEtapas[],2,FALSE),"")</f>
        <v/>
      </c>
      <c r="F4385" t="str">
        <f>IFERROR(VLOOKUP(tbEscolas[[#This Row],[COD ETPA]],tbEtapas[],3,FALSE),"")</f>
        <v/>
      </c>
    </row>
    <row r="4386" spans="1:6" x14ac:dyDescent="0.25">
      <c r="A4386" s="24" t="str">
        <f>_xlfn.XLOOKUP(tbEscolas[[#This Row],[ESCOLA]],tbNucleo[ESCOLA],tbNucleo[COD ESCOLA],"")</f>
        <v/>
      </c>
      <c r="B4386" t="str" cm="1">
        <f t="array" ref="B4386">IFERROR(INDEX(tbNucleo[ESCOLA],ROUNDUP(ROW(B4385)/TotalEtapas,0)),"")</f>
        <v/>
      </c>
      <c r="E4386" t="str">
        <f>IFERROR(VLOOKUP(tbEscolas[[#This Row],[COD ETPA]],tbEtapas[],2,FALSE),"")</f>
        <v/>
      </c>
      <c r="F4386" t="str">
        <f>IFERROR(VLOOKUP(tbEscolas[[#This Row],[COD ETPA]],tbEtapas[],3,FALSE),"")</f>
        <v/>
      </c>
    </row>
    <row r="4387" spans="1:6" x14ac:dyDescent="0.25">
      <c r="A4387" s="24" t="str">
        <f>_xlfn.XLOOKUP(tbEscolas[[#This Row],[ESCOLA]],tbNucleo[ESCOLA],tbNucleo[COD ESCOLA],"")</f>
        <v/>
      </c>
      <c r="B4387" t="str" cm="1">
        <f t="array" ref="B4387">IFERROR(INDEX(tbNucleo[ESCOLA],ROUNDUP(ROW(B4386)/TotalEtapas,0)),"")</f>
        <v/>
      </c>
      <c r="E4387" t="str">
        <f>IFERROR(VLOOKUP(tbEscolas[[#This Row],[COD ETPA]],tbEtapas[],2,FALSE),"")</f>
        <v/>
      </c>
      <c r="F4387" t="str">
        <f>IFERROR(VLOOKUP(tbEscolas[[#This Row],[COD ETPA]],tbEtapas[],3,FALSE),"")</f>
        <v/>
      </c>
    </row>
    <row r="4388" spans="1:6" x14ac:dyDescent="0.25">
      <c r="A4388" s="24" t="str">
        <f>_xlfn.XLOOKUP(tbEscolas[[#This Row],[ESCOLA]],tbNucleo[ESCOLA],tbNucleo[COD ESCOLA],"")</f>
        <v/>
      </c>
      <c r="B4388" t="str" cm="1">
        <f t="array" ref="B4388">IFERROR(INDEX(tbNucleo[ESCOLA],ROUNDUP(ROW(B4387)/TotalEtapas,0)),"")</f>
        <v/>
      </c>
      <c r="E4388" t="str">
        <f>IFERROR(VLOOKUP(tbEscolas[[#This Row],[COD ETPA]],tbEtapas[],2,FALSE),"")</f>
        <v/>
      </c>
      <c r="F4388" t="str">
        <f>IFERROR(VLOOKUP(tbEscolas[[#This Row],[COD ETPA]],tbEtapas[],3,FALSE),"")</f>
        <v/>
      </c>
    </row>
    <row r="4389" spans="1:6" x14ac:dyDescent="0.25">
      <c r="A4389" s="24" t="str">
        <f>_xlfn.XLOOKUP(tbEscolas[[#This Row],[ESCOLA]],tbNucleo[ESCOLA],tbNucleo[COD ESCOLA],"")</f>
        <v/>
      </c>
      <c r="B4389" t="str" cm="1">
        <f t="array" ref="B4389">IFERROR(INDEX(tbNucleo[ESCOLA],ROUNDUP(ROW(B4388)/TotalEtapas,0)),"")</f>
        <v/>
      </c>
      <c r="E4389" t="str">
        <f>IFERROR(VLOOKUP(tbEscolas[[#This Row],[COD ETPA]],tbEtapas[],2,FALSE),"")</f>
        <v/>
      </c>
      <c r="F4389" t="str">
        <f>IFERROR(VLOOKUP(tbEscolas[[#This Row],[COD ETPA]],tbEtapas[],3,FALSE),"")</f>
        <v/>
      </c>
    </row>
    <row r="4390" spans="1:6" x14ac:dyDescent="0.25">
      <c r="A4390" s="24" t="str">
        <f>_xlfn.XLOOKUP(tbEscolas[[#This Row],[ESCOLA]],tbNucleo[ESCOLA],tbNucleo[COD ESCOLA],"")</f>
        <v/>
      </c>
      <c r="B4390" t="str" cm="1">
        <f t="array" ref="B4390">IFERROR(INDEX(tbNucleo[ESCOLA],ROUNDUP(ROW(B4389)/TotalEtapas,0)),"")</f>
        <v/>
      </c>
      <c r="E4390" t="str">
        <f>IFERROR(VLOOKUP(tbEscolas[[#This Row],[COD ETPA]],tbEtapas[],2,FALSE),"")</f>
        <v/>
      </c>
      <c r="F4390" t="str">
        <f>IFERROR(VLOOKUP(tbEscolas[[#This Row],[COD ETPA]],tbEtapas[],3,FALSE),"")</f>
        <v/>
      </c>
    </row>
    <row r="4391" spans="1:6" x14ac:dyDescent="0.25">
      <c r="A4391" s="24" t="str">
        <f>_xlfn.XLOOKUP(tbEscolas[[#This Row],[ESCOLA]],tbNucleo[ESCOLA],tbNucleo[COD ESCOLA],"")</f>
        <v/>
      </c>
      <c r="B4391" t="str" cm="1">
        <f t="array" ref="B4391">IFERROR(INDEX(tbNucleo[ESCOLA],ROUNDUP(ROW(B4390)/TotalEtapas,0)),"")</f>
        <v/>
      </c>
      <c r="E4391" t="str">
        <f>IFERROR(VLOOKUP(tbEscolas[[#This Row],[COD ETPA]],tbEtapas[],2,FALSE),"")</f>
        <v/>
      </c>
      <c r="F4391" t="str">
        <f>IFERROR(VLOOKUP(tbEscolas[[#This Row],[COD ETPA]],tbEtapas[],3,FALSE),"")</f>
        <v/>
      </c>
    </row>
    <row r="4392" spans="1:6" x14ac:dyDescent="0.25">
      <c r="A4392" s="24" t="str">
        <f>_xlfn.XLOOKUP(tbEscolas[[#This Row],[ESCOLA]],tbNucleo[ESCOLA],tbNucleo[COD ESCOLA],"")</f>
        <v/>
      </c>
      <c r="B4392" t="str" cm="1">
        <f t="array" ref="B4392">IFERROR(INDEX(tbNucleo[ESCOLA],ROUNDUP(ROW(B4391)/TotalEtapas,0)),"")</f>
        <v/>
      </c>
      <c r="E4392" t="str">
        <f>IFERROR(VLOOKUP(tbEscolas[[#This Row],[COD ETPA]],tbEtapas[],2,FALSE),"")</f>
        <v/>
      </c>
      <c r="F4392" t="str">
        <f>IFERROR(VLOOKUP(tbEscolas[[#This Row],[COD ETPA]],tbEtapas[],3,FALSE),"")</f>
        <v/>
      </c>
    </row>
    <row r="4393" spans="1:6" x14ac:dyDescent="0.25">
      <c r="A4393" s="24" t="str">
        <f>_xlfn.XLOOKUP(tbEscolas[[#This Row],[ESCOLA]],tbNucleo[ESCOLA],tbNucleo[COD ESCOLA],"")</f>
        <v/>
      </c>
      <c r="B4393" t="str" cm="1">
        <f t="array" ref="B4393">IFERROR(INDEX(tbNucleo[ESCOLA],ROUNDUP(ROW(B4392)/TotalEtapas,0)),"")</f>
        <v/>
      </c>
      <c r="E4393" t="str">
        <f>IFERROR(VLOOKUP(tbEscolas[[#This Row],[COD ETPA]],tbEtapas[],2,FALSE),"")</f>
        <v/>
      </c>
      <c r="F4393" t="str">
        <f>IFERROR(VLOOKUP(tbEscolas[[#This Row],[COD ETPA]],tbEtapas[],3,FALSE),"")</f>
        <v/>
      </c>
    </row>
    <row r="4394" spans="1:6" x14ac:dyDescent="0.25">
      <c r="A4394" s="24" t="str">
        <f>_xlfn.XLOOKUP(tbEscolas[[#This Row],[ESCOLA]],tbNucleo[ESCOLA],tbNucleo[COD ESCOLA],"")</f>
        <v/>
      </c>
      <c r="B4394" t="str" cm="1">
        <f t="array" ref="B4394">IFERROR(INDEX(tbNucleo[ESCOLA],ROUNDUP(ROW(B4393)/TotalEtapas,0)),"")</f>
        <v/>
      </c>
      <c r="E4394" t="str">
        <f>IFERROR(VLOOKUP(tbEscolas[[#This Row],[COD ETPA]],tbEtapas[],2,FALSE),"")</f>
        <v/>
      </c>
      <c r="F4394" t="str">
        <f>IFERROR(VLOOKUP(tbEscolas[[#This Row],[COD ETPA]],tbEtapas[],3,FALSE),"")</f>
        <v/>
      </c>
    </row>
    <row r="4395" spans="1:6" x14ac:dyDescent="0.25">
      <c r="A4395" s="24" t="str">
        <f>_xlfn.XLOOKUP(tbEscolas[[#This Row],[ESCOLA]],tbNucleo[ESCOLA],tbNucleo[COD ESCOLA],"")</f>
        <v/>
      </c>
      <c r="B4395" t="str" cm="1">
        <f t="array" ref="B4395">IFERROR(INDEX(tbNucleo[ESCOLA],ROUNDUP(ROW(B4394)/TotalEtapas,0)),"")</f>
        <v/>
      </c>
      <c r="E4395" t="str">
        <f>IFERROR(VLOOKUP(tbEscolas[[#This Row],[COD ETPA]],tbEtapas[],2,FALSE),"")</f>
        <v/>
      </c>
      <c r="F4395" t="str">
        <f>IFERROR(VLOOKUP(tbEscolas[[#This Row],[COD ETPA]],tbEtapas[],3,FALSE),"")</f>
        <v/>
      </c>
    </row>
    <row r="4396" spans="1:6" x14ac:dyDescent="0.25">
      <c r="A4396" s="24" t="str">
        <f>_xlfn.XLOOKUP(tbEscolas[[#This Row],[ESCOLA]],tbNucleo[ESCOLA],tbNucleo[COD ESCOLA],"")</f>
        <v/>
      </c>
      <c r="B4396" t="str" cm="1">
        <f t="array" ref="B4396">IFERROR(INDEX(tbNucleo[ESCOLA],ROUNDUP(ROW(B4395)/TotalEtapas,0)),"")</f>
        <v/>
      </c>
      <c r="E4396" t="str">
        <f>IFERROR(VLOOKUP(tbEscolas[[#This Row],[COD ETPA]],tbEtapas[],2,FALSE),"")</f>
        <v/>
      </c>
      <c r="F4396" t="str">
        <f>IFERROR(VLOOKUP(tbEscolas[[#This Row],[COD ETPA]],tbEtapas[],3,FALSE),"")</f>
        <v/>
      </c>
    </row>
    <row r="4397" spans="1:6" x14ac:dyDescent="0.25">
      <c r="A4397" s="24" t="str">
        <f>_xlfn.XLOOKUP(tbEscolas[[#This Row],[ESCOLA]],tbNucleo[ESCOLA],tbNucleo[COD ESCOLA],"")</f>
        <v/>
      </c>
      <c r="B4397" t="str" cm="1">
        <f t="array" ref="B4397">IFERROR(INDEX(tbNucleo[ESCOLA],ROUNDUP(ROW(B4396)/TotalEtapas,0)),"")</f>
        <v/>
      </c>
      <c r="E4397" t="str">
        <f>IFERROR(VLOOKUP(tbEscolas[[#This Row],[COD ETPA]],tbEtapas[],2,FALSE),"")</f>
        <v/>
      </c>
      <c r="F4397" t="str">
        <f>IFERROR(VLOOKUP(tbEscolas[[#This Row],[COD ETPA]],tbEtapas[],3,FALSE),"")</f>
        <v/>
      </c>
    </row>
    <row r="4398" spans="1:6" x14ac:dyDescent="0.25">
      <c r="A4398" s="24" t="str">
        <f>_xlfn.XLOOKUP(tbEscolas[[#This Row],[ESCOLA]],tbNucleo[ESCOLA],tbNucleo[COD ESCOLA],"")</f>
        <v/>
      </c>
      <c r="B4398" t="str" cm="1">
        <f t="array" ref="B4398">IFERROR(INDEX(tbNucleo[ESCOLA],ROUNDUP(ROW(B4397)/TotalEtapas,0)),"")</f>
        <v/>
      </c>
      <c r="E4398" t="str">
        <f>IFERROR(VLOOKUP(tbEscolas[[#This Row],[COD ETPA]],tbEtapas[],2,FALSE),"")</f>
        <v/>
      </c>
      <c r="F4398" t="str">
        <f>IFERROR(VLOOKUP(tbEscolas[[#This Row],[COD ETPA]],tbEtapas[],3,FALSE),"")</f>
        <v/>
      </c>
    </row>
    <row r="4399" spans="1:6" x14ac:dyDescent="0.25">
      <c r="A4399" s="24" t="str">
        <f>_xlfn.XLOOKUP(tbEscolas[[#This Row],[ESCOLA]],tbNucleo[ESCOLA],tbNucleo[COD ESCOLA],"")</f>
        <v/>
      </c>
      <c r="B4399" t="str" cm="1">
        <f t="array" ref="B4399">IFERROR(INDEX(tbNucleo[ESCOLA],ROUNDUP(ROW(B4398)/TotalEtapas,0)),"")</f>
        <v/>
      </c>
      <c r="E4399" t="str">
        <f>IFERROR(VLOOKUP(tbEscolas[[#This Row],[COD ETPA]],tbEtapas[],2,FALSE),"")</f>
        <v/>
      </c>
      <c r="F4399" t="str">
        <f>IFERROR(VLOOKUP(tbEscolas[[#This Row],[COD ETPA]],tbEtapas[],3,FALSE),"")</f>
        <v/>
      </c>
    </row>
    <row r="4400" spans="1:6" x14ac:dyDescent="0.25">
      <c r="A4400" s="24" t="str">
        <f>_xlfn.XLOOKUP(tbEscolas[[#This Row],[ESCOLA]],tbNucleo[ESCOLA],tbNucleo[COD ESCOLA],"")</f>
        <v/>
      </c>
      <c r="B4400" t="str" cm="1">
        <f t="array" ref="B4400">IFERROR(INDEX(tbNucleo[ESCOLA],ROUNDUP(ROW(B4399)/TotalEtapas,0)),"")</f>
        <v/>
      </c>
      <c r="E4400" t="str">
        <f>IFERROR(VLOOKUP(tbEscolas[[#This Row],[COD ETPA]],tbEtapas[],2,FALSE),"")</f>
        <v/>
      </c>
      <c r="F4400" t="str">
        <f>IFERROR(VLOOKUP(tbEscolas[[#This Row],[COD ETPA]],tbEtapas[],3,FALSE),"")</f>
        <v/>
      </c>
    </row>
    <row r="4401" spans="1:6" x14ac:dyDescent="0.25">
      <c r="A4401" s="24" t="str">
        <f>_xlfn.XLOOKUP(tbEscolas[[#This Row],[ESCOLA]],tbNucleo[ESCOLA],tbNucleo[COD ESCOLA],"")</f>
        <v/>
      </c>
      <c r="B4401" t="str" cm="1">
        <f t="array" ref="B4401">IFERROR(INDEX(tbNucleo[ESCOLA],ROUNDUP(ROW(B4400)/TotalEtapas,0)),"")</f>
        <v/>
      </c>
      <c r="E4401" t="str">
        <f>IFERROR(VLOOKUP(tbEscolas[[#This Row],[COD ETPA]],tbEtapas[],2,FALSE),"")</f>
        <v/>
      </c>
      <c r="F4401" t="str">
        <f>IFERROR(VLOOKUP(tbEscolas[[#This Row],[COD ETPA]],tbEtapas[],3,FALSE),"")</f>
        <v/>
      </c>
    </row>
    <row r="4402" spans="1:6" x14ac:dyDescent="0.25">
      <c r="A4402" s="24" t="str">
        <f>_xlfn.XLOOKUP(tbEscolas[[#This Row],[ESCOLA]],tbNucleo[ESCOLA],tbNucleo[COD ESCOLA],"")</f>
        <v/>
      </c>
      <c r="B4402" t="str" cm="1">
        <f t="array" ref="B4402">IFERROR(INDEX(tbNucleo[ESCOLA],ROUNDUP(ROW(B4401)/TotalEtapas,0)),"")</f>
        <v/>
      </c>
      <c r="E4402" t="str">
        <f>IFERROR(VLOOKUP(tbEscolas[[#This Row],[COD ETPA]],tbEtapas[],2,FALSE),"")</f>
        <v/>
      </c>
      <c r="F4402" t="str">
        <f>IFERROR(VLOOKUP(tbEscolas[[#This Row],[COD ETPA]],tbEtapas[],3,FALSE),"")</f>
        <v/>
      </c>
    </row>
    <row r="4403" spans="1:6" x14ac:dyDescent="0.25">
      <c r="A4403" s="24" t="str">
        <f>_xlfn.XLOOKUP(tbEscolas[[#This Row],[ESCOLA]],tbNucleo[ESCOLA],tbNucleo[COD ESCOLA],"")</f>
        <v/>
      </c>
      <c r="B4403" t="str" cm="1">
        <f t="array" ref="B4403">IFERROR(INDEX(tbNucleo[ESCOLA],ROUNDUP(ROW(B4402)/TotalEtapas,0)),"")</f>
        <v/>
      </c>
      <c r="E4403" t="str">
        <f>IFERROR(VLOOKUP(tbEscolas[[#This Row],[COD ETPA]],tbEtapas[],2,FALSE),"")</f>
        <v/>
      </c>
      <c r="F4403" t="str">
        <f>IFERROR(VLOOKUP(tbEscolas[[#This Row],[COD ETPA]],tbEtapas[],3,FALSE),"")</f>
        <v/>
      </c>
    </row>
    <row r="4404" spans="1:6" x14ac:dyDescent="0.25">
      <c r="A4404" s="24" t="str">
        <f>_xlfn.XLOOKUP(tbEscolas[[#This Row],[ESCOLA]],tbNucleo[ESCOLA],tbNucleo[COD ESCOLA],"")</f>
        <v/>
      </c>
      <c r="B4404" t="str" cm="1">
        <f t="array" ref="B4404">IFERROR(INDEX(tbNucleo[ESCOLA],ROUNDUP(ROW(B4403)/TotalEtapas,0)),"")</f>
        <v/>
      </c>
      <c r="E4404" t="str">
        <f>IFERROR(VLOOKUP(tbEscolas[[#This Row],[COD ETPA]],tbEtapas[],2,FALSE),"")</f>
        <v/>
      </c>
      <c r="F4404" t="str">
        <f>IFERROR(VLOOKUP(tbEscolas[[#This Row],[COD ETPA]],tbEtapas[],3,FALSE),"")</f>
        <v/>
      </c>
    </row>
    <row r="4405" spans="1:6" x14ac:dyDescent="0.25">
      <c r="A4405" s="24" t="str">
        <f>_xlfn.XLOOKUP(tbEscolas[[#This Row],[ESCOLA]],tbNucleo[ESCOLA],tbNucleo[COD ESCOLA],"")</f>
        <v/>
      </c>
      <c r="B4405" t="str" cm="1">
        <f t="array" ref="B4405">IFERROR(INDEX(tbNucleo[ESCOLA],ROUNDUP(ROW(B4404)/TotalEtapas,0)),"")</f>
        <v/>
      </c>
      <c r="E4405" t="str">
        <f>IFERROR(VLOOKUP(tbEscolas[[#This Row],[COD ETPA]],tbEtapas[],2,FALSE),"")</f>
        <v/>
      </c>
      <c r="F4405" t="str">
        <f>IFERROR(VLOOKUP(tbEscolas[[#This Row],[COD ETPA]],tbEtapas[],3,FALSE),"")</f>
        <v/>
      </c>
    </row>
    <row r="4406" spans="1:6" x14ac:dyDescent="0.25">
      <c r="A4406" s="24" t="str">
        <f>_xlfn.XLOOKUP(tbEscolas[[#This Row],[ESCOLA]],tbNucleo[ESCOLA],tbNucleo[COD ESCOLA],"")</f>
        <v/>
      </c>
      <c r="B4406" t="str" cm="1">
        <f t="array" ref="B4406">IFERROR(INDEX(tbNucleo[ESCOLA],ROUNDUP(ROW(B4405)/TotalEtapas,0)),"")</f>
        <v/>
      </c>
      <c r="E4406" t="str">
        <f>IFERROR(VLOOKUP(tbEscolas[[#This Row],[COD ETPA]],tbEtapas[],2,FALSE),"")</f>
        <v/>
      </c>
      <c r="F4406" t="str">
        <f>IFERROR(VLOOKUP(tbEscolas[[#This Row],[COD ETPA]],tbEtapas[],3,FALSE),"")</f>
        <v/>
      </c>
    </row>
    <row r="4407" spans="1:6" x14ac:dyDescent="0.25">
      <c r="A4407" s="24" t="str">
        <f>_xlfn.XLOOKUP(tbEscolas[[#This Row],[ESCOLA]],tbNucleo[ESCOLA],tbNucleo[COD ESCOLA],"")</f>
        <v/>
      </c>
      <c r="B4407" t="str" cm="1">
        <f t="array" ref="B4407">IFERROR(INDEX(tbNucleo[ESCOLA],ROUNDUP(ROW(B4406)/TotalEtapas,0)),"")</f>
        <v/>
      </c>
      <c r="E4407" t="str">
        <f>IFERROR(VLOOKUP(tbEscolas[[#This Row],[COD ETPA]],tbEtapas[],2,FALSE),"")</f>
        <v/>
      </c>
      <c r="F4407" t="str">
        <f>IFERROR(VLOOKUP(tbEscolas[[#This Row],[COD ETPA]],tbEtapas[],3,FALSE),"")</f>
        <v/>
      </c>
    </row>
    <row r="4408" spans="1:6" x14ac:dyDescent="0.25">
      <c r="A4408" s="24" t="str">
        <f>_xlfn.XLOOKUP(tbEscolas[[#This Row],[ESCOLA]],tbNucleo[ESCOLA],tbNucleo[COD ESCOLA],"")</f>
        <v/>
      </c>
      <c r="B4408" t="str" cm="1">
        <f t="array" ref="B4408">IFERROR(INDEX(tbNucleo[ESCOLA],ROUNDUP(ROW(B4407)/TotalEtapas,0)),"")</f>
        <v/>
      </c>
      <c r="E4408" t="str">
        <f>IFERROR(VLOOKUP(tbEscolas[[#This Row],[COD ETPA]],tbEtapas[],2,FALSE),"")</f>
        <v/>
      </c>
      <c r="F4408" t="str">
        <f>IFERROR(VLOOKUP(tbEscolas[[#This Row],[COD ETPA]],tbEtapas[],3,FALSE),"")</f>
        <v/>
      </c>
    </row>
    <row r="4409" spans="1:6" x14ac:dyDescent="0.25">
      <c r="A4409" s="24" t="str">
        <f>_xlfn.XLOOKUP(tbEscolas[[#This Row],[ESCOLA]],tbNucleo[ESCOLA],tbNucleo[COD ESCOLA],"")</f>
        <v/>
      </c>
      <c r="B4409" t="str" cm="1">
        <f t="array" ref="B4409">IFERROR(INDEX(tbNucleo[ESCOLA],ROUNDUP(ROW(B4408)/TotalEtapas,0)),"")</f>
        <v/>
      </c>
      <c r="E4409" t="str">
        <f>IFERROR(VLOOKUP(tbEscolas[[#This Row],[COD ETPA]],tbEtapas[],2,FALSE),"")</f>
        <v/>
      </c>
      <c r="F4409" t="str">
        <f>IFERROR(VLOOKUP(tbEscolas[[#This Row],[COD ETPA]],tbEtapas[],3,FALSE),"")</f>
        <v/>
      </c>
    </row>
    <row r="4410" spans="1:6" x14ac:dyDescent="0.25">
      <c r="A4410" s="24" t="str">
        <f>_xlfn.XLOOKUP(tbEscolas[[#This Row],[ESCOLA]],tbNucleo[ESCOLA],tbNucleo[COD ESCOLA],"")</f>
        <v/>
      </c>
      <c r="B4410" t="str" cm="1">
        <f t="array" ref="B4410">IFERROR(INDEX(tbNucleo[ESCOLA],ROUNDUP(ROW(B4409)/TotalEtapas,0)),"")</f>
        <v/>
      </c>
      <c r="E4410" t="str">
        <f>IFERROR(VLOOKUP(tbEscolas[[#This Row],[COD ETPA]],tbEtapas[],2,FALSE),"")</f>
        <v/>
      </c>
      <c r="F4410" t="str">
        <f>IFERROR(VLOOKUP(tbEscolas[[#This Row],[COD ETPA]],tbEtapas[],3,FALSE),"")</f>
        <v/>
      </c>
    </row>
    <row r="4411" spans="1:6" x14ac:dyDescent="0.25">
      <c r="A4411" s="24" t="str">
        <f>_xlfn.XLOOKUP(tbEscolas[[#This Row],[ESCOLA]],tbNucleo[ESCOLA],tbNucleo[COD ESCOLA],"")</f>
        <v/>
      </c>
      <c r="B4411" t="str" cm="1">
        <f t="array" ref="B4411">IFERROR(INDEX(tbNucleo[ESCOLA],ROUNDUP(ROW(B4410)/TotalEtapas,0)),"")</f>
        <v/>
      </c>
      <c r="E4411" t="str">
        <f>IFERROR(VLOOKUP(tbEscolas[[#This Row],[COD ETPA]],tbEtapas[],2,FALSE),"")</f>
        <v/>
      </c>
      <c r="F4411" t="str">
        <f>IFERROR(VLOOKUP(tbEscolas[[#This Row],[COD ETPA]],tbEtapas[],3,FALSE),"")</f>
        <v/>
      </c>
    </row>
    <row r="4412" spans="1:6" x14ac:dyDescent="0.25">
      <c r="A4412" s="24" t="str">
        <f>_xlfn.XLOOKUP(tbEscolas[[#This Row],[ESCOLA]],tbNucleo[ESCOLA],tbNucleo[COD ESCOLA],"")</f>
        <v/>
      </c>
      <c r="B4412" t="str" cm="1">
        <f t="array" ref="B4412">IFERROR(INDEX(tbNucleo[ESCOLA],ROUNDUP(ROW(B4411)/TotalEtapas,0)),"")</f>
        <v/>
      </c>
      <c r="E4412" t="str">
        <f>IFERROR(VLOOKUP(tbEscolas[[#This Row],[COD ETPA]],tbEtapas[],2,FALSE),"")</f>
        <v/>
      </c>
      <c r="F4412" t="str">
        <f>IFERROR(VLOOKUP(tbEscolas[[#This Row],[COD ETPA]],tbEtapas[],3,FALSE),"")</f>
        <v/>
      </c>
    </row>
    <row r="4413" spans="1:6" x14ac:dyDescent="0.25">
      <c r="A4413" s="24" t="str">
        <f>_xlfn.XLOOKUP(tbEscolas[[#This Row],[ESCOLA]],tbNucleo[ESCOLA],tbNucleo[COD ESCOLA],"")</f>
        <v/>
      </c>
      <c r="B4413" t="str" cm="1">
        <f t="array" ref="B4413">IFERROR(INDEX(tbNucleo[ESCOLA],ROUNDUP(ROW(B4412)/TotalEtapas,0)),"")</f>
        <v/>
      </c>
      <c r="E4413" t="str">
        <f>IFERROR(VLOOKUP(tbEscolas[[#This Row],[COD ETPA]],tbEtapas[],2,FALSE),"")</f>
        <v/>
      </c>
      <c r="F4413" t="str">
        <f>IFERROR(VLOOKUP(tbEscolas[[#This Row],[COD ETPA]],tbEtapas[],3,FALSE),"")</f>
        <v/>
      </c>
    </row>
    <row r="4414" spans="1:6" x14ac:dyDescent="0.25">
      <c r="A4414" s="24" t="str">
        <f>_xlfn.XLOOKUP(tbEscolas[[#This Row],[ESCOLA]],tbNucleo[ESCOLA],tbNucleo[COD ESCOLA],"")</f>
        <v/>
      </c>
      <c r="B4414" t="str" cm="1">
        <f t="array" ref="B4414">IFERROR(INDEX(tbNucleo[ESCOLA],ROUNDUP(ROW(B4413)/TotalEtapas,0)),"")</f>
        <v/>
      </c>
      <c r="E4414" t="str">
        <f>IFERROR(VLOOKUP(tbEscolas[[#This Row],[COD ETPA]],tbEtapas[],2,FALSE),"")</f>
        <v/>
      </c>
      <c r="F4414" t="str">
        <f>IFERROR(VLOOKUP(tbEscolas[[#This Row],[COD ETPA]],tbEtapas[],3,FALSE),"")</f>
        <v/>
      </c>
    </row>
    <row r="4415" spans="1:6" x14ac:dyDescent="0.25">
      <c r="A4415" s="24" t="str">
        <f>_xlfn.XLOOKUP(tbEscolas[[#This Row],[ESCOLA]],tbNucleo[ESCOLA],tbNucleo[COD ESCOLA],"")</f>
        <v/>
      </c>
      <c r="B4415" t="str" cm="1">
        <f t="array" ref="B4415">IFERROR(INDEX(tbNucleo[ESCOLA],ROUNDUP(ROW(B4414)/TotalEtapas,0)),"")</f>
        <v/>
      </c>
      <c r="E4415" t="str">
        <f>IFERROR(VLOOKUP(tbEscolas[[#This Row],[COD ETPA]],tbEtapas[],2,FALSE),"")</f>
        <v/>
      </c>
      <c r="F4415" t="str">
        <f>IFERROR(VLOOKUP(tbEscolas[[#This Row],[COD ETPA]],tbEtapas[],3,FALSE),"")</f>
        <v/>
      </c>
    </row>
    <row r="4416" spans="1:6" x14ac:dyDescent="0.25">
      <c r="A4416" s="24" t="str">
        <f>_xlfn.XLOOKUP(tbEscolas[[#This Row],[ESCOLA]],tbNucleo[ESCOLA],tbNucleo[COD ESCOLA],"")</f>
        <v/>
      </c>
      <c r="B4416" t="str" cm="1">
        <f t="array" ref="B4416">IFERROR(INDEX(tbNucleo[ESCOLA],ROUNDUP(ROW(B4415)/TotalEtapas,0)),"")</f>
        <v/>
      </c>
      <c r="E4416" t="str">
        <f>IFERROR(VLOOKUP(tbEscolas[[#This Row],[COD ETPA]],tbEtapas[],2,FALSE),"")</f>
        <v/>
      </c>
      <c r="F4416" t="str">
        <f>IFERROR(VLOOKUP(tbEscolas[[#This Row],[COD ETPA]],tbEtapas[],3,FALSE),"")</f>
        <v/>
      </c>
    </row>
    <row r="4417" spans="1:6" x14ac:dyDescent="0.25">
      <c r="A4417" s="24" t="str">
        <f>_xlfn.XLOOKUP(tbEscolas[[#This Row],[ESCOLA]],tbNucleo[ESCOLA],tbNucleo[COD ESCOLA],"")</f>
        <v/>
      </c>
      <c r="B4417" t="str" cm="1">
        <f t="array" ref="B4417">IFERROR(INDEX(tbNucleo[ESCOLA],ROUNDUP(ROW(B4416)/TotalEtapas,0)),"")</f>
        <v/>
      </c>
      <c r="E4417" t="str">
        <f>IFERROR(VLOOKUP(tbEscolas[[#This Row],[COD ETPA]],tbEtapas[],2,FALSE),"")</f>
        <v/>
      </c>
      <c r="F4417" t="str">
        <f>IFERROR(VLOOKUP(tbEscolas[[#This Row],[COD ETPA]],tbEtapas[],3,FALSE),"")</f>
        <v/>
      </c>
    </row>
    <row r="4418" spans="1:6" x14ac:dyDescent="0.25">
      <c r="A4418" s="24" t="str">
        <f>_xlfn.XLOOKUP(tbEscolas[[#This Row],[ESCOLA]],tbNucleo[ESCOLA],tbNucleo[COD ESCOLA],"")</f>
        <v/>
      </c>
      <c r="B4418" t="str" cm="1">
        <f t="array" ref="B4418">IFERROR(INDEX(tbNucleo[ESCOLA],ROUNDUP(ROW(B4417)/TotalEtapas,0)),"")</f>
        <v/>
      </c>
      <c r="E4418" t="str">
        <f>IFERROR(VLOOKUP(tbEscolas[[#This Row],[COD ETPA]],tbEtapas[],2,FALSE),"")</f>
        <v/>
      </c>
      <c r="F4418" t="str">
        <f>IFERROR(VLOOKUP(tbEscolas[[#This Row],[COD ETPA]],tbEtapas[],3,FALSE),"")</f>
        <v/>
      </c>
    </row>
    <row r="4419" spans="1:6" x14ac:dyDescent="0.25">
      <c r="A4419" s="24" t="str">
        <f>_xlfn.XLOOKUP(tbEscolas[[#This Row],[ESCOLA]],tbNucleo[ESCOLA],tbNucleo[COD ESCOLA],"")</f>
        <v/>
      </c>
      <c r="B4419" t="str" cm="1">
        <f t="array" ref="B4419">IFERROR(INDEX(tbNucleo[ESCOLA],ROUNDUP(ROW(B4418)/TotalEtapas,0)),"")</f>
        <v/>
      </c>
      <c r="E4419" t="str">
        <f>IFERROR(VLOOKUP(tbEscolas[[#This Row],[COD ETPA]],tbEtapas[],2,FALSE),"")</f>
        <v/>
      </c>
      <c r="F4419" t="str">
        <f>IFERROR(VLOOKUP(tbEscolas[[#This Row],[COD ETPA]],tbEtapas[],3,FALSE),"")</f>
        <v/>
      </c>
    </row>
    <row r="4420" spans="1:6" x14ac:dyDescent="0.25">
      <c r="A4420" s="24" t="str">
        <f>_xlfn.XLOOKUP(tbEscolas[[#This Row],[ESCOLA]],tbNucleo[ESCOLA],tbNucleo[COD ESCOLA],"")</f>
        <v/>
      </c>
      <c r="B4420" t="str" cm="1">
        <f t="array" ref="B4420">IFERROR(INDEX(tbNucleo[ESCOLA],ROUNDUP(ROW(B4419)/TotalEtapas,0)),"")</f>
        <v/>
      </c>
      <c r="E4420" t="str">
        <f>IFERROR(VLOOKUP(tbEscolas[[#This Row],[COD ETPA]],tbEtapas[],2,FALSE),"")</f>
        <v/>
      </c>
      <c r="F4420" t="str">
        <f>IFERROR(VLOOKUP(tbEscolas[[#This Row],[COD ETPA]],tbEtapas[],3,FALSE),"")</f>
        <v/>
      </c>
    </row>
    <row r="4421" spans="1:6" x14ac:dyDescent="0.25">
      <c r="A4421" s="24" t="str">
        <f>_xlfn.XLOOKUP(tbEscolas[[#This Row],[ESCOLA]],tbNucleo[ESCOLA],tbNucleo[COD ESCOLA],"")</f>
        <v/>
      </c>
      <c r="B4421" t="str" cm="1">
        <f t="array" ref="B4421">IFERROR(INDEX(tbNucleo[ESCOLA],ROUNDUP(ROW(B4420)/TotalEtapas,0)),"")</f>
        <v/>
      </c>
      <c r="E4421" t="str">
        <f>IFERROR(VLOOKUP(tbEscolas[[#This Row],[COD ETPA]],tbEtapas[],2,FALSE),"")</f>
        <v/>
      </c>
      <c r="F4421" t="str">
        <f>IFERROR(VLOOKUP(tbEscolas[[#This Row],[COD ETPA]],tbEtapas[],3,FALSE),"")</f>
        <v/>
      </c>
    </row>
    <row r="4422" spans="1:6" x14ac:dyDescent="0.25">
      <c r="A4422" s="24" t="str">
        <f>_xlfn.XLOOKUP(tbEscolas[[#This Row],[ESCOLA]],tbNucleo[ESCOLA],tbNucleo[COD ESCOLA],"")</f>
        <v/>
      </c>
      <c r="B4422" t="str" cm="1">
        <f t="array" ref="B4422">IFERROR(INDEX(tbNucleo[ESCOLA],ROUNDUP(ROW(B4421)/TotalEtapas,0)),"")</f>
        <v/>
      </c>
      <c r="E4422" t="str">
        <f>IFERROR(VLOOKUP(tbEscolas[[#This Row],[COD ETPA]],tbEtapas[],2,FALSE),"")</f>
        <v/>
      </c>
      <c r="F4422" t="str">
        <f>IFERROR(VLOOKUP(tbEscolas[[#This Row],[COD ETPA]],tbEtapas[],3,FALSE),"")</f>
        <v/>
      </c>
    </row>
    <row r="4423" spans="1:6" x14ac:dyDescent="0.25">
      <c r="A4423" s="24" t="str">
        <f>_xlfn.XLOOKUP(tbEscolas[[#This Row],[ESCOLA]],tbNucleo[ESCOLA],tbNucleo[COD ESCOLA],"")</f>
        <v/>
      </c>
      <c r="B4423" t="str" cm="1">
        <f t="array" ref="B4423">IFERROR(INDEX(tbNucleo[ESCOLA],ROUNDUP(ROW(B4422)/TotalEtapas,0)),"")</f>
        <v/>
      </c>
      <c r="E4423" t="str">
        <f>IFERROR(VLOOKUP(tbEscolas[[#This Row],[COD ETPA]],tbEtapas[],2,FALSE),"")</f>
        <v/>
      </c>
      <c r="F4423" t="str">
        <f>IFERROR(VLOOKUP(tbEscolas[[#This Row],[COD ETPA]],tbEtapas[],3,FALSE),"")</f>
        <v/>
      </c>
    </row>
    <row r="4424" spans="1:6" x14ac:dyDescent="0.25">
      <c r="A4424" s="24" t="str">
        <f>_xlfn.XLOOKUP(tbEscolas[[#This Row],[ESCOLA]],tbNucleo[ESCOLA],tbNucleo[COD ESCOLA],"")</f>
        <v/>
      </c>
      <c r="B4424" t="str" cm="1">
        <f t="array" ref="B4424">IFERROR(INDEX(tbNucleo[ESCOLA],ROUNDUP(ROW(B4423)/TotalEtapas,0)),"")</f>
        <v/>
      </c>
      <c r="E4424" t="str">
        <f>IFERROR(VLOOKUP(tbEscolas[[#This Row],[COD ETPA]],tbEtapas[],2,FALSE),"")</f>
        <v/>
      </c>
      <c r="F4424" t="str">
        <f>IFERROR(VLOOKUP(tbEscolas[[#This Row],[COD ETPA]],tbEtapas[],3,FALSE),"")</f>
        <v/>
      </c>
    </row>
    <row r="4425" spans="1:6" x14ac:dyDescent="0.25">
      <c r="A4425" s="24" t="str">
        <f>_xlfn.XLOOKUP(tbEscolas[[#This Row],[ESCOLA]],tbNucleo[ESCOLA],tbNucleo[COD ESCOLA],"")</f>
        <v/>
      </c>
      <c r="B4425" t="str" cm="1">
        <f t="array" ref="B4425">IFERROR(INDEX(tbNucleo[ESCOLA],ROUNDUP(ROW(B4424)/TotalEtapas,0)),"")</f>
        <v/>
      </c>
      <c r="E4425" t="str">
        <f>IFERROR(VLOOKUP(tbEscolas[[#This Row],[COD ETPA]],tbEtapas[],2,FALSE),"")</f>
        <v/>
      </c>
      <c r="F4425" t="str">
        <f>IFERROR(VLOOKUP(tbEscolas[[#This Row],[COD ETPA]],tbEtapas[],3,FALSE),"")</f>
        <v/>
      </c>
    </row>
    <row r="4426" spans="1:6" x14ac:dyDescent="0.25">
      <c r="A4426" s="24" t="str">
        <f>_xlfn.XLOOKUP(tbEscolas[[#This Row],[ESCOLA]],tbNucleo[ESCOLA],tbNucleo[COD ESCOLA],"")</f>
        <v/>
      </c>
      <c r="B4426" t="str" cm="1">
        <f t="array" ref="B4426">IFERROR(INDEX(tbNucleo[ESCOLA],ROUNDUP(ROW(B4425)/TotalEtapas,0)),"")</f>
        <v/>
      </c>
      <c r="E4426" t="str">
        <f>IFERROR(VLOOKUP(tbEscolas[[#This Row],[COD ETPA]],tbEtapas[],2,FALSE),"")</f>
        <v/>
      </c>
      <c r="F4426" t="str">
        <f>IFERROR(VLOOKUP(tbEscolas[[#This Row],[COD ETPA]],tbEtapas[],3,FALSE),"")</f>
        <v/>
      </c>
    </row>
    <row r="4427" spans="1:6" x14ac:dyDescent="0.25">
      <c r="A4427" s="24" t="str">
        <f>_xlfn.XLOOKUP(tbEscolas[[#This Row],[ESCOLA]],tbNucleo[ESCOLA],tbNucleo[COD ESCOLA],"")</f>
        <v/>
      </c>
      <c r="B4427" t="str" cm="1">
        <f t="array" ref="B4427">IFERROR(INDEX(tbNucleo[ESCOLA],ROUNDUP(ROW(B4426)/TotalEtapas,0)),"")</f>
        <v/>
      </c>
      <c r="E4427" t="str">
        <f>IFERROR(VLOOKUP(tbEscolas[[#This Row],[COD ETPA]],tbEtapas[],2,FALSE),"")</f>
        <v/>
      </c>
      <c r="F4427" t="str">
        <f>IFERROR(VLOOKUP(tbEscolas[[#This Row],[COD ETPA]],tbEtapas[],3,FALSE),"")</f>
        <v/>
      </c>
    </row>
    <row r="4428" spans="1:6" x14ac:dyDescent="0.25">
      <c r="A4428" s="24" t="str">
        <f>_xlfn.XLOOKUP(tbEscolas[[#This Row],[ESCOLA]],tbNucleo[ESCOLA],tbNucleo[COD ESCOLA],"")</f>
        <v/>
      </c>
      <c r="B4428" t="str" cm="1">
        <f t="array" ref="B4428">IFERROR(INDEX(tbNucleo[ESCOLA],ROUNDUP(ROW(B4427)/TotalEtapas,0)),"")</f>
        <v/>
      </c>
      <c r="E4428" t="str">
        <f>IFERROR(VLOOKUP(tbEscolas[[#This Row],[COD ETPA]],tbEtapas[],2,FALSE),"")</f>
        <v/>
      </c>
      <c r="F4428" t="str">
        <f>IFERROR(VLOOKUP(tbEscolas[[#This Row],[COD ETPA]],tbEtapas[],3,FALSE),"")</f>
        <v/>
      </c>
    </row>
    <row r="4429" spans="1:6" x14ac:dyDescent="0.25">
      <c r="A4429" s="24" t="str">
        <f>_xlfn.XLOOKUP(tbEscolas[[#This Row],[ESCOLA]],tbNucleo[ESCOLA],tbNucleo[COD ESCOLA],"")</f>
        <v/>
      </c>
      <c r="B4429" t="str" cm="1">
        <f t="array" ref="B4429">IFERROR(INDEX(tbNucleo[ESCOLA],ROUNDUP(ROW(B4428)/TotalEtapas,0)),"")</f>
        <v/>
      </c>
      <c r="E4429" t="str">
        <f>IFERROR(VLOOKUP(tbEscolas[[#This Row],[COD ETPA]],tbEtapas[],2,FALSE),"")</f>
        <v/>
      </c>
      <c r="F4429" t="str">
        <f>IFERROR(VLOOKUP(tbEscolas[[#This Row],[COD ETPA]],tbEtapas[],3,FALSE),"")</f>
        <v/>
      </c>
    </row>
    <row r="4430" spans="1:6" x14ac:dyDescent="0.25">
      <c r="A4430" s="24" t="str">
        <f>_xlfn.XLOOKUP(tbEscolas[[#This Row],[ESCOLA]],tbNucleo[ESCOLA],tbNucleo[COD ESCOLA],"")</f>
        <v/>
      </c>
      <c r="B4430" t="str" cm="1">
        <f t="array" ref="B4430">IFERROR(INDEX(tbNucleo[ESCOLA],ROUNDUP(ROW(B4429)/TotalEtapas,0)),"")</f>
        <v/>
      </c>
      <c r="E4430" t="str">
        <f>IFERROR(VLOOKUP(tbEscolas[[#This Row],[COD ETPA]],tbEtapas[],2,FALSE),"")</f>
        <v/>
      </c>
      <c r="F4430" t="str">
        <f>IFERROR(VLOOKUP(tbEscolas[[#This Row],[COD ETPA]],tbEtapas[],3,FALSE),"")</f>
        <v/>
      </c>
    </row>
    <row r="4431" spans="1:6" x14ac:dyDescent="0.25">
      <c r="A4431" s="24" t="str">
        <f>_xlfn.XLOOKUP(tbEscolas[[#This Row],[ESCOLA]],tbNucleo[ESCOLA],tbNucleo[COD ESCOLA],"")</f>
        <v/>
      </c>
      <c r="B4431" t="str" cm="1">
        <f t="array" ref="B4431">IFERROR(INDEX(tbNucleo[ESCOLA],ROUNDUP(ROW(B4430)/TotalEtapas,0)),"")</f>
        <v/>
      </c>
      <c r="E4431" t="str">
        <f>IFERROR(VLOOKUP(tbEscolas[[#This Row],[COD ETPA]],tbEtapas[],2,FALSE),"")</f>
        <v/>
      </c>
      <c r="F4431" t="str">
        <f>IFERROR(VLOOKUP(tbEscolas[[#This Row],[COD ETPA]],tbEtapas[],3,FALSE),"")</f>
        <v/>
      </c>
    </row>
    <row r="4432" spans="1:6" x14ac:dyDescent="0.25">
      <c r="A4432" s="24" t="str">
        <f>_xlfn.XLOOKUP(tbEscolas[[#This Row],[ESCOLA]],tbNucleo[ESCOLA],tbNucleo[COD ESCOLA],"")</f>
        <v/>
      </c>
      <c r="B4432" t="str" cm="1">
        <f t="array" ref="B4432">IFERROR(INDEX(tbNucleo[ESCOLA],ROUNDUP(ROW(B4431)/TotalEtapas,0)),"")</f>
        <v/>
      </c>
      <c r="E4432" t="str">
        <f>IFERROR(VLOOKUP(tbEscolas[[#This Row],[COD ETPA]],tbEtapas[],2,FALSE),"")</f>
        <v/>
      </c>
      <c r="F4432" t="str">
        <f>IFERROR(VLOOKUP(tbEscolas[[#This Row],[COD ETPA]],tbEtapas[],3,FALSE),"")</f>
        <v/>
      </c>
    </row>
    <row r="4433" spans="1:6" x14ac:dyDescent="0.25">
      <c r="A4433" s="24" t="str">
        <f>_xlfn.XLOOKUP(tbEscolas[[#This Row],[ESCOLA]],tbNucleo[ESCOLA],tbNucleo[COD ESCOLA],"")</f>
        <v/>
      </c>
      <c r="B4433" t="str" cm="1">
        <f t="array" ref="B4433">IFERROR(INDEX(tbNucleo[ESCOLA],ROUNDUP(ROW(B4432)/TotalEtapas,0)),"")</f>
        <v/>
      </c>
      <c r="E4433" t="str">
        <f>IFERROR(VLOOKUP(tbEscolas[[#This Row],[COD ETPA]],tbEtapas[],2,FALSE),"")</f>
        <v/>
      </c>
      <c r="F4433" t="str">
        <f>IFERROR(VLOOKUP(tbEscolas[[#This Row],[COD ETPA]],tbEtapas[],3,FALSE),"")</f>
        <v/>
      </c>
    </row>
    <row r="4434" spans="1:6" x14ac:dyDescent="0.25">
      <c r="A4434" s="24" t="str">
        <f>_xlfn.XLOOKUP(tbEscolas[[#This Row],[ESCOLA]],tbNucleo[ESCOLA],tbNucleo[COD ESCOLA],"")</f>
        <v/>
      </c>
      <c r="B4434" t="str" cm="1">
        <f t="array" ref="B4434">IFERROR(INDEX(tbNucleo[ESCOLA],ROUNDUP(ROW(B4433)/TotalEtapas,0)),"")</f>
        <v/>
      </c>
      <c r="E4434" t="str">
        <f>IFERROR(VLOOKUP(tbEscolas[[#This Row],[COD ETPA]],tbEtapas[],2,FALSE),"")</f>
        <v/>
      </c>
      <c r="F4434" t="str">
        <f>IFERROR(VLOOKUP(tbEscolas[[#This Row],[COD ETPA]],tbEtapas[],3,FALSE),"")</f>
        <v/>
      </c>
    </row>
    <row r="4435" spans="1:6" x14ac:dyDescent="0.25">
      <c r="A4435" s="24" t="str">
        <f>_xlfn.XLOOKUP(tbEscolas[[#This Row],[ESCOLA]],tbNucleo[ESCOLA],tbNucleo[COD ESCOLA],"")</f>
        <v/>
      </c>
      <c r="B4435" t="str" cm="1">
        <f t="array" ref="B4435">IFERROR(INDEX(tbNucleo[ESCOLA],ROUNDUP(ROW(B4434)/TotalEtapas,0)),"")</f>
        <v/>
      </c>
      <c r="E4435" t="str">
        <f>IFERROR(VLOOKUP(tbEscolas[[#This Row],[COD ETPA]],tbEtapas[],2,FALSE),"")</f>
        <v/>
      </c>
      <c r="F4435" t="str">
        <f>IFERROR(VLOOKUP(tbEscolas[[#This Row],[COD ETPA]],tbEtapas[],3,FALSE),"")</f>
        <v/>
      </c>
    </row>
    <row r="4436" spans="1:6" x14ac:dyDescent="0.25">
      <c r="A4436" s="24" t="str">
        <f>_xlfn.XLOOKUP(tbEscolas[[#This Row],[ESCOLA]],tbNucleo[ESCOLA],tbNucleo[COD ESCOLA],"")</f>
        <v/>
      </c>
      <c r="B4436" t="str" cm="1">
        <f t="array" ref="B4436">IFERROR(INDEX(tbNucleo[ESCOLA],ROUNDUP(ROW(B4435)/TotalEtapas,0)),"")</f>
        <v/>
      </c>
      <c r="E4436" t="str">
        <f>IFERROR(VLOOKUP(tbEscolas[[#This Row],[COD ETPA]],tbEtapas[],2,FALSE),"")</f>
        <v/>
      </c>
      <c r="F4436" t="str">
        <f>IFERROR(VLOOKUP(tbEscolas[[#This Row],[COD ETPA]],tbEtapas[],3,FALSE),"")</f>
        <v/>
      </c>
    </row>
    <row r="4437" spans="1:6" x14ac:dyDescent="0.25">
      <c r="A4437" s="24" t="str">
        <f>_xlfn.XLOOKUP(tbEscolas[[#This Row],[ESCOLA]],tbNucleo[ESCOLA],tbNucleo[COD ESCOLA],"")</f>
        <v/>
      </c>
      <c r="B4437" t="str" cm="1">
        <f t="array" ref="B4437">IFERROR(INDEX(tbNucleo[ESCOLA],ROUNDUP(ROW(B4436)/TotalEtapas,0)),"")</f>
        <v/>
      </c>
      <c r="E4437" t="str">
        <f>IFERROR(VLOOKUP(tbEscolas[[#This Row],[COD ETPA]],tbEtapas[],2,FALSE),"")</f>
        <v/>
      </c>
      <c r="F4437" t="str">
        <f>IFERROR(VLOOKUP(tbEscolas[[#This Row],[COD ETPA]],tbEtapas[],3,FALSE),"")</f>
        <v/>
      </c>
    </row>
    <row r="4438" spans="1:6" x14ac:dyDescent="0.25">
      <c r="A4438" s="24" t="str">
        <f>_xlfn.XLOOKUP(tbEscolas[[#This Row],[ESCOLA]],tbNucleo[ESCOLA],tbNucleo[COD ESCOLA],"")</f>
        <v/>
      </c>
      <c r="B4438" t="str" cm="1">
        <f t="array" ref="B4438">IFERROR(INDEX(tbNucleo[ESCOLA],ROUNDUP(ROW(B4437)/TotalEtapas,0)),"")</f>
        <v/>
      </c>
      <c r="E4438" t="str">
        <f>IFERROR(VLOOKUP(tbEscolas[[#This Row],[COD ETPA]],tbEtapas[],2,FALSE),"")</f>
        <v/>
      </c>
      <c r="F4438" t="str">
        <f>IFERROR(VLOOKUP(tbEscolas[[#This Row],[COD ETPA]],tbEtapas[],3,FALSE),"")</f>
        <v/>
      </c>
    </row>
    <row r="4439" spans="1:6" x14ac:dyDescent="0.25">
      <c r="A4439" s="24" t="str">
        <f>_xlfn.XLOOKUP(tbEscolas[[#This Row],[ESCOLA]],tbNucleo[ESCOLA],tbNucleo[COD ESCOLA],"")</f>
        <v/>
      </c>
      <c r="B4439" t="str" cm="1">
        <f t="array" ref="B4439">IFERROR(INDEX(tbNucleo[ESCOLA],ROUNDUP(ROW(B4438)/TotalEtapas,0)),"")</f>
        <v/>
      </c>
      <c r="E4439" t="str">
        <f>IFERROR(VLOOKUP(tbEscolas[[#This Row],[COD ETPA]],tbEtapas[],2,FALSE),"")</f>
        <v/>
      </c>
      <c r="F4439" t="str">
        <f>IFERROR(VLOOKUP(tbEscolas[[#This Row],[COD ETPA]],tbEtapas[],3,FALSE),"")</f>
        <v/>
      </c>
    </row>
    <row r="4440" spans="1:6" x14ac:dyDescent="0.25">
      <c r="A4440" s="24" t="str">
        <f>_xlfn.XLOOKUP(tbEscolas[[#This Row],[ESCOLA]],tbNucleo[ESCOLA],tbNucleo[COD ESCOLA],"")</f>
        <v/>
      </c>
      <c r="B4440" t="str" cm="1">
        <f t="array" ref="B4440">IFERROR(INDEX(tbNucleo[ESCOLA],ROUNDUP(ROW(B4439)/TotalEtapas,0)),"")</f>
        <v/>
      </c>
      <c r="E4440" t="str">
        <f>IFERROR(VLOOKUP(tbEscolas[[#This Row],[COD ETPA]],tbEtapas[],2,FALSE),"")</f>
        <v/>
      </c>
      <c r="F4440" t="str">
        <f>IFERROR(VLOOKUP(tbEscolas[[#This Row],[COD ETPA]],tbEtapas[],3,FALSE),"")</f>
        <v/>
      </c>
    </row>
    <row r="4441" spans="1:6" x14ac:dyDescent="0.25">
      <c r="A4441" s="24" t="str">
        <f>_xlfn.XLOOKUP(tbEscolas[[#This Row],[ESCOLA]],tbNucleo[ESCOLA],tbNucleo[COD ESCOLA],"")</f>
        <v/>
      </c>
      <c r="B4441" t="str" cm="1">
        <f t="array" ref="B4441">IFERROR(INDEX(tbNucleo[ESCOLA],ROUNDUP(ROW(B4440)/TotalEtapas,0)),"")</f>
        <v/>
      </c>
      <c r="E4441" t="str">
        <f>IFERROR(VLOOKUP(tbEscolas[[#This Row],[COD ETPA]],tbEtapas[],2,FALSE),"")</f>
        <v/>
      </c>
      <c r="F4441" t="str">
        <f>IFERROR(VLOOKUP(tbEscolas[[#This Row],[COD ETPA]],tbEtapas[],3,FALSE),"")</f>
        <v/>
      </c>
    </row>
    <row r="4442" spans="1:6" x14ac:dyDescent="0.25">
      <c r="A4442" s="24" t="str">
        <f>_xlfn.XLOOKUP(tbEscolas[[#This Row],[ESCOLA]],tbNucleo[ESCOLA],tbNucleo[COD ESCOLA],"")</f>
        <v/>
      </c>
      <c r="B4442" t="str" cm="1">
        <f t="array" ref="B4442">IFERROR(INDEX(tbNucleo[ESCOLA],ROUNDUP(ROW(B4441)/TotalEtapas,0)),"")</f>
        <v/>
      </c>
      <c r="E4442" t="str">
        <f>IFERROR(VLOOKUP(tbEscolas[[#This Row],[COD ETPA]],tbEtapas[],2,FALSE),"")</f>
        <v/>
      </c>
      <c r="F4442" t="str">
        <f>IFERROR(VLOOKUP(tbEscolas[[#This Row],[COD ETPA]],tbEtapas[],3,FALSE),"")</f>
        <v/>
      </c>
    </row>
    <row r="4443" spans="1:6" x14ac:dyDescent="0.25">
      <c r="A4443" s="24" t="str">
        <f>_xlfn.XLOOKUP(tbEscolas[[#This Row],[ESCOLA]],tbNucleo[ESCOLA],tbNucleo[COD ESCOLA],"")</f>
        <v/>
      </c>
      <c r="B4443" t="str" cm="1">
        <f t="array" ref="B4443">IFERROR(INDEX(tbNucleo[ESCOLA],ROUNDUP(ROW(B4442)/TotalEtapas,0)),"")</f>
        <v/>
      </c>
      <c r="E4443" t="str">
        <f>IFERROR(VLOOKUP(tbEscolas[[#This Row],[COD ETPA]],tbEtapas[],2,FALSE),"")</f>
        <v/>
      </c>
      <c r="F4443" t="str">
        <f>IFERROR(VLOOKUP(tbEscolas[[#This Row],[COD ETPA]],tbEtapas[],3,FALSE),"")</f>
        <v/>
      </c>
    </row>
    <row r="4444" spans="1:6" x14ac:dyDescent="0.25">
      <c r="A4444" s="24" t="str">
        <f>_xlfn.XLOOKUP(tbEscolas[[#This Row],[ESCOLA]],tbNucleo[ESCOLA],tbNucleo[COD ESCOLA],"")</f>
        <v/>
      </c>
      <c r="B4444" t="str" cm="1">
        <f t="array" ref="B4444">IFERROR(INDEX(tbNucleo[ESCOLA],ROUNDUP(ROW(B4443)/TotalEtapas,0)),"")</f>
        <v/>
      </c>
      <c r="E4444" t="str">
        <f>IFERROR(VLOOKUP(tbEscolas[[#This Row],[COD ETPA]],tbEtapas[],2,FALSE),"")</f>
        <v/>
      </c>
      <c r="F4444" t="str">
        <f>IFERROR(VLOOKUP(tbEscolas[[#This Row],[COD ETPA]],tbEtapas[],3,FALSE),"")</f>
        <v/>
      </c>
    </row>
    <row r="4445" spans="1:6" x14ac:dyDescent="0.25">
      <c r="A4445" s="24" t="str">
        <f>_xlfn.XLOOKUP(tbEscolas[[#This Row],[ESCOLA]],tbNucleo[ESCOLA],tbNucleo[COD ESCOLA],"")</f>
        <v/>
      </c>
      <c r="B4445" t="str" cm="1">
        <f t="array" ref="B4445">IFERROR(INDEX(tbNucleo[ESCOLA],ROUNDUP(ROW(B4444)/TotalEtapas,0)),"")</f>
        <v/>
      </c>
      <c r="E4445" t="str">
        <f>IFERROR(VLOOKUP(tbEscolas[[#This Row],[COD ETPA]],tbEtapas[],2,FALSE),"")</f>
        <v/>
      </c>
      <c r="F4445" t="str">
        <f>IFERROR(VLOOKUP(tbEscolas[[#This Row],[COD ETPA]],tbEtapas[],3,FALSE),"")</f>
        <v/>
      </c>
    </row>
    <row r="4446" spans="1:6" x14ac:dyDescent="0.25">
      <c r="A4446" s="24" t="str">
        <f>_xlfn.XLOOKUP(tbEscolas[[#This Row],[ESCOLA]],tbNucleo[ESCOLA],tbNucleo[COD ESCOLA],"")</f>
        <v/>
      </c>
      <c r="B4446" t="str" cm="1">
        <f t="array" ref="B4446">IFERROR(INDEX(tbNucleo[ESCOLA],ROUNDUP(ROW(B4445)/TotalEtapas,0)),"")</f>
        <v/>
      </c>
      <c r="E4446" t="str">
        <f>IFERROR(VLOOKUP(tbEscolas[[#This Row],[COD ETPA]],tbEtapas[],2,FALSE),"")</f>
        <v/>
      </c>
      <c r="F4446" t="str">
        <f>IFERROR(VLOOKUP(tbEscolas[[#This Row],[COD ETPA]],tbEtapas[],3,FALSE),"")</f>
        <v/>
      </c>
    </row>
    <row r="4447" spans="1:6" x14ac:dyDescent="0.25">
      <c r="A4447" s="24" t="str">
        <f>_xlfn.XLOOKUP(tbEscolas[[#This Row],[ESCOLA]],tbNucleo[ESCOLA],tbNucleo[COD ESCOLA],"")</f>
        <v/>
      </c>
      <c r="B4447" t="str" cm="1">
        <f t="array" ref="B4447">IFERROR(INDEX(tbNucleo[ESCOLA],ROUNDUP(ROW(B4446)/TotalEtapas,0)),"")</f>
        <v/>
      </c>
      <c r="E4447" t="str">
        <f>IFERROR(VLOOKUP(tbEscolas[[#This Row],[COD ETPA]],tbEtapas[],2,FALSE),"")</f>
        <v/>
      </c>
      <c r="F4447" t="str">
        <f>IFERROR(VLOOKUP(tbEscolas[[#This Row],[COD ETPA]],tbEtapas[],3,FALSE),"")</f>
        <v/>
      </c>
    </row>
    <row r="4448" spans="1:6" x14ac:dyDescent="0.25">
      <c r="A4448" s="24" t="str">
        <f>_xlfn.XLOOKUP(tbEscolas[[#This Row],[ESCOLA]],tbNucleo[ESCOLA],tbNucleo[COD ESCOLA],"")</f>
        <v/>
      </c>
      <c r="B4448" t="str" cm="1">
        <f t="array" ref="B4448">IFERROR(INDEX(tbNucleo[ESCOLA],ROUNDUP(ROW(B4447)/TotalEtapas,0)),"")</f>
        <v/>
      </c>
      <c r="E4448" t="str">
        <f>IFERROR(VLOOKUP(tbEscolas[[#This Row],[COD ETPA]],tbEtapas[],2,FALSE),"")</f>
        <v/>
      </c>
      <c r="F4448" t="str">
        <f>IFERROR(VLOOKUP(tbEscolas[[#This Row],[COD ETPA]],tbEtapas[],3,FALSE),"")</f>
        <v/>
      </c>
    </row>
    <row r="4449" spans="1:6" x14ac:dyDescent="0.25">
      <c r="A4449" s="24" t="str">
        <f>_xlfn.XLOOKUP(tbEscolas[[#This Row],[ESCOLA]],tbNucleo[ESCOLA],tbNucleo[COD ESCOLA],"")</f>
        <v/>
      </c>
      <c r="B4449" t="str" cm="1">
        <f t="array" ref="B4449">IFERROR(INDEX(tbNucleo[ESCOLA],ROUNDUP(ROW(B4448)/TotalEtapas,0)),"")</f>
        <v/>
      </c>
      <c r="E4449" t="str">
        <f>IFERROR(VLOOKUP(tbEscolas[[#This Row],[COD ETPA]],tbEtapas[],2,FALSE),"")</f>
        <v/>
      </c>
      <c r="F4449" t="str">
        <f>IFERROR(VLOOKUP(tbEscolas[[#This Row],[COD ETPA]],tbEtapas[],3,FALSE),"")</f>
        <v/>
      </c>
    </row>
    <row r="4450" spans="1:6" x14ac:dyDescent="0.25">
      <c r="A4450" s="24" t="str">
        <f>_xlfn.XLOOKUP(tbEscolas[[#This Row],[ESCOLA]],tbNucleo[ESCOLA],tbNucleo[COD ESCOLA],"")</f>
        <v/>
      </c>
      <c r="B4450" t="str" cm="1">
        <f t="array" ref="B4450">IFERROR(INDEX(tbNucleo[ESCOLA],ROUNDUP(ROW(B4449)/TotalEtapas,0)),"")</f>
        <v/>
      </c>
      <c r="E4450" t="str">
        <f>IFERROR(VLOOKUP(tbEscolas[[#This Row],[COD ETPA]],tbEtapas[],2,FALSE),"")</f>
        <v/>
      </c>
      <c r="F4450" t="str">
        <f>IFERROR(VLOOKUP(tbEscolas[[#This Row],[COD ETPA]],tbEtapas[],3,FALSE),"")</f>
        <v/>
      </c>
    </row>
    <row r="4451" spans="1:6" x14ac:dyDescent="0.25">
      <c r="A4451" s="24" t="str">
        <f>_xlfn.XLOOKUP(tbEscolas[[#This Row],[ESCOLA]],tbNucleo[ESCOLA],tbNucleo[COD ESCOLA],"")</f>
        <v/>
      </c>
      <c r="B4451" t="str" cm="1">
        <f t="array" ref="B4451">IFERROR(INDEX(tbNucleo[ESCOLA],ROUNDUP(ROW(B4450)/TotalEtapas,0)),"")</f>
        <v/>
      </c>
      <c r="E4451" t="str">
        <f>IFERROR(VLOOKUP(tbEscolas[[#This Row],[COD ETPA]],tbEtapas[],2,FALSE),"")</f>
        <v/>
      </c>
      <c r="F4451" t="str">
        <f>IFERROR(VLOOKUP(tbEscolas[[#This Row],[COD ETPA]],tbEtapas[],3,FALSE),"")</f>
        <v/>
      </c>
    </row>
    <row r="4452" spans="1:6" x14ac:dyDescent="0.25">
      <c r="A4452" s="24" t="str">
        <f>_xlfn.XLOOKUP(tbEscolas[[#This Row],[ESCOLA]],tbNucleo[ESCOLA],tbNucleo[COD ESCOLA],"")</f>
        <v/>
      </c>
      <c r="B4452" t="str" cm="1">
        <f t="array" ref="B4452">IFERROR(INDEX(tbNucleo[ESCOLA],ROUNDUP(ROW(B4451)/TotalEtapas,0)),"")</f>
        <v/>
      </c>
      <c r="E4452" t="str">
        <f>IFERROR(VLOOKUP(tbEscolas[[#This Row],[COD ETPA]],tbEtapas[],2,FALSE),"")</f>
        <v/>
      </c>
      <c r="F4452" t="str">
        <f>IFERROR(VLOOKUP(tbEscolas[[#This Row],[COD ETPA]],tbEtapas[],3,FALSE),"")</f>
        <v/>
      </c>
    </row>
    <row r="4453" spans="1:6" x14ac:dyDescent="0.25">
      <c r="A4453" s="24" t="str">
        <f>_xlfn.XLOOKUP(tbEscolas[[#This Row],[ESCOLA]],tbNucleo[ESCOLA],tbNucleo[COD ESCOLA],"")</f>
        <v/>
      </c>
      <c r="B4453" t="str" cm="1">
        <f t="array" ref="B4453">IFERROR(INDEX(tbNucleo[ESCOLA],ROUNDUP(ROW(B4452)/TotalEtapas,0)),"")</f>
        <v/>
      </c>
      <c r="E4453" t="str">
        <f>IFERROR(VLOOKUP(tbEscolas[[#This Row],[COD ETPA]],tbEtapas[],2,FALSE),"")</f>
        <v/>
      </c>
      <c r="F4453" t="str">
        <f>IFERROR(VLOOKUP(tbEscolas[[#This Row],[COD ETPA]],tbEtapas[],3,FALSE),"")</f>
        <v/>
      </c>
    </row>
    <row r="4454" spans="1:6" x14ac:dyDescent="0.25">
      <c r="A4454" s="24" t="str">
        <f>_xlfn.XLOOKUP(tbEscolas[[#This Row],[ESCOLA]],tbNucleo[ESCOLA],tbNucleo[COD ESCOLA],"")</f>
        <v/>
      </c>
      <c r="B4454" t="str" cm="1">
        <f t="array" ref="B4454">IFERROR(INDEX(tbNucleo[ESCOLA],ROUNDUP(ROW(B4453)/TotalEtapas,0)),"")</f>
        <v/>
      </c>
      <c r="E4454" t="str">
        <f>IFERROR(VLOOKUP(tbEscolas[[#This Row],[COD ETPA]],tbEtapas[],2,FALSE),"")</f>
        <v/>
      </c>
      <c r="F4454" t="str">
        <f>IFERROR(VLOOKUP(tbEscolas[[#This Row],[COD ETPA]],tbEtapas[],3,FALSE),"")</f>
        <v/>
      </c>
    </row>
    <row r="4455" spans="1:6" x14ac:dyDescent="0.25">
      <c r="A4455" s="24" t="str">
        <f>_xlfn.XLOOKUP(tbEscolas[[#This Row],[ESCOLA]],tbNucleo[ESCOLA],tbNucleo[COD ESCOLA],"")</f>
        <v/>
      </c>
      <c r="B4455" t="str" cm="1">
        <f t="array" ref="B4455">IFERROR(INDEX(tbNucleo[ESCOLA],ROUNDUP(ROW(B4454)/TotalEtapas,0)),"")</f>
        <v/>
      </c>
      <c r="E4455" t="str">
        <f>IFERROR(VLOOKUP(tbEscolas[[#This Row],[COD ETPA]],tbEtapas[],2,FALSE),"")</f>
        <v/>
      </c>
      <c r="F4455" t="str">
        <f>IFERROR(VLOOKUP(tbEscolas[[#This Row],[COD ETPA]],tbEtapas[],3,FALSE),"")</f>
        <v/>
      </c>
    </row>
    <row r="4456" spans="1:6" x14ac:dyDescent="0.25">
      <c r="A4456" s="24" t="str">
        <f>_xlfn.XLOOKUP(tbEscolas[[#This Row],[ESCOLA]],tbNucleo[ESCOLA],tbNucleo[COD ESCOLA],"")</f>
        <v/>
      </c>
      <c r="B4456" t="str" cm="1">
        <f t="array" ref="B4456">IFERROR(INDEX(tbNucleo[ESCOLA],ROUNDUP(ROW(B4455)/TotalEtapas,0)),"")</f>
        <v/>
      </c>
      <c r="E4456" t="str">
        <f>IFERROR(VLOOKUP(tbEscolas[[#This Row],[COD ETPA]],tbEtapas[],2,FALSE),"")</f>
        <v/>
      </c>
      <c r="F4456" t="str">
        <f>IFERROR(VLOOKUP(tbEscolas[[#This Row],[COD ETPA]],tbEtapas[],3,FALSE),"")</f>
        <v/>
      </c>
    </row>
    <row r="4457" spans="1:6" x14ac:dyDescent="0.25">
      <c r="A4457" s="24" t="str">
        <f>_xlfn.XLOOKUP(tbEscolas[[#This Row],[ESCOLA]],tbNucleo[ESCOLA],tbNucleo[COD ESCOLA],"")</f>
        <v/>
      </c>
      <c r="B4457" t="str" cm="1">
        <f t="array" ref="B4457">IFERROR(INDEX(tbNucleo[ESCOLA],ROUNDUP(ROW(B4456)/TotalEtapas,0)),"")</f>
        <v/>
      </c>
      <c r="E4457" t="str">
        <f>IFERROR(VLOOKUP(tbEscolas[[#This Row],[COD ETPA]],tbEtapas[],2,FALSE),"")</f>
        <v/>
      </c>
      <c r="F4457" t="str">
        <f>IFERROR(VLOOKUP(tbEscolas[[#This Row],[COD ETPA]],tbEtapas[],3,FALSE),"")</f>
        <v/>
      </c>
    </row>
    <row r="4458" spans="1:6" x14ac:dyDescent="0.25">
      <c r="A4458" s="24" t="str">
        <f>_xlfn.XLOOKUP(tbEscolas[[#This Row],[ESCOLA]],tbNucleo[ESCOLA],tbNucleo[COD ESCOLA],"")</f>
        <v/>
      </c>
      <c r="B4458" t="str" cm="1">
        <f t="array" ref="B4458">IFERROR(INDEX(tbNucleo[ESCOLA],ROUNDUP(ROW(B4457)/TotalEtapas,0)),"")</f>
        <v/>
      </c>
      <c r="E4458" t="str">
        <f>IFERROR(VLOOKUP(tbEscolas[[#This Row],[COD ETPA]],tbEtapas[],2,FALSE),"")</f>
        <v/>
      </c>
      <c r="F4458" t="str">
        <f>IFERROR(VLOOKUP(tbEscolas[[#This Row],[COD ETPA]],tbEtapas[],3,FALSE),"")</f>
        <v/>
      </c>
    </row>
    <row r="4459" spans="1:6" x14ac:dyDescent="0.25">
      <c r="A4459" s="24" t="str">
        <f>_xlfn.XLOOKUP(tbEscolas[[#This Row],[ESCOLA]],tbNucleo[ESCOLA],tbNucleo[COD ESCOLA],"")</f>
        <v/>
      </c>
      <c r="B4459" t="str" cm="1">
        <f t="array" ref="B4459">IFERROR(INDEX(tbNucleo[ESCOLA],ROUNDUP(ROW(B4458)/TotalEtapas,0)),"")</f>
        <v/>
      </c>
      <c r="E4459" t="str">
        <f>IFERROR(VLOOKUP(tbEscolas[[#This Row],[COD ETPA]],tbEtapas[],2,FALSE),"")</f>
        <v/>
      </c>
      <c r="F4459" t="str">
        <f>IFERROR(VLOOKUP(tbEscolas[[#This Row],[COD ETPA]],tbEtapas[],3,FALSE),"")</f>
        <v/>
      </c>
    </row>
    <row r="4460" spans="1:6" x14ac:dyDescent="0.25">
      <c r="A4460" s="24" t="str">
        <f>_xlfn.XLOOKUP(tbEscolas[[#This Row],[ESCOLA]],tbNucleo[ESCOLA],tbNucleo[COD ESCOLA],"")</f>
        <v/>
      </c>
      <c r="B4460" t="str" cm="1">
        <f t="array" ref="B4460">IFERROR(INDEX(tbNucleo[ESCOLA],ROUNDUP(ROW(B4459)/TotalEtapas,0)),"")</f>
        <v/>
      </c>
      <c r="E4460" t="str">
        <f>IFERROR(VLOOKUP(tbEscolas[[#This Row],[COD ETPA]],tbEtapas[],2,FALSE),"")</f>
        <v/>
      </c>
      <c r="F4460" t="str">
        <f>IFERROR(VLOOKUP(tbEscolas[[#This Row],[COD ETPA]],tbEtapas[],3,FALSE),"")</f>
        <v/>
      </c>
    </row>
    <row r="4461" spans="1:6" x14ac:dyDescent="0.25">
      <c r="A4461" s="24" t="str">
        <f>_xlfn.XLOOKUP(tbEscolas[[#This Row],[ESCOLA]],tbNucleo[ESCOLA],tbNucleo[COD ESCOLA],"")</f>
        <v/>
      </c>
      <c r="B4461" t="str" cm="1">
        <f t="array" ref="B4461">IFERROR(INDEX(tbNucleo[ESCOLA],ROUNDUP(ROW(B4460)/TotalEtapas,0)),"")</f>
        <v/>
      </c>
      <c r="E4461" t="str">
        <f>IFERROR(VLOOKUP(tbEscolas[[#This Row],[COD ETPA]],tbEtapas[],2,FALSE),"")</f>
        <v/>
      </c>
      <c r="F4461" t="str">
        <f>IFERROR(VLOOKUP(tbEscolas[[#This Row],[COD ETPA]],tbEtapas[],3,FALSE),"")</f>
        <v/>
      </c>
    </row>
    <row r="4462" spans="1:6" x14ac:dyDescent="0.25">
      <c r="A4462" s="24" t="str">
        <f>_xlfn.XLOOKUP(tbEscolas[[#This Row],[ESCOLA]],tbNucleo[ESCOLA],tbNucleo[COD ESCOLA],"")</f>
        <v/>
      </c>
      <c r="B4462" t="str" cm="1">
        <f t="array" ref="B4462">IFERROR(INDEX(tbNucleo[ESCOLA],ROUNDUP(ROW(B4461)/TotalEtapas,0)),"")</f>
        <v/>
      </c>
      <c r="E4462" t="str">
        <f>IFERROR(VLOOKUP(tbEscolas[[#This Row],[COD ETPA]],tbEtapas[],2,FALSE),"")</f>
        <v/>
      </c>
      <c r="F4462" t="str">
        <f>IFERROR(VLOOKUP(tbEscolas[[#This Row],[COD ETPA]],tbEtapas[],3,FALSE),"")</f>
        <v/>
      </c>
    </row>
    <row r="4463" spans="1:6" x14ac:dyDescent="0.25">
      <c r="A4463" s="24" t="str">
        <f>_xlfn.XLOOKUP(tbEscolas[[#This Row],[ESCOLA]],tbNucleo[ESCOLA],tbNucleo[COD ESCOLA],"")</f>
        <v/>
      </c>
      <c r="B4463" t="str" cm="1">
        <f t="array" ref="B4463">IFERROR(INDEX(tbNucleo[ESCOLA],ROUNDUP(ROW(B4462)/TotalEtapas,0)),"")</f>
        <v/>
      </c>
      <c r="E4463" t="str">
        <f>IFERROR(VLOOKUP(tbEscolas[[#This Row],[COD ETPA]],tbEtapas[],2,FALSE),"")</f>
        <v/>
      </c>
      <c r="F4463" t="str">
        <f>IFERROR(VLOOKUP(tbEscolas[[#This Row],[COD ETPA]],tbEtapas[],3,FALSE),"")</f>
        <v/>
      </c>
    </row>
    <row r="4464" spans="1:6" x14ac:dyDescent="0.25">
      <c r="A4464" s="24" t="str">
        <f>_xlfn.XLOOKUP(tbEscolas[[#This Row],[ESCOLA]],tbNucleo[ESCOLA],tbNucleo[COD ESCOLA],"")</f>
        <v/>
      </c>
      <c r="B4464" t="str" cm="1">
        <f t="array" ref="B4464">IFERROR(INDEX(tbNucleo[ESCOLA],ROUNDUP(ROW(B4463)/TotalEtapas,0)),"")</f>
        <v/>
      </c>
      <c r="E4464" t="str">
        <f>IFERROR(VLOOKUP(tbEscolas[[#This Row],[COD ETPA]],tbEtapas[],2,FALSE),"")</f>
        <v/>
      </c>
      <c r="F4464" t="str">
        <f>IFERROR(VLOOKUP(tbEscolas[[#This Row],[COD ETPA]],tbEtapas[],3,FALSE),"")</f>
        <v/>
      </c>
    </row>
    <row r="4465" spans="1:6" x14ac:dyDescent="0.25">
      <c r="A4465" s="24" t="str">
        <f>_xlfn.XLOOKUP(tbEscolas[[#This Row],[ESCOLA]],tbNucleo[ESCOLA],tbNucleo[COD ESCOLA],"")</f>
        <v/>
      </c>
      <c r="B4465" t="str" cm="1">
        <f t="array" ref="B4465">IFERROR(INDEX(tbNucleo[ESCOLA],ROUNDUP(ROW(B4464)/TotalEtapas,0)),"")</f>
        <v/>
      </c>
      <c r="E4465" t="str">
        <f>IFERROR(VLOOKUP(tbEscolas[[#This Row],[COD ETPA]],tbEtapas[],2,FALSE),"")</f>
        <v/>
      </c>
      <c r="F4465" t="str">
        <f>IFERROR(VLOOKUP(tbEscolas[[#This Row],[COD ETPA]],tbEtapas[],3,FALSE),"")</f>
        <v/>
      </c>
    </row>
    <row r="4466" spans="1:6" x14ac:dyDescent="0.25">
      <c r="A4466" s="24" t="str">
        <f>_xlfn.XLOOKUP(tbEscolas[[#This Row],[ESCOLA]],tbNucleo[ESCOLA],tbNucleo[COD ESCOLA],"")</f>
        <v/>
      </c>
      <c r="B4466" t="str" cm="1">
        <f t="array" ref="B4466">IFERROR(INDEX(tbNucleo[ESCOLA],ROUNDUP(ROW(B4465)/TotalEtapas,0)),"")</f>
        <v/>
      </c>
      <c r="E4466" t="str">
        <f>IFERROR(VLOOKUP(tbEscolas[[#This Row],[COD ETPA]],tbEtapas[],2,FALSE),"")</f>
        <v/>
      </c>
      <c r="F4466" t="str">
        <f>IFERROR(VLOOKUP(tbEscolas[[#This Row],[COD ETPA]],tbEtapas[],3,FALSE),"")</f>
        <v/>
      </c>
    </row>
    <row r="4467" spans="1:6" x14ac:dyDescent="0.25">
      <c r="A4467" s="24" t="str">
        <f>_xlfn.XLOOKUP(tbEscolas[[#This Row],[ESCOLA]],tbNucleo[ESCOLA],tbNucleo[COD ESCOLA],"")</f>
        <v/>
      </c>
      <c r="B4467" t="str" cm="1">
        <f t="array" ref="B4467">IFERROR(INDEX(tbNucleo[ESCOLA],ROUNDUP(ROW(B4466)/TotalEtapas,0)),"")</f>
        <v/>
      </c>
      <c r="E4467" t="str">
        <f>IFERROR(VLOOKUP(tbEscolas[[#This Row],[COD ETPA]],tbEtapas[],2,FALSE),"")</f>
        <v/>
      </c>
      <c r="F4467" t="str">
        <f>IFERROR(VLOOKUP(tbEscolas[[#This Row],[COD ETPA]],tbEtapas[],3,FALSE),"")</f>
        <v/>
      </c>
    </row>
    <row r="4468" spans="1:6" x14ac:dyDescent="0.25">
      <c r="A4468" s="24" t="str">
        <f>_xlfn.XLOOKUP(tbEscolas[[#This Row],[ESCOLA]],tbNucleo[ESCOLA],tbNucleo[COD ESCOLA],"")</f>
        <v/>
      </c>
      <c r="B4468" t="str" cm="1">
        <f t="array" ref="B4468">IFERROR(INDEX(tbNucleo[ESCOLA],ROUNDUP(ROW(B4467)/TotalEtapas,0)),"")</f>
        <v/>
      </c>
      <c r="E4468" t="str">
        <f>IFERROR(VLOOKUP(tbEscolas[[#This Row],[COD ETPA]],tbEtapas[],2,FALSE),"")</f>
        <v/>
      </c>
      <c r="F4468" t="str">
        <f>IFERROR(VLOOKUP(tbEscolas[[#This Row],[COD ETPA]],tbEtapas[],3,FALSE),"")</f>
        <v/>
      </c>
    </row>
    <row r="4469" spans="1:6" x14ac:dyDescent="0.25">
      <c r="A4469" s="24" t="str">
        <f>_xlfn.XLOOKUP(tbEscolas[[#This Row],[ESCOLA]],tbNucleo[ESCOLA],tbNucleo[COD ESCOLA],"")</f>
        <v/>
      </c>
      <c r="B4469" t="str" cm="1">
        <f t="array" ref="B4469">IFERROR(INDEX(tbNucleo[ESCOLA],ROUNDUP(ROW(B4468)/TotalEtapas,0)),"")</f>
        <v/>
      </c>
      <c r="E4469" t="str">
        <f>IFERROR(VLOOKUP(tbEscolas[[#This Row],[COD ETPA]],tbEtapas[],2,FALSE),"")</f>
        <v/>
      </c>
      <c r="F4469" t="str">
        <f>IFERROR(VLOOKUP(tbEscolas[[#This Row],[COD ETPA]],tbEtapas[],3,FALSE),"")</f>
        <v/>
      </c>
    </row>
    <row r="4470" spans="1:6" x14ac:dyDescent="0.25">
      <c r="A4470" s="24" t="str">
        <f>_xlfn.XLOOKUP(tbEscolas[[#This Row],[ESCOLA]],tbNucleo[ESCOLA],tbNucleo[COD ESCOLA],"")</f>
        <v/>
      </c>
      <c r="B4470" t="str" cm="1">
        <f t="array" ref="B4470">IFERROR(INDEX(tbNucleo[ESCOLA],ROUNDUP(ROW(B4469)/TotalEtapas,0)),"")</f>
        <v/>
      </c>
      <c r="E4470" t="str">
        <f>IFERROR(VLOOKUP(tbEscolas[[#This Row],[COD ETPA]],tbEtapas[],2,FALSE),"")</f>
        <v/>
      </c>
      <c r="F4470" t="str">
        <f>IFERROR(VLOOKUP(tbEscolas[[#This Row],[COD ETPA]],tbEtapas[],3,FALSE),"")</f>
        <v/>
      </c>
    </row>
    <row r="4471" spans="1:6" x14ac:dyDescent="0.25">
      <c r="A4471" s="24" t="str">
        <f>_xlfn.XLOOKUP(tbEscolas[[#This Row],[ESCOLA]],tbNucleo[ESCOLA],tbNucleo[COD ESCOLA],"")</f>
        <v/>
      </c>
      <c r="B4471" t="str" cm="1">
        <f t="array" ref="B4471">IFERROR(INDEX(tbNucleo[ESCOLA],ROUNDUP(ROW(B4470)/TotalEtapas,0)),"")</f>
        <v/>
      </c>
      <c r="E4471" t="str">
        <f>IFERROR(VLOOKUP(tbEscolas[[#This Row],[COD ETPA]],tbEtapas[],2,FALSE),"")</f>
        <v/>
      </c>
      <c r="F4471" t="str">
        <f>IFERROR(VLOOKUP(tbEscolas[[#This Row],[COD ETPA]],tbEtapas[],3,FALSE),"")</f>
        <v/>
      </c>
    </row>
    <row r="4472" spans="1:6" x14ac:dyDescent="0.25">
      <c r="A4472" s="24" t="str">
        <f>_xlfn.XLOOKUP(tbEscolas[[#This Row],[ESCOLA]],tbNucleo[ESCOLA],tbNucleo[COD ESCOLA],"")</f>
        <v/>
      </c>
      <c r="B4472" t="str" cm="1">
        <f t="array" ref="B4472">IFERROR(INDEX(tbNucleo[ESCOLA],ROUNDUP(ROW(B4471)/TotalEtapas,0)),"")</f>
        <v/>
      </c>
      <c r="E4472" t="str">
        <f>IFERROR(VLOOKUP(tbEscolas[[#This Row],[COD ETPA]],tbEtapas[],2,FALSE),"")</f>
        <v/>
      </c>
      <c r="F4472" t="str">
        <f>IFERROR(VLOOKUP(tbEscolas[[#This Row],[COD ETPA]],tbEtapas[],3,FALSE),"")</f>
        <v/>
      </c>
    </row>
    <row r="4473" spans="1:6" x14ac:dyDescent="0.25">
      <c r="A4473" s="24" t="str">
        <f>_xlfn.XLOOKUP(tbEscolas[[#This Row],[ESCOLA]],tbNucleo[ESCOLA],tbNucleo[COD ESCOLA],"")</f>
        <v/>
      </c>
      <c r="B4473" t="str" cm="1">
        <f t="array" ref="B4473">IFERROR(INDEX(tbNucleo[ESCOLA],ROUNDUP(ROW(B4472)/TotalEtapas,0)),"")</f>
        <v/>
      </c>
      <c r="E4473" t="str">
        <f>IFERROR(VLOOKUP(tbEscolas[[#This Row],[COD ETPA]],tbEtapas[],2,FALSE),"")</f>
        <v/>
      </c>
      <c r="F4473" t="str">
        <f>IFERROR(VLOOKUP(tbEscolas[[#This Row],[COD ETPA]],tbEtapas[],3,FALSE),"")</f>
        <v/>
      </c>
    </row>
    <row r="4474" spans="1:6" x14ac:dyDescent="0.25">
      <c r="A4474" s="24" t="str">
        <f>_xlfn.XLOOKUP(tbEscolas[[#This Row],[ESCOLA]],tbNucleo[ESCOLA],tbNucleo[COD ESCOLA],"")</f>
        <v/>
      </c>
      <c r="B4474" t="str" cm="1">
        <f t="array" ref="B4474">IFERROR(INDEX(tbNucleo[ESCOLA],ROUNDUP(ROW(B4473)/TotalEtapas,0)),"")</f>
        <v/>
      </c>
      <c r="E4474" t="str">
        <f>IFERROR(VLOOKUP(tbEscolas[[#This Row],[COD ETPA]],tbEtapas[],2,FALSE),"")</f>
        <v/>
      </c>
      <c r="F4474" t="str">
        <f>IFERROR(VLOOKUP(tbEscolas[[#This Row],[COD ETPA]],tbEtapas[],3,FALSE),"")</f>
        <v/>
      </c>
    </row>
    <row r="4475" spans="1:6" x14ac:dyDescent="0.25">
      <c r="A4475" s="24" t="str">
        <f>_xlfn.XLOOKUP(tbEscolas[[#This Row],[ESCOLA]],tbNucleo[ESCOLA],tbNucleo[COD ESCOLA],"")</f>
        <v/>
      </c>
      <c r="B4475" t="str" cm="1">
        <f t="array" ref="B4475">IFERROR(INDEX(tbNucleo[ESCOLA],ROUNDUP(ROW(B4474)/TotalEtapas,0)),"")</f>
        <v/>
      </c>
      <c r="E4475" t="str">
        <f>IFERROR(VLOOKUP(tbEscolas[[#This Row],[COD ETPA]],tbEtapas[],2,FALSE),"")</f>
        <v/>
      </c>
      <c r="F4475" t="str">
        <f>IFERROR(VLOOKUP(tbEscolas[[#This Row],[COD ETPA]],tbEtapas[],3,FALSE),"")</f>
        <v/>
      </c>
    </row>
    <row r="4476" spans="1:6" x14ac:dyDescent="0.25">
      <c r="A4476" s="24" t="str">
        <f>_xlfn.XLOOKUP(tbEscolas[[#This Row],[ESCOLA]],tbNucleo[ESCOLA],tbNucleo[COD ESCOLA],"")</f>
        <v/>
      </c>
      <c r="B4476" t="str" cm="1">
        <f t="array" ref="B4476">IFERROR(INDEX(tbNucleo[ESCOLA],ROUNDUP(ROW(B4475)/TotalEtapas,0)),"")</f>
        <v/>
      </c>
      <c r="E4476" t="str">
        <f>IFERROR(VLOOKUP(tbEscolas[[#This Row],[COD ETPA]],tbEtapas[],2,FALSE),"")</f>
        <v/>
      </c>
      <c r="F4476" t="str">
        <f>IFERROR(VLOOKUP(tbEscolas[[#This Row],[COD ETPA]],tbEtapas[],3,FALSE),"")</f>
        <v/>
      </c>
    </row>
    <row r="4477" spans="1:6" x14ac:dyDescent="0.25">
      <c r="A4477" s="24" t="str">
        <f>_xlfn.XLOOKUP(tbEscolas[[#This Row],[ESCOLA]],tbNucleo[ESCOLA],tbNucleo[COD ESCOLA],"")</f>
        <v/>
      </c>
      <c r="B4477" t="str" cm="1">
        <f t="array" ref="B4477">IFERROR(INDEX(tbNucleo[ESCOLA],ROUNDUP(ROW(B4476)/TotalEtapas,0)),"")</f>
        <v/>
      </c>
      <c r="E4477" t="str">
        <f>IFERROR(VLOOKUP(tbEscolas[[#This Row],[COD ETPA]],tbEtapas[],2,FALSE),"")</f>
        <v/>
      </c>
      <c r="F4477" t="str">
        <f>IFERROR(VLOOKUP(tbEscolas[[#This Row],[COD ETPA]],tbEtapas[],3,FALSE),"")</f>
        <v/>
      </c>
    </row>
    <row r="4478" spans="1:6" x14ac:dyDescent="0.25">
      <c r="A4478" s="24" t="str">
        <f>_xlfn.XLOOKUP(tbEscolas[[#This Row],[ESCOLA]],tbNucleo[ESCOLA],tbNucleo[COD ESCOLA],"")</f>
        <v/>
      </c>
      <c r="B4478" t="str" cm="1">
        <f t="array" ref="B4478">IFERROR(INDEX(tbNucleo[ESCOLA],ROUNDUP(ROW(B4477)/TotalEtapas,0)),"")</f>
        <v/>
      </c>
      <c r="E4478" t="str">
        <f>IFERROR(VLOOKUP(tbEscolas[[#This Row],[COD ETPA]],tbEtapas[],2,FALSE),"")</f>
        <v/>
      </c>
      <c r="F4478" t="str">
        <f>IFERROR(VLOOKUP(tbEscolas[[#This Row],[COD ETPA]],tbEtapas[],3,FALSE),"")</f>
        <v/>
      </c>
    </row>
    <row r="4479" spans="1:6" x14ac:dyDescent="0.25">
      <c r="A4479" s="24" t="str">
        <f>_xlfn.XLOOKUP(tbEscolas[[#This Row],[ESCOLA]],tbNucleo[ESCOLA],tbNucleo[COD ESCOLA],"")</f>
        <v/>
      </c>
      <c r="B4479" t="str" cm="1">
        <f t="array" ref="B4479">IFERROR(INDEX(tbNucleo[ESCOLA],ROUNDUP(ROW(B4478)/TotalEtapas,0)),"")</f>
        <v/>
      </c>
      <c r="E4479" t="str">
        <f>IFERROR(VLOOKUP(tbEscolas[[#This Row],[COD ETPA]],tbEtapas[],2,FALSE),"")</f>
        <v/>
      </c>
      <c r="F4479" t="str">
        <f>IFERROR(VLOOKUP(tbEscolas[[#This Row],[COD ETPA]],tbEtapas[],3,FALSE),"")</f>
        <v/>
      </c>
    </row>
    <row r="4480" spans="1:6" x14ac:dyDescent="0.25">
      <c r="A4480" s="24" t="str">
        <f>_xlfn.XLOOKUP(tbEscolas[[#This Row],[ESCOLA]],tbNucleo[ESCOLA],tbNucleo[COD ESCOLA],"")</f>
        <v/>
      </c>
      <c r="B4480" t="str" cm="1">
        <f t="array" ref="B4480">IFERROR(INDEX(tbNucleo[ESCOLA],ROUNDUP(ROW(B4479)/TotalEtapas,0)),"")</f>
        <v/>
      </c>
      <c r="E4480" t="str">
        <f>IFERROR(VLOOKUP(tbEscolas[[#This Row],[COD ETPA]],tbEtapas[],2,FALSE),"")</f>
        <v/>
      </c>
      <c r="F4480" t="str">
        <f>IFERROR(VLOOKUP(tbEscolas[[#This Row],[COD ETPA]],tbEtapas[],3,FALSE),"")</f>
        <v/>
      </c>
    </row>
    <row r="4481" spans="1:6" x14ac:dyDescent="0.25">
      <c r="A4481" s="24" t="str">
        <f>_xlfn.XLOOKUP(tbEscolas[[#This Row],[ESCOLA]],tbNucleo[ESCOLA],tbNucleo[COD ESCOLA],"")</f>
        <v/>
      </c>
      <c r="B4481" t="str" cm="1">
        <f t="array" ref="B4481">IFERROR(INDEX(tbNucleo[ESCOLA],ROUNDUP(ROW(B4480)/TotalEtapas,0)),"")</f>
        <v/>
      </c>
      <c r="E4481" t="str">
        <f>IFERROR(VLOOKUP(tbEscolas[[#This Row],[COD ETPA]],tbEtapas[],2,FALSE),"")</f>
        <v/>
      </c>
      <c r="F4481" t="str">
        <f>IFERROR(VLOOKUP(tbEscolas[[#This Row],[COD ETPA]],tbEtapas[],3,FALSE),"")</f>
        <v/>
      </c>
    </row>
    <row r="4482" spans="1:6" x14ac:dyDescent="0.25">
      <c r="A4482" s="24" t="str">
        <f>_xlfn.XLOOKUP(tbEscolas[[#This Row],[ESCOLA]],tbNucleo[ESCOLA],tbNucleo[COD ESCOLA],"")</f>
        <v/>
      </c>
      <c r="B4482" t="str" cm="1">
        <f t="array" ref="B4482">IFERROR(INDEX(tbNucleo[ESCOLA],ROUNDUP(ROW(B4481)/TotalEtapas,0)),"")</f>
        <v/>
      </c>
      <c r="E4482" t="str">
        <f>IFERROR(VLOOKUP(tbEscolas[[#This Row],[COD ETPA]],tbEtapas[],2,FALSE),"")</f>
        <v/>
      </c>
      <c r="F4482" t="str">
        <f>IFERROR(VLOOKUP(tbEscolas[[#This Row],[COD ETPA]],tbEtapas[],3,FALSE),"")</f>
        <v/>
      </c>
    </row>
    <row r="4483" spans="1:6" x14ac:dyDescent="0.25">
      <c r="A4483" s="24" t="str">
        <f>_xlfn.XLOOKUP(tbEscolas[[#This Row],[ESCOLA]],tbNucleo[ESCOLA],tbNucleo[COD ESCOLA],"")</f>
        <v/>
      </c>
      <c r="B4483" t="str" cm="1">
        <f t="array" ref="B4483">IFERROR(INDEX(tbNucleo[ESCOLA],ROUNDUP(ROW(B4482)/TotalEtapas,0)),"")</f>
        <v/>
      </c>
      <c r="E4483" t="str">
        <f>IFERROR(VLOOKUP(tbEscolas[[#This Row],[COD ETPA]],tbEtapas[],2,FALSE),"")</f>
        <v/>
      </c>
      <c r="F4483" t="str">
        <f>IFERROR(VLOOKUP(tbEscolas[[#This Row],[COD ETPA]],tbEtapas[],3,FALSE),"")</f>
        <v/>
      </c>
    </row>
    <row r="4484" spans="1:6" x14ac:dyDescent="0.25">
      <c r="A4484" s="24" t="str">
        <f>_xlfn.XLOOKUP(tbEscolas[[#This Row],[ESCOLA]],tbNucleo[ESCOLA],tbNucleo[COD ESCOLA],"")</f>
        <v/>
      </c>
      <c r="B4484" t="str" cm="1">
        <f t="array" ref="B4484">IFERROR(INDEX(tbNucleo[ESCOLA],ROUNDUP(ROW(B4483)/TotalEtapas,0)),"")</f>
        <v/>
      </c>
      <c r="E4484" t="str">
        <f>IFERROR(VLOOKUP(tbEscolas[[#This Row],[COD ETPA]],tbEtapas[],2,FALSE),"")</f>
        <v/>
      </c>
      <c r="F4484" t="str">
        <f>IFERROR(VLOOKUP(tbEscolas[[#This Row],[COD ETPA]],tbEtapas[],3,FALSE),"")</f>
        <v/>
      </c>
    </row>
    <row r="4485" spans="1:6" x14ac:dyDescent="0.25">
      <c r="A4485" s="24" t="str">
        <f>_xlfn.XLOOKUP(tbEscolas[[#This Row],[ESCOLA]],tbNucleo[ESCOLA],tbNucleo[COD ESCOLA],"")</f>
        <v/>
      </c>
      <c r="B4485" t="str" cm="1">
        <f t="array" ref="B4485">IFERROR(INDEX(tbNucleo[ESCOLA],ROUNDUP(ROW(B4484)/TotalEtapas,0)),"")</f>
        <v/>
      </c>
      <c r="E4485" t="str">
        <f>IFERROR(VLOOKUP(tbEscolas[[#This Row],[COD ETPA]],tbEtapas[],2,FALSE),"")</f>
        <v/>
      </c>
      <c r="F4485" t="str">
        <f>IFERROR(VLOOKUP(tbEscolas[[#This Row],[COD ETPA]],tbEtapas[],3,FALSE),"")</f>
        <v/>
      </c>
    </row>
    <row r="4486" spans="1:6" x14ac:dyDescent="0.25">
      <c r="A4486" s="24" t="str">
        <f>_xlfn.XLOOKUP(tbEscolas[[#This Row],[ESCOLA]],tbNucleo[ESCOLA],tbNucleo[COD ESCOLA],"")</f>
        <v/>
      </c>
      <c r="B4486" t="str" cm="1">
        <f t="array" ref="B4486">IFERROR(INDEX(tbNucleo[ESCOLA],ROUNDUP(ROW(B4485)/TotalEtapas,0)),"")</f>
        <v/>
      </c>
      <c r="E4486" t="str">
        <f>IFERROR(VLOOKUP(tbEscolas[[#This Row],[COD ETPA]],tbEtapas[],2,FALSE),"")</f>
        <v/>
      </c>
      <c r="F4486" t="str">
        <f>IFERROR(VLOOKUP(tbEscolas[[#This Row],[COD ETPA]],tbEtapas[],3,FALSE),"")</f>
        <v/>
      </c>
    </row>
    <row r="4487" spans="1:6" x14ac:dyDescent="0.25">
      <c r="A4487" s="24" t="str">
        <f>_xlfn.XLOOKUP(tbEscolas[[#This Row],[ESCOLA]],tbNucleo[ESCOLA],tbNucleo[COD ESCOLA],"")</f>
        <v/>
      </c>
      <c r="B4487" t="str" cm="1">
        <f t="array" ref="B4487">IFERROR(INDEX(tbNucleo[ESCOLA],ROUNDUP(ROW(B4486)/TotalEtapas,0)),"")</f>
        <v/>
      </c>
      <c r="E4487" t="str">
        <f>IFERROR(VLOOKUP(tbEscolas[[#This Row],[COD ETPA]],tbEtapas[],2,FALSE),"")</f>
        <v/>
      </c>
      <c r="F4487" t="str">
        <f>IFERROR(VLOOKUP(tbEscolas[[#This Row],[COD ETPA]],tbEtapas[],3,FALSE),"")</f>
        <v/>
      </c>
    </row>
    <row r="4488" spans="1:6" x14ac:dyDescent="0.25">
      <c r="A4488" s="24" t="str">
        <f>_xlfn.XLOOKUP(tbEscolas[[#This Row],[ESCOLA]],tbNucleo[ESCOLA],tbNucleo[COD ESCOLA],"")</f>
        <v/>
      </c>
      <c r="B4488" t="str" cm="1">
        <f t="array" ref="B4488">IFERROR(INDEX(tbNucleo[ESCOLA],ROUNDUP(ROW(B4487)/TotalEtapas,0)),"")</f>
        <v/>
      </c>
      <c r="E4488" t="str">
        <f>IFERROR(VLOOKUP(tbEscolas[[#This Row],[COD ETPA]],tbEtapas[],2,FALSE),"")</f>
        <v/>
      </c>
      <c r="F4488" t="str">
        <f>IFERROR(VLOOKUP(tbEscolas[[#This Row],[COD ETPA]],tbEtapas[],3,FALSE),"")</f>
        <v/>
      </c>
    </row>
    <row r="4489" spans="1:6" x14ac:dyDescent="0.25">
      <c r="A4489" s="24" t="str">
        <f>_xlfn.XLOOKUP(tbEscolas[[#This Row],[ESCOLA]],tbNucleo[ESCOLA],tbNucleo[COD ESCOLA],"")</f>
        <v/>
      </c>
      <c r="B4489" t="str" cm="1">
        <f t="array" ref="B4489">IFERROR(INDEX(tbNucleo[ESCOLA],ROUNDUP(ROW(B4488)/TotalEtapas,0)),"")</f>
        <v/>
      </c>
      <c r="E4489" t="str">
        <f>IFERROR(VLOOKUP(tbEscolas[[#This Row],[COD ETPA]],tbEtapas[],2,FALSE),"")</f>
        <v/>
      </c>
      <c r="F4489" t="str">
        <f>IFERROR(VLOOKUP(tbEscolas[[#This Row],[COD ETPA]],tbEtapas[],3,FALSE),"")</f>
        <v/>
      </c>
    </row>
    <row r="4490" spans="1:6" x14ac:dyDescent="0.25">
      <c r="A4490" s="24" t="str">
        <f>_xlfn.XLOOKUP(tbEscolas[[#This Row],[ESCOLA]],tbNucleo[ESCOLA],tbNucleo[COD ESCOLA],"")</f>
        <v/>
      </c>
      <c r="B4490" t="str" cm="1">
        <f t="array" ref="B4490">IFERROR(INDEX(tbNucleo[ESCOLA],ROUNDUP(ROW(B4489)/TotalEtapas,0)),"")</f>
        <v/>
      </c>
      <c r="E4490" t="str">
        <f>IFERROR(VLOOKUP(tbEscolas[[#This Row],[COD ETPA]],tbEtapas[],2,FALSE),"")</f>
        <v/>
      </c>
      <c r="F4490" t="str">
        <f>IFERROR(VLOOKUP(tbEscolas[[#This Row],[COD ETPA]],tbEtapas[],3,FALSE),"")</f>
        <v/>
      </c>
    </row>
    <row r="4491" spans="1:6" x14ac:dyDescent="0.25">
      <c r="A4491" s="24" t="str">
        <f>_xlfn.XLOOKUP(tbEscolas[[#This Row],[ESCOLA]],tbNucleo[ESCOLA],tbNucleo[COD ESCOLA],"")</f>
        <v/>
      </c>
      <c r="B4491" t="str" cm="1">
        <f t="array" ref="B4491">IFERROR(INDEX(tbNucleo[ESCOLA],ROUNDUP(ROW(B4490)/TotalEtapas,0)),"")</f>
        <v/>
      </c>
      <c r="E4491" t="str">
        <f>IFERROR(VLOOKUP(tbEscolas[[#This Row],[COD ETPA]],tbEtapas[],2,FALSE),"")</f>
        <v/>
      </c>
      <c r="F4491" t="str">
        <f>IFERROR(VLOOKUP(tbEscolas[[#This Row],[COD ETPA]],tbEtapas[],3,FALSE),"")</f>
        <v/>
      </c>
    </row>
    <row r="4492" spans="1:6" x14ac:dyDescent="0.25">
      <c r="A4492" s="24" t="str">
        <f>_xlfn.XLOOKUP(tbEscolas[[#This Row],[ESCOLA]],tbNucleo[ESCOLA],tbNucleo[COD ESCOLA],"")</f>
        <v/>
      </c>
      <c r="B4492" t="str" cm="1">
        <f t="array" ref="B4492">IFERROR(INDEX(tbNucleo[ESCOLA],ROUNDUP(ROW(B4491)/TotalEtapas,0)),"")</f>
        <v/>
      </c>
      <c r="E4492" t="str">
        <f>IFERROR(VLOOKUP(tbEscolas[[#This Row],[COD ETPA]],tbEtapas[],2,FALSE),"")</f>
        <v/>
      </c>
      <c r="F4492" t="str">
        <f>IFERROR(VLOOKUP(tbEscolas[[#This Row],[COD ETPA]],tbEtapas[],3,FALSE),"")</f>
        <v/>
      </c>
    </row>
    <row r="4493" spans="1:6" x14ac:dyDescent="0.25">
      <c r="A4493" s="24" t="str">
        <f>_xlfn.XLOOKUP(tbEscolas[[#This Row],[ESCOLA]],tbNucleo[ESCOLA],tbNucleo[COD ESCOLA],"")</f>
        <v/>
      </c>
      <c r="B4493" t="str" cm="1">
        <f t="array" ref="B4493">IFERROR(INDEX(tbNucleo[ESCOLA],ROUNDUP(ROW(B4492)/TotalEtapas,0)),"")</f>
        <v/>
      </c>
      <c r="E4493" t="str">
        <f>IFERROR(VLOOKUP(tbEscolas[[#This Row],[COD ETPA]],tbEtapas[],2,FALSE),"")</f>
        <v/>
      </c>
      <c r="F4493" t="str">
        <f>IFERROR(VLOOKUP(tbEscolas[[#This Row],[COD ETPA]],tbEtapas[],3,FALSE),"")</f>
        <v/>
      </c>
    </row>
    <row r="4494" spans="1:6" x14ac:dyDescent="0.25">
      <c r="A4494" s="24" t="str">
        <f>_xlfn.XLOOKUP(tbEscolas[[#This Row],[ESCOLA]],tbNucleo[ESCOLA],tbNucleo[COD ESCOLA],"")</f>
        <v/>
      </c>
      <c r="B4494" t="str" cm="1">
        <f t="array" ref="B4494">IFERROR(INDEX(tbNucleo[ESCOLA],ROUNDUP(ROW(B4493)/TotalEtapas,0)),"")</f>
        <v/>
      </c>
      <c r="E4494" t="str">
        <f>IFERROR(VLOOKUP(tbEscolas[[#This Row],[COD ETPA]],tbEtapas[],2,FALSE),"")</f>
        <v/>
      </c>
      <c r="F4494" t="str">
        <f>IFERROR(VLOOKUP(tbEscolas[[#This Row],[COD ETPA]],tbEtapas[],3,FALSE),"")</f>
        <v/>
      </c>
    </row>
    <row r="4495" spans="1:6" x14ac:dyDescent="0.25">
      <c r="A4495" s="24" t="str">
        <f>_xlfn.XLOOKUP(tbEscolas[[#This Row],[ESCOLA]],tbNucleo[ESCOLA],tbNucleo[COD ESCOLA],"")</f>
        <v/>
      </c>
      <c r="B4495" t="str" cm="1">
        <f t="array" ref="B4495">IFERROR(INDEX(tbNucleo[ESCOLA],ROUNDUP(ROW(B4494)/TotalEtapas,0)),"")</f>
        <v/>
      </c>
      <c r="E4495" t="str">
        <f>IFERROR(VLOOKUP(tbEscolas[[#This Row],[COD ETPA]],tbEtapas[],2,FALSE),"")</f>
        <v/>
      </c>
      <c r="F4495" t="str">
        <f>IFERROR(VLOOKUP(tbEscolas[[#This Row],[COD ETPA]],tbEtapas[],3,FALSE),"")</f>
        <v/>
      </c>
    </row>
    <row r="4496" spans="1:6" x14ac:dyDescent="0.25">
      <c r="A4496" s="24" t="str">
        <f>_xlfn.XLOOKUP(tbEscolas[[#This Row],[ESCOLA]],tbNucleo[ESCOLA],tbNucleo[COD ESCOLA],"")</f>
        <v/>
      </c>
      <c r="B4496" t="str" cm="1">
        <f t="array" ref="B4496">IFERROR(INDEX(tbNucleo[ESCOLA],ROUNDUP(ROW(B4495)/TotalEtapas,0)),"")</f>
        <v/>
      </c>
      <c r="E4496" t="str">
        <f>IFERROR(VLOOKUP(tbEscolas[[#This Row],[COD ETPA]],tbEtapas[],2,FALSE),"")</f>
        <v/>
      </c>
      <c r="F4496" t="str">
        <f>IFERROR(VLOOKUP(tbEscolas[[#This Row],[COD ETPA]],tbEtapas[],3,FALSE),"")</f>
        <v/>
      </c>
    </row>
    <row r="4497" spans="1:6" x14ac:dyDescent="0.25">
      <c r="A4497" s="24" t="str">
        <f>_xlfn.XLOOKUP(tbEscolas[[#This Row],[ESCOLA]],tbNucleo[ESCOLA],tbNucleo[COD ESCOLA],"")</f>
        <v/>
      </c>
      <c r="B4497" t="str" cm="1">
        <f t="array" ref="B4497">IFERROR(INDEX(tbNucleo[ESCOLA],ROUNDUP(ROW(B4496)/TotalEtapas,0)),"")</f>
        <v/>
      </c>
      <c r="E4497" t="str">
        <f>IFERROR(VLOOKUP(tbEscolas[[#This Row],[COD ETPA]],tbEtapas[],2,FALSE),"")</f>
        <v/>
      </c>
      <c r="F4497" t="str">
        <f>IFERROR(VLOOKUP(tbEscolas[[#This Row],[COD ETPA]],tbEtapas[],3,FALSE),"")</f>
        <v/>
      </c>
    </row>
    <row r="4498" spans="1:6" x14ac:dyDescent="0.25">
      <c r="A4498" s="24" t="str">
        <f>_xlfn.XLOOKUP(tbEscolas[[#This Row],[ESCOLA]],tbNucleo[ESCOLA],tbNucleo[COD ESCOLA],"")</f>
        <v/>
      </c>
      <c r="B4498" t="str" cm="1">
        <f t="array" ref="B4498">IFERROR(INDEX(tbNucleo[ESCOLA],ROUNDUP(ROW(B4497)/TotalEtapas,0)),"")</f>
        <v/>
      </c>
      <c r="E4498" t="str">
        <f>IFERROR(VLOOKUP(tbEscolas[[#This Row],[COD ETPA]],tbEtapas[],2,FALSE),"")</f>
        <v/>
      </c>
      <c r="F4498" t="str">
        <f>IFERROR(VLOOKUP(tbEscolas[[#This Row],[COD ETPA]],tbEtapas[],3,FALSE),"")</f>
        <v/>
      </c>
    </row>
    <row r="4499" spans="1:6" x14ac:dyDescent="0.25">
      <c r="A4499" s="24" t="str">
        <f>_xlfn.XLOOKUP(tbEscolas[[#This Row],[ESCOLA]],tbNucleo[ESCOLA],tbNucleo[COD ESCOLA],"")</f>
        <v/>
      </c>
      <c r="B4499" t="str" cm="1">
        <f t="array" ref="B4499">IFERROR(INDEX(tbNucleo[ESCOLA],ROUNDUP(ROW(B4498)/TotalEtapas,0)),"")</f>
        <v/>
      </c>
      <c r="E4499" t="str">
        <f>IFERROR(VLOOKUP(tbEscolas[[#This Row],[COD ETPA]],tbEtapas[],2,FALSE),"")</f>
        <v/>
      </c>
      <c r="F4499" t="str">
        <f>IFERROR(VLOOKUP(tbEscolas[[#This Row],[COD ETPA]],tbEtapas[],3,FALSE),"")</f>
        <v/>
      </c>
    </row>
    <row r="4500" spans="1:6" x14ac:dyDescent="0.25">
      <c r="A4500" s="24" t="str">
        <f>_xlfn.XLOOKUP(tbEscolas[[#This Row],[ESCOLA]],tbNucleo[ESCOLA],tbNucleo[COD ESCOLA],"")</f>
        <v/>
      </c>
      <c r="B4500" t="str" cm="1">
        <f t="array" ref="B4500">IFERROR(INDEX(tbNucleo[ESCOLA],ROUNDUP(ROW(B4499)/TotalEtapas,0)),"")</f>
        <v/>
      </c>
      <c r="E4500" t="str">
        <f>IFERROR(VLOOKUP(tbEscolas[[#This Row],[COD ETPA]],tbEtapas[],2,FALSE),"")</f>
        <v/>
      </c>
      <c r="F4500" t="str">
        <f>IFERROR(VLOOKUP(tbEscolas[[#This Row],[COD ETPA]],tbEtapas[],3,FALSE),"")</f>
        <v/>
      </c>
    </row>
    <row r="4501" spans="1:6" x14ac:dyDescent="0.25">
      <c r="A4501" s="24" t="str">
        <f>_xlfn.XLOOKUP(tbEscolas[[#This Row],[ESCOLA]],tbNucleo[ESCOLA],tbNucleo[COD ESCOLA],"")</f>
        <v/>
      </c>
      <c r="B4501" t="str" cm="1">
        <f t="array" ref="B4501">IFERROR(INDEX(tbNucleo[ESCOLA],ROUNDUP(ROW(B4500)/TotalEtapas,0)),"")</f>
        <v/>
      </c>
      <c r="E4501" t="str">
        <f>IFERROR(VLOOKUP(tbEscolas[[#This Row],[COD ETPA]],tbEtapas[],2,FALSE),"")</f>
        <v/>
      </c>
      <c r="F4501" t="str">
        <f>IFERROR(VLOOKUP(tbEscolas[[#This Row],[COD ETPA]],tbEtapas[],3,FALSE),"")</f>
        <v/>
      </c>
    </row>
    <row r="4502" spans="1:6" x14ac:dyDescent="0.25">
      <c r="A4502" s="24" t="str">
        <f>_xlfn.XLOOKUP(tbEscolas[[#This Row],[ESCOLA]],tbNucleo[ESCOLA],tbNucleo[COD ESCOLA],"")</f>
        <v/>
      </c>
      <c r="B4502" t="str" cm="1">
        <f t="array" ref="B4502">IFERROR(INDEX(tbNucleo[ESCOLA],ROUNDUP(ROW(B4501)/TotalEtapas,0)),"")</f>
        <v/>
      </c>
      <c r="E4502" t="str">
        <f>IFERROR(VLOOKUP(tbEscolas[[#This Row],[COD ETPA]],tbEtapas[],2,FALSE),"")</f>
        <v/>
      </c>
      <c r="F4502" t="str">
        <f>IFERROR(VLOOKUP(tbEscolas[[#This Row],[COD ETPA]],tbEtapas[],3,FALSE),"")</f>
        <v/>
      </c>
    </row>
    <row r="4503" spans="1:6" x14ac:dyDescent="0.25">
      <c r="A4503" s="24" t="str">
        <f>_xlfn.XLOOKUP(tbEscolas[[#This Row],[ESCOLA]],tbNucleo[ESCOLA],tbNucleo[COD ESCOLA],"")</f>
        <v/>
      </c>
      <c r="B4503" t="str" cm="1">
        <f t="array" ref="B4503">IFERROR(INDEX(tbNucleo[ESCOLA],ROUNDUP(ROW(B4502)/TotalEtapas,0)),"")</f>
        <v/>
      </c>
      <c r="E4503" t="str">
        <f>IFERROR(VLOOKUP(tbEscolas[[#This Row],[COD ETPA]],tbEtapas[],2,FALSE),"")</f>
        <v/>
      </c>
      <c r="F4503" t="str">
        <f>IFERROR(VLOOKUP(tbEscolas[[#This Row],[COD ETPA]],tbEtapas[],3,FALSE),"")</f>
        <v/>
      </c>
    </row>
    <row r="4504" spans="1:6" x14ac:dyDescent="0.25">
      <c r="A4504" s="24" t="str">
        <f>_xlfn.XLOOKUP(tbEscolas[[#This Row],[ESCOLA]],tbNucleo[ESCOLA],tbNucleo[COD ESCOLA],"")</f>
        <v/>
      </c>
      <c r="B4504" t="str" cm="1">
        <f t="array" ref="B4504">IFERROR(INDEX(tbNucleo[ESCOLA],ROUNDUP(ROW(B4503)/TotalEtapas,0)),"")</f>
        <v/>
      </c>
      <c r="E4504" t="str">
        <f>IFERROR(VLOOKUP(tbEscolas[[#This Row],[COD ETPA]],tbEtapas[],2,FALSE),"")</f>
        <v/>
      </c>
      <c r="F4504" t="str">
        <f>IFERROR(VLOOKUP(tbEscolas[[#This Row],[COD ETPA]],tbEtapas[],3,FALSE),"")</f>
        <v/>
      </c>
    </row>
    <row r="4505" spans="1:6" x14ac:dyDescent="0.25">
      <c r="A4505" s="24" t="str">
        <f>_xlfn.XLOOKUP(tbEscolas[[#This Row],[ESCOLA]],tbNucleo[ESCOLA],tbNucleo[COD ESCOLA],"")</f>
        <v/>
      </c>
      <c r="B4505" t="str" cm="1">
        <f t="array" ref="B4505">IFERROR(INDEX(tbNucleo[ESCOLA],ROUNDUP(ROW(B4504)/TotalEtapas,0)),"")</f>
        <v/>
      </c>
      <c r="E4505" t="str">
        <f>IFERROR(VLOOKUP(tbEscolas[[#This Row],[COD ETPA]],tbEtapas[],2,FALSE),"")</f>
        <v/>
      </c>
      <c r="F4505" t="str">
        <f>IFERROR(VLOOKUP(tbEscolas[[#This Row],[COD ETPA]],tbEtapas[],3,FALSE),"")</f>
        <v/>
      </c>
    </row>
    <row r="4506" spans="1:6" x14ac:dyDescent="0.25">
      <c r="A4506" s="24" t="str">
        <f>_xlfn.XLOOKUP(tbEscolas[[#This Row],[ESCOLA]],tbNucleo[ESCOLA],tbNucleo[COD ESCOLA],"")</f>
        <v/>
      </c>
      <c r="B4506" t="str" cm="1">
        <f t="array" ref="B4506">IFERROR(INDEX(tbNucleo[ESCOLA],ROUNDUP(ROW(B4505)/TotalEtapas,0)),"")</f>
        <v/>
      </c>
      <c r="E4506" t="str">
        <f>IFERROR(VLOOKUP(tbEscolas[[#This Row],[COD ETPA]],tbEtapas[],2,FALSE),"")</f>
        <v/>
      </c>
      <c r="F4506" t="str">
        <f>IFERROR(VLOOKUP(tbEscolas[[#This Row],[COD ETPA]],tbEtapas[],3,FALSE),"")</f>
        <v/>
      </c>
    </row>
    <row r="4507" spans="1:6" x14ac:dyDescent="0.25">
      <c r="A4507" s="24" t="str">
        <f>_xlfn.XLOOKUP(tbEscolas[[#This Row],[ESCOLA]],tbNucleo[ESCOLA],tbNucleo[COD ESCOLA],"")</f>
        <v/>
      </c>
      <c r="B4507" t="str" cm="1">
        <f t="array" ref="B4507">IFERROR(INDEX(tbNucleo[ESCOLA],ROUNDUP(ROW(B4506)/TotalEtapas,0)),"")</f>
        <v/>
      </c>
      <c r="E4507" t="str">
        <f>IFERROR(VLOOKUP(tbEscolas[[#This Row],[COD ETPA]],tbEtapas[],2,FALSE),"")</f>
        <v/>
      </c>
      <c r="F4507" t="str">
        <f>IFERROR(VLOOKUP(tbEscolas[[#This Row],[COD ETPA]],tbEtapas[],3,FALSE),"")</f>
        <v/>
      </c>
    </row>
    <row r="4508" spans="1:6" x14ac:dyDescent="0.25">
      <c r="A4508" s="24" t="str">
        <f>_xlfn.XLOOKUP(tbEscolas[[#This Row],[ESCOLA]],tbNucleo[ESCOLA],tbNucleo[COD ESCOLA],"")</f>
        <v/>
      </c>
      <c r="B4508" t="str" cm="1">
        <f t="array" ref="B4508">IFERROR(INDEX(tbNucleo[ESCOLA],ROUNDUP(ROW(B4507)/TotalEtapas,0)),"")</f>
        <v/>
      </c>
      <c r="E4508" t="str">
        <f>IFERROR(VLOOKUP(tbEscolas[[#This Row],[COD ETPA]],tbEtapas[],2,FALSE),"")</f>
        <v/>
      </c>
      <c r="F4508" t="str">
        <f>IFERROR(VLOOKUP(tbEscolas[[#This Row],[COD ETPA]],tbEtapas[],3,FALSE),"")</f>
        <v/>
      </c>
    </row>
    <row r="4509" spans="1:6" x14ac:dyDescent="0.25">
      <c r="A4509" s="24" t="str">
        <f>_xlfn.XLOOKUP(tbEscolas[[#This Row],[ESCOLA]],tbNucleo[ESCOLA],tbNucleo[COD ESCOLA],"")</f>
        <v/>
      </c>
      <c r="B4509" t="str" cm="1">
        <f t="array" ref="B4509">IFERROR(INDEX(tbNucleo[ESCOLA],ROUNDUP(ROW(B4508)/TotalEtapas,0)),"")</f>
        <v/>
      </c>
      <c r="E4509" t="str">
        <f>IFERROR(VLOOKUP(tbEscolas[[#This Row],[COD ETPA]],tbEtapas[],2,FALSE),"")</f>
        <v/>
      </c>
      <c r="F4509" t="str">
        <f>IFERROR(VLOOKUP(tbEscolas[[#This Row],[COD ETPA]],tbEtapas[],3,FALSE),"")</f>
        <v/>
      </c>
    </row>
    <row r="4510" spans="1:6" x14ac:dyDescent="0.25">
      <c r="A4510" s="24" t="str">
        <f>_xlfn.XLOOKUP(tbEscolas[[#This Row],[ESCOLA]],tbNucleo[ESCOLA],tbNucleo[COD ESCOLA],"")</f>
        <v/>
      </c>
      <c r="B4510" t="str" cm="1">
        <f t="array" ref="B4510">IFERROR(INDEX(tbNucleo[ESCOLA],ROUNDUP(ROW(B4509)/TotalEtapas,0)),"")</f>
        <v/>
      </c>
      <c r="E4510" t="str">
        <f>IFERROR(VLOOKUP(tbEscolas[[#This Row],[COD ETPA]],tbEtapas[],2,FALSE),"")</f>
        <v/>
      </c>
      <c r="F4510" t="str">
        <f>IFERROR(VLOOKUP(tbEscolas[[#This Row],[COD ETPA]],tbEtapas[],3,FALSE),"")</f>
        <v/>
      </c>
    </row>
    <row r="4511" spans="1:6" x14ac:dyDescent="0.25">
      <c r="A4511" s="24" t="str">
        <f>_xlfn.XLOOKUP(tbEscolas[[#This Row],[ESCOLA]],tbNucleo[ESCOLA],tbNucleo[COD ESCOLA],"")</f>
        <v/>
      </c>
      <c r="B4511" t="str" cm="1">
        <f t="array" ref="B4511">IFERROR(INDEX(tbNucleo[ESCOLA],ROUNDUP(ROW(B4510)/TotalEtapas,0)),"")</f>
        <v/>
      </c>
      <c r="E4511" t="str">
        <f>IFERROR(VLOOKUP(tbEscolas[[#This Row],[COD ETPA]],tbEtapas[],2,FALSE),"")</f>
        <v/>
      </c>
      <c r="F4511" t="str">
        <f>IFERROR(VLOOKUP(tbEscolas[[#This Row],[COD ETPA]],tbEtapas[],3,FALSE),"")</f>
        <v/>
      </c>
    </row>
    <row r="4512" spans="1:6" x14ac:dyDescent="0.25">
      <c r="A4512" s="24" t="str">
        <f>_xlfn.XLOOKUP(tbEscolas[[#This Row],[ESCOLA]],tbNucleo[ESCOLA],tbNucleo[COD ESCOLA],"")</f>
        <v/>
      </c>
      <c r="B4512" t="str" cm="1">
        <f t="array" ref="B4512">IFERROR(INDEX(tbNucleo[ESCOLA],ROUNDUP(ROW(B4511)/TotalEtapas,0)),"")</f>
        <v/>
      </c>
      <c r="E4512" t="str">
        <f>IFERROR(VLOOKUP(tbEscolas[[#This Row],[COD ETPA]],tbEtapas[],2,FALSE),"")</f>
        <v/>
      </c>
      <c r="F4512" t="str">
        <f>IFERROR(VLOOKUP(tbEscolas[[#This Row],[COD ETPA]],tbEtapas[],3,FALSE),"")</f>
        <v/>
      </c>
    </row>
    <row r="4513" spans="1:6" x14ac:dyDescent="0.25">
      <c r="A4513" s="24" t="str">
        <f>_xlfn.XLOOKUP(tbEscolas[[#This Row],[ESCOLA]],tbNucleo[ESCOLA],tbNucleo[COD ESCOLA],"")</f>
        <v/>
      </c>
      <c r="B4513" t="str" cm="1">
        <f t="array" ref="B4513">IFERROR(INDEX(tbNucleo[ESCOLA],ROUNDUP(ROW(B4512)/TotalEtapas,0)),"")</f>
        <v/>
      </c>
      <c r="E4513" t="str">
        <f>IFERROR(VLOOKUP(tbEscolas[[#This Row],[COD ETPA]],tbEtapas[],2,FALSE),"")</f>
        <v/>
      </c>
      <c r="F4513" t="str">
        <f>IFERROR(VLOOKUP(tbEscolas[[#This Row],[COD ETPA]],tbEtapas[],3,FALSE),"")</f>
        <v/>
      </c>
    </row>
    <row r="4514" spans="1:6" x14ac:dyDescent="0.25">
      <c r="A4514" s="24" t="str">
        <f>_xlfn.XLOOKUP(tbEscolas[[#This Row],[ESCOLA]],tbNucleo[ESCOLA],tbNucleo[COD ESCOLA],"")</f>
        <v/>
      </c>
      <c r="B4514" t="str" cm="1">
        <f t="array" ref="B4514">IFERROR(INDEX(tbNucleo[ESCOLA],ROUNDUP(ROW(B4513)/TotalEtapas,0)),"")</f>
        <v/>
      </c>
      <c r="E4514" t="str">
        <f>IFERROR(VLOOKUP(tbEscolas[[#This Row],[COD ETPA]],tbEtapas[],2,FALSE),"")</f>
        <v/>
      </c>
      <c r="F4514" t="str">
        <f>IFERROR(VLOOKUP(tbEscolas[[#This Row],[COD ETPA]],tbEtapas[],3,FALSE),"")</f>
        <v/>
      </c>
    </row>
    <row r="4515" spans="1:6" x14ac:dyDescent="0.25">
      <c r="A4515" s="24" t="str">
        <f>_xlfn.XLOOKUP(tbEscolas[[#This Row],[ESCOLA]],tbNucleo[ESCOLA],tbNucleo[COD ESCOLA],"")</f>
        <v/>
      </c>
      <c r="B4515" t="str" cm="1">
        <f t="array" ref="B4515">IFERROR(INDEX(tbNucleo[ESCOLA],ROUNDUP(ROW(B4514)/TotalEtapas,0)),"")</f>
        <v/>
      </c>
      <c r="E4515" t="str">
        <f>IFERROR(VLOOKUP(tbEscolas[[#This Row],[COD ETPA]],tbEtapas[],2,FALSE),"")</f>
        <v/>
      </c>
      <c r="F4515" t="str">
        <f>IFERROR(VLOOKUP(tbEscolas[[#This Row],[COD ETPA]],tbEtapas[],3,FALSE),"")</f>
        <v/>
      </c>
    </row>
    <row r="4516" spans="1:6" x14ac:dyDescent="0.25">
      <c r="A4516" s="24" t="str">
        <f>_xlfn.XLOOKUP(tbEscolas[[#This Row],[ESCOLA]],tbNucleo[ESCOLA],tbNucleo[COD ESCOLA],"")</f>
        <v/>
      </c>
      <c r="B4516" t="str" cm="1">
        <f t="array" ref="B4516">IFERROR(INDEX(tbNucleo[ESCOLA],ROUNDUP(ROW(B4515)/TotalEtapas,0)),"")</f>
        <v/>
      </c>
      <c r="E4516" t="str">
        <f>IFERROR(VLOOKUP(tbEscolas[[#This Row],[COD ETPA]],tbEtapas[],2,FALSE),"")</f>
        <v/>
      </c>
      <c r="F4516" t="str">
        <f>IFERROR(VLOOKUP(tbEscolas[[#This Row],[COD ETPA]],tbEtapas[],3,FALSE),"")</f>
        <v/>
      </c>
    </row>
    <row r="4517" spans="1:6" x14ac:dyDescent="0.25">
      <c r="A4517" s="24" t="str">
        <f>_xlfn.XLOOKUP(tbEscolas[[#This Row],[ESCOLA]],tbNucleo[ESCOLA],tbNucleo[COD ESCOLA],"")</f>
        <v/>
      </c>
      <c r="B4517" t="str" cm="1">
        <f t="array" ref="B4517">IFERROR(INDEX(tbNucleo[ESCOLA],ROUNDUP(ROW(B4516)/TotalEtapas,0)),"")</f>
        <v/>
      </c>
      <c r="E4517" t="str">
        <f>IFERROR(VLOOKUP(tbEscolas[[#This Row],[COD ETPA]],tbEtapas[],2,FALSE),"")</f>
        <v/>
      </c>
      <c r="F4517" t="str">
        <f>IFERROR(VLOOKUP(tbEscolas[[#This Row],[COD ETPA]],tbEtapas[],3,FALSE),"")</f>
        <v/>
      </c>
    </row>
    <row r="4518" spans="1:6" x14ac:dyDescent="0.25">
      <c r="A4518" s="24" t="str">
        <f>_xlfn.XLOOKUP(tbEscolas[[#This Row],[ESCOLA]],tbNucleo[ESCOLA],tbNucleo[COD ESCOLA],"")</f>
        <v/>
      </c>
      <c r="B4518" t="str" cm="1">
        <f t="array" ref="B4518">IFERROR(INDEX(tbNucleo[ESCOLA],ROUNDUP(ROW(B4517)/TotalEtapas,0)),"")</f>
        <v/>
      </c>
      <c r="E4518" t="str">
        <f>IFERROR(VLOOKUP(tbEscolas[[#This Row],[COD ETPA]],tbEtapas[],2,FALSE),"")</f>
        <v/>
      </c>
      <c r="F4518" t="str">
        <f>IFERROR(VLOOKUP(tbEscolas[[#This Row],[COD ETPA]],tbEtapas[],3,FALSE),"")</f>
        <v/>
      </c>
    </row>
    <row r="4519" spans="1:6" x14ac:dyDescent="0.25">
      <c r="A4519" s="24" t="str">
        <f>_xlfn.XLOOKUP(tbEscolas[[#This Row],[ESCOLA]],tbNucleo[ESCOLA],tbNucleo[COD ESCOLA],"")</f>
        <v/>
      </c>
      <c r="B4519" t="str" cm="1">
        <f t="array" ref="B4519">IFERROR(INDEX(tbNucleo[ESCOLA],ROUNDUP(ROW(B4518)/TotalEtapas,0)),"")</f>
        <v/>
      </c>
      <c r="E4519" t="str">
        <f>IFERROR(VLOOKUP(tbEscolas[[#This Row],[COD ETPA]],tbEtapas[],2,FALSE),"")</f>
        <v/>
      </c>
      <c r="F4519" t="str">
        <f>IFERROR(VLOOKUP(tbEscolas[[#This Row],[COD ETPA]],tbEtapas[],3,FALSE),"")</f>
        <v/>
      </c>
    </row>
    <row r="4520" spans="1:6" x14ac:dyDescent="0.25">
      <c r="A4520" s="24" t="str">
        <f>_xlfn.XLOOKUP(tbEscolas[[#This Row],[ESCOLA]],tbNucleo[ESCOLA],tbNucleo[COD ESCOLA],"")</f>
        <v/>
      </c>
      <c r="B4520" t="str" cm="1">
        <f t="array" ref="B4520">IFERROR(INDEX(tbNucleo[ESCOLA],ROUNDUP(ROW(B4519)/TotalEtapas,0)),"")</f>
        <v/>
      </c>
      <c r="E4520" t="str">
        <f>IFERROR(VLOOKUP(tbEscolas[[#This Row],[COD ETPA]],tbEtapas[],2,FALSE),"")</f>
        <v/>
      </c>
      <c r="F4520" t="str">
        <f>IFERROR(VLOOKUP(tbEscolas[[#This Row],[COD ETPA]],tbEtapas[],3,FALSE),"")</f>
        <v/>
      </c>
    </row>
    <row r="4521" spans="1:6" x14ac:dyDescent="0.25">
      <c r="A4521" s="24" t="str">
        <f>_xlfn.XLOOKUP(tbEscolas[[#This Row],[ESCOLA]],tbNucleo[ESCOLA],tbNucleo[COD ESCOLA],"")</f>
        <v/>
      </c>
      <c r="B4521" t="str" cm="1">
        <f t="array" ref="B4521">IFERROR(INDEX(tbNucleo[ESCOLA],ROUNDUP(ROW(B4520)/TotalEtapas,0)),"")</f>
        <v/>
      </c>
      <c r="E4521" t="str">
        <f>IFERROR(VLOOKUP(tbEscolas[[#This Row],[COD ETPA]],tbEtapas[],2,FALSE),"")</f>
        <v/>
      </c>
      <c r="F4521" t="str">
        <f>IFERROR(VLOOKUP(tbEscolas[[#This Row],[COD ETPA]],tbEtapas[],3,FALSE),"")</f>
        <v/>
      </c>
    </row>
    <row r="4522" spans="1:6" x14ac:dyDescent="0.25">
      <c r="A4522" s="24" t="str">
        <f>_xlfn.XLOOKUP(tbEscolas[[#This Row],[ESCOLA]],tbNucleo[ESCOLA],tbNucleo[COD ESCOLA],"")</f>
        <v/>
      </c>
      <c r="B4522" t="str" cm="1">
        <f t="array" ref="B4522">IFERROR(INDEX(tbNucleo[ESCOLA],ROUNDUP(ROW(B4521)/TotalEtapas,0)),"")</f>
        <v/>
      </c>
      <c r="E4522" t="str">
        <f>IFERROR(VLOOKUP(tbEscolas[[#This Row],[COD ETPA]],tbEtapas[],2,FALSE),"")</f>
        <v/>
      </c>
      <c r="F4522" t="str">
        <f>IFERROR(VLOOKUP(tbEscolas[[#This Row],[COD ETPA]],tbEtapas[],3,FALSE),"")</f>
        <v/>
      </c>
    </row>
    <row r="4523" spans="1:6" x14ac:dyDescent="0.25">
      <c r="A4523" s="24" t="str">
        <f>_xlfn.XLOOKUP(tbEscolas[[#This Row],[ESCOLA]],tbNucleo[ESCOLA],tbNucleo[COD ESCOLA],"")</f>
        <v/>
      </c>
      <c r="B4523" t="str" cm="1">
        <f t="array" ref="B4523">IFERROR(INDEX(tbNucleo[ESCOLA],ROUNDUP(ROW(B4522)/TotalEtapas,0)),"")</f>
        <v/>
      </c>
      <c r="E4523" t="str">
        <f>IFERROR(VLOOKUP(tbEscolas[[#This Row],[COD ETPA]],tbEtapas[],2,FALSE),"")</f>
        <v/>
      </c>
      <c r="F4523" t="str">
        <f>IFERROR(VLOOKUP(tbEscolas[[#This Row],[COD ETPA]],tbEtapas[],3,FALSE),"")</f>
        <v/>
      </c>
    </row>
    <row r="4524" spans="1:6" x14ac:dyDescent="0.25">
      <c r="A4524" s="24" t="str">
        <f>_xlfn.XLOOKUP(tbEscolas[[#This Row],[ESCOLA]],tbNucleo[ESCOLA],tbNucleo[COD ESCOLA],"")</f>
        <v/>
      </c>
      <c r="B4524" t="str" cm="1">
        <f t="array" ref="B4524">IFERROR(INDEX(tbNucleo[ESCOLA],ROUNDUP(ROW(B4523)/TotalEtapas,0)),"")</f>
        <v/>
      </c>
      <c r="E4524" t="str">
        <f>IFERROR(VLOOKUP(tbEscolas[[#This Row],[COD ETPA]],tbEtapas[],2,FALSE),"")</f>
        <v/>
      </c>
      <c r="F4524" t="str">
        <f>IFERROR(VLOOKUP(tbEscolas[[#This Row],[COD ETPA]],tbEtapas[],3,FALSE),"")</f>
        <v/>
      </c>
    </row>
    <row r="4525" spans="1:6" x14ac:dyDescent="0.25">
      <c r="A4525" s="24" t="str">
        <f>_xlfn.XLOOKUP(tbEscolas[[#This Row],[ESCOLA]],tbNucleo[ESCOLA],tbNucleo[COD ESCOLA],"")</f>
        <v/>
      </c>
      <c r="B4525" t="str" cm="1">
        <f t="array" ref="B4525">IFERROR(INDEX(tbNucleo[ESCOLA],ROUNDUP(ROW(B4524)/TotalEtapas,0)),"")</f>
        <v/>
      </c>
      <c r="E4525" t="str">
        <f>IFERROR(VLOOKUP(tbEscolas[[#This Row],[COD ETPA]],tbEtapas[],2,FALSE),"")</f>
        <v/>
      </c>
      <c r="F4525" t="str">
        <f>IFERROR(VLOOKUP(tbEscolas[[#This Row],[COD ETPA]],tbEtapas[],3,FALSE),"")</f>
        <v/>
      </c>
    </row>
    <row r="4526" spans="1:6" x14ac:dyDescent="0.25">
      <c r="A4526" s="24" t="str">
        <f>_xlfn.XLOOKUP(tbEscolas[[#This Row],[ESCOLA]],tbNucleo[ESCOLA],tbNucleo[COD ESCOLA],"")</f>
        <v/>
      </c>
      <c r="B4526" t="str" cm="1">
        <f t="array" ref="B4526">IFERROR(INDEX(tbNucleo[ESCOLA],ROUNDUP(ROW(B4525)/TotalEtapas,0)),"")</f>
        <v/>
      </c>
      <c r="E4526" t="str">
        <f>IFERROR(VLOOKUP(tbEscolas[[#This Row],[COD ETPA]],tbEtapas[],2,FALSE),"")</f>
        <v/>
      </c>
      <c r="F4526" t="str">
        <f>IFERROR(VLOOKUP(tbEscolas[[#This Row],[COD ETPA]],tbEtapas[],3,FALSE),"")</f>
        <v/>
      </c>
    </row>
    <row r="4527" spans="1:6" x14ac:dyDescent="0.25">
      <c r="A4527" s="24" t="str">
        <f>_xlfn.XLOOKUP(tbEscolas[[#This Row],[ESCOLA]],tbNucleo[ESCOLA],tbNucleo[COD ESCOLA],"")</f>
        <v/>
      </c>
      <c r="B4527" t="str" cm="1">
        <f t="array" ref="B4527">IFERROR(INDEX(tbNucleo[ESCOLA],ROUNDUP(ROW(B4526)/TotalEtapas,0)),"")</f>
        <v/>
      </c>
      <c r="E4527" t="str">
        <f>IFERROR(VLOOKUP(tbEscolas[[#This Row],[COD ETPA]],tbEtapas[],2,FALSE),"")</f>
        <v/>
      </c>
      <c r="F4527" t="str">
        <f>IFERROR(VLOOKUP(tbEscolas[[#This Row],[COD ETPA]],tbEtapas[],3,FALSE),"")</f>
        <v/>
      </c>
    </row>
    <row r="4528" spans="1:6" x14ac:dyDescent="0.25">
      <c r="A4528" s="24" t="str">
        <f>_xlfn.XLOOKUP(tbEscolas[[#This Row],[ESCOLA]],tbNucleo[ESCOLA],tbNucleo[COD ESCOLA],"")</f>
        <v/>
      </c>
      <c r="B4528" t="str" cm="1">
        <f t="array" ref="B4528">IFERROR(INDEX(tbNucleo[ESCOLA],ROUNDUP(ROW(B4527)/TotalEtapas,0)),"")</f>
        <v/>
      </c>
      <c r="E4528" t="str">
        <f>IFERROR(VLOOKUP(tbEscolas[[#This Row],[COD ETPA]],tbEtapas[],2,FALSE),"")</f>
        <v/>
      </c>
      <c r="F4528" t="str">
        <f>IFERROR(VLOOKUP(tbEscolas[[#This Row],[COD ETPA]],tbEtapas[],3,FALSE),"")</f>
        <v/>
      </c>
    </row>
    <row r="4529" spans="1:6" x14ac:dyDescent="0.25">
      <c r="A4529" s="24" t="str">
        <f>_xlfn.XLOOKUP(tbEscolas[[#This Row],[ESCOLA]],tbNucleo[ESCOLA],tbNucleo[COD ESCOLA],"")</f>
        <v/>
      </c>
      <c r="B4529" t="str" cm="1">
        <f t="array" ref="B4529">IFERROR(INDEX(tbNucleo[ESCOLA],ROUNDUP(ROW(B4528)/TotalEtapas,0)),"")</f>
        <v/>
      </c>
      <c r="E4529" t="str">
        <f>IFERROR(VLOOKUP(tbEscolas[[#This Row],[COD ETPA]],tbEtapas[],2,FALSE),"")</f>
        <v/>
      </c>
      <c r="F4529" t="str">
        <f>IFERROR(VLOOKUP(tbEscolas[[#This Row],[COD ETPA]],tbEtapas[],3,FALSE),"")</f>
        <v/>
      </c>
    </row>
    <row r="4530" spans="1:6" x14ac:dyDescent="0.25">
      <c r="A4530" s="24" t="str">
        <f>_xlfn.XLOOKUP(tbEscolas[[#This Row],[ESCOLA]],tbNucleo[ESCOLA],tbNucleo[COD ESCOLA],"")</f>
        <v/>
      </c>
      <c r="B4530" t="str" cm="1">
        <f t="array" ref="B4530">IFERROR(INDEX(tbNucleo[ESCOLA],ROUNDUP(ROW(B4529)/TotalEtapas,0)),"")</f>
        <v/>
      </c>
      <c r="E4530" t="str">
        <f>IFERROR(VLOOKUP(tbEscolas[[#This Row],[COD ETPA]],tbEtapas[],2,FALSE),"")</f>
        <v/>
      </c>
      <c r="F4530" t="str">
        <f>IFERROR(VLOOKUP(tbEscolas[[#This Row],[COD ETPA]],tbEtapas[],3,FALSE),"")</f>
        <v/>
      </c>
    </row>
    <row r="4531" spans="1:6" x14ac:dyDescent="0.25">
      <c r="A4531" s="24" t="str">
        <f>_xlfn.XLOOKUP(tbEscolas[[#This Row],[ESCOLA]],tbNucleo[ESCOLA],tbNucleo[COD ESCOLA],"")</f>
        <v/>
      </c>
      <c r="B4531" t="str" cm="1">
        <f t="array" ref="B4531">IFERROR(INDEX(tbNucleo[ESCOLA],ROUNDUP(ROW(B4530)/TotalEtapas,0)),"")</f>
        <v/>
      </c>
      <c r="E4531" t="str">
        <f>IFERROR(VLOOKUP(tbEscolas[[#This Row],[COD ETPA]],tbEtapas[],2,FALSE),"")</f>
        <v/>
      </c>
      <c r="F4531" t="str">
        <f>IFERROR(VLOOKUP(tbEscolas[[#This Row],[COD ETPA]],tbEtapas[],3,FALSE),"")</f>
        <v/>
      </c>
    </row>
    <row r="4532" spans="1:6" x14ac:dyDescent="0.25">
      <c r="A4532" s="24" t="str">
        <f>_xlfn.XLOOKUP(tbEscolas[[#This Row],[ESCOLA]],tbNucleo[ESCOLA],tbNucleo[COD ESCOLA],"")</f>
        <v/>
      </c>
      <c r="B4532" t="str" cm="1">
        <f t="array" ref="B4532">IFERROR(INDEX(tbNucleo[ESCOLA],ROUNDUP(ROW(B4531)/TotalEtapas,0)),"")</f>
        <v/>
      </c>
      <c r="E4532" t="str">
        <f>IFERROR(VLOOKUP(tbEscolas[[#This Row],[COD ETPA]],tbEtapas[],2,FALSE),"")</f>
        <v/>
      </c>
      <c r="F4532" t="str">
        <f>IFERROR(VLOOKUP(tbEscolas[[#This Row],[COD ETPA]],tbEtapas[],3,FALSE),"")</f>
        <v/>
      </c>
    </row>
    <row r="4533" spans="1:6" x14ac:dyDescent="0.25">
      <c r="A4533" s="24" t="str">
        <f>_xlfn.XLOOKUP(tbEscolas[[#This Row],[ESCOLA]],tbNucleo[ESCOLA],tbNucleo[COD ESCOLA],"")</f>
        <v/>
      </c>
      <c r="B4533" t="str" cm="1">
        <f t="array" ref="B4533">IFERROR(INDEX(tbNucleo[ESCOLA],ROUNDUP(ROW(B4532)/TotalEtapas,0)),"")</f>
        <v/>
      </c>
      <c r="E4533" t="str">
        <f>IFERROR(VLOOKUP(tbEscolas[[#This Row],[COD ETPA]],tbEtapas[],2,FALSE),"")</f>
        <v/>
      </c>
      <c r="F4533" t="str">
        <f>IFERROR(VLOOKUP(tbEscolas[[#This Row],[COD ETPA]],tbEtapas[],3,FALSE),"")</f>
        <v/>
      </c>
    </row>
    <row r="4534" spans="1:6" x14ac:dyDescent="0.25">
      <c r="A4534" s="24" t="str">
        <f>_xlfn.XLOOKUP(tbEscolas[[#This Row],[ESCOLA]],tbNucleo[ESCOLA],tbNucleo[COD ESCOLA],"")</f>
        <v/>
      </c>
      <c r="B4534" t="str" cm="1">
        <f t="array" ref="B4534">IFERROR(INDEX(tbNucleo[ESCOLA],ROUNDUP(ROW(B4533)/TotalEtapas,0)),"")</f>
        <v/>
      </c>
      <c r="E4534" t="str">
        <f>IFERROR(VLOOKUP(tbEscolas[[#This Row],[COD ETPA]],tbEtapas[],2,FALSE),"")</f>
        <v/>
      </c>
      <c r="F4534" t="str">
        <f>IFERROR(VLOOKUP(tbEscolas[[#This Row],[COD ETPA]],tbEtapas[],3,FALSE),"")</f>
        <v/>
      </c>
    </row>
    <row r="4535" spans="1:6" x14ac:dyDescent="0.25">
      <c r="A4535" s="24" t="str">
        <f>_xlfn.XLOOKUP(tbEscolas[[#This Row],[ESCOLA]],tbNucleo[ESCOLA],tbNucleo[COD ESCOLA],"")</f>
        <v/>
      </c>
      <c r="B4535" t="str" cm="1">
        <f t="array" ref="B4535">IFERROR(INDEX(tbNucleo[ESCOLA],ROUNDUP(ROW(B4534)/TotalEtapas,0)),"")</f>
        <v/>
      </c>
      <c r="E4535" t="str">
        <f>IFERROR(VLOOKUP(tbEscolas[[#This Row],[COD ETPA]],tbEtapas[],2,FALSE),"")</f>
        <v/>
      </c>
      <c r="F4535" t="str">
        <f>IFERROR(VLOOKUP(tbEscolas[[#This Row],[COD ETPA]],tbEtapas[],3,FALSE),"")</f>
        <v/>
      </c>
    </row>
    <row r="4536" spans="1:6" x14ac:dyDescent="0.25">
      <c r="A4536" s="24" t="str">
        <f>_xlfn.XLOOKUP(tbEscolas[[#This Row],[ESCOLA]],tbNucleo[ESCOLA],tbNucleo[COD ESCOLA],"")</f>
        <v/>
      </c>
      <c r="B4536" t="str" cm="1">
        <f t="array" ref="B4536">IFERROR(INDEX(tbNucleo[ESCOLA],ROUNDUP(ROW(B4535)/TotalEtapas,0)),"")</f>
        <v/>
      </c>
      <c r="E4536" t="str">
        <f>IFERROR(VLOOKUP(tbEscolas[[#This Row],[COD ETPA]],tbEtapas[],2,FALSE),"")</f>
        <v/>
      </c>
      <c r="F4536" t="str">
        <f>IFERROR(VLOOKUP(tbEscolas[[#This Row],[COD ETPA]],tbEtapas[],3,FALSE),"")</f>
        <v/>
      </c>
    </row>
    <row r="4537" spans="1:6" x14ac:dyDescent="0.25">
      <c r="A4537" s="24" t="str">
        <f>_xlfn.XLOOKUP(tbEscolas[[#This Row],[ESCOLA]],tbNucleo[ESCOLA],tbNucleo[COD ESCOLA],"")</f>
        <v/>
      </c>
      <c r="B4537" t="str" cm="1">
        <f t="array" ref="B4537">IFERROR(INDEX(tbNucleo[ESCOLA],ROUNDUP(ROW(B4536)/TotalEtapas,0)),"")</f>
        <v/>
      </c>
      <c r="E4537" t="str">
        <f>IFERROR(VLOOKUP(tbEscolas[[#This Row],[COD ETPA]],tbEtapas[],2,FALSE),"")</f>
        <v/>
      </c>
      <c r="F4537" t="str">
        <f>IFERROR(VLOOKUP(tbEscolas[[#This Row],[COD ETPA]],tbEtapas[],3,FALSE),"")</f>
        <v/>
      </c>
    </row>
    <row r="4538" spans="1:6" x14ac:dyDescent="0.25">
      <c r="A4538" s="24" t="str">
        <f>_xlfn.XLOOKUP(tbEscolas[[#This Row],[ESCOLA]],tbNucleo[ESCOLA],tbNucleo[COD ESCOLA],"")</f>
        <v/>
      </c>
      <c r="B4538" t="str" cm="1">
        <f t="array" ref="B4538">IFERROR(INDEX(tbNucleo[ESCOLA],ROUNDUP(ROW(B4537)/TotalEtapas,0)),"")</f>
        <v/>
      </c>
      <c r="E4538" t="str">
        <f>IFERROR(VLOOKUP(tbEscolas[[#This Row],[COD ETPA]],tbEtapas[],2,FALSE),"")</f>
        <v/>
      </c>
      <c r="F4538" t="str">
        <f>IFERROR(VLOOKUP(tbEscolas[[#This Row],[COD ETPA]],tbEtapas[],3,FALSE),"")</f>
        <v/>
      </c>
    </row>
    <row r="4539" spans="1:6" x14ac:dyDescent="0.25">
      <c r="A4539" s="24" t="str">
        <f>_xlfn.XLOOKUP(tbEscolas[[#This Row],[ESCOLA]],tbNucleo[ESCOLA],tbNucleo[COD ESCOLA],"")</f>
        <v/>
      </c>
      <c r="B4539" t="str" cm="1">
        <f t="array" ref="B4539">IFERROR(INDEX(tbNucleo[ESCOLA],ROUNDUP(ROW(B4538)/TotalEtapas,0)),"")</f>
        <v/>
      </c>
      <c r="E4539" t="str">
        <f>IFERROR(VLOOKUP(tbEscolas[[#This Row],[COD ETPA]],tbEtapas[],2,FALSE),"")</f>
        <v/>
      </c>
      <c r="F4539" t="str">
        <f>IFERROR(VLOOKUP(tbEscolas[[#This Row],[COD ETPA]],tbEtapas[],3,FALSE),"")</f>
        <v/>
      </c>
    </row>
    <row r="4540" spans="1:6" x14ac:dyDescent="0.25">
      <c r="A4540" s="24" t="str">
        <f>_xlfn.XLOOKUP(tbEscolas[[#This Row],[ESCOLA]],tbNucleo[ESCOLA],tbNucleo[COD ESCOLA],"")</f>
        <v/>
      </c>
      <c r="B4540" t="str" cm="1">
        <f t="array" ref="B4540">IFERROR(INDEX(tbNucleo[ESCOLA],ROUNDUP(ROW(B4539)/TotalEtapas,0)),"")</f>
        <v/>
      </c>
      <c r="E4540" t="str">
        <f>IFERROR(VLOOKUP(tbEscolas[[#This Row],[COD ETPA]],tbEtapas[],2,FALSE),"")</f>
        <v/>
      </c>
      <c r="F4540" t="str">
        <f>IFERROR(VLOOKUP(tbEscolas[[#This Row],[COD ETPA]],tbEtapas[],3,FALSE),"")</f>
        <v/>
      </c>
    </row>
    <row r="4541" spans="1:6" x14ac:dyDescent="0.25">
      <c r="A4541" s="24" t="str">
        <f>_xlfn.XLOOKUP(tbEscolas[[#This Row],[ESCOLA]],tbNucleo[ESCOLA],tbNucleo[COD ESCOLA],"")</f>
        <v/>
      </c>
      <c r="B4541" t="str" cm="1">
        <f t="array" ref="B4541">IFERROR(INDEX(tbNucleo[ESCOLA],ROUNDUP(ROW(B4540)/TotalEtapas,0)),"")</f>
        <v/>
      </c>
      <c r="E4541" t="str">
        <f>IFERROR(VLOOKUP(tbEscolas[[#This Row],[COD ETPA]],tbEtapas[],2,FALSE),"")</f>
        <v/>
      </c>
      <c r="F4541" t="str">
        <f>IFERROR(VLOOKUP(tbEscolas[[#This Row],[COD ETPA]],tbEtapas[],3,FALSE),"")</f>
        <v/>
      </c>
    </row>
    <row r="4542" spans="1:6" x14ac:dyDescent="0.25">
      <c r="A4542" s="24" t="str">
        <f>_xlfn.XLOOKUP(tbEscolas[[#This Row],[ESCOLA]],tbNucleo[ESCOLA],tbNucleo[COD ESCOLA],"")</f>
        <v/>
      </c>
      <c r="B4542" t="str" cm="1">
        <f t="array" ref="B4542">IFERROR(INDEX(tbNucleo[ESCOLA],ROUNDUP(ROW(B4541)/TotalEtapas,0)),"")</f>
        <v/>
      </c>
      <c r="E4542" t="str">
        <f>IFERROR(VLOOKUP(tbEscolas[[#This Row],[COD ETPA]],tbEtapas[],2,FALSE),"")</f>
        <v/>
      </c>
      <c r="F4542" t="str">
        <f>IFERROR(VLOOKUP(tbEscolas[[#This Row],[COD ETPA]],tbEtapas[],3,FALSE),"")</f>
        <v/>
      </c>
    </row>
    <row r="4543" spans="1:6" x14ac:dyDescent="0.25">
      <c r="A4543" s="24" t="str">
        <f>_xlfn.XLOOKUP(tbEscolas[[#This Row],[ESCOLA]],tbNucleo[ESCOLA],tbNucleo[COD ESCOLA],"")</f>
        <v/>
      </c>
      <c r="B4543" t="str" cm="1">
        <f t="array" ref="B4543">IFERROR(INDEX(tbNucleo[ESCOLA],ROUNDUP(ROW(B4542)/TotalEtapas,0)),"")</f>
        <v/>
      </c>
      <c r="E4543" t="str">
        <f>IFERROR(VLOOKUP(tbEscolas[[#This Row],[COD ETPA]],tbEtapas[],2,FALSE),"")</f>
        <v/>
      </c>
      <c r="F4543" t="str">
        <f>IFERROR(VLOOKUP(tbEscolas[[#This Row],[COD ETPA]],tbEtapas[],3,FALSE),"")</f>
        <v/>
      </c>
    </row>
    <row r="4544" spans="1:6" x14ac:dyDescent="0.25">
      <c r="A4544" s="24" t="str">
        <f>_xlfn.XLOOKUP(tbEscolas[[#This Row],[ESCOLA]],tbNucleo[ESCOLA],tbNucleo[COD ESCOLA],"")</f>
        <v/>
      </c>
      <c r="B4544" t="str" cm="1">
        <f t="array" ref="B4544">IFERROR(INDEX(tbNucleo[ESCOLA],ROUNDUP(ROW(B4543)/TotalEtapas,0)),"")</f>
        <v/>
      </c>
      <c r="E4544" t="str">
        <f>IFERROR(VLOOKUP(tbEscolas[[#This Row],[COD ETPA]],tbEtapas[],2,FALSE),"")</f>
        <v/>
      </c>
      <c r="F4544" t="str">
        <f>IFERROR(VLOOKUP(tbEscolas[[#This Row],[COD ETPA]],tbEtapas[],3,FALSE),"")</f>
        <v/>
      </c>
    </row>
    <row r="4545" spans="1:6" x14ac:dyDescent="0.25">
      <c r="A4545" s="24" t="str">
        <f>_xlfn.XLOOKUP(tbEscolas[[#This Row],[ESCOLA]],tbNucleo[ESCOLA],tbNucleo[COD ESCOLA],"")</f>
        <v/>
      </c>
      <c r="B4545" t="str" cm="1">
        <f t="array" ref="B4545">IFERROR(INDEX(tbNucleo[ESCOLA],ROUNDUP(ROW(B4544)/TotalEtapas,0)),"")</f>
        <v/>
      </c>
      <c r="E4545" t="str">
        <f>IFERROR(VLOOKUP(tbEscolas[[#This Row],[COD ETPA]],tbEtapas[],2,FALSE),"")</f>
        <v/>
      </c>
      <c r="F4545" t="str">
        <f>IFERROR(VLOOKUP(tbEscolas[[#This Row],[COD ETPA]],tbEtapas[],3,FALSE),"")</f>
        <v/>
      </c>
    </row>
    <row r="4546" spans="1:6" x14ac:dyDescent="0.25">
      <c r="A4546" s="24" t="str">
        <f>_xlfn.XLOOKUP(tbEscolas[[#This Row],[ESCOLA]],tbNucleo[ESCOLA],tbNucleo[COD ESCOLA],"")</f>
        <v/>
      </c>
      <c r="B4546" t="str" cm="1">
        <f t="array" ref="B4546">IFERROR(INDEX(tbNucleo[ESCOLA],ROUNDUP(ROW(B4545)/TotalEtapas,0)),"")</f>
        <v/>
      </c>
      <c r="E4546" t="str">
        <f>IFERROR(VLOOKUP(tbEscolas[[#This Row],[COD ETPA]],tbEtapas[],2,FALSE),"")</f>
        <v/>
      </c>
      <c r="F4546" t="str">
        <f>IFERROR(VLOOKUP(tbEscolas[[#This Row],[COD ETPA]],tbEtapas[],3,FALSE),"")</f>
        <v/>
      </c>
    </row>
    <row r="4547" spans="1:6" x14ac:dyDescent="0.25">
      <c r="A4547" s="24" t="str">
        <f>_xlfn.XLOOKUP(tbEscolas[[#This Row],[ESCOLA]],tbNucleo[ESCOLA],tbNucleo[COD ESCOLA],"")</f>
        <v/>
      </c>
      <c r="B4547" t="str" cm="1">
        <f t="array" ref="B4547">IFERROR(INDEX(tbNucleo[ESCOLA],ROUNDUP(ROW(B4546)/TotalEtapas,0)),"")</f>
        <v/>
      </c>
      <c r="E4547" t="str">
        <f>IFERROR(VLOOKUP(tbEscolas[[#This Row],[COD ETPA]],tbEtapas[],2,FALSE),"")</f>
        <v/>
      </c>
      <c r="F4547" t="str">
        <f>IFERROR(VLOOKUP(tbEscolas[[#This Row],[COD ETPA]],tbEtapas[],3,FALSE),"")</f>
        <v/>
      </c>
    </row>
    <row r="4548" spans="1:6" x14ac:dyDescent="0.25">
      <c r="A4548" s="24" t="str">
        <f>_xlfn.XLOOKUP(tbEscolas[[#This Row],[ESCOLA]],tbNucleo[ESCOLA],tbNucleo[COD ESCOLA],"")</f>
        <v/>
      </c>
      <c r="B4548" t="str" cm="1">
        <f t="array" ref="B4548">IFERROR(INDEX(tbNucleo[ESCOLA],ROUNDUP(ROW(B4547)/TotalEtapas,0)),"")</f>
        <v/>
      </c>
      <c r="E4548" t="str">
        <f>IFERROR(VLOOKUP(tbEscolas[[#This Row],[COD ETPA]],tbEtapas[],2,FALSE),"")</f>
        <v/>
      </c>
      <c r="F4548" t="str">
        <f>IFERROR(VLOOKUP(tbEscolas[[#This Row],[COD ETPA]],tbEtapas[],3,FALSE),"")</f>
        <v/>
      </c>
    </row>
    <row r="4549" spans="1:6" x14ac:dyDescent="0.25">
      <c r="A4549" s="24" t="str">
        <f>_xlfn.XLOOKUP(tbEscolas[[#This Row],[ESCOLA]],tbNucleo[ESCOLA],tbNucleo[COD ESCOLA],"")</f>
        <v/>
      </c>
      <c r="B4549" t="str" cm="1">
        <f t="array" ref="B4549">IFERROR(INDEX(tbNucleo[ESCOLA],ROUNDUP(ROW(B4548)/TotalEtapas,0)),"")</f>
        <v/>
      </c>
      <c r="E4549" t="str">
        <f>IFERROR(VLOOKUP(tbEscolas[[#This Row],[COD ETPA]],tbEtapas[],2,FALSE),"")</f>
        <v/>
      </c>
      <c r="F4549" t="str">
        <f>IFERROR(VLOOKUP(tbEscolas[[#This Row],[COD ETPA]],tbEtapas[],3,FALSE),"")</f>
        <v/>
      </c>
    </row>
    <row r="4550" spans="1:6" x14ac:dyDescent="0.25">
      <c r="A4550" s="24" t="str">
        <f>_xlfn.XLOOKUP(tbEscolas[[#This Row],[ESCOLA]],tbNucleo[ESCOLA],tbNucleo[COD ESCOLA],"")</f>
        <v/>
      </c>
      <c r="B4550" t="str" cm="1">
        <f t="array" ref="B4550">IFERROR(INDEX(tbNucleo[ESCOLA],ROUNDUP(ROW(B4549)/TotalEtapas,0)),"")</f>
        <v/>
      </c>
      <c r="E4550" t="str">
        <f>IFERROR(VLOOKUP(tbEscolas[[#This Row],[COD ETPA]],tbEtapas[],2,FALSE),"")</f>
        <v/>
      </c>
      <c r="F4550" t="str">
        <f>IFERROR(VLOOKUP(tbEscolas[[#This Row],[COD ETPA]],tbEtapas[],3,FALSE),"")</f>
        <v/>
      </c>
    </row>
    <row r="4551" spans="1:6" x14ac:dyDescent="0.25">
      <c r="A4551" s="24" t="str">
        <f>_xlfn.XLOOKUP(tbEscolas[[#This Row],[ESCOLA]],tbNucleo[ESCOLA],tbNucleo[COD ESCOLA],"")</f>
        <v/>
      </c>
      <c r="B4551" t="str" cm="1">
        <f t="array" ref="B4551">IFERROR(INDEX(tbNucleo[ESCOLA],ROUNDUP(ROW(B4550)/TotalEtapas,0)),"")</f>
        <v/>
      </c>
      <c r="E4551" t="str">
        <f>IFERROR(VLOOKUP(tbEscolas[[#This Row],[COD ETPA]],tbEtapas[],2,FALSE),"")</f>
        <v/>
      </c>
      <c r="F4551" t="str">
        <f>IFERROR(VLOOKUP(tbEscolas[[#This Row],[COD ETPA]],tbEtapas[],3,FALSE),"")</f>
        <v/>
      </c>
    </row>
    <row r="4552" spans="1:6" x14ac:dyDescent="0.25">
      <c r="A4552" s="24" t="str">
        <f>_xlfn.XLOOKUP(tbEscolas[[#This Row],[ESCOLA]],tbNucleo[ESCOLA],tbNucleo[COD ESCOLA],"")</f>
        <v/>
      </c>
      <c r="B4552" t="str" cm="1">
        <f t="array" ref="B4552">IFERROR(INDEX(tbNucleo[ESCOLA],ROUNDUP(ROW(B4551)/TotalEtapas,0)),"")</f>
        <v/>
      </c>
      <c r="E4552" t="str">
        <f>IFERROR(VLOOKUP(tbEscolas[[#This Row],[COD ETPA]],tbEtapas[],2,FALSE),"")</f>
        <v/>
      </c>
      <c r="F4552" t="str">
        <f>IFERROR(VLOOKUP(tbEscolas[[#This Row],[COD ETPA]],tbEtapas[],3,FALSE),"")</f>
        <v/>
      </c>
    </row>
    <row r="4553" spans="1:6" x14ac:dyDescent="0.25">
      <c r="A4553" s="24" t="str">
        <f>_xlfn.XLOOKUP(tbEscolas[[#This Row],[ESCOLA]],tbNucleo[ESCOLA],tbNucleo[COD ESCOLA],"")</f>
        <v/>
      </c>
      <c r="B4553" t="str" cm="1">
        <f t="array" ref="B4553">IFERROR(INDEX(tbNucleo[ESCOLA],ROUNDUP(ROW(B4552)/TotalEtapas,0)),"")</f>
        <v/>
      </c>
      <c r="E4553" t="str">
        <f>IFERROR(VLOOKUP(tbEscolas[[#This Row],[COD ETPA]],tbEtapas[],2,FALSE),"")</f>
        <v/>
      </c>
      <c r="F4553" t="str">
        <f>IFERROR(VLOOKUP(tbEscolas[[#This Row],[COD ETPA]],tbEtapas[],3,FALSE),"")</f>
        <v/>
      </c>
    </row>
    <row r="4554" spans="1:6" x14ac:dyDescent="0.25">
      <c r="A4554" s="24" t="str">
        <f>_xlfn.XLOOKUP(tbEscolas[[#This Row],[ESCOLA]],tbNucleo[ESCOLA],tbNucleo[COD ESCOLA],"")</f>
        <v/>
      </c>
      <c r="B4554" t="str" cm="1">
        <f t="array" ref="B4554">IFERROR(INDEX(tbNucleo[ESCOLA],ROUNDUP(ROW(B4553)/TotalEtapas,0)),"")</f>
        <v/>
      </c>
      <c r="E4554" t="str">
        <f>IFERROR(VLOOKUP(tbEscolas[[#This Row],[COD ETPA]],tbEtapas[],2,FALSE),"")</f>
        <v/>
      </c>
      <c r="F4554" t="str">
        <f>IFERROR(VLOOKUP(tbEscolas[[#This Row],[COD ETPA]],tbEtapas[],3,FALSE),"")</f>
        <v/>
      </c>
    </row>
    <row r="4555" spans="1:6" x14ac:dyDescent="0.25">
      <c r="A4555" s="24" t="str">
        <f>_xlfn.XLOOKUP(tbEscolas[[#This Row],[ESCOLA]],tbNucleo[ESCOLA],tbNucleo[COD ESCOLA],"")</f>
        <v/>
      </c>
      <c r="B4555" t="str" cm="1">
        <f t="array" ref="B4555">IFERROR(INDEX(tbNucleo[ESCOLA],ROUNDUP(ROW(B4554)/TotalEtapas,0)),"")</f>
        <v/>
      </c>
      <c r="E4555" t="str">
        <f>IFERROR(VLOOKUP(tbEscolas[[#This Row],[COD ETPA]],tbEtapas[],2,FALSE),"")</f>
        <v/>
      </c>
      <c r="F4555" t="str">
        <f>IFERROR(VLOOKUP(tbEscolas[[#This Row],[COD ETPA]],tbEtapas[],3,FALSE),"")</f>
        <v/>
      </c>
    </row>
    <row r="4556" spans="1:6" x14ac:dyDescent="0.25">
      <c r="A4556" s="24" t="str">
        <f>_xlfn.XLOOKUP(tbEscolas[[#This Row],[ESCOLA]],tbNucleo[ESCOLA],tbNucleo[COD ESCOLA],"")</f>
        <v/>
      </c>
      <c r="B4556" t="str" cm="1">
        <f t="array" ref="B4556">IFERROR(INDEX(tbNucleo[ESCOLA],ROUNDUP(ROW(B4555)/TotalEtapas,0)),"")</f>
        <v/>
      </c>
      <c r="E4556" t="str">
        <f>IFERROR(VLOOKUP(tbEscolas[[#This Row],[COD ETPA]],tbEtapas[],2,FALSE),"")</f>
        <v/>
      </c>
      <c r="F4556" t="str">
        <f>IFERROR(VLOOKUP(tbEscolas[[#This Row],[COD ETPA]],tbEtapas[],3,FALSE),"")</f>
        <v/>
      </c>
    </row>
    <row r="4557" spans="1:6" x14ac:dyDescent="0.25">
      <c r="A4557" s="24" t="str">
        <f>_xlfn.XLOOKUP(tbEscolas[[#This Row],[ESCOLA]],tbNucleo[ESCOLA],tbNucleo[COD ESCOLA],"")</f>
        <v/>
      </c>
      <c r="B4557" t="str" cm="1">
        <f t="array" ref="B4557">IFERROR(INDEX(tbNucleo[ESCOLA],ROUNDUP(ROW(B4556)/TotalEtapas,0)),"")</f>
        <v/>
      </c>
      <c r="E4557" t="str">
        <f>IFERROR(VLOOKUP(tbEscolas[[#This Row],[COD ETPA]],tbEtapas[],2,FALSE),"")</f>
        <v/>
      </c>
      <c r="F4557" t="str">
        <f>IFERROR(VLOOKUP(tbEscolas[[#This Row],[COD ETPA]],tbEtapas[],3,FALSE),"")</f>
        <v/>
      </c>
    </row>
    <row r="4558" spans="1:6" x14ac:dyDescent="0.25">
      <c r="A4558" s="24" t="str">
        <f>_xlfn.XLOOKUP(tbEscolas[[#This Row],[ESCOLA]],tbNucleo[ESCOLA],tbNucleo[COD ESCOLA],"")</f>
        <v/>
      </c>
      <c r="B4558" t="str" cm="1">
        <f t="array" ref="B4558">IFERROR(INDEX(tbNucleo[ESCOLA],ROUNDUP(ROW(B4557)/TotalEtapas,0)),"")</f>
        <v/>
      </c>
      <c r="E4558" t="str">
        <f>IFERROR(VLOOKUP(tbEscolas[[#This Row],[COD ETPA]],tbEtapas[],2,FALSE),"")</f>
        <v/>
      </c>
      <c r="F4558" t="str">
        <f>IFERROR(VLOOKUP(tbEscolas[[#This Row],[COD ETPA]],tbEtapas[],3,FALSE),"")</f>
        <v/>
      </c>
    </row>
    <row r="4559" spans="1:6" x14ac:dyDescent="0.25">
      <c r="A4559" s="24" t="str">
        <f>_xlfn.XLOOKUP(tbEscolas[[#This Row],[ESCOLA]],tbNucleo[ESCOLA],tbNucleo[COD ESCOLA],"")</f>
        <v/>
      </c>
      <c r="B4559" t="str" cm="1">
        <f t="array" ref="B4559">IFERROR(INDEX(tbNucleo[ESCOLA],ROUNDUP(ROW(B4558)/TotalEtapas,0)),"")</f>
        <v/>
      </c>
      <c r="E4559" t="str">
        <f>IFERROR(VLOOKUP(tbEscolas[[#This Row],[COD ETPA]],tbEtapas[],2,FALSE),"")</f>
        <v/>
      </c>
      <c r="F4559" t="str">
        <f>IFERROR(VLOOKUP(tbEscolas[[#This Row],[COD ETPA]],tbEtapas[],3,FALSE),"")</f>
        <v/>
      </c>
    </row>
    <row r="4560" spans="1:6" x14ac:dyDescent="0.25">
      <c r="A4560" s="24" t="str">
        <f>_xlfn.XLOOKUP(tbEscolas[[#This Row],[ESCOLA]],tbNucleo[ESCOLA],tbNucleo[COD ESCOLA],"")</f>
        <v/>
      </c>
      <c r="B4560" t="str" cm="1">
        <f t="array" ref="B4560">IFERROR(INDEX(tbNucleo[ESCOLA],ROUNDUP(ROW(B4559)/TotalEtapas,0)),"")</f>
        <v/>
      </c>
      <c r="E4560" t="str">
        <f>IFERROR(VLOOKUP(tbEscolas[[#This Row],[COD ETPA]],tbEtapas[],2,FALSE),"")</f>
        <v/>
      </c>
      <c r="F4560" t="str">
        <f>IFERROR(VLOOKUP(tbEscolas[[#This Row],[COD ETPA]],tbEtapas[],3,FALSE),"")</f>
        <v/>
      </c>
    </row>
    <row r="4561" spans="1:6" x14ac:dyDescent="0.25">
      <c r="A4561" s="24" t="str">
        <f>_xlfn.XLOOKUP(tbEscolas[[#This Row],[ESCOLA]],tbNucleo[ESCOLA],tbNucleo[COD ESCOLA],"")</f>
        <v/>
      </c>
      <c r="B4561" t="str" cm="1">
        <f t="array" ref="B4561">IFERROR(INDEX(tbNucleo[ESCOLA],ROUNDUP(ROW(B4560)/TotalEtapas,0)),"")</f>
        <v/>
      </c>
      <c r="E4561" t="str">
        <f>IFERROR(VLOOKUP(tbEscolas[[#This Row],[COD ETPA]],tbEtapas[],2,FALSE),"")</f>
        <v/>
      </c>
      <c r="F4561" t="str">
        <f>IFERROR(VLOOKUP(tbEscolas[[#This Row],[COD ETPA]],tbEtapas[],3,FALSE),"")</f>
        <v/>
      </c>
    </row>
    <row r="4562" spans="1:6" x14ac:dyDescent="0.25">
      <c r="A4562" s="24" t="str">
        <f>_xlfn.XLOOKUP(tbEscolas[[#This Row],[ESCOLA]],tbNucleo[ESCOLA],tbNucleo[COD ESCOLA],"")</f>
        <v/>
      </c>
      <c r="B4562" t="str" cm="1">
        <f t="array" ref="B4562">IFERROR(INDEX(tbNucleo[ESCOLA],ROUNDUP(ROW(B4561)/TotalEtapas,0)),"")</f>
        <v/>
      </c>
      <c r="E4562" t="str">
        <f>IFERROR(VLOOKUP(tbEscolas[[#This Row],[COD ETPA]],tbEtapas[],2,FALSE),"")</f>
        <v/>
      </c>
      <c r="F4562" t="str">
        <f>IFERROR(VLOOKUP(tbEscolas[[#This Row],[COD ETPA]],tbEtapas[],3,FALSE),"")</f>
        <v/>
      </c>
    </row>
    <row r="4563" spans="1:6" x14ac:dyDescent="0.25">
      <c r="A4563" s="24" t="str">
        <f>_xlfn.XLOOKUP(tbEscolas[[#This Row],[ESCOLA]],tbNucleo[ESCOLA],tbNucleo[COD ESCOLA],"")</f>
        <v/>
      </c>
      <c r="B4563" t="str" cm="1">
        <f t="array" ref="B4563">IFERROR(INDEX(tbNucleo[ESCOLA],ROUNDUP(ROW(B4562)/TotalEtapas,0)),"")</f>
        <v/>
      </c>
      <c r="E4563" t="str">
        <f>IFERROR(VLOOKUP(tbEscolas[[#This Row],[COD ETPA]],tbEtapas[],2,FALSE),"")</f>
        <v/>
      </c>
      <c r="F4563" t="str">
        <f>IFERROR(VLOOKUP(tbEscolas[[#This Row],[COD ETPA]],tbEtapas[],3,FALSE),"")</f>
        <v/>
      </c>
    </row>
    <row r="4564" spans="1:6" x14ac:dyDescent="0.25">
      <c r="A4564" s="24" t="str">
        <f>_xlfn.XLOOKUP(tbEscolas[[#This Row],[ESCOLA]],tbNucleo[ESCOLA],tbNucleo[COD ESCOLA],"")</f>
        <v/>
      </c>
      <c r="B4564" t="str" cm="1">
        <f t="array" ref="B4564">IFERROR(INDEX(tbNucleo[ESCOLA],ROUNDUP(ROW(B4563)/TotalEtapas,0)),"")</f>
        <v/>
      </c>
      <c r="E4564" t="str">
        <f>IFERROR(VLOOKUP(tbEscolas[[#This Row],[COD ETPA]],tbEtapas[],2,FALSE),"")</f>
        <v/>
      </c>
      <c r="F4564" t="str">
        <f>IFERROR(VLOOKUP(tbEscolas[[#This Row],[COD ETPA]],tbEtapas[],3,FALSE),"")</f>
        <v/>
      </c>
    </row>
    <row r="4565" spans="1:6" x14ac:dyDescent="0.25">
      <c r="A4565" s="24" t="str">
        <f>_xlfn.XLOOKUP(tbEscolas[[#This Row],[ESCOLA]],tbNucleo[ESCOLA],tbNucleo[COD ESCOLA],"")</f>
        <v/>
      </c>
      <c r="B4565" t="str" cm="1">
        <f t="array" ref="B4565">IFERROR(INDEX(tbNucleo[ESCOLA],ROUNDUP(ROW(B4564)/TotalEtapas,0)),"")</f>
        <v/>
      </c>
      <c r="E4565" t="str">
        <f>IFERROR(VLOOKUP(tbEscolas[[#This Row],[COD ETPA]],tbEtapas[],2,FALSE),"")</f>
        <v/>
      </c>
      <c r="F4565" t="str">
        <f>IFERROR(VLOOKUP(tbEscolas[[#This Row],[COD ETPA]],tbEtapas[],3,FALSE),"")</f>
        <v/>
      </c>
    </row>
    <row r="4566" spans="1:6" x14ac:dyDescent="0.25">
      <c r="A4566" s="24" t="str">
        <f>_xlfn.XLOOKUP(tbEscolas[[#This Row],[ESCOLA]],tbNucleo[ESCOLA],tbNucleo[COD ESCOLA],"")</f>
        <v/>
      </c>
      <c r="B4566" t="str" cm="1">
        <f t="array" ref="B4566">IFERROR(INDEX(tbNucleo[ESCOLA],ROUNDUP(ROW(B4565)/TotalEtapas,0)),"")</f>
        <v/>
      </c>
      <c r="E4566" t="str">
        <f>IFERROR(VLOOKUP(tbEscolas[[#This Row],[COD ETPA]],tbEtapas[],2,FALSE),"")</f>
        <v/>
      </c>
      <c r="F4566" t="str">
        <f>IFERROR(VLOOKUP(tbEscolas[[#This Row],[COD ETPA]],tbEtapas[],3,FALSE),"")</f>
        <v/>
      </c>
    </row>
    <row r="4567" spans="1:6" x14ac:dyDescent="0.25">
      <c r="A4567" s="24" t="str">
        <f>_xlfn.XLOOKUP(tbEscolas[[#This Row],[ESCOLA]],tbNucleo[ESCOLA],tbNucleo[COD ESCOLA],"")</f>
        <v/>
      </c>
      <c r="B4567" t="str" cm="1">
        <f t="array" ref="B4567">IFERROR(INDEX(tbNucleo[ESCOLA],ROUNDUP(ROW(B4566)/TotalEtapas,0)),"")</f>
        <v/>
      </c>
      <c r="E4567" t="str">
        <f>IFERROR(VLOOKUP(tbEscolas[[#This Row],[COD ETPA]],tbEtapas[],2,FALSE),"")</f>
        <v/>
      </c>
      <c r="F4567" t="str">
        <f>IFERROR(VLOOKUP(tbEscolas[[#This Row],[COD ETPA]],tbEtapas[],3,FALSE),"")</f>
        <v/>
      </c>
    </row>
    <row r="4568" spans="1:6" x14ac:dyDescent="0.25">
      <c r="A4568" s="24" t="str">
        <f>_xlfn.XLOOKUP(tbEscolas[[#This Row],[ESCOLA]],tbNucleo[ESCOLA],tbNucleo[COD ESCOLA],"")</f>
        <v/>
      </c>
      <c r="B4568" t="str" cm="1">
        <f t="array" ref="B4568">IFERROR(INDEX(tbNucleo[ESCOLA],ROUNDUP(ROW(B4567)/TotalEtapas,0)),"")</f>
        <v/>
      </c>
      <c r="E4568" t="str">
        <f>IFERROR(VLOOKUP(tbEscolas[[#This Row],[COD ETPA]],tbEtapas[],2,FALSE),"")</f>
        <v/>
      </c>
      <c r="F4568" t="str">
        <f>IFERROR(VLOOKUP(tbEscolas[[#This Row],[COD ETPA]],tbEtapas[],3,FALSE),"")</f>
        <v/>
      </c>
    </row>
    <row r="4569" spans="1:6" x14ac:dyDescent="0.25">
      <c r="A4569" s="24" t="str">
        <f>_xlfn.XLOOKUP(tbEscolas[[#This Row],[ESCOLA]],tbNucleo[ESCOLA],tbNucleo[COD ESCOLA],"")</f>
        <v/>
      </c>
      <c r="B4569" t="str" cm="1">
        <f t="array" ref="B4569">IFERROR(INDEX(tbNucleo[ESCOLA],ROUNDUP(ROW(B4568)/TotalEtapas,0)),"")</f>
        <v/>
      </c>
      <c r="E4569" t="str">
        <f>IFERROR(VLOOKUP(tbEscolas[[#This Row],[COD ETPA]],tbEtapas[],2,FALSE),"")</f>
        <v/>
      </c>
      <c r="F4569" t="str">
        <f>IFERROR(VLOOKUP(tbEscolas[[#This Row],[COD ETPA]],tbEtapas[],3,FALSE),"")</f>
        <v/>
      </c>
    </row>
    <row r="4570" spans="1:6" x14ac:dyDescent="0.25">
      <c r="A4570" s="24" t="str">
        <f>_xlfn.XLOOKUP(tbEscolas[[#This Row],[ESCOLA]],tbNucleo[ESCOLA],tbNucleo[COD ESCOLA],"")</f>
        <v/>
      </c>
      <c r="B4570" t="str" cm="1">
        <f t="array" ref="B4570">IFERROR(INDEX(tbNucleo[ESCOLA],ROUNDUP(ROW(B4569)/TotalEtapas,0)),"")</f>
        <v/>
      </c>
      <c r="E4570" t="str">
        <f>IFERROR(VLOOKUP(tbEscolas[[#This Row],[COD ETPA]],tbEtapas[],2,FALSE),"")</f>
        <v/>
      </c>
      <c r="F4570" t="str">
        <f>IFERROR(VLOOKUP(tbEscolas[[#This Row],[COD ETPA]],tbEtapas[],3,FALSE),"")</f>
        <v/>
      </c>
    </row>
    <row r="4571" spans="1:6" x14ac:dyDescent="0.25">
      <c r="A4571" s="24" t="str">
        <f>_xlfn.XLOOKUP(tbEscolas[[#This Row],[ESCOLA]],tbNucleo[ESCOLA],tbNucleo[COD ESCOLA],"")</f>
        <v/>
      </c>
      <c r="B4571" t="str" cm="1">
        <f t="array" ref="B4571">IFERROR(INDEX(tbNucleo[ESCOLA],ROUNDUP(ROW(B4570)/TotalEtapas,0)),"")</f>
        <v/>
      </c>
      <c r="E4571" t="str">
        <f>IFERROR(VLOOKUP(tbEscolas[[#This Row],[COD ETPA]],tbEtapas[],2,FALSE),"")</f>
        <v/>
      </c>
      <c r="F4571" t="str">
        <f>IFERROR(VLOOKUP(tbEscolas[[#This Row],[COD ETPA]],tbEtapas[],3,FALSE),"")</f>
        <v/>
      </c>
    </row>
    <row r="4572" spans="1:6" x14ac:dyDescent="0.25">
      <c r="A4572" s="24" t="str">
        <f>_xlfn.XLOOKUP(tbEscolas[[#This Row],[ESCOLA]],tbNucleo[ESCOLA],tbNucleo[COD ESCOLA],"")</f>
        <v/>
      </c>
      <c r="B4572" t="str" cm="1">
        <f t="array" ref="B4572">IFERROR(INDEX(tbNucleo[ESCOLA],ROUNDUP(ROW(B4571)/TotalEtapas,0)),"")</f>
        <v/>
      </c>
      <c r="E4572" t="str">
        <f>IFERROR(VLOOKUP(tbEscolas[[#This Row],[COD ETPA]],tbEtapas[],2,FALSE),"")</f>
        <v/>
      </c>
      <c r="F4572" t="str">
        <f>IFERROR(VLOOKUP(tbEscolas[[#This Row],[COD ETPA]],tbEtapas[],3,FALSE),"")</f>
        <v/>
      </c>
    </row>
    <row r="4573" spans="1:6" x14ac:dyDescent="0.25">
      <c r="A4573" s="24" t="str">
        <f>_xlfn.XLOOKUP(tbEscolas[[#This Row],[ESCOLA]],tbNucleo[ESCOLA],tbNucleo[COD ESCOLA],"")</f>
        <v/>
      </c>
      <c r="B4573" t="str" cm="1">
        <f t="array" ref="B4573">IFERROR(INDEX(tbNucleo[ESCOLA],ROUNDUP(ROW(B4572)/TotalEtapas,0)),"")</f>
        <v/>
      </c>
      <c r="E4573" t="str">
        <f>IFERROR(VLOOKUP(tbEscolas[[#This Row],[COD ETPA]],tbEtapas[],2,FALSE),"")</f>
        <v/>
      </c>
      <c r="F4573" t="str">
        <f>IFERROR(VLOOKUP(tbEscolas[[#This Row],[COD ETPA]],tbEtapas[],3,FALSE),"")</f>
        <v/>
      </c>
    </row>
    <row r="4574" spans="1:6" x14ac:dyDescent="0.25">
      <c r="A4574" s="24" t="str">
        <f>_xlfn.XLOOKUP(tbEscolas[[#This Row],[ESCOLA]],tbNucleo[ESCOLA],tbNucleo[COD ESCOLA],"")</f>
        <v/>
      </c>
      <c r="B4574" t="str" cm="1">
        <f t="array" ref="B4574">IFERROR(INDEX(tbNucleo[ESCOLA],ROUNDUP(ROW(B4573)/TotalEtapas,0)),"")</f>
        <v/>
      </c>
      <c r="E4574" t="str">
        <f>IFERROR(VLOOKUP(tbEscolas[[#This Row],[COD ETPA]],tbEtapas[],2,FALSE),"")</f>
        <v/>
      </c>
      <c r="F4574" t="str">
        <f>IFERROR(VLOOKUP(tbEscolas[[#This Row],[COD ETPA]],tbEtapas[],3,FALSE),"")</f>
        <v/>
      </c>
    </row>
    <row r="4575" spans="1:6" x14ac:dyDescent="0.25">
      <c r="A4575" s="24" t="str">
        <f>_xlfn.XLOOKUP(tbEscolas[[#This Row],[ESCOLA]],tbNucleo[ESCOLA],tbNucleo[COD ESCOLA],"")</f>
        <v/>
      </c>
      <c r="B4575" t="str" cm="1">
        <f t="array" ref="B4575">IFERROR(INDEX(tbNucleo[ESCOLA],ROUNDUP(ROW(B4574)/TotalEtapas,0)),"")</f>
        <v/>
      </c>
      <c r="E4575" t="str">
        <f>IFERROR(VLOOKUP(tbEscolas[[#This Row],[COD ETPA]],tbEtapas[],2,FALSE),"")</f>
        <v/>
      </c>
      <c r="F4575" t="str">
        <f>IFERROR(VLOOKUP(tbEscolas[[#This Row],[COD ETPA]],tbEtapas[],3,FALSE),"")</f>
        <v/>
      </c>
    </row>
    <row r="4576" spans="1:6" x14ac:dyDescent="0.25">
      <c r="A4576" s="24" t="str">
        <f>_xlfn.XLOOKUP(tbEscolas[[#This Row],[ESCOLA]],tbNucleo[ESCOLA],tbNucleo[COD ESCOLA],"")</f>
        <v/>
      </c>
      <c r="B4576" t="str" cm="1">
        <f t="array" ref="B4576">IFERROR(INDEX(tbNucleo[ESCOLA],ROUNDUP(ROW(B4575)/TotalEtapas,0)),"")</f>
        <v/>
      </c>
      <c r="E4576" t="str">
        <f>IFERROR(VLOOKUP(tbEscolas[[#This Row],[COD ETPA]],tbEtapas[],2,FALSE),"")</f>
        <v/>
      </c>
      <c r="F4576" t="str">
        <f>IFERROR(VLOOKUP(tbEscolas[[#This Row],[COD ETPA]],tbEtapas[],3,FALSE),"")</f>
        <v/>
      </c>
    </row>
    <row r="4577" spans="1:6" x14ac:dyDescent="0.25">
      <c r="A4577" s="24" t="str">
        <f>_xlfn.XLOOKUP(tbEscolas[[#This Row],[ESCOLA]],tbNucleo[ESCOLA],tbNucleo[COD ESCOLA],"")</f>
        <v/>
      </c>
      <c r="B4577" t="str" cm="1">
        <f t="array" ref="B4577">IFERROR(INDEX(tbNucleo[ESCOLA],ROUNDUP(ROW(B4576)/TotalEtapas,0)),"")</f>
        <v/>
      </c>
      <c r="E4577" t="str">
        <f>IFERROR(VLOOKUP(tbEscolas[[#This Row],[COD ETPA]],tbEtapas[],2,FALSE),"")</f>
        <v/>
      </c>
      <c r="F4577" t="str">
        <f>IFERROR(VLOOKUP(tbEscolas[[#This Row],[COD ETPA]],tbEtapas[],3,FALSE),"")</f>
        <v/>
      </c>
    </row>
    <row r="4578" spans="1:6" x14ac:dyDescent="0.25">
      <c r="A4578" s="24" t="str">
        <f>_xlfn.XLOOKUP(tbEscolas[[#This Row],[ESCOLA]],tbNucleo[ESCOLA],tbNucleo[COD ESCOLA],"")</f>
        <v/>
      </c>
      <c r="B4578" t="str" cm="1">
        <f t="array" ref="B4578">IFERROR(INDEX(tbNucleo[ESCOLA],ROUNDUP(ROW(B4577)/TotalEtapas,0)),"")</f>
        <v/>
      </c>
      <c r="E4578" t="str">
        <f>IFERROR(VLOOKUP(tbEscolas[[#This Row],[COD ETPA]],tbEtapas[],2,FALSE),"")</f>
        <v/>
      </c>
      <c r="F4578" t="str">
        <f>IFERROR(VLOOKUP(tbEscolas[[#This Row],[COD ETPA]],tbEtapas[],3,FALSE),"")</f>
        <v/>
      </c>
    </row>
    <row r="4579" spans="1:6" x14ac:dyDescent="0.25">
      <c r="A4579" s="24" t="str">
        <f>_xlfn.XLOOKUP(tbEscolas[[#This Row],[ESCOLA]],tbNucleo[ESCOLA],tbNucleo[COD ESCOLA],"")</f>
        <v/>
      </c>
      <c r="B4579" t="str" cm="1">
        <f t="array" ref="B4579">IFERROR(INDEX(tbNucleo[ESCOLA],ROUNDUP(ROW(B4578)/TotalEtapas,0)),"")</f>
        <v/>
      </c>
      <c r="E4579" t="str">
        <f>IFERROR(VLOOKUP(tbEscolas[[#This Row],[COD ETPA]],tbEtapas[],2,FALSE),"")</f>
        <v/>
      </c>
      <c r="F4579" t="str">
        <f>IFERROR(VLOOKUP(tbEscolas[[#This Row],[COD ETPA]],tbEtapas[],3,FALSE),"")</f>
        <v/>
      </c>
    </row>
    <row r="4580" spans="1:6" x14ac:dyDescent="0.25">
      <c r="A4580" s="24" t="str">
        <f>_xlfn.XLOOKUP(tbEscolas[[#This Row],[ESCOLA]],tbNucleo[ESCOLA],tbNucleo[COD ESCOLA],"")</f>
        <v/>
      </c>
      <c r="B4580" t="str" cm="1">
        <f t="array" ref="B4580">IFERROR(INDEX(tbNucleo[ESCOLA],ROUNDUP(ROW(B4579)/TotalEtapas,0)),"")</f>
        <v/>
      </c>
      <c r="E4580" t="str">
        <f>IFERROR(VLOOKUP(tbEscolas[[#This Row],[COD ETPA]],tbEtapas[],2,FALSE),"")</f>
        <v/>
      </c>
      <c r="F4580" t="str">
        <f>IFERROR(VLOOKUP(tbEscolas[[#This Row],[COD ETPA]],tbEtapas[],3,FALSE),"")</f>
        <v/>
      </c>
    </row>
    <row r="4581" spans="1:6" x14ac:dyDescent="0.25">
      <c r="A4581" s="24" t="str">
        <f>_xlfn.XLOOKUP(tbEscolas[[#This Row],[ESCOLA]],tbNucleo[ESCOLA],tbNucleo[COD ESCOLA],"")</f>
        <v/>
      </c>
      <c r="B4581" t="str" cm="1">
        <f t="array" ref="B4581">IFERROR(INDEX(tbNucleo[ESCOLA],ROUNDUP(ROW(B4580)/TotalEtapas,0)),"")</f>
        <v/>
      </c>
      <c r="E4581" t="str">
        <f>IFERROR(VLOOKUP(tbEscolas[[#This Row],[COD ETPA]],tbEtapas[],2,FALSE),"")</f>
        <v/>
      </c>
      <c r="F4581" t="str">
        <f>IFERROR(VLOOKUP(tbEscolas[[#This Row],[COD ETPA]],tbEtapas[],3,FALSE),"")</f>
        <v/>
      </c>
    </row>
    <row r="4582" spans="1:6" x14ac:dyDescent="0.25">
      <c r="A4582" s="24" t="str">
        <f>_xlfn.XLOOKUP(tbEscolas[[#This Row],[ESCOLA]],tbNucleo[ESCOLA],tbNucleo[COD ESCOLA],"")</f>
        <v/>
      </c>
      <c r="B4582" t="str" cm="1">
        <f t="array" ref="B4582">IFERROR(INDEX(tbNucleo[ESCOLA],ROUNDUP(ROW(B4581)/TotalEtapas,0)),"")</f>
        <v/>
      </c>
      <c r="E4582" t="str">
        <f>IFERROR(VLOOKUP(tbEscolas[[#This Row],[COD ETPA]],tbEtapas[],2,FALSE),"")</f>
        <v/>
      </c>
      <c r="F4582" t="str">
        <f>IFERROR(VLOOKUP(tbEscolas[[#This Row],[COD ETPA]],tbEtapas[],3,FALSE),"")</f>
        <v/>
      </c>
    </row>
    <row r="4583" spans="1:6" x14ac:dyDescent="0.25">
      <c r="A4583" s="24" t="str">
        <f>_xlfn.XLOOKUP(tbEscolas[[#This Row],[ESCOLA]],tbNucleo[ESCOLA],tbNucleo[COD ESCOLA],"")</f>
        <v/>
      </c>
      <c r="B4583" t="str" cm="1">
        <f t="array" ref="B4583">IFERROR(INDEX(tbNucleo[ESCOLA],ROUNDUP(ROW(B4582)/TotalEtapas,0)),"")</f>
        <v/>
      </c>
      <c r="E4583" t="str">
        <f>IFERROR(VLOOKUP(tbEscolas[[#This Row],[COD ETPA]],tbEtapas[],2,FALSE),"")</f>
        <v/>
      </c>
      <c r="F4583" t="str">
        <f>IFERROR(VLOOKUP(tbEscolas[[#This Row],[COD ETPA]],tbEtapas[],3,FALSE),"")</f>
        <v/>
      </c>
    </row>
    <row r="4584" spans="1:6" x14ac:dyDescent="0.25">
      <c r="A4584" s="24" t="str">
        <f>_xlfn.XLOOKUP(tbEscolas[[#This Row],[ESCOLA]],tbNucleo[ESCOLA],tbNucleo[COD ESCOLA],"")</f>
        <v/>
      </c>
      <c r="B4584" t="str" cm="1">
        <f t="array" ref="B4584">IFERROR(INDEX(tbNucleo[ESCOLA],ROUNDUP(ROW(B4583)/TotalEtapas,0)),"")</f>
        <v/>
      </c>
      <c r="E4584" t="str">
        <f>IFERROR(VLOOKUP(tbEscolas[[#This Row],[COD ETPA]],tbEtapas[],2,FALSE),"")</f>
        <v/>
      </c>
      <c r="F4584" t="str">
        <f>IFERROR(VLOOKUP(tbEscolas[[#This Row],[COD ETPA]],tbEtapas[],3,FALSE),"")</f>
        <v/>
      </c>
    </row>
    <row r="4585" spans="1:6" x14ac:dyDescent="0.25">
      <c r="A4585" s="24" t="str">
        <f>_xlfn.XLOOKUP(tbEscolas[[#This Row],[ESCOLA]],tbNucleo[ESCOLA],tbNucleo[COD ESCOLA],"")</f>
        <v/>
      </c>
      <c r="B4585" t="str" cm="1">
        <f t="array" ref="B4585">IFERROR(INDEX(tbNucleo[ESCOLA],ROUNDUP(ROW(B4584)/TotalEtapas,0)),"")</f>
        <v/>
      </c>
      <c r="E4585" t="str">
        <f>IFERROR(VLOOKUP(tbEscolas[[#This Row],[COD ETPA]],tbEtapas[],2,FALSE),"")</f>
        <v/>
      </c>
      <c r="F4585" t="str">
        <f>IFERROR(VLOOKUP(tbEscolas[[#This Row],[COD ETPA]],tbEtapas[],3,FALSE),"")</f>
        <v/>
      </c>
    </row>
    <row r="4586" spans="1:6" x14ac:dyDescent="0.25">
      <c r="A4586" s="24" t="str">
        <f>_xlfn.XLOOKUP(tbEscolas[[#This Row],[ESCOLA]],tbNucleo[ESCOLA],tbNucleo[COD ESCOLA],"")</f>
        <v/>
      </c>
      <c r="B4586" t="str" cm="1">
        <f t="array" ref="B4586">IFERROR(INDEX(tbNucleo[ESCOLA],ROUNDUP(ROW(B4585)/TotalEtapas,0)),"")</f>
        <v/>
      </c>
      <c r="E4586" t="str">
        <f>IFERROR(VLOOKUP(tbEscolas[[#This Row],[COD ETPA]],tbEtapas[],2,FALSE),"")</f>
        <v/>
      </c>
      <c r="F4586" t="str">
        <f>IFERROR(VLOOKUP(tbEscolas[[#This Row],[COD ETPA]],tbEtapas[],3,FALSE),"")</f>
        <v/>
      </c>
    </row>
    <row r="4587" spans="1:6" x14ac:dyDescent="0.25">
      <c r="A4587" s="24" t="str">
        <f>_xlfn.XLOOKUP(tbEscolas[[#This Row],[ESCOLA]],tbNucleo[ESCOLA],tbNucleo[COD ESCOLA],"")</f>
        <v/>
      </c>
      <c r="B4587" t="str" cm="1">
        <f t="array" ref="B4587">IFERROR(INDEX(tbNucleo[ESCOLA],ROUNDUP(ROW(B4586)/TotalEtapas,0)),"")</f>
        <v/>
      </c>
      <c r="E4587" t="str">
        <f>IFERROR(VLOOKUP(tbEscolas[[#This Row],[COD ETPA]],tbEtapas[],2,FALSE),"")</f>
        <v/>
      </c>
      <c r="F4587" t="str">
        <f>IFERROR(VLOOKUP(tbEscolas[[#This Row],[COD ETPA]],tbEtapas[],3,FALSE),"")</f>
        <v/>
      </c>
    </row>
    <row r="4588" spans="1:6" x14ac:dyDescent="0.25">
      <c r="A4588" s="24" t="str">
        <f>_xlfn.XLOOKUP(tbEscolas[[#This Row],[ESCOLA]],tbNucleo[ESCOLA],tbNucleo[COD ESCOLA],"")</f>
        <v/>
      </c>
      <c r="B4588" t="str" cm="1">
        <f t="array" ref="B4588">IFERROR(INDEX(tbNucleo[ESCOLA],ROUNDUP(ROW(B4587)/TotalEtapas,0)),"")</f>
        <v/>
      </c>
      <c r="E4588" t="str">
        <f>IFERROR(VLOOKUP(tbEscolas[[#This Row],[COD ETPA]],tbEtapas[],2,FALSE),"")</f>
        <v/>
      </c>
      <c r="F4588" t="str">
        <f>IFERROR(VLOOKUP(tbEscolas[[#This Row],[COD ETPA]],tbEtapas[],3,FALSE),"")</f>
        <v/>
      </c>
    </row>
    <row r="4589" spans="1:6" x14ac:dyDescent="0.25">
      <c r="A4589" s="24" t="str">
        <f>_xlfn.XLOOKUP(tbEscolas[[#This Row],[ESCOLA]],tbNucleo[ESCOLA],tbNucleo[COD ESCOLA],"")</f>
        <v/>
      </c>
      <c r="B4589" t="str" cm="1">
        <f t="array" ref="B4589">IFERROR(INDEX(tbNucleo[ESCOLA],ROUNDUP(ROW(B4588)/TotalEtapas,0)),"")</f>
        <v/>
      </c>
      <c r="E4589" t="str">
        <f>IFERROR(VLOOKUP(tbEscolas[[#This Row],[COD ETPA]],tbEtapas[],2,FALSE),"")</f>
        <v/>
      </c>
      <c r="F4589" t="str">
        <f>IFERROR(VLOOKUP(tbEscolas[[#This Row],[COD ETPA]],tbEtapas[],3,FALSE),"")</f>
        <v/>
      </c>
    </row>
    <row r="4590" spans="1:6" x14ac:dyDescent="0.25">
      <c r="A4590" s="24" t="str">
        <f>_xlfn.XLOOKUP(tbEscolas[[#This Row],[ESCOLA]],tbNucleo[ESCOLA],tbNucleo[COD ESCOLA],"")</f>
        <v/>
      </c>
      <c r="B4590" t="str" cm="1">
        <f t="array" ref="B4590">IFERROR(INDEX(tbNucleo[ESCOLA],ROUNDUP(ROW(B4589)/TotalEtapas,0)),"")</f>
        <v/>
      </c>
      <c r="E4590" t="str">
        <f>IFERROR(VLOOKUP(tbEscolas[[#This Row],[COD ETPA]],tbEtapas[],2,FALSE),"")</f>
        <v/>
      </c>
      <c r="F4590" t="str">
        <f>IFERROR(VLOOKUP(tbEscolas[[#This Row],[COD ETPA]],tbEtapas[],3,FALSE),"")</f>
        <v/>
      </c>
    </row>
    <row r="4591" spans="1:6" x14ac:dyDescent="0.25">
      <c r="A4591" s="24" t="str">
        <f>_xlfn.XLOOKUP(tbEscolas[[#This Row],[ESCOLA]],tbNucleo[ESCOLA],tbNucleo[COD ESCOLA],"")</f>
        <v/>
      </c>
      <c r="B4591" t="str" cm="1">
        <f t="array" ref="B4591">IFERROR(INDEX(tbNucleo[ESCOLA],ROUNDUP(ROW(B4590)/TotalEtapas,0)),"")</f>
        <v/>
      </c>
      <c r="E4591" t="str">
        <f>IFERROR(VLOOKUP(tbEscolas[[#This Row],[COD ETPA]],tbEtapas[],2,FALSE),"")</f>
        <v/>
      </c>
      <c r="F4591" t="str">
        <f>IFERROR(VLOOKUP(tbEscolas[[#This Row],[COD ETPA]],tbEtapas[],3,FALSE),"")</f>
        <v/>
      </c>
    </row>
    <row r="4592" spans="1:6" x14ac:dyDescent="0.25">
      <c r="A4592" s="24" t="str">
        <f>_xlfn.XLOOKUP(tbEscolas[[#This Row],[ESCOLA]],tbNucleo[ESCOLA],tbNucleo[COD ESCOLA],"")</f>
        <v/>
      </c>
      <c r="B4592" t="str" cm="1">
        <f t="array" ref="B4592">IFERROR(INDEX(tbNucleo[ESCOLA],ROUNDUP(ROW(B4591)/TotalEtapas,0)),"")</f>
        <v/>
      </c>
      <c r="E4592" t="str">
        <f>IFERROR(VLOOKUP(tbEscolas[[#This Row],[COD ETPA]],tbEtapas[],2,FALSE),"")</f>
        <v/>
      </c>
      <c r="F4592" t="str">
        <f>IFERROR(VLOOKUP(tbEscolas[[#This Row],[COD ETPA]],tbEtapas[],3,FALSE),"")</f>
        <v/>
      </c>
    </row>
    <row r="4593" spans="1:6" x14ac:dyDescent="0.25">
      <c r="A4593" s="24" t="str">
        <f>_xlfn.XLOOKUP(tbEscolas[[#This Row],[ESCOLA]],tbNucleo[ESCOLA],tbNucleo[COD ESCOLA],"")</f>
        <v/>
      </c>
      <c r="B4593" t="str" cm="1">
        <f t="array" ref="B4593">IFERROR(INDEX(tbNucleo[ESCOLA],ROUNDUP(ROW(B4592)/TotalEtapas,0)),"")</f>
        <v/>
      </c>
      <c r="E4593" t="str">
        <f>IFERROR(VLOOKUP(tbEscolas[[#This Row],[COD ETPA]],tbEtapas[],2,FALSE),"")</f>
        <v/>
      </c>
      <c r="F4593" t="str">
        <f>IFERROR(VLOOKUP(tbEscolas[[#This Row],[COD ETPA]],tbEtapas[],3,FALSE),"")</f>
        <v/>
      </c>
    </row>
    <row r="4594" spans="1:6" x14ac:dyDescent="0.25">
      <c r="A4594" s="24" t="str">
        <f>_xlfn.XLOOKUP(tbEscolas[[#This Row],[ESCOLA]],tbNucleo[ESCOLA],tbNucleo[COD ESCOLA],"")</f>
        <v/>
      </c>
      <c r="B4594" t="str" cm="1">
        <f t="array" ref="B4594">IFERROR(INDEX(tbNucleo[ESCOLA],ROUNDUP(ROW(B4593)/TotalEtapas,0)),"")</f>
        <v/>
      </c>
      <c r="E4594" t="str">
        <f>IFERROR(VLOOKUP(tbEscolas[[#This Row],[COD ETPA]],tbEtapas[],2,FALSE),"")</f>
        <v/>
      </c>
      <c r="F4594" t="str">
        <f>IFERROR(VLOOKUP(tbEscolas[[#This Row],[COD ETPA]],tbEtapas[],3,FALSE),"")</f>
        <v/>
      </c>
    </row>
    <row r="4595" spans="1:6" x14ac:dyDescent="0.25">
      <c r="A4595" s="24" t="str">
        <f>_xlfn.XLOOKUP(tbEscolas[[#This Row],[ESCOLA]],tbNucleo[ESCOLA],tbNucleo[COD ESCOLA],"")</f>
        <v/>
      </c>
      <c r="B4595" t="str" cm="1">
        <f t="array" ref="B4595">IFERROR(INDEX(tbNucleo[ESCOLA],ROUNDUP(ROW(B4594)/TotalEtapas,0)),"")</f>
        <v/>
      </c>
      <c r="E4595" t="str">
        <f>IFERROR(VLOOKUP(tbEscolas[[#This Row],[COD ETPA]],tbEtapas[],2,FALSE),"")</f>
        <v/>
      </c>
      <c r="F4595" t="str">
        <f>IFERROR(VLOOKUP(tbEscolas[[#This Row],[COD ETPA]],tbEtapas[],3,FALSE),"")</f>
        <v/>
      </c>
    </row>
    <row r="4596" spans="1:6" x14ac:dyDescent="0.25">
      <c r="A4596" s="24" t="str">
        <f>_xlfn.XLOOKUP(tbEscolas[[#This Row],[ESCOLA]],tbNucleo[ESCOLA],tbNucleo[COD ESCOLA],"")</f>
        <v/>
      </c>
      <c r="B4596" t="str" cm="1">
        <f t="array" ref="B4596">IFERROR(INDEX(tbNucleo[ESCOLA],ROUNDUP(ROW(B4595)/TotalEtapas,0)),"")</f>
        <v/>
      </c>
      <c r="E4596" t="str">
        <f>IFERROR(VLOOKUP(tbEscolas[[#This Row],[COD ETPA]],tbEtapas[],2,FALSE),"")</f>
        <v/>
      </c>
      <c r="F4596" t="str">
        <f>IFERROR(VLOOKUP(tbEscolas[[#This Row],[COD ETPA]],tbEtapas[],3,FALSE),"")</f>
        <v/>
      </c>
    </row>
    <row r="4597" spans="1:6" x14ac:dyDescent="0.25">
      <c r="A4597" s="24" t="str">
        <f>_xlfn.XLOOKUP(tbEscolas[[#This Row],[ESCOLA]],tbNucleo[ESCOLA],tbNucleo[COD ESCOLA],"")</f>
        <v/>
      </c>
      <c r="B4597" t="str" cm="1">
        <f t="array" ref="B4597">IFERROR(INDEX(tbNucleo[ESCOLA],ROUNDUP(ROW(B4596)/TotalEtapas,0)),"")</f>
        <v/>
      </c>
      <c r="E4597" t="str">
        <f>IFERROR(VLOOKUP(tbEscolas[[#This Row],[COD ETPA]],tbEtapas[],2,FALSE),"")</f>
        <v/>
      </c>
      <c r="F4597" t="str">
        <f>IFERROR(VLOOKUP(tbEscolas[[#This Row],[COD ETPA]],tbEtapas[],3,FALSE),"")</f>
        <v/>
      </c>
    </row>
    <row r="4598" spans="1:6" x14ac:dyDescent="0.25">
      <c r="A4598" s="24" t="str">
        <f>_xlfn.XLOOKUP(tbEscolas[[#This Row],[ESCOLA]],tbNucleo[ESCOLA],tbNucleo[COD ESCOLA],"")</f>
        <v/>
      </c>
      <c r="B4598" t="str" cm="1">
        <f t="array" ref="B4598">IFERROR(INDEX(tbNucleo[ESCOLA],ROUNDUP(ROW(B4597)/TotalEtapas,0)),"")</f>
        <v/>
      </c>
      <c r="E4598" t="str">
        <f>IFERROR(VLOOKUP(tbEscolas[[#This Row],[COD ETPA]],tbEtapas[],2,FALSE),"")</f>
        <v/>
      </c>
      <c r="F4598" t="str">
        <f>IFERROR(VLOOKUP(tbEscolas[[#This Row],[COD ETPA]],tbEtapas[],3,FALSE),"")</f>
        <v/>
      </c>
    </row>
    <row r="4599" spans="1:6" x14ac:dyDescent="0.25">
      <c r="A4599" s="24" t="str">
        <f>_xlfn.XLOOKUP(tbEscolas[[#This Row],[ESCOLA]],tbNucleo[ESCOLA],tbNucleo[COD ESCOLA],"")</f>
        <v/>
      </c>
      <c r="B4599" t="str" cm="1">
        <f t="array" ref="B4599">IFERROR(INDEX(tbNucleo[ESCOLA],ROUNDUP(ROW(B4598)/TotalEtapas,0)),"")</f>
        <v/>
      </c>
      <c r="E4599" t="str">
        <f>IFERROR(VLOOKUP(tbEscolas[[#This Row],[COD ETPA]],tbEtapas[],2,FALSE),"")</f>
        <v/>
      </c>
      <c r="F4599" t="str">
        <f>IFERROR(VLOOKUP(tbEscolas[[#This Row],[COD ETPA]],tbEtapas[],3,FALSE),"")</f>
        <v/>
      </c>
    </row>
    <row r="4600" spans="1:6" x14ac:dyDescent="0.25">
      <c r="A4600" s="24" t="str">
        <f>_xlfn.XLOOKUP(tbEscolas[[#This Row],[ESCOLA]],tbNucleo[ESCOLA],tbNucleo[COD ESCOLA],"")</f>
        <v/>
      </c>
      <c r="B4600" t="str" cm="1">
        <f t="array" ref="B4600">IFERROR(INDEX(tbNucleo[ESCOLA],ROUNDUP(ROW(B4599)/TotalEtapas,0)),"")</f>
        <v/>
      </c>
      <c r="E4600" t="str">
        <f>IFERROR(VLOOKUP(tbEscolas[[#This Row],[COD ETPA]],tbEtapas[],2,FALSE),"")</f>
        <v/>
      </c>
      <c r="F4600" t="str">
        <f>IFERROR(VLOOKUP(tbEscolas[[#This Row],[COD ETPA]],tbEtapas[],3,FALSE),"")</f>
        <v/>
      </c>
    </row>
    <row r="4601" spans="1:6" x14ac:dyDescent="0.25">
      <c r="A4601" s="24" t="str">
        <f>_xlfn.XLOOKUP(tbEscolas[[#This Row],[ESCOLA]],tbNucleo[ESCOLA],tbNucleo[COD ESCOLA],"")</f>
        <v/>
      </c>
      <c r="B4601" t="str" cm="1">
        <f t="array" ref="B4601">IFERROR(INDEX(tbNucleo[ESCOLA],ROUNDUP(ROW(B4600)/TotalEtapas,0)),"")</f>
        <v/>
      </c>
      <c r="E4601" t="str">
        <f>IFERROR(VLOOKUP(tbEscolas[[#This Row],[COD ETPA]],tbEtapas[],2,FALSE),"")</f>
        <v/>
      </c>
      <c r="F4601" t="str">
        <f>IFERROR(VLOOKUP(tbEscolas[[#This Row],[COD ETPA]],tbEtapas[],3,FALSE),"")</f>
        <v/>
      </c>
    </row>
    <row r="4602" spans="1:6" x14ac:dyDescent="0.25">
      <c r="A4602" s="24" t="str">
        <f>_xlfn.XLOOKUP(tbEscolas[[#This Row],[ESCOLA]],tbNucleo[ESCOLA],tbNucleo[COD ESCOLA],"")</f>
        <v/>
      </c>
      <c r="B4602" t="str" cm="1">
        <f t="array" ref="B4602">IFERROR(INDEX(tbNucleo[ESCOLA],ROUNDUP(ROW(B4601)/TotalEtapas,0)),"")</f>
        <v/>
      </c>
      <c r="E4602" t="str">
        <f>IFERROR(VLOOKUP(tbEscolas[[#This Row],[COD ETPA]],tbEtapas[],2,FALSE),"")</f>
        <v/>
      </c>
      <c r="F4602" t="str">
        <f>IFERROR(VLOOKUP(tbEscolas[[#This Row],[COD ETPA]],tbEtapas[],3,FALSE),"")</f>
        <v/>
      </c>
    </row>
    <row r="4603" spans="1:6" x14ac:dyDescent="0.25">
      <c r="A4603" s="24" t="str">
        <f>_xlfn.XLOOKUP(tbEscolas[[#This Row],[ESCOLA]],tbNucleo[ESCOLA],tbNucleo[COD ESCOLA],"")</f>
        <v/>
      </c>
      <c r="B4603" t="str" cm="1">
        <f t="array" ref="B4603">IFERROR(INDEX(tbNucleo[ESCOLA],ROUNDUP(ROW(B4602)/TotalEtapas,0)),"")</f>
        <v/>
      </c>
      <c r="E4603" t="str">
        <f>IFERROR(VLOOKUP(tbEscolas[[#This Row],[COD ETPA]],tbEtapas[],2,FALSE),"")</f>
        <v/>
      </c>
      <c r="F4603" t="str">
        <f>IFERROR(VLOOKUP(tbEscolas[[#This Row],[COD ETPA]],tbEtapas[],3,FALSE),"")</f>
        <v/>
      </c>
    </row>
    <row r="4604" spans="1:6" x14ac:dyDescent="0.25">
      <c r="A4604" s="24" t="str">
        <f>_xlfn.XLOOKUP(tbEscolas[[#This Row],[ESCOLA]],tbNucleo[ESCOLA],tbNucleo[COD ESCOLA],"")</f>
        <v/>
      </c>
      <c r="B4604" t="str" cm="1">
        <f t="array" ref="B4604">IFERROR(INDEX(tbNucleo[ESCOLA],ROUNDUP(ROW(B4603)/TotalEtapas,0)),"")</f>
        <v/>
      </c>
      <c r="E4604" t="str">
        <f>IFERROR(VLOOKUP(tbEscolas[[#This Row],[COD ETPA]],tbEtapas[],2,FALSE),"")</f>
        <v/>
      </c>
      <c r="F4604" t="str">
        <f>IFERROR(VLOOKUP(tbEscolas[[#This Row],[COD ETPA]],tbEtapas[],3,FALSE),"")</f>
        <v/>
      </c>
    </row>
    <row r="4605" spans="1:6" x14ac:dyDescent="0.25">
      <c r="A4605" s="24" t="str">
        <f>_xlfn.XLOOKUP(tbEscolas[[#This Row],[ESCOLA]],tbNucleo[ESCOLA],tbNucleo[COD ESCOLA],"")</f>
        <v/>
      </c>
      <c r="B4605" t="str" cm="1">
        <f t="array" ref="B4605">IFERROR(INDEX(tbNucleo[ESCOLA],ROUNDUP(ROW(B4604)/TotalEtapas,0)),"")</f>
        <v/>
      </c>
      <c r="E4605" t="str">
        <f>IFERROR(VLOOKUP(tbEscolas[[#This Row],[COD ETPA]],tbEtapas[],2,FALSE),"")</f>
        <v/>
      </c>
      <c r="F4605" t="str">
        <f>IFERROR(VLOOKUP(tbEscolas[[#This Row],[COD ETPA]],tbEtapas[],3,FALSE),"")</f>
        <v/>
      </c>
    </row>
    <row r="4606" spans="1:6" x14ac:dyDescent="0.25">
      <c r="A4606" s="24" t="str">
        <f>_xlfn.XLOOKUP(tbEscolas[[#This Row],[ESCOLA]],tbNucleo[ESCOLA],tbNucleo[COD ESCOLA],"")</f>
        <v/>
      </c>
      <c r="B4606" t="str" cm="1">
        <f t="array" ref="B4606">IFERROR(INDEX(tbNucleo[ESCOLA],ROUNDUP(ROW(B4605)/TotalEtapas,0)),"")</f>
        <v/>
      </c>
      <c r="E4606" t="str">
        <f>IFERROR(VLOOKUP(tbEscolas[[#This Row],[COD ETPA]],tbEtapas[],2,FALSE),"")</f>
        <v/>
      </c>
      <c r="F4606" t="str">
        <f>IFERROR(VLOOKUP(tbEscolas[[#This Row],[COD ETPA]],tbEtapas[],3,FALSE),"")</f>
        <v/>
      </c>
    </row>
    <row r="4607" spans="1:6" x14ac:dyDescent="0.25">
      <c r="A4607" s="24" t="str">
        <f>_xlfn.XLOOKUP(tbEscolas[[#This Row],[ESCOLA]],tbNucleo[ESCOLA],tbNucleo[COD ESCOLA],"")</f>
        <v/>
      </c>
      <c r="B4607" t="str" cm="1">
        <f t="array" ref="B4607">IFERROR(INDEX(tbNucleo[ESCOLA],ROUNDUP(ROW(B4606)/TotalEtapas,0)),"")</f>
        <v/>
      </c>
      <c r="E4607" t="str">
        <f>IFERROR(VLOOKUP(tbEscolas[[#This Row],[COD ETPA]],tbEtapas[],2,FALSE),"")</f>
        <v/>
      </c>
      <c r="F4607" t="str">
        <f>IFERROR(VLOOKUP(tbEscolas[[#This Row],[COD ETPA]],tbEtapas[],3,FALSE),"")</f>
        <v/>
      </c>
    </row>
    <row r="4608" spans="1:6" x14ac:dyDescent="0.25">
      <c r="A4608" s="24" t="str">
        <f>_xlfn.XLOOKUP(tbEscolas[[#This Row],[ESCOLA]],tbNucleo[ESCOLA],tbNucleo[COD ESCOLA],"")</f>
        <v/>
      </c>
      <c r="B4608" t="str" cm="1">
        <f t="array" ref="B4608">IFERROR(INDEX(tbNucleo[ESCOLA],ROUNDUP(ROW(B4607)/TotalEtapas,0)),"")</f>
        <v/>
      </c>
      <c r="E4608" t="str">
        <f>IFERROR(VLOOKUP(tbEscolas[[#This Row],[COD ETPA]],tbEtapas[],2,FALSE),"")</f>
        <v/>
      </c>
      <c r="F4608" t="str">
        <f>IFERROR(VLOOKUP(tbEscolas[[#This Row],[COD ETPA]],tbEtapas[],3,FALSE),"")</f>
        <v/>
      </c>
    </row>
    <row r="4609" spans="1:6" x14ac:dyDescent="0.25">
      <c r="A4609" s="24" t="str">
        <f>_xlfn.XLOOKUP(tbEscolas[[#This Row],[ESCOLA]],tbNucleo[ESCOLA],tbNucleo[COD ESCOLA],"")</f>
        <v/>
      </c>
      <c r="B4609" t="str" cm="1">
        <f t="array" ref="B4609">IFERROR(INDEX(tbNucleo[ESCOLA],ROUNDUP(ROW(B4608)/TotalEtapas,0)),"")</f>
        <v/>
      </c>
      <c r="E4609" t="str">
        <f>IFERROR(VLOOKUP(tbEscolas[[#This Row],[COD ETPA]],tbEtapas[],2,FALSE),"")</f>
        <v/>
      </c>
      <c r="F4609" t="str">
        <f>IFERROR(VLOOKUP(tbEscolas[[#This Row],[COD ETPA]],tbEtapas[],3,FALSE),"")</f>
        <v/>
      </c>
    </row>
    <row r="4610" spans="1:6" x14ac:dyDescent="0.25">
      <c r="A4610" s="24" t="str">
        <f>_xlfn.XLOOKUP(tbEscolas[[#This Row],[ESCOLA]],tbNucleo[ESCOLA],tbNucleo[COD ESCOLA],"")</f>
        <v/>
      </c>
      <c r="B4610" t="str" cm="1">
        <f t="array" ref="B4610">IFERROR(INDEX(tbNucleo[ESCOLA],ROUNDUP(ROW(B4609)/TotalEtapas,0)),"")</f>
        <v/>
      </c>
      <c r="E4610" t="str">
        <f>IFERROR(VLOOKUP(tbEscolas[[#This Row],[COD ETPA]],tbEtapas[],2,FALSE),"")</f>
        <v/>
      </c>
      <c r="F4610" t="str">
        <f>IFERROR(VLOOKUP(tbEscolas[[#This Row],[COD ETPA]],tbEtapas[],3,FALSE),"")</f>
        <v/>
      </c>
    </row>
    <row r="4611" spans="1:6" x14ac:dyDescent="0.25">
      <c r="A4611" s="24" t="str">
        <f>_xlfn.XLOOKUP(tbEscolas[[#This Row],[ESCOLA]],tbNucleo[ESCOLA],tbNucleo[COD ESCOLA],"")</f>
        <v/>
      </c>
      <c r="B4611" t="str" cm="1">
        <f t="array" ref="B4611">IFERROR(INDEX(tbNucleo[ESCOLA],ROUNDUP(ROW(B4610)/TotalEtapas,0)),"")</f>
        <v/>
      </c>
      <c r="E4611" t="str">
        <f>IFERROR(VLOOKUP(tbEscolas[[#This Row],[COD ETPA]],tbEtapas[],2,FALSE),"")</f>
        <v/>
      </c>
      <c r="F4611" t="str">
        <f>IFERROR(VLOOKUP(tbEscolas[[#This Row],[COD ETPA]],tbEtapas[],3,FALSE),"")</f>
        <v/>
      </c>
    </row>
    <row r="4612" spans="1:6" x14ac:dyDescent="0.25">
      <c r="A4612" s="24" t="str">
        <f>_xlfn.XLOOKUP(tbEscolas[[#This Row],[ESCOLA]],tbNucleo[ESCOLA],tbNucleo[COD ESCOLA],"")</f>
        <v/>
      </c>
      <c r="B4612" t="str" cm="1">
        <f t="array" ref="B4612">IFERROR(INDEX(tbNucleo[ESCOLA],ROUNDUP(ROW(B4611)/TotalEtapas,0)),"")</f>
        <v/>
      </c>
      <c r="E4612" t="str">
        <f>IFERROR(VLOOKUP(tbEscolas[[#This Row],[COD ETPA]],tbEtapas[],2,FALSE),"")</f>
        <v/>
      </c>
      <c r="F4612" t="str">
        <f>IFERROR(VLOOKUP(tbEscolas[[#This Row],[COD ETPA]],tbEtapas[],3,FALSE),"")</f>
        <v/>
      </c>
    </row>
    <row r="4613" spans="1:6" x14ac:dyDescent="0.25">
      <c r="A4613" s="24" t="str">
        <f>_xlfn.XLOOKUP(tbEscolas[[#This Row],[ESCOLA]],tbNucleo[ESCOLA],tbNucleo[COD ESCOLA],"")</f>
        <v/>
      </c>
      <c r="B4613" t="str" cm="1">
        <f t="array" ref="B4613">IFERROR(INDEX(tbNucleo[ESCOLA],ROUNDUP(ROW(B4612)/TotalEtapas,0)),"")</f>
        <v/>
      </c>
      <c r="E4613" t="str">
        <f>IFERROR(VLOOKUP(tbEscolas[[#This Row],[COD ETPA]],tbEtapas[],2,FALSE),"")</f>
        <v/>
      </c>
      <c r="F4613" t="str">
        <f>IFERROR(VLOOKUP(tbEscolas[[#This Row],[COD ETPA]],tbEtapas[],3,FALSE),"")</f>
        <v/>
      </c>
    </row>
    <row r="4614" spans="1:6" x14ac:dyDescent="0.25">
      <c r="A4614" s="24" t="str">
        <f>_xlfn.XLOOKUP(tbEscolas[[#This Row],[ESCOLA]],tbNucleo[ESCOLA],tbNucleo[COD ESCOLA],"")</f>
        <v/>
      </c>
      <c r="B4614" t="str" cm="1">
        <f t="array" ref="B4614">IFERROR(INDEX(tbNucleo[ESCOLA],ROUNDUP(ROW(B4613)/TotalEtapas,0)),"")</f>
        <v/>
      </c>
      <c r="E4614" t="str">
        <f>IFERROR(VLOOKUP(tbEscolas[[#This Row],[COD ETPA]],tbEtapas[],2,FALSE),"")</f>
        <v/>
      </c>
      <c r="F4614" t="str">
        <f>IFERROR(VLOOKUP(tbEscolas[[#This Row],[COD ETPA]],tbEtapas[],3,FALSE),"")</f>
        <v/>
      </c>
    </row>
    <row r="4615" spans="1:6" x14ac:dyDescent="0.25">
      <c r="A4615" s="24" t="str">
        <f>_xlfn.XLOOKUP(tbEscolas[[#This Row],[ESCOLA]],tbNucleo[ESCOLA],tbNucleo[COD ESCOLA],"")</f>
        <v/>
      </c>
      <c r="B4615" t="str" cm="1">
        <f t="array" ref="B4615">IFERROR(INDEX(tbNucleo[ESCOLA],ROUNDUP(ROW(B4614)/TotalEtapas,0)),"")</f>
        <v/>
      </c>
      <c r="E4615" t="str">
        <f>IFERROR(VLOOKUP(tbEscolas[[#This Row],[COD ETPA]],tbEtapas[],2,FALSE),"")</f>
        <v/>
      </c>
      <c r="F4615" t="str">
        <f>IFERROR(VLOOKUP(tbEscolas[[#This Row],[COD ETPA]],tbEtapas[],3,FALSE),"")</f>
        <v/>
      </c>
    </row>
    <row r="4616" spans="1:6" x14ac:dyDescent="0.25">
      <c r="A4616" s="24" t="str">
        <f>_xlfn.XLOOKUP(tbEscolas[[#This Row],[ESCOLA]],tbNucleo[ESCOLA],tbNucleo[COD ESCOLA],"")</f>
        <v/>
      </c>
      <c r="B4616" t="str" cm="1">
        <f t="array" ref="B4616">IFERROR(INDEX(tbNucleo[ESCOLA],ROUNDUP(ROW(B4615)/TotalEtapas,0)),"")</f>
        <v/>
      </c>
      <c r="E4616" t="str">
        <f>IFERROR(VLOOKUP(tbEscolas[[#This Row],[COD ETPA]],tbEtapas[],2,FALSE),"")</f>
        <v/>
      </c>
      <c r="F4616" t="str">
        <f>IFERROR(VLOOKUP(tbEscolas[[#This Row],[COD ETPA]],tbEtapas[],3,FALSE),"")</f>
        <v/>
      </c>
    </row>
    <row r="4617" spans="1:6" x14ac:dyDescent="0.25">
      <c r="A4617" s="24" t="str">
        <f>_xlfn.XLOOKUP(tbEscolas[[#This Row],[ESCOLA]],tbNucleo[ESCOLA],tbNucleo[COD ESCOLA],"")</f>
        <v/>
      </c>
      <c r="B4617" t="str" cm="1">
        <f t="array" ref="B4617">IFERROR(INDEX(tbNucleo[ESCOLA],ROUNDUP(ROW(B4616)/TotalEtapas,0)),"")</f>
        <v/>
      </c>
      <c r="E4617" t="str">
        <f>IFERROR(VLOOKUP(tbEscolas[[#This Row],[COD ETPA]],tbEtapas[],2,FALSE),"")</f>
        <v/>
      </c>
      <c r="F4617" t="str">
        <f>IFERROR(VLOOKUP(tbEscolas[[#This Row],[COD ETPA]],tbEtapas[],3,FALSE),"")</f>
        <v/>
      </c>
    </row>
    <row r="4618" spans="1:6" x14ac:dyDescent="0.25">
      <c r="A4618" s="24" t="str">
        <f>_xlfn.XLOOKUP(tbEscolas[[#This Row],[ESCOLA]],tbNucleo[ESCOLA],tbNucleo[COD ESCOLA],"")</f>
        <v/>
      </c>
      <c r="B4618" t="str" cm="1">
        <f t="array" ref="B4618">IFERROR(INDEX(tbNucleo[ESCOLA],ROUNDUP(ROW(B4617)/TotalEtapas,0)),"")</f>
        <v/>
      </c>
      <c r="E4618" t="str">
        <f>IFERROR(VLOOKUP(tbEscolas[[#This Row],[COD ETPA]],tbEtapas[],2,FALSE),"")</f>
        <v/>
      </c>
      <c r="F4618" t="str">
        <f>IFERROR(VLOOKUP(tbEscolas[[#This Row],[COD ETPA]],tbEtapas[],3,FALSE),"")</f>
        <v/>
      </c>
    </row>
    <row r="4619" spans="1:6" x14ac:dyDescent="0.25">
      <c r="A4619" s="24" t="str">
        <f>_xlfn.XLOOKUP(tbEscolas[[#This Row],[ESCOLA]],tbNucleo[ESCOLA],tbNucleo[COD ESCOLA],"")</f>
        <v/>
      </c>
      <c r="B4619" t="str" cm="1">
        <f t="array" ref="B4619">IFERROR(INDEX(tbNucleo[ESCOLA],ROUNDUP(ROW(B4618)/TotalEtapas,0)),"")</f>
        <v/>
      </c>
      <c r="E4619" t="str">
        <f>IFERROR(VLOOKUP(tbEscolas[[#This Row],[COD ETPA]],tbEtapas[],2,FALSE),"")</f>
        <v/>
      </c>
      <c r="F4619" t="str">
        <f>IFERROR(VLOOKUP(tbEscolas[[#This Row],[COD ETPA]],tbEtapas[],3,FALSE),"")</f>
        <v/>
      </c>
    </row>
    <row r="4620" spans="1:6" x14ac:dyDescent="0.25">
      <c r="A4620" s="24" t="str">
        <f>_xlfn.XLOOKUP(tbEscolas[[#This Row],[ESCOLA]],tbNucleo[ESCOLA],tbNucleo[COD ESCOLA],"")</f>
        <v/>
      </c>
      <c r="B4620" t="str" cm="1">
        <f t="array" ref="B4620">IFERROR(INDEX(tbNucleo[ESCOLA],ROUNDUP(ROW(B4619)/TotalEtapas,0)),"")</f>
        <v/>
      </c>
      <c r="E4620" t="str">
        <f>IFERROR(VLOOKUP(tbEscolas[[#This Row],[COD ETPA]],tbEtapas[],2,FALSE),"")</f>
        <v/>
      </c>
      <c r="F4620" t="str">
        <f>IFERROR(VLOOKUP(tbEscolas[[#This Row],[COD ETPA]],tbEtapas[],3,FALSE),"")</f>
        <v/>
      </c>
    </row>
    <row r="4621" spans="1:6" x14ac:dyDescent="0.25">
      <c r="A4621" s="24" t="str">
        <f>_xlfn.XLOOKUP(tbEscolas[[#This Row],[ESCOLA]],tbNucleo[ESCOLA],tbNucleo[COD ESCOLA],"")</f>
        <v/>
      </c>
      <c r="B4621" t="str" cm="1">
        <f t="array" ref="B4621">IFERROR(INDEX(tbNucleo[ESCOLA],ROUNDUP(ROW(B4620)/TotalEtapas,0)),"")</f>
        <v/>
      </c>
      <c r="E4621" t="str">
        <f>IFERROR(VLOOKUP(tbEscolas[[#This Row],[COD ETPA]],tbEtapas[],2,FALSE),"")</f>
        <v/>
      </c>
      <c r="F4621" t="str">
        <f>IFERROR(VLOOKUP(tbEscolas[[#This Row],[COD ETPA]],tbEtapas[],3,FALSE),"")</f>
        <v/>
      </c>
    </row>
    <row r="4622" spans="1:6" x14ac:dyDescent="0.25">
      <c r="A4622" s="24" t="str">
        <f>_xlfn.XLOOKUP(tbEscolas[[#This Row],[ESCOLA]],tbNucleo[ESCOLA],tbNucleo[COD ESCOLA],"")</f>
        <v/>
      </c>
      <c r="B4622" t="str" cm="1">
        <f t="array" ref="B4622">IFERROR(INDEX(tbNucleo[ESCOLA],ROUNDUP(ROW(B4621)/TotalEtapas,0)),"")</f>
        <v/>
      </c>
      <c r="E4622" t="str">
        <f>IFERROR(VLOOKUP(tbEscolas[[#This Row],[COD ETPA]],tbEtapas[],2,FALSE),"")</f>
        <v/>
      </c>
      <c r="F4622" t="str">
        <f>IFERROR(VLOOKUP(tbEscolas[[#This Row],[COD ETPA]],tbEtapas[],3,FALSE),"")</f>
        <v/>
      </c>
    </row>
    <row r="4623" spans="1:6" x14ac:dyDescent="0.25">
      <c r="A4623" s="24" t="str">
        <f>_xlfn.XLOOKUP(tbEscolas[[#This Row],[ESCOLA]],tbNucleo[ESCOLA],tbNucleo[COD ESCOLA],"")</f>
        <v/>
      </c>
      <c r="B4623" t="str" cm="1">
        <f t="array" ref="B4623">IFERROR(INDEX(tbNucleo[ESCOLA],ROUNDUP(ROW(B4622)/TotalEtapas,0)),"")</f>
        <v/>
      </c>
      <c r="E4623" t="str">
        <f>IFERROR(VLOOKUP(tbEscolas[[#This Row],[COD ETPA]],tbEtapas[],2,FALSE),"")</f>
        <v/>
      </c>
      <c r="F4623" t="str">
        <f>IFERROR(VLOOKUP(tbEscolas[[#This Row],[COD ETPA]],tbEtapas[],3,FALSE),"")</f>
        <v/>
      </c>
    </row>
    <row r="4624" spans="1:6" x14ac:dyDescent="0.25">
      <c r="A4624" s="24" t="str">
        <f>_xlfn.XLOOKUP(tbEscolas[[#This Row],[ESCOLA]],tbNucleo[ESCOLA],tbNucleo[COD ESCOLA],"")</f>
        <v/>
      </c>
      <c r="B4624" t="str" cm="1">
        <f t="array" ref="B4624">IFERROR(INDEX(tbNucleo[ESCOLA],ROUNDUP(ROW(B4623)/TotalEtapas,0)),"")</f>
        <v/>
      </c>
      <c r="E4624" t="str">
        <f>IFERROR(VLOOKUP(tbEscolas[[#This Row],[COD ETPA]],tbEtapas[],2,FALSE),"")</f>
        <v/>
      </c>
      <c r="F4624" t="str">
        <f>IFERROR(VLOOKUP(tbEscolas[[#This Row],[COD ETPA]],tbEtapas[],3,FALSE),"")</f>
        <v/>
      </c>
    </row>
    <row r="4625" spans="1:6" x14ac:dyDescent="0.25">
      <c r="A4625" s="24" t="str">
        <f>_xlfn.XLOOKUP(tbEscolas[[#This Row],[ESCOLA]],tbNucleo[ESCOLA],tbNucleo[COD ESCOLA],"")</f>
        <v/>
      </c>
      <c r="B4625" t="str" cm="1">
        <f t="array" ref="B4625">IFERROR(INDEX(tbNucleo[ESCOLA],ROUNDUP(ROW(B4624)/TotalEtapas,0)),"")</f>
        <v/>
      </c>
      <c r="E4625" t="str">
        <f>IFERROR(VLOOKUP(tbEscolas[[#This Row],[COD ETPA]],tbEtapas[],2,FALSE),"")</f>
        <v/>
      </c>
      <c r="F4625" t="str">
        <f>IFERROR(VLOOKUP(tbEscolas[[#This Row],[COD ETPA]],tbEtapas[],3,FALSE),"")</f>
        <v/>
      </c>
    </row>
    <row r="4626" spans="1:6" x14ac:dyDescent="0.25">
      <c r="A4626" s="24" t="str">
        <f>_xlfn.XLOOKUP(tbEscolas[[#This Row],[ESCOLA]],tbNucleo[ESCOLA],tbNucleo[COD ESCOLA],"")</f>
        <v/>
      </c>
      <c r="B4626" t="str" cm="1">
        <f t="array" ref="B4626">IFERROR(INDEX(tbNucleo[ESCOLA],ROUNDUP(ROW(B4625)/TotalEtapas,0)),"")</f>
        <v/>
      </c>
      <c r="E4626" t="str">
        <f>IFERROR(VLOOKUP(tbEscolas[[#This Row],[COD ETPA]],tbEtapas[],2,FALSE),"")</f>
        <v/>
      </c>
      <c r="F4626" t="str">
        <f>IFERROR(VLOOKUP(tbEscolas[[#This Row],[COD ETPA]],tbEtapas[],3,FALSE),"")</f>
        <v/>
      </c>
    </row>
    <row r="4627" spans="1:6" x14ac:dyDescent="0.25">
      <c r="A4627" s="24" t="str">
        <f>_xlfn.XLOOKUP(tbEscolas[[#This Row],[ESCOLA]],tbNucleo[ESCOLA],tbNucleo[COD ESCOLA],"")</f>
        <v/>
      </c>
      <c r="B4627" t="str" cm="1">
        <f t="array" ref="B4627">IFERROR(INDEX(tbNucleo[ESCOLA],ROUNDUP(ROW(B4626)/TotalEtapas,0)),"")</f>
        <v/>
      </c>
      <c r="E4627" t="str">
        <f>IFERROR(VLOOKUP(tbEscolas[[#This Row],[COD ETPA]],tbEtapas[],2,FALSE),"")</f>
        <v/>
      </c>
      <c r="F4627" t="str">
        <f>IFERROR(VLOOKUP(tbEscolas[[#This Row],[COD ETPA]],tbEtapas[],3,FALSE),"")</f>
        <v/>
      </c>
    </row>
    <row r="4628" spans="1:6" x14ac:dyDescent="0.25">
      <c r="A4628" s="24" t="str">
        <f>_xlfn.XLOOKUP(tbEscolas[[#This Row],[ESCOLA]],tbNucleo[ESCOLA],tbNucleo[COD ESCOLA],"")</f>
        <v/>
      </c>
      <c r="B4628" t="str" cm="1">
        <f t="array" ref="B4628">IFERROR(INDEX(tbNucleo[ESCOLA],ROUNDUP(ROW(B4627)/TotalEtapas,0)),"")</f>
        <v/>
      </c>
      <c r="E4628" t="str">
        <f>IFERROR(VLOOKUP(tbEscolas[[#This Row],[COD ETPA]],tbEtapas[],2,FALSE),"")</f>
        <v/>
      </c>
      <c r="F4628" t="str">
        <f>IFERROR(VLOOKUP(tbEscolas[[#This Row],[COD ETPA]],tbEtapas[],3,FALSE),"")</f>
        <v/>
      </c>
    </row>
    <row r="4629" spans="1:6" x14ac:dyDescent="0.25">
      <c r="A4629" s="24" t="str">
        <f>_xlfn.XLOOKUP(tbEscolas[[#This Row],[ESCOLA]],tbNucleo[ESCOLA],tbNucleo[COD ESCOLA],"")</f>
        <v/>
      </c>
      <c r="B4629" t="str" cm="1">
        <f t="array" ref="B4629">IFERROR(INDEX(tbNucleo[ESCOLA],ROUNDUP(ROW(B4628)/TotalEtapas,0)),"")</f>
        <v/>
      </c>
      <c r="E4629" t="str">
        <f>IFERROR(VLOOKUP(tbEscolas[[#This Row],[COD ETPA]],tbEtapas[],2,FALSE),"")</f>
        <v/>
      </c>
      <c r="F4629" t="str">
        <f>IFERROR(VLOOKUP(tbEscolas[[#This Row],[COD ETPA]],tbEtapas[],3,FALSE),"")</f>
        <v/>
      </c>
    </row>
    <row r="4630" spans="1:6" x14ac:dyDescent="0.25">
      <c r="A4630" s="24" t="str">
        <f>_xlfn.XLOOKUP(tbEscolas[[#This Row],[ESCOLA]],tbNucleo[ESCOLA],tbNucleo[COD ESCOLA],"")</f>
        <v/>
      </c>
      <c r="B4630" t="str" cm="1">
        <f t="array" ref="B4630">IFERROR(INDEX(tbNucleo[ESCOLA],ROUNDUP(ROW(B4629)/TotalEtapas,0)),"")</f>
        <v/>
      </c>
      <c r="E4630" t="str">
        <f>IFERROR(VLOOKUP(tbEscolas[[#This Row],[COD ETPA]],tbEtapas[],2,FALSE),"")</f>
        <v/>
      </c>
      <c r="F4630" t="str">
        <f>IFERROR(VLOOKUP(tbEscolas[[#This Row],[COD ETPA]],tbEtapas[],3,FALSE),"")</f>
        <v/>
      </c>
    </row>
    <row r="4631" spans="1:6" x14ac:dyDescent="0.25">
      <c r="A4631" s="24" t="str">
        <f>_xlfn.XLOOKUP(tbEscolas[[#This Row],[ESCOLA]],tbNucleo[ESCOLA],tbNucleo[COD ESCOLA],"")</f>
        <v/>
      </c>
      <c r="B4631" t="str" cm="1">
        <f t="array" ref="B4631">IFERROR(INDEX(tbNucleo[ESCOLA],ROUNDUP(ROW(B4630)/TotalEtapas,0)),"")</f>
        <v/>
      </c>
      <c r="E4631" t="str">
        <f>IFERROR(VLOOKUP(tbEscolas[[#This Row],[COD ETPA]],tbEtapas[],2,FALSE),"")</f>
        <v/>
      </c>
      <c r="F4631" t="str">
        <f>IFERROR(VLOOKUP(tbEscolas[[#This Row],[COD ETPA]],tbEtapas[],3,FALSE),"")</f>
        <v/>
      </c>
    </row>
    <row r="4632" spans="1:6" x14ac:dyDescent="0.25">
      <c r="A4632" s="24" t="str">
        <f>_xlfn.XLOOKUP(tbEscolas[[#This Row],[ESCOLA]],tbNucleo[ESCOLA],tbNucleo[COD ESCOLA],"")</f>
        <v/>
      </c>
      <c r="B4632" t="str" cm="1">
        <f t="array" ref="B4632">IFERROR(INDEX(tbNucleo[ESCOLA],ROUNDUP(ROW(B4631)/TotalEtapas,0)),"")</f>
        <v/>
      </c>
      <c r="E4632" t="str">
        <f>IFERROR(VLOOKUP(tbEscolas[[#This Row],[COD ETPA]],tbEtapas[],2,FALSE),"")</f>
        <v/>
      </c>
      <c r="F4632" t="str">
        <f>IFERROR(VLOOKUP(tbEscolas[[#This Row],[COD ETPA]],tbEtapas[],3,FALSE),"")</f>
        <v/>
      </c>
    </row>
    <row r="4633" spans="1:6" x14ac:dyDescent="0.25">
      <c r="A4633" s="24" t="str">
        <f>_xlfn.XLOOKUP(tbEscolas[[#This Row],[ESCOLA]],tbNucleo[ESCOLA],tbNucleo[COD ESCOLA],"")</f>
        <v/>
      </c>
      <c r="B4633" t="str" cm="1">
        <f t="array" ref="B4633">IFERROR(INDEX(tbNucleo[ESCOLA],ROUNDUP(ROW(B4632)/TotalEtapas,0)),"")</f>
        <v/>
      </c>
      <c r="E4633" t="str">
        <f>IFERROR(VLOOKUP(tbEscolas[[#This Row],[COD ETPA]],tbEtapas[],2,FALSE),"")</f>
        <v/>
      </c>
      <c r="F4633" t="str">
        <f>IFERROR(VLOOKUP(tbEscolas[[#This Row],[COD ETPA]],tbEtapas[],3,FALSE),"")</f>
        <v/>
      </c>
    </row>
    <row r="4634" spans="1:6" x14ac:dyDescent="0.25">
      <c r="A4634" s="24" t="str">
        <f>_xlfn.XLOOKUP(tbEscolas[[#This Row],[ESCOLA]],tbNucleo[ESCOLA],tbNucleo[COD ESCOLA],"")</f>
        <v/>
      </c>
      <c r="B4634" t="str" cm="1">
        <f t="array" ref="B4634">IFERROR(INDEX(tbNucleo[ESCOLA],ROUNDUP(ROW(B4633)/TotalEtapas,0)),"")</f>
        <v/>
      </c>
      <c r="E4634" t="str">
        <f>IFERROR(VLOOKUP(tbEscolas[[#This Row],[COD ETPA]],tbEtapas[],2,FALSE),"")</f>
        <v/>
      </c>
      <c r="F4634" t="str">
        <f>IFERROR(VLOOKUP(tbEscolas[[#This Row],[COD ETPA]],tbEtapas[],3,FALSE),"")</f>
        <v/>
      </c>
    </row>
    <row r="4635" spans="1:6" x14ac:dyDescent="0.25">
      <c r="A4635" s="24" t="str">
        <f>_xlfn.XLOOKUP(tbEscolas[[#This Row],[ESCOLA]],tbNucleo[ESCOLA],tbNucleo[COD ESCOLA],"")</f>
        <v/>
      </c>
      <c r="B4635" t="str" cm="1">
        <f t="array" ref="B4635">IFERROR(INDEX(tbNucleo[ESCOLA],ROUNDUP(ROW(B4634)/TotalEtapas,0)),"")</f>
        <v/>
      </c>
      <c r="E4635" t="str">
        <f>IFERROR(VLOOKUP(tbEscolas[[#This Row],[COD ETPA]],tbEtapas[],2,FALSE),"")</f>
        <v/>
      </c>
      <c r="F4635" t="str">
        <f>IFERROR(VLOOKUP(tbEscolas[[#This Row],[COD ETPA]],tbEtapas[],3,FALSE),"")</f>
        <v/>
      </c>
    </row>
    <row r="4636" spans="1:6" x14ac:dyDescent="0.25">
      <c r="A4636" s="24" t="str">
        <f>_xlfn.XLOOKUP(tbEscolas[[#This Row],[ESCOLA]],tbNucleo[ESCOLA],tbNucleo[COD ESCOLA],"")</f>
        <v/>
      </c>
      <c r="B4636" t="str" cm="1">
        <f t="array" ref="B4636">IFERROR(INDEX(tbNucleo[ESCOLA],ROUNDUP(ROW(B4635)/TotalEtapas,0)),"")</f>
        <v/>
      </c>
      <c r="E4636" t="str">
        <f>IFERROR(VLOOKUP(tbEscolas[[#This Row],[COD ETPA]],tbEtapas[],2,FALSE),"")</f>
        <v/>
      </c>
      <c r="F4636" t="str">
        <f>IFERROR(VLOOKUP(tbEscolas[[#This Row],[COD ETPA]],tbEtapas[],3,FALSE),"")</f>
        <v/>
      </c>
    </row>
    <row r="4637" spans="1:6" x14ac:dyDescent="0.25">
      <c r="A4637" s="24" t="str">
        <f>_xlfn.XLOOKUP(tbEscolas[[#This Row],[ESCOLA]],tbNucleo[ESCOLA],tbNucleo[COD ESCOLA],"")</f>
        <v/>
      </c>
      <c r="B4637" t="str" cm="1">
        <f t="array" ref="B4637">IFERROR(INDEX(tbNucleo[ESCOLA],ROUNDUP(ROW(B4636)/TotalEtapas,0)),"")</f>
        <v/>
      </c>
      <c r="E4637" t="str">
        <f>IFERROR(VLOOKUP(tbEscolas[[#This Row],[COD ETPA]],tbEtapas[],2,FALSE),"")</f>
        <v/>
      </c>
      <c r="F4637" t="str">
        <f>IFERROR(VLOOKUP(tbEscolas[[#This Row],[COD ETPA]],tbEtapas[],3,FALSE),"")</f>
        <v/>
      </c>
    </row>
    <row r="4638" spans="1:6" x14ac:dyDescent="0.25">
      <c r="A4638" s="24" t="str">
        <f>_xlfn.XLOOKUP(tbEscolas[[#This Row],[ESCOLA]],tbNucleo[ESCOLA],tbNucleo[COD ESCOLA],"")</f>
        <v/>
      </c>
      <c r="B4638" t="str" cm="1">
        <f t="array" ref="B4638">IFERROR(INDEX(tbNucleo[ESCOLA],ROUNDUP(ROW(B4637)/TotalEtapas,0)),"")</f>
        <v/>
      </c>
      <c r="E4638" t="str">
        <f>IFERROR(VLOOKUP(tbEscolas[[#This Row],[COD ETPA]],tbEtapas[],2,FALSE),"")</f>
        <v/>
      </c>
      <c r="F4638" t="str">
        <f>IFERROR(VLOOKUP(tbEscolas[[#This Row],[COD ETPA]],tbEtapas[],3,FALSE),"")</f>
        <v/>
      </c>
    </row>
    <row r="4639" spans="1:6" x14ac:dyDescent="0.25">
      <c r="A4639" s="24" t="str">
        <f>_xlfn.XLOOKUP(tbEscolas[[#This Row],[ESCOLA]],tbNucleo[ESCOLA],tbNucleo[COD ESCOLA],"")</f>
        <v/>
      </c>
      <c r="B4639" t="str" cm="1">
        <f t="array" ref="B4639">IFERROR(INDEX(tbNucleo[ESCOLA],ROUNDUP(ROW(B4638)/TotalEtapas,0)),"")</f>
        <v/>
      </c>
      <c r="E4639" t="str">
        <f>IFERROR(VLOOKUP(tbEscolas[[#This Row],[COD ETPA]],tbEtapas[],2,FALSE),"")</f>
        <v/>
      </c>
      <c r="F4639" t="str">
        <f>IFERROR(VLOOKUP(tbEscolas[[#This Row],[COD ETPA]],tbEtapas[],3,FALSE),"")</f>
        <v/>
      </c>
    </row>
    <row r="4640" spans="1:6" x14ac:dyDescent="0.25">
      <c r="A4640" s="24" t="str">
        <f>_xlfn.XLOOKUP(tbEscolas[[#This Row],[ESCOLA]],tbNucleo[ESCOLA],tbNucleo[COD ESCOLA],"")</f>
        <v/>
      </c>
      <c r="B4640" t="str" cm="1">
        <f t="array" ref="B4640">IFERROR(INDEX(tbNucleo[ESCOLA],ROUNDUP(ROW(B4639)/TotalEtapas,0)),"")</f>
        <v/>
      </c>
      <c r="E4640" t="str">
        <f>IFERROR(VLOOKUP(tbEscolas[[#This Row],[COD ETPA]],tbEtapas[],2,FALSE),"")</f>
        <v/>
      </c>
      <c r="F4640" t="str">
        <f>IFERROR(VLOOKUP(tbEscolas[[#This Row],[COD ETPA]],tbEtapas[],3,FALSE),"")</f>
        <v/>
      </c>
    </row>
    <row r="4641" spans="1:6" x14ac:dyDescent="0.25">
      <c r="A4641" s="24" t="str">
        <f>_xlfn.XLOOKUP(tbEscolas[[#This Row],[ESCOLA]],tbNucleo[ESCOLA],tbNucleo[COD ESCOLA],"")</f>
        <v/>
      </c>
      <c r="B4641" t="str" cm="1">
        <f t="array" ref="B4641">IFERROR(INDEX(tbNucleo[ESCOLA],ROUNDUP(ROW(B4640)/TotalEtapas,0)),"")</f>
        <v/>
      </c>
      <c r="E4641" t="str">
        <f>IFERROR(VLOOKUP(tbEscolas[[#This Row],[COD ETPA]],tbEtapas[],2,FALSE),"")</f>
        <v/>
      </c>
      <c r="F4641" t="str">
        <f>IFERROR(VLOOKUP(tbEscolas[[#This Row],[COD ETPA]],tbEtapas[],3,FALSE),"")</f>
        <v/>
      </c>
    </row>
    <row r="4642" spans="1:6" x14ac:dyDescent="0.25">
      <c r="A4642" s="24" t="str">
        <f>_xlfn.XLOOKUP(tbEscolas[[#This Row],[ESCOLA]],tbNucleo[ESCOLA],tbNucleo[COD ESCOLA],"")</f>
        <v/>
      </c>
      <c r="B4642" t="str" cm="1">
        <f t="array" ref="B4642">IFERROR(INDEX(tbNucleo[ESCOLA],ROUNDUP(ROW(B4641)/TotalEtapas,0)),"")</f>
        <v/>
      </c>
      <c r="E4642" t="str">
        <f>IFERROR(VLOOKUP(tbEscolas[[#This Row],[COD ETPA]],tbEtapas[],2,FALSE),"")</f>
        <v/>
      </c>
      <c r="F4642" t="str">
        <f>IFERROR(VLOOKUP(tbEscolas[[#This Row],[COD ETPA]],tbEtapas[],3,FALSE),"")</f>
        <v/>
      </c>
    </row>
    <row r="4643" spans="1:6" x14ac:dyDescent="0.25">
      <c r="A4643" s="24" t="str">
        <f>_xlfn.XLOOKUP(tbEscolas[[#This Row],[ESCOLA]],tbNucleo[ESCOLA],tbNucleo[COD ESCOLA],"")</f>
        <v/>
      </c>
      <c r="B4643" t="str" cm="1">
        <f t="array" ref="B4643">IFERROR(INDEX(tbNucleo[ESCOLA],ROUNDUP(ROW(B4642)/TotalEtapas,0)),"")</f>
        <v/>
      </c>
      <c r="E4643" t="str">
        <f>IFERROR(VLOOKUP(tbEscolas[[#This Row],[COD ETPA]],tbEtapas[],2,FALSE),"")</f>
        <v/>
      </c>
      <c r="F4643" t="str">
        <f>IFERROR(VLOOKUP(tbEscolas[[#This Row],[COD ETPA]],tbEtapas[],3,FALSE),"")</f>
        <v/>
      </c>
    </row>
    <row r="4644" spans="1:6" x14ac:dyDescent="0.25">
      <c r="A4644" s="24" t="str">
        <f>_xlfn.XLOOKUP(tbEscolas[[#This Row],[ESCOLA]],tbNucleo[ESCOLA],tbNucleo[COD ESCOLA],"")</f>
        <v/>
      </c>
      <c r="B4644" t="str" cm="1">
        <f t="array" ref="B4644">IFERROR(INDEX(tbNucleo[ESCOLA],ROUNDUP(ROW(B4643)/TotalEtapas,0)),"")</f>
        <v/>
      </c>
      <c r="E4644" t="str">
        <f>IFERROR(VLOOKUP(tbEscolas[[#This Row],[COD ETPA]],tbEtapas[],2,FALSE),"")</f>
        <v/>
      </c>
      <c r="F4644" t="str">
        <f>IFERROR(VLOOKUP(tbEscolas[[#This Row],[COD ETPA]],tbEtapas[],3,FALSE),"")</f>
        <v/>
      </c>
    </row>
    <row r="4645" spans="1:6" x14ac:dyDescent="0.25">
      <c r="A4645" s="24" t="str">
        <f>_xlfn.XLOOKUP(tbEscolas[[#This Row],[ESCOLA]],tbNucleo[ESCOLA],tbNucleo[COD ESCOLA],"")</f>
        <v/>
      </c>
      <c r="B4645" t="str" cm="1">
        <f t="array" ref="B4645">IFERROR(INDEX(tbNucleo[ESCOLA],ROUNDUP(ROW(B4644)/TotalEtapas,0)),"")</f>
        <v/>
      </c>
      <c r="E4645" t="str">
        <f>IFERROR(VLOOKUP(tbEscolas[[#This Row],[COD ETPA]],tbEtapas[],2,FALSE),"")</f>
        <v/>
      </c>
      <c r="F4645" t="str">
        <f>IFERROR(VLOOKUP(tbEscolas[[#This Row],[COD ETPA]],tbEtapas[],3,FALSE),"")</f>
        <v/>
      </c>
    </row>
    <row r="4646" spans="1:6" x14ac:dyDescent="0.25">
      <c r="A4646" s="24" t="str">
        <f>_xlfn.XLOOKUP(tbEscolas[[#This Row],[ESCOLA]],tbNucleo[ESCOLA],tbNucleo[COD ESCOLA],"")</f>
        <v/>
      </c>
      <c r="B4646" t="str" cm="1">
        <f t="array" ref="B4646">IFERROR(INDEX(tbNucleo[ESCOLA],ROUNDUP(ROW(B4645)/TotalEtapas,0)),"")</f>
        <v/>
      </c>
      <c r="E4646" t="str">
        <f>IFERROR(VLOOKUP(tbEscolas[[#This Row],[COD ETPA]],tbEtapas[],2,FALSE),"")</f>
        <v/>
      </c>
      <c r="F4646" t="str">
        <f>IFERROR(VLOOKUP(tbEscolas[[#This Row],[COD ETPA]],tbEtapas[],3,FALSE),"")</f>
        <v/>
      </c>
    </row>
    <row r="4647" spans="1:6" x14ac:dyDescent="0.25">
      <c r="A4647" s="24" t="str">
        <f>_xlfn.XLOOKUP(tbEscolas[[#This Row],[ESCOLA]],tbNucleo[ESCOLA],tbNucleo[COD ESCOLA],"")</f>
        <v/>
      </c>
      <c r="B4647" t="str" cm="1">
        <f t="array" ref="B4647">IFERROR(INDEX(tbNucleo[ESCOLA],ROUNDUP(ROW(B4646)/TotalEtapas,0)),"")</f>
        <v/>
      </c>
      <c r="E4647" t="str">
        <f>IFERROR(VLOOKUP(tbEscolas[[#This Row],[COD ETPA]],tbEtapas[],2,FALSE),"")</f>
        <v/>
      </c>
      <c r="F4647" t="str">
        <f>IFERROR(VLOOKUP(tbEscolas[[#This Row],[COD ETPA]],tbEtapas[],3,FALSE),"")</f>
        <v/>
      </c>
    </row>
    <row r="4648" spans="1:6" x14ac:dyDescent="0.25">
      <c r="A4648" s="24" t="str">
        <f>_xlfn.XLOOKUP(tbEscolas[[#This Row],[ESCOLA]],tbNucleo[ESCOLA],tbNucleo[COD ESCOLA],"")</f>
        <v/>
      </c>
      <c r="B4648" t="str" cm="1">
        <f t="array" ref="B4648">IFERROR(INDEX(tbNucleo[ESCOLA],ROUNDUP(ROW(B4647)/TotalEtapas,0)),"")</f>
        <v/>
      </c>
      <c r="E4648" t="str">
        <f>IFERROR(VLOOKUP(tbEscolas[[#This Row],[COD ETPA]],tbEtapas[],2,FALSE),"")</f>
        <v/>
      </c>
      <c r="F4648" t="str">
        <f>IFERROR(VLOOKUP(tbEscolas[[#This Row],[COD ETPA]],tbEtapas[],3,FALSE),"")</f>
        <v/>
      </c>
    </row>
    <row r="4649" spans="1:6" x14ac:dyDescent="0.25">
      <c r="A4649" s="24" t="str">
        <f>_xlfn.XLOOKUP(tbEscolas[[#This Row],[ESCOLA]],tbNucleo[ESCOLA],tbNucleo[COD ESCOLA],"")</f>
        <v/>
      </c>
      <c r="B4649" t="str" cm="1">
        <f t="array" ref="B4649">IFERROR(INDEX(tbNucleo[ESCOLA],ROUNDUP(ROW(B4648)/TotalEtapas,0)),"")</f>
        <v/>
      </c>
      <c r="E4649" t="str">
        <f>IFERROR(VLOOKUP(tbEscolas[[#This Row],[COD ETPA]],tbEtapas[],2,FALSE),"")</f>
        <v/>
      </c>
      <c r="F4649" t="str">
        <f>IFERROR(VLOOKUP(tbEscolas[[#This Row],[COD ETPA]],tbEtapas[],3,FALSE),"")</f>
        <v/>
      </c>
    </row>
    <row r="4650" spans="1:6" x14ac:dyDescent="0.25">
      <c r="A4650" s="24" t="str">
        <f>_xlfn.XLOOKUP(tbEscolas[[#This Row],[ESCOLA]],tbNucleo[ESCOLA],tbNucleo[COD ESCOLA],"")</f>
        <v/>
      </c>
      <c r="B4650" t="str" cm="1">
        <f t="array" ref="B4650">IFERROR(INDEX(tbNucleo[ESCOLA],ROUNDUP(ROW(B4649)/TotalEtapas,0)),"")</f>
        <v/>
      </c>
      <c r="E4650" t="str">
        <f>IFERROR(VLOOKUP(tbEscolas[[#This Row],[COD ETPA]],tbEtapas[],2,FALSE),"")</f>
        <v/>
      </c>
      <c r="F4650" t="str">
        <f>IFERROR(VLOOKUP(tbEscolas[[#This Row],[COD ETPA]],tbEtapas[],3,FALSE),"")</f>
        <v/>
      </c>
    </row>
    <row r="4651" spans="1:6" x14ac:dyDescent="0.25">
      <c r="A4651" s="24" t="str">
        <f>_xlfn.XLOOKUP(tbEscolas[[#This Row],[ESCOLA]],tbNucleo[ESCOLA],tbNucleo[COD ESCOLA],"")</f>
        <v/>
      </c>
      <c r="B4651" t="str" cm="1">
        <f t="array" ref="B4651">IFERROR(INDEX(tbNucleo[ESCOLA],ROUNDUP(ROW(B4650)/TotalEtapas,0)),"")</f>
        <v/>
      </c>
      <c r="E4651" t="str">
        <f>IFERROR(VLOOKUP(tbEscolas[[#This Row],[COD ETPA]],tbEtapas[],2,FALSE),"")</f>
        <v/>
      </c>
      <c r="F4651" t="str">
        <f>IFERROR(VLOOKUP(tbEscolas[[#This Row],[COD ETPA]],tbEtapas[],3,FALSE),"")</f>
        <v/>
      </c>
    </row>
    <row r="4652" spans="1:6" x14ac:dyDescent="0.25">
      <c r="A4652" s="24" t="str">
        <f>_xlfn.XLOOKUP(tbEscolas[[#This Row],[ESCOLA]],tbNucleo[ESCOLA],tbNucleo[COD ESCOLA],"")</f>
        <v/>
      </c>
      <c r="B4652" t="str" cm="1">
        <f t="array" ref="B4652">IFERROR(INDEX(tbNucleo[ESCOLA],ROUNDUP(ROW(B4651)/TotalEtapas,0)),"")</f>
        <v/>
      </c>
      <c r="E4652" t="str">
        <f>IFERROR(VLOOKUP(tbEscolas[[#This Row],[COD ETPA]],tbEtapas[],2,FALSE),"")</f>
        <v/>
      </c>
      <c r="F4652" t="str">
        <f>IFERROR(VLOOKUP(tbEscolas[[#This Row],[COD ETPA]],tbEtapas[],3,FALSE),"")</f>
        <v/>
      </c>
    </row>
    <row r="4653" spans="1:6" x14ac:dyDescent="0.25">
      <c r="A4653" s="24" t="str">
        <f>_xlfn.XLOOKUP(tbEscolas[[#This Row],[ESCOLA]],tbNucleo[ESCOLA],tbNucleo[COD ESCOLA],"")</f>
        <v/>
      </c>
      <c r="B4653" t="str" cm="1">
        <f t="array" ref="B4653">IFERROR(INDEX(tbNucleo[ESCOLA],ROUNDUP(ROW(B4652)/TotalEtapas,0)),"")</f>
        <v/>
      </c>
      <c r="E4653" t="str">
        <f>IFERROR(VLOOKUP(tbEscolas[[#This Row],[COD ETPA]],tbEtapas[],2,FALSE),"")</f>
        <v/>
      </c>
      <c r="F4653" t="str">
        <f>IFERROR(VLOOKUP(tbEscolas[[#This Row],[COD ETPA]],tbEtapas[],3,FALSE),"")</f>
        <v/>
      </c>
    </row>
    <row r="4654" spans="1:6" x14ac:dyDescent="0.25">
      <c r="A4654" s="24" t="str">
        <f>_xlfn.XLOOKUP(tbEscolas[[#This Row],[ESCOLA]],tbNucleo[ESCOLA],tbNucleo[COD ESCOLA],"")</f>
        <v/>
      </c>
      <c r="B4654" t="str" cm="1">
        <f t="array" ref="B4654">IFERROR(INDEX(tbNucleo[ESCOLA],ROUNDUP(ROW(B4653)/TotalEtapas,0)),"")</f>
        <v/>
      </c>
      <c r="E4654" t="str">
        <f>IFERROR(VLOOKUP(tbEscolas[[#This Row],[COD ETPA]],tbEtapas[],2,FALSE),"")</f>
        <v/>
      </c>
      <c r="F4654" t="str">
        <f>IFERROR(VLOOKUP(tbEscolas[[#This Row],[COD ETPA]],tbEtapas[],3,FALSE),"")</f>
        <v/>
      </c>
    </row>
    <row r="4655" spans="1:6" x14ac:dyDescent="0.25">
      <c r="A4655" s="24" t="str">
        <f>_xlfn.XLOOKUP(tbEscolas[[#This Row],[ESCOLA]],tbNucleo[ESCOLA],tbNucleo[COD ESCOLA],"")</f>
        <v/>
      </c>
      <c r="B4655" t="str" cm="1">
        <f t="array" ref="B4655">IFERROR(INDEX(tbNucleo[ESCOLA],ROUNDUP(ROW(B4654)/TotalEtapas,0)),"")</f>
        <v/>
      </c>
      <c r="E4655" t="str">
        <f>IFERROR(VLOOKUP(tbEscolas[[#This Row],[COD ETPA]],tbEtapas[],2,FALSE),"")</f>
        <v/>
      </c>
      <c r="F4655" t="str">
        <f>IFERROR(VLOOKUP(tbEscolas[[#This Row],[COD ETPA]],tbEtapas[],3,FALSE),"")</f>
        <v/>
      </c>
    </row>
    <row r="4656" spans="1:6" x14ac:dyDescent="0.25">
      <c r="A4656" s="24" t="str">
        <f>_xlfn.XLOOKUP(tbEscolas[[#This Row],[ESCOLA]],tbNucleo[ESCOLA],tbNucleo[COD ESCOLA],"")</f>
        <v/>
      </c>
      <c r="B4656" t="str" cm="1">
        <f t="array" ref="B4656">IFERROR(INDEX(tbNucleo[ESCOLA],ROUNDUP(ROW(B4655)/TotalEtapas,0)),"")</f>
        <v/>
      </c>
      <c r="E4656" t="str">
        <f>IFERROR(VLOOKUP(tbEscolas[[#This Row],[COD ETPA]],tbEtapas[],2,FALSE),"")</f>
        <v/>
      </c>
      <c r="F4656" t="str">
        <f>IFERROR(VLOOKUP(tbEscolas[[#This Row],[COD ETPA]],tbEtapas[],3,FALSE),"")</f>
        <v/>
      </c>
    </row>
    <row r="4657" spans="1:6" x14ac:dyDescent="0.25">
      <c r="A4657" s="24" t="str">
        <f>_xlfn.XLOOKUP(tbEscolas[[#This Row],[ESCOLA]],tbNucleo[ESCOLA],tbNucleo[COD ESCOLA],"")</f>
        <v/>
      </c>
      <c r="B4657" t="str" cm="1">
        <f t="array" ref="B4657">IFERROR(INDEX(tbNucleo[ESCOLA],ROUNDUP(ROW(B4656)/TotalEtapas,0)),"")</f>
        <v/>
      </c>
      <c r="E4657" t="str">
        <f>IFERROR(VLOOKUP(tbEscolas[[#This Row],[COD ETPA]],tbEtapas[],2,FALSE),"")</f>
        <v/>
      </c>
      <c r="F4657" t="str">
        <f>IFERROR(VLOOKUP(tbEscolas[[#This Row],[COD ETPA]],tbEtapas[],3,FALSE),"")</f>
        <v/>
      </c>
    </row>
    <row r="4658" spans="1:6" x14ac:dyDescent="0.25">
      <c r="A4658" s="24" t="str">
        <f>_xlfn.XLOOKUP(tbEscolas[[#This Row],[ESCOLA]],tbNucleo[ESCOLA],tbNucleo[COD ESCOLA],"")</f>
        <v/>
      </c>
      <c r="B4658" t="str" cm="1">
        <f t="array" ref="B4658">IFERROR(INDEX(tbNucleo[ESCOLA],ROUNDUP(ROW(B4657)/TotalEtapas,0)),"")</f>
        <v/>
      </c>
      <c r="E4658" t="str">
        <f>IFERROR(VLOOKUP(tbEscolas[[#This Row],[COD ETPA]],tbEtapas[],2,FALSE),"")</f>
        <v/>
      </c>
      <c r="F4658" t="str">
        <f>IFERROR(VLOOKUP(tbEscolas[[#This Row],[COD ETPA]],tbEtapas[],3,FALSE),"")</f>
        <v/>
      </c>
    </row>
    <row r="4659" spans="1:6" x14ac:dyDescent="0.25">
      <c r="A4659" s="24" t="str">
        <f>_xlfn.XLOOKUP(tbEscolas[[#This Row],[ESCOLA]],tbNucleo[ESCOLA],tbNucleo[COD ESCOLA],"")</f>
        <v/>
      </c>
      <c r="B4659" t="str" cm="1">
        <f t="array" ref="B4659">IFERROR(INDEX(tbNucleo[ESCOLA],ROUNDUP(ROW(B4658)/TotalEtapas,0)),"")</f>
        <v/>
      </c>
      <c r="E4659" t="str">
        <f>IFERROR(VLOOKUP(tbEscolas[[#This Row],[COD ETPA]],tbEtapas[],2,FALSE),"")</f>
        <v/>
      </c>
      <c r="F4659" t="str">
        <f>IFERROR(VLOOKUP(tbEscolas[[#This Row],[COD ETPA]],tbEtapas[],3,FALSE),"")</f>
        <v/>
      </c>
    </row>
    <row r="4660" spans="1:6" x14ac:dyDescent="0.25">
      <c r="A4660" s="24" t="str">
        <f>_xlfn.XLOOKUP(tbEscolas[[#This Row],[ESCOLA]],tbNucleo[ESCOLA],tbNucleo[COD ESCOLA],"")</f>
        <v/>
      </c>
      <c r="B4660" t="str" cm="1">
        <f t="array" ref="B4660">IFERROR(INDEX(tbNucleo[ESCOLA],ROUNDUP(ROW(B4659)/TotalEtapas,0)),"")</f>
        <v/>
      </c>
      <c r="E4660" t="str">
        <f>IFERROR(VLOOKUP(tbEscolas[[#This Row],[COD ETPA]],tbEtapas[],2,FALSE),"")</f>
        <v/>
      </c>
      <c r="F4660" t="str">
        <f>IFERROR(VLOOKUP(tbEscolas[[#This Row],[COD ETPA]],tbEtapas[],3,FALSE),"")</f>
        <v/>
      </c>
    </row>
    <row r="4661" spans="1:6" x14ac:dyDescent="0.25">
      <c r="A4661" s="24" t="str">
        <f>_xlfn.XLOOKUP(tbEscolas[[#This Row],[ESCOLA]],tbNucleo[ESCOLA],tbNucleo[COD ESCOLA],"")</f>
        <v/>
      </c>
      <c r="B4661" t="str" cm="1">
        <f t="array" ref="B4661">IFERROR(INDEX(tbNucleo[ESCOLA],ROUNDUP(ROW(B4660)/TotalEtapas,0)),"")</f>
        <v/>
      </c>
      <c r="E4661" t="str">
        <f>IFERROR(VLOOKUP(tbEscolas[[#This Row],[COD ETPA]],tbEtapas[],2,FALSE),"")</f>
        <v/>
      </c>
      <c r="F4661" t="str">
        <f>IFERROR(VLOOKUP(tbEscolas[[#This Row],[COD ETPA]],tbEtapas[],3,FALSE),"")</f>
        <v/>
      </c>
    </row>
    <row r="4662" spans="1:6" x14ac:dyDescent="0.25">
      <c r="A4662" s="24" t="str">
        <f>_xlfn.XLOOKUP(tbEscolas[[#This Row],[ESCOLA]],tbNucleo[ESCOLA],tbNucleo[COD ESCOLA],"")</f>
        <v/>
      </c>
      <c r="B4662" t="str" cm="1">
        <f t="array" ref="B4662">IFERROR(INDEX(tbNucleo[ESCOLA],ROUNDUP(ROW(B4661)/TotalEtapas,0)),"")</f>
        <v/>
      </c>
      <c r="E4662" t="str">
        <f>IFERROR(VLOOKUP(tbEscolas[[#This Row],[COD ETPA]],tbEtapas[],2,FALSE),"")</f>
        <v/>
      </c>
      <c r="F4662" t="str">
        <f>IFERROR(VLOOKUP(tbEscolas[[#This Row],[COD ETPA]],tbEtapas[],3,FALSE),"")</f>
        <v/>
      </c>
    </row>
    <row r="4663" spans="1:6" x14ac:dyDescent="0.25">
      <c r="A4663" s="24" t="str">
        <f>_xlfn.XLOOKUP(tbEscolas[[#This Row],[ESCOLA]],tbNucleo[ESCOLA],tbNucleo[COD ESCOLA],"")</f>
        <v/>
      </c>
      <c r="B4663" t="str" cm="1">
        <f t="array" ref="B4663">IFERROR(INDEX(tbNucleo[ESCOLA],ROUNDUP(ROW(B4662)/TotalEtapas,0)),"")</f>
        <v/>
      </c>
      <c r="E4663" t="str">
        <f>IFERROR(VLOOKUP(tbEscolas[[#This Row],[COD ETPA]],tbEtapas[],2,FALSE),"")</f>
        <v/>
      </c>
      <c r="F4663" t="str">
        <f>IFERROR(VLOOKUP(tbEscolas[[#This Row],[COD ETPA]],tbEtapas[],3,FALSE),"")</f>
        <v/>
      </c>
    </row>
    <row r="4664" spans="1:6" x14ac:dyDescent="0.25">
      <c r="A4664" s="24" t="str">
        <f>_xlfn.XLOOKUP(tbEscolas[[#This Row],[ESCOLA]],tbNucleo[ESCOLA],tbNucleo[COD ESCOLA],"")</f>
        <v/>
      </c>
      <c r="B4664" t="str" cm="1">
        <f t="array" ref="B4664">IFERROR(INDEX(tbNucleo[ESCOLA],ROUNDUP(ROW(B4663)/TotalEtapas,0)),"")</f>
        <v/>
      </c>
      <c r="E4664" t="str">
        <f>IFERROR(VLOOKUP(tbEscolas[[#This Row],[COD ETPA]],tbEtapas[],2,FALSE),"")</f>
        <v/>
      </c>
      <c r="F4664" t="str">
        <f>IFERROR(VLOOKUP(tbEscolas[[#This Row],[COD ETPA]],tbEtapas[],3,FALSE),"")</f>
        <v/>
      </c>
    </row>
    <row r="4665" spans="1:6" x14ac:dyDescent="0.25">
      <c r="A4665" s="24" t="str">
        <f>_xlfn.XLOOKUP(tbEscolas[[#This Row],[ESCOLA]],tbNucleo[ESCOLA],tbNucleo[COD ESCOLA],"")</f>
        <v/>
      </c>
      <c r="B4665" t="str" cm="1">
        <f t="array" ref="B4665">IFERROR(INDEX(tbNucleo[ESCOLA],ROUNDUP(ROW(B4664)/TotalEtapas,0)),"")</f>
        <v/>
      </c>
      <c r="E4665" t="str">
        <f>IFERROR(VLOOKUP(tbEscolas[[#This Row],[COD ETPA]],tbEtapas[],2,FALSE),"")</f>
        <v/>
      </c>
      <c r="F4665" t="str">
        <f>IFERROR(VLOOKUP(tbEscolas[[#This Row],[COD ETPA]],tbEtapas[],3,FALSE),"")</f>
        <v/>
      </c>
    </row>
    <row r="4666" spans="1:6" x14ac:dyDescent="0.25">
      <c r="A4666" s="24" t="str">
        <f>_xlfn.XLOOKUP(tbEscolas[[#This Row],[ESCOLA]],tbNucleo[ESCOLA],tbNucleo[COD ESCOLA],"")</f>
        <v/>
      </c>
      <c r="B4666" t="str" cm="1">
        <f t="array" ref="B4666">IFERROR(INDEX(tbNucleo[ESCOLA],ROUNDUP(ROW(B4665)/TotalEtapas,0)),"")</f>
        <v/>
      </c>
      <c r="E4666" t="str">
        <f>IFERROR(VLOOKUP(tbEscolas[[#This Row],[COD ETPA]],tbEtapas[],2,FALSE),"")</f>
        <v/>
      </c>
      <c r="F4666" t="str">
        <f>IFERROR(VLOOKUP(tbEscolas[[#This Row],[COD ETPA]],tbEtapas[],3,FALSE),"")</f>
        <v/>
      </c>
    </row>
    <row r="4667" spans="1:6" x14ac:dyDescent="0.25">
      <c r="A4667" s="24" t="str">
        <f>_xlfn.XLOOKUP(tbEscolas[[#This Row],[ESCOLA]],tbNucleo[ESCOLA],tbNucleo[COD ESCOLA],"")</f>
        <v/>
      </c>
      <c r="B4667" t="str" cm="1">
        <f t="array" ref="B4667">IFERROR(INDEX(tbNucleo[ESCOLA],ROUNDUP(ROW(B4666)/TotalEtapas,0)),"")</f>
        <v/>
      </c>
      <c r="E4667" t="str">
        <f>IFERROR(VLOOKUP(tbEscolas[[#This Row],[COD ETPA]],tbEtapas[],2,FALSE),"")</f>
        <v/>
      </c>
      <c r="F4667" t="str">
        <f>IFERROR(VLOOKUP(tbEscolas[[#This Row],[COD ETPA]],tbEtapas[],3,FALSE),"")</f>
        <v/>
      </c>
    </row>
    <row r="4668" spans="1:6" x14ac:dyDescent="0.25">
      <c r="A4668" s="24" t="str">
        <f>_xlfn.XLOOKUP(tbEscolas[[#This Row],[ESCOLA]],tbNucleo[ESCOLA],tbNucleo[COD ESCOLA],"")</f>
        <v/>
      </c>
      <c r="B4668" t="str" cm="1">
        <f t="array" ref="B4668">IFERROR(INDEX(tbNucleo[ESCOLA],ROUNDUP(ROW(B4667)/TotalEtapas,0)),"")</f>
        <v/>
      </c>
      <c r="E4668" t="str">
        <f>IFERROR(VLOOKUP(tbEscolas[[#This Row],[COD ETPA]],tbEtapas[],2,FALSE),"")</f>
        <v/>
      </c>
      <c r="F4668" t="str">
        <f>IFERROR(VLOOKUP(tbEscolas[[#This Row],[COD ETPA]],tbEtapas[],3,FALSE),"")</f>
        <v/>
      </c>
    </row>
    <row r="4669" spans="1:6" x14ac:dyDescent="0.25">
      <c r="A4669" s="24" t="str">
        <f>_xlfn.XLOOKUP(tbEscolas[[#This Row],[ESCOLA]],tbNucleo[ESCOLA],tbNucleo[COD ESCOLA],"")</f>
        <v/>
      </c>
      <c r="B4669" t="str" cm="1">
        <f t="array" ref="B4669">IFERROR(INDEX(tbNucleo[ESCOLA],ROUNDUP(ROW(B4668)/TotalEtapas,0)),"")</f>
        <v/>
      </c>
      <c r="E4669" t="str">
        <f>IFERROR(VLOOKUP(tbEscolas[[#This Row],[COD ETPA]],tbEtapas[],2,FALSE),"")</f>
        <v/>
      </c>
      <c r="F4669" t="str">
        <f>IFERROR(VLOOKUP(tbEscolas[[#This Row],[COD ETPA]],tbEtapas[],3,FALSE),"")</f>
        <v/>
      </c>
    </row>
    <row r="4670" spans="1:6" x14ac:dyDescent="0.25">
      <c r="A4670" s="24" t="str">
        <f>_xlfn.XLOOKUP(tbEscolas[[#This Row],[ESCOLA]],tbNucleo[ESCOLA],tbNucleo[COD ESCOLA],"")</f>
        <v/>
      </c>
      <c r="B4670" t="str" cm="1">
        <f t="array" ref="B4670">IFERROR(INDEX(tbNucleo[ESCOLA],ROUNDUP(ROW(B4669)/TotalEtapas,0)),"")</f>
        <v/>
      </c>
      <c r="E4670" t="str">
        <f>IFERROR(VLOOKUP(tbEscolas[[#This Row],[COD ETPA]],tbEtapas[],2,FALSE),"")</f>
        <v/>
      </c>
      <c r="F4670" t="str">
        <f>IFERROR(VLOOKUP(tbEscolas[[#This Row],[COD ETPA]],tbEtapas[],3,FALSE),"")</f>
        <v/>
      </c>
    </row>
    <row r="4671" spans="1:6" x14ac:dyDescent="0.25">
      <c r="A4671" s="24" t="str">
        <f>_xlfn.XLOOKUP(tbEscolas[[#This Row],[ESCOLA]],tbNucleo[ESCOLA],tbNucleo[COD ESCOLA],"")</f>
        <v/>
      </c>
      <c r="B4671" t="str" cm="1">
        <f t="array" ref="B4671">IFERROR(INDEX(tbNucleo[ESCOLA],ROUNDUP(ROW(B4670)/TotalEtapas,0)),"")</f>
        <v/>
      </c>
      <c r="E4671" t="str">
        <f>IFERROR(VLOOKUP(tbEscolas[[#This Row],[COD ETPA]],tbEtapas[],2,FALSE),"")</f>
        <v/>
      </c>
      <c r="F4671" t="str">
        <f>IFERROR(VLOOKUP(tbEscolas[[#This Row],[COD ETPA]],tbEtapas[],3,FALSE),"")</f>
        <v/>
      </c>
    </row>
    <row r="4672" spans="1:6" x14ac:dyDescent="0.25">
      <c r="A4672" s="24" t="str">
        <f>_xlfn.XLOOKUP(tbEscolas[[#This Row],[ESCOLA]],tbNucleo[ESCOLA],tbNucleo[COD ESCOLA],"")</f>
        <v/>
      </c>
      <c r="B4672" t="str" cm="1">
        <f t="array" ref="B4672">IFERROR(INDEX(tbNucleo[ESCOLA],ROUNDUP(ROW(B4671)/TotalEtapas,0)),"")</f>
        <v/>
      </c>
      <c r="E4672" t="str">
        <f>IFERROR(VLOOKUP(tbEscolas[[#This Row],[COD ETPA]],tbEtapas[],2,FALSE),"")</f>
        <v/>
      </c>
      <c r="F4672" t="str">
        <f>IFERROR(VLOOKUP(tbEscolas[[#This Row],[COD ETPA]],tbEtapas[],3,FALSE),"")</f>
        <v/>
      </c>
    </row>
    <row r="4673" spans="1:6" x14ac:dyDescent="0.25">
      <c r="A4673" s="24" t="str">
        <f>_xlfn.XLOOKUP(tbEscolas[[#This Row],[ESCOLA]],tbNucleo[ESCOLA],tbNucleo[COD ESCOLA],"")</f>
        <v/>
      </c>
      <c r="B4673" t="str" cm="1">
        <f t="array" ref="B4673">IFERROR(INDEX(tbNucleo[ESCOLA],ROUNDUP(ROW(B4672)/TotalEtapas,0)),"")</f>
        <v/>
      </c>
      <c r="E4673" t="str">
        <f>IFERROR(VLOOKUP(tbEscolas[[#This Row],[COD ETPA]],tbEtapas[],2,FALSE),"")</f>
        <v/>
      </c>
      <c r="F4673" t="str">
        <f>IFERROR(VLOOKUP(tbEscolas[[#This Row],[COD ETPA]],tbEtapas[],3,FALSE),"")</f>
        <v/>
      </c>
    </row>
    <row r="4674" spans="1:6" x14ac:dyDescent="0.25">
      <c r="A4674" s="24" t="str">
        <f>_xlfn.XLOOKUP(tbEscolas[[#This Row],[ESCOLA]],tbNucleo[ESCOLA],tbNucleo[COD ESCOLA],"")</f>
        <v/>
      </c>
      <c r="B4674" t="str" cm="1">
        <f t="array" ref="B4674">IFERROR(INDEX(tbNucleo[ESCOLA],ROUNDUP(ROW(B4673)/TotalEtapas,0)),"")</f>
        <v/>
      </c>
      <c r="E4674" t="str">
        <f>IFERROR(VLOOKUP(tbEscolas[[#This Row],[COD ETPA]],tbEtapas[],2,FALSE),"")</f>
        <v/>
      </c>
      <c r="F4674" t="str">
        <f>IFERROR(VLOOKUP(tbEscolas[[#This Row],[COD ETPA]],tbEtapas[],3,FALSE),"")</f>
        <v/>
      </c>
    </row>
    <row r="4675" spans="1:6" x14ac:dyDescent="0.25">
      <c r="A4675" s="24" t="str">
        <f>_xlfn.XLOOKUP(tbEscolas[[#This Row],[ESCOLA]],tbNucleo[ESCOLA],tbNucleo[COD ESCOLA],"")</f>
        <v/>
      </c>
      <c r="B4675" t="str" cm="1">
        <f t="array" ref="B4675">IFERROR(INDEX(tbNucleo[ESCOLA],ROUNDUP(ROW(B4674)/TotalEtapas,0)),"")</f>
        <v/>
      </c>
      <c r="E4675" t="str">
        <f>IFERROR(VLOOKUP(tbEscolas[[#This Row],[COD ETPA]],tbEtapas[],2,FALSE),"")</f>
        <v/>
      </c>
      <c r="F4675" t="str">
        <f>IFERROR(VLOOKUP(tbEscolas[[#This Row],[COD ETPA]],tbEtapas[],3,FALSE),"")</f>
        <v/>
      </c>
    </row>
    <row r="4676" spans="1:6" x14ac:dyDescent="0.25">
      <c r="A4676" s="24" t="str">
        <f>_xlfn.XLOOKUP(tbEscolas[[#This Row],[ESCOLA]],tbNucleo[ESCOLA],tbNucleo[COD ESCOLA],"")</f>
        <v/>
      </c>
      <c r="B4676" t="str" cm="1">
        <f t="array" ref="B4676">IFERROR(INDEX(tbNucleo[ESCOLA],ROUNDUP(ROW(B4675)/TotalEtapas,0)),"")</f>
        <v/>
      </c>
      <c r="E4676" t="str">
        <f>IFERROR(VLOOKUP(tbEscolas[[#This Row],[COD ETPA]],tbEtapas[],2,FALSE),"")</f>
        <v/>
      </c>
      <c r="F4676" t="str">
        <f>IFERROR(VLOOKUP(tbEscolas[[#This Row],[COD ETPA]],tbEtapas[],3,FALSE),"")</f>
        <v/>
      </c>
    </row>
    <row r="4677" spans="1:6" x14ac:dyDescent="0.25">
      <c r="A4677" s="24" t="str">
        <f>_xlfn.XLOOKUP(tbEscolas[[#This Row],[ESCOLA]],tbNucleo[ESCOLA],tbNucleo[COD ESCOLA],"")</f>
        <v/>
      </c>
      <c r="B4677" t="str" cm="1">
        <f t="array" ref="B4677">IFERROR(INDEX(tbNucleo[ESCOLA],ROUNDUP(ROW(B4676)/TotalEtapas,0)),"")</f>
        <v/>
      </c>
      <c r="E4677" t="str">
        <f>IFERROR(VLOOKUP(tbEscolas[[#This Row],[COD ETPA]],tbEtapas[],2,FALSE),"")</f>
        <v/>
      </c>
      <c r="F4677" t="str">
        <f>IFERROR(VLOOKUP(tbEscolas[[#This Row],[COD ETPA]],tbEtapas[],3,FALSE),"")</f>
        <v/>
      </c>
    </row>
    <row r="4678" spans="1:6" x14ac:dyDescent="0.25">
      <c r="A4678" s="24" t="str">
        <f>_xlfn.XLOOKUP(tbEscolas[[#This Row],[ESCOLA]],tbNucleo[ESCOLA],tbNucleo[COD ESCOLA],"")</f>
        <v/>
      </c>
      <c r="B4678" t="str" cm="1">
        <f t="array" ref="B4678">IFERROR(INDEX(tbNucleo[ESCOLA],ROUNDUP(ROW(B4677)/TotalEtapas,0)),"")</f>
        <v/>
      </c>
      <c r="E4678" t="str">
        <f>IFERROR(VLOOKUP(tbEscolas[[#This Row],[COD ETPA]],tbEtapas[],2,FALSE),"")</f>
        <v/>
      </c>
      <c r="F4678" t="str">
        <f>IFERROR(VLOOKUP(tbEscolas[[#This Row],[COD ETPA]],tbEtapas[],3,FALSE),"")</f>
        <v/>
      </c>
    </row>
    <row r="4679" spans="1:6" x14ac:dyDescent="0.25">
      <c r="A4679" s="24" t="str">
        <f>_xlfn.XLOOKUP(tbEscolas[[#This Row],[ESCOLA]],tbNucleo[ESCOLA],tbNucleo[COD ESCOLA],"")</f>
        <v/>
      </c>
      <c r="B4679" t="str" cm="1">
        <f t="array" ref="B4679">IFERROR(INDEX(tbNucleo[ESCOLA],ROUNDUP(ROW(B4678)/TotalEtapas,0)),"")</f>
        <v/>
      </c>
      <c r="E4679" t="str">
        <f>IFERROR(VLOOKUP(tbEscolas[[#This Row],[COD ETPA]],tbEtapas[],2,FALSE),"")</f>
        <v/>
      </c>
      <c r="F4679" t="str">
        <f>IFERROR(VLOOKUP(tbEscolas[[#This Row],[COD ETPA]],tbEtapas[],3,FALSE),"")</f>
        <v/>
      </c>
    </row>
    <row r="4680" spans="1:6" x14ac:dyDescent="0.25">
      <c r="A4680" s="24" t="str">
        <f>_xlfn.XLOOKUP(tbEscolas[[#This Row],[ESCOLA]],tbNucleo[ESCOLA],tbNucleo[COD ESCOLA],"")</f>
        <v/>
      </c>
      <c r="B4680" t="str" cm="1">
        <f t="array" ref="B4680">IFERROR(INDEX(tbNucleo[ESCOLA],ROUNDUP(ROW(B4679)/TotalEtapas,0)),"")</f>
        <v/>
      </c>
      <c r="E4680" t="str">
        <f>IFERROR(VLOOKUP(tbEscolas[[#This Row],[COD ETPA]],tbEtapas[],2,FALSE),"")</f>
        <v/>
      </c>
      <c r="F4680" t="str">
        <f>IFERROR(VLOOKUP(tbEscolas[[#This Row],[COD ETPA]],tbEtapas[],3,FALSE),"")</f>
        <v/>
      </c>
    </row>
    <row r="4681" spans="1:6" x14ac:dyDescent="0.25">
      <c r="A4681" s="24" t="str">
        <f>_xlfn.XLOOKUP(tbEscolas[[#This Row],[ESCOLA]],tbNucleo[ESCOLA],tbNucleo[COD ESCOLA],"")</f>
        <v/>
      </c>
      <c r="B4681" t="str" cm="1">
        <f t="array" ref="B4681">IFERROR(INDEX(tbNucleo[ESCOLA],ROUNDUP(ROW(B4680)/TotalEtapas,0)),"")</f>
        <v/>
      </c>
      <c r="E4681" t="str">
        <f>IFERROR(VLOOKUP(tbEscolas[[#This Row],[COD ETPA]],tbEtapas[],2,FALSE),"")</f>
        <v/>
      </c>
      <c r="F4681" t="str">
        <f>IFERROR(VLOOKUP(tbEscolas[[#This Row],[COD ETPA]],tbEtapas[],3,FALSE),"")</f>
        <v/>
      </c>
    </row>
    <row r="4682" spans="1:6" x14ac:dyDescent="0.25">
      <c r="A4682" s="24" t="str">
        <f>_xlfn.XLOOKUP(tbEscolas[[#This Row],[ESCOLA]],tbNucleo[ESCOLA],tbNucleo[COD ESCOLA],"")</f>
        <v/>
      </c>
      <c r="B4682" t="str" cm="1">
        <f t="array" ref="B4682">IFERROR(INDEX(tbNucleo[ESCOLA],ROUNDUP(ROW(B4681)/TotalEtapas,0)),"")</f>
        <v/>
      </c>
      <c r="E4682" t="str">
        <f>IFERROR(VLOOKUP(tbEscolas[[#This Row],[COD ETPA]],tbEtapas[],2,FALSE),"")</f>
        <v/>
      </c>
      <c r="F4682" t="str">
        <f>IFERROR(VLOOKUP(tbEscolas[[#This Row],[COD ETPA]],tbEtapas[],3,FALSE),"")</f>
        <v/>
      </c>
    </row>
    <row r="4683" spans="1:6" x14ac:dyDescent="0.25">
      <c r="A4683" s="24" t="str">
        <f>_xlfn.XLOOKUP(tbEscolas[[#This Row],[ESCOLA]],tbNucleo[ESCOLA],tbNucleo[COD ESCOLA],"")</f>
        <v/>
      </c>
      <c r="B4683" t="str" cm="1">
        <f t="array" ref="B4683">IFERROR(INDEX(tbNucleo[ESCOLA],ROUNDUP(ROW(B4682)/TotalEtapas,0)),"")</f>
        <v/>
      </c>
      <c r="E4683" t="str">
        <f>IFERROR(VLOOKUP(tbEscolas[[#This Row],[COD ETPA]],tbEtapas[],2,FALSE),"")</f>
        <v/>
      </c>
      <c r="F4683" t="str">
        <f>IFERROR(VLOOKUP(tbEscolas[[#This Row],[COD ETPA]],tbEtapas[],3,FALSE),"")</f>
        <v/>
      </c>
    </row>
    <row r="4684" spans="1:6" x14ac:dyDescent="0.25">
      <c r="A4684" s="24" t="str">
        <f>_xlfn.XLOOKUP(tbEscolas[[#This Row],[ESCOLA]],tbNucleo[ESCOLA],tbNucleo[COD ESCOLA],"")</f>
        <v/>
      </c>
      <c r="B4684" t="str" cm="1">
        <f t="array" ref="B4684">IFERROR(INDEX(tbNucleo[ESCOLA],ROUNDUP(ROW(B4683)/TotalEtapas,0)),"")</f>
        <v/>
      </c>
      <c r="E4684" t="str">
        <f>IFERROR(VLOOKUP(tbEscolas[[#This Row],[COD ETPA]],tbEtapas[],2,FALSE),"")</f>
        <v/>
      </c>
      <c r="F4684" t="str">
        <f>IFERROR(VLOOKUP(tbEscolas[[#This Row],[COD ETPA]],tbEtapas[],3,FALSE),"")</f>
        <v/>
      </c>
    </row>
    <row r="4685" spans="1:6" x14ac:dyDescent="0.25">
      <c r="A4685" s="24" t="str">
        <f>_xlfn.XLOOKUP(tbEscolas[[#This Row],[ESCOLA]],tbNucleo[ESCOLA],tbNucleo[COD ESCOLA],"")</f>
        <v/>
      </c>
      <c r="B4685" t="str" cm="1">
        <f t="array" ref="B4685">IFERROR(INDEX(tbNucleo[ESCOLA],ROUNDUP(ROW(B4684)/TotalEtapas,0)),"")</f>
        <v/>
      </c>
      <c r="E4685" t="str">
        <f>IFERROR(VLOOKUP(tbEscolas[[#This Row],[COD ETPA]],tbEtapas[],2,FALSE),"")</f>
        <v/>
      </c>
      <c r="F4685" t="str">
        <f>IFERROR(VLOOKUP(tbEscolas[[#This Row],[COD ETPA]],tbEtapas[],3,FALSE),"")</f>
        <v/>
      </c>
    </row>
    <row r="4686" spans="1:6" x14ac:dyDescent="0.25">
      <c r="A4686" s="24" t="str">
        <f>_xlfn.XLOOKUP(tbEscolas[[#This Row],[ESCOLA]],tbNucleo[ESCOLA],tbNucleo[COD ESCOLA],"")</f>
        <v/>
      </c>
      <c r="B4686" t="str" cm="1">
        <f t="array" ref="B4686">IFERROR(INDEX(tbNucleo[ESCOLA],ROUNDUP(ROW(B4685)/TotalEtapas,0)),"")</f>
        <v/>
      </c>
      <c r="E4686" t="str">
        <f>IFERROR(VLOOKUP(tbEscolas[[#This Row],[COD ETPA]],tbEtapas[],2,FALSE),"")</f>
        <v/>
      </c>
      <c r="F4686" t="str">
        <f>IFERROR(VLOOKUP(tbEscolas[[#This Row],[COD ETPA]],tbEtapas[],3,FALSE),"")</f>
        <v/>
      </c>
    </row>
    <row r="4687" spans="1:6" x14ac:dyDescent="0.25">
      <c r="A4687" s="24" t="str">
        <f>_xlfn.XLOOKUP(tbEscolas[[#This Row],[ESCOLA]],tbNucleo[ESCOLA],tbNucleo[COD ESCOLA],"")</f>
        <v/>
      </c>
      <c r="B4687" t="str" cm="1">
        <f t="array" ref="B4687">IFERROR(INDEX(tbNucleo[ESCOLA],ROUNDUP(ROW(B4686)/TotalEtapas,0)),"")</f>
        <v/>
      </c>
      <c r="E4687" t="str">
        <f>IFERROR(VLOOKUP(tbEscolas[[#This Row],[COD ETPA]],tbEtapas[],2,FALSE),"")</f>
        <v/>
      </c>
      <c r="F4687" t="str">
        <f>IFERROR(VLOOKUP(tbEscolas[[#This Row],[COD ETPA]],tbEtapas[],3,FALSE),"")</f>
        <v/>
      </c>
    </row>
    <row r="4688" spans="1:6" x14ac:dyDescent="0.25">
      <c r="A4688" s="24" t="str">
        <f>_xlfn.XLOOKUP(tbEscolas[[#This Row],[ESCOLA]],tbNucleo[ESCOLA],tbNucleo[COD ESCOLA],"")</f>
        <v/>
      </c>
      <c r="B4688" t="str" cm="1">
        <f t="array" ref="B4688">IFERROR(INDEX(tbNucleo[ESCOLA],ROUNDUP(ROW(B4687)/TotalEtapas,0)),"")</f>
        <v/>
      </c>
      <c r="E4688" t="str">
        <f>IFERROR(VLOOKUP(tbEscolas[[#This Row],[COD ETPA]],tbEtapas[],2,FALSE),"")</f>
        <v/>
      </c>
      <c r="F4688" t="str">
        <f>IFERROR(VLOOKUP(tbEscolas[[#This Row],[COD ETPA]],tbEtapas[],3,FALSE),"")</f>
        <v/>
      </c>
    </row>
    <row r="4689" spans="1:6" x14ac:dyDescent="0.25">
      <c r="A4689" s="24" t="str">
        <f>_xlfn.XLOOKUP(tbEscolas[[#This Row],[ESCOLA]],tbNucleo[ESCOLA],tbNucleo[COD ESCOLA],"")</f>
        <v/>
      </c>
      <c r="B4689" t="str" cm="1">
        <f t="array" ref="B4689">IFERROR(INDEX(tbNucleo[ESCOLA],ROUNDUP(ROW(B4688)/TotalEtapas,0)),"")</f>
        <v/>
      </c>
      <c r="E4689" t="str">
        <f>IFERROR(VLOOKUP(tbEscolas[[#This Row],[COD ETPA]],tbEtapas[],2,FALSE),"")</f>
        <v/>
      </c>
      <c r="F4689" t="str">
        <f>IFERROR(VLOOKUP(tbEscolas[[#This Row],[COD ETPA]],tbEtapas[],3,FALSE),"")</f>
        <v/>
      </c>
    </row>
    <row r="4690" spans="1:6" x14ac:dyDescent="0.25">
      <c r="A4690" s="24" t="str">
        <f>_xlfn.XLOOKUP(tbEscolas[[#This Row],[ESCOLA]],tbNucleo[ESCOLA],tbNucleo[COD ESCOLA],"")</f>
        <v/>
      </c>
      <c r="B4690" t="str" cm="1">
        <f t="array" ref="B4690">IFERROR(INDEX(tbNucleo[ESCOLA],ROUNDUP(ROW(B4689)/TotalEtapas,0)),"")</f>
        <v/>
      </c>
      <c r="E4690" t="str">
        <f>IFERROR(VLOOKUP(tbEscolas[[#This Row],[COD ETPA]],tbEtapas[],2,FALSE),"")</f>
        <v/>
      </c>
      <c r="F4690" t="str">
        <f>IFERROR(VLOOKUP(tbEscolas[[#This Row],[COD ETPA]],tbEtapas[],3,FALSE),"")</f>
        <v/>
      </c>
    </row>
    <row r="4691" spans="1:6" x14ac:dyDescent="0.25">
      <c r="A4691" s="24" t="str">
        <f>_xlfn.XLOOKUP(tbEscolas[[#This Row],[ESCOLA]],tbNucleo[ESCOLA],tbNucleo[COD ESCOLA],"")</f>
        <v/>
      </c>
      <c r="B4691" t="str" cm="1">
        <f t="array" ref="B4691">IFERROR(INDEX(tbNucleo[ESCOLA],ROUNDUP(ROW(B4690)/TotalEtapas,0)),"")</f>
        <v/>
      </c>
      <c r="E4691" t="str">
        <f>IFERROR(VLOOKUP(tbEscolas[[#This Row],[COD ETPA]],tbEtapas[],2,FALSE),"")</f>
        <v/>
      </c>
      <c r="F4691" t="str">
        <f>IFERROR(VLOOKUP(tbEscolas[[#This Row],[COD ETPA]],tbEtapas[],3,FALSE),"")</f>
        <v/>
      </c>
    </row>
    <row r="4692" spans="1:6" x14ac:dyDescent="0.25">
      <c r="A4692" s="24" t="str">
        <f>_xlfn.XLOOKUP(tbEscolas[[#This Row],[ESCOLA]],tbNucleo[ESCOLA],tbNucleo[COD ESCOLA],"")</f>
        <v/>
      </c>
      <c r="B4692" t="str" cm="1">
        <f t="array" ref="B4692">IFERROR(INDEX(tbNucleo[ESCOLA],ROUNDUP(ROW(B4691)/TotalEtapas,0)),"")</f>
        <v/>
      </c>
      <c r="E4692" t="str">
        <f>IFERROR(VLOOKUP(tbEscolas[[#This Row],[COD ETPA]],tbEtapas[],2,FALSE),"")</f>
        <v/>
      </c>
      <c r="F4692" t="str">
        <f>IFERROR(VLOOKUP(tbEscolas[[#This Row],[COD ETPA]],tbEtapas[],3,FALSE),"")</f>
        <v/>
      </c>
    </row>
    <row r="4693" spans="1:6" x14ac:dyDescent="0.25">
      <c r="A4693" s="24" t="str">
        <f>_xlfn.XLOOKUP(tbEscolas[[#This Row],[ESCOLA]],tbNucleo[ESCOLA],tbNucleo[COD ESCOLA],"")</f>
        <v/>
      </c>
      <c r="B4693" t="str" cm="1">
        <f t="array" ref="B4693">IFERROR(INDEX(tbNucleo[ESCOLA],ROUNDUP(ROW(B4692)/TotalEtapas,0)),"")</f>
        <v/>
      </c>
      <c r="E4693" t="str">
        <f>IFERROR(VLOOKUP(tbEscolas[[#This Row],[COD ETPA]],tbEtapas[],2,FALSE),"")</f>
        <v/>
      </c>
      <c r="F4693" t="str">
        <f>IFERROR(VLOOKUP(tbEscolas[[#This Row],[COD ETPA]],tbEtapas[],3,FALSE),"")</f>
        <v/>
      </c>
    </row>
    <row r="4694" spans="1:6" x14ac:dyDescent="0.25">
      <c r="A4694" s="24" t="str">
        <f>_xlfn.XLOOKUP(tbEscolas[[#This Row],[ESCOLA]],tbNucleo[ESCOLA],tbNucleo[COD ESCOLA],"")</f>
        <v/>
      </c>
      <c r="B4694" t="str" cm="1">
        <f t="array" ref="B4694">IFERROR(INDEX(tbNucleo[ESCOLA],ROUNDUP(ROW(B4693)/TotalEtapas,0)),"")</f>
        <v/>
      </c>
      <c r="E4694" t="str">
        <f>IFERROR(VLOOKUP(tbEscolas[[#This Row],[COD ETPA]],tbEtapas[],2,FALSE),"")</f>
        <v/>
      </c>
      <c r="F4694" t="str">
        <f>IFERROR(VLOOKUP(tbEscolas[[#This Row],[COD ETPA]],tbEtapas[],3,FALSE),"")</f>
        <v/>
      </c>
    </row>
    <row r="4695" spans="1:6" x14ac:dyDescent="0.25">
      <c r="A4695" s="24" t="str">
        <f>_xlfn.XLOOKUP(tbEscolas[[#This Row],[ESCOLA]],tbNucleo[ESCOLA],tbNucleo[COD ESCOLA],"")</f>
        <v/>
      </c>
      <c r="B4695" t="str" cm="1">
        <f t="array" ref="B4695">IFERROR(INDEX(tbNucleo[ESCOLA],ROUNDUP(ROW(B4694)/TotalEtapas,0)),"")</f>
        <v/>
      </c>
      <c r="E4695" t="str">
        <f>IFERROR(VLOOKUP(tbEscolas[[#This Row],[COD ETPA]],tbEtapas[],2,FALSE),"")</f>
        <v/>
      </c>
      <c r="F4695" t="str">
        <f>IFERROR(VLOOKUP(tbEscolas[[#This Row],[COD ETPA]],tbEtapas[],3,FALSE),"")</f>
        <v/>
      </c>
    </row>
    <row r="4696" spans="1:6" x14ac:dyDescent="0.25">
      <c r="A4696" s="24" t="str">
        <f>_xlfn.XLOOKUP(tbEscolas[[#This Row],[ESCOLA]],tbNucleo[ESCOLA],tbNucleo[COD ESCOLA],"")</f>
        <v/>
      </c>
      <c r="B4696" t="str" cm="1">
        <f t="array" ref="B4696">IFERROR(INDEX(tbNucleo[ESCOLA],ROUNDUP(ROW(B4695)/TotalEtapas,0)),"")</f>
        <v/>
      </c>
      <c r="E4696" t="str">
        <f>IFERROR(VLOOKUP(tbEscolas[[#This Row],[COD ETPA]],tbEtapas[],2,FALSE),"")</f>
        <v/>
      </c>
      <c r="F4696" t="str">
        <f>IFERROR(VLOOKUP(tbEscolas[[#This Row],[COD ETPA]],tbEtapas[],3,FALSE),"")</f>
        <v/>
      </c>
    </row>
    <row r="4697" spans="1:6" x14ac:dyDescent="0.25">
      <c r="A4697" s="24" t="str">
        <f>_xlfn.XLOOKUP(tbEscolas[[#This Row],[ESCOLA]],tbNucleo[ESCOLA],tbNucleo[COD ESCOLA],"")</f>
        <v/>
      </c>
      <c r="B4697" t="str" cm="1">
        <f t="array" ref="B4697">IFERROR(INDEX(tbNucleo[ESCOLA],ROUNDUP(ROW(B4696)/TotalEtapas,0)),"")</f>
        <v/>
      </c>
      <c r="E4697" t="str">
        <f>IFERROR(VLOOKUP(tbEscolas[[#This Row],[COD ETPA]],tbEtapas[],2,FALSE),"")</f>
        <v/>
      </c>
      <c r="F4697" t="str">
        <f>IFERROR(VLOOKUP(tbEscolas[[#This Row],[COD ETPA]],tbEtapas[],3,FALSE),"")</f>
        <v/>
      </c>
    </row>
    <row r="4698" spans="1:6" x14ac:dyDescent="0.25">
      <c r="A4698" s="24" t="str">
        <f>_xlfn.XLOOKUP(tbEscolas[[#This Row],[ESCOLA]],tbNucleo[ESCOLA],tbNucleo[COD ESCOLA],"")</f>
        <v/>
      </c>
      <c r="B4698" t="str" cm="1">
        <f t="array" ref="B4698">IFERROR(INDEX(tbNucleo[ESCOLA],ROUNDUP(ROW(B4697)/TotalEtapas,0)),"")</f>
        <v/>
      </c>
      <c r="E4698" t="str">
        <f>IFERROR(VLOOKUP(tbEscolas[[#This Row],[COD ETPA]],tbEtapas[],2,FALSE),"")</f>
        <v/>
      </c>
      <c r="F4698" t="str">
        <f>IFERROR(VLOOKUP(tbEscolas[[#This Row],[COD ETPA]],tbEtapas[],3,FALSE),"")</f>
        <v/>
      </c>
    </row>
    <row r="4699" spans="1:6" x14ac:dyDescent="0.25">
      <c r="A4699" s="24" t="str">
        <f>_xlfn.XLOOKUP(tbEscolas[[#This Row],[ESCOLA]],tbNucleo[ESCOLA],tbNucleo[COD ESCOLA],"")</f>
        <v/>
      </c>
      <c r="B4699" t="str" cm="1">
        <f t="array" ref="B4699">IFERROR(INDEX(tbNucleo[ESCOLA],ROUNDUP(ROW(B4698)/TotalEtapas,0)),"")</f>
        <v/>
      </c>
      <c r="E4699" t="str">
        <f>IFERROR(VLOOKUP(tbEscolas[[#This Row],[COD ETPA]],tbEtapas[],2,FALSE),"")</f>
        <v/>
      </c>
      <c r="F4699" t="str">
        <f>IFERROR(VLOOKUP(tbEscolas[[#This Row],[COD ETPA]],tbEtapas[],3,FALSE),"")</f>
        <v/>
      </c>
    </row>
    <row r="4700" spans="1:6" x14ac:dyDescent="0.25">
      <c r="A4700" s="24" t="str">
        <f>_xlfn.XLOOKUP(tbEscolas[[#This Row],[ESCOLA]],tbNucleo[ESCOLA],tbNucleo[COD ESCOLA],"")</f>
        <v/>
      </c>
      <c r="B4700" t="str" cm="1">
        <f t="array" ref="B4700">IFERROR(INDEX(tbNucleo[ESCOLA],ROUNDUP(ROW(B4699)/TotalEtapas,0)),"")</f>
        <v/>
      </c>
      <c r="E4700" t="str">
        <f>IFERROR(VLOOKUP(tbEscolas[[#This Row],[COD ETPA]],tbEtapas[],2,FALSE),"")</f>
        <v/>
      </c>
      <c r="F4700" t="str">
        <f>IFERROR(VLOOKUP(tbEscolas[[#This Row],[COD ETPA]],tbEtapas[],3,FALSE),"")</f>
        <v/>
      </c>
    </row>
    <row r="4701" spans="1:6" x14ac:dyDescent="0.25">
      <c r="A4701" s="24" t="str">
        <f>_xlfn.XLOOKUP(tbEscolas[[#This Row],[ESCOLA]],tbNucleo[ESCOLA],tbNucleo[COD ESCOLA],"")</f>
        <v/>
      </c>
      <c r="B4701" t="str" cm="1">
        <f t="array" ref="B4701">IFERROR(INDEX(tbNucleo[ESCOLA],ROUNDUP(ROW(B4700)/TotalEtapas,0)),"")</f>
        <v/>
      </c>
      <c r="E4701" t="str">
        <f>IFERROR(VLOOKUP(tbEscolas[[#This Row],[COD ETPA]],tbEtapas[],2,FALSE),"")</f>
        <v/>
      </c>
      <c r="F4701" t="str">
        <f>IFERROR(VLOOKUP(tbEscolas[[#This Row],[COD ETPA]],tbEtapas[],3,FALSE),"")</f>
        <v/>
      </c>
    </row>
    <row r="4702" spans="1:6" x14ac:dyDescent="0.25">
      <c r="A4702" s="24" t="str">
        <f>_xlfn.XLOOKUP(tbEscolas[[#This Row],[ESCOLA]],tbNucleo[ESCOLA],tbNucleo[COD ESCOLA],"")</f>
        <v/>
      </c>
      <c r="B4702" t="str" cm="1">
        <f t="array" ref="B4702">IFERROR(INDEX(tbNucleo[ESCOLA],ROUNDUP(ROW(B4701)/TotalEtapas,0)),"")</f>
        <v/>
      </c>
      <c r="E4702" t="str">
        <f>IFERROR(VLOOKUP(tbEscolas[[#This Row],[COD ETPA]],tbEtapas[],2,FALSE),"")</f>
        <v/>
      </c>
      <c r="F4702" t="str">
        <f>IFERROR(VLOOKUP(tbEscolas[[#This Row],[COD ETPA]],tbEtapas[],3,FALSE),"")</f>
        <v/>
      </c>
    </row>
    <row r="4703" spans="1:6" x14ac:dyDescent="0.25">
      <c r="A4703" s="24" t="str">
        <f>_xlfn.XLOOKUP(tbEscolas[[#This Row],[ESCOLA]],tbNucleo[ESCOLA],tbNucleo[COD ESCOLA],"")</f>
        <v/>
      </c>
      <c r="B4703" t="str" cm="1">
        <f t="array" ref="B4703">IFERROR(INDEX(tbNucleo[ESCOLA],ROUNDUP(ROW(B4702)/TotalEtapas,0)),"")</f>
        <v/>
      </c>
      <c r="E4703" t="str">
        <f>IFERROR(VLOOKUP(tbEscolas[[#This Row],[COD ETPA]],tbEtapas[],2,FALSE),"")</f>
        <v/>
      </c>
      <c r="F4703" t="str">
        <f>IFERROR(VLOOKUP(tbEscolas[[#This Row],[COD ETPA]],tbEtapas[],3,FALSE),"")</f>
        <v/>
      </c>
    </row>
    <row r="4704" spans="1:6" x14ac:dyDescent="0.25">
      <c r="A4704" s="24" t="str">
        <f>_xlfn.XLOOKUP(tbEscolas[[#This Row],[ESCOLA]],tbNucleo[ESCOLA],tbNucleo[COD ESCOLA],"")</f>
        <v/>
      </c>
      <c r="B4704" t="str" cm="1">
        <f t="array" ref="B4704">IFERROR(INDEX(tbNucleo[ESCOLA],ROUNDUP(ROW(B4703)/TotalEtapas,0)),"")</f>
        <v/>
      </c>
      <c r="E4704" t="str">
        <f>IFERROR(VLOOKUP(tbEscolas[[#This Row],[COD ETPA]],tbEtapas[],2,FALSE),"")</f>
        <v/>
      </c>
      <c r="F4704" t="str">
        <f>IFERROR(VLOOKUP(tbEscolas[[#This Row],[COD ETPA]],tbEtapas[],3,FALSE),"")</f>
        <v/>
      </c>
    </row>
    <row r="4705" spans="1:6" x14ac:dyDescent="0.25">
      <c r="A4705" s="24" t="str">
        <f>_xlfn.XLOOKUP(tbEscolas[[#This Row],[ESCOLA]],tbNucleo[ESCOLA],tbNucleo[COD ESCOLA],"")</f>
        <v/>
      </c>
      <c r="B4705" t="str" cm="1">
        <f t="array" ref="B4705">IFERROR(INDEX(tbNucleo[ESCOLA],ROUNDUP(ROW(B4704)/TotalEtapas,0)),"")</f>
        <v/>
      </c>
      <c r="E4705" t="str">
        <f>IFERROR(VLOOKUP(tbEscolas[[#This Row],[COD ETPA]],tbEtapas[],2,FALSE),"")</f>
        <v/>
      </c>
      <c r="F4705" t="str">
        <f>IFERROR(VLOOKUP(tbEscolas[[#This Row],[COD ETPA]],tbEtapas[],3,FALSE),"")</f>
        <v/>
      </c>
    </row>
    <row r="4706" spans="1:6" x14ac:dyDescent="0.25">
      <c r="A4706" s="24" t="str">
        <f>_xlfn.XLOOKUP(tbEscolas[[#This Row],[ESCOLA]],tbNucleo[ESCOLA],tbNucleo[COD ESCOLA],"")</f>
        <v/>
      </c>
      <c r="B4706" t="str" cm="1">
        <f t="array" ref="B4706">IFERROR(INDEX(tbNucleo[ESCOLA],ROUNDUP(ROW(B4705)/TotalEtapas,0)),"")</f>
        <v/>
      </c>
      <c r="E4706" t="str">
        <f>IFERROR(VLOOKUP(tbEscolas[[#This Row],[COD ETPA]],tbEtapas[],2,FALSE),"")</f>
        <v/>
      </c>
      <c r="F4706" t="str">
        <f>IFERROR(VLOOKUP(tbEscolas[[#This Row],[COD ETPA]],tbEtapas[],3,FALSE),"")</f>
        <v/>
      </c>
    </row>
    <row r="4707" spans="1:6" x14ac:dyDescent="0.25">
      <c r="A4707" s="24" t="str">
        <f>_xlfn.XLOOKUP(tbEscolas[[#This Row],[ESCOLA]],tbNucleo[ESCOLA],tbNucleo[COD ESCOLA],"")</f>
        <v/>
      </c>
      <c r="B4707" t="str" cm="1">
        <f t="array" ref="B4707">IFERROR(INDEX(tbNucleo[ESCOLA],ROUNDUP(ROW(B4706)/TotalEtapas,0)),"")</f>
        <v/>
      </c>
      <c r="E4707" t="str">
        <f>IFERROR(VLOOKUP(tbEscolas[[#This Row],[COD ETPA]],tbEtapas[],2,FALSE),"")</f>
        <v/>
      </c>
      <c r="F4707" t="str">
        <f>IFERROR(VLOOKUP(tbEscolas[[#This Row],[COD ETPA]],tbEtapas[],3,FALSE),"")</f>
        <v/>
      </c>
    </row>
    <row r="4708" spans="1:6" x14ac:dyDescent="0.25">
      <c r="A4708" s="24" t="str">
        <f>_xlfn.XLOOKUP(tbEscolas[[#This Row],[ESCOLA]],tbNucleo[ESCOLA],tbNucleo[COD ESCOLA],"")</f>
        <v/>
      </c>
      <c r="B4708" t="str" cm="1">
        <f t="array" ref="B4708">IFERROR(INDEX(tbNucleo[ESCOLA],ROUNDUP(ROW(B4707)/TotalEtapas,0)),"")</f>
        <v/>
      </c>
      <c r="E4708" t="str">
        <f>IFERROR(VLOOKUP(tbEscolas[[#This Row],[COD ETPA]],tbEtapas[],2,FALSE),"")</f>
        <v/>
      </c>
      <c r="F4708" t="str">
        <f>IFERROR(VLOOKUP(tbEscolas[[#This Row],[COD ETPA]],tbEtapas[],3,FALSE),"")</f>
        <v/>
      </c>
    </row>
    <row r="4709" spans="1:6" x14ac:dyDescent="0.25">
      <c r="A4709" s="24" t="str">
        <f>_xlfn.XLOOKUP(tbEscolas[[#This Row],[ESCOLA]],tbNucleo[ESCOLA],tbNucleo[COD ESCOLA],"")</f>
        <v/>
      </c>
      <c r="B4709" t="str" cm="1">
        <f t="array" ref="B4709">IFERROR(INDEX(tbNucleo[ESCOLA],ROUNDUP(ROW(B4708)/TotalEtapas,0)),"")</f>
        <v/>
      </c>
      <c r="E4709" t="str">
        <f>IFERROR(VLOOKUP(tbEscolas[[#This Row],[COD ETPA]],tbEtapas[],2,FALSE),"")</f>
        <v/>
      </c>
      <c r="F4709" t="str">
        <f>IFERROR(VLOOKUP(tbEscolas[[#This Row],[COD ETPA]],tbEtapas[],3,FALSE),"")</f>
        <v/>
      </c>
    </row>
    <row r="4710" spans="1:6" x14ac:dyDescent="0.25">
      <c r="A4710" s="24" t="str">
        <f>_xlfn.XLOOKUP(tbEscolas[[#This Row],[ESCOLA]],tbNucleo[ESCOLA],tbNucleo[COD ESCOLA],"")</f>
        <v/>
      </c>
      <c r="B4710" t="str" cm="1">
        <f t="array" ref="B4710">IFERROR(INDEX(tbNucleo[ESCOLA],ROUNDUP(ROW(B4709)/TotalEtapas,0)),"")</f>
        <v/>
      </c>
      <c r="E4710" t="str">
        <f>IFERROR(VLOOKUP(tbEscolas[[#This Row],[COD ETPA]],tbEtapas[],2,FALSE),"")</f>
        <v/>
      </c>
      <c r="F4710" t="str">
        <f>IFERROR(VLOOKUP(tbEscolas[[#This Row],[COD ETPA]],tbEtapas[],3,FALSE),"")</f>
        <v/>
      </c>
    </row>
    <row r="4711" spans="1:6" x14ac:dyDescent="0.25">
      <c r="A4711" s="24" t="str">
        <f>_xlfn.XLOOKUP(tbEscolas[[#This Row],[ESCOLA]],tbNucleo[ESCOLA],tbNucleo[COD ESCOLA],"")</f>
        <v/>
      </c>
      <c r="B4711" t="str" cm="1">
        <f t="array" ref="B4711">IFERROR(INDEX(tbNucleo[ESCOLA],ROUNDUP(ROW(B4710)/TotalEtapas,0)),"")</f>
        <v/>
      </c>
      <c r="E4711" t="str">
        <f>IFERROR(VLOOKUP(tbEscolas[[#This Row],[COD ETPA]],tbEtapas[],2,FALSE),"")</f>
        <v/>
      </c>
      <c r="F4711" t="str">
        <f>IFERROR(VLOOKUP(tbEscolas[[#This Row],[COD ETPA]],tbEtapas[],3,FALSE),"")</f>
        <v/>
      </c>
    </row>
    <row r="4712" spans="1:6" x14ac:dyDescent="0.25">
      <c r="A4712" s="24" t="str">
        <f>_xlfn.XLOOKUP(tbEscolas[[#This Row],[ESCOLA]],tbNucleo[ESCOLA],tbNucleo[COD ESCOLA],"")</f>
        <v/>
      </c>
      <c r="B4712" t="str" cm="1">
        <f t="array" ref="B4712">IFERROR(INDEX(tbNucleo[ESCOLA],ROUNDUP(ROW(B4711)/TotalEtapas,0)),"")</f>
        <v/>
      </c>
      <c r="E4712" t="str">
        <f>IFERROR(VLOOKUP(tbEscolas[[#This Row],[COD ETPA]],tbEtapas[],2,FALSE),"")</f>
        <v/>
      </c>
      <c r="F4712" t="str">
        <f>IFERROR(VLOOKUP(tbEscolas[[#This Row],[COD ETPA]],tbEtapas[],3,FALSE),"")</f>
        <v/>
      </c>
    </row>
    <row r="4713" spans="1:6" x14ac:dyDescent="0.25">
      <c r="A4713" s="24" t="str">
        <f>_xlfn.XLOOKUP(tbEscolas[[#This Row],[ESCOLA]],tbNucleo[ESCOLA],tbNucleo[COD ESCOLA],"")</f>
        <v/>
      </c>
      <c r="B4713" t="str" cm="1">
        <f t="array" ref="B4713">IFERROR(INDEX(tbNucleo[ESCOLA],ROUNDUP(ROW(B4712)/TotalEtapas,0)),"")</f>
        <v/>
      </c>
      <c r="E4713" t="str">
        <f>IFERROR(VLOOKUP(tbEscolas[[#This Row],[COD ETPA]],tbEtapas[],2,FALSE),"")</f>
        <v/>
      </c>
      <c r="F4713" t="str">
        <f>IFERROR(VLOOKUP(tbEscolas[[#This Row],[COD ETPA]],tbEtapas[],3,FALSE),"")</f>
        <v/>
      </c>
    </row>
    <row r="4714" spans="1:6" x14ac:dyDescent="0.25">
      <c r="A4714" s="24" t="str">
        <f>_xlfn.XLOOKUP(tbEscolas[[#This Row],[ESCOLA]],tbNucleo[ESCOLA],tbNucleo[COD ESCOLA],"")</f>
        <v/>
      </c>
      <c r="B4714" t="str" cm="1">
        <f t="array" ref="B4714">IFERROR(INDEX(tbNucleo[ESCOLA],ROUNDUP(ROW(B4713)/TotalEtapas,0)),"")</f>
        <v/>
      </c>
      <c r="E4714" t="str">
        <f>IFERROR(VLOOKUP(tbEscolas[[#This Row],[COD ETPA]],tbEtapas[],2,FALSE),"")</f>
        <v/>
      </c>
      <c r="F4714" t="str">
        <f>IFERROR(VLOOKUP(tbEscolas[[#This Row],[COD ETPA]],tbEtapas[],3,FALSE),"")</f>
        <v/>
      </c>
    </row>
    <row r="4715" spans="1:6" x14ac:dyDescent="0.25">
      <c r="A4715" s="24" t="str">
        <f>_xlfn.XLOOKUP(tbEscolas[[#This Row],[ESCOLA]],tbNucleo[ESCOLA],tbNucleo[COD ESCOLA],"")</f>
        <v/>
      </c>
      <c r="B4715" t="str" cm="1">
        <f t="array" ref="B4715">IFERROR(INDEX(tbNucleo[ESCOLA],ROUNDUP(ROW(B4714)/TotalEtapas,0)),"")</f>
        <v/>
      </c>
      <c r="E4715" t="str">
        <f>IFERROR(VLOOKUP(tbEscolas[[#This Row],[COD ETPA]],tbEtapas[],2,FALSE),"")</f>
        <v/>
      </c>
      <c r="F4715" t="str">
        <f>IFERROR(VLOOKUP(tbEscolas[[#This Row],[COD ETPA]],tbEtapas[],3,FALSE),"")</f>
        <v/>
      </c>
    </row>
    <row r="4716" spans="1:6" x14ac:dyDescent="0.25">
      <c r="A4716" s="24" t="str">
        <f>_xlfn.XLOOKUP(tbEscolas[[#This Row],[ESCOLA]],tbNucleo[ESCOLA],tbNucleo[COD ESCOLA],"")</f>
        <v/>
      </c>
      <c r="B4716" t="str" cm="1">
        <f t="array" ref="B4716">IFERROR(INDEX(tbNucleo[ESCOLA],ROUNDUP(ROW(B4715)/TotalEtapas,0)),"")</f>
        <v/>
      </c>
      <c r="E4716" t="str">
        <f>IFERROR(VLOOKUP(tbEscolas[[#This Row],[COD ETPA]],tbEtapas[],2,FALSE),"")</f>
        <v/>
      </c>
      <c r="F4716" t="str">
        <f>IFERROR(VLOOKUP(tbEscolas[[#This Row],[COD ETPA]],tbEtapas[],3,FALSE),"")</f>
        <v/>
      </c>
    </row>
    <row r="4717" spans="1:6" x14ac:dyDescent="0.25">
      <c r="A4717" s="24" t="str">
        <f>_xlfn.XLOOKUP(tbEscolas[[#This Row],[ESCOLA]],tbNucleo[ESCOLA],tbNucleo[COD ESCOLA],"")</f>
        <v/>
      </c>
      <c r="B4717" t="str" cm="1">
        <f t="array" ref="B4717">IFERROR(INDEX(tbNucleo[ESCOLA],ROUNDUP(ROW(B4716)/TotalEtapas,0)),"")</f>
        <v/>
      </c>
      <c r="E4717" t="str">
        <f>IFERROR(VLOOKUP(tbEscolas[[#This Row],[COD ETPA]],tbEtapas[],2,FALSE),"")</f>
        <v/>
      </c>
      <c r="F4717" t="str">
        <f>IFERROR(VLOOKUP(tbEscolas[[#This Row],[COD ETPA]],tbEtapas[],3,FALSE),"")</f>
        <v/>
      </c>
    </row>
    <row r="4718" spans="1:6" x14ac:dyDescent="0.25">
      <c r="A4718" s="24" t="str">
        <f>_xlfn.XLOOKUP(tbEscolas[[#This Row],[ESCOLA]],tbNucleo[ESCOLA],tbNucleo[COD ESCOLA],"")</f>
        <v/>
      </c>
      <c r="B4718" t="str" cm="1">
        <f t="array" ref="B4718">IFERROR(INDEX(tbNucleo[ESCOLA],ROUNDUP(ROW(B4717)/TotalEtapas,0)),"")</f>
        <v/>
      </c>
      <c r="E4718" t="str">
        <f>IFERROR(VLOOKUP(tbEscolas[[#This Row],[COD ETPA]],tbEtapas[],2,FALSE),"")</f>
        <v/>
      </c>
      <c r="F4718" t="str">
        <f>IFERROR(VLOOKUP(tbEscolas[[#This Row],[COD ETPA]],tbEtapas[],3,FALSE),"")</f>
        <v/>
      </c>
    </row>
    <row r="4719" spans="1:6" x14ac:dyDescent="0.25">
      <c r="A4719" s="24" t="str">
        <f>_xlfn.XLOOKUP(tbEscolas[[#This Row],[ESCOLA]],tbNucleo[ESCOLA],tbNucleo[COD ESCOLA],"")</f>
        <v/>
      </c>
      <c r="B4719" t="str" cm="1">
        <f t="array" ref="B4719">IFERROR(INDEX(tbNucleo[ESCOLA],ROUNDUP(ROW(B4718)/TotalEtapas,0)),"")</f>
        <v/>
      </c>
      <c r="E4719" t="str">
        <f>IFERROR(VLOOKUP(tbEscolas[[#This Row],[COD ETPA]],tbEtapas[],2,FALSE),"")</f>
        <v/>
      </c>
      <c r="F4719" t="str">
        <f>IFERROR(VLOOKUP(tbEscolas[[#This Row],[COD ETPA]],tbEtapas[],3,FALSE),"")</f>
        <v/>
      </c>
    </row>
    <row r="4720" spans="1:6" x14ac:dyDescent="0.25">
      <c r="A4720" s="24" t="str">
        <f>_xlfn.XLOOKUP(tbEscolas[[#This Row],[ESCOLA]],tbNucleo[ESCOLA],tbNucleo[COD ESCOLA],"")</f>
        <v/>
      </c>
      <c r="B4720" t="str" cm="1">
        <f t="array" ref="B4720">IFERROR(INDEX(tbNucleo[ESCOLA],ROUNDUP(ROW(B4719)/TotalEtapas,0)),"")</f>
        <v/>
      </c>
      <c r="E4720" t="str">
        <f>IFERROR(VLOOKUP(tbEscolas[[#This Row],[COD ETPA]],tbEtapas[],2,FALSE),"")</f>
        <v/>
      </c>
      <c r="F4720" t="str">
        <f>IFERROR(VLOOKUP(tbEscolas[[#This Row],[COD ETPA]],tbEtapas[],3,FALSE),"")</f>
        <v/>
      </c>
    </row>
    <row r="4721" spans="1:6" x14ac:dyDescent="0.25">
      <c r="A4721" s="24" t="str">
        <f>_xlfn.XLOOKUP(tbEscolas[[#This Row],[ESCOLA]],tbNucleo[ESCOLA],tbNucleo[COD ESCOLA],"")</f>
        <v/>
      </c>
      <c r="B4721" t="str" cm="1">
        <f t="array" ref="B4721">IFERROR(INDEX(tbNucleo[ESCOLA],ROUNDUP(ROW(B4720)/TotalEtapas,0)),"")</f>
        <v/>
      </c>
      <c r="E4721" t="str">
        <f>IFERROR(VLOOKUP(tbEscolas[[#This Row],[COD ETPA]],tbEtapas[],2,FALSE),"")</f>
        <v/>
      </c>
      <c r="F4721" t="str">
        <f>IFERROR(VLOOKUP(tbEscolas[[#This Row],[COD ETPA]],tbEtapas[],3,FALSE),"")</f>
        <v/>
      </c>
    </row>
    <row r="4722" spans="1:6" x14ac:dyDescent="0.25">
      <c r="A4722" s="24" t="str">
        <f>_xlfn.XLOOKUP(tbEscolas[[#This Row],[ESCOLA]],tbNucleo[ESCOLA],tbNucleo[COD ESCOLA],"")</f>
        <v/>
      </c>
      <c r="B4722" t="str" cm="1">
        <f t="array" ref="B4722">IFERROR(INDEX(tbNucleo[ESCOLA],ROUNDUP(ROW(B4721)/TotalEtapas,0)),"")</f>
        <v/>
      </c>
      <c r="E4722" t="str">
        <f>IFERROR(VLOOKUP(tbEscolas[[#This Row],[COD ETPA]],tbEtapas[],2,FALSE),"")</f>
        <v/>
      </c>
      <c r="F4722" t="str">
        <f>IFERROR(VLOOKUP(tbEscolas[[#This Row],[COD ETPA]],tbEtapas[],3,FALSE),"")</f>
        <v/>
      </c>
    </row>
    <row r="4723" spans="1:6" x14ac:dyDescent="0.25">
      <c r="A4723" s="24" t="str">
        <f>_xlfn.XLOOKUP(tbEscolas[[#This Row],[ESCOLA]],tbNucleo[ESCOLA],tbNucleo[COD ESCOLA],"")</f>
        <v/>
      </c>
      <c r="B4723" t="str" cm="1">
        <f t="array" ref="B4723">IFERROR(INDEX(tbNucleo[ESCOLA],ROUNDUP(ROW(B4722)/TotalEtapas,0)),"")</f>
        <v/>
      </c>
      <c r="E4723" t="str">
        <f>IFERROR(VLOOKUP(tbEscolas[[#This Row],[COD ETPA]],tbEtapas[],2,FALSE),"")</f>
        <v/>
      </c>
      <c r="F4723" t="str">
        <f>IFERROR(VLOOKUP(tbEscolas[[#This Row],[COD ETPA]],tbEtapas[],3,FALSE),"")</f>
        <v/>
      </c>
    </row>
    <row r="4724" spans="1:6" x14ac:dyDescent="0.25">
      <c r="A4724" s="24" t="str">
        <f>_xlfn.XLOOKUP(tbEscolas[[#This Row],[ESCOLA]],tbNucleo[ESCOLA],tbNucleo[COD ESCOLA],"")</f>
        <v/>
      </c>
      <c r="B4724" t="str" cm="1">
        <f t="array" ref="B4724">IFERROR(INDEX(tbNucleo[ESCOLA],ROUNDUP(ROW(B4723)/TotalEtapas,0)),"")</f>
        <v/>
      </c>
      <c r="E4724" t="str">
        <f>IFERROR(VLOOKUP(tbEscolas[[#This Row],[COD ETPA]],tbEtapas[],2,FALSE),"")</f>
        <v/>
      </c>
      <c r="F4724" t="str">
        <f>IFERROR(VLOOKUP(tbEscolas[[#This Row],[COD ETPA]],tbEtapas[],3,FALSE),"")</f>
        <v/>
      </c>
    </row>
    <row r="4725" spans="1:6" x14ac:dyDescent="0.25">
      <c r="A4725" s="24" t="str">
        <f>_xlfn.XLOOKUP(tbEscolas[[#This Row],[ESCOLA]],tbNucleo[ESCOLA],tbNucleo[COD ESCOLA],"")</f>
        <v/>
      </c>
      <c r="B4725" t="str" cm="1">
        <f t="array" ref="B4725">IFERROR(INDEX(tbNucleo[ESCOLA],ROUNDUP(ROW(B4724)/TotalEtapas,0)),"")</f>
        <v/>
      </c>
      <c r="E4725" t="str">
        <f>IFERROR(VLOOKUP(tbEscolas[[#This Row],[COD ETPA]],tbEtapas[],2,FALSE),"")</f>
        <v/>
      </c>
      <c r="F4725" t="str">
        <f>IFERROR(VLOOKUP(tbEscolas[[#This Row],[COD ETPA]],tbEtapas[],3,FALSE),"")</f>
        <v/>
      </c>
    </row>
    <row r="4726" spans="1:6" x14ac:dyDescent="0.25">
      <c r="A4726" s="24" t="str">
        <f>_xlfn.XLOOKUP(tbEscolas[[#This Row],[ESCOLA]],tbNucleo[ESCOLA],tbNucleo[COD ESCOLA],"")</f>
        <v/>
      </c>
      <c r="B4726" t="str" cm="1">
        <f t="array" ref="B4726">IFERROR(INDEX(tbNucleo[ESCOLA],ROUNDUP(ROW(B4725)/TotalEtapas,0)),"")</f>
        <v/>
      </c>
      <c r="E4726" t="str">
        <f>IFERROR(VLOOKUP(tbEscolas[[#This Row],[COD ETPA]],tbEtapas[],2,FALSE),"")</f>
        <v/>
      </c>
      <c r="F4726" t="str">
        <f>IFERROR(VLOOKUP(tbEscolas[[#This Row],[COD ETPA]],tbEtapas[],3,FALSE),"")</f>
        <v/>
      </c>
    </row>
    <row r="4727" spans="1:6" x14ac:dyDescent="0.25">
      <c r="A4727" s="24" t="str">
        <f>_xlfn.XLOOKUP(tbEscolas[[#This Row],[ESCOLA]],tbNucleo[ESCOLA],tbNucleo[COD ESCOLA],"")</f>
        <v/>
      </c>
      <c r="B4727" t="str" cm="1">
        <f t="array" ref="B4727">IFERROR(INDEX(tbNucleo[ESCOLA],ROUNDUP(ROW(B4726)/TotalEtapas,0)),"")</f>
        <v/>
      </c>
      <c r="E4727" t="str">
        <f>IFERROR(VLOOKUP(tbEscolas[[#This Row],[COD ETPA]],tbEtapas[],2,FALSE),"")</f>
        <v/>
      </c>
      <c r="F4727" t="str">
        <f>IFERROR(VLOOKUP(tbEscolas[[#This Row],[COD ETPA]],tbEtapas[],3,FALSE),"")</f>
        <v/>
      </c>
    </row>
    <row r="4728" spans="1:6" x14ac:dyDescent="0.25">
      <c r="A4728" s="24" t="str">
        <f>_xlfn.XLOOKUP(tbEscolas[[#This Row],[ESCOLA]],tbNucleo[ESCOLA],tbNucleo[COD ESCOLA],"")</f>
        <v/>
      </c>
      <c r="B4728" t="str" cm="1">
        <f t="array" ref="B4728">IFERROR(INDEX(tbNucleo[ESCOLA],ROUNDUP(ROW(B4727)/TotalEtapas,0)),"")</f>
        <v/>
      </c>
      <c r="E4728" t="str">
        <f>IFERROR(VLOOKUP(tbEscolas[[#This Row],[COD ETPA]],tbEtapas[],2,FALSE),"")</f>
        <v/>
      </c>
      <c r="F4728" t="str">
        <f>IFERROR(VLOOKUP(tbEscolas[[#This Row],[COD ETPA]],tbEtapas[],3,FALSE),"")</f>
        <v/>
      </c>
    </row>
    <row r="4729" spans="1:6" x14ac:dyDescent="0.25">
      <c r="A4729" s="24" t="str">
        <f>_xlfn.XLOOKUP(tbEscolas[[#This Row],[ESCOLA]],tbNucleo[ESCOLA],tbNucleo[COD ESCOLA],"")</f>
        <v/>
      </c>
      <c r="B4729" t="str" cm="1">
        <f t="array" ref="B4729">IFERROR(INDEX(tbNucleo[ESCOLA],ROUNDUP(ROW(B4728)/TotalEtapas,0)),"")</f>
        <v/>
      </c>
      <c r="E4729" t="str">
        <f>IFERROR(VLOOKUP(tbEscolas[[#This Row],[COD ETPA]],tbEtapas[],2,FALSE),"")</f>
        <v/>
      </c>
      <c r="F4729" t="str">
        <f>IFERROR(VLOOKUP(tbEscolas[[#This Row],[COD ETPA]],tbEtapas[],3,FALSE),"")</f>
        <v/>
      </c>
    </row>
    <row r="4730" spans="1:6" x14ac:dyDescent="0.25">
      <c r="A4730" s="24" t="str">
        <f>_xlfn.XLOOKUP(tbEscolas[[#This Row],[ESCOLA]],tbNucleo[ESCOLA],tbNucleo[COD ESCOLA],"")</f>
        <v/>
      </c>
      <c r="B4730" t="str" cm="1">
        <f t="array" ref="B4730">IFERROR(INDEX(tbNucleo[ESCOLA],ROUNDUP(ROW(B4729)/TotalEtapas,0)),"")</f>
        <v/>
      </c>
      <c r="E4730" t="str">
        <f>IFERROR(VLOOKUP(tbEscolas[[#This Row],[COD ETPA]],tbEtapas[],2,FALSE),"")</f>
        <v/>
      </c>
      <c r="F4730" t="str">
        <f>IFERROR(VLOOKUP(tbEscolas[[#This Row],[COD ETPA]],tbEtapas[],3,FALSE),"")</f>
        <v/>
      </c>
    </row>
    <row r="4731" spans="1:6" x14ac:dyDescent="0.25">
      <c r="A4731" s="24" t="str">
        <f>_xlfn.XLOOKUP(tbEscolas[[#This Row],[ESCOLA]],tbNucleo[ESCOLA],tbNucleo[COD ESCOLA],"")</f>
        <v/>
      </c>
      <c r="B4731" t="str" cm="1">
        <f t="array" ref="B4731">IFERROR(INDEX(tbNucleo[ESCOLA],ROUNDUP(ROW(B4730)/TotalEtapas,0)),"")</f>
        <v/>
      </c>
      <c r="E4731" t="str">
        <f>IFERROR(VLOOKUP(tbEscolas[[#This Row],[COD ETPA]],tbEtapas[],2,FALSE),"")</f>
        <v/>
      </c>
      <c r="F4731" t="str">
        <f>IFERROR(VLOOKUP(tbEscolas[[#This Row],[COD ETPA]],tbEtapas[],3,FALSE),"")</f>
        <v/>
      </c>
    </row>
    <row r="4732" spans="1:6" x14ac:dyDescent="0.25">
      <c r="A4732" s="24" t="str">
        <f>_xlfn.XLOOKUP(tbEscolas[[#This Row],[ESCOLA]],tbNucleo[ESCOLA],tbNucleo[COD ESCOLA],"")</f>
        <v/>
      </c>
      <c r="B4732" t="str" cm="1">
        <f t="array" ref="B4732">IFERROR(INDEX(tbNucleo[ESCOLA],ROUNDUP(ROW(B4731)/TotalEtapas,0)),"")</f>
        <v/>
      </c>
      <c r="E4732" t="str">
        <f>IFERROR(VLOOKUP(tbEscolas[[#This Row],[COD ETPA]],tbEtapas[],2,FALSE),"")</f>
        <v/>
      </c>
      <c r="F4732" t="str">
        <f>IFERROR(VLOOKUP(tbEscolas[[#This Row],[COD ETPA]],tbEtapas[],3,FALSE),"")</f>
        <v/>
      </c>
    </row>
    <row r="4733" spans="1:6" x14ac:dyDescent="0.25">
      <c r="A4733" s="24" t="str">
        <f>_xlfn.XLOOKUP(tbEscolas[[#This Row],[ESCOLA]],tbNucleo[ESCOLA],tbNucleo[COD ESCOLA],"")</f>
        <v/>
      </c>
      <c r="B4733" t="str" cm="1">
        <f t="array" ref="B4733">IFERROR(INDEX(tbNucleo[ESCOLA],ROUNDUP(ROW(B4732)/TotalEtapas,0)),"")</f>
        <v/>
      </c>
      <c r="E4733" t="str">
        <f>IFERROR(VLOOKUP(tbEscolas[[#This Row],[COD ETPA]],tbEtapas[],2,FALSE),"")</f>
        <v/>
      </c>
      <c r="F4733" t="str">
        <f>IFERROR(VLOOKUP(tbEscolas[[#This Row],[COD ETPA]],tbEtapas[],3,FALSE),"")</f>
        <v/>
      </c>
    </row>
    <row r="4734" spans="1:6" x14ac:dyDescent="0.25">
      <c r="A4734" s="24" t="str">
        <f>_xlfn.XLOOKUP(tbEscolas[[#This Row],[ESCOLA]],tbNucleo[ESCOLA],tbNucleo[COD ESCOLA],"")</f>
        <v/>
      </c>
      <c r="B4734" t="str" cm="1">
        <f t="array" ref="B4734">IFERROR(INDEX(tbNucleo[ESCOLA],ROUNDUP(ROW(B4733)/TotalEtapas,0)),"")</f>
        <v/>
      </c>
      <c r="E4734" t="str">
        <f>IFERROR(VLOOKUP(tbEscolas[[#This Row],[COD ETPA]],tbEtapas[],2,FALSE),"")</f>
        <v/>
      </c>
      <c r="F4734" t="str">
        <f>IFERROR(VLOOKUP(tbEscolas[[#This Row],[COD ETPA]],tbEtapas[],3,FALSE),"")</f>
        <v/>
      </c>
    </row>
    <row r="4735" spans="1:6" x14ac:dyDescent="0.25">
      <c r="A4735" s="24" t="str">
        <f>_xlfn.XLOOKUP(tbEscolas[[#This Row],[ESCOLA]],tbNucleo[ESCOLA],tbNucleo[COD ESCOLA],"")</f>
        <v/>
      </c>
      <c r="B4735" t="str" cm="1">
        <f t="array" ref="B4735">IFERROR(INDEX(tbNucleo[ESCOLA],ROUNDUP(ROW(B4734)/TotalEtapas,0)),"")</f>
        <v/>
      </c>
      <c r="E4735" t="str">
        <f>IFERROR(VLOOKUP(tbEscolas[[#This Row],[COD ETPA]],tbEtapas[],2,FALSE),"")</f>
        <v/>
      </c>
      <c r="F4735" t="str">
        <f>IFERROR(VLOOKUP(tbEscolas[[#This Row],[COD ETPA]],tbEtapas[],3,FALSE),"")</f>
        <v/>
      </c>
    </row>
    <row r="4736" spans="1:6" x14ac:dyDescent="0.25">
      <c r="A4736" s="24" t="str">
        <f>_xlfn.XLOOKUP(tbEscolas[[#This Row],[ESCOLA]],tbNucleo[ESCOLA],tbNucleo[COD ESCOLA],"")</f>
        <v/>
      </c>
      <c r="B4736" t="str" cm="1">
        <f t="array" ref="B4736">IFERROR(INDEX(tbNucleo[ESCOLA],ROUNDUP(ROW(B4735)/TotalEtapas,0)),"")</f>
        <v/>
      </c>
      <c r="E4736" t="str">
        <f>IFERROR(VLOOKUP(tbEscolas[[#This Row],[COD ETPA]],tbEtapas[],2,FALSE),"")</f>
        <v/>
      </c>
      <c r="F4736" t="str">
        <f>IFERROR(VLOOKUP(tbEscolas[[#This Row],[COD ETPA]],tbEtapas[],3,FALSE),"")</f>
        <v/>
      </c>
    </row>
    <row r="4737" spans="1:6" x14ac:dyDescent="0.25">
      <c r="A4737" s="24" t="str">
        <f>_xlfn.XLOOKUP(tbEscolas[[#This Row],[ESCOLA]],tbNucleo[ESCOLA],tbNucleo[COD ESCOLA],"")</f>
        <v/>
      </c>
      <c r="B4737" t="str" cm="1">
        <f t="array" ref="B4737">IFERROR(INDEX(tbNucleo[ESCOLA],ROUNDUP(ROW(B4736)/TotalEtapas,0)),"")</f>
        <v/>
      </c>
      <c r="E4737" t="str">
        <f>IFERROR(VLOOKUP(tbEscolas[[#This Row],[COD ETPA]],tbEtapas[],2,FALSE),"")</f>
        <v/>
      </c>
      <c r="F4737" t="str">
        <f>IFERROR(VLOOKUP(tbEscolas[[#This Row],[COD ETPA]],tbEtapas[],3,FALSE),"")</f>
        <v/>
      </c>
    </row>
    <row r="4738" spans="1:6" x14ac:dyDescent="0.25">
      <c r="A4738" s="24" t="str">
        <f>_xlfn.XLOOKUP(tbEscolas[[#This Row],[ESCOLA]],tbNucleo[ESCOLA],tbNucleo[COD ESCOLA],"")</f>
        <v/>
      </c>
      <c r="B4738" t="str" cm="1">
        <f t="array" ref="B4738">IFERROR(INDEX(tbNucleo[ESCOLA],ROUNDUP(ROW(B4737)/TotalEtapas,0)),"")</f>
        <v/>
      </c>
      <c r="E4738" t="str">
        <f>IFERROR(VLOOKUP(tbEscolas[[#This Row],[COD ETPA]],tbEtapas[],2,FALSE),"")</f>
        <v/>
      </c>
      <c r="F4738" t="str">
        <f>IFERROR(VLOOKUP(tbEscolas[[#This Row],[COD ETPA]],tbEtapas[],3,FALSE),"")</f>
        <v/>
      </c>
    </row>
    <row r="4739" spans="1:6" x14ac:dyDescent="0.25">
      <c r="A4739" s="24" t="str">
        <f>_xlfn.XLOOKUP(tbEscolas[[#This Row],[ESCOLA]],tbNucleo[ESCOLA],tbNucleo[COD ESCOLA],"")</f>
        <v/>
      </c>
      <c r="B4739" t="str" cm="1">
        <f t="array" ref="B4739">IFERROR(INDEX(tbNucleo[ESCOLA],ROUNDUP(ROW(B4738)/TotalEtapas,0)),"")</f>
        <v/>
      </c>
      <c r="E4739" t="str">
        <f>IFERROR(VLOOKUP(tbEscolas[[#This Row],[COD ETPA]],tbEtapas[],2,FALSE),"")</f>
        <v/>
      </c>
      <c r="F4739" t="str">
        <f>IFERROR(VLOOKUP(tbEscolas[[#This Row],[COD ETPA]],tbEtapas[],3,FALSE),"")</f>
        <v/>
      </c>
    </row>
    <row r="4740" spans="1:6" x14ac:dyDescent="0.25">
      <c r="A4740" s="24" t="str">
        <f>_xlfn.XLOOKUP(tbEscolas[[#This Row],[ESCOLA]],tbNucleo[ESCOLA],tbNucleo[COD ESCOLA],"")</f>
        <v/>
      </c>
      <c r="B4740" t="str" cm="1">
        <f t="array" ref="B4740">IFERROR(INDEX(tbNucleo[ESCOLA],ROUNDUP(ROW(B4739)/TotalEtapas,0)),"")</f>
        <v/>
      </c>
      <c r="E4740" t="str">
        <f>IFERROR(VLOOKUP(tbEscolas[[#This Row],[COD ETPA]],tbEtapas[],2,FALSE),"")</f>
        <v/>
      </c>
      <c r="F4740" t="str">
        <f>IFERROR(VLOOKUP(tbEscolas[[#This Row],[COD ETPA]],tbEtapas[],3,FALSE),"")</f>
        <v/>
      </c>
    </row>
    <row r="4741" spans="1:6" x14ac:dyDescent="0.25">
      <c r="A4741" s="24" t="str">
        <f>_xlfn.XLOOKUP(tbEscolas[[#This Row],[ESCOLA]],tbNucleo[ESCOLA],tbNucleo[COD ESCOLA],"")</f>
        <v/>
      </c>
      <c r="B4741" t="str" cm="1">
        <f t="array" ref="B4741">IFERROR(INDEX(tbNucleo[ESCOLA],ROUNDUP(ROW(B4740)/TotalEtapas,0)),"")</f>
        <v/>
      </c>
      <c r="E4741" t="str">
        <f>IFERROR(VLOOKUP(tbEscolas[[#This Row],[COD ETPA]],tbEtapas[],2,FALSE),"")</f>
        <v/>
      </c>
      <c r="F4741" t="str">
        <f>IFERROR(VLOOKUP(tbEscolas[[#This Row],[COD ETPA]],tbEtapas[],3,FALSE),"")</f>
        <v/>
      </c>
    </row>
    <row r="4742" spans="1:6" x14ac:dyDescent="0.25">
      <c r="A4742" s="24" t="str">
        <f>_xlfn.XLOOKUP(tbEscolas[[#This Row],[ESCOLA]],tbNucleo[ESCOLA],tbNucleo[COD ESCOLA],"")</f>
        <v/>
      </c>
      <c r="B4742" t="str" cm="1">
        <f t="array" ref="B4742">IFERROR(INDEX(tbNucleo[ESCOLA],ROUNDUP(ROW(B4741)/TotalEtapas,0)),"")</f>
        <v/>
      </c>
      <c r="E4742" t="str">
        <f>IFERROR(VLOOKUP(tbEscolas[[#This Row],[COD ETPA]],tbEtapas[],2,FALSE),"")</f>
        <v/>
      </c>
      <c r="F4742" t="str">
        <f>IFERROR(VLOOKUP(tbEscolas[[#This Row],[COD ETPA]],tbEtapas[],3,FALSE),"")</f>
        <v/>
      </c>
    </row>
    <row r="4743" spans="1:6" x14ac:dyDescent="0.25">
      <c r="A4743" s="24" t="str">
        <f>_xlfn.XLOOKUP(tbEscolas[[#This Row],[ESCOLA]],tbNucleo[ESCOLA],tbNucleo[COD ESCOLA],"")</f>
        <v/>
      </c>
      <c r="B4743" t="str" cm="1">
        <f t="array" ref="B4743">IFERROR(INDEX(tbNucleo[ESCOLA],ROUNDUP(ROW(B4742)/TotalEtapas,0)),"")</f>
        <v/>
      </c>
      <c r="E4743" t="str">
        <f>IFERROR(VLOOKUP(tbEscolas[[#This Row],[COD ETPA]],tbEtapas[],2,FALSE),"")</f>
        <v/>
      </c>
      <c r="F4743" t="str">
        <f>IFERROR(VLOOKUP(tbEscolas[[#This Row],[COD ETPA]],tbEtapas[],3,FALSE),"")</f>
        <v/>
      </c>
    </row>
    <row r="4744" spans="1:6" x14ac:dyDescent="0.25">
      <c r="A4744" s="24" t="str">
        <f>_xlfn.XLOOKUP(tbEscolas[[#This Row],[ESCOLA]],tbNucleo[ESCOLA],tbNucleo[COD ESCOLA],"")</f>
        <v/>
      </c>
      <c r="B4744" t="str" cm="1">
        <f t="array" ref="B4744">IFERROR(INDEX(tbNucleo[ESCOLA],ROUNDUP(ROW(B4743)/TotalEtapas,0)),"")</f>
        <v/>
      </c>
      <c r="E4744" t="str">
        <f>IFERROR(VLOOKUP(tbEscolas[[#This Row],[COD ETPA]],tbEtapas[],2,FALSE),"")</f>
        <v/>
      </c>
      <c r="F4744" t="str">
        <f>IFERROR(VLOOKUP(tbEscolas[[#This Row],[COD ETPA]],tbEtapas[],3,FALSE),"")</f>
        <v/>
      </c>
    </row>
    <row r="4745" spans="1:6" x14ac:dyDescent="0.25">
      <c r="A4745" s="24" t="str">
        <f>_xlfn.XLOOKUP(tbEscolas[[#This Row],[ESCOLA]],tbNucleo[ESCOLA],tbNucleo[COD ESCOLA],"")</f>
        <v/>
      </c>
      <c r="B4745" t="str" cm="1">
        <f t="array" ref="B4745">IFERROR(INDEX(tbNucleo[ESCOLA],ROUNDUP(ROW(B4744)/TotalEtapas,0)),"")</f>
        <v/>
      </c>
      <c r="E4745" t="str">
        <f>IFERROR(VLOOKUP(tbEscolas[[#This Row],[COD ETPA]],tbEtapas[],2,FALSE),"")</f>
        <v/>
      </c>
      <c r="F4745" t="str">
        <f>IFERROR(VLOOKUP(tbEscolas[[#This Row],[COD ETPA]],tbEtapas[],3,FALSE),"")</f>
        <v/>
      </c>
    </row>
    <row r="4746" spans="1:6" x14ac:dyDescent="0.25">
      <c r="A4746" s="24" t="str">
        <f>_xlfn.XLOOKUP(tbEscolas[[#This Row],[ESCOLA]],tbNucleo[ESCOLA],tbNucleo[COD ESCOLA],"")</f>
        <v/>
      </c>
      <c r="B4746" t="str" cm="1">
        <f t="array" ref="B4746">IFERROR(INDEX(tbNucleo[ESCOLA],ROUNDUP(ROW(B4745)/TotalEtapas,0)),"")</f>
        <v/>
      </c>
      <c r="E4746" t="str">
        <f>IFERROR(VLOOKUP(tbEscolas[[#This Row],[COD ETPA]],tbEtapas[],2,FALSE),"")</f>
        <v/>
      </c>
      <c r="F4746" t="str">
        <f>IFERROR(VLOOKUP(tbEscolas[[#This Row],[COD ETPA]],tbEtapas[],3,FALSE),"")</f>
        <v/>
      </c>
    </row>
    <row r="4747" spans="1:6" x14ac:dyDescent="0.25">
      <c r="A4747" s="24" t="str">
        <f>_xlfn.XLOOKUP(tbEscolas[[#This Row],[ESCOLA]],tbNucleo[ESCOLA],tbNucleo[COD ESCOLA],"")</f>
        <v/>
      </c>
      <c r="B4747" t="str" cm="1">
        <f t="array" ref="B4747">IFERROR(INDEX(tbNucleo[ESCOLA],ROUNDUP(ROW(B4746)/TotalEtapas,0)),"")</f>
        <v/>
      </c>
      <c r="E4747" t="str">
        <f>IFERROR(VLOOKUP(tbEscolas[[#This Row],[COD ETPA]],tbEtapas[],2,FALSE),"")</f>
        <v/>
      </c>
      <c r="F4747" t="str">
        <f>IFERROR(VLOOKUP(tbEscolas[[#This Row],[COD ETPA]],tbEtapas[],3,FALSE),"")</f>
        <v/>
      </c>
    </row>
    <row r="4748" spans="1:6" x14ac:dyDescent="0.25">
      <c r="A4748" s="24" t="str">
        <f>_xlfn.XLOOKUP(tbEscolas[[#This Row],[ESCOLA]],tbNucleo[ESCOLA],tbNucleo[COD ESCOLA],"")</f>
        <v/>
      </c>
      <c r="B4748" t="str" cm="1">
        <f t="array" ref="B4748">IFERROR(INDEX(tbNucleo[ESCOLA],ROUNDUP(ROW(B4747)/TotalEtapas,0)),"")</f>
        <v/>
      </c>
      <c r="E4748" t="str">
        <f>IFERROR(VLOOKUP(tbEscolas[[#This Row],[COD ETPA]],tbEtapas[],2,FALSE),"")</f>
        <v/>
      </c>
      <c r="F4748" t="str">
        <f>IFERROR(VLOOKUP(tbEscolas[[#This Row],[COD ETPA]],tbEtapas[],3,FALSE),"")</f>
        <v/>
      </c>
    </row>
    <row r="4749" spans="1:6" x14ac:dyDescent="0.25">
      <c r="A4749" s="24" t="str">
        <f>_xlfn.XLOOKUP(tbEscolas[[#This Row],[ESCOLA]],tbNucleo[ESCOLA],tbNucleo[COD ESCOLA],"")</f>
        <v/>
      </c>
      <c r="B4749" t="str" cm="1">
        <f t="array" ref="B4749">IFERROR(INDEX(tbNucleo[ESCOLA],ROUNDUP(ROW(B4748)/TotalEtapas,0)),"")</f>
        <v/>
      </c>
      <c r="E4749" t="str">
        <f>IFERROR(VLOOKUP(tbEscolas[[#This Row],[COD ETPA]],tbEtapas[],2,FALSE),"")</f>
        <v/>
      </c>
      <c r="F4749" t="str">
        <f>IFERROR(VLOOKUP(tbEscolas[[#This Row],[COD ETPA]],tbEtapas[],3,FALSE),"")</f>
        <v/>
      </c>
    </row>
    <row r="4750" spans="1:6" x14ac:dyDescent="0.25">
      <c r="A4750" s="24" t="str">
        <f>_xlfn.XLOOKUP(tbEscolas[[#This Row],[ESCOLA]],tbNucleo[ESCOLA],tbNucleo[COD ESCOLA],"")</f>
        <v/>
      </c>
      <c r="B4750" t="str" cm="1">
        <f t="array" ref="B4750">IFERROR(INDEX(tbNucleo[ESCOLA],ROUNDUP(ROW(B4749)/TotalEtapas,0)),"")</f>
        <v/>
      </c>
      <c r="E4750" t="str">
        <f>IFERROR(VLOOKUP(tbEscolas[[#This Row],[COD ETPA]],tbEtapas[],2,FALSE),"")</f>
        <v/>
      </c>
      <c r="F4750" t="str">
        <f>IFERROR(VLOOKUP(tbEscolas[[#This Row],[COD ETPA]],tbEtapas[],3,FALSE),"")</f>
        <v/>
      </c>
    </row>
    <row r="4751" spans="1:6" x14ac:dyDescent="0.25">
      <c r="A4751" s="24" t="str">
        <f>_xlfn.XLOOKUP(tbEscolas[[#This Row],[ESCOLA]],tbNucleo[ESCOLA],tbNucleo[COD ESCOLA],"")</f>
        <v/>
      </c>
      <c r="B4751" t="str" cm="1">
        <f t="array" ref="B4751">IFERROR(INDEX(tbNucleo[ESCOLA],ROUNDUP(ROW(B4750)/TotalEtapas,0)),"")</f>
        <v/>
      </c>
      <c r="E4751" t="str">
        <f>IFERROR(VLOOKUP(tbEscolas[[#This Row],[COD ETPA]],tbEtapas[],2,FALSE),"")</f>
        <v/>
      </c>
      <c r="F4751" t="str">
        <f>IFERROR(VLOOKUP(tbEscolas[[#This Row],[COD ETPA]],tbEtapas[],3,FALSE),"")</f>
        <v/>
      </c>
    </row>
    <row r="4752" spans="1:6" x14ac:dyDescent="0.25">
      <c r="A4752" s="24" t="str">
        <f>_xlfn.XLOOKUP(tbEscolas[[#This Row],[ESCOLA]],tbNucleo[ESCOLA],tbNucleo[COD ESCOLA],"")</f>
        <v/>
      </c>
      <c r="B4752" t="str" cm="1">
        <f t="array" ref="B4752">IFERROR(INDEX(tbNucleo[ESCOLA],ROUNDUP(ROW(B4751)/TotalEtapas,0)),"")</f>
        <v/>
      </c>
      <c r="E4752" t="str">
        <f>IFERROR(VLOOKUP(tbEscolas[[#This Row],[COD ETPA]],tbEtapas[],2,FALSE),"")</f>
        <v/>
      </c>
      <c r="F4752" t="str">
        <f>IFERROR(VLOOKUP(tbEscolas[[#This Row],[COD ETPA]],tbEtapas[],3,FALSE),"")</f>
        <v/>
      </c>
    </row>
    <row r="4753" spans="1:6" x14ac:dyDescent="0.25">
      <c r="A4753" s="24" t="str">
        <f>_xlfn.XLOOKUP(tbEscolas[[#This Row],[ESCOLA]],tbNucleo[ESCOLA],tbNucleo[COD ESCOLA],"")</f>
        <v/>
      </c>
      <c r="B4753" t="str" cm="1">
        <f t="array" ref="B4753">IFERROR(INDEX(tbNucleo[ESCOLA],ROUNDUP(ROW(B4752)/TotalEtapas,0)),"")</f>
        <v/>
      </c>
      <c r="E4753" t="str">
        <f>IFERROR(VLOOKUP(tbEscolas[[#This Row],[COD ETPA]],tbEtapas[],2,FALSE),"")</f>
        <v/>
      </c>
      <c r="F4753" t="str">
        <f>IFERROR(VLOOKUP(tbEscolas[[#This Row],[COD ETPA]],tbEtapas[],3,FALSE),"")</f>
        <v/>
      </c>
    </row>
    <row r="4754" spans="1:6" x14ac:dyDescent="0.25">
      <c r="A4754" s="24" t="str">
        <f>_xlfn.XLOOKUP(tbEscolas[[#This Row],[ESCOLA]],tbNucleo[ESCOLA],tbNucleo[COD ESCOLA],"")</f>
        <v/>
      </c>
      <c r="B4754" t="str" cm="1">
        <f t="array" ref="B4754">IFERROR(INDEX(tbNucleo[ESCOLA],ROUNDUP(ROW(B4753)/TotalEtapas,0)),"")</f>
        <v/>
      </c>
      <c r="E4754" t="str">
        <f>IFERROR(VLOOKUP(tbEscolas[[#This Row],[COD ETPA]],tbEtapas[],2,FALSE),"")</f>
        <v/>
      </c>
      <c r="F4754" t="str">
        <f>IFERROR(VLOOKUP(tbEscolas[[#This Row],[COD ETPA]],tbEtapas[],3,FALSE),"")</f>
        <v/>
      </c>
    </row>
    <row r="4755" spans="1:6" x14ac:dyDescent="0.25">
      <c r="A4755" s="24" t="str">
        <f>_xlfn.XLOOKUP(tbEscolas[[#This Row],[ESCOLA]],tbNucleo[ESCOLA],tbNucleo[COD ESCOLA],"")</f>
        <v/>
      </c>
      <c r="B4755" t="str" cm="1">
        <f t="array" ref="B4755">IFERROR(INDEX(tbNucleo[ESCOLA],ROUNDUP(ROW(B4754)/TotalEtapas,0)),"")</f>
        <v/>
      </c>
      <c r="E4755" t="str">
        <f>IFERROR(VLOOKUP(tbEscolas[[#This Row],[COD ETPA]],tbEtapas[],2,FALSE),"")</f>
        <v/>
      </c>
      <c r="F4755" t="str">
        <f>IFERROR(VLOOKUP(tbEscolas[[#This Row],[COD ETPA]],tbEtapas[],3,FALSE),"")</f>
        <v/>
      </c>
    </row>
    <row r="4756" spans="1:6" x14ac:dyDescent="0.25">
      <c r="A4756" s="24" t="str">
        <f>_xlfn.XLOOKUP(tbEscolas[[#This Row],[ESCOLA]],tbNucleo[ESCOLA],tbNucleo[COD ESCOLA],"")</f>
        <v/>
      </c>
      <c r="B4756" t="str" cm="1">
        <f t="array" ref="B4756">IFERROR(INDEX(tbNucleo[ESCOLA],ROUNDUP(ROW(B4755)/TotalEtapas,0)),"")</f>
        <v/>
      </c>
      <c r="E4756" t="str">
        <f>IFERROR(VLOOKUP(tbEscolas[[#This Row],[COD ETPA]],tbEtapas[],2,FALSE),"")</f>
        <v/>
      </c>
      <c r="F4756" t="str">
        <f>IFERROR(VLOOKUP(tbEscolas[[#This Row],[COD ETPA]],tbEtapas[],3,FALSE),"")</f>
        <v/>
      </c>
    </row>
    <row r="4757" spans="1:6" x14ac:dyDescent="0.25">
      <c r="A4757" s="24" t="str">
        <f>_xlfn.XLOOKUP(tbEscolas[[#This Row],[ESCOLA]],tbNucleo[ESCOLA],tbNucleo[COD ESCOLA],"")</f>
        <v/>
      </c>
      <c r="B4757" t="str" cm="1">
        <f t="array" ref="B4757">IFERROR(INDEX(tbNucleo[ESCOLA],ROUNDUP(ROW(B4756)/TotalEtapas,0)),"")</f>
        <v/>
      </c>
      <c r="E4757" t="str">
        <f>IFERROR(VLOOKUP(tbEscolas[[#This Row],[COD ETPA]],tbEtapas[],2,FALSE),"")</f>
        <v/>
      </c>
      <c r="F4757" t="str">
        <f>IFERROR(VLOOKUP(tbEscolas[[#This Row],[COD ETPA]],tbEtapas[],3,FALSE),"")</f>
        <v/>
      </c>
    </row>
    <row r="4758" spans="1:6" x14ac:dyDescent="0.25">
      <c r="A4758" s="24" t="str">
        <f>_xlfn.XLOOKUP(tbEscolas[[#This Row],[ESCOLA]],tbNucleo[ESCOLA],tbNucleo[COD ESCOLA],"")</f>
        <v/>
      </c>
      <c r="B4758" t="str" cm="1">
        <f t="array" ref="B4758">IFERROR(INDEX(tbNucleo[ESCOLA],ROUNDUP(ROW(B4757)/TotalEtapas,0)),"")</f>
        <v/>
      </c>
      <c r="E4758" t="str">
        <f>IFERROR(VLOOKUP(tbEscolas[[#This Row],[COD ETPA]],tbEtapas[],2,FALSE),"")</f>
        <v/>
      </c>
      <c r="F4758" t="str">
        <f>IFERROR(VLOOKUP(tbEscolas[[#This Row],[COD ETPA]],tbEtapas[],3,FALSE),"")</f>
        <v/>
      </c>
    </row>
    <row r="4759" spans="1:6" x14ac:dyDescent="0.25">
      <c r="A4759" s="24" t="str">
        <f>_xlfn.XLOOKUP(tbEscolas[[#This Row],[ESCOLA]],tbNucleo[ESCOLA],tbNucleo[COD ESCOLA],"")</f>
        <v/>
      </c>
      <c r="B4759" t="str" cm="1">
        <f t="array" ref="B4759">IFERROR(INDEX(tbNucleo[ESCOLA],ROUNDUP(ROW(B4758)/TotalEtapas,0)),"")</f>
        <v/>
      </c>
      <c r="E4759" t="str">
        <f>IFERROR(VLOOKUP(tbEscolas[[#This Row],[COD ETPA]],tbEtapas[],2,FALSE),"")</f>
        <v/>
      </c>
      <c r="F4759" t="str">
        <f>IFERROR(VLOOKUP(tbEscolas[[#This Row],[COD ETPA]],tbEtapas[],3,FALSE),"")</f>
        <v/>
      </c>
    </row>
    <row r="4760" spans="1:6" x14ac:dyDescent="0.25">
      <c r="A4760" s="24" t="str">
        <f>_xlfn.XLOOKUP(tbEscolas[[#This Row],[ESCOLA]],tbNucleo[ESCOLA],tbNucleo[COD ESCOLA],"")</f>
        <v/>
      </c>
      <c r="B4760" t="str" cm="1">
        <f t="array" ref="B4760">IFERROR(INDEX(tbNucleo[ESCOLA],ROUNDUP(ROW(B4759)/TotalEtapas,0)),"")</f>
        <v/>
      </c>
      <c r="E4760" t="str">
        <f>IFERROR(VLOOKUP(tbEscolas[[#This Row],[COD ETPA]],tbEtapas[],2,FALSE),"")</f>
        <v/>
      </c>
      <c r="F4760" t="str">
        <f>IFERROR(VLOOKUP(tbEscolas[[#This Row],[COD ETPA]],tbEtapas[],3,FALSE),"")</f>
        <v/>
      </c>
    </row>
    <row r="4761" spans="1:6" x14ac:dyDescent="0.25">
      <c r="A4761" s="24" t="str">
        <f>_xlfn.XLOOKUP(tbEscolas[[#This Row],[ESCOLA]],tbNucleo[ESCOLA],tbNucleo[COD ESCOLA],"")</f>
        <v/>
      </c>
      <c r="B4761" t="str" cm="1">
        <f t="array" ref="B4761">IFERROR(INDEX(tbNucleo[ESCOLA],ROUNDUP(ROW(B4760)/TotalEtapas,0)),"")</f>
        <v/>
      </c>
      <c r="E4761" t="str">
        <f>IFERROR(VLOOKUP(tbEscolas[[#This Row],[COD ETPA]],tbEtapas[],2,FALSE),"")</f>
        <v/>
      </c>
      <c r="F4761" t="str">
        <f>IFERROR(VLOOKUP(tbEscolas[[#This Row],[COD ETPA]],tbEtapas[],3,FALSE),"")</f>
        <v/>
      </c>
    </row>
    <row r="4762" spans="1:6" x14ac:dyDescent="0.25">
      <c r="A4762" s="24" t="str">
        <f>_xlfn.XLOOKUP(tbEscolas[[#This Row],[ESCOLA]],tbNucleo[ESCOLA],tbNucleo[COD ESCOLA],"")</f>
        <v/>
      </c>
      <c r="B4762" t="str" cm="1">
        <f t="array" ref="B4762">IFERROR(INDEX(tbNucleo[ESCOLA],ROUNDUP(ROW(B4761)/TotalEtapas,0)),"")</f>
        <v/>
      </c>
      <c r="E4762" t="str">
        <f>IFERROR(VLOOKUP(tbEscolas[[#This Row],[COD ETPA]],tbEtapas[],2,FALSE),"")</f>
        <v/>
      </c>
      <c r="F4762" t="str">
        <f>IFERROR(VLOOKUP(tbEscolas[[#This Row],[COD ETPA]],tbEtapas[],3,FALSE),"")</f>
        <v/>
      </c>
    </row>
    <row r="4763" spans="1:6" x14ac:dyDescent="0.25">
      <c r="A4763" s="24" t="str">
        <f>_xlfn.XLOOKUP(tbEscolas[[#This Row],[ESCOLA]],tbNucleo[ESCOLA],tbNucleo[COD ESCOLA],"")</f>
        <v/>
      </c>
      <c r="B4763" t="str" cm="1">
        <f t="array" ref="B4763">IFERROR(INDEX(tbNucleo[ESCOLA],ROUNDUP(ROW(B4762)/TotalEtapas,0)),"")</f>
        <v/>
      </c>
      <c r="E4763" t="str">
        <f>IFERROR(VLOOKUP(tbEscolas[[#This Row],[COD ETPA]],tbEtapas[],2,FALSE),"")</f>
        <v/>
      </c>
      <c r="F4763" t="str">
        <f>IFERROR(VLOOKUP(tbEscolas[[#This Row],[COD ETPA]],tbEtapas[],3,FALSE),"")</f>
        <v/>
      </c>
    </row>
    <row r="4764" spans="1:6" x14ac:dyDescent="0.25">
      <c r="A4764" s="24" t="str">
        <f>_xlfn.XLOOKUP(tbEscolas[[#This Row],[ESCOLA]],tbNucleo[ESCOLA],tbNucleo[COD ESCOLA],"")</f>
        <v/>
      </c>
      <c r="B4764" t="str" cm="1">
        <f t="array" ref="B4764">IFERROR(INDEX(tbNucleo[ESCOLA],ROUNDUP(ROW(B4763)/TotalEtapas,0)),"")</f>
        <v/>
      </c>
      <c r="E4764" t="str">
        <f>IFERROR(VLOOKUP(tbEscolas[[#This Row],[COD ETPA]],tbEtapas[],2,FALSE),"")</f>
        <v/>
      </c>
      <c r="F4764" t="str">
        <f>IFERROR(VLOOKUP(tbEscolas[[#This Row],[COD ETPA]],tbEtapas[],3,FALSE),"")</f>
        <v/>
      </c>
    </row>
    <row r="4765" spans="1:6" x14ac:dyDescent="0.25">
      <c r="A4765" s="24" t="str">
        <f>_xlfn.XLOOKUP(tbEscolas[[#This Row],[ESCOLA]],tbNucleo[ESCOLA],tbNucleo[COD ESCOLA],"")</f>
        <v/>
      </c>
      <c r="B4765" t="str" cm="1">
        <f t="array" ref="B4765">IFERROR(INDEX(tbNucleo[ESCOLA],ROUNDUP(ROW(B4764)/TotalEtapas,0)),"")</f>
        <v/>
      </c>
      <c r="E4765" t="str">
        <f>IFERROR(VLOOKUP(tbEscolas[[#This Row],[COD ETPA]],tbEtapas[],2,FALSE),"")</f>
        <v/>
      </c>
      <c r="F4765" t="str">
        <f>IFERROR(VLOOKUP(tbEscolas[[#This Row],[COD ETPA]],tbEtapas[],3,FALSE),"")</f>
        <v/>
      </c>
    </row>
    <row r="4766" spans="1:6" x14ac:dyDescent="0.25">
      <c r="A4766" s="24" t="str">
        <f>_xlfn.XLOOKUP(tbEscolas[[#This Row],[ESCOLA]],tbNucleo[ESCOLA],tbNucleo[COD ESCOLA],"")</f>
        <v/>
      </c>
      <c r="B4766" t="str" cm="1">
        <f t="array" ref="B4766">IFERROR(INDEX(tbNucleo[ESCOLA],ROUNDUP(ROW(B4765)/TotalEtapas,0)),"")</f>
        <v/>
      </c>
      <c r="E4766" t="str">
        <f>IFERROR(VLOOKUP(tbEscolas[[#This Row],[COD ETPA]],tbEtapas[],2,FALSE),"")</f>
        <v/>
      </c>
      <c r="F4766" t="str">
        <f>IFERROR(VLOOKUP(tbEscolas[[#This Row],[COD ETPA]],tbEtapas[],3,FALSE),"")</f>
        <v/>
      </c>
    </row>
    <row r="4767" spans="1:6" x14ac:dyDescent="0.25">
      <c r="A4767" s="24" t="str">
        <f>_xlfn.XLOOKUP(tbEscolas[[#This Row],[ESCOLA]],tbNucleo[ESCOLA],tbNucleo[COD ESCOLA],"")</f>
        <v/>
      </c>
      <c r="B4767" t="str" cm="1">
        <f t="array" ref="B4767">IFERROR(INDEX(tbNucleo[ESCOLA],ROUNDUP(ROW(B4766)/TotalEtapas,0)),"")</f>
        <v/>
      </c>
      <c r="E4767" t="str">
        <f>IFERROR(VLOOKUP(tbEscolas[[#This Row],[COD ETPA]],tbEtapas[],2,FALSE),"")</f>
        <v/>
      </c>
      <c r="F4767" t="str">
        <f>IFERROR(VLOOKUP(tbEscolas[[#This Row],[COD ETPA]],tbEtapas[],3,FALSE),"")</f>
        <v/>
      </c>
    </row>
    <row r="4768" spans="1:6" x14ac:dyDescent="0.25">
      <c r="A4768" s="24" t="str">
        <f>_xlfn.XLOOKUP(tbEscolas[[#This Row],[ESCOLA]],tbNucleo[ESCOLA],tbNucleo[COD ESCOLA],"")</f>
        <v/>
      </c>
      <c r="B4768" t="str" cm="1">
        <f t="array" ref="B4768">IFERROR(INDEX(tbNucleo[ESCOLA],ROUNDUP(ROW(B4767)/TotalEtapas,0)),"")</f>
        <v/>
      </c>
      <c r="E4768" t="str">
        <f>IFERROR(VLOOKUP(tbEscolas[[#This Row],[COD ETPA]],tbEtapas[],2,FALSE),"")</f>
        <v/>
      </c>
      <c r="F4768" t="str">
        <f>IFERROR(VLOOKUP(tbEscolas[[#This Row],[COD ETPA]],tbEtapas[],3,FALSE),"")</f>
        <v/>
      </c>
    </row>
    <row r="4769" spans="1:6" x14ac:dyDescent="0.25">
      <c r="A4769" s="24" t="str">
        <f>_xlfn.XLOOKUP(tbEscolas[[#This Row],[ESCOLA]],tbNucleo[ESCOLA],tbNucleo[COD ESCOLA],"")</f>
        <v/>
      </c>
      <c r="B4769" t="str" cm="1">
        <f t="array" ref="B4769">IFERROR(INDEX(tbNucleo[ESCOLA],ROUNDUP(ROW(B4768)/TotalEtapas,0)),"")</f>
        <v/>
      </c>
      <c r="E4769" t="str">
        <f>IFERROR(VLOOKUP(tbEscolas[[#This Row],[COD ETPA]],tbEtapas[],2,FALSE),"")</f>
        <v/>
      </c>
      <c r="F4769" t="str">
        <f>IFERROR(VLOOKUP(tbEscolas[[#This Row],[COD ETPA]],tbEtapas[],3,FALSE),"")</f>
        <v/>
      </c>
    </row>
    <row r="4770" spans="1:6" x14ac:dyDescent="0.25">
      <c r="A4770" s="24" t="str">
        <f>_xlfn.XLOOKUP(tbEscolas[[#This Row],[ESCOLA]],tbNucleo[ESCOLA],tbNucleo[COD ESCOLA],"")</f>
        <v/>
      </c>
      <c r="B4770" t="str" cm="1">
        <f t="array" ref="B4770">IFERROR(INDEX(tbNucleo[ESCOLA],ROUNDUP(ROW(B4769)/TotalEtapas,0)),"")</f>
        <v/>
      </c>
      <c r="E4770" t="str">
        <f>IFERROR(VLOOKUP(tbEscolas[[#This Row],[COD ETPA]],tbEtapas[],2,FALSE),"")</f>
        <v/>
      </c>
      <c r="F4770" t="str">
        <f>IFERROR(VLOOKUP(tbEscolas[[#This Row],[COD ETPA]],tbEtapas[],3,FALSE),"")</f>
        <v/>
      </c>
    </row>
    <row r="4771" spans="1:6" x14ac:dyDescent="0.25">
      <c r="A4771" s="24" t="str">
        <f>_xlfn.XLOOKUP(tbEscolas[[#This Row],[ESCOLA]],tbNucleo[ESCOLA],tbNucleo[COD ESCOLA],"")</f>
        <v/>
      </c>
      <c r="B4771" t="str" cm="1">
        <f t="array" ref="B4771">IFERROR(INDEX(tbNucleo[ESCOLA],ROUNDUP(ROW(B4770)/TotalEtapas,0)),"")</f>
        <v/>
      </c>
      <c r="E4771" t="str">
        <f>IFERROR(VLOOKUP(tbEscolas[[#This Row],[COD ETPA]],tbEtapas[],2,FALSE),"")</f>
        <v/>
      </c>
      <c r="F4771" t="str">
        <f>IFERROR(VLOOKUP(tbEscolas[[#This Row],[COD ETPA]],tbEtapas[],3,FALSE),"")</f>
        <v/>
      </c>
    </row>
    <row r="4772" spans="1:6" x14ac:dyDescent="0.25">
      <c r="A4772" s="24" t="str">
        <f>_xlfn.XLOOKUP(tbEscolas[[#This Row],[ESCOLA]],tbNucleo[ESCOLA],tbNucleo[COD ESCOLA],"")</f>
        <v/>
      </c>
      <c r="B4772" t="str" cm="1">
        <f t="array" ref="B4772">IFERROR(INDEX(tbNucleo[ESCOLA],ROUNDUP(ROW(B4771)/TotalEtapas,0)),"")</f>
        <v/>
      </c>
      <c r="E4772" t="str">
        <f>IFERROR(VLOOKUP(tbEscolas[[#This Row],[COD ETPA]],tbEtapas[],2,FALSE),"")</f>
        <v/>
      </c>
      <c r="F4772" t="str">
        <f>IFERROR(VLOOKUP(tbEscolas[[#This Row],[COD ETPA]],tbEtapas[],3,FALSE),"")</f>
        <v/>
      </c>
    </row>
    <row r="4773" spans="1:6" x14ac:dyDescent="0.25">
      <c r="A4773" s="24" t="str">
        <f>_xlfn.XLOOKUP(tbEscolas[[#This Row],[ESCOLA]],tbNucleo[ESCOLA],tbNucleo[COD ESCOLA],"")</f>
        <v/>
      </c>
      <c r="B4773" t="str" cm="1">
        <f t="array" ref="B4773">IFERROR(INDEX(tbNucleo[ESCOLA],ROUNDUP(ROW(B4772)/TotalEtapas,0)),"")</f>
        <v/>
      </c>
      <c r="E4773" t="str">
        <f>IFERROR(VLOOKUP(tbEscolas[[#This Row],[COD ETPA]],tbEtapas[],2,FALSE),"")</f>
        <v/>
      </c>
      <c r="F4773" t="str">
        <f>IFERROR(VLOOKUP(tbEscolas[[#This Row],[COD ETPA]],tbEtapas[],3,FALSE),"")</f>
        <v/>
      </c>
    </row>
    <row r="4774" spans="1:6" x14ac:dyDescent="0.25">
      <c r="A4774" s="24" t="str">
        <f>_xlfn.XLOOKUP(tbEscolas[[#This Row],[ESCOLA]],tbNucleo[ESCOLA],tbNucleo[COD ESCOLA],"")</f>
        <v/>
      </c>
      <c r="B4774" t="str" cm="1">
        <f t="array" ref="B4774">IFERROR(INDEX(tbNucleo[ESCOLA],ROUNDUP(ROW(B4773)/TotalEtapas,0)),"")</f>
        <v/>
      </c>
      <c r="E4774" t="str">
        <f>IFERROR(VLOOKUP(tbEscolas[[#This Row],[COD ETPA]],tbEtapas[],2,FALSE),"")</f>
        <v/>
      </c>
      <c r="F4774" t="str">
        <f>IFERROR(VLOOKUP(tbEscolas[[#This Row],[COD ETPA]],tbEtapas[],3,FALSE),"")</f>
        <v/>
      </c>
    </row>
    <row r="4775" spans="1:6" x14ac:dyDescent="0.25">
      <c r="A4775" s="24" t="str">
        <f>_xlfn.XLOOKUP(tbEscolas[[#This Row],[ESCOLA]],tbNucleo[ESCOLA],tbNucleo[COD ESCOLA],"")</f>
        <v/>
      </c>
      <c r="B4775" t="str" cm="1">
        <f t="array" ref="B4775">IFERROR(INDEX(tbNucleo[ESCOLA],ROUNDUP(ROW(B4774)/TotalEtapas,0)),"")</f>
        <v/>
      </c>
      <c r="E4775" t="str">
        <f>IFERROR(VLOOKUP(tbEscolas[[#This Row],[COD ETPA]],tbEtapas[],2,FALSE),"")</f>
        <v/>
      </c>
      <c r="F4775" t="str">
        <f>IFERROR(VLOOKUP(tbEscolas[[#This Row],[COD ETPA]],tbEtapas[],3,FALSE),"")</f>
        <v/>
      </c>
    </row>
    <row r="4776" spans="1:6" x14ac:dyDescent="0.25">
      <c r="A4776" s="24" t="str">
        <f>_xlfn.XLOOKUP(tbEscolas[[#This Row],[ESCOLA]],tbNucleo[ESCOLA],tbNucleo[COD ESCOLA],"")</f>
        <v/>
      </c>
      <c r="B4776" t="str" cm="1">
        <f t="array" ref="B4776">IFERROR(INDEX(tbNucleo[ESCOLA],ROUNDUP(ROW(B4775)/TotalEtapas,0)),"")</f>
        <v/>
      </c>
      <c r="E4776" t="str">
        <f>IFERROR(VLOOKUP(tbEscolas[[#This Row],[COD ETPA]],tbEtapas[],2,FALSE),"")</f>
        <v/>
      </c>
      <c r="F4776" t="str">
        <f>IFERROR(VLOOKUP(tbEscolas[[#This Row],[COD ETPA]],tbEtapas[],3,FALSE),"")</f>
        <v/>
      </c>
    </row>
    <row r="4777" spans="1:6" x14ac:dyDescent="0.25">
      <c r="A4777" s="24" t="str">
        <f>_xlfn.XLOOKUP(tbEscolas[[#This Row],[ESCOLA]],tbNucleo[ESCOLA],tbNucleo[COD ESCOLA],"")</f>
        <v/>
      </c>
      <c r="B4777" t="str" cm="1">
        <f t="array" ref="B4777">IFERROR(INDEX(tbNucleo[ESCOLA],ROUNDUP(ROW(B4776)/TotalEtapas,0)),"")</f>
        <v/>
      </c>
      <c r="E4777" t="str">
        <f>IFERROR(VLOOKUP(tbEscolas[[#This Row],[COD ETPA]],tbEtapas[],2,FALSE),"")</f>
        <v/>
      </c>
      <c r="F4777" t="str">
        <f>IFERROR(VLOOKUP(tbEscolas[[#This Row],[COD ETPA]],tbEtapas[],3,FALSE),"")</f>
        <v/>
      </c>
    </row>
    <row r="4778" spans="1:6" x14ac:dyDescent="0.25">
      <c r="A4778" s="24" t="str">
        <f>_xlfn.XLOOKUP(tbEscolas[[#This Row],[ESCOLA]],tbNucleo[ESCOLA],tbNucleo[COD ESCOLA],"")</f>
        <v/>
      </c>
      <c r="B4778" t="str" cm="1">
        <f t="array" ref="B4778">IFERROR(INDEX(tbNucleo[ESCOLA],ROUNDUP(ROW(B4777)/TotalEtapas,0)),"")</f>
        <v/>
      </c>
      <c r="E4778" t="str">
        <f>IFERROR(VLOOKUP(tbEscolas[[#This Row],[COD ETPA]],tbEtapas[],2,FALSE),"")</f>
        <v/>
      </c>
      <c r="F4778" t="str">
        <f>IFERROR(VLOOKUP(tbEscolas[[#This Row],[COD ETPA]],tbEtapas[],3,FALSE),"")</f>
        <v/>
      </c>
    </row>
    <row r="4779" spans="1:6" x14ac:dyDescent="0.25">
      <c r="A4779" s="24" t="str">
        <f>_xlfn.XLOOKUP(tbEscolas[[#This Row],[ESCOLA]],tbNucleo[ESCOLA],tbNucleo[COD ESCOLA],"")</f>
        <v/>
      </c>
      <c r="B4779" t="str" cm="1">
        <f t="array" ref="B4779">IFERROR(INDEX(tbNucleo[ESCOLA],ROUNDUP(ROW(B4778)/TotalEtapas,0)),"")</f>
        <v/>
      </c>
      <c r="E4779" t="str">
        <f>IFERROR(VLOOKUP(tbEscolas[[#This Row],[COD ETPA]],tbEtapas[],2,FALSE),"")</f>
        <v/>
      </c>
      <c r="F4779" t="str">
        <f>IFERROR(VLOOKUP(tbEscolas[[#This Row],[COD ETPA]],tbEtapas[],3,FALSE),"")</f>
        <v/>
      </c>
    </row>
    <row r="4780" spans="1:6" x14ac:dyDescent="0.25">
      <c r="A4780" s="24" t="str">
        <f>_xlfn.XLOOKUP(tbEscolas[[#This Row],[ESCOLA]],tbNucleo[ESCOLA],tbNucleo[COD ESCOLA],"")</f>
        <v/>
      </c>
      <c r="B4780" t="str" cm="1">
        <f t="array" ref="B4780">IFERROR(INDEX(tbNucleo[ESCOLA],ROUNDUP(ROW(B4779)/TotalEtapas,0)),"")</f>
        <v/>
      </c>
      <c r="E4780" t="str">
        <f>IFERROR(VLOOKUP(tbEscolas[[#This Row],[COD ETPA]],tbEtapas[],2,FALSE),"")</f>
        <v/>
      </c>
      <c r="F4780" t="str">
        <f>IFERROR(VLOOKUP(tbEscolas[[#This Row],[COD ETPA]],tbEtapas[],3,FALSE),"")</f>
        <v/>
      </c>
    </row>
    <row r="4781" spans="1:6" x14ac:dyDescent="0.25">
      <c r="A4781" s="24" t="str">
        <f>_xlfn.XLOOKUP(tbEscolas[[#This Row],[ESCOLA]],tbNucleo[ESCOLA],tbNucleo[COD ESCOLA],"")</f>
        <v/>
      </c>
      <c r="B4781" t="str" cm="1">
        <f t="array" ref="B4781">IFERROR(INDEX(tbNucleo[ESCOLA],ROUNDUP(ROW(B4780)/TotalEtapas,0)),"")</f>
        <v/>
      </c>
      <c r="E4781" t="str">
        <f>IFERROR(VLOOKUP(tbEscolas[[#This Row],[COD ETPA]],tbEtapas[],2,FALSE),"")</f>
        <v/>
      </c>
      <c r="F4781" t="str">
        <f>IFERROR(VLOOKUP(tbEscolas[[#This Row],[COD ETPA]],tbEtapas[],3,FALSE),"")</f>
        <v/>
      </c>
    </row>
    <row r="4782" spans="1:6" x14ac:dyDescent="0.25">
      <c r="A4782" s="24" t="str">
        <f>_xlfn.XLOOKUP(tbEscolas[[#This Row],[ESCOLA]],tbNucleo[ESCOLA],tbNucleo[COD ESCOLA],"")</f>
        <v/>
      </c>
      <c r="B4782" t="str" cm="1">
        <f t="array" ref="B4782">IFERROR(INDEX(tbNucleo[ESCOLA],ROUNDUP(ROW(B4781)/TotalEtapas,0)),"")</f>
        <v/>
      </c>
      <c r="E4782" t="str">
        <f>IFERROR(VLOOKUP(tbEscolas[[#This Row],[COD ETPA]],tbEtapas[],2,FALSE),"")</f>
        <v/>
      </c>
      <c r="F4782" t="str">
        <f>IFERROR(VLOOKUP(tbEscolas[[#This Row],[COD ETPA]],tbEtapas[],3,FALSE),"")</f>
        <v/>
      </c>
    </row>
    <row r="4783" spans="1:6" x14ac:dyDescent="0.25">
      <c r="A4783" s="24" t="str">
        <f>_xlfn.XLOOKUP(tbEscolas[[#This Row],[ESCOLA]],tbNucleo[ESCOLA],tbNucleo[COD ESCOLA],"")</f>
        <v/>
      </c>
      <c r="B4783" t="str" cm="1">
        <f t="array" ref="B4783">IFERROR(INDEX(tbNucleo[ESCOLA],ROUNDUP(ROW(B4782)/TotalEtapas,0)),"")</f>
        <v/>
      </c>
      <c r="E4783" t="str">
        <f>IFERROR(VLOOKUP(tbEscolas[[#This Row],[COD ETPA]],tbEtapas[],2,FALSE),"")</f>
        <v/>
      </c>
      <c r="F4783" t="str">
        <f>IFERROR(VLOOKUP(tbEscolas[[#This Row],[COD ETPA]],tbEtapas[],3,FALSE),"")</f>
        <v/>
      </c>
    </row>
    <row r="4784" spans="1:6" x14ac:dyDescent="0.25">
      <c r="A4784" s="24" t="str">
        <f>_xlfn.XLOOKUP(tbEscolas[[#This Row],[ESCOLA]],tbNucleo[ESCOLA],tbNucleo[COD ESCOLA],"")</f>
        <v/>
      </c>
      <c r="B4784" t="str" cm="1">
        <f t="array" ref="B4784">IFERROR(INDEX(tbNucleo[ESCOLA],ROUNDUP(ROW(B4783)/TotalEtapas,0)),"")</f>
        <v/>
      </c>
      <c r="E4784" t="str">
        <f>IFERROR(VLOOKUP(tbEscolas[[#This Row],[COD ETPA]],tbEtapas[],2,FALSE),"")</f>
        <v/>
      </c>
      <c r="F4784" t="str">
        <f>IFERROR(VLOOKUP(tbEscolas[[#This Row],[COD ETPA]],tbEtapas[],3,FALSE),"")</f>
        <v/>
      </c>
    </row>
    <row r="4785" spans="1:6" x14ac:dyDescent="0.25">
      <c r="A4785" s="24" t="str">
        <f>_xlfn.XLOOKUP(tbEscolas[[#This Row],[ESCOLA]],tbNucleo[ESCOLA],tbNucleo[COD ESCOLA],"")</f>
        <v/>
      </c>
      <c r="B4785" t="str" cm="1">
        <f t="array" ref="B4785">IFERROR(INDEX(tbNucleo[ESCOLA],ROUNDUP(ROW(B4784)/TotalEtapas,0)),"")</f>
        <v/>
      </c>
      <c r="E4785" t="str">
        <f>IFERROR(VLOOKUP(tbEscolas[[#This Row],[COD ETPA]],tbEtapas[],2,FALSE),"")</f>
        <v/>
      </c>
      <c r="F4785" t="str">
        <f>IFERROR(VLOOKUP(tbEscolas[[#This Row],[COD ETPA]],tbEtapas[],3,FALSE),"")</f>
        <v/>
      </c>
    </row>
    <row r="4786" spans="1:6" x14ac:dyDescent="0.25">
      <c r="A4786" s="24" t="str">
        <f>_xlfn.XLOOKUP(tbEscolas[[#This Row],[ESCOLA]],tbNucleo[ESCOLA],tbNucleo[COD ESCOLA],"")</f>
        <v/>
      </c>
      <c r="B4786" t="str" cm="1">
        <f t="array" ref="B4786">IFERROR(INDEX(tbNucleo[ESCOLA],ROUNDUP(ROW(B4785)/TotalEtapas,0)),"")</f>
        <v/>
      </c>
      <c r="E4786" t="str">
        <f>IFERROR(VLOOKUP(tbEscolas[[#This Row],[COD ETPA]],tbEtapas[],2,FALSE),"")</f>
        <v/>
      </c>
      <c r="F4786" t="str">
        <f>IFERROR(VLOOKUP(tbEscolas[[#This Row],[COD ETPA]],tbEtapas[],3,FALSE),"")</f>
        <v/>
      </c>
    </row>
    <row r="4787" spans="1:6" x14ac:dyDescent="0.25">
      <c r="A4787" s="24" t="str">
        <f>_xlfn.XLOOKUP(tbEscolas[[#This Row],[ESCOLA]],tbNucleo[ESCOLA],tbNucleo[COD ESCOLA],"")</f>
        <v/>
      </c>
      <c r="B4787" t="str" cm="1">
        <f t="array" ref="B4787">IFERROR(INDEX(tbNucleo[ESCOLA],ROUNDUP(ROW(B4786)/TotalEtapas,0)),"")</f>
        <v/>
      </c>
      <c r="E4787" t="str">
        <f>IFERROR(VLOOKUP(tbEscolas[[#This Row],[COD ETPA]],tbEtapas[],2,FALSE),"")</f>
        <v/>
      </c>
      <c r="F4787" t="str">
        <f>IFERROR(VLOOKUP(tbEscolas[[#This Row],[COD ETPA]],tbEtapas[],3,FALSE),"")</f>
        <v/>
      </c>
    </row>
    <row r="4788" spans="1:6" x14ac:dyDescent="0.25">
      <c r="A4788" s="24" t="str">
        <f>_xlfn.XLOOKUP(tbEscolas[[#This Row],[ESCOLA]],tbNucleo[ESCOLA],tbNucleo[COD ESCOLA],"")</f>
        <v/>
      </c>
      <c r="B4788" t="str" cm="1">
        <f t="array" ref="B4788">IFERROR(INDEX(tbNucleo[ESCOLA],ROUNDUP(ROW(B4787)/TotalEtapas,0)),"")</f>
        <v/>
      </c>
      <c r="E4788" t="str">
        <f>IFERROR(VLOOKUP(tbEscolas[[#This Row],[COD ETPA]],tbEtapas[],2,FALSE),"")</f>
        <v/>
      </c>
      <c r="F4788" t="str">
        <f>IFERROR(VLOOKUP(tbEscolas[[#This Row],[COD ETPA]],tbEtapas[],3,FALSE),"")</f>
        <v/>
      </c>
    </row>
    <row r="4789" spans="1:6" x14ac:dyDescent="0.25">
      <c r="A4789" s="24" t="str">
        <f>_xlfn.XLOOKUP(tbEscolas[[#This Row],[ESCOLA]],tbNucleo[ESCOLA],tbNucleo[COD ESCOLA],"")</f>
        <v/>
      </c>
      <c r="B4789" t="str" cm="1">
        <f t="array" ref="B4789">IFERROR(INDEX(tbNucleo[ESCOLA],ROUNDUP(ROW(B4788)/TotalEtapas,0)),"")</f>
        <v/>
      </c>
      <c r="E4789" t="str">
        <f>IFERROR(VLOOKUP(tbEscolas[[#This Row],[COD ETPA]],tbEtapas[],2,FALSE),"")</f>
        <v/>
      </c>
      <c r="F4789" t="str">
        <f>IFERROR(VLOOKUP(tbEscolas[[#This Row],[COD ETPA]],tbEtapas[],3,FALSE),"")</f>
        <v/>
      </c>
    </row>
    <row r="4790" spans="1:6" x14ac:dyDescent="0.25">
      <c r="A4790" s="24" t="str">
        <f>_xlfn.XLOOKUP(tbEscolas[[#This Row],[ESCOLA]],tbNucleo[ESCOLA],tbNucleo[COD ESCOLA],"")</f>
        <v/>
      </c>
      <c r="B4790" t="str" cm="1">
        <f t="array" ref="B4790">IFERROR(INDEX(tbNucleo[ESCOLA],ROUNDUP(ROW(B4789)/TotalEtapas,0)),"")</f>
        <v/>
      </c>
      <c r="E4790" t="str">
        <f>IFERROR(VLOOKUP(tbEscolas[[#This Row],[COD ETPA]],tbEtapas[],2,FALSE),"")</f>
        <v/>
      </c>
      <c r="F4790" t="str">
        <f>IFERROR(VLOOKUP(tbEscolas[[#This Row],[COD ETPA]],tbEtapas[],3,FALSE),"")</f>
        <v/>
      </c>
    </row>
    <row r="4791" spans="1:6" x14ac:dyDescent="0.25">
      <c r="A4791" s="24" t="str">
        <f>_xlfn.XLOOKUP(tbEscolas[[#This Row],[ESCOLA]],tbNucleo[ESCOLA],tbNucleo[COD ESCOLA],"")</f>
        <v/>
      </c>
      <c r="B4791" t="str" cm="1">
        <f t="array" ref="B4791">IFERROR(INDEX(tbNucleo[ESCOLA],ROUNDUP(ROW(B4790)/TotalEtapas,0)),"")</f>
        <v/>
      </c>
      <c r="E4791" t="str">
        <f>IFERROR(VLOOKUP(tbEscolas[[#This Row],[COD ETPA]],tbEtapas[],2,FALSE),"")</f>
        <v/>
      </c>
      <c r="F4791" t="str">
        <f>IFERROR(VLOOKUP(tbEscolas[[#This Row],[COD ETPA]],tbEtapas[],3,FALSE),"")</f>
        <v/>
      </c>
    </row>
    <row r="4792" spans="1:6" x14ac:dyDescent="0.25">
      <c r="A4792" s="24" t="str">
        <f>_xlfn.XLOOKUP(tbEscolas[[#This Row],[ESCOLA]],tbNucleo[ESCOLA],tbNucleo[COD ESCOLA],"")</f>
        <v/>
      </c>
      <c r="B4792" t="str" cm="1">
        <f t="array" ref="B4792">IFERROR(INDEX(tbNucleo[ESCOLA],ROUNDUP(ROW(B4791)/TotalEtapas,0)),"")</f>
        <v/>
      </c>
      <c r="E4792" t="str">
        <f>IFERROR(VLOOKUP(tbEscolas[[#This Row],[COD ETPA]],tbEtapas[],2,FALSE),"")</f>
        <v/>
      </c>
      <c r="F4792" t="str">
        <f>IFERROR(VLOOKUP(tbEscolas[[#This Row],[COD ETPA]],tbEtapas[],3,FALSE),"")</f>
        <v/>
      </c>
    </row>
    <row r="4793" spans="1:6" x14ac:dyDescent="0.25">
      <c r="A4793" s="24" t="str">
        <f>_xlfn.XLOOKUP(tbEscolas[[#This Row],[ESCOLA]],tbNucleo[ESCOLA],tbNucleo[COD ESCOLA],"")</f>
        <v/>
      </c>
      <c r="B4793" t="str" cm="1">
        <f t="array" ref="B4793">IFERROR(INDEX(tbNucleo[ESCOLA],ROUNDUP(ROW(B4792)/TotalEtapas,0)),"")</f>
        <v/>
      </c>
      <c r="E4793" t="str">
        <f>IFERROR(VLOOKUP(tbEscolas[[#This Row],[COD ETPA]],tbEtapas[],2,FALSE),"")</f>
        <v/>
      </c>
      <c r="F4793" t="str">
        <f>IFERROR(VLOOKUP(tbEscolas[[#This Row],[COD ETPA]],tbEtapas[],3,FALSE),"")</f>
        <v/>
      </c>
    </row>
    <row r="4794" spans="1:6" x14ac:dyDescent="0.25">
      <c r="A4794" s="24" t="str">
        <f>_xlfn.XLOOKUP(tbEscolas[[#This Row],[ESCOLA]],tbNucleo[ESCOLA],tbNucleo[COD ESCOLA],"")</f>
        <v/>
      </c>
      <c r="B4794" t="str" cm="1">
        <f t="array" ref="B4794">IFERROR(INDEX(tbNucleo[ESCOLA],ROUNDUP(ROW(B4793)/TotalEtapas,0)),"")</f>
        <v/>
      </c>
      <c r="E4794" t="str">
        <f>IFERROR(VLOOKUP(tbEscolas[[#This Row],[COD ETPA]],tbEtapas[],2,FALSE),"")</f>
        <v/>
      </c>
      <c r="F4794" t="str">
        <f>IFERROR(VLOOKUP(tbEscolas[[#This Row],[COD ETPA]],tbEtapas[],3,FALSE),"")</f>
        <v/>
      </c>
    </row>
    <row r="4795" spans="1:6" x14ac:dyDescent="0.25">
      <c r="A4795" s="24" t="str">
        <f>_xlfn.XLOOKUP(tbEscolas[[#This Row],[ESCOLA]],tbNucleo[ESCOLA],tbNucleo[COD ESCOLA],"")</f>
        <v/>
      </c>
      <c r="B4795" t="str" cm="1">
        <f t="array" ref="B4795">IFERROR(INDEX(tbNucleo[ESCOLA],ROUNDUP(ROW(B4794)/TotalEtapas,0)),"")</f>
        <v/>
      </c>
      <c r="E4795" t="str">
        <f>IFERROR(VLOOKUP(tbEscolas[[#This Row],[COD ETPA]],tbEtapas[],2,FALSE),"")</f>
        <v/>
      </c>
      <c r="F4795" t="str">
        <f>IFERROR(VLOOKUP(tbEscolas[[#This Row],[COD ETPA]],tbEtapas[],3,FALSE),"")</f>
        <v/>
      </c>
    </row>
    <row r="4796" spans="1:6" x14ac:dyDescent="0.25">
      <c r="A4796" s="24" t="str">
        <f>_xlfn.XLOOKUP(tbEscolas[[#This Row],[ESCOLA]],tbNucleo[ESCOLA],tbNucleo[COD ESCOLA],"")</f>
        <v/>
      </c>
      <c r="B4796" t="str" cm="1">
        <f t="array" ref="B4796">IFERROR(INDEX(tbNucleo[ESCOLA],ROUNDUP(ROW(B4795)/TotalEtapas,0)),"")</f>
        <v/>
      </c>
      <c r="E4796" t="str">
        <f>IFERROR(VLOOKUP(tbEscolas[[#This Row],[COD ETPA]],tbEtapas[],2,FALSE),"")</f>
        <v/>
      </c>
      <c r="F4796" t="str">
        <f>IFERROR(VLOOKUP(tbEscolas[[#This Row],[COD ETPA]],tbEtapas[],3,FALSE),"")</f>
        <v/>
      </c>
    </row>
    <row r="4797" spans="1:6" x14ac:dyDescent="0.25">
      <c r="A4797" s="24" t="str">
        <f>_xlfn.XLOOKUP(tbEscolas[[#This Row],[ESCOLA]],tbNucleo[ESCOLA],tbNucleo[COD ESCOLA],"")</f>
        <v/>
      </c>
      <c r="B4797" t="str" cm="1">
        <f t="array" ref="B4797">IFERROR(INDEX(tbNucleo[ESCOLA],ROUNDUP(ROW(B4796)/TotalEtapas,0)),"")</f>
        <v/>
      </c>
      <c r="E4797" t="str">
        <f>IFERROR(VLOOKUP(tbEscolas[[#This Row],[COD ETPA]],tbEtapas[],2,FALSE),"")</f>
        <v/>
      </c>
      <c r="F4797" t="str">
        <f>IFERROR(VLOOKUP(tbEscolas[[#This Row],[COD ETPA]],tbEtapas[],3,FALSE),"")</f>
        <v/>
      </c>
    </row>
    <row r="4798" spans="1:6" x14ac:dyDescent="0.25">
      <c r="A4798" s="24" t="str">
        <f>_xlfn.XLOOKUP(tbEscolas[[#This Row],[ESCOLA]],tbNucleo[ESCOLA],tbNucleo[COD ESCOLA],"")</f>
        <v/>
      </c>
      <c r="B4798" t="str" cm="1">
        <f t="array" ref="B4798">IFERROR(INDEX(tbNucleo[ESCOLA],ROUNDUP(ROW(B4797)/TotalEtapas,0)),"")</f>
        <v/>
      </c>
      <c r="E4798" t="str">
        <f>IFERROR(VLOOKUP(tbEscolas[[#This Row],[COD ETPA]],tbEtapas[],2,FALSE),"")</f>
        <v/>
      </c>
      <c r="F4798" t="str">
        <f>IFERROR(VLOOKUP(tbEscolas[[#This Row],[COD ETPA]],tbEtapas[],3,FALSE),"")</f>
        <v/>
      </c>
    </row>
    <row r="4799" spans="1:6" x14ac:dyDescent="0.25">
      <c r="A4799" s="24" t="str">
        <f>_xlfn.XLOOKUP(tbEscolas[[#This Row],[ESCOLA]],tbNucleo[ESCOLA],tbNucleo[COD ESCOLA],"")</f>
        <v/>
      </c>
      <c r="B4799" t="str" cm="1">
        <f t="array" ref="B4799">IFERROR(INDEX(tbNucleo[ESCOLA],ROUNDUP(ROW(B4798)/TotalEtapas,0)),"")</f>
        <v/>
      </c>
      <c r="E4799" t="str">
        <f>IFERROR(VLOOKUP(tbEscolas[[#This Row],[COD ETPA]],tbEtapas[],2,FALSE),"")</f>
        <v/>
      </c>
      <c r="F4799" t="str">
        <f>IFERROR(VLOOKUP(tbEscolas[[#This Row],[COD ETPA]],tbEtapas[],3,FALSE),"")</f>
        <v/>
      </c>
    </row>
    <row r="4800" spans="1:6" x14ac:dyDescent="0.25">
      <c r="A4800" s="24" t="str">
        <f>_xlfn.XLOOKUP(tbEscolas[[#This Row],[ESCOLA]],tbNucleo[ESCOLA],tbNucleo[COD ESCOLA],"")</f>
        <v/>
      </c>
      <c r="B4800" t="str" cm="1">
        <f t="array" ref="B4800">IFERROR(INDEX(tbNucleo[ESCOLA],ROUNDUP(ROW(B4799)/TotalEtapas,0)),"")</f>
        <v/>
      </c>
      <c r="E4800" t="str">
        <f>IFERROR(VLOOKUP(tbEscolas[[#This Row],[COD ETPA]],tbEtapas[],2,FALSE),"")</f>
        <v/>
      </c>
      <c r="F4800" t="str">
        <f>IFERROR(VLOOKUP(tbEscolas[[#This Row],[COD ETPA]],tbEtapas[],3,FALSE),"")</f>
        <v/>
      </c>
    </row>
    <row r="4801" spans="1:6" x14ac:dyDescent="0.25">
      <c r="A4801" s="24" t="str">
        <f>_xlfn.XLOOKUP(tbEscolas[[#This Row],[ESCOLA]],tbNucleo[ESCOLA],tbNucleo[COD ESCOLA],"")</f>
        <v/>
      </c>
      <c r="B4801" t="str" cm="1">
        <f t="array" ref="B4801">IFERROR(INDEX(tbNucleo[ESCOLA],ROUNDUP(ROW(B4800)/TotalEtapas,0)),"")</f>
        <v/>
      </c>
      <c r="E4801" t="str">
        <f>IFERROR(VLOOKUP(tbEscolas[[#This Row],[COD ETPA]],tbEtapas[],2,FALSE),"")</f>
        <v/>
      </c>
      <c r="F4801" t="str">
        <f>IFERROR(VLOOKUP(tbEscolas[[#This Row],[COD ETPA]],tbEtapas[],3,FALSE),"")</f>
        <v/>
      </c>
    </row>
    <row r="4802" spans="1:6" x14ac:dyDescent="0.25">
      <c r="A4802" s="24" t="str">
        <f>_xlfn.XLOOKUP(tbEscolas[[#This Row],[ESCOLA]],tbNucleo[ESCOLA],tbNucleo[COD ESCOLA],"")</f>
        <v/>
      </c>
      <c r="B4802" t="str" cm="1">
        <f t="array" ref="B4802">IFERROR(INDEX(tbNucleo[ESCOLA],ROUNDUP(ROW(B4801)/TotalEtapas,0)),"")</f>
        <v/>
      </c>
      <c r="E4802" t="str">
        <f>IFERROR(VLOOKUP(tbEscolas[[#This Row],[COD ETPA]],tbEtapas[],2,FALSE),"")</f>
        <v/>
      </c>
      <c r="F4802" t="str">
        <f>IFERROR(VLOOKUP(tbEscolas[[#This Row],[COD ETPA]],tbEtapas[],3,FALSE),"")</f>
        <v/>
      </c>
    </row>
    <row r="4803" spans="1:6" x14ac:dyDescent="0.25">
      <c r="A4803" s="24" t="str">
        <f>_xlfn.XLOOKUP(tbEscolas[[#This Row],[ESCOLA]],tbNucleo[ESCOLA],tbNucleo[COD ESCOLA],"")</f>
        <v/>
      </c>
      <c r="B4803" t="str" cm="1">
        <f t="array" ref="B4803">IFERROR(INDEX(tbNucleo[ESCOLA],ROUNDUP(ROW(B4802)/TotalEtapas,0)),"")</f>
        <v/>
      </c>
      <c r="E4803" t="str">
        <f>IFERROR(VLOOKUP(tbEscolas[[#This Row],[COD ETPA]],tbEtapas[],2,FALSE),"")</f>
        <v/>
      </c>
      <c r="F4803" t="str">
        <f>IFERROR(VLOOKUP(tbEscolas[[#This Row],[COD ETPA]],tbEtapas[],3,FALSE),"")</f>
        <v/>
      </c>
    </row>
    <row r="4804" spans="1:6" x14ac:dyDescent="0.25">
      <c r="A4804" s="24" t="str">
        <f>_xlfn.XLOOKUP(tbEscolas[[#This Row],[ESCOLA]],tbNucleo[ESCOLA],tbNucleo[COD ESCOLA],"")</f>
        <v/>
      </c>
      <c r="B4804" t="str" cm="1">
        <f t="array" ref="B4804">IFERROR(INDEX(tbNucleo[ESCOLA],ROUNDUP(ROW(B4803)/TotalEtapas,0)),"")</f>
        <v/>
      </c>
      <c r="E4804" t="str">
        <f>IFERROR(VLOOKUP(tbEscolas[[#This Row],[COD ETPA]],tbEtapas[],2,FALSE),"")</f>
        <v/>
      </c>
      <c r="F4804" t="str">
        <f>IFERROR(VLOOKUP(tbEscolas[[#This Row],[COD ETPA]],tbEtapas[],3,FALSE),"")</f>
        <v/>
      </c>
    </row>
    <row r="4805" spans="1:6" x14ac:dyDescent="0.25">
      <c r="A4805" s="24" t="str">
        <f>_xlfn.XLOOKUP(tbEscolas[[#This Row],[ESCOLA]],tbNucleo[ESCOLA],tbNucleo[COD ESCOLA],"")</f>
        <v/>
      </c>
      <c r="B4805" t="str" cm="1">
        <f t="array" ref="B4805">IFERROR(INDEX(tbNucleo[ESCOLA],ROUNDUP(ROW(B4804)/TotalEtapas,0)),"")</f>
        <v/>
      </c>
      <c r="E4805" t="str">
        <f>IFERROR(VLOOKUP(tbEscolas[[#This Row],[COD ETPA]],tbEtapas[],2,FALSE),"")</f>
        <v/>
      </c>
      <c r="F4805" t="str">
        <f>IFERROR(VLOOKUP(tbEscolas[[#This Row],[COD ETPA]],tbEtapas[],3,FALSE),"")</f>
        <v/>
      </c>
    </row>
    <row r="4806" spans="1:6" x14ac:dyDescent="0.25">
      <c r="A4806" s="24" t="str">
        <f>_xlfn.XLOOKUP(tbEscolas[[#This Row],[ESCOLA]],tbNucleo[ESCOLA],tbNucleo[COD ESCOLA],"")</f>
        <v/>
      </c>
      <c r="B4806" t="str" cm="1">
        <f t="array" ref="B4806">IFERROR(INDEX(tbNucleo[ESCOLA],ROUNDUP(ROW(B4805)/TotalEtapas,0)),"")</f>
        <v/>
      </c>
      <c r="E4806" t="str">
        <f>IFERROR(VLOOKUP(tbEscolas[[#This Row],[COD ETPA]],tbEtapas[],2,FALSE),"")</f>
        <v/>
      </c>
      <c r="F4806" t="str">
        <f>IFERROR(VLOOKUP(tbEscolas[[#This Row],[COD ETPA]],tbEtapas[],3,FALSE),"")</f>
        <v/>
      </c>
    </row>
    <row r="4807" spans="1:6" x14ac:dyDescent="0.25">
      <c r="A4807" s="24" t="str">
        <f>_xlfn.XLOOKUP(tbEscolas[[#This Row],[ESCOLA]],tbNucleo[ESCOLA],tbNucleo[COD ESCOLA],"")</f>
        <v/>
      </c>
      <c r="B4807" t="str" cm="1">
        <f t="array" ref="B4807">IFERROR(INDEX(tbNucleo[ESCOLA],ROUNDUP(ROW(B4806)/TotalEtapas,0)),"")</f>
        <v/>
      </c>
      <c r="E4807" t="str">
        <f>IFERROR(VLOOKUP(tbEscolas[[#This Row],[COD ETPA]],tbEtapas[],2,FALSE),"")</f>
        <v/>
      </c>
      <c r="F4807" t="str">
        <f>IFERROR(VLOOKUP(tbEscolas[[#This Row],[COD ETPA]],tbEtapas[],3,FALSE),"")</f>
        <v/>
      </c>
    </row>
    <row r="4808" spans="1:6" x14ac:dyDescent="0.25">
      <c r="A4808" s="24" t="str">
        <f>_xlfn.XLOOKUP(tbEscolas[[#This Row],[ESCOLA]],tbNucleo[ESCOLA],tbNucleo[COD ESCOLA],"")</f>
        <v/>
      </c>
      <c r="B4808" t="str" cm="1">
        <f t="array" ref="B4808">IFERROR(INDEX(tbNucleo[ESCOLA],ROUNDUP(ROW(B4807)/TotalEtapas,0)),"")</f>
        <v/>
      </c>
      <c r="E4808" t="str">
        <f>IFERROR(VLOOKUP(tbEscolas[[#This Row],[COD ETPA]],tbEtapas[],2,FALSE),"")</f>
        <v/>
      </c>
      <c r="F4808" t="str">
        <f>IFERROR(VLOOKUP(tbEscolas[[#This Row],[COD ETPA]],tbEtapas[],3,FALSE),"")</f>
        <v/>
      </c>
    </row>
    <row r="4809" spans="1:6" x14ac:dyDescent="0.25">
      <c r="A4809" s="24" t="str">
        <f>_xlfn.XLOOKUP(tbEscolas[[#This Row],[ESCOLA]],tbNucleo[ESCOLA],tbNucleo[COD ESCOLA],"")</f>
        <v/>
      </c>
      <c r="B4809" t="str" cm="1">
        <f t="array" ref="B4809">IFERROR(INDEX(tbNucleo[ESCOLA],ROUNDUP(ROW(B4808)/TotalEtapas,0)),"")</f>
        <v/>
      </c>
      <c r="E4809" t="str">
        <f>IFERROR(VLOOKUP(tbEscolas[[#This Row],[COD ETPA]],tbEtapas[],2,FALSE),"")</f>
        <v/>
      </c>
      <c r="F4809" t="str">
        <f>IFERROR(VLOOKUP(tbEscolas[[#This Row],[COD ETPA]],tbEtapas[],3,FALSE),"")</f>
        <v/>
      </c>
    </row>
    <row r="4810" spans="1:6" x14ac:dyDescent="0.25">
      <c r="A4810" s="24" t="str">
        <f>_xlfn.XLOOKUP(tbEscolas[[#This Row],[ESCOLA]],tbNucleo[ESCOLA],tbNucleo[COD ESCOLA],"")</f>
        <v/>
      </c>
      <c r="B4810" t="str" cm="1">
        <f t="array" ref="B4810">IFERROR(INDEX(tbNucleo[ESCOLA],ROUNDUP(ROW(B4809)/TotalEtapas,0)),"")</f>
        <v/>
      </c>
      <c r="E4810" t="str">
        <f>IFERROR(VLOOKUP(tbEscolas[[#This Row],[COD ETPA]],tbEtapas[],2,FALSE),"")</f>
        <v/>
      </c>
      <c r="F4810" t="str">
        <f>IFERROR(VLOOKUP(tbEscolas[[#This Row],[COD ETPA]],tbEtapas[],3,FALSE),"")</f>
        <v/>
      </c>
    </row>
    <row r="4811" spans="1:6" x14ac:dyDescent="0.25">
      <c r="A4811" s="24" t="str">
        <f>_xlfn.XLOOKUP(tbEscolas[[#This Row],[ESCOLA]],tbNucleo[ESCOLA],tbNucleo[COD ESCOLA],"")</f>
        <v/>
      </c>
      <c r="B4811" t="str" cm="1">
        <f t="array" ref="B4811">IFERROR(INDEX(tbNucleo[ESCOLA],ROUNDUP(ROW(B4810)/TotalEtapas,0)),"")</f>
        <v/>
      </c>
      <c r="E4811" t="str">
        <f>IFERROR(VLOOKUP(tbEscolas[[#This Row],[COD ETPA]],tbEtapas[],2,FALSE),"")</f>
        <v/>
      </c>
      <c r="F4811" t="str">
        <f>IFERROR(VLOOKUP(tbEscolas[[#This Row],[COD ETPA]],tbEtapas[],3,FALSE),"")</f>
        <v/>
      </c>
    </row>
    <row r="4812" spans="1:6" x14ac:dyDescent="0.25">
      <c r="A4812" s="24" t="str">
        <f>_xlfn.XLOOKUP(tbEscolas[[#This Row],[ESCOLA]],tbNucleo[ESCOLA],tbNucleo[COD ESCOLA],"")</f>
        <v/>
      </c>
      <c r="B4812" t="str" cm="1">
        <f t="array" ref="B4812">IFERROR(INDEX(tbNucleo[ESCOLA],ROUNDUP(ROW(B4811)/TotalEtapas,0)),"")</f>
        <v/>
      </c>
      <c r="E4812" t="str">
        <f>IFERROR(VLOOKUP(tbEscolas[[#This Row],[COD ETPA]],tbEtapas[],2,FALSE),"")</f>
        <v/>
      </c>
      <c r="F4812" t="str">
        <f>IFERROR(VLOOKUP(tbEscolas[[#This Row],[COD ETPA]],tbEtapas[],3,FALSE),"")</f>
        <v/>
      </c>
    </row>
    <row r="4813" spans="1:6" x14ac:dyDescent="0.25">
      <c r="A4813" s="24" t="str">
        <f>_xlfn.XLOOKUP(tbEscolas[[#This Row],[ESCOLA]],tbNucleo[ESCOLA],tbNucleo[COD ESCOLA],"")</f>
        <v/>
      </c>
      <c r="B4813" t="str" cm="1">
        <f t="array" ref="B4813">IFERROR(INDEX(tbNucleo[ESCOLA],ROUNDUP(ROW(B4812)/TotalEtapas,0)),"")</f>
        <v/>
      </c>
      <c r="E4813" t="str">
        <f>IFERROR(VLOOKUP(tbEscolas[[#This Row],[COD ETPA]],tbEtapas[],2,FALSE),"")</f>
        <v/>
      </c>
      <c r="F4813" t="str">
        <f>IFERROR(VLOOKUP(tbEscolas[[#This Row],[COD ETPA]],tbEtapas[],3,FALSE),"")</f>
        <v/>
      </c>
    </row>
    <row r="4814" spans="1:6" x14ac:dyDescent="0.25">
      <c r="A4814" s="24" t="str">
        <f>_xlfn.XLOOKUP(tbEscolas[[#This Row],[ESCOLA]],tbNucleo[ESCOLA],tbNucleo[COD ESCOLA],"")</f>
        <v/>
      </c>
      <c r="B4814" t="str" cm="1">
        <f t="array" ref="B4814">IFERROR(INDEX(tbNucleo[ESCOLA],ROUNDUP(ROW(B4813)/TotalEtapas,0)),"")</f>
        <v/>
      </c>
      <c r="E4814" t="str">
        <f>IFERROR(VLOOKUP(tbEscolas[[#This Row],[COD ETPA]],tbEtapas[],2,FALSE),"")</f>
        <v/>
      </c>
      <c r="F4814" t="str">
        <f>IFERROR(VLOOKUP(tbEscolas[[#This Row],[COD ETPA]],tbEtapas[],3,FALSE),"")</f>
        <v/>
      </c>
    </row>
    <row r="4815" spans="1:6" x14ac:dyDescent="0.25">
      <c r="A4815" s="24" t="str">
        <f>_xlfn.XLOOKUP(tbEscolas[[#This Row],[ESCOLA]],tbNucleo[ESCOLA],tbNucleo[COD ESCOLA],"")</f>
        <v/>
      </c>
      <c r="B4815" t="str" cm="1">
        <f t="array" ref="B4815">IFERROR(INDEX(tbNucleo[ESCOLA],ROUNDUP(ROW(B4814)/TotalEtapas,0)),"")</f>
        <v/>
      </c>
      <c r="E4815" t="str">
        <f>IFERROR(VLOOKUP(tbEscolas[[#This Row],[COD ETPA]],tbEtapas[],2,FALSE),"")</f>
        <v/>
      </c>
      <c r="F4815" t="str">
        <f>IFERROR(VLOOKUP(tbEscolas[[#This Row],[COD ETPA]],tbEtapas[],3,FALSE),"")</f>
        <v/>
      </c>
    </row>
    <row r="4816" spans="1:6" x14ac:dyDescent="0.25">
      <c r="A4816" s="24" t="str">
        <f>_xlfn.XLOOKUP(tbEscolas[[#This Row],[ESCOLA]],tbNucleo[ESCOLA],tbNucleo[COD ESCOLA],"")</f>
        <v/>
      </c>
      <c r="B4816" t="str" cm="1">
        <f t="array" ref="B4816">IFERROR(INDEX(tbNucleo[ESCOLA],ROUNDUP(ROW(B4815)/TotalEtapas,0)),"")</f>
        <v/>
      </c>
      <c r="E4816" t="str">
        <f>IFERROR(VLOOKUP(tbEscolas[[#This Row],[COD ETPA]],tbEtapas[],2,FALSE),"")</f>
        <v/>
      </c>
      <c r="F4816" t="str">
        <f>IFERROR(VLOOKUP(tbEscolas[[#This Row],[COD ETPA]],tbEtapas[],3,FALSE),"")</f>
        <v/>
      </c>
    </row>
    <row r="4817" spans="1:6" x14ac:dyDescent="0.25">
      <c r="A4817" s="24" t="str">
        <f>_xlfn.XLOOKUP(tbEscolas[[#This Row],[ESCOLA]],tbNucleo[ESCOLA],tbNucleo[COD ESCOLA],"")</f>
        <v/>
      </c>
      <c r="B4817" t="str" cm="1">
        <f t="array" ref="B4817">IFERROR(INDEX(tbNucleo[ESCOLA],ROUNDUP(ROW(B4816)/TotalEtapas,0)),"")</f>
        <v/>
      </c>
      <c r="E4817" t="str">
        <f>IFERROR(VLOOKUP(tbEscolas[[#This Row],[COD ETPA]],tbEtapas[],2,FALSE),"")</f>
        <v/>
      </c>
      <c r="F4817" t="str">
        <f>IFERROR(VLOOKUP(tbEscolas[[#This Row],[COD ETPA]],tbEtapas[],3,FALSE),"")</f>
        <v/>
      </c>
    </row>
    <row r="4818" spans="1:6" x14ac:dyDescent="0.25">
      <c r="A4818" s="24" t="str">
        <f>_xlfn.XLOOKUP(tbEscolas[[#This Row],[ESCOLA]],tbNucleo[ESCOLA],tbNucleo[COD ESCOLA],"")</f>
        <v/>
      </c>
      <c r="B4818" t="str" cm="1">
        <f t="array" ref="B4818">IFERROR(INDEX(tbNucleo[ESCOLA],ROUNDUP(ROW(B4817)/TotalEtapas,0)),"")</f>
        <v/>
      </c>
      <c r="E4818" t="str">
        <f>IFERROR(VLOOKUP(tbEscolas[[#This Row],[COD ETPA]],tbEtapas[],2,FALSE),"")</f>
        <v/>
      </c>
      <c r="F4818" t="str">
        <f>IFERROR(VLOOKUP(tbEscolas[[#This Row],[COD ETPA]],tbEtapas[],3,FALSE),"")</f>
        <v/>
      </c>
    </row>
    <row r="4819" spans="1:6" x14ac:dyDescent="0.25">
      <c r="A4819" s="24" t="str">
        <f>_xlfn.XLOOKUP(tbEscolas[[#This Row],[ESCOLA]],tbNucleo[ESCOLA],tbNucleo[COD ESCOLA],"")</f>
        <v/>
      </c>
      <c r="B4819" t="str" cm="1">
        <f t="array" ref="B4819">IFERROR(INDEX(tbNucleo[ESCOLA],ROUNDUP(ROW(B4818)/TotalEtapas,0)),"")</f>
        <v/>
      </c>
      <c r="E4819" t="str">
        <f>IFERROR(VLOOKUP(tbEscolas[[#This Row],[COD ETPA]],tbEtapas[],2,FALSE),"")</f>
        <v/>
      </c>
      <c r="F4819" t="str">
        <f>IFERROR(VLOOKUP(tbEscolas[[#This Row],[COD ETPA]],tbEtapas[],3,FALSE),"")</f>
        <v/>
      </c>
    </row>
    <row r="4820" spans="1:6" x14ac:dyDescent="0.25">
      <c r="A4820" s="24" t="str">
        <f>_xlfn.XLOOKUP(tbEscolas[[#This Row],[ESCOLA]],tbNucleo[ESCOLA],tbNucleo[COD ESCOLA],"")</f>
        <v/>
      </c>
      <c r="B4820" t="str" cm="1">
        <f t="array" ref="B4820">IFERROR(INDEX(tbNucleo[ESCOLA],ROUNDUP(ROW(B4819)/TotalEtapas,0)),"")</f>
        <v/>
      </c>
      <c r="E4820" t="str">
        <f>IFERROR(VLOOKUP(tbEscolas[[#This Row],[COD ETPA]],tbEtapas[],2,FALSE),"")</f>
        <v/>
      </c>
      <c r="F4820" t="str">
        <f>IFERROR(VLOOKUP(tbEscolas[[#This Row],[COD ETPA]],tbEtapas[],3,FALSE),"")</f>
        <v/>
      </c>
    </row>
    <row r="4821" spans="1:6" x14ac:dyDescent="0.25">
      <c r="A4821" s="24" t="str">
        <f>_xlfn.XLOOKUP(tbEscolas[[#This Row],[ESCOLA]],tbNucleo[ESCOLA],tbNucleo[COD ESCOLA],"")</f>
        <v/>
      </c>
      <c r="B4821" t="str" cm="1">
        <f t="array" ref="B4821">IFERROR(INDEX(tbNucleo[ESCOLA],ROUNDUP(ROW(B4820)/TotalEtapas,0)),"")</f>
        <v/>
      </c>
      <c r="E4821" t="str">
        <f>IFERROR(VLOOKUP(tbEscolas[[#This Row],[COD ETPA]],tbEtapas[],2,FALSE),"")</f>
        <v/>
      </c>
      <c r="F4821" t="str">
        <f>IFERROR(VLOOKUP(tbEscolas[[#This Row],[COD ETPA]],tbEtapas[],3,FALSE),"")</f>
        <v/>
      </c>
    </row>
    <row r="4822" spans="1:6" x14ac:dyDescent="0.25">
      <c r="A4822" s="24" t="str">
        <f>_xlfn.XLOOKUP(tbEscolas[[#This Row],[ESCOLA]],tbNucleo[ESCOLA],tbNucleo[COD ESCOLA],"")</f>
        <v/>
      </c>
      <c r="B4822" t="str" cm="1">
        <f t="array" ref="B4822">IFERROR(INDEX(tbNucleo[ESCOLA],ROUNDUP(ROW(B4821)/TotalEtapas,0)),"")</f>
        <v/>
      </c>
      <c r="E4822" t="str">
        <f>IFERROR(VLOOKUP(tbEscolas[[#This Row],[COD ETPA]],tbEtapas[],2,FALSE),"")</f>
        <v/>
      </c>
      <c r="F4822" t="str">
        <f>IFERROR(VLOOKUP(tbEscolas[[#This Row],[COD ETPA]],tbEtapas[],3,FALSE),"")</f>
        <v/>
      </c>
    </row>
    <row r="4823" spans="1:6" x14ac:dyDescent="0.25">
      <c r="A4823" s="24" t="str">
        <f>_xlfn.XLOOKUP(tbEscolas[[#This Row],[ESCOLA]],tbNucleo[ESCOLA],tbNucleo[COD ESCOLA],"")</f>
        <v/>
      </c>
      <c r="B4823" t="str" cm="1">
        <f t="array" ref="B4823">IFERROR(INDEX(tbNucleo[ESCOLA],ROUNDUP(ROW(B4822)/TotalEtapas,0)),"")</f>
        <v/>
      </c>
      <c r="E4823" t="str">
        <f>IFERROR(VLOOKUP(tbEscolas[[#This Row],[COD ETPA]],tbEtapas[],2,FALSE),"")</f>
        <v/>
      </c>
      <c r="F4823" t="str">
        <f>IFERROR(VLOOKUP(tbEscolas[[#This Row],[COD ETPA]],tbEtapas[],3,FALSE),"")</f>
        <v/>
      </c>
    </row>
    <row r="4824" spans="1:6" x14ac:dyDescent="0.25">
      <c r="A4824" s="24" t="str">
        <f>_xlfn.XLOOKUP(tbEscolas[[#This Row],[ESCOLA]],tbNucleo[ESCOLA],tbNucleo[COD ESCOLA],"")</f>
        <v/>
      </c>
      <c r="B4824" t="str" cm="1">
        <f t="array" ref="B4824">IFERROR(INDEX(tbNucleo[ESCOLA],ROUNDUP(ROW(B4823)/TotalEtapas,0)),"")</f>
        <v/>
      </c>
      <c r="E4824" t="str">
        <f>IFERROR(VLOOKUP(tbEscolas[[#This Row],[COD ETPA]],tbEtapas[],2,FALSE),"")</f>
        <v/>
      </c>
      <c r="F4824" t="str">
        <f>IFERROR(VLOOKUP(tbEscolas[[#This Row],[COD ETPA]],tbEtapas[],3,FALSE),"")</f>
        <v/>
      </c>
    </row>
    <row r="4825" spans="1:6" x14ac:dyDescent="0.25">
      <c r="A4825" s="24" t="str">
        <f>_xlfn.XLOOKUP(tbEscolas[[#This Row],[ESCOLA]],tbNucleo[ESCOLA],tbNucleo[COD ESCOLA],"")</f>
        <v/>
      </c>
      <c r="B4825" t="str" cm="1">
        <f t="array" ref="B4825">IFERROR(INDEX(tbNucleo[ESCOLA],ROUNDUP(ROW(B4824)/TotalEtapas,0)),"")</f>
        <v/>
      </c>
      <c r="E4825" t="str">
        <f>IFERROR(VLOOKUP(tbEscolas[[#This Row],[COD ETPA]],tbEtapas[],2,FALSE),"")</f>
        <v/>
      </c>
      <c r="F4825" t="str">
        <f>IFERROR(VLOOKUP(tbEscolas[[#This Row],[COD ETPA]],tbEtapas[],3,FALSE),"")</f>
        <v/>
      </c>
    </row>
    <row r="4826" spans="1:6" x14ac:dyDescent="0.25">
      <c r="A4826" s="24" t="str">
        <f>_xlfn.XLOOKUP(tbEscolas[[#This Row],[ESCOLA]],tbNucleo[ESCOLA],tbNucleo[COD ESCOLA],"")</f>
        <v/>
      </c>
      <c r="B4826" t="str" cm="1">
        <f t="array" ref="B4826">IFERROR(INDEX(tbNucleo[ESCOLA],ROUNDUP(ROW(B4825)/TotalEtapas,0)),"")</f>
        <v/>
      </c>
      <c r="E4826" t="str">
        <f>IFERROR(VLOOKUP(tbEscolas[[#This Row],[COD ETPA]],tbEtapas[],2,FALSE),"")</f>
        <v/>
      </c>
      <c r="F4826" t="str">
        <f>IFERROR(VLOOKUP(tbEscolas[[#This Row],[COD ETPA]],tbEtapas[],3,FALSE),"")</f>
        <v/>
      </c>
    </row>
    <row r="4827" spans="1:6" x14ac:dyDescent="0.25">
      <c r="A4827" s="24" t="str">
        <f>_xlfn.XLOOKUP(tbEscolas[[#This Row],[ESCOLA]],tbNucleo[ESCOLA],tbNucleo[COD ESCOLA],"")</f>
        <v/>
      </c>
      <c r="B4827" t="str" cm="1">
        <f t="array" ref="B4827">IFERROR(INDEX(tbNucleo[ESCOLA],ROUNDUP(ROW(B4826)/TotalEtapas,0)),"")</f>
        <v/>
      </c>
      <c r="E4827" t="str">
        <f>IFERROR(VLOOKUP(tbEscolas[[#This Row],[COD ETPA]],tbEtapas[],2,FALSE),"")</f>
        <v/>
      </c>
      <c r="F4827" t="str">
        <f>IFERROR(VLOOKUP(tbEscolas[[#This Row],[COD ETPA]],tbEtapas[],3,FALSE),"")</f>
        <v/>
      </c>
    </row>
    <row r="4828" spans="1:6" x14ac:dyDescent="0.25">
      <c r="A4828" s="24" t="str">
        <f>_xlfn.XLOOKUP(tbEscolas[[#This Row],[ESCOLA]],tbNucleo[ESCOLA],tbNucleo[COD ESCOLA],"")</f>
        <v/>
      </c>
      <c r="B4828" t="str" cm="1">
        <f t="array" ref="B4828">IFERROR(INDEX(tbNucleo[ESCOLA],ROUNDUP(ROW(B4827)/TotalEtapas,0)),"")</f>
        <v/>
      </c>
      <c r="E4828" t="str">
        <f>IFERROR(VLOOKUP(tbEscolas[[#This Row],[COD ETPA]],tbEtapas[],2,FALSE),"")</f>
        <v/>
      </c>
      <c r="F4828" t="str">
        <f>IFERROR(VLOOKUP(tbEscolas[[#This Row],[COD ETPA]],tbEtapas[],3,FALSE),"")</f>
        <v/>
      </c>
    </row>
    <row r="4829" spans="1:6" x14ac:dyDescent="0.25">
      <c r="A4829" s="24" t="str">
        <f>_xlfn.XLOOKUP(tbEscolas[[#This Row],[ESCOLA]],tbNucleo[ESCOLA],tbNucleo[COD ESCOLA],"")</f>
        <v/>
      </c>
      <c r="B4829" t="str" cm="1">
        <f t="array" ref="B4829">IFERROR(INDEX(tbNucleo[ESCOLA],ROUNDUP(ROW(B4828)/TotalEtapas,0)),"")</f>
        <v/>
      </c>
      <c r="E4829" t="str">
        <f>IFERROR(VLOOKUP(tbEscolas[[#This Row],[COD ETPA]],tbEtapas[],2,FALSE),"")</f>
        <v/>
      </c>
      <c r="F4829" t="str">
        <f>IFERROR(VLOOKUP(tbEscolas[[#This Row],[COD ETPA]],tbEtapas[],3,FALSE),"")</f>
        <v/>
      </c>
    </row>
    <row r="4830" spans="1:6" x14ac:dyDescent="0.25">
      <c r="A4830" s="24" t="str">
        <f>_xlfn.XLOOKUP(tbEscolas[[#This Row],[ESCOLA]],tbNucleo[ESCOLA],tbNucleo[COD ESCOLA],"")</f>
        <v/>
      </c>
      <c r="B4830" t="str" cm="1">
        <f t="array" ref="B4830">IFERROR(INDEX(tbNucleo[ESCOLA],ROUNDUP(ROW(B4829)/TotalEtapas,0)),"")</f>
        <v/>
      </c>
      <c r="E4830" t="str">
        <f>IFERROR(VLOOKUP(tbEscolas[[#This Row],[COD ETPA]],tbEtapas[],2,FALSE),"")</f>
        <v/>
      </c>
      <c r="F4830" t="str">
        <f>IFERROR(VLOOKUP(tbEscolas[[#This Row],[COD ETPA]],tbEtapas[],3,FALSE),"")</f>
        <v/>
      </c>
    </row>
    <row r="4831" spans="1:6" x14ac:dyDescent="0.25">
      <c r="A4831" s="24" t="str">
        <f>_xlfn.XLOOKUP(tbEscolas[[#This Row],[ESCOLA]],tbNucleo[ESCOLA],tbNucleo[COD ESCOLA],"")</f>
        <v/>
      </c>
      <c r="B4831" t="str" cm="1">
        <f t="array" ref="B4831">IFERROR(INDEX(tbNucleo[ESCOLA],ROUNDUP(ROW(B4830)/TotalEtapas,0)),"")</f>
        <v/>
      </c>
      <c r="E4831" t="str">
        <f>IFERROR(VLOOKUP(tbEscolas[[#This Row],[COD ETPA]],tbEtapas[],2,FALSE),"")</f>
        <v/>
      </c>
      <c r="F4831" t="str">
        <f>IFERROR(VLOOKUP(tbEscolas[[#This Row],[COD ETPA]],tbEtapas[],3,FALSE),"")</f>
        <v/>
      </c>
    </row>
    <row r="4832" spans="1:6" x14ac:dyDescent="0.25">
      <c r="A4832" s="24" t="str">
        <f>_xlfn.XLOOKUP(tbEscolas[[#This Row],[ESCOLA]],tbNucleo[ESCOLA],tbNucleo[COD ESCOLA],"")</f>
        <v/>
      </c>
      <c r="B4832" t="str" cm="1">
        <f t="array" ref="B4832">IFERROR(INDEX(tbNucleo[ESCOLA],ROUNDUP(ROW(B4831)/TotalEtapas,0)),"")</f>
        <v/>
      </c>
      <c r="E4832" t="str">
        <f>IFERROR(VLOOKUP(tbEscolas[[#This Row],[COD ETPA]],tbEtapas[],2,FALSE),"")</f>
        <v/>
      </c>
      <c r="F4832" t="str">
        <f>IFERROR(VLOOKUP(tbEscolas[[#This Row],[COD ETPA]],tbEtapas[],3,FALSE),"")</f>
        <v/>
      </c>
    </row>
    <row r="4833" spans="1:6" x14ac:dyDescent="0.25">
      <c r="A4833" s="24" t="str">
        <f>_xlfn.XLOOKUP(tbEscolas[[#This Row],[ESCOLA]],tbNucleo[ESCOLA],tbNucleo[COD ESCOLA],"")</f>
        <v/>
      </c>
      <c r="B4833" t="str" cm="1">
        <f t="array" ref="B4833">IFERROR(INDEX(tbNucleo[ESCOLA],ROUNDUP(ROW(B4832)/TotalEtapas,0)),"")</f>
        <v/>
      </c>
      <c r="E4833" t="str">
        <f>IFERROR(VLOOKUP(tbEscolas[[#This Row],[COD ETPA]],tbEtapas[],2,FALSE),"")</f>
        <v/>
      </c>
      <c r="F4833" t="str">
        <f>IFERROR(VLOOKUP(tbEscolas[[#This Row],[COD ETPA]],tbEtapas[],3,FALSE),"")</f>
        <v/>
      </c>
    </row>
    <row r="4834" spans="1:6" x14ac:dyDescent="0.25">
      <c r="A4834" s="24" t="str">
        <f>_xlfn.XLOOKUP(tbEscolas[[#This Row],[ESCOLA]],tbNucleo[ESCOLA],tbNucleo[COD ESCOLA],"")</f>
        <v/>
      </c>
      <c r="B4834" t="str" cm="1">
        <f t="array" ref="B4834">IFERROR(INDEX(tbNucleo[ESCOLA],ROUNDUP(ROW(B4833)/TotalEtapas,0)),"")</f>
        <v/>
      </c>
      <c r="E4834" t="str">
        <f>IFERROR(VLOOKUP(tbEscolas[[#This Row],[COD ETPA]],tbEtapas[],2,FALSE),"")</f>
        <v/>
      </c>
      <c r="F4834" t="str">
        <f>IFERROR(VLOOKUP(tbEscolas[[#This Row],[COD ETPA]],tbEtapas[],3,FALSE),"")</f>
        <v/>
      </c>
    </row>
    <row r="4835" spans="1:6" x14ac:dyDescent="0.25">
      <c r="A4835" s="24" t="str">
        <f>_xlfn.XLOOKUP(tbEscolas[[#This Row],[ESCOLA]],tbNucleo[ESCOLA],tbNucleo[COD ESCOLA],"")</f>
        <v/>
      </c>
      <c r="B4835" t="str" cm="1">
        <f t="array" ref="B4835">IFERROR(INDEX(tbNucleo[ESCOLA],ROUNDUP(ROW(B4834)/TotalEtapas,0)),"")</f>
        <v/>
      </c>
      <c r="E4835" t="str">
        <f>IFERROR(VLOOKUP(tbEscolas[[#This Row],[COD ETPA]],tbEtapas[],2,FALSE),"")</f>
        <v/>
      </c>
      <c r="F4835" t="str">
        <f>IFERROR(VLOOKUP(tbEscolas[[#This Row],[COD ETPA]],tbEtapas[],3,FALSE),"")</f>
        <v/>
      </c>
    </row>
    <row r="4836" spans="1:6" x14ac:dyDescent="0.25">
      <c r="A4836" s="24" t="str">
        <f>_xlfn.XLOOKUP(tbEscolas[[#This Row],[ESCOLA]],tbNucleo[ESCOLA],tbNucleo[COD ESCOLA],"")</f>
        <v/>
      </c>
      <c r="B4836" t="str" cm="1">
        <f t="array" ref="B4836">IFERROR(INDEX(tbNucleo[ESCOLA],ROUNDUP(ROW(B4835)/TotalEtapas,0)),"")</f>
        <v/>
      </c>
      <c r="E4836" t="str">
        <f>IFERROR(VLOOKUP(tbEscolas[[#This Row],[COD ETPA]],tbEtapas[],2,FALSE),"")</f>
        <v/>
      </c>
      <c r="F4836" t="str">
        <f>IFERROR(VLOOKUP(tbEscolas[[#This Row],[COD ETPA]],tbEtapas[],3,FALSE),"")</f>
        <v/>
      </c>
    </row>
    <row r="4837" spans="1:6" x14ac:dyDescent="0.25">
      <c r="A4837" s="24" t="str">
        <f>_xlfn.XLOOKUP(tbEscolas[[#This Row],[ESCOLA]],tbNucleo[ESCOLA],tbNucleo[COD ESCOLA],"")</f>
        <v/>
      </c>
      <c r="B4837" t="str" cm="1">
        <f t="array" ref="B4837">IFERROR(INDEX(tbNucleo[ESCOLA],ROUNDUP(ROW(B4836)/TotalEtapas,0)),"")</f>
        <v/>
      </c>
      <c r="E4837" t="str">
        <f>IFERROR(VLOOKUP(tbEscolas[[#This Row],[COD ETPA]],tbEtapas[],2,FALSE),"")</f>
        <v/>
      </c>
      <c r="F4837" t="str">
        <f>IFERROR(VLOOKUP(tbEscolas[[#This Row],[COD ETPA]],tbEtapas[],3,FALSE),"")</f>
        <v/>
      </c>
    </row>
    <row r="4838" spans="1:6" x14ac:dyDescent="0.25">
      <c r="A4838" s="24" t="str">
        <f>_xlfn.XLOOKUP(tbEscolas[[#This Row],[ESCOLA]],tbNucleo[ESCOLA],tbNucleo[COD ESCOLA],"")</f>
        <v/>
      </c>
      <c r="B4838" t="str" cm="1">
        <f t="array" ref="B4838">IFERROR(INDEX(tbNucleo[ESCOLA],ROUNDUP(ROW(B4837)/TotalEtapas,0)),"")</f>
        <v/>
      </c>
      <c r="E4838" t="str">
        <f>IFERROR(VLOOKUP(tbEscolas[[#This Row],[COD ETPA]],tbEtapas[],2,FALSE),"")</f>
        <v/>
      </c>
      <c r="F4838" t="str">
        <f>IFERROR(VLOOKUP(tbEscolas[[#This Row],[COD ETPA]],tbEtapas[],3,FALSE),"")</f>
        <v/>
      </c>
    </row>
    <row r="4839" spans="1:6" x14ac:dyDescent="0.25">
      <c r="A4839" s="24" t="str">
        <f>_xlfn.XLOOKUP(tbEscolas[[#This Row],[ESCOLA]],tbNucleo[ESCOLA],tbNucleo[COD ESCOLA],"")</f>
        <v/>
      </c>
      <c r="B4839" t="str" cm="1">
        <f t="array" ref="B4839">IFERROR(INDEX(tbNucleo[ESCOLA],ROUNDUP(ROW(B4838)/TotalEtapas,0)),"")</f>
        <v/>
      </c>
      <c r="E4839" t="str">
        <f>IFERROR(VLOOKUP(tbEscolas[[#This Row],[COD ETPA]],tbEtapas[],2,FALSE),"")</f>
        <v/>
      </c>
      <c r="F4839" t="str">
        <f>IFERROR(VLOOKUP(tbEscolas[[#This Row],[COD ETPA]],tbEtapas[],3,FALSE),"")</f>
        <v/>
      </c>
    </row>
    <row r="4840" spans="1:6" x14ac:dyDescent="0.25">
      <c r="A4840" s="24" t="str">
        <f>_xlfn.XLOOKUP(tbEscolas[[#This Row],[ESCOLA]],tbNucleo[ESCOLA],tbNucleo[COD ESCOLA],"")</f>
        <v/>
      </c>
      <c r="B4840" t="str" cm="1">
        <f t="array" ref="B4840">IFERROR(INDEX(tbNucleo[ESCOLA],ROUNDUP(ROW(B4839)/TotalEtapas,0)),"")</f>
        <v/>
      </c>
      <c r="E4840" t="str">
        <f>IFERROR(VLOOKUP(tbEscolas[[#This Row],[COD ETPA]],tbEtapas[],2,FALSE),"")</f>
        <v/>
      </c>
      <c r="F4840" t="str">
        <f>IFERROR(VLOOKUP(tbEscolas[[#This Row],[COD ETPA]],tbEtapas[],3,FALSE),"")</f>
        <v/>
      </c>
    </row>
    <row r="4841" spans="1:6" x14ac:dyDescent="0.25">
      <c r="A4841" s="24" t="str">
        <f>_xlfn.XLOOKUP(tbEscolas[[#This Row],[ESCOLA]],tbNucleo[ESCOLA],tbNucleo[COD ESCOLA],"")</f>
        <v/>
      </c>
      <c r="B4841" t="str" cm="1">
        <f t="array" ref="B4841">IFERROR(INDEX(tbNucleo[ESCOLA],ROUNDUP(ROW(B4840)/TotalEtapas,0)),"")</f>
        <v/>
      </c>
      <c r="E4841" t="str">
        <f>IFERROR(VLOOKUP(tbEscolas[[#This Row],[COD ETPA]],tbEtapas[],2,FALSE),"")</f>
        <v/>
      </c>
      <c r="F4841" t="str">
        <f>IFERROR(VLOOKUP(tbEscolas[[#This Row],[COD ETPA]],tbEtapas[],3,FALSE),"")</f>
        <v/>
      </c>
    </row>
    <row r="4842" spans="1:6" x14ac:dyDescent="0.25">
      <c r="A4842" s="24" t="str">
        <f>_xlfn.XLOOKUP(tbEscolas[[#This Row],[ESCOLA]],tbNucleo[ESCOLA],tbNucleo[COD ESCOLA],"")</f>
        <v/>
      </c>
      <c r="B4842" t="str" cm="1">
        <f t="array" ref="B4842">IFERROR(INDEX(tbNucleo[ESCOLA],ROUNDUP(ROW(B4841)/TotalEtapas,0)),"")</f>
        <v/>
      </c>
      <c r="E4842" t="str">
        <f>IFERROR(VLOOKUP(tbEscolas[[#This Row],[COD ETPA]],tbEtapas[],2,FALSE),"")</f>
        <v/>
      </c>
      <c r="F4842" t="str">
        <f>IFERROR(VLOOKUP(tbEscolas[[#This Row],[COD ETPA]],tbEtapas[],3,FALSE),"")</f>
        <v/>
      </c>
    </row>
    <row r="4843" spans="1:6" x14ac:dyDescent="0.25">
      <c r="A4843" s="24" t="str">
        <f>_xlfn.XLOOKUP(tbEscolas[[#This Row],[ESCOLA]],tbNucleo[ESCOLA],tbNucleo[COD ESCOLA],"")</f>
        <v/>
      </c>
      <c r="B4843" t="str" cm="1">
        <f t="array" ref="B4843">IFERROR(INDEX(tbNucleo[ESCOLA],ROUNDUP(ROW(B4842)/TotalEtapas,0)),"")</f>
        <v/>
      </c>
      <c r="E4843" t="str">
        <f>IFERROR(VLOOKUP(tbEscolas[[#This Row],[COD ETPA]],tbEtapas[],2,FALSE),"")</f>
        <v/>
      </c>
      <c r="F4843" t="str">
        <f>IFERROR(VLOOKUP(tbEscolas[[#This Row],[COD ETPA]],tbEtapas[],3,FALSE),"")</f>
        <v/>
      </c>
    </row>
    <row r="4844" spans="1:6" x14ac:dyDescent="0.25">
      <c r="A4844" s="24" t="str">
        <f>_xlfn.XLOOKUP(tbEscolas[[#This Row],[ESCOLA]],tbNucleo[ESCOLA],tbNucleo[COD ESCOLA],"")</f>
        <v/>
      </c>
      <c r="B4844" t="str" cm="1">
        <f t="array" ref="B4844">IFERROR(INDEX(tbNucleo[ESCOLA],ROUNDUP(ROW(B4843)/TotalEtapas,0)),"")</f>
        <v/>
      </c>
      <c r="E4844" t="str">
        <f>IFERROR(VLOOKUP(tbEscolas[[#This Row],[COD ETPA]],tbEtapas[],2,FALSE),"")</f>
        <v/>
      </c>
      <c r="F4844" t="str">
        <f>IFERROR(VLOOKUP(tbEscolas[[#This Row],[COD ETPA]],tbEtapas[],3,FALSE),"")</f>
        <v/>
      </c>
    </row>
    <row r="4845" spans="1:6" x14ac:dyDescent="0.25">
      <c r="A4845" s="24" t="str">
        <f>_xlfn.XLOOKUP(tbEscolas[[#This Row],[ESCOLA]],tbNucleo[ESCOLA],tbNucleo[COD ESCOLA],"")</f>
        <v/>
      </c>
      <c r="B4845" t="str" cm="1">
        <f t="array" ref="B4845">IFERROR(INDEX(tbNucleo[ESCOLA],ROUNDUP(ROW(B4844)/TotalEtapas,0)),"")</f>
        <v/>
      </c>
      <c r="E4845" t="str">
        <f>IFERROR(VLOOKUP(tbEscolas[[#This Row],[COD ETPA]],tbEtapas[],2,FALSE),"")</f>
        <v/>
      </c>
      <c r="F4845" t="str">
        <f>IFERROR(VLOOKUP(tbEscolas[[#This Row],[COD ETPA]],tbEtapas[],3,FALSE),"")</f>
        <v/>
      </c>
    </row>
    <row r="4846" spans="1:6" x14ac:dyDescent="0.25">
      <c r="A4846" s="24" t="str">
        <f>_xlfn.XLOOKUP(tbEscolas[[#This Row],[ESCOLA]],tbNucleo[ESCOLA],tbNucleo[COD ESCOLA],"")</f>
        <v/>
      </c>
      <c r="B4846" t="str" cm="1">
        <f t="array" ref="B4846">IFERROR(INDEX(tbNucleo[ESCOLA],ROUNDUP(ROW(B4845)/TotalEtapas,0)),"")</f>
        <v/>
      </c>
      <c r="E4846" t="str">
        <f>IFERROR(VLOOKUP(tbEscolas[[#This Row],[COD ETPA]],tbEtapas[],2,FALSE),"")</f>
        <v/>
      </c>
      <c r="F4846" t="str">
        <f>IFERROR(VLOOKUP(tbEscolas[[#This Row],[COD ETPA]],tbEtapas[],3,FALSE),"")</f>
        <v/>
      </c>
    </row>
    <row r="4847" spans="1:6" x14ac:dyDescent="0.25">
      <c r="A4847" s="24" t="str">
        <f>_xlfn.XLOOKUP(tbEscolas[[#This Row],[ESCOLA]],tbNucleo[ESCOLA],tbNucleo[COD ESCOLA],"")</f>
        <v/>
      </c>
      <c r="B4847" t="str" cm="1">
        <f t="array" ref="B4847">IFERROR(INDEX(tbNucleo[ESCOLA],ROUNDUP(ROW(B4846)/TotalEtapas,0)),"")</f>
        <v/>
      </c>
      <c r="E4847" t="str">
        <f>IFERROR(VLOOKUP(tbEscolas[[#This Row],[COD ETPA]],tbEtapas[],2,FALSE),"")</f>
        <v/>
      </c>
      <c r="F4847" t="str">
        <f>IFERROR(VLOOKUP(tbEscolas[[#This Row],[COD ETPA]],tbEtapas[],3,FALSE),"")</f>
        <v/>
      </c>
    </row>
    <row r="4848" spans="1:6" x14ac:dyDescent="0.25">
      <c r="A4848" s="24" t="str">
        <f>_xlfn.XLOOKUP(tbEscolas[[#This Row],[ESCOLA]],tbNucleo[ESCOLA],tbNucleo[COD ESCOLA],"")</f>
        <v/>
      </c>
      <c r="B4848" t="str" cm="1">
        <f t="array" ref="B4848">IFERROR(INDEX(tbNucleo[ESCOLA],ROUNDUP(ROW(B4847)/TotalEtapas,0)),"")</f>
        <v/>
      </c>
      <c r="E4848" t="str">
        <f>IFERROR(VLOOKUP(tbEscolas[[#This Row],[COD ETPA]],tbEtapas[],2,FALSE),"")</f>
        <v/>
      </c>
      <c r="F4848" t="str">
        <f>IFERROR(VLOOKUP(tbEscolas[[#This Row],[COD ETPA]],tbEtapas[],3,FALSE),"")</f>
        <v/>
      </c>
    </row>
    <row r="4849" spans="1:6" x14ac:dyDescent="0.25">
      <c r="A4849" s="24" t="str">
        <f>_xlfn.XLOOKUP(tbEscolas[[#This Row],[ESCOLA]],tbNucleo[ESCOLA],tbNucleo[COD ESCOLA],"")</f>
        <v/>
      </c>
      <c r="B4849" t="str" cm="1">
        <f t="array" ref="B4849">IFERROR(INDEX(tbNucleo[ESCOLA],ROUNDUP(ROW(B4848)/TotalEtapas,0)),"")</f>
        <v/>
      </c>
      <c r="E4849" t="str">
        <f>IFERROR(VLOOKUP(tbEscolas[[#This Row],[COD ETPA]],tbEtapas[],2,FALSE),"")</f>
        <v/>
      </c>
      <c r="F4849" t="str">
        <f>IFERROR(VLOOKUP(tbEscolas[[#This Row],[COD ETPA]],tbEtapas[],3,FALSE),"")</f>
        <v/>
      </c>
    </row>
    <row r="4850" spans="1:6" x14ac:dyDescent="0.25">
      <c r="A4850" s="24" t="str">
        <f>_xlfn.XLOOKUP(tbEscolas[[#This Row],[ESCOLA]],tbNucleo[ESCOLA],tbNucleo[COD ESCOLA],"")</f>
        <v/>
      </c>
      <c r="B4850" t="str" cm="1">
        <f t="array" ref="B4850">IFERROR(INDEX(tbNucleo[ESCOLA],ROUNDUP(ROW(B4849)/TotalEtapas,0)),"")</f>
        <v/>
      </c>
      <c r="E4850" t="str">
        <f>IFERROR(VLOOKUP(tbEscolas[[#This Row],[COD ETPA]],tbEtapas[],2,FALSE),"")</f>
        <v/>
      </c>
      <c r="F4850" t="str">
        <f>IFERROR(VLOOKUP(tbEscolas[[#This Row],[COD ETPA]],tbEtapas[],3,FALSE),"")</f>
        <v/>
      </c>
    </row>
    <row r="4851" spans="1:6" x14ac:dyDescent="0.25">
      <c r="A4851" s="24" t="str">
        <f>_xlfn.XLOOKUP(tbEscolas[[#This Row],[ESCOLA]],tbNucleo[ESCOLA],tbNucleo[COD ESCOLA],"")</f>
        <v/>
      </c>
      <c r="B4851" t="str" cm="1">
        <f t="array" ref="B4851">IFERROR(INDEX(tbNucleo[ESCOLA],ROUNDUP(ROW(B4850)/TotalEtapas,0)),"")</f>
        <v/>
      </c>
      <c r="E4851" t="str">
        <f>IFERROR(VLOOKUP(tbEscolas[[#This Row],[COD ETPA]],tbEtapas[],2,FALSE),"")</f>
        <v/>
      </c>
      <c r="F4851" t="str">
        <f>IFERROR(VLOOKUP(tbEscolas[[#This Row],[COD ETPA]],tbEtapas[],3,FALSE),"")</f>
        <v/>
      </c>
    </row>
    <row r="4852" spans="1:6" x14ac:dyDescent="0.25">
      <c r="A4852" s="24" t="str">
        <f>_xlfn.XLOOKUP(tbEscolas[[#This Row],[ESCOLA]],tbNucleo[ESCOLA],tbNucleo[COD ESCOLA],"")</f>
        <v/>
      </c>
      <c r="B4852" t="str" cm="1">
        <f t="array" ref="B4852">IFERROR(INDEX(tbNucleo[ESCOLA],ROUNDUP(ROW(B4851)/TotalEtapas,0)),"")</f>
        <v/>
      </c>
      <c r="E4852" t="str">
        <f>IFERROR(VLOOKUP(tbEscolas[[#This Row],[COD ETPA]],tbEtapas[],2,FALSE),"")</f>
        <v/>
      </c>
      <c r="F4852" t="str">
        <f>IFERROR(VLOOKUP(tbEscolas[[#This Row],[COD ETPA]],tbEtapas[],3,FALSE),"")</f>
        <v/>
      </c>
    </row>
    <row r="4853" spans="1:6" x14ac:dyDescent="0.25">
      <c r="A4853" s="24" t="str">
        <f>_xlfn.XLOOKUP(tbEscolas[[#This Row],[ESCOLA]],tbNucleo[ESCOLA],tbNucleo[COD ESCOLA],"")</f>
        <v/>
      </c>
      <c r="B4853" t="str" cm="1">
        <f t="array" ref="B4853">IFERROR(INDEX(tbNucleo[ESCOLA],ROUNDUP(ROW(B4852)/TotalEtapas,0)),"")</f>
        <v/>
      </c>
      <c r="E4853" t="str">
        <f>IFERROR(VLOOKUP(tbEscolas[[#This Row],[COD ETPA]],tbEtapas[],2,FALSE),"")</f>
        <v/>
      </c>
      <c r="F4853" t="str">
        <f>IFERROR(VLOOKUP(tbEscolas[[#This Row],[COD ETPA]],tbEtapas[],3,FALSE),"")</f>
        <v/>
      </c>
    </row>
    <row r="4854" spans="1:6" x14ac:dyDescent="0.25">
      <c r="A4854" s="24" t="str">
        <f>_xlfn.XLOOKUP(tbEscolas[[#This Row],[ESCOLA]],tbNucleo[ESCOLA],tbNucleo[COD ESCOLA],"")</f>
        <v/>
      </c>
      <c r="B4854" t="str" cm="1">
        <f t="array" ref="B4854">IFERROR(INDEX(tbNucleo[ESCOLA],ROUNDUP(ROW(B4853)/TotalEtapas,0)),"")</f>
        <v/>
      </c>
      <c r="E4854" t="str">
        <f>IFERROR(VLOOKUP(tbEscolas[[#This Row],[COD ETPA]],tbEtapas[],2,FALSE),"")</f>
        <v/>
      </c>
      <c r="F4854" t="str">
        <f>IFERROR(VLOOKUP(tbEscolas[[#This Row],[COD ETPA]],tbEtapas[],3,FALSE),"")</f>
        <v/>
      </c>
    </row>
    <row r="4855" spans="1:6" x14ac:dyDescent="0.25">
      <c r="A4855" s="24" t="str">
        <f>_xlfn.XLOOKUP(tbEscolas[[#This Row],[ESCOLA]],tbNucleo[ESCOLA],tbNucleo[COD ESCOLA],"")</f>
        <v/>
      </c>
      <c r="B4855" t="str" cm="1">
        <f t="array" ref="B4855">IFERROR(INDEX(tbNucleo[ESCOLA],ROUNDUP(ROW(B4854)/TotalEtapas,0)),"")</f>
        <v/>
      </c>
      <c r="E4855" t="str">
        <f>IFERROR(VLOOKUP(tbEscolas[[#This Row],[COD ETPA]],tbEtapas[],2,FALSE),"")</f>
        <v/>
      </c>
      <c r="F4855" t="str">
        <f>IFERROR(VLOOKUP(tbEscolas[[#This Row],[COD ETPA]],tbEtapas[],3,FALSE),"")</f>
        <v/>
      </c>
    </row>
    <row r="4856" spans="1:6" x14ac:dyDescent="0.25">
      <c r="A4856" s="24" t="str">
        <f>_xlfn.XLOOKUP(tbEscolas[[#This Row],[ESCOLA]],tbNucleo[ESCOLA],tbNucleo[COD ESCOLA],"")</f>
        <v/>
      </c>
      <c r="B4856" t="str" cm="1">
        <f t="array" ref="B4856">IFERROR(INDEX(tbNucleo[ESCOLA],ROUNDUP(ROW(B4855)/TotalEtapas,0)),"")</f>
        <v/>
      </c>
      <c r="E4856" t="str">
        <f>IFERROR(VLOOKUP(tbEscolas[[#This Row],[COD ETPA]],tbEtapas[],2,FALSE),"")</f>
        <v/>
      </c>
      <c r="F4856" t="str">
        <f>IFERROR(VLOOKUP(tbEscolas[[#This Row],[COD ETPA]],tbEtapas[],3,FALSE),"")</f>
        <v/>
      </c>
    </row>
    <row r="4857" spans="1:6" x14ac:dyDescent="0.25">
      <c r="A4857" s="24" t="str">
        <f>_xlfn.XLOOKUP(tbEscolas[[#This Row],[ESCOLA]],tbNucleo[ESCOLA],tbNucleo[COD ESCOLA],"")</f>
        <v/>
      </c>
      <c r="B4857" t="str" cm="1">
        <f t="array" ref="B4857">IFERROR(INDEX(tbNucleo[ESCOLA],ROUNDUP(ROW(B4856)/TotalEtapas,0)),"")</f>
        <v/>
      </c>
      <c r="E4857" t="str">
        <f>IFERROR(VLOOKUP(tbEscolas[[#This Row],[COD ETPA]],tbEtapas[],2,FALSE),"")</f>
        <v/>
      </c>
      <c r="F4857" t="str">
        <f>IFERROR(VLOOKUP(tbEscolas[[#This Row],[COD ETPA]],tbEtapas[],3,FALSE),"")</f>
        <v/>
      </c>
    </row>
    <row r="4858" spans="1:6" x14ac:dyDescent="0.25">
      <c r="A4858" s="24" t="str">
        <f>_xlfn.XLOOKUP(tbEscolas[[#This Row],[ESCOLA]],tbNucleo[ESCOLA],tbNucleo[COD ESCOLA],"")</f>
        <v/>
      </c>
      <c r="B4858" t="str" cm="1">
        <f t="array" ref="B4858">IFERROR(INDEX(tbNucleo[ESCOLA],ROUNDUP(ROW(B4857)/TotalEtapas,0)),"")</f>
        <v/>
      </c>
      <c r="E4858" t="str">
        <f>IFERROR(VLOOKUP(tbEscolas[[#This Row],[COD ETPA]],tbEtapas[],2,FALSE),"")</f>
        <v/>
      </c>
      <c r="F4858" t="str">
        <f>IFERROR(VLOOKUP(tbEscolas[[#This Row],[COD ETPA]],tbEtapas[],3,FALSE),"")</f>
        <v/>
      </c>
    </row>
    <row r="4859" spans="1:6" x14ac:dyDescent="0.25">
      <c r="A4859" s="24" t="str">
        <f>_xlfn.XLOOKUP(tbEscolas[[#This Row],[ESCOLA]],tbNucleo[ESCOLA],tbNucleo[COD ESCOLA],"")</f>
        <v/>
      </c>
      <c r="B4859" t="str" cm="1">
        <f t="array" ref="B4859">IFERROR(INDEX(tbNucleo[ESCOLA],ROUNDUP(ROW(B4858)/TotalEtapas,0)),"")</f>
        <v/>
      </c>
      <c r="E4859" t="str">
        <f>IFERROR(VLOOKUP(tbEscolas[[#This Row],[COD ETPA]],tbEtapas[],2,FALSE),"")</f>
        <v/>
      </c>
      <c r="F4859" t="str">
        <f>IFERROR(VLOOKUP(tbEscolas[[#This Row],[COD ETPA]],tbEtapas[],3,FALSE),"")</f>
        <v/>
      </c>
    </row>
    <row r="4860" spans="1:6" x14ac:dyDescent="0.25">
      <c r="A4860" s="24" t="str">
        <f>_xlfn.XLOOKUP(tbEscolas[[#This Row],[ESCOLA]],tbNucleo[ESCOLA],tbNucleo[COD ESCOLA],"")</f>
        <v/>
      </c>
      <c r="B4860" t="str" cm="1">
        <f t="array" ref="B4860">IFERROR(INDEX(tbNucleo[ESCOLA],ROUNDUP(ROW(B4859)/TotalEtapas,0)),"")</f>
        <v/>
      </c>
      <c r="E4860" t="str">
        <f>IFERROR(VLOOKUP(tbEscolas[[#This Row],[COD ETPA]],tbEtapas[],2,FALSE),"")</f>
        <v/>
      </c>
      <c r="F4860" t="str">
        <f>IFERROR(VLOOKUP(tbEscolas[[#This Row],[COD ETPA]],tbEtapas[],3,FALSE),"")</f>
        <v/>
      </c>
    </row>
    <row r="4861" spans="1:6" x14ac:dyDescent="0.25">
      <c r="A4861" s="24" t="str">
        <f>_xlfn.XLOOKUP(tbEscolas[[#This Row],[ESCOLA]],tbNucleo[ESCOLA],tbNucleo[COD ESCOLA],"")</f>
        <v/>
      </c>
      <c r="B4861" t="str" cm="1">
        <f t="array" ref="B4861">IFERROR(INDEX(tbNucleo[ESCOLA],ROUNDUP(ROW(B4860)/TotalEtapas,0)),"")</f>
        <v/>
      </c>
      <c r="E4861" t="str">
        <f>IFERROR(VLOOKUP(tbEscolas[[#This Row],[COD ETPA]],tbEtapas[],2,FALSE),"")</f>
        <v/>
      </c>
      <c r="F4861" t="str">
        <f>IFERROR(VLOOKUP(tbEscolas[[#This Row],[COD ETPA]],tbEtapas[],3,FALSE),"")</f>
        <v/>
      </c>
    </row>
    <row r="4862" spans="1:6" x14ac:dyDescent="0.25">
      <c r="A4862" s="24" t="str">
        <f>_xlfn.XLOOKUP(tbEscolas[[#This Row],[ESCOLA]],tbNucleo[ESCOLA],tbNucleo[COD ESCOLA],"")</f>
        <v/>
      </c>
      <c r="B4862" t="str" cm="1">
        <f t="array" ref="B4862">IFERROR(INDEX(tbNucleo[ESCOLA],ROUNDUP(ROW(B4861)/TotalEtapas,0)),"")</f>
        <v/>
      </c>
      <c r="E4862" t="str">
        <f>IFERROR(VLOOKUP(tbEscolas[[#This Row],[COD ETPA]],tbEtapas[],2,FALSE),"")</f>
        <v/>
      </c>
      <c r="F4862" t="str">
        <f>IFERROR(VLOOKUP(tbEscolas[[#This Row],[COD ETPA]],tbEtapas[],3,FALSE),"")</f>
        <v/>
      </c>
    </row>
    <row r="4863" spans="1:6" x14ac:dyDescent="0.25">
      <c r="A4863" s="24" t="str">
        <f>_xlfn.XLOOKUP(tbEscolas[[#This Row],[ESCOLA]],tbNucleo[ESCOLA],tbNucleo[COD ESCOLA],"")</f>
        <v/>
      </c>
      <c r="B4863" t="str" cm="1">
        <f t="array" ref="B4863">IFERROR(INDEX(tbNucleo[ESCOLA],ROUNDUP(ROW(B4862)/TotalEtapas,0)),"")</f>
        <v/>
      </c>
      <c r="E4863" t="str">
        <f>IFERROR(VLOOKUP(tbEscolas[[#This Row],[COD ETPA]],tbEtapas[],2,FALSE),"")</f>
        <v/>
      </c>
      <c r="F4863" t="str">
        <f>IFERROR(VLOOKUP(tbEscolas[[#This Row],[COD ETPA]],tbEtapas[],3,FALSE),"")</f>
        <v/>
      </c>
    </row>
    <row r="4864" spans="1:6" x14ac:dyDescent="0.25">
      <c r="A4864" s="24" t="str">
        <f>_xlfn.XLOOKUP(tbEscolas[[#This Row],[ESCOLA]],tbNucleo[ESCOLA],tbNucleo[COD ESCOLA],"")</f>
        <v/>
      </c>
      <c r="B4864" t="str" cm="1">
        <f t="array" ref="B4864">IFERROR(INDEX(tbNucleo[ESCOLA],ROUNDUP(ROW(B4863)/TotalEtapas,0)),"")</f>
        <v/>
      </c>
      <c r="E4864" t="str">
        <f>IFERROR(VLOOKUP(tbEscolas[[#This Row],[COD ETPA]],tbEtapas[],2,FALSE),"")</f>
        <v/>
      </c>
      <c r="F4864" t="str">
        <f>IFERROR(VLOOKUP(tbEscolas[[#This Row],[COD ETPA]],tbEtapas[],3,FALSE),"")</f>
        <v/>
      </c>
    </row>
    <row r="4865" spans="1:6" x14ac:dyDescent="0.25">
      <c r="A4865" s="24" t="str">
        <f>_xlfn.XLOOKUP(tbEscolas[[#This Row],[ESCOLA]],tbNucleo[ESCOLA],tbNucleo[COD ESCOLA],"")</f>
        <v/>
      </c>
      <c r="B4865" t="str" cm="1">
        <f t="array" ref="B4865">IFERROR(INDEX(tbNucleo[ESCOLA],ROUNDUP(ROW(B4864)/TotalEtapas,0)),"")</f>
        <v/>
      </c>
      <c r="E4865" t="str">
        <f>IFERROR(VLOOKUP(tbEscolas[[#This Row],[COD ETPA]],tbEtapas[],2,FALSE),"")</f>
        <v/>
      </c>
      <c r="F4865" t="str">
        <f>IFERROR(VLOOKUP(tbEscolas[[#This Row],[COD ETPA]],tbEtapas[],3,FALSE),"")</f>
        <v/>
      </c>
    </row>
    <row r="4866" spans="1:6" x14ac:dyDescent="0.25">
      <c r="A4866" s="24" t="str">
        <f>_xlfn.XLOOKUP(tbEscolas[[#This Row],[ESCOLA]],tbNucleo[ESCOLA],tbNucleo[COD ESCOLA],"")</f>
        <v/>
      </c>
      <c r="B4866" t="str" cm="1">
        <f t="array" ref="B4866">IFERROR(INDEX(tbNucleo[ESCOLA],ROUNDUP(ROW(B4865)/TotalEtapas,0)),"")</f>
        <v/>
      </c>
      <c r="E4866" t="str">
        <f>IFERROR(VLOOKUP(tbEscolas[[#This Row],[COD ETPA]],tbEtapas[],2,FALSE),"")</f>
        <v/>
      </c>
      <c r="F4866" t="str">
        <f>IFERROR(VLOOKUP(tbEscolas[[#This Row],[COD ETPA]],tbEtapas[],3,FALSE),"")</f>
        <v/>
      </c>
    </row>
    <row r="4867" spans="1:6" x14ac:dyDescent="0.25">
      <c r="A4867" s="24" t="str">
        <f>_xlfn.XLOOKUP(tbEscolas[[#This Row],[ESCOLA]],tbNucleo[ESCOLA],tbNucleo[COD ESCOLA],"")</f>
        <v/>
      </c>
      <c r="B4867" t="str" cm="1">
        <f t="array" ref="B4867">IFERROR(INDEX(tbNucleo[ESCOLA],ROUNDUP(ROW(B4866)/TotalEtapas,0)),"")</f>
        <v/>
      </c>
      <c r="E4867" t="str">
        <f>IFERROR(VLOOKUP(tbEscolas[[#This Row],[COD ETPA]],tbEtapas[],2,FALSE),"")</f>
        <v/>
      </c>
      <c r="F4867" t="str">
        <f>IFERROR(VLOOKUP(tbEscolas[[#This Row],[COD ETPA]],tbEtapas[],3,FALSE),"")</f>
        <v/>
      </c>
    </row>
    <row r="4868" spans="1:6" x14ac:dyDescent="0.25">
      <c r="A4868" s="24" t="str">
        <f>_xlfn.XLOOKUP(tbEscolas[[#This Row],[ESCOLA]],tbNucleo[ESCOLA],tbNucleo[COD ESCOLA],"")</f>
        <v/>
      </c>
      <c r="B4868" t="str" cm="1">
        <f t="array" ref="B4868">IFERROR(INDEX(tbNucleo[ESCOLA],ROUNDUP(ROW(B4867)/TotalEtapas,0)),"")</f>
        <v/>
      </c>
      <c r="E4868" t="str">
        <f>IFERROR(VLOOKUP(tbEscolas[[#This Row],[COD ETPA]],tbEtapas[],2,FALSE),"")</f>
        <v/>
      </c>
      <c r="F4868" t="str">
        <f>IFERROR(VLOOKUP(tbEscolas[[#This Row],[COD ETPA]],tbEtapas[],3,FALSE),"")</f>
        <v/>
      </c>
    </row>
    <row r="4869" spans="1:6" x14ac:dyDescent="0.25">
      <c r="A4869" s="24" t="str">
        <f>_xlfn.XLOOKUP(tbEscolas[[#This Row],[ESCOLA]],tbNucleo[ESCOLA],tbNucleo[COD ESCOLA],"")</f>
        <v/>
      </c>
      <c r="B4869" t="str" cm="1">
        <f t="array" ref="B4869">IFERROR(INDEX(tbNucleo[ESCOLA],ROUNDUP(ROW(B4868)/TotalEtapas,0)),"")</f>
        <v/>
      </c>
      <c r="E4869" t="str">
        <f>IFERROR(VLOOKUP(tbEscolas[[#This Row],[COD ETPA]],tbEtapas[],2,FALSE),"")</f>
        <v/>
      </c>
      <c r="F4869" t="str">
        <f>IFERROR(VLOOKUP(tbEscolas[[#This Row],[COD ETPA]],tbEtapas[],3,FALSE),"")</f>
        <v/>
      </c>
    </row>
    <row r="4870" spans="1:6" x14ac:dyDescent="0.25">
      <c r="A4870" s="24" t="str">
        <f>_xlfn.XLOOKUP(tbEscolas[[#This Row],[ESCOLA]],tbNucleo[ESCOLA],tbNucleo[COD ESCOLA],"")</f>
        <v/>
      </c>
      <c r="B4870" t="str" cm="1">
        <f t="array" ref="B4870">IFERROR(INDEX(tbNucleo[ESCOLA],ROUNDUP(ROW(B4869)/TotalEtapas,0)),"")</f>
        <v/>
      </c>
      <c r="E4870" t="str">
        <f>IFERROR(VLOOKUP(tbEscolas[[#This Row],[COD ETPA]],tbEtapas[],2,FALSE),"")</f>
        <v/>
      </c>
      <c r="F4870" t="str">
        <f>IFERROR(VLOOKUP(tbEscolas[[#This Row],[COD ETPA]],tbEtapas[],3,FALSE),"")</f>
        <v/>
      </c>
    </row>
    <row r="4871" spans="1:6" x14ac:dyDescent="0.25">
      <c r="A4871" s="24" t="str">
        <f>_xlfn.XLOOKUP(tbEscolas[[#This Row],[ESCOLA]],tbNucleo[ESCOLA],tbNucleo[COD ESCOLA],"")</f>
        <v/>
      </c>
      <c r="B4871" t="str" cm="1">
        <f t="array" ref="B4871">IFERROR(INDEX(tbNucleo[ESCOLA],ROUNDUP(ROW(B4870)/TotalEtapas,0)),"")</f>
        <v/>
      </c>
      <c r="E4871" t="str">
        <f>IFERROR(VLOOKUP(tbEscolas[[#This Row],[COD ETPA]],tbEtapas[],2,FALSE),"")</f>
        <v/>
      </c>
      <c r="F4871" t="str">
        <f>IFERROR(VLOOKUP(tbEscolas[[#This Row],[COD ETPA]],tbEtapas[],3,FALSE),"")</f>
        <v/>
      </c>
    </row>
    <row r="4872" spans="1:6" x14ac:dyDescent="0.25">
      <c r="A4872" s="24" t="str">
        <f>_xlfn.XLOOKUP(tbEscolas[[#This Row],[ESCOLA]],tbNucleo[ESCOLA],tbNucleo[COD ESCOLA],"")</f>
        <v/>
      </c>
      <c r="B4872" t="str" cm="1">
        <f t="array" ref="B4872">IFERROR(INDEX(tbNucleo[ESCOLA],ROUNDUP(ROW(B4871)/TotalEtapas,0)),"")</f>
        <v/>
      </c>
      <c r="E4872" t="str">
        <f>IFERROR(VLOOKUP(tbEscolas[[#This Row],[COD ETPA]],tbEtapas[],2,FALSE),"")</f>
        <v/>
      </c>
      <c r="F4872" t="str">
        <f>IFERROR(VLOOKUP(tbEscolas[[#This Row],[COD ETPA]],tbEtapas[],3,FALSE),"")</f>
        <v/>
      </c>
    </row>
    <row r="4873" spans="1:6" x14ac:dyDescent="0.25">
      <c r="A4873" s="24" t="str">
        <f>_xlfn.XLOOKUP(tbEscolas[[#This Row],[ESCOLA]],tbNucleo[ESCOLA],tbNucleo[COD ESCOLA],"")</f>
        <v/>
      </c>
      <c r="B4873" t="str" cm="1">
        <f t="array" ref="B4873">IFERROR(INDEX(tbNucleo[ESCOLA],ROUNDUP(ROW(B4872)/TotalEtapas,0)),"")</f>
        <v/>
      </c>
      <c r="E4873" t="str">
        <f>IFERROR(VLOOKUP(tbEscolas[[#This Row],[COD ETPA]],tbEtapas[],2,FALSE),"")</f>
        <v/>
      </c>
      <c r="F4873" t="str">
        <f>IFERROR(VLOOKUP(tbEscolas[[#This Row],[COD ETPA]],tbEtapas[],3,FALSE),"")</f>
        <v/>
      </c>
    </row>
    <row r="4874" spans="1:6" x14ac:dyDescent="0.25">
      <c r="A4874" s="24" t="str">
        <f>_xlfn.XLOOKUP(tbEscolas[[#This Row],[ESCOLA]],tbNucleo[ESCOLA],tbNucleo[COD ESCOLA],"")</f>
        <v/>
      </c>
      <c r="B4874" t="str" cm="1">
        <f t="array" ref="B4874">IFERROR(INDEX(tbNucleo[ESCOLA],ROUNDUP(ROW(B4873)/TotalEtapas,0)),"")</f>
        <v/>
      </c>
      <c r="E4874" t="str">
        <f>IFERROR(VLOOKUP(tbEscolas[[#This Row],[COD ETPA]],tbEtapas[],2,FALSE),"")</f>
        <v/>
      </c>
      <c r="F4874" t="str">
        <f>IFERROR(VLOOKUP(tbEscolas[[#This Row],[COD ETPA]],tbEtapas[],3,FALSE),"")</f>
        <v/>
      </c>
    </row>
    <row r="4875" spans="1:6" x14ac:dyDescent="0.25">
      <c r="A4875" s="24" t="str">
        <f>_xlfn.XLOOKUP(tbEscolas[[#This Row],[ESCOLA]],tbNucleo[ESCOLA],tbNucleo[COD ESCOLA],"")</f>
        <v/>
      </c>
      <c r="B4875" t="str" cm="1">
        <f t="array" ref="B4875">IFERROR(INDEX(tbNucleo[ESCOLA],ROUNDUP(ROW(B4874)/TotalEtapas,0)),"")</f>
        <v/>
      </c>
      <c r="E4875" t="str">
        <f>IFERROR(VLOOKUP(tbEscolas[[#This Row],[COD ETPA]],tbEtapas[],2,FALSE),"")</f>
        <v/>
      </c>
      <c r="F4875" t="str">
        <f>IFERROR(VLOOKUP(tbEscolas[[#This Row],[COD ETPA]],tbEtapas[],3,FALSE),"")</f>
        <v/>
      </c>
    </row>
    <row r="4876" spans="1:6" x14ac:dyDescent="0.25">
      <c r="A4876" s="24" t="str">
        <f>_xlfn.XLOOKUP(tbEscolas[[#This Row],[ESCOLA]],tbNucleo[ESCOLA],tbNucleo[COD ESCOLA],"")</f>
        <v/>
      </c>
      <c r="B4876" t="str" cm="1">
        <f t="array" ref="B4876">IFERROR(INDEX(tbNucleo[ESCOLA],ROUNDUP(ROW(B4875)/TotalEtapas,0)),"")</f>
        <v/>
      </c>
      <c r="E4876" t="str">
        <f>IFERROR(VLOOKUP(tbEscolas[[#This Row],[COD ETPA]],tbEtapas[],2,FALSE),"")</f>
        <v/>
      </c>
      <c r="F4876" t="str">
        <f>IFERROR(VLOOKUP(tbEscolas[[#This Row],[COD ETPA]],tbEtapas[],3,FALSE),"")</f>
        <v/>
      </c>
    </row>
    <row r="4877" spans="1:6" x14ac:dyDescent="0.25">
      <c r="A4877" s="24" t="str">
        <f>_xlfn.XLOOKUP(tbEscolas[[#This Row],[ESCOLA]],tbNucleo[ESCOLA],tbNucleo[COD ESCOLA],"")</f>
        <v/>
      </c>
      <c r="B4877" t="str" cm="1">
        <f t="array" ref="B4877">IFERROR(INDEX(tbNucleo[ESCOLA],ROUNDUP(ROW(B4876)/TotalEtapas,0)),"")</f>
        <v/>
      </c>
      <c r="E4877" t="str">
        <f>IFERROR(VLOOKUP(tbEscolas[[#This Row],[COD ETPA]],tbEtapas[],2,FALSE),"")</f>
        <v/>
      </c>
      <c r="F4877" t="str">
        <f>IFERROR(VLOOKUP(tbEscolas[[#This Row],[COD ETPA]],tbEtapas[],3,FALSE),"")</f>
        <v/>
      </c>
    </row>
    <row r="4878" spans="1:6" x14ac:dyDescent="0.25">
      <c r="A4878" s="24" t="str">
        <f>_xlfn.XLOOKUP(tbEscolas[[#This Row],[ESCOLA]],tbNucleo[ESCOLA],tbNucleo[COD ESCOLA],"")</f>
        <v/>
      </c>
      <c r="B4878" t="str" cm="1">
        <f t="array" ref="B4878">IFERROR(INDEX(tbNucleo[ESCOLA],ROUNDUP(ROW(B4877)/TotalEtapas,0)),"")</f>
        <v/>
      </c>
      <c r="E4878" t="str">
        <f>IFERROR(VLOOKUP(tbEscolas[[#This Row],[COD ETPA]],tbEtapas[],2,FALSE),"")</f>
        <v/>
      </c>
      <c r="F4878" t="str">
        <f>IFERROR(VLOOKUP(tbEscolas[[#This Row],[COD ETPA]],tbEtapas[],3,FALSE),"")</f>
        <v/>
      </c>
    </row>
    <row r="4879" spans="1:6" x14ac:dyDescent="0.25">
      <c r="A4879" s="24" t="str">
        <f>_xlfn.XLOOKUP(tbEscolas[[#This Row],[ESCOLA]],tbNucleo[ESCOLA],tbNucleo[COD ESCOLA],"")</f>
        <v/>
      </c>
      <c r="B4879" t="str" cm="1">
        <f t="array" ref="B4879">IFERROR(INDEX(tbNucleo[ESCOLA],ROUNDUP(ROW(B4878)/TotalEtapas,0)),"")</f>
        <v/>
      </c>
      <c r="E4879" t="str">
        <f>IFERROR(VLOOKUP(tbEscolas[[#This Row],[COD ETPA]],tbEtapas[],2,FALSE),"")</f>
        <v/>
      </c>
      <c r="F4879" t="str">
        <f>IFERROR(VLOOKUP(tbEscolas[[#This Row],[COD ETPA]],tbEtapas[],3,FALSE),"")</f>
        <v/>
      </c>
    </row>
    <row r="4880" spans="1:6" x14ac:dyDescent="0.25">
      <c r="A4880" s="24" t="str">
        <f>_xlfn.XLOOKUP(tbEscolas[[#This Row],[ESCOLA]],tbNucleo[ESCOLA],tbNucleo[COD ESCOLA],"")</f>
        <v/>
      </c>
      <c r="B4880" t="str" cm="1">
        <f t="array" ref="B4880">IFERROR(INDEX(tbNucleo[ESCOLA],ROUNDUP(ROW(B4879)/TotalEtapas,0)),"")</f>
        <v/>
      </c>
      <c r="E4880" t="str">
        <f>IFERROR(VLOOKUP(tbEscolas[[#This Row],[COD ETPA]],tbEtapas[],2,FALSE),"")</f>
        <v/>
      </c>
      <c r="F4880" t="str">
        <f>IFERROR(VLOOKUP(tbEscolas[[#This Row],[COD ETPA]],tbEtapas[],3,FALSE),"")</f>
        <v/>
      </c>
    </row>
    <row r="4881" spans="1:6" x14ac:dyDescent="0.25">
      <c r="A4881" s="24" t="str">
        <f>_xlfn.XLOOKUP(tbEscolas[[#This Row],[ESCOLA]],tbNucleo[ESCOLA],tbNucleo[COD ESCOLA],"")</f>
        <v/>
      </c>
      <c r="B4881" t="str" cm="1">
        <f t="array" ref="B4881">IFERROR(INDEX(tbNucleo[ESCOLA],ROUNDUP(ROW(B4880)/TotalEtapas,0)),"")</f>
        <v/>
      </c>
      <c r="E4881" t="str">
        <f>IFERROR(VLOOKUP(tbEscolas[[#This Row],[COD ETPA]],tbEtapas[],2,FALSE),"")</f>
        <v/>
      </c>
      <c r="F4881" t="str">
        <f>IFERROR(VLOOKUP(tbEscolas[[#This Row],[COD ETPA]],tbEtapas[],3,FALSE),"")</f>
        <v/>
      </c>
    </row>
    <row r="4882" spans="1:6" x14ac:dyDescent="0.25">
      <c r="A4882" s="24" t="str">
        <f>_xlfn.XLOOKUP(tbEscolas[[#This Row],[ESCOLA]],tbNucleo[ESCOLA],tbNucleo[COD ESCOLA],"")</f>
        <v/>
      </c>
      <c r="B4882" t="str" cm="1">
        <f t="array" ref="B4882">IFERROR(INDEX(tbNucleo[ESCOLA],ROUNDUP(ROW(B4881)/TotalEtapas,0)),"")</f>
        <v/>
      </c>
      <c r="E4882" t="str">
        <f>IFERROR(VLOOKUP(tbEscolas[[#This Row],[COD ETPA]],tbEtapas[],2,FALSE),"")</f>
        <v/>
      </c>
      <c r="F4882" t="str">
        <f>IFERROR(VLOOKUP(tbEscolas[[#This Row],[COD ETPA]],tbEtapas[],3,FALSE),"")</f>
        <v/>
      </c>
    </row>
    <row r="4883" spans="1:6" x14ac:dyDescent="0.25">
      <c r="A4883" s="24" t="str">
        <f>_xlfn.XLOOKUP(tbEscolas[[#This Row],[ESCOLA]],tbNucleo[ESCOLA],tbNucleo[COD ESCOLA],"")</f>
        <v/>
      </c>
      <c r="B4883" t="str" cm="1">
        <f t="array" ref="B4883">IFERROR(INDEX(tbNucleo[ESCOLA],ROUNDUP(ROW(B4882)/TotalEtapas,0)),"")</f>
        <v/>
      </c>
      <c r="E4883" t="str">
        <f>IFERROR(VLOOKUP(tbEscolas[[#This Row],[COD ETPA]],tbEtapas[],2,FALSE),"")</f>
        <v/>
      </c>
      <c r="F4883" t="str">
        <f>IFERROR(VLOOKUP(tbEscolas[[#This Row],[COD ETPA]],tbEtapas[],3,FALSE),"")</f>
        <v/>
      </c>
    </row>
    <row r="4884" spans="1:6" x14ac:dyDescent="0.25">
      <c r="A4884" s="24" t="str">
        <f>_xlfn.XLOOKUP(tbEscolas[[#This Row],[ESCOLA]],tbNucleo[ESCOLA],tbNucleo[COD ESCOLA],"")</f>
        <v/>
      </c>
      <c r="B4884" t="str" cm="1">
        <f t="array" ref="B4884">IFERROR(INDEX(tbNucleo[ESCOLA],ROUNDUP(ROW(B4883)/TotalEtapas,0)),"")</f>
        <v/>
      </c>
      <c r="E4884" t="str">
        <f>IFERROR(VLOOKUP(tbEscolas[[#This Row],[COD ETPA]],tbEtapas[],2,FALSE),"")</f>
        <v/>
      </c>
      <c r="F4884" t="str">
        <f>IFERROR(VLOOKUP(tbEscolas[[#This Row],[COD ETPA]],tbEtapas[],3,FALSE),"")</f>
        <v/>
      </c>
    </row>
    <row r="4885" spans="1:6" x14ac:dyDescent="0.25">
      <c r="A4885" s="24" t="str">
        <f>_xlfn.XLOOKUP(tbEscolas[[#This Row],[ESCOLA]],tbNucleo[ESCOLA],tbNucleo[COD ESCOLA],"")</f>
        <v/>
      </c>
      <c r="B4885" t="str" cm="1">
        <f t="array" ref="B4885">IFERROR(INDEX(tbNucleo[ESCOLA],ROUNDUP(ROW(B4884)/TotalEtapas,0)),"")</f>
        <v/>
      </c>
      <c r="E4885" t="str">
        <f>IFERROR(VLOOKUP(tbEscolas[[#This Row],[COD ETPA]],tbEtapas[],2,FALSE),"")</f>
        <v/>
      </c>
      <c r="F4885" t="str">
        <f>IFERROR(VLOOKUP(tbEscolas[[#This Row],[COD ETPA]],tbEtapas[],3,FALSE),"")</f>
        <v/>
      </c>
    </row>
    <row r="4886" spans="1:6" x14ac:dyDescent="0.25">
      <c r="A4886" s="24" t="str">
        <f>_xlfn.XLOOKUP(tbEscolas[[#This Row],[ESCOLA]],tbNucleo[ESCOLA],tbNucleo[COD ESCOLA],"")</f>
        <v/>
      </c>
      <c r="B4886" t="str" cm="1">
        <f t="array" ref="B4886">IFERROR(INDEX(tbNucleo[ESCOLA],ROUNDUP(ROW(B4885)/TotalEtapas,0)),"")</f>
        <v/>
      </c>
      <c r="E4886" t="str">
        <f>IFERROR(VLOOKUP(tbEscolas[[#This Row],[COD ETPA]],tbEtapas[],2,FALSE),"")</f>
        <v/>
      </c>
      <c r="F4886" t="str">
        <f>IFERROR(VLOOKUP(tbEscolas[[#This Row],[COD ETPA]],tbEtapas[],3,FALSE),"")</f>
        <v/>
      </c>
    </row>
    <row r="4887" spans="1:6" x14ac:dyDescent="0.25">
      <c r="A4887" s="24" t="str">
        <f>_xlfn.XLOOKUP(tbEscolas[[#This Row],[ESCOLA]],tbNucleo[ESCOLA],tbNucleo[COD ESCOLA],"")</f>
        <v/>
      </c>
      <c r="B4887" t="str" cm="1">
        <f t="array" ref="B4887">IFERROR(INDEX(tbNucleo[ESCOLA],ROUNDUP(ROW(B4886)/TotalEtapas,0)),"")</f>
        <v/>
      </c>
      <c r="E4887" t="str">
        <f>IFERROR(VLOOKUP(tbEscolas[[#This Row],[COD ETPA]],tbEtapas[],2,FALSE),"")</f>
        <v/>
      </c>
      <c r="F4887" t="str">
        <f>IFERROR(VLOOKUP(tbEscolas[[#This Row],[COD ETPA]],tbEtapas[],3,FALSE),"")</f>
        <v/>
      </c>
    </row>
    <row r="4888" spans="1:6" x14ac:dyDescent="0.25">
      <c r="A4888" s="24" t="str">
        <f>_xlfn.XLOOKUP(tbEscolas[[#This Row],[ESCOLA]],tbNucleo[ESCOLA],tbNucleo[COD ESCOLA],"")</f>
        <v/>
      </c>
      <c r="B4888" t="str" cm="1">
        <f t="array" ref="B4888">IFERROR(INDEX(tbNucleo[ESCOLA],ROUNDUP(ROW(B4887)/TotalEtapas,0)),"")</f>
        <v/>
      </c>
      <c r="E4888" t="str">
        <f>IFERROR(VLOOKUP(tbEscolas[[#This Row],[COD ETPA]],tbEtapas[],2,FALSE),"")</f>
        <v/>
      </c>
      <c r="F4888" t="str">
        <f>IFERROR(VLOOKUP(tbEscolas[[#This Row],[COD ETPA]],tbEtapas[],3,FALSE),"")</f>
        <v/>
      </c>
    </row>
    <row r="4889" spans="1:6" x14ac:dyDescent="0.25">
      <c r="A4889" s="24" t="str">
        <f>_xlfn.XLOOKUP(tbEscolas[[#This Row],[ESCOLA]],tbNucleo[ESCOLA],tbNucleo[COD ESCOLA],"")</f>
        <v/>
      </c>
      <c r="B4889" t="str" cm="1">
        <f t="array" ref="B4889">IFERROR(INDEX(tbNucleo[ESCOLA],ROUNDUP(ROW(B4888)/TotalEtapas,0)),"")</f>
        <v/>
      </c>
      <c r="E4889" t="str">
        <f>IFERROR(VLOOKUP(tbEscolas[[#This Row],[COD ETPA]],tbEtapas[],2,FALSE),"")</f>
        <v/>
      </c>
      <c r="F4889" t="str">
        <f>IFERROR(VLOOKUP(tbEscolas[[#This Row],[COD ETPA]],tbEtapas[],3,FALSE),"")</f>
        <v/>
      </c>
    </row>
    <row r="4890" spans="1:6" x14ac:dyDescent="0.25">
      <c r="A4890" s="24" t="str">
        <f>_xlfn.XLOOKUP(tbEscolas[[#This Row],[ESCOLA]],tbNucleo[ESCOLA],tbNucleo[COD ESCOLA],"")</f>
        <v/>
      </c>
      <c r="B4890" t="str" cm="1">
        <f t="array" ref="B4890">IFERROR(INDEX(tbNucleo[ESCOLA],ROUNDUP(ROW(B4889)/TotalEtapas,0)),"")</f>
        <v/>
      </c>
      <c r="E4890" t="str">
        <f>IFERROR(VLOOKUP(tbEscolas[[#This Row],[COD ETPA]],tbEtapas[],2,FALSE),"")</f>
        <v/>
      </c>
      <c r="F4890" t="str">
        <f>IFERROR(VLOOKUP(tbEscolas[[#This Row],[COD ETPA]],tbEtapas[],3,FALSE),"")</f>
        <v/>
      </c>
    </row>
    <row r="4891" spans="1:6" x14ac:dyDescent="0.25">
      <c r="A4891" s="24" t="str">
        <f>_xlfn.XLOOKUP(tbEscolas[[#This Row],[ESCOLA]],tbNucleo[ESCOLA],tbNucleo[COD ESCOLA],"")</f>
        <v/>
      </c>
      <c r="B4891" t="str" cm="1">
        <f t="array" ref="B4891">IFERROR(INDEX(tbNucleo[ESCOLA],ROUNDUP(ROW(B4890)/TotalEtapas,0)),"")</f>
        <v/>
      </c>
      <c r="E4891" t="str">
        <f>IFERROR(VLOOKUP(tbEscolas[[#This Row],[COD ETPA]],tbEtapas[],2,FALSE),"")</f>
        <v/>
      </c>
      <c r="F4891" t="str">
        <f>IFERROR(VLOOKUP(tbEscolas[[#This Row],[COD ETPA]],tbEtapas[],3,FALSE),"")</f>
        <v/>
      </c>
    </row>
    <row r="4892" spans="1:6" x14ac:dyDescent="0.25">
      <c r="A4892" s="24" t="str">
        <f>_xlfn.XLOOKUP(tbEscolas[[#This Row],[ESCOLA]],tbNucleo[ESCOLA],tbNucleo[COD ESCOLA],"")</f>
        <v/>
      </c>
      <c r="B4892" t="str" cm="1">
        <f t="array" ref="B4892">IFERROR(INDEX(tbNucleo[ESCOLA],ROUNDUP(ROW(B4891)/TotalEtapas,0)),"")</f>
        <v/>
      </c>
      <c r="E4892" t="str">
        <f>IFERROR(VLOOKUP(tbEscolas[[#This Row],[COD ETPA]],tbEtapas[],2,FALSE),"")</f>
        <v/>
      </c>
      <c r="F4892" t="str">
        <f>IFERROR(VLOOKUP(tbEscolas[[#This Row],[COD ETPA]],tbEtapas[],3,FALSE),"")</f>
        <v/>
      </c>
    </row>
    <row r="4893" spans="1:6" x14ac:dyDescent="0.25">
      <c r="A4893" s="24" t="str">
        <f>_xlfn.XLOOKUP(tbEscolas[[#This Row],[ESCOLA]],tbNucleo[ESCOLA],tbNucleo[COD ESCOLA],"")</f>
        <v/>
      </c>
      <c r="B4893" t="str" cm="1">
        <f t="array" ref="B4893">IFERROR(INDEX(tbNucleo[ESCOLA],ROUNDUP(ROW(B4892)/TotalEtapas,0)),"")</f>
        <v/>
      </c>
      <c r="E4893" t="str">
        <f>IFERROR(VLOOKUP(tbEscolas[[#This Row],[COD ETPA]],tbEtapas[],2,FALSE),"")</f>
        <v/>
      </c>
      <c r="F4893" t="str">
        <f>IFERROR(VLOOKUP(tbEscolas[[#This Row],[COD ETPA]],tbEtapas[],3,FALSE),"")</f>
        <v/>
      </c>
    </row>
    <row r="4894" spans="1:6" x14ac:dyDescent="0.25">
      <c r="A4894" s="24" t="str">
        <f>_xlfn.XLOOKUP(tbEscolas[[#This Row],[ESCOLA]],tbNucleo[ESCOLA],tbNucleo[COD ESCOLA],"")</f>
        <v/>
      </c>
      <c r="B4894" t="str" cm="1">
        <f t="array" ref="B4894">IFERROR(INDEX(tbNucleo[ESCOLA],ROUNDUP(ROW(B4893)/TotalEtapas,0)),"")</f>
        <v/>
      </c>
      <c r="E4894" t="str">
        <f>IFERROR(VLOOKUP(tbEscolas[[#This Row],[COD ETPA]],tbEtapas[],2,FALSE),"")</f>
        <v/>
      </c>
      <c r="F4894" t="str">
        <f>IFERROR(VLOOKUP(tbEscolas[[#This Row],[COD ETPA]],tbEtapas[],3,FALSE),"")</f>
        <v/>
      </c>
    </row>
    <row r="4895" spans="1:6" x14ac:dyDescent="0.25">
      <c r="A4895" s="24" t="str">
        <f>_xlfn.XLOOKUP(tbEscolas[[#This Row],[ESCOLA]],tbNucleo[ESCOLA],tbNucleo[COD ESCOLA],"")</f>
        <v/>
      </c>
      <c r="B4895" t="str" cm="1">
        <f t="array" ref="B4895">IFERROR(INDEX(tbNucleo[ESCOLA],ROUNDUP(ROW(B4894)/TotalEtapas,0)),"")</f>
        <v/>
      </c>
      <c r="E4895" t="str">
        <f>IFERROR(VLOOKUP(tbEscolas[[#This Row],[COD ETPA]],tbEtapas[],2,FALSE),"")</f>
        <v/>
      </c>
      <c r="F4895" t="str">
        <f>IFERROR(VLOOKUP(tbEscolas[[#This Row],[COD ETPA]],tbEtapas[],3,FALSE),"")</f>
        <v/>
      </c>
    </row>
    <row r="4896" spans="1:6" x14ac:dyDescent="0.25">
      <c r="A4896" s="24" t="str">
        <f>_xlfn.XLOOKUP(tbEscolas[[#This Row],[ESCOLA]],tbNucleo[ESCOLA],tbNucleo[COD ESCOLA],"")</f>
        <v/>
      </c>
      <c r="B4896" t="str" cm="1">
        <f t="array" ref="B4896">IFERROR(INDEX(tbNucleo[ESCOLA],ROUNDUP(ROW(B4895)/TotalEtapas,0)),"")</f>
        <v/>
      </c>
      <c r="E4896" t="str">
        <f>IFERROR(VLOOKUP(tbEscolas[[#This Row],[COD ETPA]],tbEtapas[],2,FALSE),"")</f>
        <v/>
      </c>
      <c r="F4896" t="str">
        <f>IFERROR(VLOOKUP(tbEscolas[[#This Row],[COD ETPA]],tbEtapas[],3,FALSE),"")</f>
        <v/>
      </c>
    </row>
    <row r="4897" spans="1:6" x14ac:dyDescent="0.25">
      <c r="A4897" s="24" t="str">
        <f>_xlfn.XLOOKUP(tbEscolas[[#This Row],[ESCOLA]],tbNucleo[ESCOLA],tbNucleo[COD ESCOLA],"")</f>
        <v/>
      </c>
      <c r="B4897" t="str" cm="1">
        <f t="array" ref="B4897">IFERROR(INDEX(tbNucleo[ESCOLA],ROUNDUP(ROW(B4896)/TotalEtapas,0)),"")</f>
        <v/>
      </c>
      <c r="E4897" t="str">
        <f>IFERROR(VLOOKUP(tbEscolas[[#This Row],[COD ETPA]],tbEtapas[],2,FALSE),"")</f>
        <v/>
      </c>
      <c r="F4897" t="str">
        <f>IFERROR(VLOOKUP(tbEscolas[[#This Row],[COD ETPA]],tbEtapas[],3,FALSE),"")</f>
        <v/>
      </c>
    </row>
    <row r="4898" spans="1:6" x14ac:dyDescent="0.25">
      <c r="A4898" s="24" t="str">
        <f>_xlfn.XLOOKUP(tbEscolas[[#This Row],[ESCOLA]],tbNucleo[ESCOLA],tbNucleo[COD ESCOLA],"")</f>
        <v/>
      </c>
      <c r="B4898" t="str" cm="1">
        <f t="array" ref="B4898">IFERROR(INDEX(tbNucleo[ESCOLA],ROUNDUP(ROW(B4897)/TotalEtapas,0)),"")</f>
        <v/>
      </c>
      <c r="E4898" t="str">
        <f>IFERROR(VLOOKUP(tbEscolas[[#This Row],[COD ETPA]],tbEtapas[],2,FALSE),"")</f>
        <v/>
      </c>
      <c r="F4898" t="str">
        <f>IFERROR(VLOOKUP(tbEscolas[[#This Row],[COD ETPA]],tbEtapas[],3,FALSE),"")</f>
        <v/>
      </c>
    </row>
    <row r="4899" spans="1:6" x14ac:dyDescent="0.25">
      <c r="A4899" s="24" t="str">
        <f>_xlfn.XLOOKUP(tbEscolas[[#This Row],[ESCOLA]],tbNucleo[ESCOLA],tbNucleo[COD ESCOLA],"")</f>
        <v/>
      </c>
      <c r="B4899" t="str" cm="1">
        <f t="array" ref="B4899">IFERROR(INDEX(tbNucleo[ESCOLA],ROUNDUP(ROW(B4898)/TotalEtapas,0)),"")</f>
        <v/>
      </c>
      <c r="E4899" t="str">
        <f>IFERROR(VLOOKUP(tbEscolas[[#This Row],[COD ETPA]],tbEtapas[],2,FALSE),"")</f>
        <v/>
      </c>
      <c r="F4899" t="str">
        <f>IFERROR(VLOOKUP(tbEscolas[[#This Row],[COD ETPA]],tbEtapas[],3,FALSE),"")</f>
        <v/>
      </c>
    </row>
    <row r="4900" spans="1:6" x14ac:dyDescent="0.25">
      <c r="A4900" s="24" t="str">
        <f>_xlfn.XLOOKUP(tbEscolas[[#This Row],[ESCOLA]],tbNucleo[ESCOLA],tbNucleo[COD ESCOLA],"")</f>
        <v/>
      </c>
      <c r="B4900" t="str" cm="1">
        <f t="array" ref="B4900">IFERROR(INDEX(tbNucleo[ESCOLA],ROUNDUP(ROW(B4899)/TotalEtapas,0)),"")</f>
        <v/>
      </c>
      <c r="E4900" t="str">
        <f>IFERROR(VLOOKUP(tbEscolas[[#This Row],[COD ETPA]],tbEtapas[],2,FALSE),"")</f>
        <v/>
      </c>
      <c r="F4900" t="str">
        <f>IFERROR(VLOOKUP(tbEscolas[[#This Row],[COD ETPA]],tbEtapas[],3,FALSE),"")</f>
        <v/>
      </c>
    </row>
    <row r="4901" spans="1:6" x14ac:dyDescent="0.25">
      <c r="A4901" s="24" t="str">
        <f>_xlfn.XLOOKUP(tbEscolas[[#This Row],[ESCOLA]],tbNucleo[ESCOLA],tbNucleo[COD ESCOLA],"")</f>
        <v/>
      </c>
      <c r="B4901" t="str" cm="1">
        <f t="array" ref="B4901">IFERROR(INDEX(tbNucleo[ESCOLA],ROUNDUP(ROW(B4900)/TotalEtapas,0)),"")</f>
        <v/>
      </c>
      <c r="E4901" t="str">
        <f>IFERROR(VLOOKUP(tbEscolas[[#This Row],[COD ETPA]],tbEtapas[],2,FALSE),"")</f>
        <v/>
      </c>
      <c r="F4901" t="str">
        <f>IFERROR(VLOOKUP(tbEscolas[[#This Row],[COD ETPA]],tbEtapas[],3,FALSE),"")</f>
        <v/>
      </c>
    </row>
    <row r="4902" spans="1:6" x14ac:dyDescent="0.25">
      <c r="A4902" s="24" t="str">
        <f>_xlfn.XLOOKUP(tbEscolas[[#This Row],[ESCOLA]],tbNucleo[ESCOLA],tbNucleo[COD ESCOLA],"")</f>
        <v/>
      </c>
      <c r="B4902" t="str" cm="1">
        <f t="array" ref="B4902">IFERROR(INDEX(tbNucleo[ESCOLA],ROUNDUP(ROW(B4901)/TotalEtapas,0)),"")</f>
        <v/>
      </c>
      <c r="E4902" t="str">
        <f>IFERROR(VLOOKUP(tbEscolas[[#This Row],[COD ETPA]],tbEtapas[],2,FALSE),"")</f>
        <v/>
      </c>
      <c r="F4902" t="str">
        <f>IFERROR(VLOOKUP(tbEscolas[[#This Row],[COD ETPA]],tbEtapas[],3,FALSE),"")</f>
        <v/>
      </c>
    </row>
    <row r="4903" spans="1:6" x14ac:dyDescent="0.25">
      <c r="A4903" s="24" t="str">
        <f>_xlfn.XLOOKUP(tbEscolas[[#This Row],[ESCOLA]],tbNucleo[ESCOLA],tbNucleo[COD ESCOLA],"")</f>
        <v/>
      </c>
      <c r="B4903" t="str" cm="1">
        <f t="array" ref="B4903">IFERROR(INDEX(tbNucleo[ESCOLA],ROUNDUP(ROW(B4902)/TotalEtapas,0)),"")</f>
        <v/>
      </c>
      <c r="E4903" t="str">
        <f>IFERROR(VLOOKUP(tbEscolas[[#This Row],[COD ETPA]],tbEtapas[],2,FALSE),"")</f>
        <v/>
      </c>
      <c r="F4903" t="str">
        <f>IFERROR(VLOOKUP(tbEscolas[[#This Row],[COD ETPA]],tbEtapas[],3,FALSE),"")</f>
        <v/>
      </c>
    </row>
    <row r="4904" spans="1:6" x14ac:dyDescent="0.25">
      <c r="A4904" s="24" t="str">
        <f>_xlfn.XLOOKUP(tbEscolas[[#This Row],[ESCOLA]],tbNucleo[ESCOLA],tbNucleo[COD ESCOLA],"")</f>
        <v/>
      </c>
      <c r="B4904" t="str" cm="1">
        <f t="array" ref="B4904">IFERROR(INDEX(tbNucleo[ESCOLA],ROUNDUP(ROW(B4903)/TotalEtapas,0)),"")</f>
        <v/>
      </c>
      <c r="E4904" t="str">
        <f>IFERROR(VLOOKUP(tbEscolas[[#This Row],[COD ETPA]],tbEtapas[],2,FALSE),"")</f>
        <v/>
      </c>
      <c r="F4904" t="str">
        <f>IFERROR(VLOOKUP(tbEscolas[[#This Row],[COD ETPA]],tbEtapas[],3,FALSE),"")</f>
        <v/>
      </c>
    </row>
    <row r="4905" spans="1:6" x14ac:dyDescent="0.25">
      <c r="A4905" s="24" t="str">
        <f>_xlfn.XLOOKUP(tbEscolas[[#This Row],[ESCOLA]],tbNucleo[ESCOLA],tbNucleo[COD ESCOLA],"")</f>
        <v/>
      </c>
      <c r="B4905" t="str" cm="1">
        <f t="array" ref="B4905">IFERROR(INDEX(tbNucleo[ESCOLA],ROUNDUP(ROW(B4904)/TotalEtapas,0)),"")</f>
        <v/>
      </c>
      <c r="E4905" t="str">
        <f>IFERROR(VLOOKUP(tbEscolas[[#This Row],[COD ETPA]],tbEtapas[],2,FALSE),"")</f>
        <v/>
      </c>
      <c r="F4905" t="str">
        <f>IFERROR(VLOOKUP(tbEscolas[[#This Row],[COD ETPA]],tbEtapas[],3,FALSE),"")</f>
        <v/>
      </c>
    </row>
    <row r="4906" spans="1:6" x14ac:dyDescent="0.25">
      <c r="A4906" s="24" t="str">
        <f>_xlfn.XLOOKUP(tbEscolas[[#This Row],[ESCOLA]],tbNucleo[ESCOLA],tbNucleo[COD ESCOLA],"")</f>
        <v/>
      </c>
      <c r="B4906" t="str" cm="1">
        <f t="array" ref="B4906">IFERROR(INDEX(tbNucleo[ESCOLA],ROUNDUP(ROW(B4905)/TotalEtapas,0)),"")</f>
        <v/>
      </c>
      <c r="E4906" t="str">
        <f>IFERROR(VLOOKUP(tbEscolas[[#This Row],[COD ETPA]],tbEtapas[],2,FALSE),"")</f>
        <v/>
      </c>
      <c r="F4906" t="str">
        <f>IFERROR(VLOOKUP(tbEscolas[[#This Row],[COD ETPA]],tbEtapas[],3,FALSE),"")</f>
        <v/>
      </c>
    </row>
    <row r="4907" spans="1:6" x14ac:dyDescent="0.25">
      <c r="A4907" s="24" t="str">
        <f>_xlfn.XLOOKUP(tbEscolas[[#This Row],[ESCOLA]],tbNucleo[ESCOLA],tbNucleo[COD ESCOLA],"")</f>
        <v/>
      </c>
      <c r="B4907" t="str" cm="1">
        <f t="array" ref="B4907">IFERROR(INDEX(tbNucleo[ESCOLA],ROUNDUP(ROW(B4906)/TotalEtapas,0)),"")</f>
        <v/>
      </c>
      <c r="E4907" t="str">
        <f>IFERROR(VLOOKUP(tbEscolas[[#This Row],[COD ETPA]],tbEtapas[],2,FALSE),"")</f>
        <v/>
      </c>
      <c r="F4907" t="str">
        <f>IFERROR(VLOOKUP(tbEscolas[[#This Row],[COD ETPA]],tbEtapas[],3,FALSE),"")</f>
        <v/>
      </c>
    </row>
    <row r="4908" spans="1:6" x14ac:dyDescent="0.25">
      <c r="A4908" s="24" t="str">
        <f>_xlfn.XLOOKUP(tbEscolas[[#This Row],[ESCOLA]],tbNucleo[ESCOLA],tbNucleo[COD ESCOLA],"")</f>
        <v/>
      </c>
      <c r="B4908" t="str" cm="1">
        <f t="array" ref="B4908">IFERROR(INDEX(tbNucleo[ESCOLA],ROUNDUP(ROW(B4907)/TotalEtapas,0)),"")</f>
        <v/>
      </c>
      <c r="E4908" t="str">
        <f>IFERROR(VLOOKUP(tbEscolas[[#This Row],[COD ETPA]],tbEtapas[],2,FALSE),"")</f>
        <v/>
      </c>
      <c r="F4908" t="str">
        <f>IFERROR(VLOOKUP(tbEscolas[[#This Row],[COD ETPA]],tbEtapas[],3,FALSE),"")</f>
        <v/>
      </c>
    </row>
    <row r="4909" spans="1:6" x14ac:dyDescent="0.25">
      <c r="A4909" s="24" t="str">
        <f>_xlfn.XLOOKUP(tbEscolas[[#This Row],[ESCOLA]],tbNucleo[ESCOLA],tbNucleo[COD ESCOLA],"")</f>
        <v/>
      </c>
      <c r="B4909" t="str" cm="1">
        <f t="array" ref="B4909">IFERROR(INDEX(tbNucleo[ESCOLA],ROUNDUP(ROW(B4908)/TotalEtapas,0)),"")</f>
        <v/>
      </c>
      <c r="E4909" t="str">
        <f>IFERROR(VLOOKUP(tbEscolas[[#This Row],[COD ETPA]],tbEtapas[],2,FALSE),"")</f>
        <v/>
      </c>
      <c r="F4909" t="str">
        <f>IFERROR(VLOOKUP(tbEscolas[[#This Row],[COD ETPA]],tbEtapas[],3,FALSE),"")</f>
        <v/>
      </c>
    </row>
    <row r="4910" spans="1:6" x14ac:dyDescent="0.25">
      <c r="A4910" s="24" t="str">
        <f>_xlfn.XLOOKUP(tbEscolas[[#This Row],[ESCOLA]],tbNucleo[ESCOLA],tbNucleo[COD ESCOLA],"")</f>
        <v/>
      </c>
      <c r="B4910" t="str" cm="1">
        <f t="array" ref="B4910">IFERROR(INDEX(tbNucleo[ESCOLA],ROUNDUP(ROW(B4909)/TotalEtapas,0)),"")</f>
        <v/>
      </c>
      <c r="E4910" t="str">
        <f>IFERROR(VLOOKUP(tbEscolas[[#This Row],[COD ETPA]],tbEtapas[],2,FALSE),"")</f>
        <v/>
      </c>
      <c r="F4910" t="str">
        <f>IFERROR(VLOOKUP(tbEscolas[[#This Row],[COD ETPA]],tbEtapas[],3,FALSE),"")</f>
        <v/>
      </c>
    </row>
    <row r="4911" spans="1:6" x14ac:dyDescent="0.25">
      <c r="A4911" s="24" t="str">
        <f>_xlfn.XLOOKUP(tbEscolas[[#This Row],[ESCOLA]],tbNucleo[ESCOLA],tbNucleo[COD ESCOLA],"")</f>
        <v/>
      </c>
      <c r="B4911" t="str" cm="1">
        <f t="array" ref="B4911">IFERROR(INDEX(tbNucleo[ESCOLA],ROUNDUP(ROW(B4910)/TotalEtapas,0)),"")</f>
        <v/>
      </c>
      <c r="E4911" t="str">
        <f>IFERROR(VLOOKUP(tbEscolas[[#This Row],[COD ETPA]],tbEtapas[],2,FALSE),"")</f>
        <v/>
      </c>
      <c r="F4911" t="str">
        <f>IFERROR(VLOOKUP(tbEscolas[[#This Row],[COD ETPA]],tbEtapas[],3,FALSE),"")</f>
        <v/>
      </c>
    </row>
    <row r="4912" spans="1:6" x14ac:dyDescent="0.25">
      <c r="A4912" s="24" t="str">
        <f>_xlfn.XLOOKUP(tbEscolas[[#This Row],[ESCOLA]],tbNucleo[ESCOLA],tbNucleo[COD ESCOLA],"")</f>
        <v/>
      </c>
      <c r="B4912" t="str" cm="1">
        <f t="array" ref="B4912">IFERROR(INDEX(tbNucleo[ESCOLA],ROUNDUP(ROW(B4911)/TotalEtapas,0)),"")</f>
        <v/>
      </c>
      <c r="E4912" t="str">
        <f>IFERROR(VLOOKUP(tbEscolas[[#This Row],[COD ETPA]],tbEtapas[],2,FALSE),"")</f>
        <v/>
      </c>
      <c r="F4912" t="str">
        <f>IFERROR(VLOOKUP(tbEscolas[[#This Row],[COD ETPA]],tbEtapas[],3,FALSE),"")</f>
        <v/>
      </c>
    </row>
    <row r="4913" spans="1:6" x14ac:dyDescent="0.25">
      <c r="A4913" s="24" t="str">
        <f>_xlfn.XLOOKUP(tbEscolas[[#This Row],[ESCOLA]],tbNucleo[ESCOLA],tbNucleo[COD ESCOLA],"")</f>
        <v/>
      </c>
      <c r="B4913" t="str" cm="1">
        <f t="array" ref="B4913">IFERROR(INDEX(tbNucleo[ESCOLA],ROUNDUP(ROW(B4912)/TotalEtapas,0)),"")</f>
        <v/>
      </c>
      <c r="E4913" t="str">
        <f>IFERROR(VLOOKUP(tbEscolas[[#This Row],[COD ETPA]],tbEtapas[],2,FALSE),"")</f>
        <v/>
      </c>
      <c r="F4913" t="str">
        <f>IFERROR(VLOOKUP(tbEscolas[[#This Row],[COD ETPA]],tbEtapas[],3,FALSE),"")</f>
        <v/>
      </c>
    </row>
    <row r="4914" spans="1:6" x14ac:dyDescent="0.25">
      <c r="A4914" s="24" t="str">
        <f>_xlfn.XLOOKUP(tbEscolas[[#This Row],[ESCOLA]],tbNucleo[ESCOLA],tbNucleo[COD ESCOLA],"")</f>
        <v/>
      </c>
      <c r="B4914" t="str" cm="1">
        <f t="array" ref="B4914">IFERROR(INDEX(tbNucleo[ESCOLA],ROUNDUP(ROW(B4913)/TotalEtapas,0)),"")</f>
        <v/>
      </c>
      <c r="E4914" t="str">
        <f>IFERROR(VLOOKUP(tbEscolas[[#This Row],[COD ETPA]],tbEtapas[],2,FALSE),"")</f>
        <v/>
      </c>
      <c r="F4914" t="str">
        <f>IFERROR(VLOOKUP(tbEscolas[[#This Row],[COD ETPA]],tbEtapas[],3,FALSE),"")</f>
        <v/>
      </c>
    </row>
    <row r="4915" spans="1:6" x14ac:dyDescent="0.25">
      <c r="A4915" s="24" t="str">
        <f>_xlfn.XLOOKUP(tbEscolas[[#This Row],[ESCOLA]],tbNucleo[ESCOLA],tbNucleo[COD ESCOLA],"")</f>
        <v/>
      </c>
      <c r="B4915" t="str" cm="1">
        <f t="array" ref="B4915">IFERROR(INDEX(tbNucleo[ESCOLA],ROUNDUP(ROW(B4914)/TotalEtapas,0)),"")</f>
        <v/>
      </c>
      <c r="E4915" t="str">
        <f>IFERROR(VLOOKUP(tbEscolas[[#This Row],[COD ETPA]],tbEtapas[],2,FALSE),"")</f>
        <v/>
      </c>
      <c r="F4915" t="str">
        <f>IFERROR(VLOOKUP(tbEscolas[[#This Row],[COD ETPA]],tbEtapas[],3,FALSE),"")</f>
        <v/>
      </c>
    </row>
    <row r="4916" spans="1:6" x14ac:dyDescent="0.25">
      <c r="A4916" s="24" t="str">
        <f>_xlfn.XLOOKUP(tbEscolas[[#This Row],[ESCOLA]],tbNucleo[ESCOLA],tbNucleo[COD ESCOLA],"")</f>
        <v/>
      </c>
      <c r="B4916" t="str" cm="1">
        <f t="array" ref="B4916">IFERROR(INDEX(tbNucleo[ESCOLA],ROUNDUP(ROW(B4915)/TotalEtapas,0)),"")</f>
        <v/>
      </c>
      <c r="E4916" t="str">
        <f>IFERROR(VLOOKUP(tbEscolas[[#This Row],[COD ETPA]],tbEtapas[],2,FALSE),"")</f>
        <v/>
      </c>
      <c r="F4916" t="str">
        <f>IFERROR(VLOOKUP(tbEscolas[[#This Row],[COD ETPA]],tbEtapas[],3,FALSE),"")</f>
        <v/>
      </c>
    </row>
    <row r="4917" spans="1:6" x14ac:dyDescent="0.25">
      <c r="A4917" s="24" t="str">
        <f>_xlfn.XLOOKUP(tbEscolas[[#This Row],[ESCOLA]],tbNucleo[ESCOLA],tbNucleo[COD ESCOLA],"")</f>
        <v/>
      </c>
      <c r="B4917" t="str" cm="1">
        <f t="array" ref="B4917">IFERROR(INDEX(tbNucleo[ESCOLA],ROUNDUP(ROW(B4916)/TotalEtapas,0)),"")</f>
        <v/>
      </c>
      <c r="E4917" t="str">
        <f>IFERROR(VLOOKUP(tbEscolas[[#This Row],[COD ETPA]],tbEtapas[],2,FALSE),"")</f>
        <v/>
      </c>
      <c r="F4917" t="str">
        <f>IFERROR(VLOOKUP(tbEscolas[[#This Row],[COD ETPA]],tbEtapas[],3,FALSE),"")</f>
        <v/>
      </c>
    </row>
    <row r="4918" spans="1:6" x14ac:dyDescent="0.25">
      <c r="A4918" s="24" t="str">
        <f>_xlfn.XLOOKUP(tbEscolas[[#This Row],[ESCOLA]],tbNucleo[ESCOLA],tbNucleo[COD ESCOLA],"")</f>
        <v/>
      </c>
      <c r="B4918" t="str" cm="1">
        <f t="array" ref="B4918">IFERROR(INDEX(tbNucleo[ESCOLA],ROUNDUP(ROW(B4917)/TotalEtapas,0)),"")</f>
        <v/>
      </c>
      <c r="E4918" t="str">
        <f>IFERROR(VLOOKUP(tbEscolas[[#This Row],[COD ETPA]],tbEtapas[],2,FALSE),"")</f>
        <v/>
      </c>
      <c r="F4918" t="str">
        <f>IFERROR(VLOOKUP(tbEscolas[[#This Row],[COD ETPA]],tbEtapas[],3,FALSE),"")</f>
        <v/>
      </c>
    </row>
    <row r="4919" spans="1:6" x14ac:dyDescent="0.25">
      <c r="A4919" s="24" t="str">
        <f>_xlfn.XLOOKUP(tbEscolas[[#This Row],[ESCOLA]],tbNucleo[ESCOLA],tbNucleo[COD ESCOLA],"")</f>
        <v/>
      </c>
      <c r="B4919" t="str" cm="1">
        <f t="array" ref="B4919">IFERROR(INDEX(tbNucleo[ESCOLA],ROUNDUP(ROW(B4918)/TotalEtapas,0)),"")</f>
        <v/>
      </c>
      <c r="E4919" t="str">
        <f>IFERROR(VLOOKUP(tbEscolas[[#This Row],[COD ETPA]],tbEtapas[],2,FALSE),"")</f>
        <v/>
      </c>
      <c r="F4919" t="str">
        <f>IFERROR(VLOOKUP(tbEscolas[[#This Row],[COD ETPA]],tbEtapas[],3,FALSE),"")</f>
        <v/>
      </c>
    </row>
    <row r="4920" spans="1:6" x14ac:dyDescent="0.25">
      <c r="A4920" s="24" t="str">
        <f>_xlfn.XLOOKUP(tbEscolas[[#This Row],[ESCOLA]],tbNucleo[ESCOLA],tbNucleo[COD ESCOLA],"")</f>
        <v/>
      </c>
      <c r="B4920" t="str" cm="1">
        <f t="array" ref="B4920">IFERROR(INDEX(tbNucleo[ESCOLA],ROUNDUP(ROW(B4919)/TotalEtapas,0)),"")</f>
        <v/>
      </c>
      <c r="E4920" t="str">
        <f>IFERROR(VLOOKUP(tbEscolas[[#This Row],[COD ETPA]],tbEtapas[],2,FALSE),"")</f>
        <v/>
      </c>
      <c r="F4920" t="str">
        <f>IFERROR(VLOOKUP(tbEscolas[[#This Row],[COD ETPA]],tbEtapas[],3,FALSE),"")</f>
        <v/>
      </c>
    </row>
    <row r="4921" spans="1:6" x14ac:dyDescent="0.25">
      <c r="A4921" s="24" t="str">
        <f>_xlfn.XLOOKUP(tbEscolas[[#This Row],[ESCOLA]],tbNucleo[ESCOLA],tbNucleo[COD ESCOLA],"")</f>
        <v/>
      </c>
      <c r="B4921" t="str" cm="1">
        <f t="array" ref="B4921">IFERROR(INDEX(tbNucleo[ESCOLA],ROUNDUP(ROW(B4920)/TotalEtapas,0)),"")</f>
        <v/>
      </c>
      <c r="E4921" t="str">
        <f>IFERROR(VLOOKUP(tbEscolas[[#This Row],[COD ETPA]],tbEtapas[],2,FALSE),"")</f>
        <v/>
      </c>
      <c r="F4921" t="str">
        <f>IFERROR(VLOOKUP(tbEscolas[[#This Row],[COD ETPA]],tbEtapas[],3,FALSE),"")</f>
        <v/>
      </c>
    </row>
    <row r="4922" spans="1:6" x14ac:dyDescent="0.25">
      <c r="A4922" s="24" t="str">
        <f>_xlfn.XLOOKUP(tbEscolas[[#This Row],[ESCOLA]],tbNucleo[ESCOLA],tbNucleo[COD ESCOLA],"")</f>
        <v/>
      </c>
      <c r="B4922" t="str" cm="1">
        <f t="array" ref="B4922">IFERROR(INDEX(tbNucleo[ESCOLA],ROUNDUP(ROW(B4921)/TotalEtapas,0)),"")</f>
        <v/>
      </c>
      <c r="E4922" t="str">
        <f>IFERROR(VLOOKUP(tbEscolas[[#This Row],[COD ETPA]],tbEtapas[],2,FALSE),"")</f>
        <v/>
      </c>
      <c r="F4922" t="str">
        <f>IFERROR(VLOOKUP(tbEscolas[[#This Row],[COD ETPA]],tbEtapas[],3,FALSE),"")</f>
        <v/>
      </c>
    </row>
    <row r="4923" spans="1:6" x14ac:dyDescent="0.25">
      <c r="A4923" s="24" t="str">
        <f>_xlfn.XLOOKUP(tbEscolas[[#This Row],[ESCOLA]],tbNucleo[ESCOLA],tbNucleo[COD ESCOLA],"")</f>
        <v/>
      </c>
      <c r="B4923" t="str" cm="1">
        <f t="array" ref="B4923">IFERROR(INDEX(tbNucleo[ESCOLA],ROUNDUP(ROW(B4922)/TotalEtapas,0)),"")</f>
        <v/>
      </c>
      <c r="E4923" t="str">
        <f>IFERROR(VLOOKUP(tbEscolas[[#This Row],[COD ETPA]],tbEtapas[],2,FALSE),"")</f>
        <v/>
      </c>
      <c r="F4923" t="str">
        <f>IFERROR(VLOOKUP(tbEscolas[[#This Row],[COD ETPA]],tbEtapas[],3,FALSE),"")</f>
        <v/>
      </c>
    </row>
    <row r="4924" spans="1:6" x14ac:dyDescent="0.25">
      <c r="A4924" s="24" t="str">
        <f>_xlfn.XLOOKUP(tbEscolas[[#This Row],[ESCOLA]],tbNucleo[ESCOLA],tbNucleo[COD ESCOLA],"")</f>
        <v/>
      </c>
      <c r="B4924" t="str" cm="1">
        <f t="array" ref="B4924">IFERROR(INDEX(tbNucleo[ESCOLA],ROUNDUP(ROW(B4923)/TotalEtapas,0)),"")</f>
        <v/>
      </c>
      <c r="E4924" t="str">
        <f>IFERROR(VLOOKUP(tbEscolas[[#This Row],[COD ETPA]],tbEtapas[],2,FALSE),"")</f>
        <v/>
      </c>
      <c r="F4924" t="str">
        <f>IFERROR(VLOOKUP(tbEscolas[[#This Row],[COD ETPA]],tbEtapas[],3,FALSE),"")</f>
        <v/>
      </c>
    </row>
    <row r="4925" spans="1:6" x14ac:dyDescent="0.25">
      <c r="A4925" s="24" t="str">
        <f>_xlfn.XLOOKUP(tbEscolas[[#This Row],[ESCOLA]],tbNucleo[ESCOLA],tbNucleo[COD ESCOLA],"")</f>
        <v/>
      </c>
      <c r="B4925" t="str" cm="1">
        <f t="array" ref="B4925">IFERROR(INDEX(tbNucleo[ESCOLA],ROUNDUP(ROW(B4924)/TotalEtapas,0)),"")</f>
        <v/>
      </c>
      <c r="E4925" t="str">
        <f>IFERROR(VLOOKUP(tbEscolas[[#This Row],[COD ETPA]],tbEtapas[],2,FALSE),"")</f>
        <v/>
      </c>
      <c r="F4925" t="str">
        <f>IFERROR(VLOOKUP(tbEscolas[[#This Row],[COD ETPA]],tbEtapas[],3,FALSE),"")</f>
        <v/>
      </c>
    </row>
    <row r="4926" spans="1:6" x14ac:dyDescent="0.25">
      <c r="A4926" s="24" t="str">
        <f>_xlfn.XLOOKUP(tbEscolas[[#This Row],[ESCOLA]],tbNucleo[ESCOLA],tbNucleo[COD ESCOLA],"")</f>
        <v/>
      </c>
      <c r="B4926" t="str" cm="1">
        <f t="array" ref="B4926">IFERROR(INDEX(tbNucleo[ESCOLA],ROUNDUP(ROW(B4925)/TotalEtapas,0)),"")</f>
        <v/>
      </c>
      <c r="E4926" t="str">
        <f>IFERROR(VLOOKUP(tbEscolas[[#This Row],[COD ETPA]],tbEtapas[],2,FALSE),"")</f>
        <v/>
      </c>
      <c r="F4926" t="str">
        <f>IFERROR(VLOOKUP(tbEscolas[[#This Row],[COD ETPA]],tbEtapas[],3,FALSE),"")</f>
        <v/>
      </c>
    </row>
    <row r="4927" spans="1:6" x14ac:dyDescent="0.25">
      <c r="A4927" s="24" t="str">
        <f>_xlfn.XLOOKUP(tbEscolas[[#This Row],[ESCOLA]],tbNucleo[ESCOLA],tbNucleo[COD ESCOLA],"")</f>
        <v/>
      </c>
      <c r="B4927" t="str" cm="1">
        <f t="array" ref="B4927">IFERROR(INDEX(tbNucleo[ESCOLA],ROUNDUP(ROW(B4926)/TotalEtapas,0)),"")</f>
        <v/>
      </c>
      <c r="E4927" t="str">
        <f>IFERROR(VLOOKUP(tbEscolas[[#This Row],[COD ETPA]],tbEtapas[],2,FALSE),"")</f>
        <v/>
      </c>
      <c r="F4927" t="str">
        <f>IFERROR(VLOOKUP(tbEscolas[[#This Row],[COD ETPA]],tbEtapas[],3,FALSE),"")</f>
        <v/>
      </c>
    </row>
    <row r="4928" spans="1:6" x14ac:dyDescent="0.25">
      <c r="A4928" s="24" t="str">
        <f>_xlfn.XLOOKUP(tbEscolas[[#This Row],[ESCOLA]],tbNucleo[ESCOLA],tbNucleo[COD ESCOLA],"")</f>
        <v/>
      </c>
      <c r="B4928" t="str" cm="1">
        <f t="array" ref="B4928">IFERROR(INDEX(tbNucleo[ESCOLA],ROUNDUP(ROW(B4927)/TotalEtapas,0)),"")</f>
        <v/>
      </c>
      <c r="E4928" t="str">
        <f>IFERROR(VLOOKUP(tbEscolas[[#This Row],[COD ETPA]],tbEtapas[],2,FALSE),"")</f>
        <v/>
      </c>
      <c r="F4928" t="str">
        <f>IFERROR(VLOOKUP(tbEscolas[[#This Row],[COD ETPA]],tbEtapas[],3,FALSE),"")</f>
        <v/>
      </c>
    </row>
    <row r="4929" spans="1:6" x14ac:dyDescent="0.25">
      <c r="A4929" s="24" t="str">
        <f>_xlfn.XLOOKUP(tbEscolas[[#This Row],[ESCOLA]],tbNucleo[ESCOLA],tbNucleo[COD ESCOLA],"")</f>
        <v/>
      </c>
      <c r="B4929" t="str" cm="1">
        <f t="array" ref="B4929">IFERROR(INDEX(tbNucleo[ESCOLA],ROUNDUP(ROW(B4928)/TotalEtapas,0)),"")</f>
        <v/>
      </c>
      <c r="E4929" t="str">
        <f>IFERROR(VLOOKUP(tbEscolas[[#This Row],[COD ETPA]],tbEtapas[],2,FALSE),"")</f>
        <v/>
      </c>
      <c r="F4929" t="str">
        <f>IFERROR(VLOOKUP(tbEscolas[[#This Row],[COD ETPA]],tbEtapas[],3,FALSE),"")</f>
        <v/>
      </c>
    </row>
    <row r="4930" spans="1:6" x14ac:dyDescent="0.25">
      <c r="A4930" s="24" t="str">
        <f>_xlfn.XLOOKUP(tbEscolas[[#This Row],[ESCOLA]],tbNucleo[ESCOLA],tbNucleo[COD ESCOLA],"")</f>
        <v/>
      </c>
      <c r="B4930" t="str" cm="1">
        <f t="array" ref="B4930">IFERROR(INDEX(tbNucleo[ESCOLA],ROUNDUP(ROW(B4929)/TotalEtapas,0)),"")</f>
        <v/>
      </c>
      <c r="E4930" t="str">
        <f>IFERROR(VLOOKUP(tbEscolas[[#This Row],[COD ETPA]],tbEtapas[],2,FALSE),"")</f>
        <v/>
      </c>
      <c r="F4930" t="str">
        <f>IFERROR(VLOOKUP(tbEscolas[[#This Row],[COD ETPA]],tbEtapas[],3,FALSE),"")</f>
        <v/>
      </c>
    </row>
    <row r="4931" spans="1:6" x14ac:dyDescent="0.25">
      <c r="A4931" s="24" t="str">
        <f>_xlfn.XLOOKUP(tbEscolas[[#This Row],[ESCOLA]],tbNucleo[ESCOLA],tbNucleo[COD ESCOLA],"")</f>
        <v/>
      </c>
      <c r="B4931" t="str" cm="1">
        <f t="array" ref="B4931">IFERROR(INDEX(tbNucleo[ESCOLA],ROUNDUP(ROW(B4930)/TotalEtapas,0)),"")</f>
        <v/>
      </c>
      <c r="E4931" t="str">
        <f>IFERROR(VLOOKUP(tbEscolas[[#This Row],[COD ETPA]],tbEtapas[],2,FALSE),"")</f>
        <v/>
      </c>
      <c r="F4931" t="str">
        <f>IFERROR(VLOOKUP(tbEscolas[[#This Row],[COD ETPA]],tbEtapas[],3,FALSE),"")</f>
        <v/>
      </c>
    </row>
    <row r="4932" spans="1:6" x14ac:dyDescent="0.25">
      <c r="A4932" s="24" t="str">
        <f>_xlfn.XLOOKUP(tbEscolas[[#This Row],[ESCOLA]],tbNucleo[ESCOLA],tbNucleo[COD ESCOLA],"")</f>
        <v/>
      </c>
      <c r="B4932" t="str" cm="1">
        <f t="array" ref="B4932">IFERROR(INDEX(tbNucleo[ESCOLA],ROUNDUP(ROW(B4931)/TotalEtapas,0)),"")</f>
        <v/>
      </c>
      <c r="E4932" t="str">
        <f>IFERROR(VLOOKUP(tbEscolas[[#This Row],[COD ETPA]],tbEtapas[],2,FALSE),"")</f>
        <v/>
      </c>
      <c r="F4932" t="str">
        <f>IFERROR(VLOOKUP(tbEscolas[[#This Row],[COD ETPA]],tbEtapas[],3,FALSE),"")</f>
        <v/>
      </c>
    </row>
    <row r="4933" spans="1:6" x14ac:dyDescent="0.25">
      <c r="A4933" s="24" t="str">
        <f>_xlfn.XLOOKUP(tbEscolas[[#This Row],[ESCOLA]],tbNucleo[ESCOLA],tbNucleo[COD ESCOLA],"")</f>
        <v/>
      </c>
      <c r="B4933" t="str" cm="1">
        <f t="array" ref="B4933">IFERROR(INDEX(tbNucleo[ESCOLA],ROUNDUP(ROW(B4932)/TotalEtapas,0)),"")</f>
        <v/>
      </c>
      <c r="E4933" t="str">
        <f>IFERROR(VLOOKUP(tbEscolas[[#This Row],[COD ETPA]],tbEtapas[],2,FALSE),"")</f>
        <v/>
      </c>
      <c r="F4933" t="str">
        <f>IFERROR(VLOOKUP(tbEscolas[[#This Row],[COD ETPA]],tbEtapas[],3,FALSE),"")</f>
        <v/>
      </c>
    </row>
    <row r="4934" spans="1:6" x14ac:dyDescent="0.25">
      <c r="A4934" s="24" t="str">
        <f>_xlfn.XLOOKUP(tbEscolas[[#This Row],[ESCOLA]],tbNucleo[ESCOLA],tbNucleo[COD ESCOLA],"")</f>
        <v/>
      </c>
      <c r="B4934" t="str" cm="1">
        <f t="array" ref="B4934">IFERROR(INDEX(tbNucleo[ESCOLA],ROUNDUP(ROW(B4933)/TotalEtapas,0)),"")</f>
        <v/>
      </c>
      <c r="E4934" t="str">
        <f>IFERROR(VLOOKUP(tbEscolas[[#This Row],[COD ETPA]],tbEtapas[],2,FALSE),"")</f>
        <v/>
      </c>
      <c r="F4934" t="str">
        <f>IFERROR(VLOOKUP(tbEscolas[[#This Row],[COD ETPA]],tbEtapas[],3,FALSE),"")</f>
        <v/>
      </c>
    </row>
    <row r="4935" spans="1:6" x14ac:dyDescent="0.25">
      <c r="A4935" s="24" t="str">
        <f>_xlfn.XLOOKUP(tbEscolas[[#This Row],[ESCOLA]],tbNucleo[ESCOLA],tbNucleo[COD ESCOLA],"")</f>
        <v/>
      </c>
      <c r="B4935" t="str" cm="1">
        <f t="array" ref="B4935">IFERROR(INDEX(tbNucleo[ESCOLA],ROUNDUP(ROW(B4934)/TotalEtapas,0)),"")</f>
        <v/>
      </c>
      <c r="E4935" t="str">
        <f>IFERROR(VLOOKUP(tbEscolas[[#This Row],[COD ETPA]],tbEtapas[],2,FALSE),"")</f>
        <v/>
      </c>
      <c r="F4935" t="str">
        <f>IFERROR(VLOOKUP(tbEscolas[[#This Row],[COD ETPA]],tbEtapas[],3,FALSE),"")</f>
        <v/>
      </c>
    </row>
    <row r="4936" spans="1:6" x14ac:dyDescent="0.25">
      <c r="A4936" s="24" t="str">
        <f>_xlfn.XLOOKUP(tbEscolas[[#This Row],[ESCOLA]],tbNucleo[ESCOLA],tbNucleo[COD ESCOLA],"")</f>
        <v/>
      </c>
      <c r="B4936" t="str" cm="1">
        <f t="array" ref="B4936">IFERROR(INDEX(tbNucleo[ESCOLA],ROUNDUP(ROW(B4935)/TotalEtapas,0)),"")</f>
        <v/>
      </c>
      <c r="E4936" t="str">
        <f>IFERROR(VLOOKUP(tbEscolas[[#This Row],[COD ETPA]],tbEtapas[],2,FALSE),"")</f>
        <v/>
      </c>
      <c r="F4936" t="str">
        <f>IFERROR(VLOOKUP(tbEscolas[[#This Row],[COD ETPA]],tbEtapas[],3,FALSE),"")</f>
        <v/>
      </c>
    </row>
    <row r="4937" spans="1:6" x14ac:dyDescent="0.25">
      <c r="A4937" s="24" t="str">
        <f>_xlfn.XLOOKUP(tbEscolas[[#This Row],[ESCOLA]],tbNucleo[ESCOLA],tbNucleo[COD ESCOLA],"")</f>
        <v/>
      </c>
      <c r="B4937" t="str" cm="1">
        <f t="array" ref="B4937">IFERROR(INDEX(tbNucleo[ESCOLA],ROUNDUP(ROW(B4936)/TotalEtapas,0)),"")</f>
        <v/>
      </c>
      <c r="E4937" t="str">
        <f>IFERROR(VLOOKUP(tbEscolas[[#This Row],[COD ETPA]],tbEtapas[],2,FALSE),"")</f>
        <v/>
      </c>
      <c r="F4937" t="str">
        <f>IFERROR(VLOOKUP(tbEscolas[[#This Row],[COD ETPA]],tbEtapas[],3,FALSE),"")</f>
        <v/>
      </c>
    </row>
    <row r="4938" spans="1:6" x14ac:dyDescent="0.25">
      <c r="A4938" s="24" t="str">
        <f>_xlfn.XLOOKUP(tbEscolas[[#This Row],[ESCOLA]],tbNucleo[ESCOLA],tbNucleo[COD ESCOLA],"")</f>
        <v/>
      </c>
      <c r="B4938" t="str" cm="1">
        <f t="array" ref="B4938">IFERROR(INDEX(tbNucleo[ESCOLA],ROUNDUP(ROW(B4937)/TotalEtapas,0)),"")</f>
        <v/>
      </c>
      <c r="E4938" t="str">
        <f>IFERROR(VLOOKUP(tbEscolas[[#This Row],[COD ETPA]],tbEtapas[],2,FALSE),"")</f>
        <v/>
      </c>
      <c r="F4938" t="str">
        <f>IFERROR(VLOOKUP(tbEscolas[[#This Row],[COD ETPA]],tbEtapas[],3,FALSE),"")</f>
        <v/>
      </c>
    </row>
    <row r="4939" spans="1:6" x14ac:dyDescent="0.25">
      <c r="A4939" s="24" t="str">
        <f>_xlfn.XLOOKUP(tbEscolas[[#This Row],[ESCOLA]],tbNucleo[ESCOLA],tbNucleo[COD ESCOLA],"")</f>
        <v/>
      </c>
      <c r="B4939" t="str" cm="1">
        <f t="array" ref="B4939">IFERROR(INDEX(tbNucleo[ESCOLA],ROUNDUP(ROW(B4938)/TotalEtapas,0)),"")</f>
        <v/>
      </c>
      <c r="E4939" t="str">
        <f>IFERROR(VLOOKUP(tbEscolas[[#This Row],[COD ETPA]],tbEtapas[],2,FALSE),"")</f>
        <v/>
      </c>
      <c r="F4939" t="str">
        <f>IFERROR(VLOOKUP(tbEscolas[[#This Row],[COD ETPA]],tbEtapas[],3,FALSE),"")</f>
        <v/>
      </c>
    </row>
    <row r="4940" spans="1:6" x14ac:dyDescent="0.25">
      <c r="A4940" s="24" t="str">
        <f>_xlfn.XLOOKUP(tbEscolas[[#This Row],[ESCOLA]],tbNucleo[ESCOLA],tbNucleo[COD ESCOLA],"")</f>
        <v/>
      </c>
      <c r="B4940" t="str" cm="1">
        <f t="array" ref="B4940">IFERROR(INDEX(tbNucleo[ESCOLA],ROUNDUP(ROW(B4939)/TotalEtapas,0)),"")</f>
        <v/>
      </c>
      <c r="E4940" t="str">
        <f>IFERROR(VLOOKUP(tbEscolas[[#This Row],[COD ETPA]],tbEtapas[],2,FALSE),"")</f>
        <v/>
      </c>
      <c r="F4940" t="str">
        <f>IFERROR(VLOOKUP(tbEscolas[[#This Row],[COD ETPA]],tbEtapas[],3,FALSE),"")</f>
        <v/>
      </c>
    </row>
    <row r="4941" spans="1:6" x14ac:dyDescent="0.25">
      <c r="A4941" s="24" t="str">
        <f>_xlfn.XLOOKUP(tbEscolas[[#This Row],[ESCOLA]],tbNucleo[ESCOLA],tbNucleo[COD ESCOLA],"")</f>
        <v/>
      </c>
      <c r="B4941" t="str" cm="1">
        <f t="array" ref="B4941">IFERROR(INDEX(tbNucleo[ESCOLA],ROUNDUP(ROW(B4940)/TotalEtapas,0)),"")</f>
        <v/>
      </c>
      <c r="E4941" t="str">
        <f>IFERROR(VLOOKUP(tbEscolas[[#This Row],[COD ETPA]],tbEtapas[],2,FALSE),"")</f>
        <v/>
      </c>
      <c r="F4941" t="str">
        <f>IFERROR(VLOOKUP(tbEscolas[[#This Row],[COD ETPA]],tbEtapas[],3,FALSE),"")</f>
        <v/>
      </c>
    </row>
    <row r="4942" spans="1:6" x14ac:dyDescent="0.25">
      <c r="A4942" s="24" t="str">
        <f>_xlfn.XLOOKUP(tbEscolas[[#This Row],[ESCOLA]],tbNucleo[ESCOLA],tbNucleo[COD ESCOLA],"")</f>
        <v/>
      </c>
      <c r="B4942" t="str" cm="1">
        <f t="array" ref="B4942">IFERROR(INDEX(tbNucleo[ESCOLA],ROUNDUP(ROW(B4941)/TotalEtapas,0)),"")</f>
        <v/>
      </c>
      <c r="E4942" t="str">
        <f>IFERROR(VLOOKUP(tbEscolas[[#This Row],[COD ETPA]],tbEtapas[],2,FALSE),"")</f>
        <v/>
      </c>
      <c r="F4942" t="str">
        <f>IFERROR(VLOOKUP(tbEscolas[[#This Row],[COD ETPA]],tbEtapas[],3,FALSE),"")</f>
        <v/>
      </c>
    </row>
    <row r="4943" spans="1:6" x14ac:dyDescent="0.25">
      <c r="A4943" s="24" t="str">
        <f>_xlfn.XLOOKUP(tbEscolas[[#This Row],[ESCOLA]],tbNucleo[ESCOLA],tbNucleo[COD ESCOLA],"")</f>
        <v/>
      </c>
      <c r="B4943" t="str" cm="1">
        <f t="array" ref="B4943">IFERROR(INDEX(tbNucleo[ESCOLA],ROUNDUP(ROW(B4942)/TotalEtapas,0)),"")</f>
        <v/>
      </c>
      <c r="E4943" t="str">
        <f>IFERROR(VLOOKUP(tbEscolas[[#This Row],[COD ETPA]],tbEtapas[],2,FALSE),"")</f>
        <v/>
      </c>
      <c r="F4943" t="str">
        <f>IFERROR(VLOOKUP(tbEscolas[[#This Row],[COD ETPA]],tbEtapas[],3,FALSE),"")</f>
        <v/>
      </c>
    </row>
    <row r="4944" spans="1:6" x14ac:dyDescent="0.25">
      <c r="A4944" s="24" t="str">
        <f>_xlfn.XLOOKUP(tbEscolas[[#This Row],[ESCOLA]],tbNucleo[ESCOLA],tbNucleo[COD ESCOLA],"")</f>
        <v/>
      </c>
      <c r="B4944" t="str" cm="1">
        <f t="array" ref="B4944">IFERROR(INDEX(tbNucleo[ESCOLA],ROUNDUP(ROW(B4943)/TotalEtapas,0)),"")</f>
        <v/>
      </c>
      <c r="E4944" t="str">
        <f>IFERROR(VLOOKUP(tbEscolas[[#This Row],[COD ETPA]],tbEtapas[],2,FALSE),"")</f>
        <v/>
      </c>
      <c r="F4944" t="str">
        <f>IFERROR(VLOOKUP(tbEscolas[[#This Row],[COD ETPA]],tbEtapas[],3,FALSE),"")</f>
        <v/>
      </c>
    </row>
    <row r="4945" spans="1:6" x14ac:dyDescent="0.25">
      <c r="A4945" s="24" t="str">
        <f>_xlfn.XLOOKUP(tbEscolas[[#This Row],[ESCOLA]],tbNucleo[ESCOLA],tbNucleo[COD ESCOLA],"")</f>
        <v/>
      </c>
      <c r="B4945" t="str" cm="1">
        <f t="array" ref="B4945">IFERROR(INDEX(tbNucleo[ESCOLA],ROUNDUP(ROW(B4944)/TotalEtapas,0)),"")</f>
        <v/>
      </c>
      <c r="E4945" t="str">
        <f>IFERROR(VLOOKUP(tbEscolas[[#This Row],[COD ETPA]],tbEtapas[],2,FALSE),"")</f>
        <v/>
      </c>
      <c r="F4945" t="str">
        <f>IFERROR(VLOOKUP(tbEscolas[[#This Row],[COD ETPA]],tbEtapas[],3,FALSE),"")</f>
        <v/>
      </c>
    </row>
    <row r="4946" spans="1:6" x14ac:dyDescent="0.25">
      <c r="A4946" s="24" t="str">
        <f>_xlfn.XLOOKUP(tbEscolas[[#This Row],[ESCOLA]],tbNucleo[ESCOLA],tbNucleo[COD ESCOLA],"")</f>
        <v/>
      </c>
      <c r="B4946" t="str" cm="1">
        <f t="array" ref="B4946">IFERROR(INDEX(tbNucleo[ESCOLA],ROUNDUP(ROW(B4945)/TotalEtapas,0)),"")</f>
        <v/>
      </c>
      <c r="E4946" t="str">
        <f>IFERROR(VLOOKUP(tbEscolas[[#This Row],[COD ETPA]],tbEtapas[],2,FALSE),"")</f>
        <v/>
      </c>
      <c r="F4946" t="str">
        <f>IFERROR(VLOOKUP(tbEscolas[[#This Row],[COD ETPA]],tbEtapas[],3,FALSE),"")</f>
        <v/>
      </c>
    </row>
    <row r="4947" spans="1:6" x14ac:dyDescent="0.25">
      <c r="A4947" s="24" t="str">
        <f>_xlfn.XLOOKUP(tbEscolas[[#This Row],[ESCOLA]],tbNucleo[ESCOLA],tbNucleo[COD ESCOLA],"")</f>
        <v/>
      </c>
      <c r="B4947" t="str" cm="1">
        <f t="array" ref="B4947">IFERROR(INDEX(tbNucleo[ESCOLA],ROUNDUP(ROW(B4946)/TotalEtapas,0)),"")</f>
        <v/>
      </c>
      <c r="E4947" t="str">
        <f>IFERROR(VLOOKUP(tbEscolas[[#This Row],[COD ETPA]],tbEtapas[],2,FALSE),"")</f>
        <v/>
      </c>
      <c r="F4947" t="str">
        <f>IFERROR(VLOOKUP(tbEscolas[[#This Row],[COD ETPA]],tbEtapas[],3,FALSE),"")</f>
        <v/>
      </c>
    </row>
    <row r="4948" spans="1:6" x14ac:dyDescent="0.25">
      <c r="A4948" s="24" t="str">
        <f>_xlfn.XLOOKUP(tbEscolas[[#This Row],[ESCOLA]],tbNucleo[ESCOLA],tbNucleo[COD ESCOLA],"")</f>
        <v/>
      </c>
      <c r="B4948" t="str" cm="1">
        <f t="array" ref="B4948">IFERROR(INDEX(tbNucleo[ESCOLA],ROUNDUP(ROW(B4947)/TotalEtapas,0)),"")</f>
        <v/>
      </c>
      <c r="E4948" t="str">
        <f>IFERROR(VLOOKUP(tbEscolas[[#This Row],[COD ETPA]],tbEtapas[],2,FALSE),"")</f>
        <v/>
      </c>
      <c r="F4948" t="str">
        <f>IFERROR(VLOOKUP(tbEscolas[[#This Row],[COD ETPA]],tbEtapas[],3,FALSE),"")</f>
        <v/>
      </c>
    </row>
    <row r="4949" spans="1:6" x14ac:dyDescent="0.25">
      <c r="A4949" s="24" t="str">
        <f>_xlfn.XLOOKUP(tbEscolas[[#This Row],[ESCOLA]],tbNucleo[ESCOLA],tbNucleo[COD ESCOLA],"")</f>
        <v/>
      </c>
      <c r="B4949" t="str" cm="1">
        <f t="array" ref="B4949">IFERROR(INDEX(tbNucleo[ESCOLA],ROUNDUP(ROW(B4948)/TotalEtapas,0)),"")</f>
        <v/>
      </c>
      <c r="E4949" t="str">
        <f>IFERROR(VLOOKUP(tbEscolas[[#This Row],[COD ETPA]],tbEtapas[],2,FALSE),"")</f>
        <v/>
      </c>
      <c r="F4949" t="str">
        <f>IFERROR(VLOOKUP(tbEscolas[[#This Row],[COD ETPA]],tbEtapas[],3,FALSE),"")</f>
        <v/>
      </c>
    </row>
    <row r="4950" spans="1:6" x14ac:dyDescent="0.25">
      <c r="A4950" s="24" t="str">
        <f>_xlfn.XLOOKUP(tbEscolas[[#This Row],[ESCOLA]],tbNucleo[ESCOLA],tbNucleo[COD ESCOLA],"")</f>
        <v/>
      </c>
      <c r="B4950" t="str" cm="1">
        <f t="array" ref="B4950">IFERROR(INDEX(tbNucleo[ESCOLA],ROUNDUP(ROW(B4949)/TotalEtapas,0)),"")</f>
        <v/>
      </c>
      <c r="E4950" t="str">
        <f>IFERROR(VLOOKUP(tbEscolas[[#This Row],[COD ETPA]],tbEtapas[],2,FALSE),"")</f>
        <v/>
      </c>
      <c r="F4950" t="str">
        <f>IFERROR(VLOOKUP(tbEscolas[[#This Row],[COD ETPA]],tbEtapas[],3,FALSE),"")</f>
        <v/>
      </c>
    </row>
    <row r="4951" spans="1:6" x14ac:dyDescent="0.25">
      <c r="A4951" s="24" t="str">
        <f>_xlfn.XLOOKUP(tbEscolas[[#This Row],[ESCOLA]],tbNucleo[ESCOLA],tbNucleo[COD ESCOLA],"")</f>
        <v/>
      </c>
      <c r="B4951" t="str" cm="1">
        <f t="array" ref="B4951">IFERROR(INDEX(tbNucleo[ESCOLA],ROUNDUP(ROW(B4950)/TotalEtapas,0)),"")</f>
        <v/>
      </c>
      <c r="E4951" t="str">
        <f>IFERROR(VLOOKUP(tbEscolas[[#This Row],[COD ETPA]],tbEtapas[],2,FALSE),"")</f>
        <v/>
      </c>
      <c r="F4951" t="str">
        <f>IFERROR(VLOOKUP(tbEscolas[[#This Row],[COD ETPA]],tbEtapas[],3,FALSE),"")</f>
        <v/>
      </c>
    </row>
    <row r="4952" spans="1:6" x14ac:dyDescent="0.25">
      <c r="A4952" s="24" t="str">
        <f>_xlfn.XLOOKUP(tbEscolas[[#This Row],[ESCOLA]],tbNucleo[ESCOLA],tbNucleo[COD ESCOLA],"")</f>
        <v/>
      </c>
      <c r="B4952" t="str" cm="1">
        <f t="array" ref="B4952">IFERROR(INDEX(tbNucleo[ESCOLA],ROUNDUP(ROW(B4951)/TotalEtapas,0)),"")</f>
        <v/>
      </c>
      <c r="E4952" t="str">
        <f>IFERROR(VLOOKUP(tbEscolas[[#This Row],[COD ETPA]],tbEtapas[],2,FALSE),"")</f>
        <v/>
      </c>
      <c r="F4952" t="str">
        <f>IFERROR(VLOOKUP(tbEscolas[[#This Row],[COD ETPA]],tbEtapas[],3,FALSE),"")</f>
        <v/>
      </c>
    </row>
    <row r="4953" spans="1:6" x14ac:dyDescent="0.25">
      <c r="A4953" s="24" t="str">
        <f>_xlfn.XLOOKUP(tbEscolas[[#This Row],[ESCOLA]],tbNucleo[ESCOLA],tbNucleo[COD ESCOLA],"")</f>
        <v/>
      </c>
      <c r="B4953" t="str" cm="1">
        <f t="array" ref="B4953">IFERROR(INDEX(tbNucleo[ESCOLA],ROUNDUP(ROW(B4952)/TotalEtapas,0)),"")</f>
        <v/>
      </c>
      <c r="E4953" t="str">
        <f>IFERROR(VLOOKUP(tbEscolas[[#This Row],[COD ETPA]],tbEtapas[],2,FALSE),"")</f>
        <v/>
      </c>
      <c r="F4953" t="str">
        <f>IFERROR(VLOOKUP(tbEscolas[[#This Row],[COD ETPA]],tbEtapas[],3,FALSE),"")</f>
        <v/>
      </c>
    </row>
    <row r="4954" spans="1:6" x14ac:dyDescent="0.25">
      <c r="A4954" s="24" t="str">
        <f>_xlfn.XLOOKUP(tbEscolas[[#This Row],[ESCOLA]],tbNucleo[ESCOLA],tbNucleo[COD ESCOLA],"")</f>
        <v/>
      </c>
      <c r="B4954" t="str" cm="1">
        <f t="array" ref="B4954">IFERROR(INDEX(tbNucleo[ESCOLA],ROUNDUP(ROW(B4953)/TotalEtapas,0)),"")</f>
        <v/>
      </c>
      <c r="E4954" t="str">
        <f>IFERROR(VLOOKUP(tbEscolas[[#This Row],[COD ETPA]],tbEtapas[],2,FALSE),"")</f>
        <v/>
      </c>
      <c r="F4954" t="str">
        <f>IFERROR(VLOOKUP(tbEscolas[[#This Row],[COD ETPA]],tbEtapas[],3,FALSE),"")</f>
        <v/>
      </c>
    </row>
    <row r="4955" spans="1:6" x14ac:dyDescent="0.25">
      <c r="A4955" s="24" t="str">
        <f>_xlfn.XLOOKUP(tbEscolas[[#This Row],[ESCOLA]],tbNucleo[ESCOLA],tbNucleo[COD ESCOLA],"")</f>
        <v/>
      </c>
      <c r="B4955" t="str" cm="1">
        <f t="array" ref="B4955">IFERROR(INDEX(tbNucleo[ESCOLA],ROUNDUP(ROW(B4954)/TotalEtapas,0)),"")</f>
        <v/>
      </c>
      <c r="E4955" t="str">
        <f>IFERROR(VLOOKUP(tbEscolas[[#This Row],[COD ETPA]],tbEtapas[],2,FALSE),"")</f>
        <v/>
      </c>
      <c r="F4955" t="str">
        <f>IFERROR(VLOOKUP(tbEscolas[[#This Row],[COD ETPA]],tbEtapas[],3,FALSE),"")</f>
        <v/>
      </c>
    </row>
    <row r="4956" spans="1:6" x14ac:dyDescent="0.25">
      <c r="A4956" s="24" t="str">
        <f>_xlfn.XLOOKUP(tbEscolas[[#This Row],[ESCOLA]],tbNucleo[ESCOLA],tbNucleo[COD ESCOLA],"")</f>
        <v/>
      </c>
      <c r="B4956" t="str" cm="1">
        <f t="array" ref="B4956">IFERROR(INDEX(tbNucleo[ESCOLA],ROUNDUP(ROW(B4955)/TotalEtapas,0)),"")</f>
        <v/>
      </c>
      <c r="E4956" t="str">
        <f>IFERROR(VLOOKUP(tbEscolas[[#This Row],[COD ETPA]],tbEtapas[],2,FALSE),"")</f>
        <v/>
      </c>
      <c r="F4956" t="str">
        <f>IFERROR(VLOOKUP(tbEscolas[[#This Row],[COD ETPA]],tbEtapas[],3,FALSE),"")</f>
        <v/>
      </c>
    </row>
    <row r="4957" spans="1:6" x14ac:dyDescent="0.25">
      <c r="A4957" s="24" t="str">
        <f>_xlfn.XLOOKUP(tbEscolas[[#This Row],[ESCOLA]],tbNucleo[ESCOLA],tbNucleo[COD ESCOLA],"")</f>
        <v/>
      </c>
      <c r="B4957" t="str" cm="1">
        <f t="array" ref="B4957">IFERROR(INDEX(tbNucleo[ESCOLA],ROUNDUP(ROW(B4956)/TotalEtapas,0)),"")</f>
        <v/>
      </c>
      <c r="E4957" t="str">
        <f>IFERROR(VLOOKUP(tbEscolas[[#This Row],[COD ETPA]],tbEtapas[],2,FALSE),"")</f>
        <v/>
      </c>
      <c r="F4957" t="str">
        <f>IFERROR(VLOOKUP(tbEscolas[[#This Row],[COD ETPA]],tbEtapas[],3,FALSE),"")</f>
        <v/>
      </c>
    </row>
    <row r="4958" spans="1:6" x14ac:dyDescent="0.25">
      <c r="A4958" s="24" t="str">
        <f>_xlfn.XLOOKUP(tbEscolas[[#This Row],[ESCOLA]],tbNucleo[ESCOLA],tbNucleo[COD ESCOLA],"")</f>
        <v/>
      </c>
      <c r="B4958" t="str" cm="1">
        <f t="array" ref="B4958">IFERROR(INDEX(tbNucleo[ESCOLA],ROUNDUP(ROW(B4957)/TotalEtapas,0)),"")</f>
        <v/>
      </c>
      <c r="E4958" t="str">
        <f>IFERROR(VLOOKUP(tbEscolas[[#This Row],[COD ETPA]],tbEtapas[],2,FALSE),"")</f>
        <v/>
      </c>
      <c r="F4958" t="str">
        <f>IFERROR(VLOOKUP(tbEscolas[[#This Row],[COD ETPA]],tbEtapas[],3,FALSE),"")</f>
        <v/>
      </c>
    </row>
    <row r="4959" spans="1:6" x14ac:dyDescent="0.25">
      <c r="A4959" s="24" t="str">
        <f>_xlfn.XLOOKUP(tbEscolas[[#This Row],[ESCOLA]],tbNucleo[ESCOLA],tbNucleo[COD ESCOLA],"")</f>
        <v/>
      </c>
      <c r="B4959" t="str" cm="1">
        <f t="array" ref="B4959">IFERROR(INDEX(tbNucleo[ESCOLA],ROUNDUP(ROW(B4958)/TotalEtapas,0)),"")</f>
        <v/>
      </c>
      <c r="E4959" t="str">
        <f>IFERROR(VLOOKUP(tbEscolas[[#This Row],[COD ETPA]],tbEtapas[],2,FALSE),"")</f>
        <v/>
      </c>
      <c r="F4959" t="str">
        <f>IFERROR(VLOOKUP(tbEscolas[[#This Row],[COD ETPA]],tbEtapas[],3,FALSE),"")</f>
        <v/>
      </c>
    </row>
    <row r="4960" spans="1:6" x14ac:dyDescent="0.25">
      <c r="A4960" s="24" t="str">
        <f>_xlfn.XLOOKUP(tbEscolas[[#This Row],[ESCOLA]],tbNucleo[ESCOLA],tbNucleo[COD ESCOLA],"")</f>
        <v/>
      </c>
      <c r="B4960" t="str" cm="1">
        <f t="array" ref="B4960">IFERROR(INDEX(tbNucleo[ESCOLA],ROUNDUP(ROW(B4959)/TotalEtapas,0)),"")</f>
        <v/>
      </c>
      <c r="E4960" t="str">
        <f>IFERROR(VLOOKUP(tbEscolas[[#This Row],[COD ETPA]],tbEtapas[],2,FALSE),"")</f>
        <v/>
      </c>
      <c r="F4960" t="str">
        <f>IFERROR(VLOOKUP(tbEscolas[[#This Row],[COD ETPA]],tbEtapas[],3,FALSE),"")</f>
        <v/>
      </c>
    </row>
    <row r="4961" spans="1:6" x14ac:dyDescent="0.25">
      <c r="A4961" s="24" t="str">
        <f>_xlfn.XLOOKUP(tbEscolas[[#This Row],[ESCOLA]],tbNucleo[ESCOLA],tbNucleo[COD ESCOLA],"")</f>
        <v/>
      </c>
      <c r="B4961" t="str" cm="1">
        <f t="array" ref="B4961">IFERROR(INDEX(tbNucleo[ESCOLA],ROUNDUP(ROW(B4960)/TotalEtapas,0)),"")</f>
        <v/>
      </c>
      <c r="E4961" t="str">
        <f>IFERROR(VLOOKUP(tbEscolas[[#This Row],[COD ETPA]],tbEtapas[],2,FALSE),"")</f>
        <v/>
      </c>
      <c r="F4961" t="str">
        <f>IFERROR(VLOOKUP(tbEscolas[[#This Row],[COD ETPA]],tbEtapas[],3,FALSE),"")</f>
        <v/>
      </c>
    </row>
    <row r="4962" spans="1:6" x14ac:dyDescent="0.25">
      <c r="A4962" s="24" t="str">
        <f>_xlfn.XLOOKUP(tbEscolas[[#This Row],[ESCOLA]],tbNucleo[ESCOLA],tbNucleo[COD ESCOLA],"")</f>
        <v/>
      </c>
      <c r="B4962" t="str" cm="1">
        <f t="array" ref="B4962">IFERROR(INDEX(tbNucleo[ESCOLA],ROUNDUP(ROW(B4961)/TotalEtapas,0)),"")</f>
        <v/>
      </c>
      <c r="E4962" t="str">
        <f>IFERROR(VLOOKUP(tbEscolas[[#This Row],[COD ETPA]],tbEtapas[],2,FALSE),"")</f>
        <v/>
      </c>
      <c r="F4962" t="str">
        <f>IFERROR(VLOOKUP(tbEscolas[[#This Row],[COD ETPA]],tbEtapas[],3,FALSE),"")</f>
        <v/>
      </c>
    </row>
    <row r="4963" spans="1:6" x14ac:dyDescent="0.25">
      <c r="A4963" s="24" t="str">
        <f>_xlfn.XLOOKUP(tbEscolas[[#This Row],[ESCOLA]],tbNucleo[ESCOLA],tbNucleo[COD ESCOLA],"")</f>
        <v/>
      </c>
      <c r="B4963" t="str" cm="1">
        <f t="array" ref="B4963">IFERROR(INDEX(tbNucleo[ESCOLA],ROUNDUP(ROW(B4962)/TotalEtapas,0)),"")</f>
        <v/>
      </c>
      <c r="E4963" t="str">
        <f>IFERROR(VLOOKUP(tbEscolas[[#This Row],[COD ETPA]],tbEtapas[],2,FALSE),"")</f>
        <v/>
      </c>
      <c r="F4963" t="str">
        <f>IFERROR(VLOOKUP(tbEscolas[[#This Row],[COD ETPA]],tbEtapas[],3,FALSE),"")</f>
        <v/>
      </c>
    </row>
    <row r="4964" spans="1:6" x14ac:dyDescent="0.25">
      <c r="A4964" s="24" t="str">
        <f>_xlfn.XLOOKUP(tbEscolas[[#This Row],[ESCOLA]],tbNucleo[ESCOLA],tbNucleo[COD ESCOLA],"")</f>
        <v/>
      </c>
      <c r="B4964" t="str" cm="1">
        <f t="array" ref="B4964">IFERROR(INDEX(tbNucleo[ESCOLA],ROUNDUP(ROW(B4963)/TotalEtapas,0)),"")</f>
        <v/>
      </c>
      <c r="E4964" t="str">
        <f>IFERROR(VLOOKUP(tbEscolas[[#This Row],[COD ETPA]],tbEtapas[],2,FALSE),"")</f>
        <v/>
      </c>
      <c r="F4964" t="str">
        <f>IFERROR(VLOOKUP(tbEscolas[[#This Row],[COD ETPA]],tbEtapas[],3,FALSE),"")</f>
        <v/>
      </c>
    </row>
    <row r="4965" spans="1:6" x14ac:dyDescent="0.25">
      <c r="A4965" s="24" t="str">
        <f>_xlfn.XLOOKUP(tbEscolas[[#This Row],[ESCOLA]],tbNucleo[ESCOLA],tbNucleo[COD ESCOLA],"")</f>
        <v/>
      </c>
      <c r="B4965" t="str" cm="1">
        <f t="array" ref="B4965">IFERROR(INDEX(tbNucleo[ESCOLA],ROUNDUP(ROW(B4964)/TotalEtapas,0)),"")</f>
        <v/>
      </c>
      <c r="E4965" t="str">
        <f>IFERROR(VLOOKUP(tbEscolas[[#This Row],[COD ETPA]],tbEtapas[],2,FALSE),"")</f>
        <v/>
      </c>
      <c r="F4965" t="str">
        <f>IFERROR(VLOOKUP(tbEscolas[[#This Row],[COD ETPA]],tbEtapas[],3,FALSE),"")</f>
        <v/>
      </c>
    </row>
    <row r="4966" spans="1:6" x14ac:dyDescent="0.25">
      <c r="A4966" s="24" t="str">
        <f>_xlfn.XLOOKUP(tbEscolas[[#This Row],[ESCOLA]],tbNucleo[ESCOLA],tbNucleo[COD ESCOLA],"")</f>
        <v/>
      </c>
      <c r="B4966" t="str" cm="1">
        <f t="array" ref="B4966">IFERROR(INDEX(tbNucleo[ESCOLA],ROUNDUP(ROW(B4965)/TotalEtapas,0)),"")</f>
        <v/>
      </c>
      <c r="E4966" t="str">
        <f>IFERROR(VLOOKUP(tbEscolas[[#This Row],[COD ETPA]],tbEtapas[],2,FALSE),"")</f>
        <v/>
      </c>
      <c r="F4966" t="str">
        <f>IFERROR(VLOOKUP(tbEscolas[[#This Row],[COD ETPA]],tbEtapas[],3,FALSE),"")</f>
        <v/>
      </c>
    </row>
    <row r="4967" spans="1:6" x14ac:dyDescent="0.25">
      <c r="A4967" s="24" t="str">
        <f>_xlfn.XLOOKUP(tbEscolas[[#This Row],[ESCOLA]],tbNucleo[ESCOLA],tbNucleo[COD ESCOLA],"")</f>
        <v/>
      </c>
      <c r="B4967" t="str" cm="1">
        <f t="array" ref="B4967">IFERROR(INDEX(tbNucleo[ESCOLA],ROUNDUP(ROW(B4966)/TotalEtapas,0)),"")</f>
        <v/>
      </c>
      <c r="E4967" t="str">
        <f>IFERROR(VLOOKUP(tbEscolas[[#This Row],[COD ETPA]],tbEtapas[],2,FALSE),"")</f>
        <v/>
      </c>
      <c r="F4967" t="str">
        <f>IFERROR(VLOOKUP(tbEscolas[[#This Row],[COD ETPA]],tbEtapas[],3,FALSE),"")</f>
        <v/>
      </c>
    </row>
    <row r="4968" spans="1:6" x14ac:dyDescent="0.25">
      <c r="A4968" s="24" t="str">
        <f>_xlfn.XLOOKUP(tbEscolas[[#This Row],[ESCOLA]],tbNucleo[ESCOLA],tbNucleo[COD ESCOLA],"")</f>
        <v/>
      </c>
      <c r="B4968" t="str" cm="1">
        <f t="array" ref="B4968">IFERROR(INDEX(tbNucleo[ESCOLA],ROUNDUP(ROW(B4967)/TotalEtapas,0)),"")</f>
        <v/>
      </c>
      <c r="E4968" t="str">
        <f>IFERROR(VLOOKUP(tbEscolas[[#This Row],[COD ETPA]],tbEtapas[],2,FALSE),"")</f>
        <v/>
      </c>
      <c r="F4968" t="str">
        <f>IFERROR(VLOOKUP(tbEscolas[[#This Row],[COD ETPA]],tbEtapas[],3,FALSE),"")</f>
        <v/>
      </c>
    </row>
    <row r="4969" spans="1:6" x14ac:dyDescent="0.25">
      <c r="A4969" s="24" t="str">
        <f>_xlfn.XLOOKUP(tbEscolas[[#This Row],[ESCOLA]],tbNucleo[ESCOLA],tbNucleo[COD ESCOLA],"")</f>
        <v/>
      </c>
      <c r="B4969" t="str" cm="1">
        <f t="array" ref="B4969">IFERROR(INDEX(tbNucleo[ESCOLA],ROUNDUP(ROW(B4968)/TotalEtapas,0)),"")</f>
        <v/>
      </c>
      <c r="E4969" t="str">
        <f>IFERROR(VLOOKUP(tbEscolas[[#This Row],[COD ETPA]],tbEtapas[],2,FALSE),"")</f>
        <v/>
      </c>
      <c r="F4969" t="str">
        <f>IFERROR(VLOOKUP(tbEscolas[[#This Row],[COD ETPA]],tbEtapas[],3,FALSE),"")</f>
        <v/>
      </c>
    </row>
    <row r="4970" spans="1:6" x14ac:dyDescent="0.25">
      <c r="A4970" s="24" t="str">
        <f>_xlfn.XLOOKUP(tbEscolas[[#This Row],[ESCOLA]],tbNucleo[ESCOLA],tbNucleo[COD ESCOLA],"")</f>
        <v/>
      </c>
      <c r="B4970" t="str" cm="1">
        <f t="array" ref="B4970">IFERROR(INDEX(tbNucleo[ESCOLA],ROUNDUP(ROW(B4969)/TotalEtapas,0)),"")</f>
        <v/>
      </c>
      <c r="E4970" t="str">
        <f>IFERROR(VLOOKUP(tbEscolas[[#This Row],[COD ETPA]],tbEtapas[],2,FALSE),"")</f>
        <v/>
      </c>
      <c r="F4970" t="str">
        <f>IFERROR(VLOOKUP(tbEscolas[[#This Row],[COD ETPA]],tbEtapas[],3,FALSE),"")</f>
        <v/>
      </c>
    </row>
    <row r="4971" spans="1:6" x14ac:dyDescent="0.25">
      <c r="A4971" s="24" t="str">
        <f>_xlfn.XLOOKUP(tbEscolas[[#This Row],[ESCOLA]],tbNucleo[ESCOLA],tbNucleo[COD ESCOLA],"")</f>
        <v/>
      </c>
      <c r="B4971" t="str" cm="1">
        <f t="array" ref="B4971">IFERROR(INDEX(tbNucleo[ESCOLA],ROUNDUP(ROW(B4970)/TotalEtapas,0)),"")</f>
        <v/>
      </c>
      <c r="E4971" t="str">
        <f>IFERROR(VLOOKUP(tbEscolas[[#This Row],[COD ETPA]],tbEtapas[],2,FALSE),"")</f>
        <v/>
      </c>
      <c r="F4971" t="str">
        <f>IFERROR(VLOOKUP(tbEscolas[[#This Row],[COD ETPA]],tbEtapas[],3,FALSE),"")</f>
        <v/>
      </c>
    </row>
    <row r="4972" spans="1:6" x14ac:dyDescent="0.25">
      <c r="A4972" s="24" t="str">
        <f>_xlfn.XLOOKUP(tbEscolas[[#This Row],[ESCOLA]],tbNucleo[ESCOLA],tbNucleo[COD ESCOLA],"")</f>
        <v/>
      </c>
      <c r="B4972" t="str" cm="1">
        <f t="array" ref="B4972">IFERROR(INDEX(tbNucleo[ESCOLA],ROUNDUP(ROW(B4971)/TotalEtapas,0)),"")</f>
        <v/>
      </c>
      <c r="E4972" t="str">
        <f>IFERROR(VLOOKUP(tbEscolas[[#This Row],[COD ETPA]],tbEtapas[],2,FALSE),"")</f>
        <v/>
      </c>
      <c r="F4972" t="str">
        <f>IFERROR(VLOOKUP(tbEscolas[[#This Row],[COD ETPA]],tbEtapas[],3,FALSE),"")</f>
        <v/>
      </c>
    </row>
    <row r="4973" spans="1:6" x14ac:dyDescent="0.25">
      <c r="A4973" s="24" t="str">
        <f>_xlfn.XLOOKUP(tbEscolas[[#This Row],[ESCOLA]],tbNucleo[ESCOLA],tbNucleo[COD ESCOLA],"")</f>
        <v/>
      </c>
      <c r="B4973" t="str" cm="1">
        <f t="array" ref="B4973">IFERROR(INDEX(tbNucleo[ESCOLA],ROUNDUP(ROW(B4972)/TotalEtapas,0)),"")</f>
        <v/>
      </c>
      <c r="E4973" t="str">
        <f>IFERROR(VLOOKUP(tbEscolas[[#This Row],[COD ETPA]],tbEtapas[],2,FALSE),"")</f>
        <v/>
      </c>
      <c r="F4973" t="str">
        <f>IFERROR(VLOOKUP(tbEscolas[[#This Row],[COD ETPA]],tbEtapas[],3,FALSE),"")</f>
        <v/>
      </c>
    </row>
    <row r="4974" spans="1:6" x14ac:dyDescent="0.25">
      <c r="A4974" s="24" t="str">
        <f>_xlfn.XLOOKUP(tbEscolas[[#This Row],[ESCOLA]],tbNucleo[ESCOLA],tbNucleo[COD ESCOLA],"")</f>
        <v/>
      </c>
      <c r="B4974" t="str" cm="1">
        <f t="array" ref="B4974">IFERROR(INDEX(tbNucleo[ESCOLA],ROUNDUP(ROW(B4973)/TotalEtapas,0)),"")</f>
        <v/>
      </c>
      <c r="E4974" t="str">
        <f>IFERROR(VLOOKUP(tbEscolas[[#This Row],[COD ETPA]],tbEtapas[],2,FALSE),"")</f>
        <v/>
      </c>
      <c r="F4974" t="str">
        <f>IFERROR(VLOOKUP(tbEscolas[[#This Row],[COD ETPA]],tbEtapas[],3,FALSE),"")</f>
        <v/>
      </c>
    </row>
    <row r="4975" spans="1:6" x14ac:dyDescent="0.25">
      <c r="A4975" s="24" t="str">
        <f>_xlfn.XLOOKUP(tbEscolas[[#This Row],[ESCOLA]],tbNucleo[ESCOLA],tbNucleo[COD ESCOLA],"")</f>
        <v/>
      </c>
      <c r="B4975" t="str" cm="1">
        <f t="array" ref="B4975">IFERROR(INDEX(tbNucleo[ESCOLA],ROUNDUP(ROW(B4974)/TotalEtapas,0)),"")</f>
        <v/>
      </c>
      <c r="E4975" t="str">
        <f>IFERROR(VLOOKUP(tbEscolas[[#This Row],[COD ETPA]],tbEtapas[],2,FALSE),"")</f>
        <v/>
      </c>
      <c r="F4975" t="str">
        <f>IFERROR(VLOOKUP(tbEscolas[[#This Row],[COD ETPA]],tbEtapas[],3,FALSE),"")</f>
        <v/>
      </c>
    </row>
    <row r="4976" spans="1:6" x14ac:dyDescent="0.25">
      <c r="A4976" s="24" t="str">
        <f>_xlfn.XLOOKUP(tbEscolas[[#This Row],[ESCOLA]],tbNucleo[ESCOLA],tbNucleo[COD ESCOLA],"")</f>
        <v/>
      </c>
      <c r="B4976" t="str" cm="1">
        <f t="array" ref="B4976">IFERROR(INDEX(tbNucleo[ESCOLA],ROUNDUP(ROW(B4975)/TotalEtapas,0)),"")</f>
        <v/>
      </c>
      <c r="E4976" t="str">
        <f>IFERROR(VLOOKUP(tbEscolas[[#This Row],[COD ETPA]],tbEtapas[],2,FALSE),"")</f>
        <v/>
      </c>
      <c r="F4976" t="str">
        <f>IFERROR(VLOOKUP(tbEscolas[[#This Row],[COD ETPA]],tbEtapas[],3,FALSE),"")</f>
        <v/>
      </c>
    </row>
    <row r="4977" spans="1:6" x14ac:dyDescent="0.25">
      <c r="A4977" s="24" t="str">
        <f>_xlfn.XLOOKUP(tbEscolas[[#This Row],[ESCOLA]],tbNucleo[ESCOLA],tbNucleo[COD ESCOLA],"")</f>
        <v/>
      </c>
      <c r="B4977" t="str" cm="1">
        <f t="array" ref="B4977">IFERROR(INDEX(tbNucleo[ESCOLA],ROUNDUP(ROW(B4976)/TotalEtapas,0)),"")</f>
        <v/>
      </c>
      <c r="E4977" t="str">
        <f>IFERROR(VLOOKUP(tbEscolas[[#This Row],[COD ETPA]],tbEtapas[],2,FALSE),"")</f>
        <v/>
      </c>
      <c r="F4977" t="str">
        <f>IFERROR(VLOOKUP(tbEscolas[[#This Row],[COD ETPA]],tbEtapas[],3,FALSE),"")</f>
        <v/>
      </c>
    </row>
    <row r="4978" spans="1:6" x14ac:dyDescent="0.25">
      <c r="A4978" s="24" t="str">
        <f>_xlfn.XLOOKUP(tbEscolas[[#This Row],[ESCOLA]],tbNucleo[ESCOLA],tbNucleo[COD ESCOLA],"")</f>
        <v/>
      </c>
      <c r="B4978" t="str" cm="1">
        <f t="array" ref="B4978">IFERROR(INDEX(tbNucleo[ESCOLA],ROUNDUP(ROW(B4977)/TotalEtapas,0)),"")</f>
        <v/>
      </c>
      <c r="E4978" t="str">
        <f>IFERROR(VLOOKUP(tbEscolas[[#This Row],[COD ETPA]],tbEtapas[],2,FALSE),"")</f>
        <v/>
      </c>
      <c r="F4978" t="str">
        <f>IFERROR(VLOOKUP(tbEscolas[[#This Row],[COD ETPA]],tbEtapas[],3,FALSE),"")</f>
        <v/>
      </c>
    </row>
    <row r="4979" spans="1:6" x14ac:dyDescent="0.25">
      <c r="A4979" s="24" t="str">
        <f>_xlfn.XLOOKUP(tbEscolas[[#This Row],[ESCOLA]],tbNucleo[ESCOLA],tbNucleo[COD ESCOLA],"")</f>
        <v/>
      </c>
      <c r="B4979" t="str" cm="1">
        <f t="array" ref="B4979">IFERROR(INDEX(tbNucleo[ESCOLA],ROUNDUP(ROW(B4978)/TotalEtapas,0)),"")</f>
        <v/>
      </c>
      <c r="E4979" t="str">
        <f>IFERROR(VLOOKUP(tbEscolas[[#This Row],[COD ETPA]],tbEtapas[],2,FALSE),"")</f>
        <v/>
      </c>
      <c r="F4979" t="str">
        <f>IFERROR(VLOOKUP(tbEscolas[[#This Row],[COD ETPA]],tbEtapas[],3,FALSE),"")</f>
        <v/>
      </c>
    </row>
    <row r="4980" spans="1:6" x14ac:dyDescent="0.25">
      <c r="A4980" s="24" t="str">
        <f>_xlfn.XLOOKUP(tbEscolas[[#This Row],[ESCOLA]],tbNucleo[ESCOLA],tbNucleo[COD ESCOLA],"")</f>
        <v/>
      </c>
      <c r="B4980" t="str" cm="1">
        <f t="array" ref="B4980">IFERROR(INDEX(tbNucleo[ESCOLA],ROUNDUP(ROW(B4979)/TotalEtapas,0)),"")</f>
        <v/>
      </c>
      <c r="E4980" t="str">
        <f>IFERROR(VLOOKUP(tbEscolas[[#This Row],[COD ETPA]],tbEtapas[],2,FALSE),"")</f>
        <v/>
      </c>
      <c r="F4980" t="str">
        <f>IFERROR(VLOOKUP(tbEscolas[[#This Row],[COD ETPA]],tbEtapas[],3,FALSE),"")</f>
        <v/>
      </c>
    </row>
    <row r="4981" spans="1:6" x14ac:dyDescent="0.25">
      <c r="A4981" s="24" t="str">
        <f>_xlfn.XLOOKUP(tbEscolas[[#This Row],[ESCOLA]],tbNucleo[ESCOLA],tbNucleo[COD ESCOLA],"")</f>
        <v/>
      </c>
      <c r="B4981" t="str" cm="1">
        <f t="array" ref="B4981">IFERROR(INDEX(tbNucleo[ESCOLA],ROUNDUP(ROW(B4980)/TotalEtapas,0)),"")</f>
        <v/>
      </c>
      <c r="E4981" t="str">
        <f>IFERROR(VLOOKUP(tbEscolas[[#This Row],[COD ETPA]],tbEtapas[],2,FALSE),"")</f>
        <v/>
      </c>
      <c r="F4981" t="str">
        <f>IFERROR(VLOOKUP(tbEscolas[[#This Row],[COD ETPA]],tbEtapas[],3,FALSE),"")</f>
        <v/>
      </c>
    </row>
    <row r="4982" spans="1:6" x14ac:dyDescent="0.25">
      <c r="A4982" s="24" t="str">
        <f>_xlfn.XLOOKUP(tbEscolas[[#This Row],[ESCOLA]],tbNucleo[ESCOLA],tbNucleo[COD ESCOLA],"")</f>
        <v/>
      </c>
      <c r="B4982" t="str" cm="1">
        <f t="array" ref="B4982">IFERROR(INDEX(tbNucleo[ESCOLA],ROUNDUP(ROW(B4981)/TotalEtapas,0)),"")</f>
        <v/>
      </c>
      <c r="E4982" t="str">
        <f>IFERROR(VLOOKUP(tbEscolas[[#This Row],[COD ETPA]],tbEtapas[],2,FALSE),"")</f>
        <v/>
      </c>
      <c r="F4982" t="str">
        <f>IFERROR(VLOOKUP(tbEscolas[[#This Row],[COD ETPA]],tbEtapas[],3,FALSE),"")</f>
        <v/>
      </c>
    </row>
    <row r="4983" spans="1:6" x14ac:dyDescent="0.25">
      <c r="A4983" s="24" t="str">
        <f>_xlfn.XLOOKUP(tbEscolas[[#This Row],[ESCOLA]],tbNucleo[ESCOLA],tbNucleo[COD ESCOLA],"")</f>
        <v/>
      </c>
      <c r="B4983" t="str" cm="1">
        <f t="array" ref="B4983">IFERROR(INDEX(tbNucleo[ESCOLA],ROUNDUP(ROW(B4982)/TotalEtapas,0)),"")</f>
        <v/>
      </c>
      <c r="E4983" t="str">
        <f>IFERROR(VLOOKUP(tbEscolas[[#This Row],[COD ETPA]],tbEtapas[],2,FALSE),"")</f>
        <v/>
      </c>
      <c r="F4983" t="str">
        <f>IFERROR(VLOOKUP(tbEscolas[[#This Row],[COD ETPA]],tbEtapas[],3,FALSE),"")</f>
        <v/>
      </c>
    </row>
    <row r="4984" spans="1:6" x14ac:dyDescent="0.25">
      <c r="A4984" s="24" t="str">
        <f>_xlfn.XLOOKUP(tbEscolas[[#This Row],[ESCOLA]],tbNucleo[ESCOLA],tbNucleo[COD ESCOLA],"")</f>
        <v/>
      </c>
      <c r="B4984" t="str" cm="1">
        <f t="array" ref="B4984">IFERROR(INDEX(tbNucleo[ESCOLA],ROUNDUP(ROW(B4983)/TotalEtapas,0)),"")</f>
        <v/>
      </c>
      <c r="E4984" t="str">
        <f>IFERROR(VLOOKUP(tbEscolas[[#This Row],[COD ETPA]],tbEtapas[],2,FALSE),"")</f>
        <v/>
      </c>
      <c r="F4984" t="str">
        <f>IFERROR(VLOOKUP(tbEscolas[[#This Row],[COD ETPA]],tbEtapas[],3,FALSE),"")</f>
        <v/>
      </c>
    </row>
    <row r="4985" spans="1:6" x14ac:dyDescent="0.25">
      <c r="A4985" s="24" t="str">
        <f>_xlfn.XLOOKUP(tbEscolas[[#This Row],[ESCOLA]],tbNucleo[ESCOLA],tbNucleo[COD ESCOLA],"")</f>
        <v/>
      </c>
      <c r="B4985" t="str" cm="1">
        <f t="array" ref="B4985">IFERROR(INDEX(tbNucleo[ESCOLA],ROUNDUP(ROW(B4984)/TotalEtapas,0)),"")</f>
        <v/>
      </c>
      <c r="E4985" t="str">
        <f>IFERROR(VLOOKUP(tbEscolas[[#This Row],[COD ETPA]],tbEtapas[],2,FALSE),"")</f>
        <v/>
      </c>
      <c r="F4985" t="str">
        <f>IFERROR(VLOOKUP(tbEscolas[[#This Row],[COD ETPA]],tbEtapas[],3,FALSE),"")</f>
        <v/>
      </c>
    </row>
    <row r="4986" spans="1:6" x14ac:dyDescent="0.25">
      <c r="A4986" s="24" t="str">
        <f>_xlfn.XLOOKUP(tbEscolas[[#This Row],[ESCOLA]],tbNucleo[ESCOLA],tbNucleo[COD ESCOLA],"")</f>
        <v/>
      </c>
      <c r="B4986" t="str" cm="1">
        <f t="array" ref="B4986">IFERROR(INDEX(tbNucleo[ESCOLA],ROUNDUP(ROW(B4985)/TotalEtapas,0)),"")</f>
        <v/>
      </c>
      <c r="E4986" t="str">
        <f>IFERROR(VLOOKUP(tbEscolas[[#This Row],[COD ETPA]],tbEtapas[],2,FALSE),"")</f>
        <v/>
      </c>
      <c r="F4986" t="str">
        <f>IFERROR(VLOOKUP(tbEscolas[[#This Row],[COD ETPA]],tbEtapas[],3,FALSE),"")</f>
        <v/>
      </c>
    </row>
    <row r="4987" spans="1:6" x14ac:dyDescent="0.25">
      <c r="A4987" s="24" t="str">
        <f>_xlfn.XLOOKUP(tbEscolas[[#This Row],[ESCOLA]],tbNucleo[ESCOLA],tbNucleo[COD ESCOLA],"")</f>
        <v/>
      </c>
      <c r="B4987" t="str" cm="1">
        <f t="array" ref="B4987">IFERROR(INDEX(tbNucleo[ESCOLA],ROUNDUP(ROW(B4986)/TotalEtapas,0)),"")</f>
        <v/>
      </c>
      <c r="E4987" t="str">
        <f>IFERROR(VLOOKUP(tbEscolas[[#This Row],[COD ETPA]],tbEtapas[],2,FALSE),"")</f>
        <v/>
      </c>
      <c r="F4987" t="str">
        <f>IFERROR(VLOOKUP(tbEscolas[[#This Row],[COD ETPA]],tbEtapas[],3,FALSE),"")</f>
        <v/>
      </c>
    </row>
    <row r="4988" spans="1:6" x14ac:dyDescent="0.25">
      <c r="A4988" s="24" t="str">
        <f>_xlfn.XLOOKUP(tbEscolas[[#This Row],[ESCOLA]],tbNucleo[ESCOLA],tbNucleo[COD ESCOLA],"")</f>
        <v/>
      </c>
      <c r="B4988" t="str" cm="1">
        <f t="array" ref="B4988">IFERROR(INDEX(tbNucleo[ESCOLA],ROUNDUP(ROW(B4987)/TotalEtapas,0)),"")</f>
        <v/>
      </c>
      <c r="E4988" t="str">
        <f>IFERROR(VLOOKUP(tbEscolas[[#This Row],[COD ETPA]],tbEtapas[],2,FALSE),"")</f>
        <v/>
      </c>
      <c r="F4988" t="str">
        <f>IFERROR(VLOOKUP(tbEscolas[[#This Row],[COD ETPA]],tbEtapas[],3,FALSE),"")</f>
        <v/>
      </c>
    </row>
    <row r="4989" spans="1:6" x14ac:dyDescent="0.25">
      <c r="A4989" s="24" t="str">
        <f>_xlfn.XLOOKUP(tbEscolas[[#This Row],[ESCOLA]],tbNucleo[ESCOLA],tbNucleo[COD ESCOLA],"")</f>
        <v/>
      </c>
      <c r="B4989" t="str" cm="1">
        <f t="array" ref="B4989">IFERROR(INDEX(tbNucleo[ESCOLA],ROUNDUP(ROW(B4988)/TotalEtapas,0)),"")</f>
        <v/>
      </c>
      <c r="E4989" t="str">
        <f>IFERROR(VLOOKUP(tbEscolas[[#This Row],[COD ETPA]],tbEtapas[],2,FALSE),"")</f>
        <v/>
      </c>
      <c r="F4989" t="str">
        <f>IFERROR(VLOOKUP(tbEscolas[[#This Row],[COD ETPA]],tbEtapas[],3,FALSE),"")</f>
        <v/>
      </c>
    </row>
    <row r="4990" spans="1:6" x14ac:dyDescent="0.25">
      <c r="A4990" s="24" t="str">
        <f>_xlfn.XLOOKUP(tbEscolas[[#This Row],[ESCOLA]],tbNucleo[ESCOLA],tbNucleo[COD ESCOLA],"")</f>
        <v/>
      </c>
      <c r="B4990" t="str" cm="1">
        <f t="array" ref="B4990">IFERROR(INDEX(tbNucleo[ESCOLA],ROUNDUP(ROW(B4989)/TotalEtapas,0)),"")</f>
        <v/>
      </c>
      <c r="E4990" t="str">
        <f>IFERROR(VLOOKUP(tbEscolas[[#This Row],[COD ETPA]],tbEtapas[],2,FALSE),"")</f>
        <v/>
      </c>
      <c r="F4990" t="str">
        <f>IFERROR(VLOOKUP(tbEscolas[[#This Row],[COD ETPA]],tbEtapas[],3,FALSE),"")</f>
        <v/>
      </c>
    </row>
    <row r="4991" spans="1:6" x14ac:dyDescent="0.25">
      <c r="A4991" s="24" t="str">
        <f>_xlfn.XLOOKUP(tbEscolas[[#This Row],[ESCOLA]],tbNucleo[ESCOLA],tbNucleo[COD ESCOLA],"")</f>
        <v/>
      </c>
      <c r="B4991" t="str" cm="1">
        <f t="array" ref="B4991">IFERROR(INDEX(tbNucleo[ESCOLA],ROUNDUP(ROW(B4990)/TotalEtapas,0)),"")</f>
        <v/>
      </c>
      <c r="E4991" t="str">
        <f>IFERROR(VLOOKUP(tbEscolas[[#This Row],[COD ETPA]],tbEtapas[],2,FALSE),"")</f>
        <v/>
      </c>
      <c r="F4991" t="str">
        <f>IFERROR(VLOOKUP(tbEscolas[[#This Row],[COD ETPA]],tbEtapas[],3,FALSE),"")</f>
        <v/>
      </c>
    </row>
    <row r="4992" spans="1:6" x14ac:dyDescent="0.25">
      <c r="A4992" s="24" t="str">
        <f>_xlfn.XLOOKUP(tbEscolas[[#This Row],[ESCOLA]],tbNucleo[ESCOLA],tbNucleo[COD ESCOLA],"")</f>
        <v/>
      </c>
      <c r="B4992" t="str" cm="1">
        <f t="array" ref="B4992">IFERROR(INDEX(tbNucleo[ESCOLA],ROUNDUP(ROW(B4991)/TotalEtapas,0)),"")</f>
        <v/>
      </c>
      <c r="E4992" t="str">
        <f>IFERROR(VLOOKUP(tbEscolas[[#This Row],[COD ETPA]],tbEtapas[],2,FALSE),"")</f>
        <v/>
      </c>
      <c r="F4992" t="str">
        <f>IFERROR(VLOOKUP(tbEscolas[[#This Row],[COD ETPA]],tbEtapas[],3,FALSE),"")</f>
        <v/>
      </c>
    </row>
    <row r="4993" spans="1:6" x14ac:dyDescent="0.25">
      <c r="A4993" s="24" t="str">
        <f>_xlfn.XLOOKUP(tbEscolas[[#This Row],[ESCOLA]],tbNucleo[ESCOLA],tbNucleo[COD ESCOLA],"")</f>
        <v/>
      </c>
      <c r="B4993" t="str" cm="1">
        <f t="array" ref="B4993">IFERROR(INDEX(tbNucleo[ESCOLA],ROUNDUP(ROW(B4992)/TotalEtapas,0)),"")</f>
        <v/>
      </c>
      <c r="E4993" t="str">
        <f>IFERROR(VLOOKUP(tbEscolas[[#This Row],[COD ETPA]],tbEtapas[],2,FALSE),"")</f>
        <v/>
      </c>
      <c r="F4993" t="str">
        <f>IFERROR(VLOOKUP(tbEscolas[[#This Row],[COD ETPA]],tbEtapas[],3,FALSE),"")</f>
        <v/>
      </c>
    </row>
    <row r="4994" spans="1:6" x14ac:dyDescent="0.25">
      <c r="A4994" s="24" t="str">
        <f>_xlfn.XLOOKUP(tbEscolas[[#This Row],[ESCOLA]],tbNucleo[ESCOLA],tbNucleo[COD ESCOLA],"")</f>
        <v/>
      </c>
      <c r="B4994" t="str" cm="1">
        <f t="array" ref="B4994">IFERROR(INDEX(tbNucleo[ESCOLA],ROUNDUP(ROW(B4993)/TotalEtapas,0)),"")</f>
        <v/>
      </c>
      <c r="E4994" t="str">
        <f>IFERROR(VLOOKUP(tbEscolas[[#This Row],[COD ETPA]],tbEtapas[],2,FALSE),"")</f>
        <v/>
      </c>
      <c r="F4994" t="str">
        <f>IFERROR(VLOOKUP(tbEscolas[[#This Row],[COD ETPA]],tbEtapas[],3,FALSE),"")</f>
        <v/>
      </c>
    </row>
    <row r="4995" spans="1:6" x14ac:dyDescent="0.25">
      <c r="A4995" s="24" t="str">
        <f>_xlfn.XLOOKUP(tbEscolas[[#This Row],[ESCOLA]],tbNucleo[ESCOLA],tbNucleo[COD ESCOLA],"")</f>
        <v/>
      </c>
      <c r="B4995" t="str" cm="1">
        <f t="array" ref="B4995">IFERROR(INDEX(tbNucleo[ESCOLA],ROUNDUP(ROW(B4994)/TotalEtapas,0)),"")</f>
        <v/>
      </c>
      <c r="E4995" t="str">
        <f>IFERROR(VLOOKUP(tbEscolas[[#This Row],[COD ETPA]],tbEtapas[],2,FALSE),"")</f>
        <v/>
      </c>
      <c r="F4995" t="str">
        <f>IFERROR(VLOOKUP(tbEscolas[[#This Row],[COD ETPA]],tbEtapas[],3,FALSE),"")</f>
        <v/>
      </c>
    </row>
    <row r="4996" spans="1:6" x14ac:dyDescent="0.25">
      <c r="A4996" s="24" t="str">
        <f>_xlfn.XLOOKUP(tbEscolas[[#This Row],[ESCOLA]],tbNucleo[ESCOLA],tbNucleo[COD ESCOLA],"")</f>
        <v/>
      </c>
      <c r="B4996" t="str" cm="1">
        <f t="array" ref="B4996">IFERROR(INDEX(tbNucleo[ESCOLA],ROUNDUP(ROW(B4995)/TotalEtapas,0)),"")</f>
        <v/>
      </c>
      <c r="E4996" t="str">
        <f>IFERROR(VLOOKUP(tbEscolas[[#This Row],[COD ETPA]],tbEtapas[],2,FALSE),"")</f>
        <v/>
      </c>
      <c r="F4996" t="str">
        <f>IFERROR(VLOOKUP(tbEscolas[[#This Row],[COD ETPA]],tbEtapas[],3,FALSE),"")</f>
        <v/>
      </c>
    </row>
    <row r="4997" spans="1:6" x14ac:dyDescent="0.25">
      <c r="A4997" s="24" t="str">
        <f>_xlfn.XLOOKUP(tbEscolas[[#This Row],[ESCOLA]],tbNucleo[ESCOLA],tbNucleo[COD ESCOLA],"")</f>
        <v/>
      </c>
      <c r="B4997" t="str" cm="1">
        <f t="array" ref="B4997">IFERROR(INDEX(tbNucleo[ESCOLA],ROUNDUP(ROW(B4996)/TotalEtapas,0)),"")</f>
        <v/>
      </c>
      <c r="E4997" t="str">
        <f>IFERROR(VLOOKUP(tbEscolas[[#This Row],[COD ETPA]],tbEtapas[],2,FALSE),"")</f>
        <v/>
      </c>
      <c r="F4997" t="str">
        <f>IFERROR(VLOOKUP(tbEscolas[[#This Row],[COD ETPA]],tbEtapas[],3,FALSE),"")</f>
        <v/>
      </c>
    </row>
    <row r="4998" spans="1:6" x14ac:dyDescent="0.25">
      <c r="A4998" s="24" t="str">
        <f>_xlfn.XLOOKUP(tbEscolas[[#This Row],[ESCOLA]],tbNucleo[ESCOLA],tbNucleo[COD ESCOLA],"")</f>
        <v/>
      </c>
      <c r="B4998" t="str" cm="1">
        <f t="array" ref="B4998">IFERROR(INDEX(tbNucleo[ESCOLA],ROUNDUP(ROW(B4997)/TotalEtapas,0)),"")</f>
        <v/>
      </c>
      <c r="E4998" t="str">
        <f>IFERROR(VLOOKUP(tbEscolas[[#This Row],[COD ETPA]],tbEtapas[],2,FALSE),"")</f>
        <v/>
      </c>
      <c r="F4998" t="str">
        <f>IFERROR(VLOOKUP(tbEscolas[[#This Row],[COD ETPA]],tbEtapas[],3,FALSE),"")</f>
        <v/>
      </c>
    </row>
    <row r="4999" spans="1:6" x14ac:dyDescent="0.25">
      <c r="A4999" s="24" t="str">
        <f>_xlfn.XLOOKUP(tbEscolas[[#This Row],[ESCOLA]],tbNucleo[ESCOLA],tbNucleo[COD ESCOLA],"")</f>
        <v/>
      </c>
      <c r="B4999" t="str" cm="1">
        <f t="array" ref="B4999">IFERROR(INDEX(tbNucleo[ESCOLA],ROUNDUP(ROW(B4998)/TotalEtapas,0)),"")</f>
        <v/>
      </c>
      <c r="E4999" t="str">
        <f>IFERROR(VLOOKUP(tbEscolas[[#This Row],[COD ETPA]],tbEtapas[],2,FALSE),"")</f>
        <v/>
      </c>
      <c r="F4999" t="str">
        <f>IFERROR(VLOOKUP(tbEscolas[[#This Row],[COD ETPA]],tbEtapas[],3,FALSE),"")</f>
        <v/>
      </c>
    </row>
    <row r="5000" spans="1:6" x14ac:dyDescent="0.25">
      <c r="A5000" s="24" t="str">
        <f>_xlfn.XLOOKUP(tbEscolas[[#This Row],[ESCOLA]],tbNucleo[ESCOLA],tbNucleo[COD ESCOLA],"")</f>
        <v/>
      </c>
      <c r="B5000" t="str" cm="1">
        <f t="array" ref="B5000">IFERROR(INDEX(tbNucleo[ESCOLA],ROUNDUP(ROW(B4999)/TotalEtapas,0)),"")</f>
        <v/>
      </c>
      <c r="E5000" t="str">
        <f>IFERROR(VLOOKUP(tbEscolas[[#This Row],[COD ETPA]],tbEtapas[],2,FALSE),"")</f>
        <v/>
      </c>
      <c r="F5000" t="str">
        <f>IFERROR(VLOOKUP(tbEscolas[[#This Row],[COD ETPA]],tbEtapas[],3,FALSE),"")</f>
        <v/>
      </c>
    </row>
    <row r="5001" spans="1:6" x14ac:dyDescent="0.25">
      <c r="A5001" s="24" t="str">
        <f>_xlfn.XLOOKUP(tbEscolas[[#This Row],[ESCOLA]],tbNucleo[ESCOLA],tbNucleo[COD ESCOLA],"")</f>
        <v/>
      </c>
      <c r="B5001" t="str" cm="1">
        <f t="array" ref="B5001">IFERROR(INDEX(tbNucleo[ESCOLA],ROUNDUP(ROW(B5000)/TotalEtapas,0)),"")</f>
        <v/>
      </c>
      <c r="E5001" t="str">
        <f>IFERROR(VLOOKUP(tbEscolas[[#This Row],[COD ETPA]],tbEtapas[],2,FALSE),"")</f>
        <v/>
      </c>
      <c r="F5001" t="str">
        <f>IFERROR(VLOOKUP(tbEscolas[[#This Row],[COD ETPA]],tbEtapas[],3,FALSE),"")</f>
        <v/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071D-FB63-4974-9053-0457053B8FD6}">
  <dimension ref="A1:G92"/>
  <sheetViews>
    <sheetView topLeftCell="B1" workbookViewId="0">
      <selection activeCell="C8" sqref="C8"/>
    </sheetView>
  </sheetViews>
  <sheetFormatPr defaultRowHeight="15" x14ac:dyDescent="0.25"/>
  <cols>
    <col min="1" max="1" width="27.7109375" hidden="1" customWidth="1"/>
    <col min="2" max="2" width="48.85546875" bestFit="1" customWidth="1"/>
    <col min="3" max="3" width="111" bestFit="1" customWidth="1"/>
    <col min="4" max="4" width="41.85546875" bestFit="1" customWidth="1"/>
    <col min="5" max="5" width="22.85546875" bestFit="1" customWidth="1"/>
    <col min="6" max="6" width="18.85546875" bestFit="1" customWidth="1"/>
    <col min="7" max="7" width="19.140625" bestFit="1" customWidth="1"/>
  </cols>
  <sheetData>
    <row r="1" spans="1:7" x14ac:dyDescent="0.25">
      <c r="A1" t="s">
        <v>30</v>
      </c>
      <c r="B1" t="s">
        <v>3</v>
      </c>
      <c r="C1" t="s">
        <v>308</v>
      </c>
      <c r="D1" t="s">
        <v>4</v>
      </c>
      <c r="E1" t="s">
        <v>6</v>
      </c>
      <c r="F1" t="s">
        <v>5</v>
      </c>
      <c r="G1" t="s">
        <v>135</v>
      </c>
    </row>
    <row r="2" spans="1:7" x14ac:dyDescent="0.25">
      <c r="A2">
        <f t="shared" ref="A2:A33" si="0">ROW()-1</f>
        <v>1</v>
      </c>
      <c r="B2" s="13" t="s">
        <v>245</v>
      </c>
      <c r="C2" s="16" t="s">
        <v>334</v>
      </c>
      <c r="D2" s="13" t="s">
        <v>244</v>
      </c>
      <c r="E2" t="s">
        <v>246</v>
      </c>
      <c r="F2" t="s">
        <v>58</v>
      </c>
      <c r="G2" t="s">
        <v>112</v>
      </c>
    </row>
    <row r="3" spans="1:7" x14ac:dyDescent="0.25">
      <c r="A3">
        <f t="shared" si="0"/>
        <v>2</v>
      </c>
      <c r="B3" s="13" t="s">
        <v>245</v>
      </c>
      <c r="C3" s="16" t="s">
        <v>334</v>
      </c>
      <c r="D3" s="13" t="s">
        <v>244</v>
      </c>
      <c r="E3" t="s">
        <v>246</v>
      </c>
      <c r="F3" t="s">
        <v>34</v>
      </c>
      <c r="G3" t="s">
        <v>112</v>
      </c>
    </row>
    <row r="4" spans="1:7" x14ac:dyDescent="0.25">
      <c r="A4">
        <f t="shared" si="0"/>
        <v>3</v>
      </c>
      <c r="B4" s="13" t="s">
        <v>194</v>
      </c>
      <c r="C4" s="16" t="s">
        <v>330</v>
      </c>
      <c r="D4" s="13" t="s">
        <v>198</v>
      </c>
      <c r="E4" t="s">
        <v>202</v>
      </c>
      <c r="F4" t="s">
        <v>58</v>
      </c>
      <c r="G4" t="s">
        <v>115</v>
      </c>
    </row>
    <row r="5" spans="1:7" x14ac:dyDescent="0.25">
      <c r="A5">
        <f t="shared" si="0"/>
        <v>4</v>
      </c>
      <c r="B5" s="13" t="s">
        <v>196</v>
      </c>
      <c r="C5" s="16" t="s">
        <v>330</v>
      </c>
      <c r="D5" s="13" t="s">
        <v>200</v>
      </c>
      <c r="E5" t="s">
        <v>204</v>
      </c>
      <c r="F5" s="13" t="s">
        <v>58</v>
      </c>
      <c r="G5" t="s">
        <v>115</v>
      </c>
    </row>
    <row r="6" spans="1:7" x14ac:dyDescent="0.25">
      <c r="A6">
        <f t="shared" si="0"/>
        <v>5</v>
      </c>
      <c r="B6" s="13" t="s">
        <v>213</v>
      </c>
      <c r="C6" s="16" t="s">
        <v>332</v>
      </c>
      <c r="D6" s="13" t="s">
        <v>220</v>
      </c>
      <c r="E6" t="s">
        <v>227</v>
      </c>
      <c r="F6" s="13" t="s">
        <v>34</v>
      </c>
      <c r="G6" t="s">
        <v>117</v>
      </c>
    </row>
    <row r="7" spans="1:7" x14ac:dyDescent="0.25">
      <c r="A7">
        <f t="shared" si="0"/>
        <v>6</v>
      </c>
      <c r="B7" s="13" t="s">
        <v>182</v>
      </c>
      <c r="C7" s="19" t="s">
        <v>329</v>
      </c>
      <c r="D7" s="13" t="s">
        <v>185</v>
      </c>
      <c r="E7" t="s">
        <v>191</v>
      </c>
      <c r="F7" t="s">
        <v>34</v>
      </c>
      <c r="G7" t="s">
        <v>116</v>
      </c>
    </row>
    <row r="8" spans="1:7" x14ac:dyDescent="0.25">
      <c r="A8">
        <f t="shared" si="0"/>
        <v>7</v>
      </c>
      <c r="B8" t="s">
        <v>35</v>
      </c>
      <c r="C8" s="16" t="s">
        <v>310</v>
      </c>
      <c r="D8" t="s">
        <v>36</v>
      </c>
      <c r="E8" t="s">
        <v>66</v>
      </c>
      <c r="F8" t="s">
        <v>34</v>
      </c>
      <c r="G8" t="s">
        <v>31</v>
      </c>
    </row>
    <row r="9" spans="1:7" x14ac:dyDescent="0.25">
      <c r="A9">
        <f t="shared" si="0"/>
        <v>8</v>
      </c>
      <c r="B9" t="s">
        <v>37</v>
      </c>
      <c r="C9" s="16" t="s">
        <v>311</v>
      </c>
      <c r="D9" t="s">
        <v>47</v>
      </c>
      <c r="E9" t="s">
        <v>307</v>
      </c>
      <c r="F9" t="s">
        <v>34</v>
      </c>
      <c r="G9" t="s">
        <v>31</v>
      </c>
    </row>
    <row r="10" spans="1:7" x14ac:dyDescent="0.25">
      <c r="A10">
        <f t="shared" si="0"/>
        <v>9</v>
      </c>
      <c r="B10" t="s">
        <v>63</v>
      </c>
      <c r="C10" s="16" t="s">
        <v>325</v>
      </c>
      <c r="D10" t="s">
        <v>64</v>
      </c>
      <c r="E10" t="s">
        <v>78</v>
      </c>
      <c r="F10" t="s">
        <v>58</v>
      </c>
      <c r="G10" t="s">
        <v>31</v>
      </c>
    </row>
    <row r="11" spans="1:7" x14ac:dyDescent="0.25">
      <c r="A11">
        <f t="shared" si="0"/>
        <v>10</v>
      </c>
      <c r="B11" t="s">
        <v>136</v>
      </c>
      <c r="C11" s="16" t="s">
        <v>327</v>
      </c>
      <c r="D11" t="s">
        <v>137</v>
      </c>
      <c r="E11" t="s">
        <v>138</v>
      </c>
      <c r="F11" t="s">
        <v>58</v>
      </c>
      <c r="G11" t="s">
        <v>111</v>
      </c>
    </row>
    <row r="12" spans="1:7" x14ac:dyDescent="0.25">
      <c r="A12">
        <f t="shared" si="0"/>
        <v>11</v>
      </c>
      <c r="B12" t="s">
        <v>52</v>
      </c>
      <c r="C12" s="16" t="s">
        <v>318</v>
      </c>
      <c r="D12" t="s">
        <v>53</v>
      </c>
      <c r="E12" t="s">
        <v>72</v>
      </c>
      <c r="F12" t="s">
        <v>34</v>
      </c>
      <c r="G12" t="s">
        <v>31</v>
      </c>
    </row>
    <row r="13" spans="1:7" x14ac:dyDescent="0.25">
      <c r="A13">
        <f t="shared" si="0"/>
        <v>12</v>
      </c>
      <c r="B13" s="13" t="s">
        <v>252</v>
      </c>
      <c r="C13" s="16" t="s">
        <v>335</v>
      </c>
      <c r="D13" s="13" t="s">
        <v>255</v>
      </c>
      <c r="E13" t="s">
        <v>260</v>
      </c>
      <c r="F13" t="s">
        <v>58</v>
      </c>
      <c r="G13" t="s">
        <v>114</v>
      </c>
    </row>
    <row r="14" spans="1:7" x14ac:dyDescent="0.25">
      <c r="A14">
        <f t="shared" si="0"/>
        <v>13</v>
      </c>
      <c r="B14" s="13" t="s">
        <v>252</v>
      </c>
      <c r="C14" s="16" t="s">
        <v>335</v>
      </c>
      <c r="D14" s="13" t="s">
        <v>255</v>
      </c>
      <c r="E14" t="s">
        <v>260</v>
      </c>
      <c r="F14" t="s">
        <v>34</v>
      </c>
      <c r="G14" t="s">
        <v>114</v>
      </c>
    </row>
    <row r="15" spans="1:7" x14ac:dyDescent="0.25">
      <c r="A15">
        <f t="shared" si="0"/>
        <v>14</v>
      </c>
      <c r="B15" t="s">
        <v>41</v>
      </c>
      <c r="C15" s="16" t="s">
        <v>313</v>
      </c>
      <c r="D15" t="s">
        <v>42</v>
      </c>
      <c r="E15" t="s">
        <v>69</v>
      </c>
      <c r="F15" t="s">
        <v>34</v>
      </c>
      <c r="G15" t="s">
        <v>31</v>
      </c>
    </row>
    <row r="16" spans="1:7" x14ac:dyDescent="0.25">
      <c r="A16">
        <f t="shared" si="0"/>
        <v>15</v>
      </c>
      <c r="B16" t="s">
        <v>41</v>
      </c>
      <c r="C16" s="16" t="s">
        <v>326</v>
      </c>
      <c r="D16" t="s">
        <v>43</v>
      </c>
      <c r="E16" t="s">
        <v>79</v>
      </c>
      <c r="F16" t="s">
        <v>58</v>
      </c>
      <c r="G16" t="s">
        <v>31</v>
      </c>
    </row>
    <row r="17" spans="1:7" x14ac:dyDescent="0.25">
      <c r="A17">
        <f t="shared" si="0"/>
        <v>16</v>
      </c>
      <c r="B17" s="13" t="s">
        <v>242</v>
      </c>
      <c r="C17" s="16" t="s">
        <v>334</v>
      </c>
      <c r="D17" s="13" t="s">
        <v>241</v>
      </c>
      <c r="E17" t="s">
        <v>243</v>
      </c>
      <c r="F17" t="s">
        <v>58</v>
      </c>
      <c r="G17" t="s">
        <v>112</v>
      </c>
    </row>
    <row r="18" spans="1:7" x14ac:dyDescent="0.25">
      <c r="A18">
        <f t="shared" si="0"/>
        <v>17</v>
      </c>
      <c r="B18" s="13" t="s">
        <v>242</v>
      </c>
      <c r="C18" s="16" t="s">
        <v>334</v>
      </c>
      <c r="D18" s="13" t="s">
        <v>241</v>
      </c>
      <c r="E18" t="s">
        <v>243</v>
      </c>
      <c r="F18" t="s">
        <v>34</v>
      </c>
      <c r="G18" t="s">
        <v>112</v>
      </c>
    </row>
    <row r="19" spans="1:7" x14ac:dyDescent="0.25">
      <c r="A19">
        <f t="shared" si="0"/>
        <v>18</v>
      </c>
      <c r="B19" t="s">
        <v>160</v>
      </c>
      <c r="C19" s="16" t="s">
        <v>328</v>
      </c>
      <c r="D19" t="s">
        <v>161</v>
      </c>
      <c r="E19" t="s">
        <v>162</v>
      </c>
      <c r="F19" t="s">
        <v>58</v>
      </c>
      <c r="G19" t="s">
        <v>120</v>
      </c>
    </row>
    <row r="20" spans="1:7" x14ac:dyDescent="0.25">
      <c r="A20">
        <f t="shared" si="0"/>
        <v>19</v>
      </c>
      <c r="B20" t="s">
        <v>169</v>
      </c>
      <c r="C20" s="16" t="s">
        <v>328</v>
      </c>
      <c r="D20" t="s">
        <v>170</v>
      </c>
      <c r="E20" t="s">
        <v>171</v>
      </c>
      <c r="F20" t="s">
        <v>58</v>
      </c>
      <c r="G20" t="s">
        <v>120</v>
      </c>
    </row>
    <row r="21" spans="1:7" x14ac:dyDescent="0.25">
      <c r="A21">
        <f t="shared" si="0"/>
        <v>20</v>
      </c>
      <c r="B21" s="13" t="s">
        <v>291</v>
      </c>
      <c r="C21" s="16" t="s">
        <v>338</v>
      </c>
      <c r="D21" s="13" t="s">
        <v>290</v>
      </c>
      <c r="E21" t="s">
        <v>294</v>
      </c>
      <c r="F21" t="s">
        <v>58</v>
      </c>
      <c r="G21" t="s">
        <v>110</v>
      </c>
    </row>
    <row r="22" spans="1:7" x14ac:dyDescent="0.25">
      <c r="A22">
        <f t="shared" si="0"/>
        <v>21</v>
      </c>
      <c r="B22" s="13" t="s">
        <v>279</v>
      </c>
      <c r="C22" s="16" t="s">
        <v>337</v>
      </c>
      <c r="D22" s="13" t="s">
        <v>274</v>
      </c>
      <c r="E22" t="s">
        <v>285</v>
      </c>
      <c r="F22" t="s">
        <v>58</v>
      </c>
      <c r="G22" t="s">
        <v>119</v>
      </c>
    </row>
    <row r="23" spans="1:7" x14ac:dyDescent="0.25">
      <c r="A23">
        <f t="shared" si="0"/>
        <v>22</v>
      </c>
      <c r="B23" s="13" t="s">
        <v>279</v>
      </c>
      <c r="C23" s="16" t="s">
        <v>337</v>
      </c>
      <c r="D23" s="13" t="s">
        <v>274</v>
      </c>
      <c r="E23" t="s">
        <v>285</v>
      </c>
      <c r="F23" t="s">
        <v>34</v>
      </c>
      <c r="G23" t="s">
        <v>119</v>
      </c>
    </row>
    <row r="24" spans="1:7" x14ac:dyDescent="0.25">
      <c r="A24">
        <f t="shared" si="0"/>
        <v>23</v>
      </c>
      <c r="B24" t="s">
        <v>59</v>
      </c>
      <c r="C24" s="16" t="s">
        <v>323</v>
      </c>
      <c r="D24" t="s">
        <v>60</v>
      </c>
      <c r="E24" t="s">
        <v>76</v>
      </c>
      <c r="F24" t="s">
        <v>58</v>
      </c>
      <c r="G24" t="s">
        <v>31</v>
      </c>
    </row>
    <row r="25" spans="1:7" x14ac:dyDescent="0.25">
      <c r="A25">
        <f t="shared" si="0"/>
        <v>24</v>
      </c>
      <c r="B25" s="13" t="s">
        <v>187</v>
      </c>
      <c r="C25" s="19" t="s">
        <v>329</v>
      </c>
      <c r="D25" s="13" t="s">
        <v>184</v>
      </c>
      <c r="E25" t="s">
        <v>189</v>
      </c>
      <c r="F25" t="s">
        <v>34</v>
      </c>
      <c r="G25" t="s">
        <v>116</v>
      </c>
    </row>
    <row r="26" spans="1:7" x14ac:dyDescent="0.25">
      <c r="A26">
        <f t="shared" si="0"/>
        <v>25</v>
      </c>
      <c r="B26" s="13" t="s">
        <v>275</v>
      </c>
      <c r="C26" s="16" t="s">
        <v>337</v>
      </c>
      <c r="D26" s="13" t="s">
        <v>270</v>
      </c>
      <c r="E26" t="s">
        <v>281</v>
      </c>
      <c r="F26" t="s">
        <v>58</v>
      </c>
      <c r="G26" t="s">
        <v>119</v>
      </c>
    </row>
    <row r="27" spans="1:7" x14ac:dyDescent="0.25">
      <c r="A27">
        <f t="shared" si="0"/>
        <v>26</v>
      </c>
      <c r="B27" s="13" t="s">
        <v>275</v>
      </c>
      <c r="C27" s="16" t="s">
        <v>337</v>
      </c>
      <c r="D27" s="13" t="s">
        <v>270</v>
      </c>
      <c r="E27" t="s">
        <v>281</v>
      </c>
      <c r="F27" t="s">
        <v>34</v>
      </c>
      <c r="G27" t="s">
        <v>119</v>
      </c>
    </row>
    <row r="28" spans="1:7" ht="15.75" x14ac:dyDescent="0.25">
      <c r="A28">
        <f t="shared" si="0"/>
        <v>27</v>
      </c>
      <c r="B28" s="13" t="s">
        <v>179</v>
      </c>
      <c r="C28" s="17" t="s">
        <v>329</v>
      </c>
      <c r="D28" s="14" t="s">
        <v>178</v>
      </c>
      <c r="E28" t="s">
        <v>180</v>
      </c>
      <c r="F28" t="s">
        <v>34</v>
      </c>
      <c r="G28" t="s">
        <v>116</v>
      </c>
    </row>
    <row r="29" spans="1:7" x14ac:dyDescent="0.25">
      <c r="A29">
        <f t="shared" si="0"/>
        <v>28</v>
      </c>
      <c r="B29" s="13" t="s">
        <v>212</v>
      </c>
      <c r="C29" s="16" t="s">
        <v>332</v>
      </c>
      <c r="D29" s="13" t="s">
        <v>219</v>
      </c>
      <c r="E29" t="s">
        <v>226</v>
      </c>
      <c r="F29" s="13" t="s">
        <v>34</v>
      </c>
      <c r="G29" t="s">
        <v>117</v>
      </c>
    </row>
    <row r="30" spans="1:7" x14ac:dyDescent="0.25">
      <c r="A30">
        <f t="shared" si="0"/>
        <v>29</v>
      </c>
      <c r="B30" s="13" t="s">
        <v>253</v>
      </c>
      <c r="C30" s="16" t="s">
        <v>335</v>
      </c>
      <c r="D30" s="13" t="s">
        <v>256</v>
      </c>
      <c r="E30" t="s">
        <v>261</v>
      </c>
      <c r="F30" t="s">
        <v>58</v>
      </c>
      <c r="G30" t="s">
        <v>114</v>
      </c>
    </row>
    <row r="31" spans="1:7" x14ac:dyDescent="0.25">
      <c r="A31">
        <f t="shared" si="0"/>
        <v>30</v>
      </c>
      <c r="B31" s="13" t="s">
        <v>253</v>
      </c>
      <c r="C31" s="16" t="s">
        <v>335</v>
      </c>
      <c r="D31" s="13" t="s">
        <v>256</v>
      </c>
      <c r="E31" t="s">
        <v>261</v>
      </c>
      <c r="F31" t="s">
        <v>34</v>
      </c>
      <c r="G31" t="s">
        <v>114</v>
      </c>
    </row>
    <row r="32" spans="1:7" x14ac:dyDescent="0.25">
      <c r="A32">
        <f t="shared" si="0"/>
        <v>31</v>
      </c>
      <c r="B32" t="s">
        <v>145</v>
      </c>
      <c r="C32" s="16" t="s">
        <v>327</v>
      </c>
      <c r="D32" t="s">
        <v>146</v>
      </c>
      <c r="E32" t="s">
        <v>147</v>
      </c>
      <c r="F32" t="s">
        <v>58</v>
      </c>
      <c r="G32" t="s">
        <v>111</v>
      </c>
    </row>
    <row r="33" spans="1:7" x14ac:dyDescent="0.25">
      <c r="A33">
        <f t="shared" si="0"/>
        <v>32</v>
      </c>
      <c r="B33" t="s">
        <v>39</v>
      </c>
      <c r="C33" s="16" t="s">
        <v>312</v>
      </c>
      <c r="D33" t="s">
        <v>40</v>
      </c>
      <c r="E33" t="s">
        <v>68</v>
      </c>
      <c r="F33" t="s">
        <v>34</v>
      </c>
      <c r="G33" t="s">
        <v>31</v>
      </c>
    </row>
    <row r="34" spans="1:7" x14ac:dyDescent="0.25">
      <c r="A34">
        <f t="shared" ref="A34:A65" si="1">ROW()-1</f>
        <v>33</v>
      </c>
      <c r="B34" s="13" t="s">
        <v>276</v>
      </c>
      <c r="C34" s="16" t="s">
        <v>337</v>
      </c>
      <c r="D34" s="13" t="s">
        <v>271</v>
      </c>
      <c r="E34" t="s">
        <v>282</v>
      </c>
      <c r="F34" t="s">
        <v>58</v>
      </c>
      <c r="G34" t="s">
        <v>119</v>
      </c>
    </row>
    <row r="35" spans="1:7" x14ac:dyDescent="0.25">
      <c r="A35">
        <f t="shared" si="1"/>
        <v>34</v>
      </c>
      <c r="B35" s="13" t="s">
        <v>276</v>
      </c>
      <c r="C35" s="16" t="s">
        <v>337</v>
      </c>
      <c r="D35" s="13" t="s">
        <v>271</v>
      </c>
      <c r="E35" t="s">
        <v>282</v>
      </c>
      <c r="F35" t="s">
        <v>34</v>
      </c>
      <c r="G35" t="s">
        <v>119</v>
      </c>
    </row>
    <row r="36" spans="1:7" x14ac:dyDescent="0.25">
      <c r="A36">
        <f t="shared" si="1"/>
        <v>35</v>
      </c>
      <c r="B36" s="13" t="s">
        <v>215</v>
      </c>
      <c r="C36" s="16" t="s">
        <v>332</v>
      </c>
      <c r="D36" s="13" t="s">
        <v>222</v>
      </c>
      <c r="E36" t="s">
        <v>229</v>
      </c>
      <c r="F36" s="13" t="s">
        <v>34</v>
      </c>
      <c r="G36" t="s">
        <v>117</v>
      </c>
    </row>
    <row r="37" spans="1:7" ht="15.75" thickBot="1" x14ac:dyDescent="0.3">
      <c r="A37">
        <f t="shared" si="1"/>
        <v>36</v>
      </c>
      <c r="B37" s="13" t="s">
        <v>250</v>
      </c>
      <c r="C37" s="16" t="s">
        <v>335</v>
      </c>
      <c r="D37" s="13" t="s">
        <v>257</v>
      </c>
      <c r="E37" t="s">
        <v>258</v>
      </c>
      <c r="F37" t="s">
        <v>58</v>
      </c>
      <c r="G37" t="s">
        <v>114</v>
      </c>
    </row>
    <row r="38" spans="1:7" ht="15.75" thickBot="1" x14ac:dyDescent="0.3">
      <c r="A38">
        <f t="shared" si="1"/>
        <v>37</v>
      </c>
      <c r="B38" s="13" t="s">
        <v>250</v>
      </c>
      <c r="C38" s="20" t="s">
        <v>335</v>
      </c>
      <c r="D38" s="13" t="s">
        <v>257</v>
      </c>
      <c r="E38" t="s">
        <v>258</v>
      </c>
      <c r="F38" t="s">
        <v>34</v>
      </c>
      <c r="G38" t="s">
        <v>114</v>
      </c>
    </row>
    <row r="39" spans="1:7" ht="15.75" thickBot="1" x14ac:dyDescent="0.3">
      <c r="A39">
        <f t="shared" si="1"/>
        <v>38</v>
      </c>
      <c r="B39" t="s">
        <v>287</v>
      </c>
      <c r="C39" s="18" t="s">
        <v>338</v>
      </c>
      <c r="D39" s="13" t="s">
        <v>286</v>
      </c>
      <c r="E39" t="s">
        <v>292</v>
      </c>
      <c r="F39" t="s">
        <v>58</v>
      </c>
      <c r="G39" t="s">
        <v>110</v>
      </c>
    </row>
    <row r="40" spans="1:7" ht="15.75" thickBot="1" x14ac:dyDescent="0.3">
      <c r="A40">
        <f t="shared" si="1"/>
        <v>39</v>
      </c>
      <c r="B40" t="s">
        <v>48</v>
      </c>
      <c r="C40" s="18" t="s">
        <v>316</v>
      </c>
      <c r="D40" t="s">
        <v>38</v>
      </c>
      <c r="E40" t="s">
        <v>67</v>
      </c>
      <c r="F40" t="s">
        <v>34</v>
      </c>
      <c r="G40" t="s">
        <v>31</v>
      </c>
    </row>
    <row r="41" spans="1:7" ht="15.75" thickBot="1" x14ac:dyDescent="0.3">
      <c r="A41">
        <f t="shared" si="1"/>
        <v>40</v>
      </c>
      <c r="B41" t="s">
        <v>48</v>
      </c>
      <c r="C41" s="18" t="s">
        <v>316</v>
      </c>
      <c r="D41" t="s">
        <v>38</v>
      </c>
      <c r="E41" t="s">
        <v>67</v>
      </c>
      <c r="F41" t="s">
        <v>58</v>
      </c>
      <c r="G41" t="s">
        <v>31</v>
      </c>
    </row>
    <row r="42" spans="1:7" ht="15.75" thickBot="1" x14ac:dyDescent="0.3">
      <c r="A42">
        <f t="shared" si="1"/>
        <v>41</v>
      </c>
      <c r="B42" s="13" t="s">
        <v>289</v>
      </c>
      <c r="C42" s="18" t="s">
        <v>338</v>
      </c>
      <c r="D42" s="13" t="s">
        <v>288</v>
      </c>
      <c r="E42" t="s">
        <v>293</v>
      </c>
      <c r="F42" t="s">
        <v>58</v>
      </c>
      <c r="G42" t="s">
        <v>110</v>
      </c>
    </row>
    <row r="43" spans="1:7" ht="15.75" thickBot="1" x14ac:dyDescent="0.3">
      <c r="A43">
        <f t="shared" si="1"/>
        <v>42</v>
      </c>
      <c r="B43" s="13" t="s">
        <v>217</v>
      </c>
      <c r="C43" s="18" t="s">
        <v>332</v>
      </c>
      <c r="D43" s="13" t="s">
        <v>224</v>
      </c>
      <c r="E43" t="s">
        <v>231</v>
      </c>
      <c r="F43" s="13" t="s">
        <v>34</v>
      </c>
      <c r="G43" t="s">
        <v>117</v>
      </c>
    </row>
    <row r="44" spans="1:7" x14ac:dyDescent="0.25">
      <c r="A44">
        <f t="shared" si="1"/>
        <v>43</v>
      </c>
      <c r="B44" s="13" t="s">
        <v>214</v>
      </c>
      <c r="C44" s="16" t="s">
        <v>332</v>
      </c>
      <c r="D44" s="13" t="s">
        <v>221</v>
      </c>
      <c r="E44" t="s">
        <v>228</v>
      </c>
      <c r="F44" s="13" t="s">
        <v>34</v>
      </c>
      <c r="G44" t="s">
        <v>117</v>
      </c>
    </row>
    <row r="45" spans="1:7" x14ac:dyDescent="0.25">
      <c r="A45">
        <f t="shared" si="1"/>
        <v>44</v>
      </c>
      <c r="B45" s="13" t="s">
        <v>297</v>
      </c>
      <c r="C45" s="16" t="s">
        <v>340</v>
      </c>
      <c r="D45" s="13" t="s">
        <v>296</v>
      </c>
      <c r="E45" t="s">
        <v>246</v>
      </c>
      <c r="F45" t="s">
        <v>58</v>
      </c>
      <c r="G45" t="s">
        <v>118</v>
      </c>
    </row>
    <row r="46" spans="1:7" x14ac:dyDescent="0.25">
      <c r="A46">
        <f t="shared" si="1"/>
        <v>45</v>
      </c>
      <c r="B46" s="13" t="s">
        <v>232</v>
      </c>
      <c r="C46" s="16" t="s">
        <v>333</v>
      </c>
      <c r="D46" s="13" t="s">
        <v>233</v>
      </c>
      <c r="E46" t="s">
        <v>234</v>
      </c>
      <c r="F46" t="s">
        <v>58</v>
      </c>
      <c r="G46" t="s">
        <v>134</v>
      </c>
    </row>
    <row r="47" spans="1:7" x14ac:dyDescent="0.25">
      <c r="A47">
        <f t="shared" si="1"/>
        <v>46</v>
      </c>
      <c r="B47" s="13" t="s">
        <v>232</v>
      </c>
      <c r="C47" s="16" t="s">
        <v>333</v>
      </c>
      <c r="D47" s="13" t="s">
        <v>233</v>
      </c>
      <c r="E47" t="s">
        <v>234</v>
      </c>
      <c r="F47" t="s">
        <v>34</v>
      </c>
      <c r="G47" t="s">
        <v>134</v>
      </c>
    </row>
    <row r="48" spans="1:7" x14ac:dyDescent="0.25">
      <c r="A48">
        <f t="shared" si="1"/>
        <v>47</v>
      </c>
      <c r="B48" s="13" t="s">
        <v>248</v>
      </c>
      <c r="C48" s="16" t="s">
        <v>334</v>
      </c>
      <c r="D48" s="13" t="s">
        <v>247</v>
      </c>
      <c r="E48" t="s">
        <v>249</v>
      </c>
      <c r="F48" t="s">
        <v>58</v>
      </c>
      <c r="G48" t="s">
        <v>112</v>
      </c>
    </row>
    <row r="49" spans="1:7" x14ac:dyDescent="0.25">
      <c r="A49">
        <f t="shared" si="1"/>
        <v>48</v>
      </c>
      <c r="B49" s="13" t="s">
        <v>248</v>
      </c>
      <c r="C49" s="16" t="s">
        <v>334</v>
      </c>
      <c r="D49" s="13" t="s">
        <v>247</v>
      </c>
      <c r="E49" t="s">
        <v>249</v>
      </c>
      <c r="F49" t="s">
        <v>34</v>
      </c>
      <c r="G49" t="s">
        <v>112</v>
      </c>
    </row>
    <row r="50" spans="1:7" x14ac:dyDescent="0.25">
      <c r="A50">
        <f t="shared" si="1"/>
        <v>49</v>
      </c>
      <c r="B50" s="13" t="s">
        <v>193</v>
      </c>
      <c r="C50" s="16" t="s">
        <v>330</v>
      </c>
      <c r="D50" s="13" t="s">
        <v>197</v>
      </c>
      <c r="E50" t="s">
        <v>201</v>
      </c>
      <c r="F50" t="s">
        <v>34</v>
      </c>
      <c r="G50" t="s">
        <v>115</v>
      </c>
    </row>
    <row r="51" spans="1:7" x14ac:dyDescent="0.25">
      <c r="A51">
        <f t="shared" si="1"/>
        <v>50</v>
      </c>
      <c r="B51" s="13" t="s">
        <v>157</v>
      </c>
      <c r="C51" s="16" t="s">
        <v>328</v>
      </c>
      <c r="D51" t="s">
        <v>158</v>
      </c>
      <c r="E51" t="s">
        <v>159</v>
      </c>
      <c r="F51" t="s">
        <v>58</v>
      </c>
      <c r="G51" t="s">
        <v>120</v>
      </c>
    </row>
    <row r="52" spans="1:7" x14ac:dyDescent="0.25">
      <c r="A52">
        <f t="shared" si="1"/>
        <v>51</v>
      </c>
      <c r="B52" s="13" t="s">
        <v>216</v>
      </c>
      <c r="C52" s="16" t="s">
        <v>332</v>
      </c>
      <c r="D52" s="13" t="s">
        <v>223</v>
      </c>
      <c r="E52" t="s">
        <v>230</v>
      </c>
      <c r="F52" s="13" t="s">
        <v>34</v>
      </c>
      <c r="G52" t="s">
        <v>117</v>
      </c>
    </row>
    <row r="53" spans="1:7" x14ac:dyDescent="0.25">
      <c r="A53">
        <f t="shared" si="1"/>
        <v>52</v>
      </c>
      <c r="B53" s="13" t="s">
        <v>265</v>
      </c>
      <c r="C53" s="16" t="s">
        <v>336</v>
      </c>
      <c r="D53" s="13" t="s">
        <v>263</v>
      </c>
      <c r="E53" t="s">
        <v>267</v>
      </c>
      <c r="F53" t="s">
        <v>58</v>
      </c>
      <c r="G53" t="s">
        <v>113</v>
      </c>
    </row>
    <row r="54" spans="1:7" x14ac:dyDescent="0.25">
      <c r="A54">
        <f t="shared" si="1"/>
        <v>53</v>
      </c>
      <c r="B54" s="13" t="s">
        <v>265</v>
      </c>
      <c r="C54" s="16" t="s">
        <v>336</v>
      </c>
      <c r="D54" s="13" t="s">
        <v>263</v>
      </c>
      <c r="E54" t="s">
        <v>267</v>
      </c>
      <c r="F54" t="s">
        <v>34</v>
      </c>
      <c r="G54" t="s">
        <v>113</v>
      </c>
    </row>
    <row r="55" spans="1:7" x14ac:dyDescent="0.25">
      <c r="A55">
        <f t="shared" si="1"/>
        <v>54</v>
      </c>
      <c r="B55" s="13" t="s">
        <v>298</v>
      </c>
      <c r="C55" s="16" t="s">
        <v>340</v>
      </c>
      <c r="D55" s="13" t="s">
        <v>295</v>
      </c>
      <c r="E55" t="s">
        <v>299</v>
      </c>
      <c r="F55" t="s">
        <v>58</v>
      </c>
      <c r="G55" t="s">
        <v>118</v>
      </c>
    </row>
    <row r="56" spans="1:7" x14ac:dyDescent="0.25">
      <c r="A56">
        <f t="shared" si="1"/>
        <v>55</v>
      </c>
      <c r="B56" s="13" t="s">
        <v>183</v>
      </c>
      <c r="C56" s="17" t="s">
        <v>329</v>
      </c>
      <c r="D56" s="13" t="s">
        <v>188</v>
      </c>
      <c r="E56" t="s">
        <v>192</v>
      </c>
      <c r="F56" t="s">
        <v>34</v>
      </c>
      <c r="G56" t="s">
        <v>116</v>
      </c>
    </row>
    <row r="57" spans="1:7" x14ac:dyDescent="0.25">
      <c r="A57">
        <f t="shared" si="1"/>
        <v>56</v>
      </c>
      <c r="B57" s="13" t="s">
        <v>176</v>
      </c>
      <c r="C57" s="19" t="s">
        <v>329</v>
      </c>
      <c r="D57" s="13" t="s">
        <v>175</v>
      </c>
      <c r="E57" t="s">
        <v>177</v>
      </c>
      <c r="F57" t="s">
        <v>34</v>
      </c>
      <c r="G57" t="s">
        <v>116</v>
      </c>
    </row>
    <row r="58" spans="1:7" x14ac:dyDescent="0.25">
      <c r="A58">
        <f t="shared" si="1"/>
        <v>57</v>
      </c>
      <c r="B58" t="s">
        <v>154</v>
      </c>
      <c r="C58" s="16" t="s">
        <v>328</v>
      </c>
      <c r="D58" t="s">
        <v>155</v>
      </c>
      <c r="E58" t="s">
        <v>156</v>
      </c>
      <c r="F58" t="s">
        <v>58</v>
      </c>
      <c r="G58" t="s">
        <v>120</v>
      </c>
    </row>
    <row r="59" spans="1:7" x14ac:dyDescent="0.25">
      <c r="A59">
        <f t="shared" si="1"/>
        <v>58</v>
      </c>
      <c r="B59" s="13" t="s">
        <v>278</v>
      </c>
      <c r="C59" s="16" t="s">
        <v>337</v>
      </c>
      <c r="D59" s="13" t="s">
        <v>273</v>
      </c>
      <c r="E59" t="s">
        <v>284</v>
      </c>
      <c r="F59" t="s">
        <v>58</v>
      </c>
      <c r="G59" t="s">
        <v>119</v>
      </c>
    </row>
    <row r="60" spans="1:7" x14ac:dyDescent="0.25">
      <c r="A60">
        <f t="shared" si="1"/>
        <v>59</v>
      </c>
      <c r="B60" s="13" t="s">
        <v>278</v>
      </c>
      <c r="C60" s="16" t="s">
        <v>337</v>
      </c>
      <c r="D60" s="13" t="s">
        <v>273</v>
      </c>
      <c r="E60" t="s">
        <v>284</v>
      </c>
      <c r="F60" t="s">
        <v>34</v>
      </c>
      <c r="G60" t="s">
        <v>119</v>
      </c>
    </row>
    <row r="61" spans="1:7" x14ac:dyDescent="0.25">
      <c r="A61">
        <f t="shared" si="1"/>
        <v>60</v>
      </c>
      <c r="B61" t="s">
        <v>61</v>
      </c>
      <c r="C61" s="16" t="s">
        <v>324</v>
      </c>
      <c r="D61" t="s">
        <v>62</v>
      </c>
      <c r="E61" t="s">
        <v>77</v>
      </c>
      <c r="F61" t="s">
        <v>58</v>
      </c>
      <c r="G61" t="s">
        <v>31</v>
      </c>
    </row>
    <row r="62" spans="1:7" x14ac:dyDescent="0.25">
      <c r="A62">
        <f t="shared" si="1"/>
        <v>61</v>
      </c>
      <c r="B62" t="s">
        <v>56</v>
      </c>
      <c r="C62" s="16" t="s">
        <v>320</v>
      </c>
      <c r="D62" t="s">
        <v>57</v>
      </c>
      <c r="E62" t="s">
        <v>74</v>
      </c>
      <c r="F62" t="s">
        <v>34</v>
      </c>
      <c r="G62" t="s">
        <v>31</v>
      </c>
    </row>
    <row r="63" spans="1:7" x14ac:dyDescent="0.25">
      <c r="A63">
        <f t="shared" si="1"/>
        <v>62</v>
      </c>
      <c r="B63" t="s">
        <v>163</v>
      </c>
      <c r="C63" s="16" t="s">
        <v>328</v>
      </c>
      <c r="D63" t="s">
        <v>164</v>
      </c>
      <c r="E63" t="s">
        <v>165</v>
      </c>
      <c r="F63" t="s">
        <v>58</v>
      </c>
      <c r="G63" t="s">
        <v>120</v>
      </c>
    </row>
    <row r="64" spans="1:7" x14ac:dyDescent="0.25">
      <c r="A64">
        <f t="shared" si="1"/>
        <v>63</v>
      </c>
      <c r="B64" s="13" t="s">
        <v>264</v>
      </c>
      <c r="C64" s="16" t="s">
        <v>336</v>
      </c>
      <c r="D64" s="13" t="s">
        <v>262</v>
      </c>
      <c r="E64" t="s">
        <v>266</v>
      </c>
      <c r="F64" t="s">
        <v>58</v>
      </c>
      <c r="G64" t="s">
        <v>113</v>
      </c>
    </row>
    <row r="65" spans="1:7" x14ac:dyDescent="0.25">
      <c r="A65">
        <f t="shared" si="1"/>
        <v>64</v>
      </c>
      <c r="B65" s="13" t="s">
        <v>264</v>
      </c>
      <c r="C65" s="16" t="s">
        <v>336</v>
      </c>
      <c r="D65" s="13" t="s">
        <v>262</v>
      </c>
      <c r="E65" t="s">
        <v>266</v>
      </c>
      <c r="F65" t="s">
        <v>34</v>
      </c>
      <c r="G65" t="s">
        <v>113</v>
      </c>
    </row>
    <row r="66" spans="1:7" x14ac:dyDescent="0.25">
      <c r="A66">
        <f t="shared" ref="A66:A92" si="2">ROW()-1</f>
        <v>65</v>
      </c>
      <c r="B66" s="13" t="s">
        <v>211</v>
      </c>
      <c r="C66" s="16" t="s">
        <v>332</v>
      </c>
      <c r="D66" s="13" t="s">
        <v>218</v>
      </c>
      <c r="E66" t="s">
        <v>225</v>
      </c>
      <c r="F66" s="13" t="s">
        <v>34</v>
      </c>
      <c r="G66" t="s">
        <v>117</v>
      </c>
    </row>
    <row r="67" spans="1:7" x14ac:dyDescent="0.25">
      <c r="A67">
        <f t="shared" si="2"/>
        <v>66</v>
      </c>
      <c r="B67" t="s">
        <v>173</v>
      </c>
      <c r="C67" s="16" t="s">
        <v>328</v>
      </c>
      <c r="D67" t="s">
        <v>172</v>
      </c>
      <c r="E67" t="s">
        <v>174</v>
      </c>
      <c r="F67" t="s">
        <v>58</v>
      </c>
      <c r="G67" t="s">
        <v>120</v>
      </c>
    </row>
    <row r="68" spans="1:7" x14ac:dyDescent="0.25">
      <c r="A68">
        <f t="shared" si="2"/>
        <v>67</v>
      </c>
      <c r="B68" s="13" t="s">
        <v>181</v>
      </c>
      <c r="C68" s="17" t="s">
        <v>329</v>
      </c>
      <c r="D68" s="13" t="s">
        <v>186</v>
      </c>
      <c r="E68" t="s">
        <v>190</v>
      </c>
      <c r="F68" t="s">
        <v>34</v>
      </c>
      <c r="G68" t="s">
        <v>116</v>
      </c>
    </row>
    <row r="69" spans="1:7" x14ac:dyDescent="0.25">
      <c r="A69">
        <f t="shared" si="2"/>
        <v>68</v>
      </c>
      <c r="B69" t="s">
        <v>341</v>
      </c>
      <c r="C69" s="16" t="s">
        <v>323</v>
      </c>
      <c r="D69" t="s">
        <v>342</v>
      </c>
      <c r="E69" t="s">
        <v>343</v>
      </c>
      <c r="F69" t="s">
        <v>58</v>
      </c>
      <c r="G69" t="s">
        <v>31</v>
      </c>
    </row>
    <row r="70" spans="1:7" x14ac:dyDescent="0.25">
      <c r="A70">
        <f t="shared" si="2"/>
        <v>69</v>
      </c>
      <c r="B70" t="s">
        <v>46</v>
      </c>
      <c r="C70" s="16" t="s">
        <v>315</v>
      </c>
      <c r="D70" t="s">
        <v>49</v>
      </c>
      <c r="E70" t="s">
        <v>70</v>
      </c>
      <c r="F70" t="s">
        <v>34</v>
      </c>
      <c r="G70" t="s">
        <v>31</v>
      </c>
    </row>
    <row r="71" spans="1:7" x14ac:dyDescent="0.25">
      <c r="A71">
        <f t="shared" si="2"/>
        <v>70</v>
      </c>
      <c r="B71" t="s">
        <v>46</v>
      </c>
      <c r="C71" s="16" t="s">
        <v>322</v>
      </c>
      <c r="D71" t="s">
        <v>49</v>
      </c>
      <c r="E71" t="s">
        <v>70</v>
      </c>
      <c r="F71" t="s">
        <v>58</v>
      </c>
      <c r="G71" t="s">
        <v>31</v>
      </c>
    </row>
    <row r="72" spans="1:7" x14ac:dyDescent="0.25">
      <c r="A72">
        <f t="shared" si="2"/>
        <v>71</v>
      </c>
      <c r="B72" t="s">
        <v>44</v>
      </c>
      <c r="C72" s="16" t="s">
        <v>314</v>
      </c>
      <c r="D72" t="s">
        <v>45</v>
      </c>
      <c r="E72" t="s">
        <v>75</v>
      </c>
      <c r="F72" t="s">
        <v>34</v>
      </c>
      <c r="G72" t="s">
        <v>31</v>
      </c>
    </row>
    <row r="73" spans="1:7" x14ac:dyDescent="0.25">
      <c r="A73">
        <f t="shared" si="2"/>
        <v>72</v>
      </c>
      <c r="B73" t="s">
        <v>44</v>
      </c>
      <c r="C73" s="16" t="s">
        <v>321</v>
      </c>
      <c r="D73" t="s">
        <v>45</v>
      </c>
      <c r="E73" t="s">
        <v>75</v>
      </c>
      <c r="F73" t="s">
        <v>58</v>
      </c>
      <c r="G73" t="s">
        <v>31</v>
      </c>
    </row>
    <row r="74" spans="1:7" x14ac:dyDescent="0.25">
      <c r="A74">
        <f t="shared" si="2"/>
        <v>73</v>
      </c>
      <c r="B74" t="s">
        <v>151</v>
      </c>
      <c r="C74" s="16" t="s">
        <v>327</v>
      </c>
      <c r="D74" t="s">
        <v>152</v>
      </c>
      <c r="E74" t="s">
        <v>153</v>
      </c>
      <c r="F74" t="s">
        <v>58</v>
      </c>
      <c r="G74" t="s">
        <v>111</v>
      </c>
    </row>
    <row r="75" spans="1:7" x14ac:dyDescent="0.25">
      <c r="A75">
        <f t="shared" si="2"/>
        <v>74</v>
      </c>
      <c r="B75" t="s">
        <v>142</v>
      </c>
      <c r="C75" s="16" t="s">
        <v>327</v>
      </c>
      <c r="D75" t="s">
        <v>143</v>
      </c>
      <c r="E75" t="s">
        <v>144</v>
      </c>
      <c r="F75" t="s">
        <v>58</v>
      </c>
      <c r="G75" t="s">
        <v>111</v>
      </c>
    </row>
    <row r="76" spans="1:7" x14ac:dyDescent="0.25">
      <c r="A76">
        <f t="shared" si="2"/>
        <v>75</v>
      </c>
      <c r="B76" t="s">
        <v>148</v>
      </c>
      <c r="C76" s="16" t="s">
        <v>327</v>
      </c>
      <c r="D76" t="s">
        <v>149</v>
      </c>
      <c r="E76" t="s">
        <v>150</v>
      </c>
      <c r="F76" t="s">
        <v>58</v>
      </c>
      <c r="G76" t="s">
        <v>111</v>
      </c>
    </row>
    <row r="77" spans="1:7" x14ac:dyDescent="0.25">
      <c r="A77">
        <f t="shared" si="2"/>
        <v>76</v>
      </c>
      <c r="B77" t="s">
        <v>32</v>
      </c>
      <c r="C77" s="16" t="s">
        <v>309</v>
      </c>
      <c r="D77" t="s">
        <v>33</v>
      </c>
      <c r="E77" t="s">
        <v>65</v>
      </c>
      <c r="F77" t="s">
        <v>34</v>
      </c>
      <c r="G77" t="s">
        <v>31</v>
      </c>
    </row>
    <row r="78" spans="1:7" x14ac:dyDescent="0.25">
      <c r="A78">
        <f t="shared" si="2"/>
        <v>77</v>
      </c>
      <c r="B78" s="13" t="s">
        <v>236</v>
      </c>
      <c r="C78" s="16" t="s">
        <v>333</v>
      </c>
      <c r="D78" s="13" t="s">
        <v>235</v>
      </c>
      <c r="E78" t="s">
        <v>237</v>
      </c>
      <c r="F78" t="s">
        <v>58</v>
      </c>
      <c r="G78" t="s">
        <v>134</v>
      </c>
    </row>
    <row r="79" spans="1:7" x14ac:dyDescent="0.25">
      <c r="A79">
        <f t="shared" si="2"/>
        <v>78</v>
      </c>
      <c r="B79" s="13" t="s">
        <v>236</v>
      </c>
      <c r="C79" s="16" t="s">
        <v>333</v>
      </c>
      <c r="D79" s="13" t="s">
        <v>235</v>
      </c>
      <c r="E79" t="s">
        <v>237</v>
      </c>
      <c r="F79" t="s">
        <v>34</v>
      </c>
      <c r="G79" t="s">
        <v>134</v>
      </c>
    </row>
    <row r="80" spans="1:7" x14ac:dyDescent="0.25">
      <c r="A80">
        <f t="shared" si="2"/>
        <v>79</v>
      </c>
      <c r="B80" t="s">
        <v>239</v>
      </c>
      <c r="C80" s="16" t="s">
        <v>333</v>
      </c>
      <c r="D80" s="13" t="s">
        <v>238</v>
      </c>
      <c r="E80" t="s">
        <v>240</v>
      </c>
      <c r="F80" t="s">
        <v>58</v>
      </c>
      <c r="G80" t="s">
        <v>134</v>
      </c>
    </row>
    <row r="81" spans="1:7" x14ac:dyDescent="0.25">
      <c r="A81">
        <f t="shared" si="2"/>
        <v>80</v>
      </c>
      <c r="B81" t="s">
        <v>239</v>
      </c>
      <c r="C81" s="16" t="s">
        <v>333</v>
      </c>
      <c r="D81" s="13" t="s">
        <v>238</v>
      </c>
      <c r="E81" t="s">
        <v>240</v>
      </c>
      <c r="F81" t="s">
        <v>34</v>
      </c>
      <c r="G81" t="s">
        <v>134</v>
      </c>
    </row>
    <row r="82" spans="1:7" x14ac:dyDescent="0.25">
      <c r="A82">
        <f t="shared" si="2"/>
        <v>81</v>
      </c>
      <c r="B82" s="13" t="s">
        <v>269</v>
      </c>
      <c r="C82" s="16" t="s">
        <v>337</v>
      </c>
      <c r="D82" s="13" t="s">
        <v>268</v>
      </c>
      <c r="E82" t="s">
        <v>280</v>
      </c>
      <c r="F82" t="s">
        <v>58</v>
      </c>
      <c r="G82" t="s">
        <v>119</v>
      </c>
    </row>
    <row r="83" spans="1:7" x14ac:dyDescent="0.25">
      <c r="A83">
        <f t="shared" si="2"/>
        <v>82</v>
      </c>
      <c r="B83" s="13" t="s">
        <v>269</v>
      </c>
      <c r="C83" s="16" t="s">
        <v>337</v>
      </c>
      <c r="D83" s="13" t="s">
        <v>268</v>
      </c>
      <c r="E83" t="s">
        <v>280</v>
      </c>
      <c r="F83" t="s">
        <v>34</v>
      </c>
      <c r="G83" t="s">
        <v>119</v>
      </c>
    </row>
    <row r="84" spans="1:7" x14ac:dyDescent="0.25">
      <c r="A84">
        <f t="shared" si="2"/>
        <v>83</v>
      </c>
      <c r="B84" s="13" t="s">
        <v>251</v>
      </c>
      <c r="C84" s="16" t="s">
        <v>335</v>
      </c>
      <c r="D84" s="13" t="s">
        <v>254</v>
      </c>
      <c r="E84" t="s">
        <v>259</v>
      </c>
      <c r="F84" t="s">
        <v>58</v>
      </c>
      <c r="G84" t="s">
        <v>114</v>
      </c>
    </row>
    <row r="85" spans="1:7" x14ac:dyDescent="0.25">
      <c r="A85">
        <f t="shared" si="2"/>
        <v>84</v>
      </c>
      <c r="B85" s="13" t="s">
        <v>251</v>
      </c>
      <c r="C85" s="16" t="s">
        <v>335</v>
      </c>
      <c r="D85" s="13" t="s">
        <v>254</v>
      </c>
      <c r="E85" t="s">
        <v>259</v>
      </c>
      <c r="F85" t="s">
        <v>34</v>
      </c>
      <c r="G85" t="s">
        <v>114</v>
      </c>
    </row>
    <row r="86" spans="1:7" x14ac:dyDescent="0.25">
      <c r="A86">
        <f t="shared" si="2"/>
        <v>85</v>
      </c>
      <c r="B86" t="s">
        <v>50</v>
      </c>
      <c r="C86" s="16" t="s">
        <v>317</v>
      </c>
      <c r="D86" t="s">
        <v>51</v>
      </c>
      <c r="E86" t="s">
        <v>71</v>
      </c>
      <c r="F86" t="s">
        <v>34</v>
      </c>
      <c r="G86" t="s">
        <v>31</v>
      </c>
    </row>
    <row r="87" spans="1:7" x14ac:dyDescent="0.25">
      <c r="A87">
        <f t="shared" si="2"/>
        <v>86</v>
      </c>
      <c r="B87" t="s">
        <v>54</v>
      </c>
      <c r="C87" s="16" t="s">
        <v>319</v>
      </c>
      <c r="D87" t="s">
        <v>55</v>
      </c>
      <c r="E87" t="s">
        <v>73</v>
      </c>
      <c r="F87" t="s">
        <v>34</v>
      </c>
      <c r="G87" t="s">
        <v>31</v>
      </c>
    </row>
    <row r="88" spans="1:7" x14ac:dyDescent="0.25">
      <c r="A88">
        <f t="shared" si="2"/>
        <v>87</v>
      </c>
      <c r="B88" t="s">
        <v>166</v>
      </c>
      <c r="C88" s="16" t="s">
        <v>328</v>
      </c>
      <c r="D88" t="s">
        <v>167</v>
      </c>
      <c r="E88" t="s">
        <v>168</v>
      </c>
      <c r="F88" t="s">
        <v>58</v>
      </c>
      <c r="G88" t="s">
        <v>120</v>
      </c>
    </row>
    <row r="89" spans="1:7" x14ac:dyDescent="0.25">
      <c r="A89">
        <f t="shared" si="2"/>
        <v>88</v>
      </c>
      <c r="B89" t="s">
        <v>139</v>
      </c>
      <c r="C89" s="16" t="s">
        <v>327</v>
      </c>
      <c r="D89" t="s">
        <v>140</v>
      </c>
      <c r="E89" t="s">
        <v>141</v>
      </c>
      <c r="F89" t="s">
        <v>58</v>
      </c>
      <c r="G89" t="s">
        <v>111</v>
      </c>
    </row>
    <row r="90" spans="1:7" x14ac:dyDescent="0.25">
      <c r="A90">
        <f t="shared" si="2"/>
        <v>89</v>
      </c>
      <c r="B90" s="13" t="s">
        <v>195</v>
      </c>
      <c r="C90" s="16" t="s">
        <v>330</v>
      </c>
      <c r="D90" s="13" t="s">
        <v>199</v>
      </c>
      <c r="E90" t="s">
        <v>203</v>
      </c>
      <c r="F90" s="13" t="s">
        <v>34</v>
      </c>
      <c r="G90" t="s">
        <v>115</v>
      </c>
    </row>
    <row r="91" spans="1:7" x14ac:dyDescent="0.25">
      <c r="A91">
        <f t="shared" si="2"/>
        <v>90</v>
      </c>
      <c r="B91" s="13" t="s">
        <v>277</v>
      </c>
      <c r="C91" s="16" t="s">
        <v>337</v>
      </c>
      <c r="D91" s="13" t="s">
        <v>272</v>
      </c>
      <c r="E91" t="s">
        <v>283</v>
      </c>
      <c r="F91" t="s">
        <v>58</v>
      </c>
      <c r="G91" t="s">
        <v>119</v>
      </c>
    </row>
    <row r="92" spans="1:7" x14ac:dyDescent="0.25">
      <c r="A92">
        <f t="shared" si="2"/>
        <v>91</v>
      </c>
      <c r="B92" s="13" t="s">
        <v>277</v>
      </c>
      <c r="C92" s="16" t="s">
        <v>337</v>
      </c>
      <c r="D92" s="13" t="s">
        <v>272</v>
      </c>
      <c r="E92" t="s">
        <v>283</v>
      </c>
      <c r="F92" t="s">
        <v>34</v>
      </c>
      <c r="G92" t="s">
        <v>119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787C-6024-4242-8F8C-B5B0401AB65F}">
  <dimension ref="A1:H267"/>
  <sheetViews>
    <sheetView tabSelected="1" workbookViewId="0">
      <selection activeCell="A2" sqref="A2"/>
    </sheetView>
  </sheetViews>
  <sheetFormatPr defaultRowHeight="15" x14ac:dyDescent="0.25"/>
  <cols>
    <col min="1" max="1" width="20.28515625" bestFit="1" customWidth="1"/>
    <col min="2" max="2" width="48.85546875" bestFit="1" customWidth="1"/>
    <col min="3" max="3" width="43.140625" bestFit="1" customWidth="1"/>
    <col min="4" max="4" width="42.85546875" bestFit="1" customWidth="1"/>
    <col min="5" max="5" width="22.85546875" bestFit="1" customWidth="1"/>
    <col min="6" max="6" width="18.85546875" bestFit="1" customWidth="1"/>
    <col min="7" max="7" width="19.140625" bestFit="1" customWidth="1"/>
    <col min="8" max="8" width="57" bestFit="1" customWidth="1"/>
  </cols>
  <sheetData>
    <row r="1" spans="1:8" x14ac:dyDescent="0.25">
      <c r="A1" t="s">
        <v>30</v>
      </c>
      <c r="B1" t="s">
        <v>3</v>
      </c>
      <c r="C1" t="s">
        <v>308</v>
      </c>
      <c r="D1" t="s">
        <v>4</v>
      </c>
      <c r="E1" t="s">
        <v>6</v>
      </c>
      <c r="F1" t="s">
        <v>5</v>
      </c>
      <c r="G1" t="s">
        <v>135</v>
      </c>
      <c r="H1" t="s">
        <v>1</v>
      </c>
    </row>
    <row r="2" spans="1:8" x14ac:dyDescent="0.25">
      <c r="A2">
        <v>1</v>
      </c>
      <c r="B2" t="s">
        <v>245</v>
      </c>
      <c r="C2" t="s">
        <v>344</v>
      </c>
      <c r="D2" t="s">
        <v>244</v>
      </c>
      <c r="E2" t="s">
        <v>246</v>
      </c>
      <c r="F2" t="s">
        <v>58</v>
      </c>
      <c r="G2" t="s">
        <v>112</v>
      </c>
      <c r="H2" t="s">
        <v>98</v>
      </c>
    </row>
    <row r="3" spans="1:8" x14ac:dyDescent="0.25">
      <c r="A3">
        <v>1</v>
      </c>
      <c r="B3" t="s">
        <v>245</v>
      </c>
      <c r="C3" t="s">
        <v>345</v>
      </c>
      <c r="D3" t="s">
        <v>244</v>
      </c>
      <c r="E3" t="s">
        <v>246</v>
      </c>
      <c r="F3" t="s">
        <v>58</v>
      </c>
      <c r="G3" t="s">
        <v>112</v>
      </c>
      <c r="H3" t="s">
        <v>207</v>
      </c>
    </row>
    <row r="4" spans="1:8" x14ac:dyDescent="0.25">
      <c r="A4">
        <v>2</v>
      </c>
      <c r="B4" t="s">
        <v>245</v>
      </c>
      <c r="C4" t="s">
        <v>344</v>
      </c>
      <c r="D4" t="s">
        <v>244</v>
      </c>
      <c r="E4" t="s">
        <v>246</v>
      </c>
      <c r="F4" t="s">
        <v>34</v>
      </c>
      <c r="G4" t="s">
        <v>112</v>
      </c>
      <c r="H4" t="s">
        <v>98</v>
      </c>
    </row>
    <row r="5" spans="1:8" x14ac:dyDescent="0.25">
      <c r="A5">
        <v>2</v>
      </c>
      <c r="B5" t="s">
        <v>245</v>
      </c>
      <c r="C5" t="s">
        <v>345</v>
      </c>
      <c r="D5" t="s">
        <v>244</v>
      </c>
      <c r="E5" t="s">
        <v>246</v>
      </c>
      <c r="F5" t="s">
        <v>34</v>
      </c>
      <c r="G5" t="s">
        <v>112</v>
      </c>
      <c r="H5" t="s">
        <v>207</v>
      </c>
    </row>
    <row r="6" spans="1:8" x14ac:dyDescent="0.25">
      <c r="A6">
        <v>3</v>
      </c>
      <c r="B6" t="s">
        <v>194</v>
      </c>
      <c r="C6" t="s">
        <v>346</v>
      </c>
      <c r="D6" t="s">
        <v>198</v>
      </c>
      <c r="E6" t="s">
        <v>202</v>
      </c>
      <c r="F6" t="s">
        <v>58</v>
      </c>
      <c r="G6" t="s">
        <v>115</v>
      </c>
      <c r="H6" t="s">
        <v>96</v>
      </c>
    </row>
    <row r="7" spans="1:8" x14ac:dyDescent="0.25">
      <c r="A7">
        <v>3</v>
      </c>
      <c r="B7" t="s">
        <v>194</v>
      </c>
      <c r="C7" t="s">
        <v>347</v>
      </c>
      <c r="D7" t="s">
        <v>198</v>
      </c>
      <c r="E7" t="s">
        <v>202</v>
      </c>
      <c r="F7" t="s">
        <v>58</v>
      </c>
      <c r="G7" t="s">
        <v>115</v>
      </c>
      <c r="H7" t="s">
        <v>132</v>
      </c>
    </row>
    <row r="8" spans="1:8" x14ac:dyDescent="0.25">
      <c r="A8">
        <v>4</v>
      </c>
      <c r="B8" t="s">
        <v>196</v>
      </c>
      <c r="C8" t="s">
        <v>346</v>
      </c>
      <c r="D8" t="s">
        <v>200</v>
      </c>
      <c r="E8" t="s">
        <v>204</v>
      </c>
      <c r="F8" t="s">
        <v>58</v>
      </c>
      <c r="G8" t="s">
        <v>115</v>
      </c>
      <c r="H8" t="s">
        <v>96</v>
      </c>
    </row>
    <row r="9" spans="1:8" x14ac:dyDescent="0.25">
      <c r="A9">
        <v>4</v>
      </c>
      <c r="B9" t="s">
        <v>196</v>
      </c>
      <c r="C9" t="s">
        <v>347</v>
      </c>
      <c r="D9" t="s">
        <v>200</v>
      </c>
      <c r="E9" t="s">
        <v>204</v>
      </c>
      <c r="F9" t="s">
        <v>58</v>
      </c>
      <c r="G9" t="s">
        <v>115</v>
      </c>
      <c r="H9" t="s">
        <v>132</v>
      </c>
    </row>
    <row r="10" spans="1:8" x14ac:dyDescent="0.25">
      <c r="A10">
        <v>5</v>
      </c>
      <c r="B10" t="s">
        <v>213</v>
      </c>
      <c r="C10" t="s">
        <v>348</v>
      </c>
      <c r="D10" t="s">
        <v>220</v>
      </c>
      <c r="E10" t="s">
        <v>227</v>
      </c>
      <c r="F10" t="s">
        <v>34</v>
      </c>
      <c r="G10" t="s">
        <v>117</v>
      </c>
      <c r="H10" t="s">
        <v>89</v>
      </c>
    </row>
    <row r="11" spans="1:8" x14ac:dyDescent="0.25">
      <c r="A11">
        <v>5</v>
      </c>
      <c r="B11" t="s">
        <v>213</v>
      </c>
      <c r="C11" t="s">
        <v>349</v>
      </c>
      <c r="D11" t="s">
        <v>220</v>
      </c>
      <c r="E11" t="s">
        <v>227</v>
      </c>
      <c r="F11" t="s">
        <v>34</v>
      </c>
      <c r="G11" t="s">
        <v>117</v>
      </c>
      <c r="H11" t="s">
        <v>331</v>
      </c>
    </row>
    <row r="12" spans="1:8" x14ac:dyDescent="0.25">
      <c r="A12">
        <v>6</v>
      </c>
      <c r="B12" t="s">
        <v>182</v>
      </c>
      <c r="C12" t="s">
        <v>350</v>
      </c>
      <c r="D12" t="s">
        <v>185</v>
      </c>
      <c r="E12" t="s">
        <v>191</v>
      </c>
      <c r="F12" t="s">
        <v>34</v>
      </c>
      <c r="G12" t="s">
        <v>116</v>
      </c>
      <c r="H12" t="s">
        <v>130</v>
      </c>
    </row>
    <row r="13" spans="1:8" x14ac:dyDescent="0.25">
      <c r="A13">
        <v>6</v>
      </c>
      <c r="B13" t="s">
        <v>182</v>
      </c>
      <c r="C13" t="s">
        <v>351</v>
      </c>
      <c r="D13" t="s">
        <v>185</v>
      </c>
      <c r="E13" t="s">
        <v>191</v>
      </c>
      <c r="F13" t="s">
        <v>34</v>
      </c>
      <c r="G13" t="s">
        <v>116</v>
      </c>
      <c r="H13" t="s">
        <v>210</v>
      </c>
    </row>
    <row r="14" spans="1:8" x14ac:dyDescent="0.25">
      <c r="A14">
        <v>7</v>
      </c>
      <c r="B14" t="s">
        <v>35</v>
      </c>
      <c r="C14" t="s">
        <v>352</v>
      </c>
      <c r="D14" t="s">
        <v>36</v>
      </c>
      <c r="E14" t="s">
        <v>66</v>
      </c>
      <c r="F14" t="s">
        <v>34</v>
      </c>
      <c r="G14" t="s">
        <v>31</v>
      </c>
      <c r="H14" t="s">
        <v>108</v>
      </c>
    </row>
    <row r="15" spans="1:8" x14ac:dyDescent="0.25">
      <c r="A15">
        <v>7</v>
      </c>
      <c r="B15" t="s">
        <v>35</v>
      </c>
      <c r="C15" t="s">
        <v>353</v>
      </c>
      <c r="D15" t="s">
        <v>36</v>
      </c>
      <c r="E15" t="s">
        <v>66</v>
      </c>
      <c r="F15" t="s">
        <v>34</v>
      </c>
      <c r="G15" t="s">
        <v>31</v>
      </c>
      <c r="H15" t="s">
        <v>129</v>
      </c>
    </row>
    <row r="16" spans="1:8" x14ac:dyDescent="0.25">
      <c r="A16">
        <v>7</v>
      </c>
      <c r="B16" t="s">
        <v>35</v>
      </c>
      <c r="C16" t="s">
        <v>354</v>
      </c>
      <c r="D16" t="s">
        <v>36</v>
      </c>
      <c r="E16" t="s">
        <v>66</v>
      </c>
      <c r="F16" t="s">
        <v>34</v>
      </c>
      <c r="G16" t="s">
        <v>31</v>
      </c>
      <c r="H16" t="s">
        <v>128</v>
      </c>
    </row>
    <row r="17" spans="1:8" x14ac:dyDescent="0.25">
      <c r="A17">
        <v>7</v>
      </c>
      <c r="B17" t="s">
        <v>35</v>
      </c>
      <c r="C17" t="s">
        <v>355</v>
      </c>
      <c r="D17" t="s">
        <v>36</v>
      </c>
      <c r="E17" t="s">
        <v>66</v>
      </c>
      <c r="F17" t="s">
        <v>34</v>
      </c>
      <c r="G17" t="s">
        <v>31</v>
      </c>
      <c r="H17" t="s">
        <v>92</v>
      </c>
    </row>
    <row r="18" spans="1:8" x14ac:dyDescent="0.25">
      <c r="A18">
        <v>7</v>
      </c>
      <c r="B18" t="s">
        <v>35</v>
      </c>
      <c r="C18" t="s">
        <v>356</v>
      </c>
      <c r="D18" t="s">
        <v>36</v>
      </c>
      <c r="E18" t="s">
        <v>66</v>
      </c>
      <c r="F18" t="s">
        <v>34</v>
      </c>
      <c r="G18" t="s">
        <v>31</v>
      </c>
      <c r="H18" t="s">
        <v>127</v>
      </c>
    </row>
    <row r="19" spans="1:8" x14ac:dyDescent="0.25">
      <c r="A19">
        <v>7</v>
      </c>
      <c r="B19" t="s">
        <v>35</v>
      </c>
      <c r="C19" t="s">
        <v>357</v>
      </c>
      <c r="D19" t="s">
        <v>36</v>
      </c>
      <c r="E19" t="s">
        <v>66</v>
      </c>
      <c r="F19" t="s">
        <v>34</v>
      </c>
      <c r="G19" t="s">
        <v>31</v>
      </c>
      <c r="H19" t="s">
        <v>81</v>
      </c>
    </row>
    <row r="20" spans="1:8" x14ac:dyDescent="0.25">
      <c r="A20">
        <v>7</v>
      </c>
      <c r="B20" t="s">
        <v>35</v>
      </c>
      <c r="C20" t="s">
        <v>358</v>
      </c>
      <c r="D20" t="s">
        <v>36</v>
      </c>
      <c r="E20" t="s">
        <v>66</v>
      </c>
      <c r="F20" t="s">
        <v>34</v>
      </c>
      <c r="G20" t="s">
        <v>31</v>
      </c>
      <c r="H20" t="s">
        <v>304</v>
      </c>
    </row>
    <row r="21" spans="1:8" x14ac:dyDescent="0.25">
      <c r="A21">
        <v>8</v>
      </c>
      <c r="B21" t="s">
        <v>37</v>
      </c>
      <c r="C21" t="s">
        <v>359</v>
      </c>
      <c r="D21" t="s">
        <v>47</v>
      </c>
      <c r="E21" t="s">
        <v>307</v>
      </c>
      <c r="F21" t="s">
        <v>34</v>
      </c>
      <c r="G21" t="s">
        <v>31</v>
      </c>
      <c r="H21" t="s">
        <v>128</v>
      </c>
    </row>
    <row r="22" spans="1:8" x14ac:dyDescent="0.25">
      <c r="A22">
        <v>8</v>
      </c>
      <c r="B22" t="s">
        <v>37</v>
      </c>
      <c r="C22" t="s">
        <v>360</v>
      </c>
      <c r="D22" t="s">
        <v>47</v>
      </c>
      <c r="E22" t="s">
        <v>307</v>
      </c>
      <c r="F22" t="s">
        <v>34</v>
      </c>
      <c r="G22" t="s">
        <v>31</v>
      </c>
      <c r="H22" t="s">
        <v>80</v>
      </c>
    </row>
    <row r="23" spans="1:8" x14ac:dyDescent="0.25">
      <c r="A23">
        <v>8</v>
      </c>
      <c r="B23" t="s">
        <v>37</v>
      </c>
      <c r="C23" t="s">
        <v>361</v>
      </c>
      <c r="D23" t="s">
        <v>47</v>
      </c>
      <c r="E23" t="s">
        <v>307</v>
      </c>
      <c r="F23" t="s">
        <v>34</v>
      </c>
      <c r="G23" t="s">
        <v>31</v>
      </c>
      <c r="H23" t="s">
        <v>303</v>
      </c>
    </row>
    <row r="24" spans="1:8" x14ac:dyDescent="0.25">
      <c r="A24">
        <v>8</v>
      </c>
      <c r="B24" t="s">
        <v>37</v>
      </c>
      <c r="C24" t="s">
        <v>358</v>
      </c>
      <c r="D24" t="s">
        <v>47</v>
      </c>
      <c r="E24" t="s">
        <v>307</v>
      </c>
      <c r="F24" t="s">
        <v>34</v>
      </c>
      <c r="G24" t="s">
        <v>31</v>
      </c>
      <c r="H24" t="s">
        <v>304</v>
      </c>
    </row>
    <row r="25" spans="1:8" x14ac:dyDescent="0.25">
      <c r="A25">
        <v>8</v>
      </c>
      <c r="B25" t="s">
        <v>37</v>
      </c>
      <c r="C25" t="s">
        <v>353</v>
      </c>
      <c r="D25" t="s">
        <v>47</v>
      </c>
      <c r="E25" t="s">
        <v>307</v>
      </c>
      <c r="F25" t="s">
        <v>34</v>
      </c>
      <c r="G25" t="s">
        <v>31</v>
      </c>
      <c r="H25" t="s">
        <v>129</v>
      </c>
    </row>
    <row r="26" spans="1:8" x14ac:dyDescent="0.25">
      <c r="A26">
        <v>8</v>
      </c>
      <c r="B26" t="s">
        <v>37</v>
      </c>
      <c r="C26" t="s">
        <v>357</v>
      </c>
      <c r="D26" t="s">
        <v>47</v>
      </c>
      <c r="E26" t="s">
        <v>307</v>
      </c>
      <c r="F26" t="s">
        <v>34</v>
      </c>
      <c r="G26" t="s">
        <v>31</v>
      </c>
      <c r="H26" t="s">
        <v>81</v>
      </c>
    </row>
    <row r="27" spans="1:8" x14ac:dyDescent="0.25">
      <c r="A27">
        <v>8</v>
      </c>
      <c r="B27" t="s">
        <v>37</v>
      </c>
      <c r="C27" t="s">
        <v>356</v>
      </c>
      <c r="D27" t="s">
        <v>47</v>
      </c>
      <c r="E27" t="s">
        <v>307</v>
      </c>
      <c r="F27" t="s">
        <v>34</v>
      </c>
      <c r="G27" t="s">
        <v>31</v>
      </c>
      <c r="H27" t="s">
        <v>127</v>
      </c>
    </row>
    <row r="28" spans="1:8" x14ac:dyDescent="0.25">
      <c r="A28">
        <v>8</v>
      </c>
      <c r="B28" t="s">
        <v>37</v>
      </c>
      <c r="C28" t="s">
        <v>362</v>
      </c>
      <c r="D28" t="s">
        <v>47</v>
      </c>
      <c r="E28" t="s">
        <v>307</v>
      </c>
      <c r="F28" t="s">
        <v>34</v>
      </c>
      <c r="G28" t="s">
        <v>31</v>
      </c>
      <c r="H28" t="s">
        <v>90</v>
      </c>
    </row>
    <row r="29" spans="1:8" x14ac:dyDescent="0.25">
      <c r="A29">
        <v>8</v>
      </c>
      <c r="B29" t="s">
        <v>37</v>
      </c>
      <c r="C29" t="s">
        <v>363</v>
      </c>
      <c r="D29" t="s">
        <v>47</v>
      </c>
      <c r="E29" t="s">
        <v>307</v>
      </c>
      <c r="F29" t="s">
        <v>34</v>
      </c>
      <c r="G29" t="s">
        <v>31</v>
      </c>
      <c r="H29" t="s">
        <v>82</v>
      </c>
    </row>
    <row r="30" spans="1:8" x14ac:dyDescent="0.25">
      <c r="A30">
        <v>9</v>
      </c>
      <c r="B30" t="s">
        <v>63</v>
      </c>
      <c r="C30" t="s">
        <v>352</v>
      </c>
      <c r="D30" t="s">
        <v>64</v>
      </c>
      <c r="E30" t="s">
        <v>78</v>
      </c>
      <c r="F30" t="s">
        <v>58</v>
      </c>
      <c r="G30" t="s">
        <v>31</v>
      </c>
      <c r="H30" t="s">
        <v>108</v>
      </c>
    </row>
    <row r="31" spans="1:8" x14ac:dyDescent="0.25">
      <c r="A31">
        <v>9</v>
      </c>
      <c r="B31" t="s">
        <v>63</v>
      </c>
      <c r="C31" t="s">
        <v>355</v>
      </c>
      <c r="D31" t="s">
        <v>64</v>
      </c>
      <c r="E31" t="s">
        <v>78</v>
      </c>
      <c r="F31" t="s">
        <v>58</v>
      </c>
      <c r="G31" t="s">
        <v>31</v>
      </c>
      <c r="H31" t="s">
        <v>92</v>
      </c>
    </row>
    <row r="32" spans="1:8" x14ac:dyDescent="0.25">
      <c r="A32">
        <v>9</v>
      </c>
      <c r="B32" t="s">
        <v>63</v>
      </c>
      <c r="C32" t="s">
        <v>364</v>
      </c>
      <c r="D32" t="s">
        <v>64</v>
      </c>
      <c r="E32" t="s">
        <v>78</v>
      </c>
      <c r="F32" t="s">
        <v>58</v>
      </c>
      <c r="G32" t="s">
        <v>31</v>
      </c>
      <c r="H32" t="s">
        <v>305</v>
      </c>
    </row>
    <row r="33" spans="1:8" x14ac:dyDescent="0.25">
      <c r="A33">
        <v>9</v>
      </c>
      <c r="B33" t="s">
        <v>63</v>
      </c>
      <c r="C33" t="s">
        <v>365</v>
      </c>
      <c r="D33" t="s">
        <v>64</v>
      </c>
      <c r="E33" t="s">
        <v>78</v>
      </c>
      <c r="F33" t="s">
        <v>58</v>
      </c>
      <c r="G33" t="s">
        <v>31</v>
      </c>
      <c r="H33" t="s">
        <v>306</v>
      </c>
    </row>
    <row r="34" spans="1:8" x14ac:dyDescent="0.25">
      <c r="A34">
        <v>9</v>
      </c>
      <c r="B34" t="s">
        <v>63</v>
      </c>
      <c r="C34" t="s">
        <v>353</v>
      </c>
      <c r="D34" t="s">
        <v>64</v>
      </c>
      <c r="E34" t="s">
        <v>78</v>
      </c>
      <c r="F34" t="s">
        <v>58</v>
      </c>
      <c r="G34" t="s">
        <v>31</v>
      </c>
      <c r="H34" t="s">
        <v>129</v>
      </c>
    </row>
    <row r="35" spans="1:8" x14ac:dyDescent="0.25">
      <c r="A35">
        <v>9</v>
      </c>
      <c r="B35" t="s">
        <v>63</v>
      </c>
      <c r="C35" t="s">
        <v>366</v>
      </c>
      <c r="D35" t="s">
        <v>64</v>
      </c>
      <c r="E35" t="s">
        <v>78</v>
      </c>
      <c r="F35" t="s">
        <v>58</v>
      </c>
      <c r="G35" t="s">
        <v>31</v>
      </c>
      <c r="H35" t="s">
        <v>304</v>
      </c>
    </row>
    <row r="36" spans="1:8" x14ac:dyDescent="0.25">
      <c r="A36">
        <v>9</v>
      </c>
      <c r="B36" t="s">
        <v>63</v>
      </c>
      <c r="C36" t="s">
        <v>359</v>
      </c>
      <c r="D36" t="s">
        <v>64</v>
      </c>
      <c r="E36" t="s">
        <v>78</v>
      </c>
      <c r="F36" t="s">
        <v>58</v>
      </c>
      <c r="G36" t="s">
        <v>31</v>
      </c>
      <c r="H36" t="s">
        <v>128</v>
      </c>
    </row>
    <row r="37" spans="1:8" x14ac:dyDescent="0.25">
      <c r="A37">
        <v>9</v>
      </c>
      <c r="B37" t="s">
        <v>63</v>
      </c>
      <c r="C37" t="s">
        <v>362</v>
      </c>
      <c r="D37" t="s">
        <v>64</v>
      </c>
      <c r="E37" t="s">
        <v>78</v>
      </c>
      <c r="F37" t="s">
        <v>58</v>
      </c>
      <c r="G37" t="s">
        <v>31</v>
      </c>
      <c r="H37" t="s">
        <v>90</v>
      </c>
    </row>
    <row r="38" spans="1:8" x14ac:dyDescent="0.25">
      <c r="A38">
        <v>10</v>
      </c>
      <c r="B38" t="s">
        <v>136</v>
      </c>
      <c r="C38" t="s">
        <v>367</v>
      </c>
      <c r="D38" t="s">
        <v>137</v>
      </c>
      <c r="E38" t="s">
        <v>138</v>
      </c>
      <c r="F38" t="s">
        <v>58</v>
      </c>
      <c r="G38" t="s">
        <v>111</v>
      </c>
      <c r="H38" t="s">
        <v>84</v>
      </c>
    </row>
    <row r="39" spans="1:8" x14ac:dyDescent="0.25">
      <c r="A39">
        <v>10</v>
      </c>
      <c r="B39" t="s">
        <v>136</v>
      </c>
      <c r="C39" t="s">
        <v>368</v>
      </c>
      <c r="D39" t="s">
        <v>137</v>
      </c>
      <c r="E39" t="s">
        <v>138</v>
      </c>
      <c r="F39" t="s">
        <v>58</v>
      </c>
      <c r="G39" t="s">
        <v>111</v>
      </c>
      <c r="H39" t="s">
        <v>209</v>
      </c>
    </row>
    <row r="40" spans="1:8" x14ac:dyDescent="0.25">
      <c r="A40">
        <v>11</v>
      </c>
      <c r="B40" t="s">
        <v>52</v>
      </c>
      <c r="C40" t="s">
        <v>369</v>
      </c>
      <c r="D40" t="s">
        <v>53</v>
      </c>
      <c r="E40" t="s">
        <v>72</v>
      </c>
      <c r="F40" t="s">
        <v>34</v>
      </c>
      <c r="G40" t="s">
        <v>31</v>
      </c>
      <c r="H40" t="s">
        <v>88</v>
      </c>
    </row>
    <row r="41" spans="1:8" x14ac:dyDescent="0.25">
      <c r="A41">
        <v>11</v>
      </c>
      <c r="B41" t="s">
        <v>52</v>
      </c>
      <c r="C41" t="s">
        <v>365</v>
      </c>
      <c r="D41" t="s">
        <v>53</v>
      </c>
      <c r="E41" t="s">
        <v>72</v>
      </c>
      <c r="F41" t="s">
        <v>34</v>
      </c>
      <c r="G41" t="s">
        <v>31</v>
      </c>
      <c r="H41" t="s">
        <v>306</v>
      </c>
    </row>
    <row r="42" spans="1:8" x14ac:dyDescent="0.25">
      <c r="A42">
        <v>11</v>
      </c>
      <c r="B42" t="s">
        <v>52</v>
      </c>
      <c r="C42" t="s">
        <v>370</v>
      </c>
      <c r="D42" t="s">
        <v>53</v>
      </c>
      <c r="E42" t="s">
        <v>72</v>
      </c>
      <c r="F42" t="s">
        <v>34</v>
      </c>
      <c r="G42" t="s">
        <v>31</v>
      </c>
      <c r="H42" t="s">
        <v>302</v>
      </c>
    </row>
    <row r="43" spans="1:8" x14ac:dyDescent="0.25">
      <c r="A43">
        <v>11</v>
      </c>
      <c r="B43" t="s">
        <v>52</v>
      </c>
      <c r="C43" t="s">
        <v>353</v>
      </c>
      <c r="D43" t="s">
        <v>53</v>
      </c>
      <c r="E43" t="s">
        <v>72</v>
      </c>
      <c r="F43" t="s">
        <v>34</v>
      </c>
      <c r="G43" t="s">
        <v>31</v>
      </c>
      <c r="H43" t="s">
        <v>129</v>
      </c>
    </row>
    <row r="44" spans="1:8" x14ac:dyDescent="0.25">
      <c r="A44">
        <v>11</v>
      </c>
      <c r="B44" t="s">
        <v>52</v>
      </c>
      <c r="C44" t="s">
        <v>362</v>
      </c>
      <c r="D44" t="s">
        <v>53</v>
      </c>
      <c r="E44" t="s">
        <v>72</v>
      </c>
      <c r="F44" t="s">
        <v>34</v>
      </c>
      <c r="G44" t="s">
        <v>31</v>
      </c>
      <c r="H44" t="s">
        <v>90</v>
      </c>
    </row>
    <row r="45" spans="1:8" x14ac:dyDescent="0.25">
      <c r="A45">
        <v>11</v>
      </c>
      <c r="B45" t="s">
        <v>52</v>
      </c>
      <c r="C45" t="s">
        <v>371</v>
      </c>
      <c r="D45" t="s">
        <v>53</v>
      </c>
      <c r="E45" t="s">
        <v>72</v>
      </c>
      <c r="F45" t="s">
        <v>34</v>
      </c>
      <c r="G45" t="s">
        <v>31</v>
      </c>
      <c r="H45" t="s">
        <v>94</v>
      </c>
    </row>
    <row r="46" spans="1:8" x14ac:dyDescent="0.25">
      <c r="A46">
        <v>11</v>
      </c>
      <c r="B46" t="s">
        <v>52</v>
      </c>
      <c r="C46" t="s">
        <v>359</v>
      </c>
      <c r="D46" t="s">
        <v>53</v>
      </c>
      <c r="E46" t="s">
        <v>72</v>
      </c>
      <c r="F46" t="s">
        <v>34</v>
      </c>
      <c r="G46" t="s">
        <v>31</v>
      </c>
      <c r="H46" t="s">
        <v>128</v>
      </c>
    </row>
    <row r="47" spans="1:8" x14ac:dyDescent="0.25">
      <c r="A47">
        <v>11</v>
      </c>
      <c r="B47" t="s">
        <v>52</v>
      </c>
      <c r="C47" t="s">
        <v>372</v>
      </c>
      <c r="D47" t="s">
        <v>53</v>
      </c>
      <c r="E47" t="s">
        <v>72</v>
      </c>
      <c r="F47" t="s">
        <v>34</v>
      </c>
      <c r="G47" t="s">
        <v>31</v>
      </c>
      <c r="H47" t="s">
        <v>301</v>
      </c>
    </row>
    <row r="48" spans="1:8" x14ac:dyDescent="0.25">
      <c r="A48">
        <v>12</v>
      </c>
      <c r="B48" t="s">
        <v>252</v>
      </c>
      <c r="C48" t="s">
        <v>373</v>
      </c>
      <c r="D48" t="s">
        <v>255</v>
      </c>
      <c r="E48" t="s">
        <v>260</v>
      </c>
      <c r="F48" t="s">
        <v>58</v>
      </c>
      <c r="G48" t="s">
        <v>114</v>
      </c>
      <c r="H48" t="s">
        <v>100</v>
      </c>
    </row>
    <row r="49" spans="1:8" x14ac:dyDescent="0.25">
      <c r="A49">
        <v>12</v>
      </c>
      <c r="B49" t="s">
        <v>252</v>
      </c>
      <c r="C49" t="s">
        <v>374</v>
      </c>
      <c r="D49" t="s">
        <v>255</v>
      </c>
      <c r="E49" t="s">
        <v>260</v>
      </c>
      <c r="F49" t="s">
        <v>58</v>
      </c>
      <c r="G49" t="s">
        <v>114</v>
      </c>
      <c r="H49" t="s">
        <v>206</v>
      </c>
    </row>
    <row r="50" spans="1:8" x14ac:dyDescent="0.25">
      <c r="A50">
        <v>13</v>
      </c>
      <c r="B50" t="s">
        <v>252</v>
      </c>
      <c r="C50" t="s">
        <v>373</v>
      </c>
      <c r="D50" t="s">
        <v>255</v>
      </c>
      <c r="E50" t="s">
        <v>260</v>
      </c>
      <c r="F50" t="s">
        <v>34</v>
      </c>
      <c r="G50" t="s">
        <v>114</v>
      </c>
      <c r="H50" t="s">
        <v>100</v>
      </c>
    </row>
    <row r="51" spans="1:8" x14ac:dyDescent="0.25">
      <c r="A51">
        <v>13</v>
      </c>
      <c r="B51" t="s">
        <v>252</v>
      </c>
      <c r="C51" t="s">
        <v>374</v>
      </c>
      <c r="D51" t="s">
        <v>255</v>
      </c>
      <c r="E51" t="s">
        <v>260</v>
      </c>
      <c r="F51" t="s">
        <v>34</v>
      </c>
      <c r="G51" t="s">
        <v>114</v>
      </c>
      <c r="H51" t="s">
        <v>206</v>
      </c>
    </row>
    <row r="52" spans="1:8" x14ac:dyDescent="0.25">
      <c r="A52">
        <v>14</v>
      </c>
      <c r="B52" t="s">
        <v>41</v>
      </c>
      <c r="C52" t="s">
        <v>355</v>
      </c>
      <c r="D52" t="s">
        <v>42</v>
      </c>
      <c r="E52" t="s">
        <v>69</v>
      </c>
      <c r="F52" t="s">
        <v>34</v>
      </c>
      <c r="G52" t="s">
        <v>31</v>
      </c>
      <c r="H52" t="s">
        <v>92</v>
      </c>
    </row>
    <row r="53" spans="1:8" x14ac:dyDescent="0.25">
      <c r="A53">
        <v>14</v>
      </c>
      <c r="B53" t="s">
        <v>41</v>
      </c>
      <c r="C53" t="s">
        <v>352</v>
      </c>
      <c r="D53" t="s">
        <v>42</v>
      </c>
      <c r="E53" t="s">
        <v>69</v>
      </c>
      <c r="F53" t="s">
        <v>34</v>
      </c>
      <c r="G53" t="s">
        <v>31</v>
      </c>
      <c r="H53" t="s">
        <v>108</v>
      </c>
    </row>
    <row r="54" spans="1:8" x14ac:dyDescent="0.25">
      <c r="A54">
        <v>14</v>
      </c>
      <c r="B54" t="s">
        <v>41</v>
      </c>
      <c r="C54" t="s">
        <v>365</v>
      </c>
      <c r="D54" t="s">
        <v>42</v>
      </c>
      <c r="E54" t="s">
        <v>69</v>
      </c>
      <c r="F54" t="s">
        <v>34</v>
      </c>
      <c r="G54" t="s">
        <v>31</v>
      </c>
      <c r="H54" t="s">
        <v>306</v>
      </c>
    </row>
    <row r="55" spans="1:8" x14ac:dyDescent="0.25">
      <c r="A55">
        <v>14</v>
      </c>
      <c r="B55" t="s">
        <v>41</v>
      </c>
      <c r="C55" t="s">
        <v>359</v>
      </c>
      <c r="D55" t="s">
        <v>42</v>
      </c>
      <c r="E55" t="s">
        <v>69</v>
      </c>
      <c r="F55" t="s">
        <v>34</v>
      </c>
      <c r="G55" t="s">
        <v>31</v>
      </c>
      <c r="H55" t="s">
        <v>128</v>
      </c>
    </row>
    <row r="56" spans="1:8" x14ac:dyDescent="0.25">
      <c r="A56">
        <v>15</v>
      </c>
      <c r="B56" t="s">
        <v>41</v>
      </c>
      <c r="C56" t="s">
        <v>375</v>
      </c>
      <c r="D56" t="s">
        <v>43</v>
      </c>
      <c r="E56" t="s">
        <v>79</v>
      </c>
      <c r="F56" t="s">
        <v>58</v>
      </c>
      <c r="G56" t="s">
        <v>31</v>
      </c>
      <c r="H56" t="s">
        <v>108</v>
      </c>
    </row>
    <row r="57" spans="1:8" x14ac:dyDescent="0.25">
      <c r="A57">
        <v>15</v>
      </c>
      <c r="B57" t="s">
        <v>41</v>
      </c>
      <c r="C57" t="s">
        <v>362</v>
      </c>
      <c r="D57" t="s">
        <v>43</v>
      </c>
      <c r="E57" t="s">
        <v>79</v>
      </c>
      <c r="F57" t="s">
        <v>58</v>
      </c>
      <c r="G57" t="s">
        <v>31</v>
      </c>
      <c r="H57" t="s">
        <v>90</v>
      </c>
    </row>
    <row r="58" spans="1:8" x14ac:dyDescent="0.25">
      <c r="A58">
        <v>15</v>
      </c>
      <c r="B58" t="s">
        <v>41</v>
      </c>
      <c r="C58" t="s">
        <v>356</v>
      </c>
      <c r="D58" t="s">
        <v>43</v>
      </c>
      <c r="E58" t="s">
        <v>79</v>
      </c>
      <c r="F58" t="s">
        <v>58</v>
      </c>
      <c r="G58" t="s">
        <v>31</v>
      </c>
      <c r="H58" t="s">
        <v>127</v>
      </c>
    </row>
    <row r="59" spans="1:8" x14ac:dyDescent="0.25">
      <c r="A59">
        <v>15</v>
      </c>
      <c r="B59" t="s">
        <v>41</v>
      </c>
      <c r="C59" t="s">
        <v>353</v>
      </c>
      <c r="D59" t="s">
        <v>43</v>
      </c>
      <c r="E59" t="s">
        <v>79</v>
      </c>
      <c r="F59" t="s">
        <v>58</v>
      </c>
      <c r="G59" t="s">
        <v>31</v>
      </c>
      <c r="H59" t="s">
        <v>129</v>
      </c>
    </row>
    <row r="60" spans="1:8" x14ac:dyDescent="0.25">
      <c r="A60">
        <v>15</v>
      </c>
      <c r="B60" t="s">
        <v>41</v>
      </c>
      <c r="C60" t="s">
        <v>365</v>
      </c>
      <c r="D60" t="s">
        <v>43</v>
      </c>
      <c r="E60" t="s">
        <v>79</v>
      </c>
      <c r="F60" t="s">
        <v>58</v>
      </c>
      <c r="G60" t="s">
        <v>31</v>
      </c>
      <c r="H60" t="s">
        <v>306</v>
      </c>
    </row>
    <row r="61" spans="1:8" x14ac:dyDescent="0.25">
      <c r="A61">
        <v>16</v>
      </c>
      <c r="B61" t="s">
        <v>242</v>
      </c>
      <c r="C61" t="s">
        <v>344</v>
      </c>
      <c r="D61" t="s">
        <v>241</v>
      </c>
      <c r="E61" t="s">
        <v>243</v>
      </c>
      <c r="F61" t="s">
        <v>58</v>
      </c>
      <c r="G61" t="s">
        <v>112</v>
      </c>
      <c r="H61" t="s">
        <v>98</v>
      </c>
    </row>
    <row r="62" spans="1:8" x14ac:dyDescent="0.25">
      <c r="A62">
        <v>16</v>
      </c>
      <c r="B62" t="s">
        <v>242</v>
      </c>
      <c r="C62" t="s">
        <v>345</v>
      </c>
      <c r="D62" t="s">
        <v>241</v>
      </c>
      <c r="E62" t="s">
        <v>243</v>
      </c>
      <c r="F62" t="s">
        <v>58</v>
      </c>
      <c r="G62" t="s">
        <v>112</v>
      </c>
      <c r="H62" t="s">
        <v>207</v>
      </c>
    </row>
    <row r="63" spans="1:8" x14ac:dyDescent="0.25">
      <c r="A63">
        <v>17</v>
      </c>
      <c r="B63" t="s">
        <v>242</v>
      </c>
      <c r="C63" t="s">
        <v>344</v>
      </c>
      <c r="D63" t="s">
        <v>241</v>
      </c>
      <c r="E63" t="s">
        <v>243</v>
      </c>
      <c r="F63" t="s">
        <v>34</v>
      </c>
      <c r="G63" t="s">
        <v>112</v>
      </c>
      <c r="H63" t="s">
        <v>98</v>
      </c>
    </row>
    <row r="64" spans="1:8" x14ac:dyDescent="0.25">
      <c r="A64">
        <v>17</v>
      </c>
      <c r="B64" t="s">
        <v>242</v>
      </c>
      <c r="C64" t="s">
        <v>345</v>
      </c>
      <c r="D64" t="s">
        <v>241</v>
      </c>
      <c r="E64" t="s">
        <v>243</v>
      </c>
      <c r="F64" t="s">
        <v>34</v>
      </c>
      <c r="G64" t="s">
        <v>112</v>
      </c>
      <c r="H64" t="s">
        <v>207</v>
      </c>
    </row>
    <row r="65" spans="1:8" x14ac:dyDescent="0.25">
      <c r="A65">
        <v>18</v>
      </c>
      <c r="B65" t="s">
        <v>160</v>
      </c>
      <c r="C65" t="s">
        <v>376</v>
      </c>
      <c r="D65" t="s">
        <v>161</v>
      </c>
      <c r="E65" t="s">
        <v>162</v>
      </c>
      <c r="F65" t="s">
        <v>58</v>
      </c>
      <c r="G65" t="s">
        <v>120</v>
      </c>
      <c r="H65" t="s">
        <v>102</v>
      </c>
    </row>
    <row r="66" spans="1:8" x14ac:dyDescent="0.25">
      <c r="A66">
        <v>18</v>
      </c>
      <c r="B66" t="s">
        <v>160</v>
      </c>
      <c r="C66" t="s">
        <v>377</v>
      </c>
      <c r="D66" t="s">
        <v>161</v>
      </c>
      <c r="E66" t="s">
        <v>162</v>
      </c>
      <c r="F66" t="s">
        <v>58</v>
      </c>
      <c r="G66" t="s">
        <v>120</v>
      </c>
      <c r="H66" t="s">
        <v>131</v>
      </c>
    </row>
    <row r="67" spans="1:8" x14ac:dyDescent="0.25">
      <c r="A67">
        <v>19</v>
      </c>
      <c r="B67" t="s">
        <v>169</v>
      </c>
      <c r="C67" t="s">
        <v>376</v>
      </c>
      <c r="D67" t="s">
        <v>170</v>
      </c>
      <c r="E67" t="s">
        <v>171</v>
      </c>
      <c r="F67" t="s">
        <v>58</v>
      </c>
      <c r="G67" t="s">
        <v>120</v>
      </c>
      <c r="H67" t="s">
        <v>102</v>
      </c>
    </row>
    <row r="68" spans="1:8" x14ac:dyDescent="0.25">
      <c r="A68">
        <v>19</v>
      </c>
      <c r="B68" t="s">
        <v>169</v>
      </c>
      <c r="C68" t="s">
        <v>377</v>
      </c>
      <c r="D68" t="s">
        <v>170</v>
      </c>
      <c r="E68" t="s">
        <v>171</v>
      </c>
      <c r="F68" t="s">
        <v>58</v>
      </c>
      <c r="G68" t="s">
        <v>120</v>
      </c>
      <c r="H68" t="s">
        <v>131</v>
      </c>
    </row>
    <row r="69" spans="1:8" x14ac:dyDescent="0.25">
      <c r="A69">
        <v>20</v>
      </c>
      <c r="B69" t="s">
        <v>291</v>
      </c>
      <c r="C69" t="s">
        <v>378</v>
      </c>
      <c r="D69" t="s">
        <v>290</v>
      </c>
      <c r="E69" t="s">
        <v>294</v>
      </c>
      <c r="F69" t="s">
        <v>58</v>
      </c>
      <c r="G69" t="s">
        <v>110</v>
      </c>
      <c r="H69" t="s">
        <v>85</v>
      </c>
    </row>
    <row r="70" spans="1:8" x14ac:dyDescent="0.25">
      <c r="A70">
        <v>20</v>
      </c>
      <c r="B70" t="s">
        <v>291</v>
      </c>
      <c r="C70" t="s">
        <v>379</v>
      </c>
      <c r="D70" t="s">
        <v>290</v>
      </c>
      <c r="E70" t="s">
        <v>294</v>
      </c>
      <c r="F70" t="s">
        <v>58</v>
      </c>
      <c r="G70" t="s">
        <v>110</v>
      </c>
      <c r="H70" t="s">
        <v>133</v>
      </c>
    </row>
    <row r="71" spans="1:8" x14ac:dyDescent="0.25">
      <c r="A71">
        <v>21</v>
      </c>
      <c r="B71" t="s">
        <v>279</v>
      </c>
      <c r="C71" t="s">
        <v>380</v>
      </c>
      <c r="D71" t="s">
        <v>274</v>
      </c>
      <c r="E71" t="s">
        <v>285</v>
      </c>
      <c r="F71" t="s">
        <v>58</v>
      </c>
      <c r="G71" t="s">
        <v>119</v>
      </c>
      <c r="H71" t="s">
        <v>99</v>
      </c>
    </row>
    <row r="72" spans="1:8" x14ac:dyDescent="0.25">
      <c r="A72">
        <v>21</v>
      </c>
      <c r="B72" t="s">
        <v>279</v>
      </c>
      <c r="C72" t="s">
        <v>381</v>
      </c>
      <c r="D72" t="s">
        <v>274</v>
      </c>
      <c r="E72" t="s">
        <v>285</v>
      </c>
      <c r="F72" t="s">
        <v>58</v>
      </c>
      <c r="G72" t="s">
        <v>119</v>
      </c>
      <c r="H72" t="s">
        <v>205</v>
      </c>
    </row>
    <row r="73" spans="1:8" x14ac:dyDescent="0.25">
      <c r="A73">
        <v>22</v>
      </c>
      <c r="B73" t="s">
        <v>279</v>
      </c>
      <c r="C73" t="s">
        <v>380</v>
      </c>
      <c r="D73" t="s">
        <v>274</v>
      </c>
      <c r="E73" t="s">
        <v>285</v>
      </c>
      <c r="F73" t="s">
        <v>34</v>
      </c>
      <c r="G73" t="s">
        <v>119</v>
      </c>
      <c r="H73" t="s">
        <v>99</v>
      </c>
    </row>
    <row r="74" spans="1:8" x14ac:dyDescent="0.25">
      <c r="A74">
        <v>22</v>
      </c>
      <c r="B74" t="s">
        <v>279</v>
      </c>
      <c r="C74" t="s">
        <v>381</v>
      </c>
      <c r="D74" t="s">
        <v>274</v>
      </c>
      <c r="E74" t="s">
        <v>285</v>
      </c>
      <c r="F74" t="s">
        <v>34</v>
      </c>
      <c r="G74" t="s">
        <v>119</v>
      </c>
      <c r="H74" t="s">
        <v>205</v>
      </c>
    </row>
    <row r="75" spans="1:8" x14ac:dyDescent="0.25">
      <c r="A75">
        <v>23</v>
      </c>
      <c r="B75" t="s">
        <v>59</v>
      </c>
      <c r="C75" t="s">
        <v>364</v>
      </c>
      <c r="D75" t="s">
        <v>60</v>
      </c>
      <c r="E75" t="s">
        <v>76</v>
      </c>
      <c r="F75" t="s">
        <v>58</v>
      </c>
      <c r="G75" t="s">
        <v>31</v>
      </c>
      <c r="H75" t="s">
        <v>305</v>
      </c>
    </row>
    <row r="76" spans="1:8" x14ac:dyDescent="0.25">
      <c r="A76">
        <v>23</v>
      </c>
      <c r="B76" t="s">
        <v>59</v>
      </c>
      <c r="C76" t="s">
        <v>356</v>
      </c>
      <c r="D76" t="s">
        <v>60</v>
      </c>
      <c r="E76" t="s">
        <v>76</v>
      </c>
      <c r="F76" t="s">
        <v>58</v>
      </c>
      <c r="G76" t="s">
        <v>31</v>
      </c>
      <c r="H76" t="s">
        <v>127</v>
      </c>
    </row>
    <row r="77" spans="1:8" x14ac:dyDescent="0.25">
      <c r="A77">
        <v>23</v>
      </c>
      <c r="B77" t="s">
        <v>59</v>
      </c>
      <c r="C77" t="s">
        <v>382</v>
      </c>
      <c r="D77" t="s">
        <v>60</v>
      </c>
      <c r="E77" t="s">
        <v>76</v>
      </c>
      <c r="F77" t="s">
        <v>58</v>
      </c>
      <c r="G77" t="s">
        <v>31</v>
      </c>
      <c r="H77" t="s">
        <v>91</v>
      </c>
    </row>
    <row r="78" spans="1:8" x14ac:dyDescent="0.25">
      <c r="A78">
        <v>23</v>
      </c>
      <c r="B78" t="s">
        <v>59</v>
      </c>
      <c r="C78" t="s">
        <v>365</v>
      </c>
      <c r="D78" t="s">
        <v>60</v>
      </c>
      <c r="E78" t="s">
        <v>76</v>
      </c>
      <c r="F78" t="s">
        <v>58</v>
      </c>
      <c r="G78" t="s">
        <v>31</v>
      </c>
      <c r="H78" t="s">
        <v>306</v>
      </c>
    </row>
    <row r="79" spans="1:8" x14ac:dyDescent="0.25">
      <c r="A79">
        <v>23</v>
      </c>
      <c r="B79" t="s">
        <v>59</v>
      </c>
      <c r="C79" t="s">
        <v>359</v>
      </c>
      <c r="D79" t="s">
        <v>60</v>
      </c>
      <c r="E79" t="s">
        <v>76</v>
      </c>
      <c r="F79" t="s">
        <v>58</v>
      </c>
      <c r="G79" t="s">
        <v>31</v>
      </c>
      <c r="H79" t="s">
        <v>128</v>
      </c>
    </row>
    <row r="80" spans="1:8" x14ac:dyDescent="0.25">
      <c r="A80">
        <v>23</v>
      </c>
      <c r="B80" t="s">
        <v>59</v>
      </c>
      <c r="C80" t="s">
        <v>352</v>
      </c>
      <c r="D80" t="s">
        <v>60</v>
      </c>
      <c r="E80" t="s">
        <v>76</v>
      </c>
      <c r="F80" t="s">
        <v>58</v>
      </c>
      <c r="G80" t="s">
        <v>31</v>
      </c>
      <c r="H80" t="s">
        <v>108</v>
      </c>
    </row>
    <row r="81" spans="1:8" x14ac:dyDescent="0.25">
      <c r="A81">
        <v>23</v>
      </c>
      <c r="B81" t="s">
        <v>59</v>
      </c>
      <c r="C81" t="s">
        <v>355</v>
      </c>
      <c r="D81" t="s">
        <v>60</v>
      </c>
      <c r="E81" t="s">
        <v>76</v>
      </c>
      <c r="F81" t="s">
        <v>58</v>
      </c>
      <c r="G81" t="s">
        <v>31</v>
      </c>
      <c r="H81" t="s">
        <v>92</v>
      </c>
    </row>
    <row r="82" spans="1:8" x14ac:dyDescent="0.25">
      <c r="A82">
        <v>23</v>
      </c>
      <c r="B82" t="s">
        <v>59</v>
      </c>
      <c r="C82" t="s">
        <v>383</v>
      </c>
      <c r="D82" t="s">
        <v>60</v>
      </c>
      <c r="E82" t="s">
        <v>76</v>
      </c>
      <c r="F82" t="s">
        <v>58</v>
      </c>
      <c r="G82" t="s">
        <v>31</v>
      </c>
      <c r="H82" t="s">
        <v>302</v>
      </c>
    </row>
    <row r="83" spans="1:8" x14ac:dyDescent="0.25">
      <c r="A83">
        <v>24</v>
      </c>
      <c r="B83" t="s">
        <v>187</v>
      </c>
      <c r="C83" t="s">
        <v>350</v>
      </c>
      <c r="D83" t="s">
        <v>184</v>
      </c>
      <c r="E83" t="s">
        <v>189</v>
      </c>
      <c r="F83" t="s">
        <v>34</v>
      </c>
      <c r="G83" t="s">
        <v>116</v>
      </c>
      <c r="H83" t="s">
        <v>130</v>
      </c>
    </row>
    <row r="84" spans="1:8" x14ac:dyDescent="0.25">
      <c r="A84">
        <v>24</v>
      </c>
      <c r="B84" t="s">
        <v>187</v>
      </c>
      <c r="C84" t="s">
        <v>351</v>
      </c>
      <c r="D84" t="s">
        <v>184</v>
      </c>
      <c r="E84" t="s">
        <v>189</v>
      </c>
      <c r="F84" t="s">
        <v>34</v>
      </c>
      <c r="G84" t="s">
        <v>116</v>
      </c>
      <c r="H84" t="s">
        <v>210</v>
      </c>
    </row>
    <row r="85" spans="1:8" x14ac:dyDescent="0.25">
      <c r="A85">
        <v>25</v>
      </c>
      <c r="B85" t="s">
        <v>275</v>
      </c>
      <c r="C85" t="s">
        <v>380</v>
      </c>
      <c r="D85" t="s">
        <v>270</v>
      </c>
      <c r="E85" t="s">
        <v>281</v>
      </c>
      <c r="F85" t="s">
        <v>58</v>
      </c>
      <c r="G85" t="s">
        <v>119</v>
      </c>
      <c r="H85" t="s">
        <v>99</v>
      </c>
    </row>
    <row r="86" spans="1:8" x14ac:dyDescent="0.25">
      <c r="A86">
        <v>25</v>
      </c>
      <c r="B86" t="s">
        <v>275</v>
      </c>
      <c r="C86" t="s">
        <v>381</v>
      </c>
      <c r="D86" t="s">
        <v>270</v>
      </c>
      <c r="E86" t="s">
        <v>281</v>
      </c>
      <c r="F86" t="s">
        <v>58</v>
      </c>
      <c r="G86" t="s">
        <v>119</v>
      </c>
      <c r="H86" t="s">
        <v>205</v>
      </c>
    </row>
    <row r="87" spans="1:8" x14ac:dyDescent="0.25">
      <c r="A87">
        <v>26</v>
      </c>
      <c r="B87" t="s">
        <v>275</v>
      </c>
      <c r="C87" t="s">
        <v>380</v>
      </c>
      <c r="D87" t="s">
        <v>270</v>
      </c>
      <c r="E87" t="s">
        <v>281</v>
      </c>
      <c r="F87" t="s">
        <v>34</v>
      </c>
      <c r="G87" t="s">
        <v>119</v>
      </c>
      <c r="H87" t="s">
        <v>99</v>
      </c>
    </row>
    <row r="88" spans="1:8" x14ac:dyDescent="0.25">
      <c r="A88">
        <v>26</v>
      </c>
      <c r="B88" t="s">
        <v>275</v>
      </c>
      <c r="C88" t="s">
        <v>381</v>
      </c>
      <c r="D88" t="s">
        <v>270</v>
      </c>
      <c r="E88" t="s">
        <v>281</v>
      </c>
      <c r="F88" t="s">
        <v>34</v>
      </c>
      <c r="G88" t="s">
        <v>119</v>
      </c>
      <c r="H88" t="s">
        <v>205</v>
      </c>
    </row>
    <row r="89" spans="1:8" x14ac:dyDescent="0.25">
      <c r="A89">
        <v>27</v>
      </c>
      <c r="B89" t="s">
        <v>179</v>
      </c>
      <c r="C89" t="s">
        <v>350</v>
      </c>
      <c r="D89" t="s">
        <v>178</v>
      </c>
      <c r="E89" t="s">
        <v>180</v>
      </c>
      <c r="F89" t="s">
        <v>34</v>
      </c>
      <c r="G89" t="s">
        <v>116</v>
      </c>
      <c r="H89" t="s">
        <v>130</v>
      </c>
    </row>
    <row r="90" spans="1:8" x14ac:dyDescent="0.25">
      <c r="A90">
        <v>27</v>
      </c>
      <c r="B90" t="s">
        <v>179</v>
      </c>
      <c r="C90" t="s">
        <v>351</v>
      </c>
      <c r="D90" t="s">
        <v>178</v>
      </c>
      <c r="E90" t="s">
        <v>180</v>
      </c>
      <c r="F90" t="s">
        <v>34</v>
      </c>
      <c r="G90" t="s">
        <v>116</v>
      </c>
      <c r="H90" t="s">
        <v>210</v>
      </c>
    </row>
    <row r="91" spans="1:8" x14ac:dyDescent="0.25">
      <c r="A91">
        <v>28</v>
      </c>
      <c r="B91" t="s">
        <v>212</v>
      </c>
      <c r="C91" t="s">
        <v>348</v>
      </c>
      <c r="D91" t="s">
        <v>219</v>
      </c>
      <c r="E91" t="s">
        <v>226</v>
      </c>
      <c r="F91" t="s">
        <v>34</v>
      </c>
      <c r="G91" t="s">
        <v>117</v>
      </c>
      <c r="H91" t="s">
        <v>89</v>
      </c>
    </row>
    <row r="92" spans="1:8" x14ac:dyDescent="0.25">
      <c r="A92">
        <v>28</v>
      </c>
      <c r="B92" t="s">
        <v>212</v>
      </c>
      <c r="C92" t="s">
        <v>349</v>
      </c>
      <c r="D92" t="s">
        <v>219</v>
      </c>
      <c r="E92" t="s">
        <v>226</v>
      </c>
      <c r="F92" t="s">
        <v>34</v>
      </c>
      <c r="G92" t="s">
        <v>117</v>
      </c>
      <c r="H92" t="s">
        <v>331</v>
      </c>
    </row>
    <row r="93" spans="1:8" x14ac:dyDescent="0.25">
      <c r="A93">
        <v>29</v>
      </c>
      <c r="B93" t="s">
        <v>253</v>
      </c>
      <c r="C93" t="s">
        <v>373</v>
      </c>
      <c r="D93" t="s">
        <v>256</v>
      </c>
      <c r="E93" t="s">
        <v>261</v>
      </c>
      <c r="F93" t="s">
        <v>58</v>
      </c>
      <c r="G93" t="s">
        <v>114</v>
      </c>
      <c r="H93" t="s">
        <v>100</v>
      </c>
    </row>
    <row r="94" spans="1:8" x14ac:dyDescent="0.25">
      <c r="A94">
        <v>29</v>
      </c>
      <c r="B94" t="s">
        <v>253</v>
      </c>
      <c r="C94" t="s">
        <v>374</v>
      </c>
      <c r="D94" t="s">
        <v>256</v>
      </c>
      <c r="E94" t="s">
        <v>261</v>
      </c>
      <c r="F94" t="s">
        <v>58</v>
      </c>
      <c r="G94" t="s">
        <v>114</v>
      </c>
      <c r="H94" t="s">
        <v>206</v>
      </c>
    </row>
    <row r="95" spans="1:8" x14ac:dyDescent="0.25">
      <c r="A95">
        <v>30</v>
      </c>
      <c r="B95" t="s">
        <v>253</v>
      </c>
      <c r="C95" t="s">
        <v>373</v>
      </c>
      <c r="D95" t="s">
        <v>256</v>
      </c>
      <c r="E95" t="s">
        <v>261</v>
      </c>
      <c r="F95" t="s">
        <v>34</v>
      </c>
      <c r="G95" t="s">
        <v>114</v>
      </c>
      <c r="H95" t="s">
        <v>100</v>
      </c>
    </row>
    <row r="96" spans="1:8" x14ac:dyDescent="0.25">
      <c r="A96">
        <v>30</v>
      </c>
      <c r="B96" t="s">
        <v>253</v>
      </c>
      <c r="C96" t="s">
        <v>374</v>
      </c>
      <c r="D96" t="s">
        <v>256</v>
      </c>
      <c r="E96" t="s">
        <v>261</v>
      </c>
      <c r="F96" t="s">
        <v>34</v>
      </c>
      <c r="G96" t="s">
        <v>114</v>
      </c>
      <c r="H96" t="s">
        <v>206</v>
      </c>
    </row>
    <row r="97" spans="1:8" x14ac:dyDescent="0.25">
      <c r="A97">
        <v>31</v>
      </c>
      <c r="B97" t="s">
        <v>145</v>
      </c>
      <c r="C97" t="s">
        <v>367</v>
      </c>
      <c r="D97" t="s">
        <v>146</v>
      </c>
      <c r="E97" t="s">
        <v>147</v>
      </c>
      <c r="F97" t="s">
        <v>58</v>
      </c>
      <c r="G97" t="s">
        <v>111</v>
      </c>
      <c r="H97" t="s">
        <v>84</v>
      </c>
    </row>
    <row r="98" spans="1:8" x14ac:dyDescent="0.25">
      <c r="A98">
        <v>31</v>
      </c>
      <c r="B98" t="s">
        <v>145</v>
      </c>
      <c r="C98" t="s">
        <v>368</v>
      </c>
      <c r="D98" t="s">
        <v>146</v>
      </c>
      <c r="E98" t="s">
        <v>147</v>
      </c>
      <c r="F98" t="s">
        <v>58</v>
      </c>
      <c r="G98" t="s">
        <v>111</v>
      </c>
      <c r="H98" t="s">
        <v>209</v>
      </c>
    </row>
    <row r="99" spans="1:8" x14ac:dyDescent="0.25">
      <c r="A99">
        <v>32</v>
      </c>
      <c r="B99" t="s">
        <v>39</v>
      </c>
      <c r="C99" t="s">
        <v>352</v>
      </c>
      <c r="D99" t="s">
        <v>40</v>
      </c>
      <c r="E99" t="s">
        <v>68</v>
      </c>
      <c r="F99" t="s">
        <v>34</v>
      </c>
      <c r="G99" t="s">
        <v>31</v>
      </c>
      <c r="H99" t="s">
        <v>108</v>
      </c>
    </row>
    <row r="100" spans="1:8" x14ac:dyDescent="0.25">
      <c r="A100">
        <v>32</v>
      </c>
      <c r="B100" t="s">
        <v>39</v>
      </c>
      <c r="C100" t="s">
        <v>355</v>
      </c>
      <c r="D100" t="s">
        <v>40</v>
      </c>
      <c r="E100" t="s">
        <v>68</v>
      </c>
      <c r="F100" t="s">
        <v>34</v>
      </c>
      <c r="G100" t="s">
        <v>31</v>
      </c>
      <c r="H100" t="s">
        <v>92</v>
      </c>
    </row>
    <row r="101" spans="1:8" x14ac:dyDescent="0.25">
      <c r="A101">
        <v>32</v>
      </c>
      <c r="B101" t="s">
        <v>39</v>
      </c>
      <c r="C101" t="s">
        <v>363</v>
      </c>
      <c r="D101" t="s">
        <v>40</v>
      </c>
      <c r="E101" t="s">
        <v>68</v>
      </c>
      <c r="F101" t="s">
        <v>34</v>
      </c>
      <c r="G101" t="s">
        <v>31</v>
      </c>
      <c r="H101" t="s">
        <v>82</v>
      </c>
    </row>
    <row r="102" spans="1:8" x14ac:dyDescent="0.25">
      <c r="A102">
        <v>32</v>
      </c>
      <c r="B102" t="s">
        <v>39</v>
      </c>
      <c r="C102" t="s">
        <v>359</v>
      </c>
      <c r="D102" t="s">
        <v>40</v>
      </c>
      <c r="E102" t="s">
        <v>68</v>
      </c>
      <c r="F102" t="s">
        <v>34</v>
      </c>
      <c r="G102" t="s">
        <v>31</v>
      </c>
      <c r="H102" t="s">
        <v>128</v>
      </c>
    </row>
    <row r="103" spans="1:8" x14ac:dyDescent="0.25">
      <c r="A103">
        <v>32</v>
      </c>
      <c r="B103" t="s">
        <v>39</v>
      </c>
      <c r="C103" t="s">
        <v>353</v>
      </c>
      <c r="D103" t="s">
        <v>40</v>
      </c>
      <c r="E103" t="s">
        <v>68</v>
      </c>
      <c r="F103" t="s">
        <v>34</v>
      </c>
      <c r="G103" t="s">
        <v>31</v>
      </c>
      <c r="H103" t="s">
        <v>129</v>
      </c>
    </row>
    <row r="104" spans="1:8" x14ac:dyDescent="0.25">
      <c r="A104">
        <v>32</v>
      </c>
      <c r="B104" t="s">
        <v>39</v>
      </c>
      <c r="C104" t="s">
        <v>364</v>
      </c>
      <c r="D104" t="s">
        <v>40</v>
      </c>
      <c r="E104" t="s">
        <v>68</v>
      </c>
      <c r="F104" t="s">
        <v>34</v>
      </c>
      <c r="G104" t="s">
        <v>31</v>
      </c>
      <c r="H104" t="s">
        <v>305</v>
      </c>
    </row>
    <row r="105" spans="1:8" x14ac:dyDescent="0.25">
      <c r="A105">
        <v>33</v>
      </c>
      <c r="B105" t="s">
        <v>276</v>
      </c>
      <c r="C105" t="s">
        <v>380</v>
      </c>
      <c r="D105" t="s">
        <v>271</v>
      </c>
      <c r="E105" t="s">
        <v>282</v>
      </c>
      <c r="F105" t="s">
        <v>58</v>
      </c>
      <c r="G105" t="s">
        <v>119</v>
      </c>
      <c r="H105" t="s">
        <v>99</v>
      </c>
    </row>
    <row r="106" spans="1:8" x14ac:dyDescent="0.25">
      <c r="A106">
        <v>33</v>
      </c>
      <c r="B106" t="s">
        <v>276</v>
      </c>
      <c r="C106" t="s">
        <v>381</v>
      </c>
      <c r="D106" t="s">
        <v>271</v>
      </c>
      <c r="E106" t="s">
        <v>282</v>
      </c>
      <c r="F106" t="s">
        <v>58</v>
      </c>
      <c r="G106" t="s">
        <v>119</v>
      </c>
      <c r="H106" t="s">
        <v>205</v>
      </c>
    </row>
    <row r="107" spans="1:8" x14ac:dyDescent="0.25">
      <c r="A107">
        <v>34</v>
      </c>
      <c r="B107" t="s">
        <v>276</v>
      </c>
      <c r="C107" t="s">
        <v>380</v>
      </c>
      <c r="D107" t="s">
        <v>271</v>
      </c>
      <c r="E107" t="s">
        <v>282</v>
      </c>
      <c r="F107" t="s">
        <v>34</v>
      </c>
      <c r="G107" t="s">
        <v>119</v>
      </c>
      <c r="H107" t="s">
        <v>99</v>
      </c>
    </row>
    <row r="108" spans="1:8" x14ac:dyDescent="0.25">
      <c r="A108">
        <v>34</v>
      </c>
      <c r="B108" t="s">
        <v>276</v>
      </c>
      <c r="C108" t="s">
        <v>381</v>
      </c>
      <c r="D108" t="s">
        <v>271</v>
      </c>
      <c r="E108" t="s">
        <v>282</v>
      </c>
      <c r="F108" t="s">
        <v>34</v>
      </c>
      <c r="G108" t="s">
        <v>119</v>
      </c>
      <c r="H108" t="s">
        <v>205</v>
      </c>
    </row>
    <row r="109" spans="1:8" x14ac:dyDescent="0.25">
      <c r="A109">
        <v>35</v>
      </c>
      <c r="B109" t="s">
        <v>215</v>
      </c>
      <c r="C109" t="s">
        <v>348</v>
      </c>
      <c r="D109" t="s">
        <v>222</v>
      </c>
      <c r="E109" t="s">
        <v>229</v>
      </c>
      <c r="F109" t="s">
        <v>34</v>
      </c>
      <c r="G109" t="s">
        <v>117</v>
      </c>
      <c r="H109" t="s">
        <v>89</v>
      </c>
    </row>
    <row r="110" spans="1:8" x14ac:dyDescent="0.25">
      <c r="A110">
        <v>35</v>
      </c>
      <c r="B110" t="s">
        <v>215</v>
      </c>
      <c r="C110" t="s">
        <v>349</v>
      </c>
      <c r="D110" t="s">
        <v>222</v>
      </c>
      <c r="E110" t="s">
        <v>229</v>
      </c>
      <c r="F110" t="s">
        <v>34</v>
      </c>
      <c r="G110" t="s">
        <v>117</v>
      </c>
      <c r="H110" t="s">
        <v>331</v>
      </c>
    </row>
    <row r="111" spans="1:8" x14ac:dyDescent="0.25">
      <c r="A111">
        <v>36</v>
      </c>
      <c r="B111" t="s">
        <v>250</v>
      </c>
      <c r="C111" t="s">
        <v>373</v>
      </c>
      <c r="D111" t="s">
        <v>257</v>
      </c>
      <c r="E111" t="s">
        <v>258</v>
      </c>
      <c r="F111" t="s">
        <v>58</v>
      </c>
      <c r="G111" t="s">
        <v>114</v>
      </c>
      <c r="H111" t="s">
        <v>100</v>
      </c>
    </row>
    <row r="112" spans="1:8" x14ac:dyDescent="0.25">
      <c r="A112">
        <v>36</v>
      </c>
      <c r="B112" t="s">
        <v>250</v>
      </c>
      <c r="C112" t="s">
        <v>374</v>
      </c>
      <c r="D112" t="s">
        <v>257</v>
      </c>
      <c r="E112" t="s">
        <v>258</v>
      </c>
      <c r="F112" t="s">
        <v>58</v>
      </c>
      <c r="G112" t="s">
        <v>114</v>
      </c>
      <c r="H112" t="s">
        <v>206</v>
      </c>
    </row>
    <row r="113" spans="1:8" x14ac:dyDescent="0.25">
      <c r="A113">
        <v>37</v>
      </c>
      <c r="B113" t="s">
        <v>250</v>
      </c>
      <c r="C113" t="s">
        <v>373</v>
      </c>
      <c r="D113" t="s">
        <v>257</v>
      </c>
      <c r="E113" t="s">
        <v>258</v>
      </c>
      <c r="F113" t="s">
        <v>34</v>
      </c>
      <c r="G113" t="s">
        <v>114</v>
      </c>
      <c r="H113" t="s">
        <v>100</v>
      </c>
    </row>
    <row r="114" spans="1:8" x14ac:dyDescent="0.25">
      <c r="A114">
        <v>37</v>
      </c>
      <c r="B114" t="s">
        <v>250</v>
      </c>
      <c r="C114" t="s">
        <v>374</v>
      </c>
      <c r="D114" t="s">
        <v>257</v>
      </c>
      <c r="E114" t="s">
        <v>258</v>
      </c>
      <c r="F114" t="s">
        <v>34</v>
      </c>
      <c r="G114" t="s">
        <v>114</v>
      </c>
      <c r="H114" t="s">
        <v>206</v>
      </c>
    </row>
    <row r="115" spans="1:8" x14ac:dyDescent="0.25">
      <c r="A115">
        <v>38</v>
      </c>
      <c r="B115" t="s">
        <v>287</v>
      </c>
      <c r="C115" t="s">
        <v>378</v>
      </c>
      <c r="D115" t="s">
        <v>286</v>
      </c>
      <c r="E115" t="s">
        <v>292</v>
      </c>
      <c r="F115" t="s">
        <v>58</v>
      </c>
      <c r="G115" t="s">
        <v>110</v>
      </c>
      <c r="H115" t="s">
        <v>85</v>
      </c>
    </row>
    <row r="116" spans="1:8" x14ac:dyDescent="0.25">
      <c r="A116">
        <v>38</v>
      </c>
      <c r="B116" t="s">
        <v>287</v>
      </c>
      <c r="C116" t="s">
        <v>379</v>
      </c>
      <c r="D116" t="s">
        <v>286</v>
      </c>
      <c r="E116" t="s">
        <v>292</v>
      </c>
      <c r="F116" t="s">
        <v>58</v>
      </c>
      <c r="G116" t="s">
        <v>110</v>
      </c>
      <c r="H116" t="s">
        <v>133</v>
      </c>
    </row>
    <row r="117" spans="1:8" x14ac:dyDescent="0.25">
      <c r="A117">
        <v>39</v>
      </c>
      <c r="B117" t="s">
        <v>48</v>
      </c>
      <c r="C117" t="s">
        <v>384</v>
      </c>
      <c r="D117" t="s">
        <v>38</v>
      </c>
      <c r="E117" t="s">
        <v>67</v>
      </c>
      <c r="F117" t="s">
        <v>34</v>
      </c>
      <c r="G117" t="s">
        <v>31</v>
      </c>
      <c r="H117" t="s">
        <v>300</v>
      </c>
    </row>
    <row r="118" spans="1:8" x14ac:dyDescent="0.25">
      <c r="A118">
        <v>39</v>
      </c>
      <c r="B118" t="s">
        <v>48</v>
      </c>
      <c r="C118" t="s">
        <v>385</v>
      </c>
      <c r="D118" t="s">
        <v>38</v>
      </c>
      <c r="E118" t="s">
        <v>67</v>
      </c>
      <c r="F118" t="s">
        <v>34</v>
      </c>
      <c r="G118" t="s">
        <v>31</v>
      </c>
      <c r="H118" t="s">
        <v>107</v>
      </c>
    </row>
    <row r="119" spans="1:8" x14ac:dyDescent="0.25">
      <c r="A119">
        <v>39</v>
      </c>
      <c r="B119" t="s">
        <v>48</v>
      </c>
      <c r="C119" t="s">
        <v>386</v>
      </c>
      <c r="D119" t="s">
        <v>38</v>
      </c>
      <c r="E119" t="s">
        <v>67</v>
      </c>
      <c r="F119" t="s">
        <v>34</v>
      </c>
      <c r="G119" t="s">
        <v>31</v>
      </c>
      <c r="H119" t="s">
        <v>87</v>
      </c>
    </row>
    <row r="120" spans="1:8" x14ac:dyDescent="0.25">
      <c r="A120">
        <v>39</v>
      </c>
      <c r="B120" t="s">
        <v>48</v>
      </c>
      <c r="C120" t="s">
        <v>387</v>
      </c>
      <c r="D120" t="s">
        <v>38</v>
      </c>
      <c r="E120" t="s">
        <v>67</v>
      </c>
      <c r="F120" t="s">
        <v>34</v>
      </c>
      <c r="G120" t="s">
        <v>31</v>
      </c>
      <c r="H120" t="s">
        <v>103</v>
      </c>
    </row>
    <row r="121" spans="1:8" x14ac:dyDescent="0.25">
      <c r="A121">
        <v>40</v>
      </c>
      <c r="B121" t="s">
        <v>48</v>
      </c>
      <c r="C121" t="s">
        <v>384</v>
      </c>
      <c r="D121" t="s">
        <v>38</v>
      </c>
      <c r="E121" t="s">
        <v>67</v>
      </c>
      <c r="F121" t="s">
        <v>58</v>
      </c>
      <c r="G121" t="s">
        <v>31</v>
      </c>
      <c r="H121" t="s">
        <v>300</v>
      </c>
    </row>
    <row r="122" spans="1:8" x14ac:dyDescent="0.25">
      <c r="A122">
        <v>40</v>
      </c>
      <c r="B122" t="s">
        <v>48</v>
      </c>
      <c r="C122" t="s">
        <v>385</v>
      </c>
      <c r="D122" t="s">
        <v>38</v>
      </c>
      <c r="E122" t="s">
        <v>67</v>
      </c>
      <c r="F122" t="s">
        <v>58</v>
      </c>
      <c r="G122" t="s">
        <v>31</v>
      </c>
      <c r="H122" t="s">
        <v>107</v>
      </c>
    </row>
    <row r="123" spans="1:8" x14ac:dyDescent="0.25">
      <c r="A123">
        <v>40</v>
      </c>
      <c r="B123" t="s">
        <v>48</v>
      </c>
      <c r="C123" t="s">
        <v>386</v>
      </c>
      <c r="D123" t="s">
        <v>38</v>
      </c>
      <c r="E123" t="s">
        <v>67</v>
      </c>
      <c r="F123" t="s">
        <v>58</v>
      </c>
      <c r="G123" t="s">
        <v>31</v>
      </c>
      <c r="H123" t="s">
        <v>87</v>
      </c>
    </row>
    <row r="124" spans="1:8" x14ac:dyDescent="0.25">
      <c r="A124">
        <v>40</v>
      </c>
      <c r="B124" t="s">
        <v>48</v>
      </c>
      <c r="C124" t="s">
        <v>387</v>
      </c>
      <c r="D124" t="s">
        <v>38</v>
      </c>
      <c r="E124" t="s">
        <v>67</v>
      </c>
      <c r="F124" t="s">
        <v>58</v>
      </c>
      <c r="G124" t="s">
        <v>31</v>
      </c>
      <c r="H124" t="s">
        <v>103</v>
      </c>
    </row>
    <row r="125" spans="1:8" x14ac:dyDescent="0.25">
      <c r="A125">
        <v>41</v>
      </c>
      <c r="B125" t="s">
        <v>289</v>
      </c>
      <c r="C125" t="s">
        <v>378</v>
      </c>
      <c r="D125" t="s">
        <v>288</v>
      </c>
      <c r="E125" t="s">
        <v>293</v>
      </c>
      <c r="F125" t="s">
        <v>58</v>
      </c>
      <c r="G125" t="s">
        <v>110</v>
      </c>
      <c r="H125" t="s">
        <v>85</v>
      </c>
    </row>
    <row r="126" spans="1:8" x14ac:dyDescent="0.25">
      <c r="A126">
        <v>41</v>
      </c>
      <c r="B126" t="s">
        <v>289</v>
      </c>
      <c r="C126" t="s">
        <v>379</v>
      </c>
      <c r="D126" t="s">
        <v>288</v>
      </c>
      <c r="E126" t="s">
        <v>293</v>
      </c>
      <c r="F126" t="s">
        <v>58</v>
      </c>
      <c r="G126" t="s">
        <v>110</v>
      </c>
      <c r="H126" t="s">
        <v>133</v>
      </c>
    </row>
    <row r="127" spans="1:8" x14ac:dyDescent="0.25">
      <c r="A127">
        <v>42</v>
      </c>
      <c r="B127" t="s">
        <v>217</v>
      </c>
      <c r="C127" t="s">
        <v>348</v>
      </c>
      <c r="D127" t="s">
        <v>224</v>
      </c>
      <c r="E127" t="s">
        <v>231</v>
      </c>
      <c r="F127" t="s">
        <v>34</v>
      </c>
      <c r="G127" t="s">
        <v>117</v>
      </c>
      <c r="H127" t="s">
        <v>89</v>
      </c>
    </row>
    <row r="128" spans="1:8" x14ac:dyDescent="0.25">
      <c r="A128">
        <v>42</v>
      </c>
      <c r="B128" t="s">
        <v>217</v>
      </c>
      <c r="C128" t="s">
        <v>349</v>
      </c>
      <c r="D128" t="s">
        <v>224</v>
      </c>
      <c r="E128" t="s">
        <v>231</v>
      </c>
      <c r="F128" t="s">
        <v>34</v>
      </c>
      <c r="G128" t="s">
        <v>117</v>
      </c>
      <c r="H128" t="s">
        <v>331</v>
      </c>
    </row>
    <row r="129" spans="1:8" x14ac:dyDescent="0.25">
      <c r="A129">
        <v>43</v>
      </c>
      <c r="B129" t="s">
        <v>214</v>
      </c>
      <c r="C129" t="s">
        <v>348</v>
      </c>
      <c r="D129" t="s">
        <v>221</v>
      </c>
      <c r="E129" t="s">
        <v>228</v>
      </c>
      <c r="F129" t="s">
        <v>34</v>
      </c>
      <c r="G129" t="s">
        <v>117</v>
      </c>
      <c r="H129" t="s">
        <v>89</v>
      </c>
    </row>
    <row r="130" spans="1:8" x14ac:dyDescent="0.25">
      <c r="A130">
        <v>43</v>
      </c>
      <c r="B130" t="s">
        <v>214</v>
      </c>
      <c r="C130" t="s">
        <v>349</v>
      </c>
      <c r="D130" t="s">
        <v>221</v>
      </c>
      <c r="E130" t="s">
        <v>228</v>
      </c>
      <c r="F130" t="s">
        <v>34</v>
      </c>
      <c r="G130" t="s">
        <v>117</v>
      </c>
      <c r="H130" t="s">
        <v>331</v>
      </c>
    </row>
    <row r="131" spans="1:8" x14ac:dyDescent="0.25">
      <c r="A131">
        <v>44</v>
      </c>
      <c r="B131" t="s">
        <v>297</v>
      </c>
      <c r="C131" t="s">
        <v>388</v>
      </c>
      <c r="D131" t="s">
        <v>296</v>
      </c>
      <c r="E131" t="s">
        <v>246</v>
      </c>
      <c r="F131" t="s">
        <v>58</v>
      </c>
      <c r="G131" t="s">
        <v>118</v>
      </c>
      <c r="H131" t="s">
        <v>83</v>
      </c>
    </row>
    <row r="132" spans="1:8" x14ac:dyDescent="0.25">
      <c r="A132">
        <v>44</v>
      </c>
      <c r="B132" t="s">
        <v>297</v>
      </c>
      <c r="C132" t="s">
        <v>389</v>
      </c>
      <c r="D132" t="s">
        <v>296</v>
      </c>
      <c r="E132" t="s">
        <v>246</v>
      </c>
      <c r="F132" t="s">
        <v>58</v>
      </c>
      <c r="G132" t="s">
        <v>118</v>
      </c>
      <c r="H132" t="s">
        <v>339</v>
      </c>
    </row>
    <row r="133" spans="1:8" x14ac:dyDescent="0.25">
      <c r="A133">
        <v>45</v>
      </c>
      <c r="B133" t="s">
        <v>232</v>
      </c>
      <c r="C133" t="s">
        <v>390</v>
      </c>
      <c r="D133" t="s">
        <v>233</v>
      </c>
      <c r="E133" t="s">
        <v>234</v>
      </c>
      <c r="F133" t="s">
        <v>58</v>
      </c>
      <c r="G133" t="s">
        <v>134</v>
      </c>
      <c r="H133" t="s">
        <v>95</v>
      </c>
    </row>
    <row r="134" spans="1:8" x14ac:dyDescent="0.25">
      <c r="A134">
        <v>45</v>
      </c>
      <c r="B134" t="s">
        <v>232</v>
      </c>
      <c r="C134" t="s">
        <v>391</v>
      </c>
      <c r="D134" t="s">
        <v>233</v>
      </c>
      <c r="E134" t="s">
        <v>234</v>
      </c>
      <c r="F134" t="s">
        <v>58</v>
      </c>
      <c r="G134" t="s">
        <v>134</v>
      </c>
      <c r="H134" t="s">
        <v>208</v>
      </c>
    </row>
    <row r="135" spans="1:8" x14ac:dyDescent="0.25">
      <c r="A135">
        <v>46</v>
      </c>
      <c r="B135" t="s">
        <v>232</v>
      </c>
      <c r="C135" t="s">
        <v>390</v>
      </c>
      <c r="D135" t="s">
        <v>233</v>
      </c>
      <c r="E135" t="s">
        <v>234</v>
      </c>
      <c r="F135" t="s">
        <v>34</v>
      </c>
      <c r="G135" t="s">
        <v>134</v>
      </c>
      <c r="H135" t="s">
        <v>95</v>
      </c>
    </row>
    <row r="136" spans="1:8" x14ac:dyDescent="0.25">
      <c r="A136">
        <v>46</v>
      </c>
      <c r="B136" t="s">
        <v>232</v>
      </c>
      <c r="C136" t="s">
        <v>391</v>
      </c>
      <c r="D136" t="s">
        <v>233</v>
      </c>
      <c r="E136" t="s">
        <v>234</v>
      </c>
      <c r="F136" t="s">
        <v>34</v>
      </c>
      <c r="G136" t="s">
        <v>134</v>
      </c>
      <c r="H136" t="s">
        <v>208</v>
      </c>
    </row>
    <row r="137" spans="1:8" x14ac:dyDescent="0.25">
      <c r="A137">
        <v>47</v>
      </c>
      <c r="B137" t="s">
        <v>248</v>
      </c>
      <c r="C137" t="s">
        <v>344</v>
      </c>
      <c r="D137" t="s">
        <v>247</v>
      </c>
      <c r="E137" t="s">
        <v>249</v>
      </c>
      <c r="F137" t="s">
        <v>58</v>
      </c>
      <c r="G137" t="s">
        <v>112</v>
      </c>
      <c r="H137" t="s">
        <v>98</v>
      </c>
    </row>
    <row r="138" spans="1:8" x14ac:dyDescent="0.25">
      <c r="A138">
        <v>47</v>
      </c>
      <c r="B138" t="s">
        <v>248</v>
      </c>
      <c r="C138" t="s">
        <v>345</v>
      </c>
      <c r="D138" t="s">
        <v>247</v>
      </c>
      <c r="E138" t="s">
        <v>249</v>
      </c>
      <c r="F138" t="s">
        <v>58</v>
      </c>
      <c r="G138" t="s">
        <v>112</v>
      </c>
      <c r="H138" t="s">
        <v>207</v>
      </c>
    </row>
    <row r="139" spans="1:8" x14ac:dyDescent="0.25">
      <c r="A139">
        <v>48</v>
      </c>
      <c r="B139" t="s">
        <v>248</v>
      </c>
      <c r="C139" t="s">
        <v>344</v>
      </c>
      <c r="D139" t="s">
        <v>247</v>
      </c>
      <c r="E139" t="s">
        <v>249</v>
      </c>
      <c r="F139" t="s">
        <v>34</v>
      </c>
      <c r="G139" t="s">
        <v>112</v>
      </c>
      <c r="H139" t="s">
        <v>98</v>
      </c>
    </row>
    <row r="140" spans="1:8" x14ac:dyDescent="0.25">
      <c r="A140">
        <v>48</v>
      </c>
      <c r="B140" t="s">
        <v>248</v>
      </c>
      <c r="C140" t="s">
        <v>345</v>
      </c>
      <c r="D140" t="s">
        <v>247</v>
      </c>
      <c r="E140" t="s">
        <v>249</v>
      </c>
      <c r="F140" t="s">
        <v>34</v>
      </c>
      <c r="G140" t="s">
        <v>112</v>
      </c>
      <c r="H140" t="s">
        <v>207</v>
      </c>
    </row>
    <row r="141" spans="1:8" x14ac:dyDescent="0.25">
      <c r="A141">
        <v>49</v>
      </c>
      <c r="B141" t="s">
        <v>193</v>
      </c>
      <c r="C141" t="s">
        <v>346</v>
      </c>
      <c r="D141" t="s">
        <v>197</v>
      </c>
      <c r="E141" t="s">
        <v>201</v>
      </c>
      <c r="F141" t="s">
        <v>34</v>
      </c>
      <c r="G141" t="s">
        <v>115</v>
      </c>
      <c r="H141" t="s">
        <v>96</v>
      </c>
    </row>
    <row r="142" spans="1:8" x14ac:dyDescent="0.25">
      <c r="A142">
        <v>49</v>
      </c>
      <c r="B142" t="s">
        <v>193</v>
      </c>
      <c r="C142" t="s">
        <v>347</v>
      </c>
      <c r="D142" t="s">
        <v>197</v>
      </c>
      <c r="E142" t="s">
        <v>201</v>
      </c>
      <c r="F142" t="s">
        <v>34</v>
      </c>
      <c r="G142" t="s">
        <v>115</v>
      </c>
      <c r="H142" t="s">
        <v>132</v>
      </c>
    </row>
    <row r="143" spans="1:8" x14ac:dyDescent="0.25">
      <c r="A143">
        <v>50</v>
      </c>
      <c r="B143" t="s">
        <v>157</v>
      </c>
      <c r="C143" t="s">
        <v>376</v>
      </c>
      <c r="D143" t="s">
        <v>158</v>
      </c>
      <c r="E143" t="s">
        <v>159</v>
      </c>
      <c r="F143" t="s">
        <v>58</v>
      </c>
      <c r="G143" t="s">
        <v>120</v>
      </c>
      <c r="H143" t="s">
        <v>102</v>
      </c>
    </row>
    <row r="144" spans="1:8" x14ac:dyDescent="0.25">
      <c r="A144">
        <v>50</v>
      </c>
      <c r="B144" t="s">
        <v>157</v>
      </c>
      <c r="C144" t="s">
        <v>377</v>
      </c>
      <c r="D144" t="s">
        <v>158</v>
      </c>
      <c r="E144" t="s">
        <v>159</v>
      </c>
      <c r="F144" t="s">
        <v>58</v>
      </c>
      <c r="G144" t="s">
        <v>120</v>
      </c>
      <c r="H144" t="s">
        <v>131</v>
      </c>
    </row>
    <row r="145" spans="1:8" x14ac:dyDescent="0.25">
      <c r="A145">
        <v>51</v>
      </c>
      <c r="B145" t="s">
        <v>216</v>
      </c>
      <c r="C145" t="s">
        <v>348</v>
      </c>
      <c r="D145" t="s">
        <v>223</v>
      </c>
      <c r="E145" t="s">
        <v>230</v>
      </c>
      <c r="F145" t="s">
        <v>34</v>
      </c>
      <c r="G145" t="s">
        <v>117</v>
      </c>
      <c r="H145" t="s">
        <v>89</v>
      </c>
    </row>
    <row r="146" spans="1:8" x14ac:dyDescent="0.25">
      <c r="A146">
        <v>51</v>
      </c>
      <c r="B146" t="s">
        <v>216</v>
      </c>
      <c r="C146" t="s">
        <v>349</v>
      </c>
      <c r="D146" t="s">
        <v>223</v>
      </c>
      <c r="E146" t="s">
        <v>230</v>
      </c>
      <c r="F146" t="s">
        <v>34</v>
      </c>
      <c r="G146" t="s">
        <v>117</v>
      </c>
      <c r="H146" t="s">
        <v>331</v>
      </c>
    </row>
    <row r="147" spans="1:8" x14ac:dyDescent="0.25">
      <c r="A147">
        <v>52</v>
      </c>
      <c r="B147" t="s">
        <v>265</v>
      </c>
      <c r="C147" t="s">
        <v>392</v>
      </c>
      <c r="D147" t="s">
        <v>263</v>
      </c>
      <c r="E147" t="s">
        <v>267</v>
      </c>
      <c r="F147" t="s">
        <v>58</v>
      </c>
      <c r="G147" t="s">
        <v>113</v>
      </c>
      <c r="H147" t="s">
        <v>105</v>
      </c>
    </row>
    <row r="148" spans="1:8" x14ac:dyDescent="0.25">
      <c r="A148">
        <v>52</v>
      </c>
      <c r="B148" t="s">
        <v>265</v>
      </c>
      <c r="C148" t="s">
        <v>393</v>
      </c>
      <c r="D148" t="s">
        <v>263</v>
      </c>
      <c r="E148" t="s">
        <v>267</v>
      </c>
      <c r="F148" t="s">
        <v>58</v>
      </c>
      <c r="G148" t="s">
        <v>113</v>
      </c>
      <c r="H148" t="s">
        <v>105</v>
      </c>
    </row>
    <row r="149" spans="1:8" x14ac:dyDescent="0.25">
      <c r="A149">
        <v>53</v>
      </c>
      <c r="B149" t="s">
        <v>265</v>
      </c>
      <c r="C149" t="s">
        <v>392</v>
      </c>
      <c r="D149" t="s">
        <v>263</v>
      </c>
      <c r="E149" t="s">
        <v>267</v>
      </c>
      <c r="F149" t="s">
        <v>34</v>
      </c>
      <c r="G149" t="s">
        <v>113</v>
      </c>
      <c r="H149" t="s">
        <v>105</v>
      </c>
    </row>
    <row r="150" spans="1:8" x14ac:dyDescent="0.25">
      <c r="A150">
        <v>53</v>
      </c>
      <c r="B150" t="s">
        <v>265</v>
      </c>
      <c r="C150" t="s">
        <v>393</v>
      </c>
      <c r="D150" t="s">
        <v>263</v>
      </c>
      <c r="E150" t="s">
        <v>267</v>
      </c>
      <c r="F150" t="s">
        <v>34</v>
      </c>
      <c r="G150" t="s">
        <v>113</v>
      </c>
      <c r="H150" t="s">
        <v>105</v>
      </c>
    </row>
    <row r="151" spans="1:8" x14ac:dyDescent="0.25">
      <c r="A151">
        <v>54</v>
      </c>
      <c r="B151" t="s">
        <v>298</v>
      </c>
      <c r="C151" t="s">
        <v>388</v>
      </c>
      <c r="D151" t="s">
        <v>295</v>
      </c>
      <c r="E151" t="s">
        <v>299</v>
      </c>
      <c r="F151" t="s">
        <v>58</v>
      </c>
      <c r="G151" t="s">
        <v>118</v>
      </c>
      <c r="H151" t="s">
        <v>83</v>
      </c>
    </row>
    <row r="152" spans="1:8" x14ac:dyDescent="0.25">
      <c r="A152">
        <v>54</v>
      </c>
      <c r="B152" t="s">
        <v>298</v>
      </c>
      <c r="C152" t="s">
        <v>389</v>
      </c>
      <c r="D152" t="s">
        <v>295</v>
      </c>
      <c r="E152" t="s">
        <v>299</v>
      </c>
      <c r="F152" t="s">
        <v>58</v>
      </c>
      <c r="G152" t="s">
        <v>118</v>
      </c>
      <c r="H152" t="s">
        <v>339</v>
      </c>
    </row>
    <row r="153" spans="1:8" x14ac:dyDescent="0.25">
      <c r="A153">
        <v>55</v>
      </c>
      <c r="B153" t="s">
        <v>183</v>
      </c>
      <c r="C153" t="s">
        <v>350</v>
      </c>
      <c r="D153" t="s">
        <v>188</v>
      </c>
      <c r="E153" t="s">
        <v>192</v>
      </c>
      <c r="F153" t="s">
        <v>34</v>
      </c>
      <c r="G153" t="s">
        <v>116</v>
      </c>
      <c r="H153" t="s">
        <v>130</v>
      </c>
    </row>
    <row r="154" spans="1:8" x14ac:dyDescent="0.25">
      <c r="A154">
        <v>55</v>
      </c>
      <c r="B154" t="s">
        <v>183</v>
      </c>
      <c r="C154" t="s">
        <v>351</v>
      </c>
      <c r="D154" t="s">
        <v>188</v>
      </c>
      <c r="E154" t="s">
        <v>192</v>
      </c>
      <c r="F154" t="s">
        <v>34</v>
      </c>
      <c r="G154" t="s">
        <v>116</v>
      </c>
      <c r="H154" t="s">
        <v>210</v>
      </c>
    </row>
    <row r="155" spans="1:8" x14ac:dyDescent="0.25">
      <c r="A155">
        <v>56</v>
      </c>
      <c r="B155" t="s">
        <v>176</v>
      </c>
      <c r="C155" t="s">
        <v>350</v>
      </c>
      <c r="D155" t="s">
        <v>175</v>
      </c>
      <c r="E155" t="s">
        <v>177</v>
      </c>
      <c r="F155" t="s">
        <v>34</v>
      </c>
      <c r="G155" t="s">
        <v>116</v>
      </c>
      <c r="H155" t="s">
        <v>130</v>
      </c>
    </row>
    <row r="156" spans="1:8" x14ac:dyDescent="0.25">
      <c r="A156">
        <v>56</v>
      </c>
      <c r="B156" t="s">
        <v>176</v>
      </c>
      <c r="C156" t="s">
        <v>351</v>
      </c>
      <c r="D156" t="s">
        <v>175</v>
      </c>
      <c r="E156" t="s">
        <v>177</v>
      </c>
      <c r="F156" t="s">
        <v>34</v>
      </c>
      <c r="G156" t="s">
        <v>116</v>
      </c>
      <c r="H156" t="s">
        <v>210</v>
      </c>
    </row>
    <row r="157" spans="1:8" x14ac:dyDescent="0.25">
      <c r="A157">
        <v>57</v>
      </c>
      <c r="B157" t="s">
        <v>154</v>
      </c>
      <c r="C157" t="s">
        <v>376</v>
      </c>
      <c r="D157" t="s">
        <v>155</v>
      </c>
      <c r="E157" t="s">
        <v>156</v>
      </c>
      <c r="F157" t="s">
        <v>58</v>
      </c>
      <c r="G157" t="s">
        <v>120</v>
      </c>
      <c r="H157" t="s">
        <v>102</v>
      </c>
    </row>
    <row r="158" spans="1:8" x14ac:dyDescent="0.25">
      <c r="A158">
        <v>57</v>
      </c>
      <c r="B158" t="s">
        <v>154</v>
      </c>
      <c r="C158" t="s">
        <v>377</v>
      </c>
      <c r="D158" t="s">
        <v>155</v>
      </c>
      <c r="E158" t="s">
        <v>156</v>
      </c>
      <c r="F158" t="s">
        <v>58</v>
      </c>
      <c r="G158" t="s">
        <v>120</v>
      </c>
      <c r="H158" t="s">
        <v>131</v>
      </c>
    </row>
    <row r="159" spans="1:8" x14ac:dyDescent="0.25">
      <c r="A159">
        <v>58</v>
      </c>
      <c r="B159" t="s">
        <v>278</v>
      </c>
      <c r="C159" t="s">
        <v>380</v>
      </c>
      <c r="D159" t="s">
        <v>273</v>
      </c>
      <c r="E159" t="s">
        <v>284</v>
      </c>
      <c r="F159" t="s">
        <v>58</v>
      </c>
      <c r="G159" t="s">
        <v>119</v>
      </c>
      <c r="H159" t="s">
        <v>99</v>
      </c>
    </row>
    <row r="160" spans="1:8" x14ac:dyDescent="0.25">
      <c r="A160">
        <v>58</v>
      </c>
      <c r="B160" t="s">
        <v>278</v>
      </c>
      <c r="C160" t="s">
        <v>381</v>
      </c>
      <c r="D160" t="s">
        <v>273</v>
      </c>
      <c r="E160" t="s">
        <v>284</v>
      </c>
      <c r="F160" t="s">
        <v>58</v>
      </c>
      <c r="G160" t="s">
        <v>119</v>
      </c>
      <c r="H160" t="s">
        <v>205</v>
      </c>
    </row>
    <row r="161" spans="1:8" x14ac:dyDescent="0.25">
      <c r="A161">
        <v>59</v>
      </c>
      <c r="B161" t="s">
        <v>278</v>
      </c>
      <c r="C161" t="s">
        <v>380</v>
      </c>
      <c r="D161" t="s">
        <v>273</v>
      </c>
      <c r="E161" t="s">
        <v>284</v>
      </c>
      <c r="F161" t="s">
        <v>34</v>
      </c>
      <c r="G161" t="s">
        <v>119</v>
      </c>
      <c r="H161" t="s">
        <v>99</v>
      </c>
    </row>
    <row r="162" spans="1:8" x14ac:dyDescent="0.25">
      <c r="A162">
        <v>59</v>
      </c>
      <c r="B162" t="s">
        <v>278</v>
      </c>
      <c r="C162" t="s">
        <v>381</v>
      </c>
      <c r="D162" t="s">
        <v>273</v>
      </c>
      <c r="E162" t="s">
        <v>284</v>
      </c>
      <c r="F162" t="s">
        <v>34</v>
      </c>
      <c r="G162" t="s">
        <v>119</v>
      </c>
      <c r="H162" t="s">
        <v>205</v>
      </c>
    </row>
    <row r="163" spans="1:8" x14ac:dyDescent="0.25">
      <c r="A163">
        <v>60</v>
      </c>
      <c r="B163" t="s">
        <v>61</v>
      </c>
      <c r="C163" t="s">
        <v>353</v>
      </c>
      <c r="D163" t="s">
        <v>62</v>
      </c>
      <c r="E163" t="s">
        <v>77</v>
      </c>
      <c r="F163" t="s">
        <v>58</v>
      </c>
      <c r="G163" t="s">
        <v>31</v>
      </c>
      <c r="H163" t="s">
        <v>129</v>
      </c>
    </row>
    <row r="164" spans="1:8" x14ac:dyDescent="0.25">
      <c r="A164">
        <v>60</v>
      </c>
      <c r="B164" t="s">
        <v>61</v>
      </c>
      <c r="C164" t="s">
        <v>359</v>
      </c>
      <c r="D164" t="s">
        <v>62</v>
      </c>
      <c r="E164" t="s">
        <v>77</v>
      </c>
      <c r="F164" t="s">
        <v>58</v>
      </c>
      <c r="G164" t="s">
        <v>31</v>
      </c>
      <c r="H164" t="s">
        <v>128</v>
      </c>
    </row>
    <row r="165" spans="1:8" x14ac:dyDescent="0.25">
      <c r="A165">
        <v>60</v>
      </c>
      <c r="B165" t="s">
        <v>61</v>
      </c>
      <c r="C165" t="s">
        <v>384</v>
      </c>
      <c r="D165" t="s">
        <v>62</v>
      </c>
      <c r="E165" t="s">
        <v>77</v>
      </c>
      <c r="F165" t="s">
        <v>58</v>
      </c>
      <c r="G165" t="s">
        <v>31</v>
      </c>
      <c r="H165" t="s">
        <v>300</v>
      </c>
    </row>
    <row r="166" spans="1:8" x14ac:dyDescent="0.25">
      <c r="A166">
        <v>60</v>
      </c>
      <c r="B166" t="s">
        <v>61</v>
      </c>
      <c r="C166" t="s">
        <v>394</v>
      </c>
      <c r="D166" t="s">
        <v>62</v>
      </c>
      <c r="E166" t="s">
        <v>77</v>
      </c>
      <c r="F166" t="s">
        <v>58</v>
      </c>
      <c r="G166" t="s">
        <v>31</v>
      </c>
      <c r="H166" t="s">
        <v>107</v>
      </c>
    </row>
    <row r="167" spans="1:8" x14ac:dyDescent="0.25">
      <c r="A167">
        <v>60</v>
      </c>
      <c r="B167" t="s">
        <v>61</v>
      </c>
      <c r="C167" t="s">
        <v>395</v>
      </c>
      <c r="D167" t="s">
        <v>62</v>
      </c>
      <c r="E167" t="s">
        <v>77</v>
      </c>
      <c r="F167" t="s">
        <v>58</v>
      </c>
      <c r="G167" t="s">
        <v>31</v>
      </c>
      <c r="H167" t="s">
        <v>103</v>
      </c>
    </row>
    <row r="168" spans="1:8" x14ac:dyDescent="0.25">
      <c r="A168">
        <v>60</v>
      </c>
      <c r="B168" t="s">
        <v>61</v>
      </c>
      <c r="C168" t="s">
        <v>361</v>
      </c>
      <c r="D168" t="s">
        <v>62</v>
      </c>
      <c r="E168" t="s">
        <v>77</v>
      </c>
      <c r="F168" t="s">
        <v>58</v>
      </c>
      <c r="G168" t="s">
        <v>31</v>
      </c>
      <c r="H168" t="s">
        <v>303</v>
      </c>
    </row>
    <row r="169" spans="1:8" x14ac:dyDescent="0.25">
      <c r="A169">
        <v>61</v>
      </c>
      <c r="B169" t="s">
        <v>56</v>
      </c>
      <c r="C169" t="s">
        <v>355</v>
      </c>
      <c r="D169" t="s">
        <v>57</v>
      </c>
      <c r="E169" t="s">
        <v>74</v>
      </c>
      <c r="F169" t="s">
        <v>34</v>
      </c>
      <c r="G169" t="s">
        <v>31</v>
      </c>
      <c r="H169" t="s">
        <v>92</v>
      </c>
    </row>
    <row r="170" spans="1:8" x14ac:dyDescent="0.25">
      <c r="A170">
        <v>61</v>
      </c>
      <c r="B170" t="s">
        <v>56</v>
      </c>
      <c r="C170" t="s">
        <v>352</v>
      </c>
      <c r="D170" t="s">
        <v>57</v>
      </c>
      <c r="E170" t="s">
        <v>74</v>
      </c>
      <c r="F170" t="s">
        <v>34</v>
      </c>
      <c r="G170" t="s">
        <v>31</v>
      </c>
      <c r="H170" t="s">
        <v>108</v>
      </c>
    </row>
    <row r="171" spans="1:8" x14ac:dyDescent="0.25">
      <c r="A171">
        <v>61</v>
      </c>
      <c r="B171" t="s">
        <v>56</v>
      </c>
      <c r="C171" t="s">
        <v>396</v>
      </c>
      <c r="D171" t="s">
        <v>57</v>
      </c>
      <c r="E171" t="s">
        <v>74</v>
      </c>
      <c r="F171" t="s">
        <v>34</v>
      </c>
      <c r="G171" t="s">
        <v>31</v>
      </c>
      <c r="H171" t="s">
        <v>82</v>
      </c>
    </row>
    <row r="172" spans="1:8" x14ac:dyDescent="0.25">
      <c r="A172">
        <v>61</v>
      </c>
      <c r="B172" t="s">
        <v>56</v>
      </c>
      <c r="C172" t="s">
        <v>359</v>
      </c>
      <c r="D172" t="s">
        <v>57</v>
      </c>
      <c r="E172" t="s">
        <v>74</v>
      </c>
      <c r="F172" t="s">
        <v>34</v>
      </c>
      <c r="G172" t="s">
        <v>31</v>
      </c>
      <c r="H172" t="s">
        <v>128</v>
      </c>
    </row>
    <row r="173" spans="1:8" x14ac:dyDescent="0.25">
      <c r="A173">
        <v>61</v>
      </c>
      <c r="B173" t="s">
        <v>56</v>
      </c>
      <c r="C173" t="s">
        <v>358</v>
      </c>
      <c r="D173" t="s">
        <v>57</v>
      </c>
      <c r="E173" t="s">
        <v>74</v>
      </c>
      <c r="F173" t="s">
        <v>34</v>
      </c>
      <c r="G173" t="s">
        <v>31</v>
      </c>
      <c r="H173" t="s">
        <v>304</v>
      </c>
    </row>
    <row r="174" spans="1:8" x14ac:dyDescent="0.25">
      <c r="A174">
        <v>61</v>
      </c>
      <c r="B174" t="s">
        <v>56</v>
      </c>
      <c r="C174" t="s">
        <v>353</v>
      </c>
      <c r="D174" t="s">
        <v>57</v>
      </c>
      <c r="E174" t="s">
        <v>74</v>
      </c>
      <c r="F174" t="s">
        <v>34</v>
      </c>
      <c r="G174" t="s">
        <v>31</v>
      </c>
      <c r="H174" t="s">
        <v>129</v>
      </c>
    </row>
    <row r="175" spans="1:8" x14ac:dyDescent="0.25">
      <c r="A175">
        <v>61</v>
      </c>
      <c r="B175" t="s">
        <v>56</v>
      </c>
      <c r="C175" t="s">
        <v>362</v>
      </c>
      <c r="D175" t="s">
        <v>57</v>
      </c>
      <c r="E175" t="s">
        <v>74</v>
      </c>
      <c r="F175" t="s">
        <v>34</v>
      </c>
      <c r="G175" t="s">
        <v>31</v>
      </c>
      <c r="H175" t="s">
        <v>90</v>
      </c>
    </row>
    <row r="176" spans="1:8" x14ac:dyDescent="0.25">
      <c r="A176">
        <v>62</v>
      </c>
      <c r="B176" t="s">
        <v>163</v>
      </c>
      <c r="C176" t="s">
        <v>376</v>
      </c>
      <c r="D176" t="s">
        <v>164</v>
      </c>
      <c r="E176" t="s">
        <v>165</v>
      </c>
      <c r="F176" t="s">
        <v>58</v>
      </c>
      <c r="G176" t="s">
        <v>120</v>
      </c>
      <c r="H176" t="s">
        <v>102</v>
      </c>
    </row>
    <row r="177" spans="1:8" x14ac:dyDescent="0.25">
      <c r="A177">
        <v>62</v>
      </c>
      <c r="B177" t="s">
        <v>163</v>
      </c>
      <c r="C177" t="s">
        <v>377</v>
      </c>
      <c r="D177" t="s">
        <v>164</v>
      </c>
      <c r="E177" t="s">
        <v>165</v>
      </c>
      <c r="F177" t="s">
        <v>58</v>
      </c>
      <c r="G177" t="s">
        <v>120</v>
      </c>
      <c r="H177" t="s">
        <v>131</v>
      </c>
    </row>
    <row r="178" spans="1:8" x14ac:dyDescent="0.25">
      <c r="A178">
        <v>63</v>
      </c>
      <c r="B178" t="s">
        <v>264</v>
      </c>
      <c r="C178" t="s">
        <v>392</v>
      </c>
      <c r="D178" t="s">
        <v>262</v>
      </c>
      <c r="E178" t="s">
        <v>266</v>
      </c>
      <c r="F178" t="s">
        <v>58</v>
      </c>
      <c r="G178" t="s">
        <v>113</v>
      </c>
      <c r="H178" t="s">
        <v>105</v>
      </c>
    </row>
    <row r="179" spans="1:8" x14ac:dyDescent="0.25">
      <c r="A179">
        <v>63</v>
      </c>
      <c r="B179" t="s">
        <v>264</v>
      </c>
      <c r="C179" t="s">
        <v>393</v>
      </c>
      <c r="D179" t="s">
        <v>262</v>
      </c>
      <c r="E179" t="s">
        <v>266</v>
      </c>
      <c r="F179" t="s">
        <v>58</v>
      </c>
      <c r="G179" t="s">
        <v>113</v>
      </c>
      <c r="H179" t="s">
        <v>105</v>
      </c>
    </row>
    <row r="180" spans="1:8" x14ac:dyDescent="0.25">
      <c r="A180">
        <v>64</v>
      </c>
      <c r="B180" t="s">
        <v>264</v>
      </c>
      <c r="C180" t="s">
        <v>392</v>
      </c>
      <c r="D180" t="s">
        <v>262</v>
      </c>
      <c r="E180" t="s">
        <v>266</v>
      </c>
      <c r="F180" t="s">
        <v>34</v>
      </c>
      <c r="G180" t="s">
        <v>113</v>
      </c>
      <c r="H180" t="s">
        <v>105</v>
      </c>
    </row>
    <row r="181" spans="1:8" x14ac:dyDescent="0.25">
      <c r="A181">
        <v>64</v>
      </c>
      <c r="B181" t="s">
        <v>264</v>
      </c>
      <c r="C181" t="s">
        <v>393</v>
      </c>
      <c r="D181" t="s">
        <v>262</v>
      </c>
      <c r="E181" t="s">
        <v>266</v>
      </c>
      <c r="F181" t="s">
        <v>34</v>
      </c>
      <c r="G181" t="s">
        <v>113</v>
      </c>
      <c r="H181" t="s">
        <v>105</v>
      </c>
    </row>
    <row r="182" spans="1:8" x14ac:dyDescent="0.25">
      <c r="A182">
        <v>65</v>
      </c>
      <c r="B182" t="s">
        <v>211</v>
      </c>
      <c r="C182" t="s">
        <v>348</v>
      </c>
      <c r="D182" t="s">
        <v>218</v>
      </c>
      <c r="E182" t="s">
        <v>225</v>
      </c>
      <c r="F182" t="s">
        <v>34</v>
      </c>
      <c r="G182" t="s">
        <v>117</v>
      </c>
      <c r="H182" t="s">
        <v>89</v>
      </c>
    </row>
    <row r="183" spans="1:8" x14ac:dyDescent="0.25">
      <c r="A183">
        <v>65</v>
      </c>
      <c r="B183" t="s">
        <v>211</v>
      </c>
      <c r="C183" t="s">
        <v>349</v>
      </c>
      <c r="D183" t="s">
        <v>218</v>
      </c>
      <c r="E183" t="s">
        <v>225</v>
      </c>
      <c r="F183" t="s">
        <v>34</v>
      </c>
      <c r="G183" t="s">
        <v>117</v>
      </c>
      <c r="H183" t="s">
        <v>331</v>
      </c>
    </row>
    <row r="184" spans="1:8" x14ac:dyDescent="0.25">
      <c r="A184">
        <v>66</v>
      </c>
      <c r="B184" t="s">
        <v>173</v>
      </c>
      <c r="C184" t="s">
        <v>376</v>
      </c>
      <c r="D184" t="s">
        <v>172</v>
      </c>
      <c r="E184" t="s">
        <v>174</v>
      </c>
      <c r="F184" t="s">
        <v>58</v>
      </c>
      <c r="G184" t="s">
        <v>120</v>
      </c>
      <c r="H184" t="s">
        <v>102</v>
      </c>
    </row>
    <row r="185" spans="1:8" x14ac:dyDescent="0.25">
      <c r="A185">
        <v>66</v>
      </c>
      <c r="B185" t="s">
        <v>173</v>
      </c>
      <c r="C185" t="s">
        <v>377</v>
      </c>
      <c r="D185" t="s">
        <v>172</v>
      </c>
      <c r="E185" t="s">
        <v>174</v>
      </c>
      <c r="F185" t="s">
        <v>58</v>
      </c>
      <c r="G185" t="s">
        <v>120</v>
      </c>
      <c r="H185" t="s">
        <v>131</v>
      </c>
    </row>
    <row r="186" spans="1:8" x14ac:dyDescent="0.25">
      <c r="A186">
        <v>67</v>
      </c>
      <c r="B186" t="s">
        <v>181</v>
      </c>
      <c r="C186" t="s">
        <v>350</v>
      </c>
      <c r="D186" t="s">
        <v>186</v>
      </c>
      <c r="E186" t="s">
        <v>190</v>
      </c>
      <c r="F186" t="s">
        <v>34</v>
      </c>
      <c r="G186" t="s">
        <v>116</v>
      </c>
      <c r="H186" t="s">
        <v>130</v>
      </c>
    </row>
    <row r="187" spans="1:8" x14ac:dyDescent="0.25">
      <c r="A187">
        <v>67</v>
      </c>
      <c r="B187" t="s">
        <v>181</v>
      </c>
      <c r="C187" t="s">
        <v>351</v>
      </c>
      <c r="D187" t="s">
        <v>186</v>
      </c>
      <c r="E187" t="s">
        <v>190</v>
      </c>
      <c r="F187" t="s">
        <v>34</v>
      </c>
      <c r="G187" t="s">
        <v>116</v>
      </c>
      <c r="H187" t="s">
        <v>210</v>
      </c>
    </row>
    <row r="188" spans="1:8" x14ac:dyDescent="0.25">
      <c r="A188">
        <v>68</v>
      </c>
      <c r="B188" t="s">
        <v>341</v>
      </c>
      <c r="C188" t="s">
        <v>364</v>
      </c>
      <c r="D188" t="s">
        <v>342</v>
      </c>
      <c r="E188" t="s">
        <v>343</v>
      </c>
      <c r="F188" t="s">
        <v>58</v>
      </c>
      <c r="G188" t="s">
        <v>31</v>
      </c>
      <c r="H188" t="s">
        <v>305</v>
      </c>
    </row>
    <row r="189" spans="1:8" x14ac:dyDescent="0.25">
      <c r="A189">
        <v>68</v>
      </c>
      <c r="B189" t="s">
        <v>341</v>
      </c>
      <c r="C189" t="s">
        <v>356</v>
      </c>
      <c r="D189" t="s">
        <v>342</v>
      </c>
      <c r="E189" t="s">
        <v>343</v>
      </c>
      <c r="F189" t="s">
        <v>58</v>
      </c>
      <c r="G189" t="s">
        <v>31</v>
      </c>
      <c r="H189" t="s">
        <v>127</v>
      </c>
    </row>
    <row r="190" spans="1:8" x14ac:dyDescent="0.25">
      <c r="A190">
        <v>68</v>
      </c>
      <c r="B190" t="s">
        <v>341</v>
      </c>
      <c r="C190" t="s">
        <v>382</v>
      </c>
      <c r="D190" t="s">
        <v>342</v>
      </c>
      <c r="E190" t="s">
        <v>343</v>
      </c>
      <c r="F190" t="s">
        <v>58</v>
      </c>
      <c r="G190" t="s">
        <v>31</v>
      </c>
      <c r="H190" t="s">
        <v>91</v>
      </c>
    </row>
    <row r="191" spans="1:8" x14ac:dyDescent="0.25">
      <c r="A191">
        <v>68</v>
      </c>
      <c r="B191" t="s">
        <v>341</v>
      </c>
      <c r="C191" t="s">
        <v>365</v>
      </c>
      <c r="D191" t="s">
        <v>342</v>
      </c>
      <c r="E191" t="s">
        <v>343</v>
      </c>
      <c r="F191" t="s">
        <v>58</v>
      </c>
      <c r="G191" t="s">
        <v>31</v>
      </c>
      <c r="H191" t="s">
        <v>306</v>
      </c>
    </row>
    <row r="192" spans="1:8" x14ac:dyDescent="0.25">
      <c r="A192">
        <v>68</v>
      </c>
      <c r="B192" t="s">
        <v>341</v>
      </c>
      <c r="C192" t="s">
        <v>359</v>
      </c>
      <c r="D192" t="s">
        <v>342</v>
      </c>
      <c r="E192" t="s">
        <v>343</v>
      </c>
      <c r="F192" t="s">
        <v>58</v>
      </c>
      <c r="G192" t="s">
        <v>31</v>
      </c>
      <c r="H192" t="s">
        <v>128</v>
      </c>
    </row>
    <row r="193" spans="1:8" x14ac:dyDescent="0.25">
      <c r="A193">
        <v>68</v>
      </c>
      <c r="B193" t="s">
        <v>341</v>
      </c>
      <c r="C193" t="s">
        <v>352</v>
      </c>
      <c r="D193" t="s">
        <v>342</v>
      </c>
      <c r="E193" t="s">
        <v>343</v>
      </c>
      <c r="F193" t="s">
        <v>58</v>
      </c>
      <c r="G193" t="s">
        <v>31</v>
      </c>
      <c r="H193" t="s">
        <v>108</v>
      </c>
    </row>
    <row r="194" spans="1:8" x14ac:dyDescent="0.25">
      <c r="A194">
        <v>68</v>
      </c>
      <c r="B194" t="s">
        <v>341</v>
      </c>
      <c r="C194" t="s">
        <v>355</v>
      </c>
      <c r="D194" t="s">
        <v>342</v>
      </c>
      <c r="E194" t="s">
        <v>343</v>
      </c>
      <c r="F194" t="s">
        <v>58</v>
      </c>
      <c r="G194" t="s">
        <v>31</v>
      </c>
      <c r="H194" t="s">
        <v>92</v>
      </c>
    </row>
    <row r="195" spans="1:8" x14ac:dyDescent="0.25">
      <c r="A195">
        <v>68</v>
      </c>
      <c r="B195" t="s">
        <v>341</v>
      </c>
      <c r="C195" t="s">
        <v>383</v>
      </c>
      <c r="D195" t="s">
        <v>342</v>
      </c>
      <c r="E195" t="s">
        <v>343</v>
      </c>
      <c r="F195" t="s">
        <v>58</v>
      </c>
      <c r="G195" t="s">
        <v>31</v>
      </c>
      <c r="H195" t="s">
        <v>302</v>
      </c>
    </row>
    <row r="196" spans="1:8" x14ac:dyDescent="0.25">
      <c r="A196">
        <v>69</v>
      </c>
      <c r="B196" t="s">
        <v>46</v>
      </c>
      <c r="C196" t="s">
        <v>359</v>
      </c>
      <c r="D196" t="s">
        <v>49</v>
      </c>
      <c r="E196" t="s">
        <v>70</v>
      </c>
      <c r="F196" t="s">
        <v>34</v>
      </c>
      <c r="G196" t="s">
        <v>31</v>
      </c>
      <c r="H196" t="s">
        <v>128</v>
      </c>
    </row>
    <row r="197" spans="1:8" x14ac:dyDescent="0.25">
      <c r="A197">
        <v>69</v>
      </c>
      <c r="B197" t="s">
        <v>46</v>
      </c>
      <c r="C197" t="s">
        <v>361</v>
      </c>
      <c r="D197" t="s">
        <v>49</v>
      </c>
      <c r="E197" t="s">
        <v>70</v>
      </c>
      <c r="F197" t="s">
        <v>34</v>
      </c>
      <c r="G197" t="s">
        <v>31</v>
      </c>
      <c r="H197" t="s">
        <v>303</v>
      </c>
    </row>
    <row r="198" spans="1:8" x14ac:dyDescent="0.25">
      <c r="A198">
        <v>69</v>
      </c>
      <c r="B198" t="s">
        <v>46</v>
      </c>
      <c r="C198" t="s">
        <v>358</v>
      </c>
      <c r="D198" t="s">
        <v>49</v>
      </c>
      <c r="E198" t="s">
        <v>70</v>
      </c>
      <c r="F198" t="s">
        <v>34</v>
      </c>
      <c r="G198" t="s">
        <v>31</v>
      </c>
      <c r="H198" t="s">
        <v>304</v>
      </c>
    </row>
    <row r="199" spans="1:8" x14ac:dyDescent="0.25">
      <c r="A199">
        <v>69</v>
      </c>
      <c r="B199" t="s">
        <v>46</v>
      </c>
      <c r="C199" t="s">
        <v>397</v>
      </c>
      <c r="D199" t="s">
        <v>49</v>
      </c>
      <c r="E199" t="s">
        <v>70</v>
      </c>
      <c r="F199" t="s">
        <v>34</v>
      </c>
      <c r="G199" t="s">
        <v>31</v>
      </c>
    </row>
    <row r="200" spans="1:8" x14ac:dyDescent="0.25">
      <c r="A200">
        <v>69</v>
      </c>
      <c r="B200" t="s">
        <v>46</v>
      </c>
      <c r="C200" t="s">
        <v>353</v>
      </c>
      <c r="D200" t="s">
        <v>49</v>
      </c>
      <c r="E200" t="s">
        <v>70</v>
      </c>
      <c r="F200" t="s">
        <v>34</v>
      </c>
      <c r="G200" t="s">
        <v>31</v>
      </c>
      <c r="H200" t="s">
        <v>129</v>
      </c>
    </row>
    <row r="201" spans="1:8" x14ac:dyDescent="0.25">
      <c r="A201">
        <v>69</v>
      </c>
      <c r="B201" t="s">
        <v>46</v>
      </c>
      <c r="C201" t="s">
        <v>365</v>
      </c>
      <c r="D201" t="s">
        <v>49</v>
      </c>
      <c r="E201" t="s">
        <v>70</v>
      </c>
      <c r="F201" t="s">
        <v>34</v>
      </c>
      <c r="G201" t="s">
        <v>31</v>
      </c>
      <c r="H201" t="s">
        <v>306</v>
      </c>
    </row>
    <row r="202" spans="1:8" x14ac:dyDescent="0.25">
      <c r="A202">
        <v>69</v>
      </c>
      <c r="B202" t="s">
        <v>46</v>
      </c>
      <c r="C202" t="s">
        <v>364</v>
      </c>
      <c r="D202" t="s">
        <v>49</v>
      </c>
      <c r="E202" t="s">
        <v>70</v>
      </c>
      <c r="F202" t="s">
        <v>34</v>
      </c>
      <c r="G202" t="s">
        <v>31</v>
      </c>
      <c r="H202" t="s">
        <v>305</v>
      </c>
    </row>
    <row r="203" spans="1:8" x14ac:dyDescent="0.25">
      <c r="A203">
        <v>70</v>
      </c>
      <c r="B203" t="s">
        <v>46</v>
      </c>
      <c r="C203" t="s">
        <v>385</v>
      </c>
      <c r="D203" t="s">
        <v>49</v>
      </c>
      <c r="E203" t="s">
        <v>70</v>
      </c>
      <c r="F203" t="s">
        <v>58</v>
      </c>
      <c r="G203" t="s">
        <v>31</v>
      </c>
      <c r="H203" t="s">
        <v>107</v>
      </c>
    </row>
    <row r="204" spans="1:8" x14ac:dyDescent="0.25">
      <c r="A204">
        <v>70</v>
      </c>
      <c r="B204" t="s">
        <v>46</v>
      </c>
      <c r="C204" t="s">
        <v>384</v>
      </c>
      <c r="D204" t="s">
        <v>49</v>
      </c>
      <c r="E204" t="s">
        <v>70</v>
      </c>
      <c r="F204" t="s">
        <v>58</v>
      </c>
      <c r="G204" t="s">
        <v>31</v>
      </c>
      <c r="H204" t="s">
        <v>300</v>
      </c>
    </row>
    <row r="205" spans="1:8" x14ac:dyDescent="0.25">
      <c r="A205">
        <v>70</v>
      </c>
      <c r="B205" t="s">
        <v>46</v>
      </c>
      <c r="C205" t="s">
        <v>361</v>
      </c>
      <c r="D205" t="s">
        <v>49</v>
      </c>
      <c r="E205" t="s">
        <v>70</v>
      </c>
      <c r="F205" t="s">
        <v>58</v>
      </c>
      <c r="G205" t="s">
        <v>31</v>
      </c>
      <c r="H205" t="s">
        <v>303</v>
      </c>
    </row>
    <row r="206" spans="1:8" x14ac:dyDescent="0.25">
      <c r="A206">
        <v>70</v>
      </c>
      <c r="B206" t="s">
        <v>46</v>
      </c>
      <c r="C206" t="s">
        <v>360</v>
      </c>
      <c r="D206" t="s">
        <v>49</v>
      </c>
      <c r="E206" t="s">
        <v>70</v>
      </c>
      <c r="F206" t="s">
        <v>58</v>
      </c>
      <c r="G206" t="s">
        <v>31</v>
      </c>
      <c r="H206" t="s">
        <v>80</v>
      </c>
    </row>
    <row r="207" spans="1:8" x14ac:dyDescent="0.25">
      <c r="A207">
        <v>71</v>
      </c>
      <c r="B207" t="s">
        <v>44</v>
      </c>
      <c r="C207" t="s">
        <v>353</v>
      </c>
      <c r="D207" t="s">
        <v>45</v>
      </c>
      <c r="E207" t="s">
        <v>75</v>
      </c>
      <c r="F207" t="s">
        <v>34</v>
      </c>
      <c r="G207" t="s">
        <v>31</v>
      </c>
      <c r="H207" t="s">
        <v>129</v>
      </c>
    </row>
    <row r="208" spans="1:8" x14ac:dyDescent="0.25">
      <c r="A208">
        <v>71</v>
      </c>
      <c r="B208" t="s">
        <v>44</v>
      </c>
      <c r="C208" t="s">
        <v>398</v>
      </c>
      <c r="D208" t="s">
        <v>45</v>
      </c>
      <c r="E208" t="s">
        <v>75</v>
      </c>
      <c r="F208" t="s">
        <v>34</v>
      </c>
      <c r="G208" t="s">
        <v>31</v>
      </c>
      <c r="H208" t="s">
        <v>302</v>
      </c>
    </row>
    <row r="209" spans="1:8" x14ac:dyDescent="0.25">
      <c r="A209">
        <v>71</v>
      </c>
      <c r="B209" t="s">
        <v>44</v>
      </c>
      <c r="C209" t="s">
        <v>399</v>
      </c>
      <c r="D209" t="s">
        <v>45</v>
      </c>
      <c r="E209" t="s">
        <v>75</v>
      </c>
      <c r="F209" t="s">
        <v>34</v>
      </c>
      <c r="G209" t="s">
        <v>31</v>
      </c>
      <c r="H209" t="s">
        <v>93</v>
      </c>
    </row>
    <row r="210" spans="1:8" x14ac:dyDescent="0.25">
      <c r="A210">
        <v>71</v>
      </c>
      <c r="B210" t="s">
        <v>44</v>
      </c>
      <c r="C210" t="s">
        <v>400</v>
      </c>
      <c r="D210" t="s">
        <v>45</v>
      </c>
      <c r="E210" t="s">
        <v>75</v>
      </c>
      <c r="F210" t="s">
        <v>34</v>
      </c>
      <c r="G210" t="s">
        <v>31</v>
      </c>
      <c r="H210" t="s">
        <v>106</v>
      </c>
    </row>
    <row r="211" spans="1:8" x14ac:dyDescent="0.25">
      <c r="A211">
        <v>71</v>
      </c>
      <c r="B211" t="s">
        <v>44</v>
      </c>
      <c r="C211" t="s">
        <v>384</v>
      </c>
      <c r="D211" t="s">
        <v>45</v>
      </c>
      <c r="E211" t="s">
        <v>75</v>
      </c>
      <c r="F211" t="s">
        <v>34</v>
      </c>
      <c r="G211" t="s">
        <v>31</v>
      </c>
      <c r="H211" t="s">
        <v>300</v>
      </c>
    </row>
    <row r="212" spans="1:8" x14ac:dyDescent="0.25">
      <c r="A212">
        <v>71</v>
      </c>
      <c r="B212" t="s">
        <v>44</v>
      </c>
      <c r="C212" t="s">
        <v>401</v>
      </c>
      <c r="D212" t="s">
        <v>45</v>
      </c>
      <c r="E212" t="s">
        <v>75</v>
      </c>
      <c r="F212" t="s">
        <v>34</v>
      </c>
      <c r="G212" t="s">
        <v>31</v>
      </c>
      <c r="H212" t="s">
        <v>97</v>
      </c>
    </row>
    <row r="213" spans="1:8" x14ac:dyDescent="0.25">
      <c r="A213">
        <v>72</v>
      </c>
      <c r="B213" t="s">
        <v>44</v>
      </c>
      <c r="C213" t="s">
        <v>353</v>
      </c>
      <c r="D213" t="s">
        <v>45</v>
      </c>
      <c r="E213" t="s">
        <v>75</v>
      </c>
      <c r="F213" t="s">
        <v>58</v>
      </c>
      <c r="G213" t="s">
        <v>31</v>
      </c>
      <c r="H213" t="s">
        <v>129</v>
      </c>
    </row>
    <row r="214" spans="1:8" x14ac:dyDescent="0.25">
      <c r="A214">
        <v>72</v>
      </c>
      <c r="B214" t="s">
        <v>44</v>
      </c>
      <c r="C214" t="s">
        <v>402</v>
      </c>
      <c r="D214" t="s">
        <v>45</v>
      </c>
      <c r="E214" t="s">
        <v>75</v>
      </c>
      <c r="F214" t="s">
        <v>58</v>
      </c>
      <c r="G214" t="s">
        <v>31</v>
      </c>
      <c r="H214" t="s">
        <v>104</v>
      </c>
    </row>
    <row r="215" spans="1:8" x14ac:dyDescent="0.25">
      <c r="A215">
        <v>72</v>
      </c>
      <c r="B215" t="s">
        <v>44</v>
      </c>
      <c r="C215" t="s">
        <v>398</v>
      </c>
      <c r="D215" t="s">
        <v>45</v>
      </c>
      <c r="E215" t="s">
        <v>75</v>
      </c>
      <c r="F215" t="s">
        <v>58</v>
      </c>
      <c r="G215" t="s">
        <v>31</v>
      </c>
      <c r="H215" t="s">
        <v>302</v>
      </c>
    </row>
    <row r="216" spans="1:8" x14ac:dyDescent="0.25">
      <c r="A216">
        <v>72</v>
      </c>
      <c r="B216" t="s">
        <v>44</v>
      </c>
      <c r="C216" t="s">
        <v>365</v>
      </c>
      <c r="D216" t="s">
        <v>45</v>
      </c>
      <c r="E216" t="s">
        <v>75</v>
      </c>
      <c r="F216" t="s">
        <v>58</v>
      </c>
      <c r="G216" t="s">
        <v>31</v>
      </c>
      <c r="H216" t="s">
        <v>306</v>
      </c>
    </row>
    <row r="217" spans="1:8" x14ac:dyDescent="0.25">
      <c r="A217">
        <v>72</v>
      </c>
      <c r="B217" t="s">
        <v>44</v>
      </c>
      <c r="C217" t="s">
        <v>354</v>
      </c>
      <c r="D217" t="s">
        <v>45</v>
      </c>
      <c r="E217" t="s">
        <v>75</v>
      </c>
      <c r="F217" t="s">
        <v>58</v>
      </c>
      <c r="G217" t="s">
        <v>31</v>
      </c>
      <c r="H217" t="s">
        <v>128</v>
      </c>
    </row>
    <row r="218" spans="1:8" x14ac:dyDescent="0.25">
      <c r="A218">
        <v>72</v>
      </c>
      <c r="B218" t="s">
        <v>44</v>
      </c>
      <c r="C218" t="s">
        <v>357</v>
      </c>
      <c r="D218" t="s">
        <v>45</v>
      </c>
      <c r="E218" t="s">
        <v>75</v>
      </c>
      <c r="F218" t="s">
        <v>58</v>
      </c>
      <c r="G218" t="s">
        <v>31</v>
      </c>
      <c r="H218" t="s">
        <v>81</v>
      </c>
    </row>
    <row r="219" spans="1:8" x14ac:dyDescent="0.25">
      <c r="A219">
        <v>73</v>
      </c>
      <c r="B219" t="s">
        <v>151</v>
      </c>
      <c r="C219" t="s">
        <v>367</v>
      </c>
      <c r="D219" t="s">
        <v>152</v>
      </c>
      <c r="E219" t="s">
        <v>153</v>
      </c>
      <c r="F219" t="s">
        <v>58</v>
      </c>
      <c r="G219" t="s">
        <v>111</v>
      </c>
      <c r="H219" t="s">
        <v>84</v>
      </c>
    </row>
    <row r="220" spans="1:8" x14ac:dyDescent="0.25">
      <c r="A220">
        <v>73</v>
      </c>
      <c r="B220" t="s">
        <v>151</v>
      </c>
      <c r="C220" t="s">
        <v>368</v>
      </c>
      <c r="D220" t="s">
        <v>152</v>
      </c>
      <c r="E220" t="s">
        <v>153</v>
      </c>
      <c r="F220" t="s">
        <v>58</v>
      </c>
      <c r="G220" t="s">
        <v>111</v>
      </c>
      <c r="H220" t="s">
        <v>209</v>
      </c>
    </row>
    <row r="221" spans="1:8" x14ac:dyDescent="0.25">
      <c r="A221">
        <v>74</v>
      </c>
      <c r="B221" t="s">
        <v>142</v>
      </c>
      <c r="C221" t="s">
        <v>367</v>
      </c>
      <c r="D221" t="s">
        <v>143</v>
      </c>
      <c r="E221" t="s">
        <v>144</v>
      </c>
      <c r="F221" t="s">
        <v>58</v>
      </c>
      <c r="G221" t="s">
        <v>111</v>
      </c>
      <c r="H221" t="s">
        <v>84</v>
      </c>
    </row>
    <row r="222" spans="1:8" x14ac:dyDescent="0.25">
      <c r="A222">
        <v>74</v>
      </c>
      <c r="B222" t="s">
        <v>142</v>
      </c>
      <c r="C222" t="s">
        <v>368</v>
      </c>
      <c r="D222" t="s">
        <v>143</v>
      </c>
      <c r="E222" t="s">
        <v>144</v>
      </c>
      <c r="F222" t="s">
        <v>58</v>
      </c>
      <c r="G222" t="s">
        <v>111</v>
      </c>
      <c r="H222" t="s">
        <v>209</v>
      </c>
    </row>
    <row r="223" spans="1:8" x14ac:dyDescent="0.25">
      <c r="A223">
        <v>75</v>
      </c>
      <c r="B223" t="s">
        <v>148</v>
      </c>
      <c r="C223" t="s">
        <v>367</v>
      </c>
      <c r="D223" t="s">
        <v>149</v>
      </c>
      <c r="E223" t="s">
        <v>150</v>
      </c>
      <c r="F223" t="s">
        <v>58</v>
      </c>
      <c r="G223" t="s">
        <v>111</v>
      </c>
      <c r="H223" t="s">
        <v>84</v>
      </c>
    </row>
    <row r="224" spans="1:8" x14ac:dyDescent="0.25">
      <c r="A224">
        <v>75</v>
      </c>
      <c r="B224" t="s">
        <v>148</v>
      </c>
      <c r="C224" t="s">
        <v>368</v>
      </c>
      <c r="D224" t="s">
        <v>149</v>
      </c>
      <c r="E224" t="s">
        <v>150</v>
      </c>
      <c r="F224" t="s">
        <v>58</v>
      </c>
      <c r="G224" t="s">
        <v>111</v>
      </c>
      <c r="H224" t="s">
        <v>209</v>
      </c>
    </row>
    <row r="225" spans="1:8" x14ac:dyDescent="0.25">
      <c r="A225">
        <v>76</v>
      </c>
      <c r="B225" t="s">
        <v>32</v>
      </c>
      <c r="C225" t="s">
        <v>403</v>
      </c>
      <c r="D225" t="s">
        <v>33</v>
      </c>
      <c r="E225" t="s">
        <v>65</v>
      </c>
      <c r="F225" t="s">
        <v>34</v>
      </c>
      <c r="G225" t="s">
        <v>31</v>
      </c>
      <c r="H225" t="s">
        <v>81</v>
      </c>
    </row>
    <row r="226" spans="1:8" x14ac:dyDescent="0.25">
      <c r="A226">
        <v>76</v>
      </c>
      <c r="B226" t="s">
        <v>32</v>
      </c>
      <c r="C226" t="s">
        <v>352</v>
      </c>
      <c r="D226" t="s">
        <v>33</v>
      </c>
      <c r="E226" t="s">
        <v>65</v>
      </c>
      <c r="F226" t="s">
        <v>34</v>
      </c>
      <c r="G226" t="s">
        <v>31</v>
      </c>
      <c r="H226" t="s">
        <v>108</v>
      </c>
    </row>
    <row r="227" spans="1:8" x14ac:dyDescent="0.25">
      <c r="A227">
        <v>76</v>
      </c>
      <c r="B227" t="s">
        <v>32</v>
      </c>
      <c r="C227" t="s">
        <v>362</v>
      </c>
      <c r="D227" t="s">
        <v>33</v>
      </c>
      <c r="E227" t="s">
        <v>65</v>
      </c>
      <c r="F227" t="s">
        <v>34</v>
      </c>
      <c r="G227" t="s">
        <v>31</v>
      </c>
      <c r="H227" t="s">
        <v>90</v>
      </c>
    </row>
    <row r="228" spans="1:8" x14ac:dyDescent="0.25">
      <c r="A228">
        <v>76</v>
      </c>
      <c r="B228" t="s">
        <v>32</v>
      </c>
      <c r="C228" t="s">
        <v>359</v>
      </c>
      <c r="D228" t="s">
        <v>33</v>
      </c>
      <c r="E228" t="s">
        <v>65</v>
      </c>
      <c r="F228" t="s">
        <v>34</v>
      </c>
      <c r="G228" t="s">
        <v>31</v>
      </c>
      <c r="H228" t="s">
        <v>128</v>
      </c>
    </row>
    <row r="229" spans="1:8" x14ac:dyDescent="0.25">
      <c r="A229">
        <v>76</v>
      </c>
      <c r="B229" t="s">
        <v>32</v>
      </c>
      <c r="C229" t="s">
        <v>353</v>
      </c>
      <c r="D229" t="s">
        <v>33</v>
      </c>
      <c r="E229" t="s">
        <v>65</v>
      </c>
      <c r="F229" t="s">
        <v>34</v>
      </c>
      <c r="G229" t="s">
        <v>31</v>
      </c>
      <c r="H229" t="s">
        <v>129</v>
      </c>
    </row>
    <row r="230" spans="1:8" x14ac:dyDescent="0.25">
      <c r="A230">
        <v>76</v>
      </c>
      <c r="B230" t="s">
        <v>32</v>
      </c>
      <c r="C230" t="s">
        <v>371</v>
      </c>
      <c r="D230" t="s">
        <v>33</v>
      </c>
      <c r="E230" t="s">
        <v>65</v>
      </c>
      <c r="F230" t="s">
        <v>34</v>
      </c>
      <c r="G230" t="s">
        <v>31</v>
      </c>
      <c r="H230" t="s">
        <v>94</v>
      </c>
    </row>
    <row r="231" spans="1:8" x14ac:dyDescent="0.25">
      <c r="A231">
        <v>77</v>
      </c>
      <c r="B231" t="s">
        <v>236</v>
      </c>
      <c r="C231" t="s">
        <v>390</v>
      </c>
      <c r="D231" t="s">
        <v>235</v>
      </c>
      <c r="E231" t="s">
        <v>237</v>
      </c>
      <c r="F231" t="s">
        <v>58</v>
      </c>
      <c r="G231" t="s">
        <v>134</v>
      </c>
      <c r="H231" t="s">
        <v>95</v>
      </c>
    </row>
    <row r="232" spans="1:8" x14ac:dyDescent="0.25">
      <c r="A232">
        <v>77</v>
      </c>
      <c r="B232" t="s">
        <v>236</v>
      </c>
      <c r="C232" t="s">
        <v>391</v>
      </c>
      <c r="D232" t="s">
        <v>235</v>
      </c>
      <c r="E232" t="s">
        <v>237</v>
      </c>
      <c r="F232" t="s">
        <v>58</v>
      </c>
      <c r="G232" t="s">
        <v>134</v>
      </c>
      <c r="H232" t="s">
        <v>208</v>
      </c>
    </row>
    <row r="233" spans="1:8" x14ac:dyDescent="0.25">
      <c r="A233">
        <v>78</v>
      </c>
      <c r="B233" t="s">
        <v>236</v>
      </c>
      <c r="C233" t="s">
        <v>390</v>
      </c>
      <c r="D233" t="s">
        <v>235</v>
      </c>
      <c r="E233" t="s">
        <v>237</v>
      </c>
      <c r="F233" t="s">
        <v>34</v>
      </c>
      <c r="G233" t="s">
        <v>134</v>
      </c>
      <c r="H233" t="s">
        <v>95</v>
      </c>
    </row>
    <row r="234" spans="1:8" x14ac:dyDescent="0.25">
      <c r="A234">
        <v>78</v>
      </c>
      <c r="B234" t="s">
        <v>236</v>
      </c>
      <c r="C234" t="s">
        <v>391</v>
      </c>
      <c r="D234" t="s">
        <v>235</v>
      </c>
      <c r="E234" t="s">
        <v>237</v>
      </c>
      <c r="F234" t="s">
        <v>34</v>
      </c>
      <c r="G234" t="s">
        <v>134</v>
      </c>
      <c r="H234" t="s">
        <v>208</v>
      </c>
    </row>
    <row r="235" spans="1:8" x14ac:dyDescent="0.25">
      <c r="A235">
        <v>79</v>
      </c>
      <c r="B235" t="s">
        <v>239</v>
      </c>
      <c r="C235" t="s">
        <v>390</v>
      </c>
      <c r="D235" t="s">
        <v>238</v>
      </c>
      <c r="E235" t="s">
        <v>240</v>
      </c>
      <c r="F235" t="s">
        <v>58</v>
      </c>
      <c r="G235" t="s">
        <v>134</v>
      </c>
      <c r="H235" t="s">
        <v>95</v>
      </c>
    </row>
    <row r="236" spans="1:8" x14ac:dyDescent="0.25">
      <c r="A236">
        <v>79</v>
      </c>
      <c r="B236" t="s">
        <v>239</v>
      </c>
      <c r="C236" t="s">
        <v>391</v>
      </c>
      <c r="D236" t="s">
        <v>238</v>
      </c>
      <c r="E236" t="s">
        <v>240</v>
      </c>
      <c r="F236" t="s">
        <v>58</v>
      </c>
      <c r="G236" t="s">
        <v>134</v>
      </c>
      <c r="H236" t="s">
        <v>208</v>
      </c>
    </row>
    <row r="237" spans="1:8" x14ac:dyDescent="0.25">
      <c r="A237">
        <v>80</v>
      </c>
      <c r="B237" t="s">
        <v>239</v>
      </c>
      <c r="C237" t="s">
        <v>390</v>
      </c>
      <c r="D237" t="s">
        <v>238</v>
      </c>
      <c r="E237" t="s">
        <v>240</v>
      </c>
      <c r="F237" t="s">
        <v>34</v>
      </c>
      <c r="G237" t="s">
        <v>134</v>
      </c>
      <c r="H237" t="s">
        <v>95</v>
      </c>
    </row>
    <row r="238" spans="1:8" x14ac:dyDescent="0.25">
      <c r="A238">
        <v>80</v>
      </c>
      <c r="B238" t="s">
        <v>239</v>
      </c>
      <c r="C238" t="s">
        <v>391</v>
      </c>
      <c r="D238" t="s">
        <v>238</v>
      </c>
      <c r="E238" t="s">
        <v>240</v>
      </c>
      <c r="F238" t="s">
        <v>34</v>
      </c>
      <c r="G238" t="s">
        <v>134</v>
      </c>
      <c r="H238" t="s">
        <v>208</v>
      </c>
    </row>
    <row r="239" spans="1:8" x14ac:dyDescent="0.25">
      <c r="A239">
        <v>81</v>
      </c>
      <c r="B239" t="s">
        <v>269</v>
      </c>
      <c r="C239" t="s">
        <v>380</v>
      </c>
      <c r="D239" t="s">
        <v>268</v>
      </c>
      <c r="E239" t="s">
        <v>280</v>
      </c>
      <c r="F239" t="s">
        <v>58</v>
      </c>
      <c r="G239" t="s">
        <v>119</v>
      </c>
      <c r="H239" t="s">
        <v>99</v>
      </c>
    </row>
    <row r="240" spans="1:8" x14ac:dyDescent="0.25">
      <c r="A240">
        <v>81</v>
      </c>
      <c r="B240" t="s">
        <v>269</v>
      </c>
      <c r="C240" t="s">
        <v>381</v>
      </c>
      <c r="D240" t="s">
        <v>268</v>
      </c>
      <c r="E240" t="s">
        <v>280</v>
      </c>
      <c r="F240" t="s">
        <v>58</v>
      </c>
      <c r="G240" t="s">
        <v>119</v>
      </c>
      <c r="H240" t="s">
        <v>205</v>
      </c>
    </row>
    <row r="241" spans="1:8" x14ac:dyDescent="0.25">
      <c r="A241">
        <v>82</v>
      </c>
      <c r="B241" t="s">
        <v>269</v>
      </c>
      <c r="C241" t="s">
        <v>380</v>
      </c>
      <c r="D241" t="s">
        <v>268</v>
      </c>
      <c r="E241" t="s">
        <v>280</v>
      </c>
      <c r="F241" t="s">
        <v>34</v>
      </c>
      <c r="G241" t="s">
        <v>119</v>
      </c>
      <c r="H241" t="s">
        <v>99</v>
      </c>
    </row>
    <row r="242" spans="1:8" x14ac:dyDescent="0.25">
      <c r="A242">
        <v>82</v>
      </c>
      <c r="B242" t="s">
        <v>269</v>
      </c>
      <c r="C242" t="s">
        <v>381</v>
      </c>
      <c r="D242" t="s">
        <v>268</v>
      </c>
      <c r="E242" t="s">
        <v>280</v>
      </c>
      <c r="F242" t="s">
        <v>34</v>
      </c>
      <c r="G242" t="s">
        <v>119</v>
      </c>
      <c r="H242" t="s">
        <v>205</v>
      </c>
    </row>
    <row r="243" spans="1:8" x14ac:dyDescent="0.25">
      <c r="A243">
        <v>83</v>
      </c>
      <c r="B243" t="s">
        <v>251</v>
      </c>
      <c r="C243" t="s">
        <v>373</v>
      </c>
      <c r="D243" t="s">
        <v>254</v>
      </c>
      <c r="E243" t="s">
        <v>259</v>
      </c>
      <c r="F243" t="s">
        <v>58</v>
      </c>
      <c r="G243" t="s">
        <v>114</v>
      </c>
      <c r="H243" t="s">
        <v>100</v>
      </c>
    </row>
    <row r="244" spans="1:8" x14ac:dyDescent="0.25">
      <c r="A244">
        <v>83</v>
      </c>
      <c r="B244" t="s">
        <v>251</v>
      </c>
      <c r="C244" t="s">
        <v>374</v>
      </c>
      <c r="D244" t="s">
        <v>254</v>
      </c>
      <c r="E244" t="s">
        <v>259</v>
      </c>
      <c r="F244" t="s">
        <v>58</v>
      </c>
      <c r="G244" t="s">
        <v>114</v>
      </c>
      <c r="H244" t="s">
        <v>206</v>
      </c>
    </row>
    <row r="245" spans="1:8" x14ac:dyDescent="0.25">
      <c r="A245">
        <v>84</v>
      </c>
      <c r="B245" t="s">
        <v>251</v>
      </c>
      <c r="C245" t="s">
        <v>373</v>
      </c>
      <c r="D245" t="s">
        <v>254</v>
      </c>
      <c r="E245" t="s">
        <v>259</v>
      </c>
      <c r="F245" t="s">
        <v>34</v>
      </c>
      <c r="G245" t="s">
        <v>114</v>
      </c>
      <c r="H245" t="s">
        <v>100</v>
      </c>
    </row>
    <row r="246" spans="1:8" x14ac:dyDescent="0.25">
      <c r="A246">
        <v>84</v>
      </c>
      <c r="B246" t="s">
        <v>251</v>
      </c>
      <c r="C246" t="s">
        <v>374</v>
      </c>
      <c r="D246" t="s">
        <v>254</v>
      </c>
      <c r="E246" t="s">
        <v>259</v>
      </c>
      <c r="F246" t="s">
        <v>34</v>
      </c>
      <c r="G246" t="s">
        <v>114</v>
      </c>
      <c r="H246" t="s">
        <v>206</v>
      </c>
    </row>
    <row r="247" spans="1:8" x14ac:dyDescent="0.25">
      <c r="A247">
        <v>85</v>
      </c>
      <c r="B247" t="s">
        <v>50</v>
      </c>
      <c r="C247" t="s">
        <v>401</v>
      </c>
      <c r="D247" t="s">
        <v>51</v>
      </c>
      <c r="E247" t="s">
        <v>71</v>
      </c>
      <c r="F247" t="s">
        <v>34</v>
      </c>
      <c r="G247" t="s">
        <v>31</v>
      </c>
      <c r="H247" t="s">
        <v>97</v>
      </c>
    </row>
    <row r="248" spans="1:8" x14ac:dyDescent="0.25">
      <c r="A248">
        <v>85</v>
      </c>
      <c r="B248" t="s">
        <v>50</v>
      </c>
      <c r="C248" t="s">
        <v>404</v>
      </c>
      <c r="D248" t="s">
        <v>51</v>
      </c>
      <c r="E248" t="s">
        <v>71</v>
      </c>
      <c r="F248" t="s">
        <v>34</v>
      </c>
      <c r="G248" t="s">
        <v>31</v>
      </c>
      <c r="H248" t="s">
        <v>101</v>
      </c>
    </row>
    <row r="249" spans="1:8" x14ac:dyDescent="0.25">
      <c r="A249">
        <v>85</v>
      </c>
      <c r="B249" t="s">
        <v>50</v>
      </c>
      <c r="C249" t="s">
        <v>361</v>
      </c>
      <c r="D249" t="s">
        <v>51</v>
      </c>
      <c r="E249" t="s">
        <v>71</v>
      </c>
      <c r="F249" t="s">
        <v>34</v>
      </c>
      <c r="G249" t="s">
        <v>31</v>
      </c>
      <c r="H249" t="s">
        <v>303</v>
      </c>
    </row>
    <row r="250" spans="1:8" x14ac:dyDescent="0.25">
      <c r="A250">
        <v>85</v>
      </c>
      <c r="B250" t="s">
        <v>50</v>
      </c>
      <c r="C250" t="s">
        <v>360</v>
      </c>
      <c r="D250" t="s">
        <v>51</v>
      </c>
      <c r="E250" t="s">
        <v>71</v>
      </c>
      <c r="F250" t="s">
        <v>34</v>
      </c>
      <c r="G250" t="s">
        <v>31</v>
      </c>
      <c r="H250" t="s">
        <v>80</v>
      </c>
    </row>
    <row r="251" spans="1:8" x14ac:dyDescent="0.25">
      <c r="A251">
        <v>85</v>
      </c>
      <c r="B251" t="s">
        <v>50</v>
      </c>
      <c r="C251" t="s">
        <v>354</v>
      </c>
      <c r="D251" t="s">
        <v>51</v>
      </c>
      <c r="E251" t="s">
        <v>71</v>
      </c>
      <c r="F251" t="s">
        <v>34</v>
      </c>
      <c r="G251" t="s">
        <v>31</v>
      </c>
      <c r="H251" t="s">
        <v>128</v>
      </c>
    </row>
    <row r="252" spans="1:8" x14ac:dyDescent="0.25">
      <c r="A252">
        <v>85</v>
      </c>
      <c r="B252" t="s">
        <v>50</v>
      </c>
      <c r="C252" t="s">
        <v>353</v>
      </c>
      <c r="D252" t="s">
        <v>51</v>
      </c>
      <c r="E252" t="s">
        <v>71</v>
      </c>
      <c r="F252" t="s">
        <v>34</v>
      </c>
      <c r="G252" t="s">
        <v>31</v>
      </c>
      <c r="H252" t="s">
        <v>129</v>
      </c>
    </row>
    <row r="253" spans="1:8" x14ac:dyDescent="0.25">
      <c r="A253">
        <v>86</v>
      </c>
      <c r="B253" t="s">
        <v>54</v>
      </c>
      <c r="C253" t="s">
        <v>358</v>
      </c>
      <c r="D253" t="s">
        <v>55</v>
      </c>
      <c r="E253" t="s">
        <v>73</v>
      </c>
      <c r="F253" t="s">
        <v>34</v>
      </c>
      <c r="G253" t="s">
        <v>31</v>
      </c>
      <c r="H253" t="s">
        <v>304</v>
      </c>
    </row>
    <row r="254" spans="1:8" x14ac:dyDescent="0.25">
      <c r="A254">
        <v>86</v>
      </c>
      <c r="B254" t="s">
        <v>54</v>
      </c>
      <c r="C254" t="s">
        <v>353</v>
      </c>
      <c r="D254" t="s">
        <v>55</v>
      </c>
      <c r="E254" t="s">
        <v>73</v>
      </c>
      <c r="F254" t="s">
        <v>34</v>
      </c>
      <c r="G254" t="s">
        <v>31</v>
      </c>
      <c r="H254" t="s">
        <v>129</v>
      </c>
    </row>
    <row r="255" spans="1:8" x14ac:dyDescent="0.25">
      <c r="A255">
        <v>86</v>
      </c>
      <c r="B255" t="s">
        <v>54</v>
      </c>
      <c r="C255" t="s">
        <v>384</v>
      </c>
      <c r="D255" t="s">
        <v>55</v>
      </c>
      <c r="E255" t="s">
        <v>73</v>
      </c>
      <c r="F255" t="s">
        <v>34</v>
      </c>
      <c r="G255" t="s">
        <v>31</v>
      </c>
      <c r="H255" t="s">
        <v>300</v>
      </c>
    </row>
    <row r="256" spans="1:8" x14ac:dyDescent="0.25">
      <c r="A256">
        <v>86</v>
      </c>
      <c r="B256" t="s">
        <v>54</v>
      </c>
      <c r="C256" t="s">
        <v>385</v>
      </c>
      <c r="D256" t="s">
        <v>55</v>
      </c>
      <c r="E256" t="s">
        <v>73</v>
      </c>
      <c r="F256" t="s">
        <v>34</v>
      </c>
      <c r="G256" t="s">
        <v>31</v>
      </c>
      <c r="H256" t="s">
        <v>107</v>
      </c>
    </row>
    <row r="257" spans="1:8" x14ac:dyDescent="0.25">
      <c r="A257">
        <v>86</v>
      </c>
      <c r="B257" t="s">
        <v>54</v>
      </c>
      <c r="C257" t="s">
        <v>387</v>
      </c>
      <c r="D257" t="s">
        <v>55</v>
      </c>
      <c r="E257" t="s">
        <v>73</v>
      </c>
      <c r="F257" t="s">
        <v>34</v>
      </c>
      <c r="G257" t="s">
        <v>31</v>
      </c>
      <c r="H257" t="s">
        <v>103</v>
      </c>
    </row>
    <row r="258" spans="1:8" x14ac:dyDescent="0.25">
      <c r="A258">
        <v>87</v>
      </c>
      <c r="B258" t="s">
        <v>166</v>
      </c>
      <c r="C258" t="s">
        <v>376</v>
      </c>
      <c r="D258" t="s">
        <v>167</v>
      </c>
      <c r="E258" t="s">
        <v>168</v>
      </c>
      <c r="F258" t="s">
        <v>58</v>
      </c>
      <c r="G258" t="s">
        <v>120</v>
      </c>
      <c r="H258" t="s">
        <v>102</v>
      </c>
    </row>
    <row r="259" spans="1:8" x14ac:dyDescent="0.25">
      <c r="A259">
        <v>87</v>
      </c>
      <c r="B259" t="s">
        <v>166</v>
      </c>
      <c r="C259" t="s">
        <v>377</v>
      </c>
      <c r="D259" t="s">
        <v>167</v>
      </c>
      <c r="E259" t="s">
        <v>168</v>
      </c>
      <c r="F259" t="s">
        <v>58</v>
      </c>
      <c r="G259" t="s">
        <v>120</v>
      </c>
      <c r="H259" t="s">
        <v>131</v>
      </c>
    </row>
    <row r="260" spans="1:8" x14ac:dyDescent="0.25">
      <c r="A260">
        <v>88</v>
      </c>
      <c r="B260" t="s">
        <v>139</v>
      </c>
      <c r="C260" t="s">
        <v>367</v>
      </c>
      <c r="D260" t="s">
        <v>140</v>
      </c>
      <c r="E260" t="s">
        <v>141</v>
      </c>
      <c r="F260" t="s">
        <v>58</v>
      </c>
      <c r="G260" t="s">
        <v>111</v>
      </c>
      <c r="H260" t="s">
        <v>84</v>
      </c>
    </row>
    <row r="261" spans="1:8" x14ac:dyDescent="0.25">
      <c r="A261">
        <v>88</v>
      </c>
      <c r="B261" t="s">
        <v>139</v>
      </c>
      <c r="C261" t="s">
        <v>368</v>
      </c>
      <c r="D261" t="s">
        <v>140</v>
      </c>
      <c r="E261" t="s">
        <v>141</v>
      </c>
      <c r="F261" t="s">
        <v>58</v>
      </c>
      <c r="G261" t="s">
        <v>111</v>
      </c>
      <c r="H261" t="s">
        <v>209</v>
      </c>
    </row>
    <row r="262" spans="1:8" x14ac:dyDescent="0.25">
      <c r="A262">
        <v>89</v>
      </c>
      <c r="B262" t="s">
        <v>195</v>
      </c>
      <c r="C262" t="s">
        <v>346</v>
      </c>
      <c r="D262" t="s">
        <v>199</v>
      </c>
      <c r="E262" t="s">
        <v>203</v>
      </c>
      <c r="F262" t="s">
        <v>34</v>
      </c>
      <c r="G262" t="s">
        <v>115</v>
      </c>
      <c r="H262" t="s">
        <v>96</v>
      </c>
    </row>
    <row r="263" spans="1:8" x14ac:dyDescent="0.25">
      <c r="A263">
        <v>89</v>
      </c>
      <c r="B263" t="s">
        <v>195</v>
      </c>
      <c r="C263" t="s">
        <v>347</v>
      </c>
      <c r="D263" t="s">
        <v>199</v>
      </c>
      <c r="E263" t="s">
        <v>203</v>
      </c>
      <c r="F263" t="s">
        <v>34</v>
      </c>
      <c r="G263" t="s">
        <v>115</v>
      </c>
      <c r="H263" t="s">
        <v>132</v>
      </c>
    </row>
    <row r="264" spans="1:8" x14ac:dyDescent="0.25">
      <c r="A264">
        <v>90</v>
      </c>
      <c r="B264" t="s">
        <v>277</v>
      </c>
      <c r="C264" t="s">
        <v>380</v>
      </c>
      <c r="D264" t="s">
        <v>272</v>
      </c>
      <c r="E264" t="s">
        <v>283</v>
      </c>
      <c r="F264" t="s">
        <v>58</v>
      </c>
      <c r="G264" t="s">
        <v>119</v>
      </c>
      <c r="H264" t="s">
        <v>99</v>
      </c>
    </row>
    <row r="265" spans="1:8" x14ac:dyDescent="0.25">
      <c r="A265">
        <v>90</v>
      </c>
      <c r="B265" t="s">
        <v>277</v>
      </c>
      <c r="C265" t="s">
        <v>381</v>
      </c>
      <c r="D265" t="s">
        <v>272</v>
      </c>
      <c r="E265" t="s">
        <v>283</v>
      </c>
      <c r="F265" t="s">
        <v>58</v>
      </c>
      <c r="G265" t="s">
        <v>119</v>
      </c>
      <c r="H265" t="s">
        <v>205</v>
      </c>
    </row>
    <row r="266" spans="1:8" x14ac:dyDescent="0.25">
      <c r="A266">
        <v>91</v>
      </c>
      <c r="B266" t="s">
        <v>277</v>
      </c>
      <c r="C266" t="s">
        <v>380</v>
      </c>
      <c r="D266" t="s">
        <v>272</v>
      </c>
      <c r="E266" t="s">
        <v>283</v>
      </c>
      <c r="F266" t="s">
        <v>34</v>
      </c>
      <c r="G266" t="s">
        <v>119</v>
      </c>
      <c r="H266" t="s">
        <v>99</v>
      </c>
    </row>
    <row r="267" spans="1:8" x14ac:dyDescent="0.25">
      <c r="A267">
        <v>91</v>
      </c>
      <c r="B267" t="s">
        <v>277</v>
      </c>
      <c r="C267" t="s">
        <v>381</v>
      </c>
      <c r="D267" t="s">
        <v>272</v>
      </c>
      <c r="E267" t="s">
        <v>283</v>
      </c>
      <c r="F267" t="s">
        <v>34</v>
      </c>
      <c r="G267" t="s">
        <v>119</v>
      </c>
      <c r="H267" t="s">
        <v>205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A716D7-2871-4AA9-AB4C-6A982DE46A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01-NÚCLEO-ESCOLA</vt:lpstr>
      <vt:lpstr>02-ESCOLAS-ETAPA</vt:lpstr>
      <vt:lpstr>03-LINHAS</vt:lpstr>
      <vt:lpstr>04-LINHAS-ESCOLAS</vt:lpstr>
      <vt:lpstr>TotalEtapas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Oteniel Santos</dc:creator>
  <cp:lastModifiedBy>Oteniel Santos</cp:lastModifiedBy>
  <dcterms:created xsi:type="dcterms:W3CDTF">2026-05-05T19:59:24Z</dcterms:created>
  <dcterms:modified xsi:type="dcterms:W3CDTF">2026-05-16T23:01:53Z</dcterms:modified>
</cp:coreProperties>
</file>