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001-SMECEL\01-TRANSPORTE\2026\03-FORMULÁRIO CADASTRO TRANSPORTE\"/>
    </mc:Choice>
  </mc:AlternateContent>
  <xr:revisionPtr revIDLastSave="0" documentId="13_ncr:1_{FC64FEC7-51F8-44F2-9C91-676C72CE579A}" xr6:coauthVersionLast="47" xr6:coauthVersionMax="47" xr10:uidLastSave="{00000000-0000-0000-0000-000000000000}"/>
  <bookViews>
    <workbookView xWindow="-120" yWindow="-120" windowWidth="20730" windowHeight="11040" activeTab="2" xr2:uid="{DBFA177F-4261-4334-9D5F-3FA4EEE767E3}"/>
  </bookViews>
  <sheets>
    <sheet name="01-NÚCLEO" sheetId="4" r:id="rId1"/>
    <sheet name="02-ESCOLAS" sheetId="1" r:id="rId2"/>
    <sheet name="03-LINHAS" sheetId="2" r:id="rId3"/>
  </sheets>
  <definedNames>
    <definedName name="SegmentaçãodeDados_ESCOLA">#N/A</definedName>
    <definedName name="TotalEtapas">'01-NÚCLEO'!$I$2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9" i="2" l="1"/>
  <c r="A77" i="2"/>
  <c r="A47" i="2"/>
  <c r="A78" i="2"/>
  <c r="A48" i="2"/>
  <c r="A2" i="2"/>
  <c r="A18" i="2"/>
  <c r="A30" i="2"/>
  <c r="A13" i="2"/>
  <c r="A83" i="2"/>
  <c r="A38" i="2"/>
  <c r="A53" i="2"/>
  <c r="A65" i="2"/>
  <c r="A22" i="2"/>
  <c r="A59" i="2"/>
  <c r="A91" i="2"/>
  <c r="A34" i="2"/>
  <c r="A26" i="2"/>
  <c r="A82" i="2"/>
  <c r="A45" i="2"/>
  <c r="A55" i="2"/>
  <c r="A21" i="2"/>
  <c r="A42" i="2"/>
  <c r="A39" i="2"/>
  <c r="A23" i="2"/>
  <c r="A60" i="2"/>
  <c r="A90" i="2"/>
  <c r="A35" i="2"/>
  <c r="A27" i="2"/>
  <c r="A81" i="2"/>
  <c r="A54" i="2"/>
  <c r="A64" i="2"/>
  <c r="A31" i="2"/>
  <c r="A14" i="2"/>
  <c r="A84" i="2"/>
  <c r="A37" i="2"/>
  <c r="A49" i="2"/>
  <c r="A3" i="2"/>
  <c r="A17" i="2"/>
  <c r="A80" i="2"/>
  <c r="A46" i="2"/>
  <c r="A43" i="2"/>
  <c r="A52" i="2"/>
  <c r="A36" i="2"/>
  <c r="A44" i="2"/>
  <c r="A6" i="2"/>
  <c r="A29" i="2"/>
  <c r="A66" i="2"/>
  <c r="E865" i="1"/>
  <c r="D865" i="1"/>
  <c r="E864" i="1"/>
  <c r="D864" i="1"/>
  <c r="E863" i="1"/>
  <c r="D863" i="1"/>
  <c r="E862" i="1"/>
  <c r="D862" i="1"/>
  <c r="E861" i="1"/>
  <c r="D861" i="1"/>
  <c r="E829" i="1"/>
  <c r="D829" i="1"/>
  <c r="E828" i="1"/>
  <c r="D828" i="1"/>
  <c r="E827" i="1"/>
  <c r="D827" i="1"/>
  <c r="E826" i="1"/>
  <c r="D826" i="1"/>
  <c r="E825" i="1"/>
  <c r="D825" i="1"/>
  <c r="E811" i="1"/>
  <c r="D811" i="1"/>
  <c r="E810" i="1"/>
  <c r="D810" i="1"/>
  <c r="E809" i="1"/>
  <c r="D809" i="1"/>
  <c r="E808" i="1"/>
  <c r="D808" i="1"/>
  <c r="E807" i="1"/>
  <c r="D807" i="1"/>
  <c r="E793" i="1"/>
  <c r="D793" i="1"/>
  <c r="E792" i="1"/>
  <c r="D792" i="1"/>
  <c r="E791" i="1"/>
  <c r="D791" i="1"/>
  <c r="E790" i="1"/>
  <c r="D790" i="1"/>
  <c r="E789" i="1"/>
  <c r="D789" i="1"/>
  <c r="E775" i="1"/>
  <c r="D775" i="1"/>
  <c r="E774" i="1"/>
  <c r="D774" i="1"/>
  <c r="E773" i="1"/>
  <c r="D773" i="1"/>
  <c r="E772" i="1"/>
  <c r="D772" i="1"/>
  <c r="E771" i="1"/>
  <c r="D771" i="1"/>
  <c r="E757" i="1"/>
  <c r="D757" i="1"/>
  <c r="E756" i="1"/>
  <c r="D756" i="1"/>
  <c r="E755" i="1"/>
  <c r="D755" i="1"/>
  <c r="E754" i="1"/>
  <c r="D754" i="1"/>
  <c r="E753" i="1"/>
  <c r="D753" i="1"/>
  <c r="E739" i="1"/>
  <c r="D739" i="1"/>
  <c r="E738" i="1"/>
  <c r="D738" i="1"/>
  <c r="E737" i="1"/>
  <c r="D737" i="1"/>
  <c r="E736" i="1"/>
  <c r="D736" i="1"/>
  <c r="E735" i="1"/>
  <c r="D735" i="1"/>
  <c r="A5" i="2"/>
  <c r="A4" i="2"/>
  <c r="A89" i="2"/>
  <c r="A50" i="2"/>
  <c r="A28" i="2"/>
  <c r="A25" i="2"/>
  <c r="A68" i="2"/>
  <c r="A7" i="2"/>
  <c r="A56" i="2"/>
  <c r="A57" i="2"/>
  <c r="A67" i="2"/>
  <c r="A20" i="2"/>
  <c r="A87" i="2"/>
  <c r="A63" i="2"/>
  <c r="A19" i="2"/>
  <c r="A51" i="2"/>
  <c r="A58" i="2"/>
  <c r="A73" i="2"/>
  <c r="A75" i="2"/>
  <c r="A32" i="2"/>
  <c r="A74" i="2"/>
  <c r="A88" i="2"/>
  <c r="A344" i="1" a="1"/>
  <c r="A344" i="1" s="1"/>
  <c r="A722" i="1" a="1"/>
  <c r="A722" i="1" s="1"/>
  <c r="C722" i="1" s="1" a="1"/>
  <c r="C722" i="1" s="1"/>
  <c r="A723" i="1" a="1"/>
  <c r="A723" i="1" s="1"/>
  <c r="C723" i="1" s="1" a="1"/>
  <c r="C723" i="1" s="1"/>
  <c r="A724" i="1" a="1"/>
  <c r="A724" i="1" s="1"/>
  <c r="C724" i="1" s="1" a="1"/>
  <c r="C724" i="1" s="1"/>
  <c r="A725" i="1" a="1"/>
  <c r="A725" i="1" s="1"/>
  <c r="C725" i="1" s="1" a="1"/>
  <c r="C725" i="1" s="1"/>
  <c r="A726" i="1" a="1"/>
  <c r="A726" i="1" s="1"/>
  <c r="C726" i="1" s="1" a="1"/>
  <c r="C726" i="1" s="1"/>
  <c r="A727" i="1" a="1"/>
  <c r="A727" i="1" s="1"/>
  <c r="C727" i="1" s="1" a="1"/>
  <c r="C727" i="1" s="1"/>
  <c r="A728" i="1" a="1"/>
  <c r="A728" i="1" s="1"/>
  <c r="C728" i="1" s="1" a="1"/>
  <c r="C728" i="1" s="1"/>
  <c r="A729" i="1" a="1"/>
  <c r="A729" i="1" s="1"/>
  <c r="C729" i="1" s="1" a="1"/>
  <c r="C729" i="1" s="1"/>
  <c r="A730" i="1" a="1"/>
  <c r="A730" i="1" s="1"/>
  <c r="C730" i="1" s="1" a="1"/>
  <c r="C730" i="1" s="1"/>
  <c r="A731" i="1" a="1"/>
  <c r="A731" i="1" s="1"/>
  <c r="C731" i="1" s="1" a="1"/>
  <c r="C731" i="1" s="1"/>
  <c r="A732" i="1" a="1"/>
  <c r="A732" i="1" s="1"/>
  <c r="C732" i="1" s="1" a="1"/>
  <c r="C732" i="1" s="1"/>
  <c r="A733" i="1" a="1"/>
  <c r="A733" i="1" s="1"/>
  <c r="C733" i="1" s="1" a="1"/>
  <c r="C733" i="1" s="1"/>
  <c r="A734" i="1" a="1"/>
  <c r="A734" i="1" s="1"/>
  <c r="C734" i="1" s="1" a="1"/>
  <c r="C734" i="1" s="1"/>
  <c r="A735" i="1" a="1"/>
  <c r="A735" i="1" s="1"/>
  <c r="A736" i="1" a="1"/>
  <c r="A736" i="1" s="1"/>
  <c r="A737" i="1" a="1"/>
  <c r="A737" i="1" s="1"/>
  <c r="A738" i="1" a="1"/>
  <c r="A738" i="1" s="1"/>
  <c r="A739" i="1" a="1"/>
  <c r="A739" i="1" s="1"/>
  <c r="D685" i="1"/>
  <c r="E685" i="1"/>
  <c r="D699" i="1"/>
  <c r="E699" i="1"/>
  <c r="D700" i="1"/>
  <c r="E700" i="1"/>
  <c r="D701" i="1"/>
  <c r="E701" i="1"/>
  <c r="D702" i="1"/>
  <c r="E702" i="1"/>
  <c r="D703" i="1"/>
  <c r="E703" i="1"/>
  <c r="D8" i="1"/>
  <c r="E8" i="1"/>
  <c r="D10" i="1"/>
  <c r="E10" i="1"/>
  <c r="D12" i="1"/>
  <c r="E12" i="1"/>
  <c r="D14" i="1"/>
  <c r="E14" i="1"/>
  <c r="D16" i="1"/>
  <c r="E16" i="1"/>
  <c r="D17" i="1"/>
  <c r="E17" i="1"/>
  <c r="D9" i="1"/>
  <c r="E9" i="1"/>
  <c r="D11" i="1"/>
  <c r="E11" i="1"/>
  <c r="D13" i="1"/>
  <c r="E13" i="1"/>
  <c r="D15" i="1"/>
  <c r="E15" i="1"/>
  <c r="D18" i="1"/>
  <c r="E18" i="1"/>
  <c r="D7" i="1"/>
  <c r="E7" i="1"/>
  <c r="D6" i="1"/>
  <c r="E6" i="1"/>
  <c r="D3" i="1"/>
  <c r="E3" i="1"/>
  <c r="A11" i="2"/>
  <c r="A16" i="2"/>
  <c r="A10" i="2"/>
  <c r="A61" i="2"/>
  <c r="A24" i="2"/>
  <c r="A41" i="2"/>
  <c r="A70" i="2"/>
  <c r="A72" i="2"/>
  <c r="A62" i="2"/>
  <c r="A86" i="2"/>
  <c r="A12" i="2"/>
  <c r="A85" i="2"/>
  <c r="A40" i="2"/>
  <c r="A69" i="2"/>
  <c r="A71" i="2"/>
  <c r="A15" i="2"/>
  <c r="A33" i="2"/>
  <c r="A9" i="2"/>
  <c r="A8" i="2"/>
  <c r="A76" i="2"/>
  <c r="I2" i="4"/>
  <c r="A3521" i="1" s="1" a="1"/>
  <c r="A3521" i="1" s="1"/>
  <c r="E501" i="1"/>
  <c r="E502" i="1"/>
  <c r="E503" i="1"/>
  <c r="E504" i="1"/>
  <c r="E505" i="1"/>
  <c r="E519" i="1"/>
  <c r="E520" i="1"/>
  <c r="E521" i="1"/>
  <c r="E522" i="1"/>
  <c r="E523" i="1"/>
  <c r="E537" i="1"/>
  <c r="E538" i="1"/>
  <c r="E539" i="1"/>
  <c r="E540" i="1"/>
  <c r="E541" i="1"/>
  <c r="E555" i="1"/>
  <c r="E556" i="1"/>
  <c r="E557" i="1"/>
  <c r="E558" i="1"/>
  <c r="E559" i="1"/>
  <c r="E573" i="1"/>
  <c r="E574" i="1"/>
  <c r="E575" i="1"/>
  <c r="E576" i="1"/>
  <c r="E577" i="1"/>
  <c r="E591" i="1"/>
  <c r="E592" i="1"/>
  <c r="E593" i="1"/>
  <c r="E594" i="1"/>
  <c r="E595" i="1"/>
  <c r="E609" i="1"/>
  <c r="E610" i="1"/>
  <c r="E611" i="1"/>
  <c r="E612" i="1"/>
  <c r="E613" i="1"/>
  <c r="E627" i="1"/>
  <c r="E628" i="1"/>
  <c r="E629" i="1"/>
  <c r="E630" i="1"/>
  <c r="E631" i="1"/>
  <c r="E645" i="1"/>
  <c r="E646" i="1"/>
  <c r="E647" i="1"/>
  <c r="E648" i="1"/>
  <c r="E649" i="1"/>
  <c r="E663" i="1"/>
  <c r="E664" i="1"/>
  <c r="E665" i="1"/>
  <c r="E666" i="1"/>
  <c r="E667" i="1"/>
  <c r="E681" i="1"/>
  <c r="E682" i="1"/>
  <c r="E683" i="1"/>
  <c r="E684" i="1"/>
  <c r="E717" i="1"/>
  <c r="E718" i="1"/>
  <c r="E719" i="1"/>
  <c r="E720" i="1"/>
  <c r="E721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D501" i="1"/>
  <c r="D502" i="1"/>
  <c r="D503" i="1"/>
  <c r="D504" i="1"/>
  <c r="D505" i="1"/>
  <c r="D519" i="1"/>
  <c r="D520" i="1"/>
  <c r="D521" i="1"/>
  <c r="D522" i="1"/>
  <c r="D523" i="1"/>
  <c r="D537" i="1"/>
  <c r="D538" i="1"/>
  <c r="D539" i="1"/>
  <c r="D540" i="1"/>
  <c r="D541" i="1"/>
  <c r="D555" i="1"/>
  <c r="D556" i="1"/>
  <c r="D557" i="1"/>
  <c r="D558" i="1"/>
  <c r="D559" i="1"/>
  <c r="D573" i="1"/>
  <c r="D574" i="1"/>
  <c r="D575" i="1"/>
  <c r="D576" i="1"/>
  <c r="D577" i="1"/>
  <c r="D591" i="1"/>
  <c r="D592" i="1"/>
  <c r="D593" i="1"/>
  <c r="D594" i="1"/>
  <c r="D595" i="1"/>
  <c r="D609" i="1"/>
  <c r="D610" i="1"/>
  <c r="D611" i="1"/>
  <c r="D612" i="1"/>
  <c r="D613" i="1"/>
  <c r="D627" i="1"/>
  <c r="D628" i="1"/>
  <c r="D629" i="1"/>
  <c r="D630" i="1"/>
  <c r="D631" i="1"/>
  <c r="D645" i="1"/>
  <c r="D646" i="1"/>
  <c r="D647" i="1"/>
  <c r="D648" i="1"/>
  <c r="D649" i="1"/>
  <c r="D663" i="1"/>
  <c r="D664" i="1"/>
  <c r="D665" i="1"/>
  <c r="D666" i="1"/>
  <c r="D667" i="1"/>
  <c r="D681" i="1"/>
  <c r="D682" i="1"/>
  <c r="D683" i="1"/>
  <c r="D684" i="1"/>
  <c r="D717" i="1"/>
  <c r="D718" i="1"/>
  <c r="D719" i="1"/>
  <c r="D720" i="1"/>
  <c r="D721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E733" i="1" l="1"/>
  <c r="D733" i="1"/>
  <c r="E722" i="1"/>
  <c r="D722" i="1"/>
  <c r="E734" i="1"/>
  <c r="D734" i="1"/>
  <c r="E723" i="1"/>
  <c r="D723" i="1"/>
  <c r="E724" i="1"/>
  <c r="D724" i="1"/>
  <c r="E725" i="1"/>
  <c r="D725" i="1"/>
  <c r="E726" i="1"/>
  <c r="D726" i="1"/>
  <c r="E727" i="1"/>
  <c r="D727" i="1"/>
  <c r="E728" i="1"/>
  <c r="D728" i="1"/>
  <c r="E729" i="1"/>
  <c r="D729" i="1"/>
  <c r="E730" i="1"/>
  <c r="D730" i="1"/>
  <c r="E731" i="1"/>
  <c r="D731" i="1"/>
  <c r="E732" i="1"/>
  <c r="D732" i="1"/>
  <c r="A8" i="1" a="1"/>
  <c r="A8" i="1" s="1"/>
  <c r="A632" i="1" a="1"/>
  <c r="A632" i="1" s="1"/>
  <c r="A705" i="1" a="1"/>
  <c r="A705" i="1" s="1"/>
  <c r="C705" i="1" s="1" a="1"/>
  <c r="C705" i="1" s="1"/>
  <c r="E705" i="1" s="1"/>
  <c r="A689" i="1" a="1"/>
  <c r="A689" i="1" s="1"/>
  <c r="C689" i="1" s="1" a="1"/>
  <c r="C689" i="1" s="1"/>
  <c r="D689" i="1" s="1"/>
  <c r="A704" i="1" a="1"/>
  <c r="A704" i="1" s="1"/>
  <c r="C704" i="1" s="1" a="1"/>
  <c r="C704" i="1" s="1"/>
  <c r="D704" i="1" s="1"/>
  <c r="A700" i="1" a="1"/>
  <c r="A700" i="1" s="1"/>
  <c r="A687" i="1" a="1"/>
  <c r="A687" i="1" s="1"/>
  <c r="C687" i="1" s="1" a="1"/>
  <c r="C687" i="1" s="1"/>
  <c r="E687" i="1" s="1"/>
  <c r="A49" i="1" a="1"/>
  <c r="A49" i="1" s="1"/>
  <c r="B49" i="1" s="1"/>
  <c r="A45" i="1" a="1"/>
  <c r="A45" i="1" s="1"/>
  <c r="C45" i="1" s="1" a="1"/>
  <c r="C45" i="1" s="1"/>
  <c r="E45" i="1" s="1"/>
  <c r="A703" i="1" a="1"/>
  <c r="A703" i="1" s="1"/>
  <c r="A699" i="1" a="1"/>
  <c r="A699" i="1" s="1"/>
  <c r="A685" i="1" a="1"/>
  <c r="A685" i="1" s="1"/>
  <c r="A34" i="1" a="1"/>
  <c r="A34" i="1" s="1"/>
  <c r="B34" i="1" s="1"/>
  <c r="A698" i="1" a="1"/>
  <c r="A698" i="1" s="1"/>
  <c r="C698" i="1" s="1" a="1"/>
  <c r="C698" i="1" s="1"/>
  <c r="D698" i="1" s="1"/>
  <c r="A30" i="1" a="1"/>
  <c r="A30" i="1" s="1"/>
  <c r="C30" i="1" s="1" a="1"/>
  <c r="C30" i="1" s="1"/>
  <c r="A697" i="1" a="1"/>
  <c r="A697" i="1" s="1"/>
  <c r="C697" i="1" s="1" a="1"/>
  <c r="C697" i="1" s="1"/>
  <c r="E697" i="1" s="1"/>
  <c r="A22" i="1" a="1"/>
  <c r="A22" i="1" s="1"/>
  <c r="A702" i="1" a="1"/>
  <c r="A702" i="1" s="1"/>
  <c r="A696" i="1" a="1"/>
  <c r="A696" i="1" s="1"/>
  <c r="C696" i="1" s="1" a="1"/>
  <c r="C696" i="1" s="1"/>
  <c r="E696" i="1" s="1"/>
  <c r="A695" i="1" a="1"/>
  <c r="A695" i="1" s="1"/>
  <c r="C695" i="1" s="1" a="1"/>
  <c r="C695" i="1" s="1"/>
  <c r="D695" i="1" s="1"/>
  <c r="A380" i="1" a="1"/>
  <c r="A380" i="1" s="1"/>
  <c r="C380" i="1" s="1" a="1"/>
  <c r="C380" i="1" s="1"/>
  <c r="E380" i="1" s="1"/>
  <c r="A694" i="1" a="1"/>
  <c r="A694" i="1" s="1"/>
  <c r="C694" i="1" s="1" a="1"/>
  <c r="C694" i="1" s="1"/>
  <c r="D694" i="1" s="1"/>
  <c r="A7" i="1" a="1"/>
  <c r="A7" i="1" s="1"/>
  <c r="B7" i="1" s="1"/>
  <c r="A707" i="1" a="1"/>
  <c r="A707" i="1" s="1"/>
  <c r="C707" i="1" s="1" a="1"/>
  <c r="C707" i="1" s="1"/>
  <c r="D707" i="1" s="1"/>
  <c r="A701" i="1" a="1"/>
  <c r="A701" i="1" s="1"/>
  <c r="A693" i="1" a="1"/>
  <c r="A693" i="1" s="1"/>
  <c r="C693" i="1" s="1" a="1"/>
  <c r="C693" i="1" s="1"/>
  <c r="D693" i="1" s="1"/>
  <c r="A706" i="1" a="1"/>
  <c r="A706" i="1" s="1"/>
  <c r="C706" i="1" s="1" a="1"/>
  <c r="C706" i="1" s="1"/>
  <c r="D706" i="1" s="1"/>
  <c r="A691" i="1" a="1"/>
  <c r="A691" i="1" s="1"/>
  <c r="C691" i="1" s="1" a="1"/>
  <c r="C691" i="1" s="1"/>
  <c r="D691" i="1" s="1"/>
  <c r="A44" i="1" a="1"/>
  <c r="A44" i="1" s="1"/>
  <c r="A29" i="1" a="1"/>
  <c r="A29" i="1" s="1"/>
  <c r="B29" i="1" s="1"/>
  <c r="A20" i="1" a="1"/>
  <c r="A20" i="1" s="1"/>
  <c r="C20" i="1" s="1" a="1"/>
  <c r="C20" i="1" s="1"/>
  <c r="A11" i="1" a="1"/>
  <c r="A11" i="1" s="1"/>
  <c r="B11" i="1" s="1"/>
  <c r="A6" i="1" a="1"/>
  <c r="A6" i="1" s="1"/>
  <c r="B6" i="1" s="1"/>
  <c r="A42" i="1" a="1"/>
  <c r="A42" i="1" s="1"/>
  <c r="C42" i="1" s="1" a="1"/>
  <c r="C42" i="1" s="1"/>
  <c r="A28" i="1" a="1"/>
  <c r="A28" i="1" s="1"/>
  <c r="B28" i="1" s="1"/>
  <c r="A14" i="1" a="1"/>
  <c r="A14" i="1" s="1"/>
  <c r="B14" i="1" s="1"/>
  <c r="A39" i="1" a="1"/>
  <c r="A39" i="1" s="1"/>
  <c r="B39" i="1" s="1"/>
  <c r="A40" i="1" a="1"/>
  <c r="A40" i="1" s="1"/>
  <c r="B40" i="1" s="1"/>
  <c r="A27" i="1" a="1"/>
  <c r="A27" i="1" s="1"/>
  <c r="B27" i="1" s="1"/>
  <c r="A53" i="1" a="1"/>
  <c r="A53" i="1" s="1"/>
  <c r="B53" i="1" s="1"/>
  <c r="A37" i="1" a="1"/>
  <c r="A37" i="1" s="1"/>
  <c r="A26" i="1" a="1"/>
  <c r="A26" i="1" s="1"/>
  <c r="B26" i="1" s="1"/>
  <c r="A18" i="1" a="1"/>
  <c r="A18" i="1" s="1"/>
  <c r="B18" i="1" s="1"/>
  <c r="A9" i="1" a="1"/>
  <c r="A9" i="1" s="1"/>
  <c r="B9" i="1" s="1"/>
  <c r="A52" i="1" a="1"/>
  <c r="A52" i="1" s="1"/>
  <c r="B52" i="1" s="1"/>
  <c r="A38" i="1" a="1"/>
  <c r="A38" i="1" s="1"/>
  <c r="B38" i="1" s="1"/>
  <c r="A25" i="1" a="1"/>
  <c r="A25" i="1" s="1"/>
  <c r="B25" i="1" s="1"/>
  <c r="A19" i="1" a="1"/>
  <c r="A19" i="1" s="1"/>
  <c r="C19" i="1" s="1" a="1"/>
  <c r="C19" i="1" s="1"/>
  <c r="A12" i="1" a="1"/>
  <c r="A12" i="1" s="1"/>
  <c r="B12" i="1" s="1"/>
  <c r="A51" i="1" a="1"/>
  <c r="A51" i="1" s="1"/>
  <c r="B51" i="1" s="1"/>
  <c r="A36" i="1" a="1"/>
  <c r="A36" i="1" s="1"/>
  <c r="C36" i="1" s="1" a="1"/>
  <c r="C36" i="1" s="1"/>
  <c r="A24" i="1" a="1"/>
  <c r="A24" i="1" s="1"/>
  <c r="B24" i="1" s="1"/>
  <c r="A50" i="1" a="1"/>
  <c r="A50" i="1" s="1"/>
  <c r="B50" i="1" s="1"/>
  <c r="A35" i="1" a="1"/>
  <c r="A35" i="1" s="1"/>
  <c r="B35" i="1" s="1"/>
  <c r="A23" i="1" a="1"/>
  <c r="A23" i="1" s="1"/>
  <c r="B23" i="1" s="1"/>
  <c r="A15" i="1" a="1"/>
  <c r="A15" i="1" s="1"/>
  <c r="B15" i="1" s="1"/>
  <c r="A17" i="1" a="1"/>
  <c r="A17" i="1" s="1"/>
  <c r="B17" i="1" s="1"/>
  <c r="A10" i="1" a="1"/>
  <c r="A10" i="1" s="1"/>
  <c r="B10" i="1" s="1"/>
  <c r="A3" i="1" a="1"/>
  <c r="A3" i="1" s="1"/>
  <c r="B3" i="1" s="1"/>
  <c r="A48" i="1" a="1"/>
  <c r="A48" i="1" s="1"/>
  <c r="B48" i="1" s="1"/>
  <c r="A33" i="1" a="1"/>
  <c r="A33" i="1" s="1"/>
  <c r="B33" i="1" s="1"/>
  <c r="A21" i="1" a="1"/>
  <c r="A21" i="1" s="1"/>
  <c r="B21" i="1" s="1"/>
  <c r="A43" i="1" a="1"/>
  <c r="A43" i="1" s="1"/>
  <c r="C43" i="1" s="1" a="1"/>
  <c r="C43" i="1" s="1"/>
  <c r="A47" i="1" a="1"/>
  <c r="A47" i="1" s="1"/>
  <c r="B47" i="1" s="1"/>
  <c r="A32" i="1" a="1"/>
  <c r="A32" i="1" s="1"/>
  <c r="B32" i="1" s="1"/>
  <c r="A13" i="1" a="1"/>
  <c r="A13" i="1" s="1"/>
  <c r="B13" i="1" s="1"/>
  <c r="A41" i="1" a="1"/>
  <c r="A41" i="1" s="1"/>
  <c r="B41" i="1" s="1"/>
  <c r="A46" i="1" a="1"/>
  <c r="A46" i="1" s="1"/>
  <c r="B46" i="1" s="1"/>
  <c r="A31" i="1" a="1"/>
  <c r="A31" i="1" s="1"/>
  <c r="C31" i="1" s="1" a="1"/>
  <c r="C31" i="1" s="1"/>
  <c r="A16" i="1" a="1"/>
  <c r="A16" i="1" s="1"/>
  <c r="B16" i="1" s="1"/>
  <c r="B8" i="1"/>
  <c r="B19" i="1"/>
  <c r="B20" i="1"/>
  <c r="B22" i="1"/>
  <c r="C22" i="1" a="1"/>
  <c r="C22" i="1" s="1"/>
  <c r="B30" i="1"/>
  <c r="C29" i="1" a="1"/>
  <c r="C29" i="1" s="1"/>
  <c r="B37" i="1"/>
  <c r="C37" i="1" a="1"/>
  <c r="C37" i="1" s="1"/>
  <c r="B44" i="1"/>
  <c r="C44" i="1" a="1"/>
  <c r="C44" i="1" s="1"/>
  <c r="C49" i="1" a="1"/>
  <c r="C49" i="1" s="1"/>
  <c r="A4955" i="1" a="1"/>
  <c r="A4955" i="1" s="1"/>
  <c r="A4947" i="1" a="1"/>
  <c r="A4947" i="1" s="1"/>
  <c r="A4891" i="1" a="1"/>
  <c r="A4891" i="1" s="1"/>
  <c r="A4883" i="1" a="1"/>
  <c r="A4883" i="1" s="1"/>
  <c r="A4533" i="1" a="1"/>
  <c r="A4533" i="1" s="1"/>
  <c r="A4469" i="1" a="1"/>
  <c r="A4469" i="1" s="1"/>
  <c r="A4029" i="1" a="1"/>
  <c r="A4029" i="1" s="1"/>
  <c r="A3965" i="1" a="1"/>
  <c r="A3965" i="1" s="1"/>
  <c r="A4939" i="1" a="1"/>
  <c r="A4939" i="1" s="1"/>
  <c r="A4875" i="1" a="1"/>
  <c r="A4875" i="1" s="1"/>
  <c r="A4405" i="1" a="1"/>
  <c r="A4405" i="1" s="1"/>
  <c r="A3901" i="1" a="1"/>
  <c r="A3901" i="1" s="1"/>
  <c r="A4995" i="1" a="1"/>
  <c r="A4995" i="1" s="1"/>
  <c r="A4931" i="1" a="1"/>
  <c r="A4931" i="1" s="1"/>
  <c r="A4847" i="1" a="1"/>
  <c r="A4847" i="1" s="1"/>
  <c r="A4341" i="1" a="1"/>
  <c r="A4341" i="1" s="1"/>
  <c r="A3837" i="1" a="1"/>
  <c r="A3837" i="1" s="1"/>
  <c r="A4987" i="1" a="1"/>
  <c r="A4987" i="1" s="1"/>
  <c r="A4923" i="1" a="1"/>
  <c r="A4923" i="1" s="1"/>
  <c r="A4789" i="1" a="1"/>
  <c r="A4789" i="1" s="1"/>
  <c r="A4277" i="1" a="1"/>
  <c r="A4277" i="1" s="1"/>
  <c r="A3773" i="1" a="1"/>
  <c r="A3773" i="1" s="1"/>
  <c r="A4979" i="1" a="1"/>
  <c r="A4979" i="1" s="1"/>
  <c r="A4915" i="1" a="1"/>
  <c r="A4915" i="1" s="1"/>
  <c r="A4725" i="1" a="1"/>
  <c r="A4725" i="1" s="1"/>
  <c r="A4213" i="1" a="1"/>
  <c r="A4213" i="1" s="1"/>
  <c r="A3709" i="1" a="1"/>
  <c r="A3709" i="1" s="1"/>
  <c r="A4971" i="1" a="1"/>
  <c r="A4971" i="1" s="1"/>
  <c r="A4907" i="1" a="1"/>
  <c r="A4907" i="1" s="1"/>
  <c r="A4661" i="1" a="1"/>
  <c r="A4661" i="1" s="1"/>
  <c r="A4150" i="1" a="1"/>
  <c r="A4150" i="1" s="1"/>
  <c r="A3645" i="1" a="1"/>
  <c r="A3645" i="1" s="1"/>
  <c r="A4963" i="1" a="1"/>
  <c r="A4963" i="1" s="1"/>
  <c r="A4899" i="1" a="1"/>
  <c r="A4899" i="1" s="1"/>
  <c r="A4597" i="1" a="1"/>
  <c r="A4597" i="1" s="1"/>
  <c r="A4093" i="1" a="1"/>
  <c r="A4093" i="1" s="1"/>
  <c r="A3467" i="1" a="1"/>
  <c r="A3467" i="1" s="1"/>
  <c r="A4996" i="1" a="1"/>
  <c r="A4996" i="1" s="1"/>
  <c r="A4988" i="1" a="1"/>
  <c r="A4988" i="1" s="1"/>
  <c r="A4980" i="1" a="1"/>
  <c r="A4980" i="1" s="1"/>
  <c r="A4972" i="1" a="1"/>
  <c r="A4972" i="1" s="1"/>
  <c r="A4964" i="1" a="1"/>
  <c r="A4964" i="1" s="1"/>
  <c r="A4956" i="1" a="1"/>
  <c r="A4956" i="1" s="1"/>
  <c r="A4948" i="1" a="1"/>
  <c r="A4948" i="1" s="1"/>
  <c r="A4940" i="1" a="1"/>
  <c r="A4940" i="1" s="1"/>
  <c r="A4932" i="1" a="1"/>
  <c r="A4932" i="1" s="1"/>
  <c r="A4924" i="1" a="1"/>
  <c r="A4924" i="1" s="1"/>
  <c r="A4916" i="1" a="1"/>
  <c r="A4916" i="1" s="1"/>
  <c r="A4908" i="1" a="1"/>
  <c r="A4908" i="1" s="1"/>
  <c r="A4900" i="1" a="1"/>
  <c r="A4900" i="1" s="1"/>
  <c r="A4892" i="1" a="1"/>
  <c r="A4892" i="1" s="1"/>
  <c r="A4884" i="1" a="1"/>
  <c r="A4884" i="1" s="1"/>
  <c r="A4876" i="1" a="1"/>
  <c r="A4876" i="1" s="1"/>
  <c r="A4853" i="1" a="1"/>
  <c r="A4853" i="1" s="1"/>
  <c r="A4797" i="1" a="1"/>
  <c r="A4797" i="1" s="1"/>
  <c r="A4733" i="1" a="1"/>
  <c r="A4733" i="1" s="1"/>
  <c r="A4669" i="1" a="1"/>
  <c r="A4669" i="1" s="1"/>
  <c r="A4605" i="1" a="1"/>
  <c r="A4605" i="1" s="1"/>
  <c r="A4541" i="1" a="1"/>
  <c r="A4541" i="1" s="1"/>
  <c r="A4477" i="1" a="1"/>
  <c r="A4477" i="1" s="1"/>
  <c r="A4413" i="1" a="1"/>
  <c r="A4413" i="1" s="1"/>
  <c r="A4349" i="1" a="1"/>
  <c r="A4349" i="1" s="1"/>
  <c r="A4285" i="1" a="1"/>
  <c r="A4285" i="1" s="1"/>
  <c r="A4221" i="1" a="1"/>
  <c r="A4221" i="1" s="1"/>
  <c r="A4157" i="1" a="1"/>
  <c r="A4157" i="1" s="1"/>
  <c r="A4101" i="1" a="1"/>
  <c r="A4101" i="1" s="1"/>
  <c r="A4037" i="1" a="1"/>
  <c r="A4037" i="1" s="1"/>
  <c r="A3973" i="1" a="1"/>
  <c r="A3973" i="1" s="1"/>
  <c r="A3909" i="1" a="1"/>
  <c r="A3909" i="1" s="1"/>
  <c r="A3845" i="1" a="1"/>
  <c r="A3845" i="1" s="1"/>
  <c r="A3781" i="1" a="1"/>
  <c r="A3781" i="1" s="1"/>
  <c r="A3717" i="1" a="1"/>
  <c r="A3717" i="1" s="1"/>
  <c r="A3653" i="1" a="1"/>
  <c r="A3653" i="1" s="1"/>
  <c r="M2" i="1"/>
  <c r="A2" i="1" a="1"/>
  <c r="A2" i="1" s="1"/>
  <c r="A4" i="1" a="1"/>
  <c r="A4" i="1" s="1"/>
  <c r="E4" i="1" s="1"/>
  <c r="A5" i="1" a="1"/>
  <c r="A5" i="1" s="1"/>
  <c r="A54" i="1" a="1"/>
  <c r="A54" i="1" s="1"/>
  <c r="C54" i="1" s="1" a="1"/>
  <c r="C54" i="1" s="1"/>
  <c r="E54" i="1" s="1"/>
  <c r="A61" i="1" a="1"/>
  <c r="A61" i="1" s="1"/>
  <c r="C61" i="1" s="1" a="1"/>
  <c r="C61" i="1" s="1"/>
  <c r="E61" i="1" s="1"/>
  <c r="A68" i="1" a="1"/>
  <c r="A68" i="1" s="1"/>
  <c r="C68" i="1" s="1" a="1"/>
  <c r="C68" i="1" s="1"/>
  <c r="E68" i="1" s="1"/>
  <c r="A76" i="1" a="1"/>
  <c r="A76" i="1" s="1"/>
  <c r="C76" i="1" s="1" a="1"/>
  <c r="C76" i="1" s="1"/>
  <c r="E76" i="1" s="1"/>
  <c r="A84" i="1" a="1"/>
  <c r="A84" i="1" s="1"/>
  <c r="C84" i="1" s="1" a="1"/>
  <c r="C84" i="1" s="1"/>
  <c r="E84" i="1" s="1"/>
  <c r="A92" i="1" a="1"/>
  <c r="A92" i="1" s="1"/>
  <c r="C92" i="1" s="1" a="1"/>
  <c r="C92" i="1" s="1"/>
  <c r="E92" i="1" s="1"/>
  <c r="A99" i="1" a="1"/>
  <c r="A99" i="1" s="1"/>
  <c r="C99" i="1" s="1" a="1"/>
  <c r="C99" i="1" s="1"/>
  <c r="E99" i="1" s="1"/>
  <c r="A107" i="1" a="1"/>
  <c r="A107" i="1" s="1"/>
  <c r="C107" i="1" s="1" a="1"/>
  <c r="C107" i="1" s="1"/>
  <c r="E107" i="1" s="1"/>
  <c r="A115" i="1" a="1"/>
  <c r="A115" i="1" s="1"/>
  <c r="C115" i="1" s="1" a="1"/>
  <c r="C115" i="1" s="1"/>
  <c r="D115" i="1" s="1"/>
  <c r="A123" i="1" a="1"/>
  <c r="A123" i="1" s="1"/>
  <c r="C123" i="1" s="1" a="1"/>
  <c r="C123" i="1" s="1"/>
  <c r="D123" i="1" s="1"/>
  <c r="A130" i="1" a="1"/>
  <c r="A130" i="1" s="1"/>
  <c r="C130" i="1" s="1" a="1"/>
  <c r="C130" i="1" s="1"/>
  <c r="E130" i="1" s="1"/>
  <c r="A138" i="1" a="1"/>
  <c r="A138" i="1" s="1"/>
  <c r="C138" i="1" s="1" a="1"/>
  <c r="C138" i="1" s="1"/>
  <c r="D138" i="1" s="1"/>
  <c r="A146" i="1" a="1"/>
  <c r="A146" i="1" s="1"/>
  <c r="C146" i="1" s="1" a="1"/>
  <c r="C146" i="1" s="1"/>
  <c r="E146" i="1" s="1"/>
  <c r="A161" i="1" a="1"/>
  <c r="A161" i="1" s="1"/>
  <c r="C161" i="1" s="1" a="1"/>
  <c r="C161" i="1" s="1"/>
  <c r="E161" i="1" s="1"/>
  <c r="A168" i="1" a="1"/>
  <c r="A168" i="1" s="1"/>
  <c r="C168" i="1" s="1" a="1"/>
  <c r="C168" i="1" s="1"/>
  <c r="E168" i="1" s="1"/>
  <c r="A175" i="1" a="1"/>
  <c r="A175" i="1" s="1"/>
  <c r="C175" i="1" s="1" a="1"/>
  <c r="C175" i="1" s="1"/>
  <c r="D175" i="1" s="1"/>
  <c r="A183" i="1" a="1"/>
  <c r="A183" i="1" s="1"/>
  <c r="C183" i="1" s="1" a="1"/>
  <c r="C183" i="1" s="1"/>
  <c r="E183" i="1" s="1"/>
  <c r="A190" i="1" a="1"/>
  <c r="A190" i="1" s="1"/>
  <c r="C190" i="1" s="1" a="1"/>
  <c r="C190" i="1" s="1"/>
  <c r="D190" i="1" s="1"/>
  <c r="A197" i="1" a="1"/>
  <c r="A197" i="1" s="1"/>
  <c r="C197" i="1" s="1" a="1"/>
  <c r="C197" i="1" s="1"/>
  <c r="E197" i="1" s="1"/>
  <c r="A205" i="1" a="1"/>
  <c r="A205" i="1" s="1"/>
  <c r="C205" i="1" s="1" a="1"/>
  <c r="C205" i="1" s="1"/>
  <c r="E205" i="1" s="1"/>
  <c r="A212" i="1" a="1"/>
  <c r="A212" i="1" s="1"/>
  <c r="C212" i="1" s="1" a="1"/>
  <c r="C212" i="1" s="1"/>
  <c r="E212" i="1" s="1"/>
  <c r="A220" i="1" a="1"/>
  <c r="A220" i="1" s="1"/>
  <c r="C220" i="1" s="1" a="1"/>
  <c r="C220" i="1" s="1"/>
  <c r="E220" i="1" s="1"/>
  <c r="A226" i="1" a="1"/>
  <c r="A226" i="1" s="1"/>
  <c r="C226" i="1" s="1" a="1"/>
  <c r="C226" i="1" s="1"/>
  <c r="E226" i="1" s="1"/>
  <c r="A234" i="1" a="1"/>
  <c r="A234" i="1" s="1"/>
  <c r="C234" i="1" s="1" a="1"/>
  <c r="C234" i="1" s="1"/>
  <c r="E234" i="1" s="1"/>
  <c r="A241" i="1" a="1"/>
  <c r="A241" i="1" s="1"/>
  <c r="C241" i="1" s="1" a="1"/>
  <c r="C241" i="1" s="1"/>
  <c r="D241" i="1" s="1"/>
  <c r="A249" i="1" a="1"/>
  <c r="A249" i="1" s="1"/>
  <c r="C249" i="1" s="1" a="1"/>
  <c r="C249" i="1" s="1"/>
  <c r="E249" i="1" s="1"/>
  <c r="A257" i="1" a="1"/>
  <c r="A257" i="1" s="1"/>
  <c r="C257" i="1" s="1" a="1"/>
  <c r="C257" i="1" s="1"/>
  <c r="E257" i="1" s="1"/>
  <c r="A264" i="1" a="1"/>
  <c r="A264" i="1" s="1"/>
  <c r="C264" i="1" s="1" a="1"/>
  <c r="C264" i="1" s="1"/>
  <c r="E264" i="1" s="1"/>
  <c r="A271" i="1" a="1"/>
  <c r="A271" i="1" s="1"/>
  <c r="C271" i="1" s="1" a="1"/>
  <c r="C271" i="1" s="1"/>
  <c r="E271" i="1" s="1"/>
  <c r="A279" i="1" a="1"/>
  <c r="A279" i="1" s="1"/>
  <c r="C279" i="1" s="1" a="1"/>
  <c r="C279" i="1" s="1"/>
  <c r="E279" i="1" s="1"/>
  <c r="A287" i="1" a="1"/>
  <c r="A287" i="1" s="1"/>
  <c r="C287" i="1" s="1" a="1"/>
  <c r="C287" i="1" s="1"/>
  <c r="E287" i="1" s="1"/>
  <c r="A294" i="1" a="1"/>
  <c r="A294" i="1" s="1"/>
  <c r="C294" i="1" s="1" a="1"/>
  <c r="C294" i="1" s="1"/>
  <c r="E294" i="1" s="1"/>
  <c r="A309" i="1" a="1"/>
  <c r="A309" i="1" s="1"/>
  <c r="C309" i="1" s="1" a="1"/>
  <c r="C309" i="1" s="1"/>
  <c r="E309" i="1" s="1"/>
  <c r="A317" i="1" a="1"/>
  <c r="A317" i="1" s="1"/>
  <c r="C317" i="1" s="1" a="1"/>
  <c r="C317" i="1" s="1"/>
  <c r="E317" i="1" s="1"/>
  <c r="A324" i="1" a="1"/>
  <c r="A324" i="1" s="1"/>
  <c r="C324" i="1" s="1" a="1"/>
  <c r="C324" i="1" s="1"/>
  <c r="E324" i="1" s="1"/>
  <c r="A332" i="1" a="1"/>
  <c r="A332" i="1" s="1"/>
  <c r="C332" i="1" s="1" a="1"/>
  <c r="C332" i="1" s="1"/>
  <c r="E332" i="1" s="1"/>
  <c r="A339" i="1" a="1"/>
  <c r="A339" i="1" s="1"/>
  <c r="C339" i="1" s="1" a="1"/>
  <c r="C339" i="1" s="1"/>
  <c r="E339" i="1" s="1"/>
  <c r="A346" i="1" a="1"/>
  <c r="A346" i="1" s="1"/>
  <c r="C346" i="1" s="1" a="1"/>
  <c r="C346" i="1" s="1"/>
  <c r="E346" i="1" s="1"/>
  <c r="A352" i="1" a="1"/>
  <c r="A352" i="1" s="1"/>
  <c r="C352" i="1" s="1" a="1"/>
  <c r="C352" i="1" s="1"/>
  <c r="E352" i="1" s="1"/>
  <c r="A359" i="1" a="1"/>
  <c r="A359" i="1" s="1"/>
  <c r="C359" i="1" s="1" a="1"/>
  <c r="C359" i="1" s="1"/>
  <c r="E359" i="1" s="1"/>
  <c r="A365" i="1" a="1"/>
  <c r="A365" i="1" s="1"/>
  <c r="C365" i="1" s="1" a="1"/>
  <c r="C365" i="1" s="1"/>
  <c r="E365" i="1" s="1"/>
  <c r="A378" i="1" a="1"/>
  <c r="A378" i="1" s="1"/>
  <c r="C378" i="1" s="1" a="1"/>
  <c r="C378" i="1" s="1"/>
  <c r="D378" i="1" s="1"/>
  <c r="A386" i="1" a="1"/>
  <c r="A386" i="1" s="1"/>
  <c r="C386" i="1" s="1" a="1"/>
  <c r="C386" i="1" s="1"/>
  <c r="D386" i="1" s="1"/>
  <c r="A392" i="1" a="1"/>
  <c r="A392" i="1" s="1"/>
  <c r="C392" i="1" s="1" a="1"/>
  <c r="C392" i="1" s="1"/>
  <c r="D392" i="1" s="1"/>
  <c r="A399" i="1" a="1"/>
  <c r="A399" i="1" s="1"/>
  <c r="C399" i="1" s="1" a="1"/>
  <c r="C399" i="1" s="1"/>
  <c r="E399" i="1" s="1"/>
  <c r="A407" i="1" a="1"/>
  <c r="A407" i="1" s="1"/>
  <c r="C407" i="1" s="1" a="1"/>
  <c r="C407" i="1" s="1"/>
  <c r="E407" i="1" s="1"/>
  <c r="A415" i="1" a="1"/>
  <c r="A415" i="1" s="1"/>
  <c r="C415" i="1" s="1" a="1"/>
  <c r="C415" i="1" s="1"/>
  <c r="E415" i="1" s="1"/>
  <c r="A422" i="1" a="1"/>
  <c r="A422" i="1" s="1"/>
  <c r="C422" i="1" s="1" a="1"/>
  <c r="C422" i="1" s="1"/>
  <c r="D422" i="1" s="1"/>
  <c r="A429" i="1" a="1"/>
  <c r="A429" i="1" s="1"/>
  <c r="C429" i="1" s="1" a="1"/>
  <c r="C429" i="1" s="1"/>
  <c r="E429" i="1" s="1"/>
  <c r="A437" i="1" a="1"/>
  <c r="A437" i="1" s="1"/>
  <c r="C437" i="1" s="1" a="1"/>
  <c r="C437" i="1" s="1"/>
  <c r="E437" i="1" s="1"/>
  <c r="A444" i="1" a="1"/>
  <c r="A444" i="1" s="1"/>
  <c r="C444" i="1" s="1" a="1"/>
  <c r="C444" i="1" s="1"/>
  <c r="E444" i="1" s="1"/>
  <c r="A458" i="1" a="1"/>
  <c r="A458" i="1" s="1"/>
  <c r="C458" i="1" s="1" a="1"/>
  <c r="C458" i="1" s="1"/>
  <c r="D458" i="1" s="1"/>
  <c r="A466" i="1" a="1"/>
  <c r="A466" i="1" s="1"/>
  <c r="C466" i="1" s="1" a="1"/>
  <c r="C466" i="1" s="1"/>
  <c r="E466" i="1" s="1"/>
  <c r="A474" i="1" a="1"/>
  <c r="A474" i="1" s="1"/>
  <c r="C474" i="1" s="1" a="1"/>
  <c r="C474" i="1" s="1"/>
  <c r="E474" i="1" s="1"/>
  <c r="A482" i="1" a="1"/>
  <c r="A482" i="1" s="1"/>
  <c r="C482" i="1" s="1" a="1"/>
  <c r="C482" i="1" s="1"/>
  <c r="E482" i="1" s="1"/>
  <c r="A488" i="1" a="1"/>
  <c r="A488" i="1" s="1"/>
  <c r="C488" i="1" s="1" a="1"/>
  <c r="C488" i="1" s="1"/>
  <c r="E488" i="1" s="1"/>
  <c r="A496" i="1" a="1"/>
  <c r="A496" i="1" s="1"/>
  <c r="C496" i="1" s="1" a="1"/>
  <c r="C496" i="1" s="1"/>
  <c r="E496" i="1" s="1"/>
  <c r="A504" i="1" a="1"/>
  <c r="A504" i="1" s="1"/>
  <c r="A512" i="1" a="1"/>
  <c r="A512" i="1" s="1"/>
  <c r="C512" i="1" s="1" a="1"/>
  <c r="C512" i="1" s="1"/>
  <c r="E512" i="1" s="1"/>
  <c r="A519" i="1" a="1"/>
  <c r="A519" i="1" s="1"/>
  <c r="A526" i="1" a="1"/>
  <c r="A526" i="1" s="1"/>
  <c r="C526" i="1" s="1" a="1"/>
  <c r="C526" i="1" s="1"/>
  <c r="E526" i="1" s="1"/>
  <c r="A534" i="1" a="1"/>
  <c r="A534" i="1" s="1"/>
  <c r="C534" i="1" s="1" a="1"/>
  <c r="C534" i="1" s="1"/>
  <c r="D534" i="1" s="1"/>
  <c r="A542" i="1" a="1"/>
  <c r="A542" i="1" s="1"/>
  <c r="C542" i="1" s="1" a="1"/>
  <c r="C542" i="1" s="1"/>
  <c r="E542" i="1" s="1"/>
  <c r="A549" i="1" a="1"/>
  <c r="A549" i="1" s="1"/>
  <c r="C549" i="1" s="1" a="1"/>
  <c r="C549" i="1" s="1"/>
  <c r="E549" i="1" s="1"/>
  <c r="A55" i="1" a="1"/>
  <c r="A55" i="1" s="1"/>
  <c r="C55" i="1" s="1" a="1"/>
  <c r="C55" i="1" s="1"/>
  <c r="A62" i="1" a="1"/>
  <c r="A62" i="1" s="1"/>
  <c r="C62" i="1" s="1" a="1"/>
  <c r="C62" i="1" s="1"/>
  <c r="E62" i="1" s="1"/>
  <c r="A69" i="1" a="1"/>
  <c r="A69" i="1" s="1"/>
  <c r="C69" i="1" s="1" a="1"/>
  <c r="C69" i="1" s="1"/>
  <c r="E69" i="1" s="1"/>
  <c r="A77" i="1" a="1"/>
  <c r="A77" i="1" s="1"/>
  <c r="C77" i="1" s="1" a="1"/>
  <c r="C77" i="1" s="1"/>
  <c r="E77" i="1" s="1"/>
  <c r="A85" i="1" a="1"/>
  <c r="A85" i="1" s="1"/>
  <c r="C85" i="1" s="1" a="1"/>
  <c r="C85" i="1" s="1"/>
  <c r="E85" i="1" s="1"/>
  <c r="A93" i="1" a="1"/>
  <c r="A93" i="1" s="1"/>
  <c r="C93" i="1" s="1" a="1"/>
  <c r="C93" i="1" s="1"/>
  <c r="D93" i="1" s="1"/>
  <c r="A100" i="1" a="1"/>
  <c r="A100" i="1" s="1"/>
  <c r="C100" i="1" s="1" a="1"/>
  <c r="C100" i="1" s="1"/>
  <c r="E100" i="1" s="1"/>
  <c r="A108" i="1" a="1"/>
  <c r="A108" i="1" s="1"/>
  <c r="C108" i="1" s="1" a="1"/>
  <c r="C108" i="1" s="1"/>
  <c r="E108" i="1" s="1"/>
  <c r="A116" i="1" a="1"/>
  <c r="A116" i="1" s="1"/>
  <c r="C116" i="1" s="1" a="1"/>
  <c r="C116" i="1" s="1"/>
  <c r="E116" i="1" s="1"/>
  <c r="A124" i="1" a="1"/>
  <c r="A124" i="1" s="1"/>
  <c r="C124" i="1" s="1" a="1"/>
  <c r="C124" i="1" s="1"/>
  <c r="E124" i="1" s="1"/>
  <c r="A131" i="1" a="1"/>
  <c r="A131" i="1" s="1"/>
  <c r="C131" i="1" s="1" a="1"/>
  <c r="C131" i="1" s="1"/>
  <c r="E131" i="1" s="1"/>
  <c r="A139" i="1" a="1"/>
  <c r="A139" i="1" s="1"/>
  <c r="C139" i="1" s="1" a="1"/>
  <c r="C139" i="1" s="1"/>
  <c r="D139" i="1" s="1"/>
  <c r="A147" i="1" a="1"/>
  <c r="A147" i="1" s="1"/>
  <c r="C147" i="1" s="1" a="1"/>
  <c r="C147" i="1" s="1"/>
  <c r="E147" i="1" s="1"/>
  <c r="A154" i="1" a="1"/>
  <c r="A154" i="1" s="1"/>
  <c r="C154" i="1" s="1" a="1"/>
  <c r="C154" i="1" s="1"/>
  <c r="E154" i="1" s="1"/>
  <c r="A169" i="1" a="1"/>
  <c r="A169" i="1" s="1"/>
  <c r="C169" i="1" s="1" a="1"/>
  <c r="C169" i="1" s="1"/>
  <c r="E169" i="1" s="1"/>
  <c r="A176" i="1" a="1"/>
  <c r="A176" i="1" s="1"/>
  <c r="C176" i="1" s="1" a="1"/>
  <c r="C176" i="1" s="1"/>
  <c r="E176" i="1" s="1"/>
  <c r="A184" i="1" a="1"/>
  <c r="A184" i="1" s="1"/>
  <c r="C184" i="1" s="1" a="1"/>
  <c r="C184" i="1" s="1"/>
  <c r="D184" i="1" s="1"/>
  <c r="A191" i="1" a="1"/>
  <c r="A191" i="1" s="1"/>
  <c r="C191" i="1" s="1" a="1"/>
  <c r="C191" i="1" s="1"/>
  <c r="E191" i="1" s="1"/>
  <c r="A198" i="1" a="1"/>
  <c r="A198" i="1" s="1"/>
  <c r="C198" i="1" s="1" a="1"/>
  <c r="C198" i="1" s="1"/>
  <c r="E198" i="1" s="1"/>
  <c r="A213" i="1" a="1"/>
  <c r="A213" i="1" s="1"/>
  <c r="C213" i="1" s="1" a="1"/>
  <c r="C213" i="1" s="1"/>
  <c r="E213" i="1" s="1"/>
  <c r="A221" i="1" a="1"/>
  <c r="A221" i="1" s="1"/>
  <c r="C221" i="1" s="1" a="1"/>
  <c r="C221" i="1" s="1"/>
  <c r="E221" i="1" s="1"/>
  <c r="A227" i="1" a="1"/>
  <c r="A227" i="1" s="1"/>
  <c r="C227" i="1" s="1" a="1"/>
  <c r="C227" i="1" s="1"/>
  <c r="E227" i="1" s="1"/>
  <c r="A235" i="1" a="1"/>
  <c r="A235" i="1" s="1"/>
  <c r="C235" i="1" s="1" a="1"/>
  <c r="C235" i="1" s="1"/>
  <c r="E235" i="1" s="1"/>
  <c r="A242" i="1" a="1"/>
  <c r="A242" i="1" s="1"/>
  <c r="C242" i="1" s="1" a="1"/>
  <c r="C242" i="1" s="1"/>
  <c r="E242" i="1" s="1"/>
  <c r="A250" i="1" a="1"/>
  <c r="A250" i="1" s="1"/>
  <c r="C250" i="1" s="1" a="1"/>
  <c r="C250" i="1" s="1"/>
  <c r="A265" i="1" a="1"/>
  <c r="A265" i="1" s="1"/>
  <c r="C265" i="1" s="1" a="1"/>
  <c r="C265" i="1" s="1"/>
  <c r="D265" i="1" s="1"/>
  <c r="A272" i="1" a="1"/>
  <c r="A272" i="1" s="1"/>
  <c r="C272" i="1" s="1" a="1"/>
  <c r="C272" i="1" s="1"/>
  <c r="E272" i="1" s="1"/>
  <c r="A280" i="1" a="1"/>
  <c r="A280" i="1" s="1"/>
  <c r="C280" i="1" s="1" a="1"/>
  <c r="C280" i="1" s="1"/>
  <c r="E280" i="1" s="1"/>
  <c r="A288" i="1" a="1"/>
  <c r="A288" i="1" s="1"/>
  <c r="C288" i="1" s="1" a="1"/>
  <c r="C288" i="1" s="1"/>
  <c r="D288" i="1" s="1"/>
  <c r="A295" i="1" a="1"/>
  <c r="A295" i="1" s="1"/>
  <c r="C295" i="1" s="1" a="1"/>
  <c r="C295" i="1" s="1"/>
  <c r="E295" i="1" s="1"/>
  <c r="A302" i="1" a="1"/>
  <c r="A302" i="1" s="1"/>
  <c r="C302" i="1" s="1" a="1"/>
  <c r="C302" i="1" s="1"/>
  <c r="E302" i="1" s="1"/>
  <c r="A310" i="1" a="1"/>
  <c r="A310" i="1" s="1"/>
  <c r="C310" i="1" s="1" a="1"/>
  <c r="C310" i="1" s="1"/>
  <c r="E310" i="1" s="1"/>
  <c r="A318" i="1" a="1"/>
  <c r="A318" i="1" s="1"/>
  <c r="C318" i="1" s="1" a="1"/>
  <c r="C318" i="1" s="1"/>
  <c r="E318" i="1" s="1"/>
  <c r="A325" i="1" a="1"/>
  <c r="A325" i="1" s="1"/>
  <c r="C325" i="1" s="1" a="1"/>
  <c r="C325" i="1" s="1"/>
  <c r="E325" i="1" s="1"/>
  <c r="A333" i="1" a="1"/>
  <c r="A333" i="1" s="1"/>
  <c r="C333" i="1" s="1" a="1"/>
  <c r="C333" i="1" s="1"/>
  <c r="D333" i="1" s="1"/>
  <c r="A340" i="1" a="1"/>
  <c r="A340" i="1" s="1"/>
  <c r="C340" i="1" s="1" a="1"/>
  <c r="C340" i="1" s="1"/>
  <c r="E340" i="1" s="1"/>
  <c r="A347" i="1" a="1"/>
  <c r="A347" i="1" s="1"/>
  <c r="C347" i="1" s="1" a="1"/>
  <c r="C347" i="1" s="1"/>
  <c r="E347" i="1" s="1"/>
  <c r="A353" i="1" a="1"/>
  <c r="A353" i="1" s="1"/>
  <c r="C353" i="1" s="1" a="1"/>
  <c r="C353" i="1" s="1"/>
  <c r="E353" i="1" s="1"/>
  <c r="A366" i="1" a="1"/>
  <c r="A366" i="1" s="1"/>
  <c r="C366" i="1" s="1" a="1"/>
  <c r="C366" i="1" s="1"/>
  <c r="D366" i="1" s="1"/>
  <c r="A372" i="1" a="1"/>
  <c r="A372" i="1" s="1"/>
  <c r="C372" i="1" s="1" a="1"/>
  <c r="C372" i="1" s="1"/>
  <c r="E372" i="1" s="1"/>
  <c r="A379" i="1" a="1"/>
  <c r="A379" i="1" s="1"/>
  <c r="C379" i="1" s="1" a="1"/>
  <c r="C379" i="1" s="1"/>
  <c r="E379" i="1" s="1"/>
  <c r="A387" i="1" a="1"/>
  <c r="A387" i="1" s="1"/>
  <c r="C387" i="1" s="1" a="1"/>
  <c r="C387" i="1" s="1"/>
  <c r="E387" i="1" s="1"/>
  <c r="A393" i="1" a="1"/>
  <c r="A393" i="1" s="1"/>
  <c r="C393" i="1" s="1" a="1"/>
  <c r="C393" i="1" s="1"/>
  <c r="D393" i="1" s="1"/>
  <c r="A400" i="1" a="1"/>
  <c r="A400" i="1" s="1"/>
  <c r="C400" i="1" s="1" a="1"/>
  <c r="C400" i="1" s="1"/>
  <c r="E400" i="1" s="1"/>
  <c r="A408" i="1" a="1"/>
  <c r="A408" i="1" s="1"/>
  <c r="C408" i="1" s="1" a="1"/>
  <c r="C408" i="1" s="1"/>
  <c r="E408" i="1" s="1"/>
  <c r="A416" i="1" a="1"/>
  <c r="A416" i="1" s="1"/>
  <c r="C416" i="1" s="1" a="1"/>
  <c r="C416" i="1" s="1"/>
  <c r="E416" i="1" s="1"/>
  <c r="A423" i="1" a="1"/>
  <c r="A423" i="1" s="1"/>
  <c r="C423" i="1" s="1" a="1"/>
  <c r="C423" i="1" s="1"/>
  <c r="E423" i="1" s="1"/>
  <c r="A430" i="1" a="1"/>
  <c r="A430" i="1" s="1"/>
  <c r="C430" i="1" s="1" a="1"/>
  <c r="C430" i="1" s="1"/>
  <c r="E430" i="1" s="1"/>
  <c r="A438" i="1" a="1"/>
  <c r="A438" i="1" s="1"/>
  <c r="C438" i="1" s="1" a="1"/>
  <c r="C438" i="1" s="1"/>
  <c r="A445" i="1" a="1"/>
  <c r="A445" i="1" s="1"/>
  <c r="C445" i="1" s="1" a="1"/>
  <c r="C445" i="1" s="1"/>
  <c r="D445" i="1" s="1"/>
  <c r="A452" i="1" a="1"/>
  <c r="A452" i="1" s="1"/>
  <c r="C452" i="1" s="1" a="1"/>
  <c r="C452" i="1" s="1"/>
  <c r="D452" i="1" s="1"/>
  <c r="A459" i="1" a="1"/>
  <c r="A459" i="1" s="1"/>
  <c r="C459" i="1" s="1" a="1"/>
  <c r="C459" i="1" s="1"/>
  <c r="E459" i="1" s="1"/>
  <c r="A467" i="1" a="1"/>
  <c r="A467" i="1" s="1"/>
  <c r="C467" i="1" s="1" a="1"/>
  <c r="C467" i="1" s="1"/>
  <c r="D467" i="1" s="1"/>
  <c r="A475" i="1" a="1"/>
  <c r="A475" i="1" s="1"/>
  <c r="C475" i="1" s="1" a="1"/>
  <c r="C475" i="1" s="1"/>
  <c r="E475" i="1" s="1"/>
  <c r="A483" i="1" a="1"/>
  <c r="A483" i="1" s="1"/>
  <c r="C483" i="1" s="1" a="1"/>
  <c r="C483" i="1" s="1"/>
  <c r="E483" i="1" s="1"/>
  <c r="A489" i="1" a="1"/>
  <c r="A489" i="1" s="1"/>
  <c r="C489" i="1" s="1" a="1"/>
  <c r="C489" i="1" s="1"/>
  <c r="E489" i="1" s="1"/>
  <c r="A497" i="1" a="1"/>
  <c r="A497" i="1" s="1"/>
  <c r="C497" i="1" s="1" a="1"/>
  <c r="C497" i="1" s="1"/>
  <c r="E497" i="1" s="1"/>
  <c r="A505" i="1" a="1"/>
  <c r="A505" i="1" s="1"/>
  <c r="A513" i="1" a="1"/>
  <c r="A513" i="1" s="1"/>
  <c r="C513" i="1" s="1" a="1"/>
  <c r="C513" i="1" s="1"/>
  <c r="E513" i="1" s="1"/>
  <c r="A527" i="1" a="1"/>
  <c r="A527" i="1" s="1"/>
  <c r="C527" i="1" s="1" a="1"/>
  <c r="C527" i="1" s="1"/>
  <c r="E527" i="1" s="1"/>
  <c r="A535" i="1" a="1"/>
  <c r="A535" i="1" s="1"/>
  <c r="C535" i="1" s="1" a="1"/>
  <c r="C535" i="1" s="1"/>
  <c r="E535" i="1" s="1"/>
  <c r="A543" i="1" a="1"/>
  <c r="A543" i="1" s="1"/>
  <c r="C543" i="1" s="1" a="1"/>
  <c r="C543" i="1" s="1"/>
  <c r="E543" i="1" s="1"/>
  <c r="A550" i="1" a="1"/>
  <c r="A550" i="1" s="1"/>
  <c r="C550" i="1" s="1" a="1"/>
  <c r="C550" i="1" s="1"/>
  <c r="E550" i="1" s="1"/>
  <c r="A56" i="1" a="1"/>
  <c r="A56" i="1" s="1"/>
  <c r="C56" i="1" s="1" a="1"/>
  <c r="C56" i="1" s="1"/>
  <c r="E56" i="1" s="1"/>
  <c r="A63" i="1" a="1"/>
  <c r="A63" i="1" s="1"/>
  <c r="C63" i="1" s="1" a="1"/>
  <c r="C63" i="1" s="1"/>
  <c r="D63" i="1" s="1"/>
  <c r="A70" i="1" a="1"/>
  <c r="A70" i="1" s="1"/>
  <c r="C70" i="1" s="1" a="1"/>
  <c r="C70" i="1" s="1"/>
  <c r="E70" i="1" s="1"/>
  <c r="A78" i="1" a="1"/>
  <c r="A78" i="1" s="1"/>
  <c r="C78" i="1" s="1" a="1"/>
  <c r="C78" i="1" s="1"/>
  <c r="E78" i="1" s="1"/>
  <c r="A86" i="1" a="1"/>
  <c r="A86" i="1" s="1"/>
  <c r="C86" i="1" s="1" a="1"/>
  <c r="C86" i="1" s="1"/>
  <c r="E86" i="1" s="1"/>
  <c r="A94" i="1" a="1"/>
  <c r="A94" i="1" s="1"/>
  <c r="C94" i="1" s="1" a="1"/>
  <c r="C94" i="1" s="1"/>
  <c r="E94" i="1" s="1"/>
  <c r="A101" i="1" a="1"/>
  <c r="A101" i="1" s="1"/>
  <c r="C101" i="1" s="1" a="1"/>
  <c r="C101" i="1" s="1"/>
  <c r="E101" i="1" s="1"/>
  <c r="A109" i="1" a="1"/>
  <c r="A109" i="1" s="1"/>
  <c r="C109" i="1" s="1" a="1"/>
  <c r="C109" i="1" s="1"/>
  <c r="E109" i="1" s="1"/>
  <c r="A117" i="1" a="1"/>
  <c r="A117" i="1" s="1"/>
  <c r="C117" i="1" s="1" a="1"/>
  <c r="C117" i="1" s="1"/>
  <c r="E117" i="1" s="1"/>
  <c r="A125" i="1" a="1"/>
  <c r="A125" i="1" s="1"/>
  <c r="C125" i="1" s="1" a="1"/>
  <c r="C125" i="1" s="1"/>
  <c r="E125" i="1" s="1"/>
  <c r="A132" i="1" a="1"/>
  <c r="A132" i="1" s="1"/>
  <c r="C132" i="1" s="1" a="1"/>
  <c r="C132" i="1" s="1"/>
  <c r="E132" i="1" s="1"/>
  <c r="A140" i="1" a="1"/>
  <c r="A140" i="1" s="1"/>
  <c r="C140" i="1" s="1" a="1"/>
  <c r="C140" i="1" s="1"/>
  <c r="E140" i="1" s="1"/>
  <c r="A148" i="1" a="1"/>
  <c r="A148" i="1" s="1"/>
  <c r="C148" i="1" s="1" a="1"/>
  <c r="C148" i="1" s="1"/>
  <c r="D148" i="1" s="1"/>
  <c r="A155" i="1" a="1"/>
  <c r="A155" i="1" s="1"/>
  <c r="C155" i="1" s="1" a="1"/>
  <c r="C155" i="1" s="1"/>
  <c r="E155" i="1" s="1"/>
  <c r="A162" i="1" a="1"/>
  <c r="A162" i="1" s="1"/>
  <c r="C162" i="1" s="1" a="1"/>
  <c r="C162" i="1" s="1"/>
  <c r="E162" i="1" s="1"/>
  <c r="A170" i="1" a="1"/>
  <c r="A170" i="1" s="1"/>
  <c r="C170" i="1" s="1" a="1"/>
  <c r="C170" i="1" s="1"/>
  <c r="E170" i="1" s="1"/>
  <c r="A177" i="1" a="1"/>
  <c r="A177" i="1" s="1"/>
  <c r="C177" i="1" s="1" a="1"/>
  <c r="C177" i="1" s="1"/>
  <c r="E177" i="1" s="1"/>
  <c r="A185" i="1" a="1"/>
  <c r="A185" i="1" s="1"/>
  <c r="C185" i="1" s="1" a="1"/>
  <c r="C185" i="1" s="1"/>
  <c r="D185" i="1" s="1"/>
  <c r="A192" i="1" a="1"/>
  <c r="A192" i="1" s="1"/>
  <c r="C192" i="1" s="1" a="1"/>
  <c r="C192" i="1" s="1"/>
  <c r="E192" i="1" s="1"/>
  <c r="A199" i="1" a="1"/>
  <c r="A199" i="1" s="1"/>
  <c r="C199" i="1" s="1" a="1"/>
  <c r="C199" i="1" s="1"/>
  <c r="D199" i="1" s="1"/>
  <c r="A206" i="1" a="1"/>
  <c r="A206" i="1" s="1"/>
  <c r="C206" i="1" s="1" a="1"/>
  <c r="C206" i="1" s="1"/>
  <c r="E206" i="1" s="1"/>
  <c r="A214" i="1" a="1"/>
  <c r="A214" i="1" s="1"/>
  <c r="C214" i="1" s="1" a="1"/>
  <c r="C214" i="1" s="1"/>
  <c r="E214" i="1" s="1"/>
  <c r="A228" i="1" a="1"/>
  <c r="A228" i="1" s="1"/>
  <c r="C228" i="1" s="1" a="1"/>
  <c r="C228" i="1" s="1"/>
  <c r="E228" i="1" s="1"/>
  <c r="A236" i="1" a="1"/>
  <c r="A236" i="1" s="1"/>
  <c r="C236" i="1" s="1" a="1"/>
  <c r="C236" i="1" s="1"/>
  <c r="E236" i="1" s="1"/>
  <c r="A243" i="1" a="1"/>
  <c r="A243" i="1" s="1"/>
  <c r="C243" i="1" s="1" a="1"/>
  <c r="C243" i="1" s="1"/>
  <c r="D243" i="1" s="1"/>
  <c r="A251" i="1" a="1"/>
  <c r="A251" i="1" s="1"/>
  <c r="C251" i="1" s="1" a="1"/>
  <c r="C251" i="1" s="1"/>
  <c r="E251" i="1" s="1"/>
  <c r="A258" i="1" a="1"/>
  <c r="A258" i="1" s="1"/>
  <c r="C258" i="1" s="1" a="1"/>
  <c r="C258" i="1" s="1"/>
  <c r="D258" i="1" s="1"/>
  <c r="A266" i="1" a="1"/>
  <c r="A266" i="1" s="1"/>
  <c r="C266" i="1" s="1" a="1"/>
  <c r="C266" i="1" s="1"/>
  <c r="E266" i="1" s="1"/>
  <c r="A273" i="1" a="1"/>
  <c r="A273" i="1" s="1"/>
  <c r="C273" i="1" s="1" a="1"/>
  <c r="C273" i="1" s="1"/>
  <c r="D273" i="1" s="1"/>
  <c r="A281" i="1" a="1"/>
  <c r="A281" i="1" s="1"/>
  <c r="C281" i="1" s="1" a="1"/>
  <c r="C281" i="1" s="1"/>
  <c r="E281" i="1" s="1"/>
  <c r="A289" i="1" a="1"/>
  <c r="A289" i="1" s="1"/>
  <c r="C289" i="1" s="1" a="1"/>
  <c r="C289" i="1" s="1"/>
  <c r="E289" i="1" s="1"/>
  <c r="A296" i="1" a="1"/>
  <c r="A296" i="1" s="1"/>
  <c r="C296" i="1" s="1" a="1"/>
  <c r="C296" i="1" s="1"/>
  <c r="E296" i="1" s="1"/>
  <c r="A303" i="1" a="1"/>
  <c r="A303" i="1" s="1"/>
  <c r="C303" i="1" s="1" a="1"/>
  <c r="C303" i="1" s="1"/>
  <c r="D303" i="1" s="1"/>
  <c r="A311" i="1" a="1"/>
  <c r="A311" i="1" s="1"/>
  <c r="C311" i="1" s="1" a="1"/>
  <c r="C311" i="1" s="1"/>
  <c r="D311" i="1" s="1"/>
  <c r="A319" i="1" a="1"/>
  <c r="A319" i="1" s="1"/>
  <c r="C319" i="1" s="1" a="1"/>
  <c r="C319" i="1" s="1"/>
  <c r="D319" i="1" s="1"/>
  <c r="A326" i="1" a="1"/>
  <c r="A326" i="1" s="1"/>
  <c r="C326" i="1" s="1" a="1"/>
  <c r="C326" i="1" s="1"/>
  <c r="E326" i="1" s="1"/>
  <c r="A341" i="1" a="1"/>
  <c r="A341" i="1" s="1"/>
  <c r="C341" i="1" s="1" a="1"/>
  <c r="C341" i="1" s="1"/>
  <c r="E341" i="1" s="1"/>
  <c r="A354" i="1" a="1"/>
  <c r="A354" i="1" s="1"/>
  <c r="C354" i="1" s="1" a="1"/>
  <c r="C354" i="1" s="1"/>
  <c r="E354" i="1" s="1"/>
  <c r="A360" i="1" a="1"/>
  <c r="A360" i="1" s="1"/>
  <c r="C360" i="1" s="1" a="1"/>
  <c r="C360" i="1" s="1"/>
  <c r="D360" i="1" s="1"/>
  <c r="A367" i="1" a="1"/>
  <c r="A367" i="1" s="1"/>
  <c r="C367" i="1" s="1" a="1"/>
  <c r="C367" i="1" s="1"/>
  <c r="E367" i="1" s="1"/>
  <c r="A373" i="1" a="1"/>
  <c r="A373" i="1" s="1"/>
  <c r="C373" i="1" s="1" a="1"/>
  <c r="C373" i="1" s="1"/>
  <c r="D373" i="1" s="1"/>
  <c r="A394" i="1" a="1"/>
  <c r="A394" i="1" s="1"/>
  <c r="C394" i="1" s="1" a="1"/>
  <c r="C394" i="1" s="1"/>
  <c r="D394" i="1" s="1"/>
  <c r="A401" i="1" a="1"/>
  <c r="A401" i="1" s="1"/>
  <c r="C401" i="1" s="1" a="1"/>
  <c r="C401" i="1" s="1"/>
  <c r="E401" i="1" s="1"/>
  <c r="A409" i="1" a="1"/>
  <c r="A409" i="1" s="1"/>
  <c r="C409" i="1" s="1" a="1"/>
  <c r="C409" i="1" s="1"/>
  <c r="D409" i="1" s="1"/>
  <c r="A417" i="1" a="1"/>
  <c r="A417" i="1" s="1"/>
  <c r="C417" i="1" s="1" a="1"/>
  <c r="C417" i="1" s="1"/>
  <c r="E417" i="1" s="1"/>
  <c r="A431" i="1" a="1"/>
  <c r="A431" i="1" s="1"/>
  <c r="C431" i="1" s="1" a="1"/>
  <c r="C431" i="1" s="1"/>
  <c r="E431" i="1" s="1"/>
  <c r="A439" i="1" a="1"/>
  <c r="A439" i="1" s="1"/>
  <c r="C439" i="1" s="1" a="1"/>
  <c r="C439" i="1" s="1"/>
  <c r="E439" i="1" s="1"/>
  <c r="A446" i="1" a="1"/>
  <c r="A446" i="1" s="1"/>
  <c r="C446" i="1" s="1" a="1"/>
  <c r="C446" i="1" s="1"/>
  <c r="E446" i="1" s="1"/>
  <c r="A453" i="1" a="1"/>
  <c r="A453" i="1" s="1"/>
  <c r="C453" i="1" s="1" a="1"/>
  <c r="C453" i="1" s="1"/>
  <c r="D453" i="1" s="1"/>
  <c r="A460" i="1" a="1"/>
  <c r="A460" i="1" s="1"/>
  <c r="C460" i="1" s="1" a="1"/>
  <c r="C460" i="1" s="1"/>
  <c r="D460" i="1" s="1"/>
  <c r="A468" i="1" a="1"/>
  <c r="A468" i="1" s="1"/>
  <c r="C468" i="1" s="1" a="1"/>
  <c r="C468" i="1" s="1"/>
  <c r="E468" i="1" s="1"/>
  <c r="A476" i="1" a="1"/>
  <c r="A476" i="1" s="1"/>
  <c r="C476" i="1" s="1" a="1"/>
  <c r="C476" i="1" s="1"/>
  <c r="E476" i="1" s="1"/>
  <c r="A490" i="1" a="1"/>
  <c r="A490" i="1" s="1"/>
  <c r="C490" i="1" s="1" a="1"/>
  <c r="C490" i="1" s="1"/>
  <c r="E490" i="1" s="1"/>
  <c r="A498" i="1" a="1"/>
  <c r="A498" i="1" s="1"/>
  <c r="C498" i="1" s="1" a="1"/>
  <c r="C498" i="1" s="1"/>
  <c r="D498" i="1" s="1"/>
  <c r="A506" i="1" a="1"/>
  <c r="A506" i="1" s="1"/>
  <c r="C506" i="1" s="1" a="1"/>
  <c r="C506" i="1" s="1"/>
  <c r="E506" i="1" s="1"/>
  <c r="A514" i="1" a="1"/>
  <c r="A514" i="1" s="1"/>
  <c r="C514" i="1" s="1" a="1"/>
  <c r="C514" i="1" s="1"/>
  <c r="D514" i="1" s="1"/>
  <c r="A520" i="1" a="1"/>
  <c r="A520" i="1" s="1"/>
  <c r="A528" i="1" a="1"/>
  <c r="A528" i="1" s="1"/>
  <c r="C528" i="1" s="1" a="1"/>
  <c r="C528" i="1" s="1"/>
  <c r="E528" i="1" s="1"/>
  <c r="A536" i="1" a="1"/>
  <c r="A536" i="1" s="1"/>
  <c r="C536" i="1" s="1" a="1"/>
  <c r="C536" i="1" s="1"/>
  <c r="E536" i="1" s="1"/>
  <c r="A544" i="1" a="1"/>
  <c r="A544" i="1" s="1"/>
  <c r="C544" i="1" s="1" a="1"/>
  <c r="C544" i="1" s="1"/>
  <c r="E544" i="1" s="1"/>
  <c r="A551" i="1" a="1"/>
  <c r="A551" i="1" s="1"/>
  <c r="C551" i="1" s="1" a="1"/>
  <c r="C551" i="1" s="1"/>
  <c r="E551" i="1" s="1"/>
  <c r="A558" i="1" a="1"/>
  <c r="A558" i="1" s="1"/>
  <c r="A57" i="1" a="1"/>
  <c r="A57" i="1" s="1"/>
  <c r="C57" i="1" s="1" a="1"/>
  <c r="C57" i="1" s="1"/>
  <c r="E57" i="1" s="1"/>
  <c r="A64" i="1" a="1"/>
  <c r="A64" i="1" s="1"/>
  <c r="C64" i="1" s="1" a="1"/>
  <c r="C64" i="1" s="1"/>
  <c r="E64" i="1" s="1"/>
  <c r="A71" i="1" a="1"/>
  <c r="A71" i="1" s="1"/>
  <c r="C71" i="1" s="1" a="1"/>
  <c r="C71" i="1" s="1"/>
  <c r="E71" i="1" s="1"/>
  <c r="A79" i="1" a="1"/>
  <c r="A79" i="1" s="1"/>
  <c r="C79" i="1" s="1" a="1"/>
  <c r="C79" i="1" s="1"/>
  <c r="E79" i="1" s="1"/>
  <c r="A87" i="1" a="1"/>
  <c r="A87" i="1" s="1"/>
  <c r="C87" i="1" s="1" a="1"/>
  <c r="C87" i="1" s="1"/>
  <c r="E87" i="1" s="1"/>
  <c r="A95" i="1" a="1"/>
  <c r="A95" i="1" s="1"/>
  <c r="C95" i="1" s="1" a="1"/>
  <c r="C95" i="1" s="1"/>
  <c r="D95" i="1" s="1"/>
  <c r="A102" i="1" a="1"/>
  <c r="A102" i="1" s="1"/>
  <c r="C102" i="1" s="1" a="1"/>
  <c r="C102" i="1" s="1"/>
  <c r="E102" i="1" s="1"/>
  <c r="A110" i="1" a="1"/>
  <c r="A110" i="1" s="1"/>
  <c r="C110" i="1" s="1" a="1"/>
  <c r="C110" i="1" s="1"/>
  <c r="E110" i="1" s="1"/>
  <c r="A118" i="1" a="1"/>
  <c r="A118" i="1" s="1"/>
  <c r="C118" i="1" s="1" a="1"/>
  <c r="C118" i="1" s="1"/>
  <c r="E118" i="1" s="1"/>
  <c r="A126" i="1" a="1"/>
  <c r="A126" i="1" s="1"/>
  <c r="C126" i="1" s="1" a="1"/>
  <c r="C126" i="1" s="1"/>
  <c r="E126" i="1" s="1"/>
  <c r="A133" i="1" a="1"/>
  <c r="A133" i="1" s="1"/>
  <c r="C133" i="1" s="1" a="1"/>
  <c r="C133" i="1" s="1"/>
  <c r="E133" i="1" s="1"/>
  <c r="A141" i="1" a="1"/>
  <c r="A141" i="1" s="1"/>
  <c r="C141" i="1" s="1" a="1"/>
  <c r="C141" i="1" s="1"/>
  <c r="E141" i="1" s="1"/>
  <c r="A149" i="1" a="1"/>
  <c r="A149" i="1" s="1"/>
  <c r="C149" i="1" s="1" a="1"/>
  <c r="C149" i="1" s="1"/>
  <c r="E149" i="1" s="1"/>
  <c r="A156" i="1" a="1"/>
  <c r="A156" i="1" s="1"/>
  <c r="C156" i="1" s="1" a="1"/>
  <c r="C156" i="1" s="1"/>
  <c r="E156" i="1" s="1"/>
  <c r="A163" i="1" a="1"/>
  <c r="A163" i="1" s="1"/>
  <c r="C163" i="1" s="1" a="1"/>
  <c r="C163" i="1" s="1"/>
  <c r="E163" i="1" s="1"/>
  <c r="A171" i="1" a="1"/>
  <c r="A171" i="1" s="1"/>
  <c r="C171" i="1" s="1" a="1"/>
  <c r="C171" i="1" s="1"/>
  <c r="E171" i="1" s="1"/>
  <c r="A178" i="1" a="1"/>
  <c r="A178" i="1" s="1"/>
  <c r="C178" i="1" s="1" a="1"/>
  <c r="C178" i="1" s="1"/>
  <c r="E178" i="1" s="1"/>
  <c r="A193" i="1" a="1"/>
  <c r="A193" i="1" s="1"/>
  <c r="C193" i="1" s="1" a="1"/>
  <c r="C193" i="1" s="1"/>
  <c r="E193" i="1" s="1"/>
  <c r="A200" i="1" a="1"/>
  <c r="A200" i="1" s="1"/>
  <c r="C200" i="1" s="1" a="1"/>
  <c r="C200" i="1" s="1"/>
  <c r="E200" i="1" s="1"/>
  <c r="A207" i="1" a="1"/>
  <c r="A207" i="1" s="1"/>
  <c r="C207" i="1" s="1" a="1"/>
  <c r="C207" i="1" s="1"/>
  <c r="E207" i="1" s="1"/>
  <c r="A215" i="1" a="1"/>
  <c r="A215" i="1" s="1"/>
  <c r="C215" i="1" s="1" a="1"/>
  <c r="C215" i="1" s="1"/>
  <c r="E215" i="1" s="1"/>
  <c r="A222" i="1" a="1"/>
  <c r="A222" i="1" s="1"/>
  <c r="C222" i="1" s="1" a="1"/>
  <c r="C222" i="1" s="1"/>
  <c r="E222" i="1" s="1"/>
  <c r="A229" i="1" a="1"/>
  <c r="A229" i="1" s="1"/>
  <c r="C229" i="1" s="1" a="1"/>
  <c r="C229" i="1" s="1"/>
  <c r="D229" i="1" s="1"/>
  <c r="A237" i="1" a="1"/>
  <c r="A237" i="1" s="1"/>
  <c r="C237" i="1" s="1" a="1"/>
  <c r="C237" i="1" s="1"/>
  <c r="E237" i="1" s="1"/>
  <c r="A244" i="1" a="1"/>
  <c r="A244" i="1" s="1"/>
  <c r="C244" i="1" s="1" a="1"/>
  <c r="C244" i="1" s="1"/>
  <c r="E244" i="1" s="1"/>
  <c r="A252" i="1" a="1"/>
  <c r="A252" i="1" s="1"/>
  <c r="C252" i="1" s="1" a="1"/>
  <c r="C252" i="1" s="1"/>
  <c r="E252" i="1" s="1"/>
  <c r="A259" i="1" a="1"/>
  <c r="A259" i="1" s="1"/>
  <c r="C259" i="1" s="1" a="1"/>
  <c r="C259" i="1" s="1"/>
  <c r="E259" i="1" s="1"/>
  <c r="A267" i="1" a="1"/>
  <c r="A267" i="1" s="1"/>
  <c r="C267" i="1" s="1" a="1"/>
  <c r="C267" i="1" s="1"/>
  <c r="E267" i="1" s="1"/>
  <c r="A274" i="1" a="1"/>
  <c r="A274" i="1" s="1"/>
  <c r="C274" i="1" s="1" a="1"/>
  <c r="C274" i="1" s="1"/>
  <c r="D274" i="1" s="1"/>
  <c r="A282" i="1" a="1"/>
  <c r="A282" i="1" s="1"/>
  <c r="C282" i="1" s="1" a="1"/>
  <c r="C282" i="1" s="1"/>
  <c r="D282" i="1" s="1"/>
  <c r="A297" i="1" a="1"/>
  <c r="A297" i="1" s="1"/>
  <c r="C297" i="1" s="1" a="1"/>
  <c r="C297" i="1" s="1"/>
  <c r="E297" i="1" s="1"/>
  <c r="A304" i="1" a="1"/>
  <c r="A304" i="1" s="1"/>
  <c r="C304" i="1" s="1" a="1"/>
  <c r="C304" i="1" s="1"/>
  <c r="E304" i="1" s="1"/>
  <c r="A312" i="1" a="1"/>
  <c r="A312" i="1" s="1"/>
  <c r="C312" i="1" s="1" a="1"/>
  <c r="C312" i="1" s="1"/>
  <c r="D312" i="1" s="1"/>
  <c r="A320" i="1" a="1"/>
  <c r="A320" i="1" s="1"/>
  <c r="C320" i="1" s="1" a="1"/>
  <c r="C320" i="1" s="1"/>
  <c r="E320" i="1" s="1"/>
  <c r="A327" i="1" a="1"/>
  <c r="A327" i="1" s="1"/>
  <c r="C327" i="1" s="1" a="1"/>
  <c r="C327" i="1" s="1"/>
  <c r="D327" i="1" s="1"/>
  <c r="A334" i="1" a="1"/>
  <c r="A334" i="1" s="1"/>
  <c r="C334" i="1" s="1" a="1"/>
  <c r="C334" i="1" s="1"/>
  <c r="E334" i="1" s="1"/>
  <c r="A342" i="1" a="1"/>
  <c r="A342" i="1" s="1"/>
  <c r="C342" i="1" s="1" a="1"/>
  <c r="C342" i="1" s="1"/>
  <c r="E342" i="1" s="1"/>
  <c r="A348" i="1" a="1"/>
  <c r="A348" i="1" s="1"/>
  <c r="C348" i="1" s="1" a="1"/>
  <c r="C348" i="1" s="1"/>
  <c r="E348" i="1" s="1"/>
  <c r="A355" i="1" a="1"/>
  <c r="A355" i="1" s="1"/>
  <c r="C355" i="1" s="1" a="1"/>
  <c r="C355" i="1" s="1"/>
  <c r="E355" i="1" s="1"/>
  <c r="A361" i="1" a="1"/>
  <c r="A361" i="1" s="1"/>
  <c r="C361" i="1" s="1" a="1"/>
  <c r="C361" i="1" s="1"/>
  <c r="E361" i="1" s="1"/>
  <c r="A374" i="1" a="1"/>
  <c r="A374" i="1" s="1"/>
  <c r="C374" i="1" s="1" a="1"/>
  <c r="C374" i="1" s="1"/>
  <c r="D374" i="1" s="1"/>
  <c r="A381" i="1" a="1"/>
  <c r="A381" i="1" s="1"/>
  <c r="C381" i="1" s="1" a="1"/>
  <c r="C381" i="1" s="1"/>
  <c r="E381" i="1" s="1"/>
  <c r="A388" i="1" a="1"/>
  <c r="A388" i="1" s="1"/>
  <c r="C388" i="1" s="1" a="1"/>
  <c r="C388" i="1" s="1"/>
  <c r="E388" i="1" s="1"/>
  <c r="A395" i="1" a="1"/>
  <c r="A395" i="1" s="1"/>
  <c r="C395" i="1" s="1" a="1"/>
  <c r="C395" i="1" s="1"/>
  <c r="E395" i="1" s="1"/>
  <c r="A402" i="1" a="1"/>
  <c r="A402" i="1" s="1"/>
  <c r="C402" i="1" s="1" a="1"/>
  <c r="C402" i="1" s="1"/>
  <c r="E402" i="1" s="1"/>
  <c r="A410" i="1" a="1"/>
  <c r="A410" i="1" s="1"/>
  <c r="C410" i="1" s="1" a="1"/>
  <c r="C410" i="1" s="1"/>
  <c r="E410" i="1" s="1"/>
  <c r="A418" i="1" a="1"/>
  <c r="A418" i="1" s="1"/>
  <c r="C418" i="1" s="1" a="1"/>
  <c r="C418" i="1" s="1"/>
  <c r="D418" i="1" s="1"/>
  <c r="A424" i="1" a="1"/>
  <c r="A424" i="1" s="1"/>
  <c r="C424" i="1" s="1" a="1"/>
  <c r="C424" i="1" s="1"/>
  <c r="E424" i="1" s="1"/>
  <c r="A432" i="1" a="1"/>
  <c r="A432" i="1" s="1"/>
  <c r="C432" i="1" s="1" a="1"/>
  <c r="C432" i="1" s="1"/>
  <c r="E432" i="1" s="1"/>
  <c r="A447" i="1" a="1"/>
  <c r="A447" i="1" s="1"/>
  <c r="C447" i="1" s="1" a="1"/>
  <c r="C447" i="1" s="1"/>
  <c r="E447" i="1" s="1"/>
  <c r="A454" i="1" a="1"/>
  <c r="A454" i="1" s="1"/>
  <c r="C454" i="1" s="1" a="1"/>
  <c r="C454" i="1" s="1"/>
  <c r="D454" i="1" s="1"/>
  <c r="A461" i="1" a="1"/>
  <c r="A461" i="1" s="1"/>
  <c r="C461" i="1" s="1" a="1"/>
  <c r="C461" i="1" s="1"/>
  <c r="E461" i="1" s="1"/>
  <c r="A469" i="1" a="1"/>
  <c r="A469" i="1" s="1"/>
  <c r="C469" i="1" s="1" a="1"/>
  <c r="C469" i="1" s="1"/>
  <c r="E469" i="1" s="1"/>
  <c r="A477" i="1" a="1"/>
  <c r="A477" i="1" s="1"/>
  <c r="C477" i="1" s="1" a="1"/>
  <c r="C477" i="1" s="1"/>
  <c r="E477" i="1" s="1"/>
  <c r="A484" i="1" a="1"/>
  <c r="A484" i="1" s="1"/>
  <c r="C484" i="1" s="1" a="1"/>
  <c r="C484" i="1" s="1"/>
  <c r="E484" i="1" s="1"/>
  <c r="A491" i="1" a="1"/>
  <c r="A491" i="1" s="1"/>
  <c r="C491" i="1" s="1" a="1"/>
  <c r="C491" i="1" s="1"/>
  <c r="D491" i="1" s="1"/>
  <c r="A499" i="1" a="1"/>
  <c r="A499" i="1" s="1"/>
  <c r="C499" i="1" s="1" a="1"/>
  <c r="C499" i="1" s="1"/>
  <c r="E499" i="1" s="1"/>
  <c r="A507" i="1" a="1"/>
  <c r="A507" i="1" s="1"/>
  <c r="C507" i="1" s="1" a="1"/>
  <c r="C507" i="1" s="1"/>
  <c r="E507" i="1" s="1"/>
  <c r="A515" i="1" a="1"/>
  <c r="A515" i="1" s="1"/>
  <c r="C515" i="1" s="1" a="1"/>
  <c r="C515" i="1" s="1"/>
  <c r="E515" i="1" s="1"/>
  <c r="A521" i="1" a="1"/>
  <c r="A521" i="1" s="1"/>
  <c r="A529" i="1" a="1"/>
  <c r="A529" i="1" s="1"/>
  <c r="C529" i="1" s="1" a="1"/>
  <c r="C529" i="1" s="1"/>
  <c r="E529" i="1" s="1"/>
  <c r="A537" i="1" a="1"/>
  <c r="A537" i="1" s="1"/>
  <c r="A545" i="1" a="1"/>
  <c r="A545" i="1" s="1"/>
  <c r="C545" i="1" s="1" a="1"/>
  <c r="C545" i="1" s="1"/>
  <c r="D545" i="1" s="1"/>
  <c r="A65" i="1" a="1"/>
  <c r="A65" i="1" s="1"/>
  <c r="C65" i="1" s="1" a="1"/>
  <c r="C65" i="1" s="1"/>
  <c r="D65" i="1" s="1"/>
  <c r="A72" i="1" a="1"/>
  <c r="A72" i="1" s="1"/>
  <c r="C72" i="1" s="1" a="1"/>
  <c r="C72" i="1" s="1"/>
  <c r="E72" i="1" s="1"/>
  <c r="A80" i="1" a="1"/>
  <c r="A80" i="1" s="1"/>
  <c r="C80" i="1" s="1" a="1"/>
  <c r="C80" i="1" s="1"/>
  <c r="E80" i="1" s="1"/>
  <c r="A88" i="1" a="1"/>
  <c r="A88" i="1" s="1"/>
  <c r="C88" i="1" s="1" a="1"/>
  <c r="C88" i="1" s="1"/>
  <c r="E88" i="1" s="1"/>
  <c r="A96" i="1" a="1"/>
  <c r="A96" i="1" s="1"/>
  <c r="C96" i="1" s="1" a="1"/>
  <c r="C96" i="1" s="1"/>
  <c r="D96" i="1" s="1"/>
  <c r="A103" i="1" a="1"/>
  <c r="A103" i="1" s="1"/>
  <c r="C103" i="1" s="1" a="1"/>
  <c r="C103" i="1" s="1"/>
  <c r="E103" i="1" s="1"/>
  <c r="A111" i="1" a="1"/>
  <c r="A111" i="1" s="1"/>
  <c r="C111" i="1" s="1" a="1"/>
  <c r="C111" i="1" s="1"/>
  <c r="E111" i="1" s="1"/>
  <c r="A119" i="1" a="1"/>
  <c r="A119" i="1" s="1"/>
  <c r="C119" i="1" s="1" a="1"/>
  <c r="C119" i="1" s="1"/>
  <c r="E119" i="1" s="1"/>
  <c r="A127" i="1" a="1"/>
  <c r="A127" i="1" s="1"/>
  <c r="C127" i="1" s="1" a="1"/>
  <c r="C127" i="1" s="1"/>
  <c r="E127" i="1" s="1"/>
  <c r="A134" i="1" a="1"/>
  <c r="A134" i="1" s="1"/>
  <c r="C134" i="1" s="1" a="1"/>
  <c r="C134" i="1" s="1"/>
  <c r="E134" i="1" s="1"/>
  <c r="A142" i="1" a="1"/>
  <c r="A142" i="1" s="1"/>
  <c r="C142" i="1" s="1" a="1"/>
  <c r="C142" i="1" s="1"/>
  <c r="D142" i="1" s="1"/>
  <c r="A150" i="1" a="1"/>
  <c r="A150" i="1" s="1"/>
  <c r="C150" i="1" s="1" a="1"/>
  <c r="C150" i="1" s="1"/>
  <c r="E150" i="1" s="1"/>
  <c r="A157" i="1" a="1"/>
  <c r="A157" i="1" s="1"/>
  <c r="C157" i="1" s="1" a="1"/>
  <c r="C157" i="1" s="1"/>
  <c r="D157" i="1" s="1"/>
  <c r="A164" i="1" a="1"/>
  <c r="A164" i="1" s="1"/>
  <c r="C164" i="1" s="1" a="1"/>
  <c r="C164" i="1" s="1"/>
  <c r="E164" i="1" s="1"/>
  <c r="A172" i="1" a="1"/>
  <c r="A172" i="1" s="1"/>
  <c r="C172" i="1" s="1" a="1"/>
  <c r="C172" i="1" s="1"/>
  <c r="E172" i="1" s="1"/>
  <c r="A179" i="1" a="1"/>
  <c r="A179" i="1" s="1"/>
  <c r="C179" i="1" s="1" a="1"/>
  <c r="C179" i="1" s="1"/>
  <c r="D179" i="1" s="1"/>
  <c r="A186" i="1" a="1"/>
  <c r="A186" i="1" s="1"/>
  <c r="C186" i="1" s="1" a="1"/>
  <c r="C186" i="1" s="1"/>
  <c r="D186" i="1" s="1"/>
  <c r="A201" i="1" a="1"/>
  <c r="A201" i="1" s="1"/>
  <c r="C201" i="1" s="1" a="1"/>
  <c r="C201" i="1" s="1"/>
  <c r="D201" i="1" s="1"/>
  <c r="A208" i="1" a="1"/>
  <c r="A208" i="1" s="1"/>
  <c r="C208" i="1" s="1" a="1"/>
  <c r="C208" i="1" s="1"/>
  <c r="E208" i="1" s="1"/>
  <c r="A216" i="1" a="1"/>
  <c r="A216" i="1" s="1"/>
  <c r="C216" i="1" s="1" a="1"/>
  <c r="C216" i="1" s="1"/>
  <c r="E216" i="1" s="1"/>
  <c r="A223" i="1" a="1"/>
  <c r="A223" i="1" s="1"/>
  <c r="C223" i="1" s="1" a="1"/>
  <c r="C223" i="1" s="1"/>
  <c r="E223" i="1" s="1"/>
  <c r="A230" i="1" a="1"/>
  <c r="A230" i="1" s="1"/>
  <c r="C230" i="1" s="1" a="1"/>
  <c r="C230" i="1" s="1"/>
  <c r="E230" i="1" s="1"/>
  <c r="A245" i="1" a="1"/>
  <c r="A245" i="1" s="1"/>
  <c r="C245" i="1" s="1" a="1"/>
  <c r="C245" i="1" s="1"/>
  <c r="E245" i="1" s="1"/>
  <c r="A253" i="1" a="1"/>
  <c r="A253" i="1" s="1"/>
  <c r="C253" i="1" s="1" a="1"/>
  <c r="C253" i="1" s="1"/>
  <c r="E253" i="1" s="1"/>
  <c r="A260" i="1" a="1"/>
  <c r="A260" i="1" s="1"/>
  <c r="C260" i="1" s="1" a="1"/>
  <c r="C260" i="1" s="1"/>
  <c r="E260" i="1" s="1"/>
  <c r="A268" i="1" a="1"/>
  <c r="A268" i="1" s="1"/>
  <c r="C268" i="1" s="1" a="1"/>
  <c r="C268" i="1" s="1"/>
  <c r="E268" i="1" s="1"/>
  <c r="A275" i="1" a="1"/>
  <c r="A275" i="1" s="1"/>
  <c r="C275" i="1" s="1" a="1"/>
  <c r="C275" i="1" s="1"/>
  <c r="D275" i="1" s="1"/>
  <c r="A283" i="1" a="1"/>
  <c r="A283" i="1" s="1"/>
  <c r="C283" i="1" s="1" a="1"/>
  <c r="C283" i="1" s="1"/>
  <c r="E283" i="1" s="1"/>
  <c r="A290" i="1" a="1"/>
  <c r="A290" i="1" s="1"/>
  <c r="C290" i="1" s="1" a="1"/>
  <c r="C290" i="1" s="1"/>
  <c r="E290" i="1" s="1"/>
  <c r="A298" i="1" a="1"/>
  <c r="A298" i="1" s="1"/>
  <c r="C298" i="1" s="1" a="1"/>
  <c r="C298" i="1" s="1"/>
  <c r="E298" i="1" s="1"/>
  <c r="A305" i="1" a="1"/>
  <c r="A305" i="1" s="1"/>
  <c r="C305" i="1" s="1" a="1"/>
  <c r="C305" i="1" s="1"/>
  <c r="D305" i="1" s="1"/>
  <c r="A313" i="1" a="1"/>
  <c r="A313" i="1" s="1"/>
  <c r="C313" i="1" s="1" a="1"/>
  <c r="C313" i="1" s="1"/>
  <c r="E313" i="1" s="1"/>
  <c r="A321" i="1" a="1"/>
  <c r="A321" i="1" s="1"/>
  <c r="C321" i="1" s="1" a="1"/>
  <c r="C321" i="1" s="1"/>
  <c r="E321" i="1" s="1"/>
  <c r="A328" i="1" a="1"/>
  <c r="A328" i="1" s="1"/>
  <c r="C328" i="1" s="1" a="1"/>
  <c r="C328" i="1" s="1"/>
  <c r="E328" i="1" s="1"/>
  <c r="A335" i="1" a="1"/>
  <c r="A335" i="1" s="1"/>
  <c r="C335" i="1" s="1" a="1"/>
  <c r="C335" i="1" s="1"/>
  <c r="E335" i="1" s="1"/>
  <c r="A343" i="1" a="1"/>
  <c r="A343" i="1" s="1"/>
  <c r="C343" i="1" s="1" a="1"/>
  <c r="C343" i="1" s="1"/>
  <c r="D343" i="1" s="1"/>
  <c r="A349" i="1" a="1"/>
  <c r="A349" i="1" s="1"/>
  <c r="C349" i="1" s="1" a="1"/>
  <c r="C349" i="1" s="1"/>
  <c r="E349" i="1" s="1"/>
  <c r="A362" i="1" a="1"/>
  <c r="A362" i="1" s="1"/>
  <c r="C362" i="1" s="1" a="1"/>
  <c r="C362" i="1" s="1"/>
  <c r="E362" i="1" s="1"/>
  <c r="A368" i="1" a="1"/>
  <c r="A368" i="1" s="1"/>
  <c r="C368" i="1" s="1" a="1"/>
  <c r="C368" i="1" s="1"/>
  <c r="E368" i="1" s="1"/>
  <c r="A375" i="1" a="1"/>
  <c r="A375" i="1" s="1"/>
  <c r="C375" i="1" s="1" a="1"/>
  <c r="C375" i="1" s="1"/>
  <c r="D375" i="1" s="1"/>
  <c r="A382" i="1" a="1"/>
  <c r="A382" i="1" s="1"/>
  <c r="C382" i="1" s="1" a="1"/>
  <c r="C382" i="1" s="1"/>
  <c r="E382" i="1" s="1"/>
  <c r="A389" i="1" a="1"/>
  <c r="A389" i="1" s="1"/>
  <c r="C389" i="1" s="1" a="1"/>
  <c r="C389" i="1" s="1"/>
  <c r="E389" i="1" s="1"/>
  <c r="A403" i="1" a="1"/>
  <c r="A403" i="1" s="1"/>
  <c r="C403" i="1" s="1" a="1"/>
  <c r="C403" i="1" s="1"/>
  <c r="E403" i="1" s="1"/>
  <c r="A411" i="1" a="1"/>
  <c r="A411" i="1" s="1"/>
  <c r="C411" i="1" s="1" a="1"/>
  <c r="C411" i="1" s="1"/>
  <c r="E411" i="1" s="1"/>
  <c r="A419" i="1" a="1"/>
  <c r="A419" i="1" s="1"/>
  <c r="C419" i="1" s="1" a="1"/>
  <c r="C419" i="1" s="1"/>
  <c r="E419" i="1" s="1"/>
  <c r="A425" i="1" a="1"/>
  <c r="A425" i="1" s="1"/>
  <c r="C425" i="1" s="1" a="1"/>
  <c r="C425" i="1" s="1"/>
  <c r="D425" i="1" s="1"/>
  <c r="A433" i="1" a="1"/>
  <c r="A433" i="1" s="1"/>
  <c r="C433" i="1" s="1" a="1"/>
  <c r="C433" i="1" s="1"/>
  <c r="D433" i="1" s="1"/>
  <c r="A440" i="1" a="1"/>
  <c r="A440" i="1" s="1"/>
  <c r="C440" i="1" s="1" a="1"/>
  <c r="C440" i="1" s="1"/>
  <c r="E440" i="1" s="1"/>
  <c r="A448" i="1" a="1"/>
  <c r="A448" i="1" s="1"/>
  <c r="C448" i="1" s="1" a="1"/>
  <c r="C448" i="1" s="1"/>
  <c r="D448" i="1" s="1"/>
  <c r="A455" i="1" a="1"/>
  <c r="A455" i="1" s="1"/>
  <c r="C455" i="1" s="1" a="1"/>
  <c r="C455" i="1" s="1"/>
  <c r="E455" i="1" s="1"/>
  <c r="A462" i="1" a="1"/>
  <c r="A462" i="1" s="1"/>
  <c r="C462" i="1" s="1" a="1"/>
  <c r="C462" i="1" s="1"/>
  <c r="E462" i="1" s="1"/>
  <c r="A470" i="1" a="1"/>
  <c r="A470" i="1" s="1"/>
  <c r="C470" i="1" s="1" a="1"/>
  <c r="C470" i="1" s="1"/>
  <c r="E470" i="1" s="1"/>
  <c r="A478" i="1" a="1"/>
  <c r="A478" i="1" s="1"/>
  <c r="C478" i="1" s="1" a="1"/>
  <c r="C478" i="1" s="1"/>
  <c r="E478" i="1" s="1"/>
  <c r="A485" i="1" a="1"/>
  <c r="A485" i="1" s="1"/>
  <c r="C485" i="1" s="1" a="1"/>
  <c r="C485" i="1" s="1"/>
  <c r="D485" i="1" s="1"/>
  <c r="A492" i="1" a="1"/>
  <c r="A492" i="1" s="1"/>
  <c r="C492" i="1" s="1" a="1"/>
  <c r="C492" i="1" s="1"/>
  <c r="D492" i="1" s="1"/>
  <c r="A500" i="1" a="1"/>
  <c r="A500" i="1" s="1"/>
  <c r="C500" i="1" s="1" a="1"/>
  <c r="C500" i="1" s="1"/>
  <c r="E500" i="1" s="1"/>
  <c r="A508" i="1" a="1"/>
  <c r="A508" i="1" s="1"/>
  <c r="C508" i="1" s="1" a="1"/>
  <c r="C508" i="1" s="1"/>
  <c r="E508" i="1" s="1"/>
  <c r="A522" i="1" a="1"/>
  <c r="A522" i="1" s="1"/>
  <c r="A530" i="1" a="1"/>
  <c r="A530" i="1" s="1"/>
  <c r="C530" i="1" s="1" a="1"/>
  <c r="C530" i="1" s="1"/>
  <c r="E530" i="1" s="1"/>
  <c r="A58" i="1" a="1"/>
  <c r="A58" i="1" s="1"/>
  <c r="C58" i="1" s="1" a="1"/>
  <c r="C58" i="1" s="1"/>
  <c r="E58" i="1" s="1"/>
  <c r="A73" i="1" a="1"/>
  <c r="A73" i="1" s="1"/>
  <c r="C73" i="1" s="1" a="1"/>
  <c r="C73" i="1" s="1"/>
  <c r="E73" i="1" s="1"/>
  <c r="A81" i="1" a="1"/>
  <c r="A81" i="1" s="1"/>
  <c r="C81" i="1" s="1" a="1"/>
  <c r="C81" i="1" s="1"/>
  <c r="D81" i="1" s="1"/>
  <c r="A89" i="1" a="1"/>
  <c r="A89" i="1" s="1"/>
  <c r="C89" i="1" s="1" a="1"/>
  <c r="C89" i="1" s="1"/>
  <c r="E89" i="1" s="1"/>
  <c r="A97" i="1" a="1"/>
  <c r="A97" i="1" s="1"/>
  <c r="C97" i="1" s="1" a="1"/>
  <c r="C97" i="1" s="1"/>
  <c r="E97" i="1" s="1"/>
  <c r="A104" i="1" a="1"/>
  <c r="A104" i="1" s="1"/>
  <c r="C104" i="1" s="1" a="1"/>
  <c r="C104" i="1" s="1"/>
  <c r="E104" i="1" s="1"/>
  <c r="A112" i="1" a="1"/>
  <c r="A112" i="1" s="1"/>
  <c r="C112" i="1" s="1" a="1"/>
  <c r="C112" i="1" s="1"/>
  <c r="E112" i="1" s="1"/>
  <c r="A120" i="1" a="1"/>
  <c r="A120" i="1" s="1"/>
  <c r="C120" i="1" s="1" a="1"/>
  <c r="C120" i="1" s="1"/>
  <c r="E120" i="1" s="1"/>
  <c r="A128" i="1" a="1"/>
  <c r="A128" i="1" s="1"/>
  <c r="C128" i="1" s="1" a="1"/>
  <c r="C128" i="1" s="1"/>
  <c r="D128" i="1" s="1"/>
  <c r="A135" i="1" a="1"/>
  <c r="A135" i="1" s="1"/>
  <c r="C135" i="1" s="1" a="1"/>
  <c r="C135" i="1" s="1"/>
  <c r="E135" i="1" s="1"/>
  <c r="A143" i="1" a="1"/>
  <c r="A143" i="1" s="1"/>
  <c r="C143" i="1" s="1" a="1"/>
  <c r="C143" i="1" s="1"/>
  <c r="E143" i="1" s="1"/>
  <c r="A151" i="1" a="1"/>
  <c r="A151" i="1" s="1"/>
  <c r="C151" i="1" s="1" a="1"/>
  <c r="C151" i="1" s="1"/>
  <c r="E151" i="1" s="1"/>
  <c r="A158" i="1" a="1"/>
  <c r="A158" i="1" s="1"/>
  <c r="C158" i="1" s="1" a="1"/>
  <c r="C158" i="1" s="1"/>
  <c r="E158" i="1" s="1"/>
  <c r="A165" i="1" a="1"/>
  <c r="A165" i="1" s="1"/>
  <c r="C165" i="1" s="1" a="1"/>
  <c r="C165" i="1" s="1"/>
  <c r="D165" i="1" s="1"/>
  <c r="A173" i="1" a="1"/>
  <c r="A173" i="1" s="1"/>
  <c r="C173" i="1" s="1" a="1"/>
  <c r="C173" i="1" s="1"/>
  <c r="E173" i="1" s="1"/>
  <c r="A180" i="1" a="1"/>
  <c r="A180" i="1" s="1"/>
  <c r="C180" i="1" s="1" a="1"/>
  <c r="C180" i="1" s="1"/>
  <c r="E180" i="1" s="1"/>
  <c r="A187" i="1" a="1"/>
  <c r="A187" i="1" s="1"/>
  <c r="C187" i="1" s="1" a="1"/>
  <c r="C187" i="1" s="1"/>
  <c r="E187" i="1" s="1"/>
  <c r="A194" i="1" a="1"/>
  <c r="A194" i="1" s="1"/>
  <c r="C194" i="1" s="1" a="1"/>
  <c r="C194" i="1" s="1"/>
  <c r="E194" i="1" s="1"/>
  <c r="A202" i="1" a="1"/>
  <c r="A202" i="1" s="1"/>
  <c r="C202" i="1" s="1" a="1"/>
  <c r="C202" i="1" s="1"/>
  <c r="E202" i="1" s="1"/>
  <c r="A209" i="1" a="1"/>
  <c r="A209" i="1" s="1"/>
  <c r="C209" i="1" s="1" a="1"/>
  <c r="C209" i="1" s="1"/>
  <c r="E209" i="1" s="1"/>
  <c r="A217" i="1" a="1"/>
  <c r="A217" i="1" s="1"/>
  <c r="C217" i="1" s="1" a="1"/>
  <c r="C217" i="1" s="1"/>
  <c r="E217" i="1" s="1"/>
  <c r="A224" i="1" a="1"/>
  <c r="A224" i="1" s="1"/>
  <c r="C224" i="1" s="1" a="1"/>
  <c r="C224" i="1" s="1"/>
  <c r="D224" i="1" s="1"/>
  <c r="A231" i="1" a="1"/>
  <c r="A231" i="1" s="1"/>
  <c r="C231" i="1" s="1" a="1"/>
  <c r="C231" i="1" s="1"/>
  <c r="E231" i="1" s="1"/>
  <c r="A238" i="1" a="1"/>
  <c r="A238" i="1" s="1"/>
  <c r="C238" i="1" s="1" a="1"/>
  <c r="C238" i="1" s="1"/>
  <c r="D238" i="1" s="1"/>
  <c r="A246" i="1" a="1"/>
  <c r="A246" i="1" s="1"/>
  <c r="C246" i="1" s="1" a="1"/>
  <c r="C246" i="1" s="1"/>
  <c r="E246" i="1" s="1"/>
  <c r="A254" i="1" a="1"/>
  <c r="A254" i="1" s="1"/>
  <c r="C254" i="1" s="1" a="1"/>
  <c r="C254" i="1" s="1"/>
  <c r="E254" i="1" s="1"/>
  <c r="A261" i="1" a="1"/>
  <c r="A261" i="1" s="1"/>
  <c r="C261" i="1" s="1" a="1"/>
  <c r="C261" i="1" s="1"/>
  <c r="D261" i="1" s="1"/>
  <c r="A269" i="1" a="1"/>
  <c r="A269" i="1" s="1"/>
  <c r="C269" i="1" s="1" a="1"/>
  <c r="C269" i="1" s="1"/>
  <c r="E269" i="1" s="1"/>
  <c r="A276" i="1" a="1"/>
  <c r="A276" i="1" s="1"/>
  <c r="C276" i="1" s="1" a="1"/>
  <c r="C276" i="1" s="1"/>
  <c r="E276" i="1" s="1"/>
  <c r="A284" i="1" a="1"/>
  <c r="A284" i="1" s="1"/>
  <c r="C284" i="1" s="1" a="1"/>
  <c r="C284" i="1" s="1"/>
  <c r="E284" i="1" s="1"/>
  <c r="A291" i="1" a="1"/>
  <c r="A291" i="1" s="1"/>
  <c r="C291" i="1" s="1" a="1"/>
  <c r="C291" i="1" s="1"/>
  <c r="E291" i="1" s="1"/>
  <c r="A299" i="1" a="1"/>
  <c r="A299" i="1" s="1"/>
  <c r="C299" i="1" s="1" a="1"/>
  <c r="C299" i="1" s="1"/>
  <c r="E299" i="1" s="1"/>
  <c r="A306" i="1" a="1"/>
  <c r="A306" i="1" s="1"/>
  <c r="C306" i="1" s="1" a="1"/>
  <c r="C306" i="1" s="1"/>
  <c r="D306" i="1" s="1"/>
  <c r="A314" i="1" a="1"/>
  <c r="A314" i="1" s="1"/>
  <c r="C314" i="1" s="1" a="1"/>
  <c r="C314" i="1" s="1"/>
  <c r="E314" i="1" s="1"/>
  <c r="A329" i="1" a="1"/>
  <c r="A329" i="1" s="1"/>
  <c r="C329" i="1" s="1" a="1"/>
  <c r="C329" i="1" s="1"/>
  <c r="E329" i="1" s="1"/>
  <c r="A336" i="1" a="1"/>
  <c r="A336" i="1" s="1"/>
  <c r="C336" i="1" s="1" a="1"/>
  <c r="C336" i="1" s="1"/>
  <c r="E336" i="1" s="1"/>
  <c r="A350" i="1" a="1"/>
  <c r="A350" i="1" s="1"/>
  <c r="C350" i="1" s="1" a="1"/>
  <c r="C350" i="1" s="1"/>
  <c r="E350" i="1" s="1"/>
  <c r="A356" i="1" a="1"/>
  <c r="A356" i="1" s="1"/>
  <c r="C356" i="1" s="1" a="1"/>
  <c r="C356" i="1" s="1"/>
  <c r="E356" i="1" s="1"/>
  <c r="A363" i="1" a="1"/>
  <c r="A363" i="1" s="1"/>
  <c r="C363" i="1" s="1" a="1"/>
  <c r="C363" i="1" s="1"/>
  <c r="D363" i="1" s="1"/>
  <c r="A369" i="1" a="1"/>
  <c r="A369" i="1" s="1"/>
  <c r="C369" i="1" s="1" a="1"/>
  <c r="C369" i="1" s="1"/>
  <c r="D369" i="1" s="1"/>
  <c r="A383" i="1" a="1"/>
  <c r="A383" i="1" s="1"/>
  <c r="C383" i="1" s="1" a="1"/>
  <c r="C383" i="1" s="1"/>
  <c r="E383" i="1" s="1"/>
  <c r="A390" i="1" a="1"/>
  <c r="A390" i="1" s="1"/>
  <c r="C390" i="1" s="1" a="1"/>
  <c r="C390" i="1" s="1"/>
  <c r="E390" i="1" s="1"/>
  <c r="A396" i="1" a="1"/>
  <c r="A396" i="1" s="1"/>
  <c r="C396" i="1" s="1" a="1"/>
  <c r="C396" i="1" s="1"/>
  <c r="E396" i="1" s="1"/>
  <c r="A404" i="1" a="1"/>
  <c r="A404" i="1" s="1"/>
  <c r="C404" i="1" s="1" a="1"/>
  <c r="C404" i="1" s="1"/>
  <c r="E404" i="1" s="1"/>
  <c r="A412" i="1" a="1"/>
  <c r="A412" i="1" s="1"/>
  <c r="C412" i="1" s="1" a="1"/>
  <c r="C412" i="1" s="1"/>
  <c r="E412" i="1" s="1"/>
  <c r="A426" i="1" a="1"/>
  <c r="A426" i="1" s="1"/>
  <c r="C426" i="1" s="1" a="1"/>
  <c r="C426" i="1" s="1"/>
  <c r="E426" i="1" s="1"/>
  <c r="A434" i="1" a="1"/>
  <c r="A434" i="1" s="1"/>
  <c r="C434" i="1" s="1" a="1"/>
  <c r="C434" i="1" s="1"/>
  <c r="D434" i="1" s="1"/>
  <c r="A441" i="1" a="1"/>
  <c r="A441" i="1" s="1"/>
  <c r="C441" i="1" s="1" a="1"/>
  <c r="C441" i="1" s="1"/>
  <c r="E441" i="1" s="1"/>
  <c r="A449" i="1" a="1"/>
  <c r="A449" i="1" s="1"/>
  <c r="C449" i="1" s="1" a="1"/>
  <c r="C449" i="1" s="1"/>
  <c r="E449" i="1" s="1"/>
  <c r="A463" i="1" a="1"/>
  <c r="A463" i="1" s="1"/>
  <c r="C463" i="1" s="1" a="1"/>
  <c r="C463" i="1" s="1"/>
  <c r="E463" i="1" s="1"/>
  <c r="A471" i="1" a="1"/>
  <c r="A471" i="1" s="1"/>
  <c r="C471" i="1" s="1" a="1"/>
  <c r="C471" i="1" s="1"/>
  <c r="D471" i="1" s="1"/>
  <c r="A479" i="1" a="1"/>
  <c r="A479" i="1" s="1"/>
  <c r="C479" i="1" s="1" a="1"/>
  <c r="C479" i="1" s="1"/>
  <c r="E479" i="1" s="1"/>
  <c r="A486" i="1" a="1"/>
  <c r="A486" i="1" s="1"/>
  <c r="C486" i="1" s="1" a="1"/>
  <c r="C486" i="1" s="1"/>
  <c r="D486" i="1" s="1"/>
  <c r="A493" i="1" a="1"/>
  <c r="A493" i="1" s="1"/>
  <c r="C493" i="1" s="1" a="1"/>
  <c r="C493" i="1" s="1"/>
  <c r="D493" i="1" s="1"/>
  <c r="A501" i="1" a="1"/>
  <c r="A501" i="1" s="1"/>
  <c r="A509" i="1" a="1"/>
  <c r="A509" i="1" s="1"/>
  <c r="C509" i="1" s="1" a="1"/>
  <c r="C509" i="1" s="1"/>
  <c r="A516" i="1" a="1"/>
  <c r="A516" i="1" s="1"/>
  <c r="C516" i="1" s="1" a="1"/>
  <c r="C516" i="1" s="1"/>
  <c r="E516" i="1" s="1"/>
  <c r="A523" i="1" a="1"/>
  <c r="A523" i="1" s="1"/>
  <c r="A531" i="1" a="1"/>
  <c r="A531" i="1" s="1"/>
  <c r="C531" i="1" s="1" a="1"/>
  <c r="C531" i="1" s="1"/>
  <c r="E531" i="1" s="1"/>
  <c r="A539" i="1" a="1"/>
  <c r="A539" i="1" s="1"/>
  <c r="A547" i="1" a="1"/>
  <c r="A547" i="1" s="1"/>
  <c r="C547" i="1" s="1" a="1"/>
  <c r="C547" i="1" s="1"/>
  <c r="E547" i="1" s="1"/>
  <c r="A553" i="1" a="1"/>
  <c r="A553" i="1" s="1"/>
  <c r="C553" i="1" s="1" a="1"/>
  <c r="C553" i="1" s="1"/>
  <c r="E553" i="1" s="1"/>
  <c r="A59" i="1" a="1"/>
  <c r="A59" i="1" s="1"/>
  <c r="C59" i="1" s="1" a="1"/>
  <c r="C59" i="1" s="1"/>
  <c r="E59" i="1" s="1"/>
  <c r="A66" i="1" a="1"/>
  <c r="A66" i="1" s="1"/>
  <c r="C66" i="1" s="1" a="1"/>
  <c r="C66" i="1" s="1"/>
  <c r="E66" i="1" s="1"/>
  <c r="A74" i="1" a="1"/>
  <c r="A74" i="1" s="1"/>
  <c r="C74" i="1" s="1" a="1"/>
  <c r="C74" i="1" s="1"/>
  <c r="A82" i="1" a="1"/>
  <c r="A82" i="1" s="1"/>
  <c r="C82" i="1" s="1" a="1"/>
  <c r="C82" i="1" s="1"/>
  <c r="E82" i="1" s="1"/>
  <c r="A90" i="1" a="1"/>
  <c r="A90" i="1" s="1"/>
  <c r="C90" i="1" s="1" a="1"/>
  <c r="C90" i="1" s="1"/>
  <c r="E90" i="1" s="1"/>
  <c r="A105" i="1" a="1"/>
  <c r="A105" i="1" s="1"/>
  <c r="C105" i="1" s="1" a="1"/>
  <c r="C105" i="1" s="1"/>
  <c r="E105" i="1" s="1"/>
  <c r="A113" i="1" a="1"/>
  <c r="A113" i="1" s="1"/>
  <c r="C113" i="1" s="1" a="1"/>
  <c r="C113" i="1" s="1"/>
  <c r="E113" i="1" s="1"/>
  <c r="A121" i="1" a="1"/>
  <c r="A121" i="1" s="1"/>
  <c r="C121" i="1" s="1" a="1"/>
  <c r="C121" i="1" s="1"/>
  <c r="E121" i="1" s="1"/>
  <c r="A129" i="1" a="1"/>
  <c r="A129" i="1" s="1"/>
  <c r="C129" i="1" s="1" a="1"/>
  <c r="C129" i="1" s="1"/>
  <c r="E129" i="1" s="1"/>
  <c r="A136" i="1" a="1"/>
  <c r="A136" i="1" s="1"/>
  <c r="C136" i="1" s="1" a="1"/>
  <c r="C136" i="1" s="1"/>
  <c r="E136" i="1" s="1"/>
  <c r="A144" i="1" a="1"/>
  <c r="A144" i="1" s="1"/>
  <c r="C144" i="1" s="1" a="1"/>
  <c r="C144" i="1" s="1"/>
  <c r="E144" i="1" s="1"/>
  <c r="A152" i="1" a="1"/>
  <c r="A152" i="1" s="1"/>
  <c r="C152" i="1" s="1" a="1"/>
  <c r="C152" i="1" s="1"/>
  <c r="D152" i="1" s="1"/>
  <c r="A159" i="1" a="1"/>
  <c r="A159" i="1" s="1"/>
  <c r="C159" i="1" s="1" a="1"/>
  <c r="C159" i="1" s="1"/>
  <c r="E159" i="1" s="1"/>
  <c r="A166" i="1" a="1"/>
  <c r="A166" i="1" s="1"/>
  <c r="C166" i="1" s="1" a="1"/>
  <c r="C166" i="1" s="1"/>
  <c r="E166" i="1" s="1"/>
  <c r="A181" i="1" a="1"/>
  <c r="A181" i="1" s="1"/>
  <c r="C181" i="1" s="1" a="1"/>
  <c r="C181" i="1" s="1"/>
  <c r="E181" i="1" s="1"/>
  <c r="A188" i="1" a="1"/>
  <c r="A188" i="1" s="1"/>
  <c r="C188" i="1" s="1" a="1"/>
  <c r="C188" i="1" s="1"/>
  <c r="E188" i="1" s="1"/>
  <c r="A195" i="1" a="1"/>
  <c r="A195" i="1" s="1"/>
  <c r="C195" i="1" s="1" a="1"/>
  <c r="C195" i="1" s="1"/>
  <c r="E195" i="1" s="1"/>
  <c r="A203" i="1" a="1"/>
  <c r="A203" i="1" s="1"/>
  <c r="C203" i="1" s="1" a="1"/>
  <c r="C203" i="1" s="1"/>
  <c r="E203" i="1" s="1"/>
  <c r="A210" i="1" a="1"/>
  <c r="A210" i="1" s="1"/>
  <c r="C210" i="1" s="1" a="1"/>
  <c r="C210" i="1" s="1"/>
  <c r="E210" i="1" s="1"/>
  <c r="A218" i="1" a="1"/>
  <c r="A218" i="1" s="1"/>
  <c r="C218" i="1" s="1" a="1"/>
  <c r="C218" i="1" s="1"/>
  <c r="E218" i="1" s="1"/>
  <c r="A225" i="1" a="1"/>
  <c r="A225" i="1" s="1"/>
  <c r="C225" i="1" s="1" a="1"/>
  <c r="C225" i="1" s="1"/>
  <c r="D225" i="1" s="1"/>
  <c r="A232" i="1" a="1"/>
  <c r="A232" i="1" s="1"/>
  <c r="C232" i="1" s="1" a="1"/>
  <c r="C232" i="1" s="1"/>
  <c r="E232" i="1" s="1"/>
  <c r="A239" i="1" a="1"/>
  <c r="A239" i="1" s="1"/>
  <c r="C239" i="1" s="1" a="1"/>
  <c r="C239" i="1" s="1"/>
  <c r="E239" i="1" s="1"/>
  <c r="A247" i="1" a="1"/>
  <c r="A247" i="1" s="1"/>
  <c r="C247" i="1" s="1" a="1"/>
  <c r="C247" i="1" s="1"/>
  <c r="E247" i="1" s="1"/>
  <c r="A255" i="1" a="1"/>
  <c r="A255" i="1" s="1"/>
  <c r="C255" i="1" s="1" a="1"/>
  <c r="C255" i="1" s="1"/>
  <c r="D255" i="1" s="1"/>
  <c r="A262" i="1" a="1"/>
  <c r="A262" i="1" s="1"/>
  <c r="C262" i="1" s="1" a="1"/>
  <c r="C262" i="1" s="1"/>
  <c r="E262" i="1" s="1"/>
  <c r="A277" i="1" a="1"/>
  <c r="A277" i="1" s="1"/>
  <c r="C277" i="1" s="1" a="1"/>
  <c r="C277" i="1" s="1"/>
  <c r="A285" i="1" a="1"/>
  <c r="A285" i="1" s="1"/>
  <c r="C285" i="1" s="1" a="1"/>
  <c r="C285" i="1" s="1"/>
  <c r="D285" i="1" s="1"/>
  <c r="A292" i="1" a="1"/>
  <c r="A292" i="1" s="1"/>
  <c r="C292" i="1" s="1" a="1"/>
  <c r="C292" i="1" s="1"/>
  <c r="E292" i="1" s="1"/>
  <c r="A300" i="1" a="1"/>
  <c r="A300" i="1" s="1"/>
  <c r="C300" i="1" s="1" a="1"/>
  <c r="C300" i="1" s="1"/>
  <c r="E300" i="1" s="1"/>
  <c r="A307" i="1" a="1"/>
  <c r="A307" i="1" s="1"/>
  <c r="C307" i="1" s="1" a="1"/>
  <c r="C307" i="1" s="1"/>
  <c r="E307" i="1" s="1"/>
  <c r="A315" i="1" a="1"/>
  <c r="A315" i="1" s="1"/>
  <c r="C315" i="1" s="1" a="1"/>
  <c r="C315" i="1" s="1"/>
  <c r="E315" i="1" s="1"/>
  <c r="A322" i="1" a="1"/>
  <c r="A322" i="1" s="1"/>
  <c r="C322" i="1" s="1" a="1"/>
  <c r="C322" i="1" s="1"/>
  <c r="E322" i="1" s="1"/>
  <c r="A330" i="1" a="1"/>
  <c r="A330" i="1" s="1"/>
  <c r="C330" i="1" s="1" a="1"/>
  <c r="C330" i="1" s="1"/>
  <c r="E330" i="1" s="1"/>
  <c r="A337" i="1" a="1"/>
  <c r="A337" i="1" s="1"/>
  <c r="C337" i="1" s="1" a="1"/>
  <c r="C337" i="1" s="1"/>
  <c r="E337" i="1" s="1"/>
  <c r="C344" i="1" a="1"/>
  <c r="C344" i="1" s="1"/>
  <c r="E344" i="1" s="1"/>
  <c r="A351" i="1" a="1"/>
  <c r="A351" i="1" s="1"/>
  <c r="C351" i="1" s="1" a="1"/>
  <c r="C351" i="1" s="1"/>
  <c r="D351" i="1" s="1"/>
  <c r="A357" i="1" a="1"/>
  <c r="A357" i="1" s="1"/>
  <c r="C357" i="1" s="1" a="1"/>
  <c r="C357" i="1" s="1"/>
  <c r="E357" i="1" s="1"/>
  <c r="A370" i="1" a="1"/>
  <c r="A370" i="1" s="1"/>
  <c r="C370" i="1" s="1" a="1"/>
  <c r="C370" i="1" s="1"/>
  <c r="E370" i="1" s="1"/>
  <c r="A376" i="1" a="1"/>
  <c r="A376" i="1" s="1"/>
  <c r="C376" i="1" s="1" a="1"/>
  <c r="C376" i="1" s="1"/>
  <c r="D376" i="1" s="1"/>
  <c r="A384" i="1" a="1"/>
  <c r="A384" i="1" s="1"/>
  <c r="C384" i="1" s="1" a="1"/>
  <c r="C384" i="1" s="1"/>
  <c r="E384" i="1" s="1"/>
  <c r="A391" i="1" a="1"/>
  <c r="A391" i="1" s="1"/>
  <c r="C391" i="1" s="1" a="1"/>
  <c r="C391" i="1" s="1"/>
  <c r="E391" i="1" s="1"/>
  <c r="A397" i="1" a="1"/>
  <c r="A397" i="1" s="1"/>
  <c r="C397" i="1" s="1" a="1"/>
  <c r="C397" i="1" s="1"/>
  <c r="E397" i="1" s="1"/>
  <c r="A405" i="1" a="1"/>
  <c r="A405" i="1" s="1"/>
  <c r="C405" i="1" s="1" a="1"/>
  <c r="C405" i="1" s="1"/>
  <c r="A413" i="1" a="1"/>
  <c r="A413" i="1" s="1"/>
  <c r="C413" i="1" s="1" a="1"/>
  <c r="C413" i="1" s="1"/>
  <c r="E413" i="1" s="1"/>
  <c r="A420" i="1" a="1"/>
  <c r="A420" i="1" s="1"/>
  <c r="C420" i="1" s="1" a="1"/>
  <c r="C420" i="1" s="1"/>
  <c r="E420" i="1" s="1"/>
  <c r="A427" i="1" a="1"/>
  <c r="A427" i="1" s="1"/>
  <c r="C427" i="1" s="1" a="1"/>
  <c r="C427" i="1" s="1"/>
  <c r="D427" i="1" s="1"/>
  <c r="A435" i="1" a="1"/>
  <c r="A435" i="1" s="1"/>
  <c r="C435" i="1" s="1" a="1"/>
  <c r="C435" i="1" s="1"/>
  <c r="E435" i="1" s="1"/>
  <c r="A442" i="1" a="1"/>
  <c r="A442" i="1" s="1"/>
  <c r="C442" i="1" s="1" a="1"/>
  <c r="C442" i="1" s="1"/>
  <c r="E442" i="1" s="1"/>
  <c r="A450" i="1" a="1"/>
  <c r="A450" i="1" s="1"/>
  <c r="C450" i="1" s="1" a="1"/>
  <c r="C450" i="1" s="1"/>
  <c r="E450" i="1" s="1"/>
  <c r="A456" i="1" a="1"/>
  <c r="A456" i="1" s="1"/>
  <c r="C456" i="1" s="1" a="1"/>
  <c r="C456" i="1" s="1"/>
  <c r="A464" i="1" a="1"/>
  <c r="A464" i="1" s="1"/>
  <c r="C464" i="1" s="1" a="1"/>
  <c r="C464" i="1" s="1"/>
  <c r="E464" i="1" s="1"/>
  <c r="A472" i="1" a="1"/>
  <c r="A472" i="1" s="1"/>
  <c r="C472" i="1" s="1" a="1"/>
  <c r="C472" i="1" s="1"/>
  <c r="E472" i="1" s="1"/>
  <c r="A480" i="1" a="1"/>
  <c r="A480" i="1" s="1"/>
  <c r="C480" i="1" s="1" a="1"/>
  <c r="C480" i="1" s="1"/>
  <c r="D480" i="1" s="1"/>
  <c r="A487" i="1" a="1"/>
  <c r="A487" i="1" s="1"/>
  <c r="C487" i="1" s="1" a="1"/>
  <c r="C487" i="1" s="1"/>
  <c r="E487" i="1" s="1"/>
  <c r="A494" i="1" a="1"/>
  <c r="A494" i="1" s="1"/>
  <c r="C494" i="1" s="1" a="1"/>
  <c r="C494" i="1" s="1"/>
  <c r="E494" i="1" s="1"/>
  <c r="A502" i="1" a="1"/>
  <c r="A502" i="1" s="1"/>
  <c r="A510" i="1" a="1"/>
  <c r="A510" i="1" s="1"/>
  <c r="C510" i="1" s="1" a="1"/>
  <c r="C510" i="1" s="1"/>
  <c r="A517" i="1" a="1"/>
  <c r="A517" i="1" s="1"/>
  <c r="C517" i="1" s="1" a="1"/>
  <c r="C517" i="1" s="1"/>
  <c r="E517" i="1" s="1"/>
  <c r="A524" i="1" a="1"/>
  <c r="A524" i="1" s="1"/>
  <c r="C524" i="1" s="1" a="1"/>
  <c r="C524" i="1" s="1"/>
  <c r="E524" i="1" s="1"/>
  <c r="A532" i="1" a="1"/>
  <c r="A532" i="1" s="1"/>
  <c r="C532" i="1" s="1" a="1"/>
  <c r="C532" i="1" s="1"/>
  <c r="D532" i="1" s="1"/>
  <c r="A540" i="1" a="1"/>
  <c r="A540" i="1" s="1"/>
  <c r="A554" i="1" a="1"/>
  <c r="A554" i="1" s="1"/>
  <c r="C554" i="1" s="1" a="1"/>
  <c r="C554" i="1" s="1"/>
  <c r="E554" i="1" s="1"/>
  <c r="A114" i="1" a="1"/>
  <c r="A114" i="1" s="1"/>
  <c r="C114" i="1" s="1" a="1"/>
  <c r="C114" i="1" s="1"/>
  <c r="E114" i="1" s="1"/>
  <c r="A174" i="1" a="1"/>
  <c r="A174" i="1" s="1"/>
  <c r="C174" i="1" s="1" a="1"/>
  <c r="C174" i="1" s="1"/>
  <c r="E174" i="1" s="1"/>
  <c r="A233" i="1" a="1"/>
  <c r="A233" i="1" s="1"/>
  <c r="C233" i="1" s="1" a="1"/>
  <c r="C233" i="1" s="1"/>
  <c r="E233" i="1" s="1"/>
  <c r="A293" i="1" a="1"/>
  <c r="A293" i="1" s="1"/>
  <c r="C293" i="1" s="1" a="1"/>
  <c r="C293" i="1" s="1"/>
  <c r="E293" i="1" s="1"/>
  <c r="A406" i="1" a="1"/>
  <c r="A406" i="1" s="1"/>
  <c r="C406" i="1" s="1" a="1"/>
  <c r="C406" i="1" s="1"/>
  <c r="E406" i="1" s="1"/>
  <c r="A465" i="1" a="1"/>
  <c r="A465" i="1" s="1"/>
  <c r="C465" i="1" s="1" a="1"/>
  <c r="C465" i="1" s="1"/>
  <c r="E465" i="1" s="1"/>
  <c r="A525" i="1" a="1"/>
  <c r="A525" i="1" s="1"/>
  <c r="C525" i="1" s="1" a="1"/>
  <c r="C525" i="1" s="1"/>
  <c r="E525" i="1" s="1"/>
  <c r="A555" i="1" a="1"/>
  <c r="A555" i="1" s="1"/>
  <c r="A564" i="1" a="1"/>
  <c r="A564" i="1" s="1"/>
  <c r="C564" i="1" s="1" a="1"/>
  <c r="C564" i="1" s="1"/>
  <c r="E564" i="1" s="1"/>
  <c r="A572" i="1" a="1"/>
  <c r="A572" i="1" s="1"/>
  <c r="C572" i="1" s="1" a="1"/>
  <c r="C572" i="1" s="1"/>
  <c r="E572" i="1" s="1"/>
  <c r="A586" i="1" a="1"/>
  <c r="A586" i="1" s="1"/>
  <c r="C586" i="1" s="1" a="1"/>
  <c r="C586" i="1" s="1"/>
  <c r="E586" i="1" s="1"/>
  <c r="A594" i="1" a="1"/>
  <c r="A594" i="1" s="1"/>
  <c r="A601" i="1" a="1"/>
  <c r="A601" i="1" s="1"/>
  <c r="C601" i="1" s="1" a="1"/>
  <c r="C601" i="1" s="1"/>
  <c r="D601" i="1" s="1"/>
  <c r="A609" i="1" a="1"/>
  <c r="A609" i="1" s="1"/>
  <c r="A623" i="1" a="1"/>
  <c r="A623" i="1" s="1"/>
  <c r="C623" i="1" s="1" a="1"/>
  <c r="C623" i="1" s="1"/>
  <c r="D623" i="1" s="1"/>
  <c r="A630" i="1" a="1"/>
  <c r="A630" i="1" s="1"/>
  <c r="A638" i="1" a="1"/>
  <c r="A638" i="1" s="1"/>
  <c r="C638" i="1" s="1" a="1"/>
  <c r="C638" i="1" s="1"/>
  <c r="D638" i="1" s="1"/>
  <c r="A645" i="1" a="1"/>
  <c r="A645" i="1" s="1"/>
  <c r="A651" i="1" a="1"/>
  <c r="A651" i="1" s="1"/>
  <c r="C651" i="1" s="1" a="1"/>
  <c r="C651" i="1" s="1"/>
  <c r="D651" i="1" s="1"/>
  <c r="A663" i="1" a="1"/>
  <c r="A663" i="1" s="1"/>
  <c r="A669" i="1" a="1"/>
  <c r="A669" i="1" s="1"/>
  <c r="A676" i="1" a="1"/>
  <c r="A676" i="1" s="1"/>
  <c r="A684" i="1" a="1"/>
  <c r="A684" i="1" s="1"/>
  <c r="A692" i="1" a="1"/>
  <c r="A692" i="1" s="1"/>
  <c r="A708" i="1" a="1"/>
  <c r="A708" i="1" s="1"/>
  <c r="C708" i="1" s="1" a="1"/>
  <c r="C708" i="1" s="1"/>
  <c r="E708" i="1" s="1"/>
  <c r="A716" i="1" a="1"/>
  <c r="A716" i="1" s="1"/>
  <c r="C716" i="1" s="1" a="1"/>
  <c r="C716" i="1" s="1"/>
  <c r="D716" i="1" s="1"/>
  <c r="A740" i="1" a="1"/>
  <c r="A740" i="1" s="1"/>
  <c r="C740" i="1" s="1" a="1"/>
  <c r="C740" i="1" s="1"/>
  <c r="E740" i="1" s="1"/>
  <c r="A748" i="1" a="1"/>
  <c r="A748" i="1" s="1"/>
  <c r="C748" i="1" s="1" a="1"/>
  <c r="C748" i="1" s="1"/>
  <c r="E748" i="1" s="1"/>
  <c r="A756" i="1" a="1"/>
  <c r="A756" i="1" s="1"/>
  <c r="A764" i="1" a="1"/>
  <c r="A764" i="1" s="1"/>
  <c r="C764" i="1" s="1" a="1"/>
  <c r="C764" i="1" s="1"/>
  <c r="E764" i="1" s="1"/>
  <c r="A772" i="1" a="1"/>
  <c r="A772" i="1" s="1"/>
  <c r="A780" i="1" a="1"/>
  <c r="A780" i="1" s="1"/>
  <c r="C780" i="1" s="1" a="1"/>
  <c r="C780" i="1" s="1"/>
  <c r="E780" i="1" s="1"/>
  <c r="A788" i="1" a="1"/>
  <c r="A788" i="1" s="1"/>
  <c r="C788" i="1" s="1" a="1"/>
  <c r="C788" i="1" s="1"/>
  <c r="E788" i="1" s="1"/>
  <c r="A796" i="1" a="1"/>
  <c r="A796" i="1" s="1"/>
  <c r="C796" i="1" s="1" a="1"/>
  <c r="C796" i="1" s="1"/>
  <c r="E796" i="1" s="1"/>
  <c r="A804" i="1" a="1"/>
  <c r="A804" i="1" s="1"/>
  <c r="C804" i="1" s="1" a="1"/>
  <c r="C804" i="1" s="1"/>
  <c r="E804" i="1" s="1"/>
  <c r="A812" i="1" a="1"/>
  <c r="A812" i="1" s="1"/>
  <c r="C812" i="1" s="1" a="1"/>
  <c r="C812" i="1" s="1"/>
  <c r="E812" i="1" s="1"/>
  <c r="A820" i="1" a="1"/>
  <c r="A820" i="1" s="1"/>
  <c r="C820" i="1" s="1" a="1"/>
  <c r="C820" i="1" s="1"/>
  <c r="E820" i="1" s="1"/>
  <c r="A828" i="1" a="1"/>
  <c r="A828" i="1" s="1"/>
  <c r="A836" i="1" a="1"/>
  <c r="A836" i="1" s="1"/>
  <c r="A844" i="1" a="1"/>
  <c r="A844" i="1" s="1"/>
  <c r="A852" i="1" a="1"/>
  <c r="A852" i="1" s="1"/>
  <c r="C852" i="1" s="1" a="1"/>
  <c r="C852" i="1" s="1"/>
  <c r="E852" i="1" s="1"/>
  <c r="A860" i="1" a="1"/>
  <c r="A860" i="1" s="1"/>
  <c r="C860" i="1" s="1" a="1"/>
  <c r="C860" i="1" s="1"/>
  <c r="E860" i="1" s="1"/>
  <c r="A868" i="1" a="1"/>
  <c r="A868" i="1" s="1"/>
  <c r="A876" i="1" a="1"/>
  <c r="A876" i="1" s="1"/>
  <c r="A884" i="1" a="1"/>
  <c r="A884" i="1" s="1"/>
  <c r="A892" i="1" a="1"/>
  <c r="A892" i="1" s="1"/>
  <c r="A900" i="1" a="1"/>
  <c r="A900" i="1" s="1"/>
  <c r="A908" i="1" a="1"/>
  <c r="A908" i="1" s="1"/>
  <c r="A916" i="1" a="1"/>
  <c r="A916" i="1" s="1"/>
  <c r="A924" i="1" a="1"/>
  <c r="A924" i="1" s="1"/>
  <c r="A932" i="1" a="1"/>
  <c r="A932" i="1" s="1"/>
  <c r="A940" i="1" a="1"/>
  <c r="A940" i="1" s="1"/>
  <c r="A947" i="1" a="1"/>
  <c r="A947" i="1" s="1"/>
  <c r="A954" i="1" a="1"/>
  <c r="A954" i="1" s="1"/>
  <c r="A959" i="1" a="1"/>
  <c r="A959" i="1" s="1"/>
  <c r="A965" i="1" a="1"/>
  <c r="A965" i="1" s="1"/>
  <c r="A972" i="1" a="1"/>
  <c r="A972" i="1" s="1"/>
  <c r="A985" i="1" a="1"/>
  <c r="A985" i="1" s="1"/>
  <c r="A992" i="1" a="1"/>
  <c r="A992" i="1" s="1"/>
  <c r="A998" i="1" a="1"/>
  <c r="A998" i="1" s="1"/>
  <c r="A1006" i="1" a="1"/>
  <c r="A1006" i="1" s="1"/>
  <c r="A1014" i="1" a="1"/>
  <c r="A1014" i="1" s="1"/>
  <c r="A1021" i="1" a="1"/>
  <c r="A1021" i="1" s="1"/>
  <c r="A1029" i="1" a="1"/>
  <c r="A1029" i="1" s="1"/>
  <c r="A1036" i="1" a="1"/>
  <c r="A1036" i="1" s="1"/>
  <c r="A1044" i="1" a="1"/>
  <c r="A1044" i="1" s="1"/>
  <c r="A1051" i="1" a="1"/>
  <c r="A1051" i="1" s="1"/>
  <c r="A1059" i="1" a="1"/>
  <c r="A1059" i="1" s="1"/>
  <c r="A1066" i="1" a="1"/>
  <c r="A1066" i="1" s="1"/>
  <c r="A1074" i="1" a="1"/>
  <c r="A1074" i="1" s="1"/>
  <c r="A1082" i="1" a="1"/>
  <c r="A1082" i="1" s="1"/>
  <c r="A1089" i="1" a="1"/>
  <c r="A1089" i="1" s="1"/>
  <c r="A1097" i="1" a="1"/>
  <c r="A1097" i="1" s="1"/>
  <c r="A1105" i="1" a="1"/>
  <c r="A1105" i="1" s="1"/>
  <c r="A1113" i="1" a="1"/>
  <c r="A1113" i="1" s="1"/>
  <c r="A1121" i="1" a="1"/>
  <c r="A1121" i="1" s="1"/>
  <c r="A1128" i="1" a="1"/>
  <c r="A1128" i="1" s="1"/>
  <c r="A1136" i="1" a="1"/>
  <c r="A1136" i="1" s="1"/>
  <c r="A60" i="1" a="1"/>
  <c r="A60" i="1" s="1"/>
  <c r="C60" i="1" s="1" a="1"/>
  <c r="C60" i="1" s="1"/>
  <c r="E60" i="1" s="1"/>
  <c r="A122" i="1" a="1"/>
  <c r="A122" i="1" s="1"/>
  <c r="C122" i="1" s="1" a="1"/>
  <c r="C122" i="1" s="1"/>
  <c r="E122" i="1" s="1"/>
  <c r="A182" i="1" a="1"/>
  <c r="A182" i="1" s="1"/>
  <c r="C182" i="1" s="1" a="1"/>
  <c r="C182" i="1" s="1"/>
  <c r="A240" i="1" a="1"/>
  <c r="A240" i="1" s="1"/>
  <c r="C240" i="1" s="1" a="1"/>
  <c r="C240" i="1" s="1"/>
  <c r="E240" i="1" s="1"/>
  <c r="A301" i="1" a="1"/>
  <c r="A301" i="1" s="1"/>
  <c r="C301" i="1" s="1" a="1"/>
  <c r="C301" i="1" s="1"/>
  <c r="E301" i="1" s="1"/>
  <c r="A358" i="1" a="1"/>
  <c r="A358" i="1" s="1"/>
  <c r="C358" i="1" s="1" a="1"/>
  <c r="C358" i="1" s="1"/>
  <c r="E358" i="1" s="1"/>
  <c r="A414" i="1" a="1"/>
  <c r="A414" i="1" s="1"/>
  <c r="C414" i="1" s="1" a="1"/>
  <c r="C414" i="1" s="1"/>
  <c r="E414" i="1" s="1"/>
  <c r="A473" i="1" a="1"/>
  <c r="A473" i="1" s="1"/>
  <c r="C473" i="1" s="1" a="1"/>
  <c r="C473" i="1" s="1"/>
  <c r="D473" i="1" s="1"/>
  <c r="A533" i="1" a="1"/>
  <c r="A533" i="1" s="1"/>
  <c r="C533" i="1" s="1" a="1"/>
  <c r="C533" i="1" s="1"/>
  <c r="D533" i="1" s="1"/>
  <c r="A556" i="1" a="1"/>
  <c r="A556" i="1" s="1"/>
  <c r="A565" i="1" a="1"/>
  <c r="A565" i="1" s="1"/>
  <c r="C565" i="1" s="1" a="1"/>
  <c r="C565" i="1" s="1"/>
  <c r="E565" i="1" s="1"/>
  <c r="A573" i="1" a="1"/>
  <c r="A573" i="1" s="1"/>
  <c r="A580" i="1" a="1"/>
  <c r="A580" i="1" s="1"/>
  <c r="C580" i="1" s="1" a="1"/>
  <c r="C580" i="1" s="1"/>
  <c r="E580" i="1" s="1"/>
  <c r="A587" i="1" a="1"/>
  <c r="A587" i="1" s="1"/>
  <c r="C587" i="1" s="1" a="1"/>
  <c r="C587" i="1" s="1"/>
  <c r="E587" i="1" s="1"/>
  <c r="A595" i="1" a="1"/>
  <c r="A595" i="1" s="1"/>
  <c r="A602" i="1" a="1"/>
  <c r="A602" i="1" s="1"/>
  <c r="C602" i="1" s="1" a="1"/>
  <c r="C602" i="1" s="1"/>
  <c r="D602" i="1" s="1"/>
  <c r="A610" i="1" a="1"/>
  <c r="A610" i="1" s="1"/>
  <c r="A616" i="1" a="1"/>
  <c r="A616" i="1" s="1"/>
  <c r="C616" i="1" s="1" a="1"/>
  <c r="C616" i="1" s="1"/>
  <c r="D616" i="1" s="1"/>
  <c r="A624" i="1" a="1"/>
  <c r="A624" i="1" s="1"/>
  <c r="C624" i="1" s="1" a="1"/>
  <c r="C624" i="1" s="1"/>
  <c r="D624" i="1" s="1"/>
  <c r="A631" i="1" a="1"/>
  <c r="A631" i="1" s="1"/>
  <c r="A639" i="1" a="1"/>
  <c r="A639" i="1" s="1"/>
  <c r="C639" i="1" s="1" a="1"/>
  <c r="C639" i="1" s="1"/>
  <c r="D639" i="1" s="1"/>
  <c r="A646" i="1" a="1"/>
  <c r="A646" i="1" s="1"/>
  <c r="A652" i="1" a="1"/>
  <c r="A652" i="1" s="1"/>
  <c r="C652" i="1" s="1" a="1"/>
  <c r="C652" i="1" s="1"/>
  <c r="D652" i="1" s="1"/>
  <c r="A657" i="1" a="1"/>
  <c r="A657" i="1" s="1"/>
  <c r="C657" i="1" s="1" a="1"/>
  <c r="C657" i="1" s="1"/>
  <c r="E657" i="1" s="1"/>
  <c r="A664" i="1" a="1"/>
  <c r="A664" i="1" s="1"/>
  <c r="A670" i="1" a="1"/>
  <c r="A670" i="1" s="1"/>
  <c r="A677" i="1" a="1"/>
  <c r="A677" i="1" s="1"/>
  <c r="A709" i="1" a="1"/>
  <c r="A709" i="1" s="1"/>
  <c r="C709" i="1" s="1" a="1"/>
  <c r="C709" i="1" s="1"/>
  <c r="E709" i="1" s="1"/>
  <c r="A717" i="1" a="1"/>
  <c r="A717" i="1" s="1"/>
  <c r="A741" i="1" a="1"/>
  <c r="A741" i="1" s="1"/>
  <c r="C741" i="1" s="1" a="1"/>
  <c r="C741" i="1" s="1"/>
  <c r="E741" i="1" s="1"/>
  <c r="A749" i="1" a="1"/>
  <c r="A749" i="1" s="1"/>
  <c r="C749" i="1" s="1" a="1"/>
  <c r="C749" i="1" s="1"/>
  <c r="E749" i="1" s="1"/>
  <c r="A757" i="1" a="1"/>
  <c r="A757" i="1" s="1"/>
  <c r="A765" i="1" a="1"/>
  <c r="A765" i="1" s="1"/>
  <c r="C765" i="1" s="1" a="1"/>
  <c r="C765" i="1" s="1"/>
  <c r="E765" i="1" s="1"/>
  <c r="A773" i="1" a="1"/>
  <c r="A773" i="1" s="1"/>
  <c r="A781" i="1" a="1"/>
  <c r="A781" i="1" s="1"/>
  <c r="C781" i="1" s="1" a="1"/>
  <c r="C781" i="1" s="1"/>
  <c r="E781" i="1" s="1"/>
  <c r="A789" i="1" a="1"/>
  <c r="A789" i="1" s="1"/>
  <c r="A797" i="1" a="1"/>
  <c r="A797" i="1" s="1"/>
  <c r="C797" i="1" s="1" a="1"/>
  <c r="C797" i="1" s="1"/>
  <c r="E797" i="1" s="1"/>
  <c r="A805" i="1" a="1"/>
  <c r="A805" i="1" s="1"/>
  <c r="C805" i="1" s="1" a="1"/>
  <c r="C805" i="1" s="1"/>
  <c r="E805" i="1" s="1"/>
  <c r="A813" i="1" a="1"/>
  <c r="A813" i="1" s="1"/>
  <c r="C813" i="1" s="1" a="1"/>
  <c r="C813" i="1" s="1"/>
  <c r="E813" i="1" s="1"/>
  <c r="A821" i="1" a="1"/>
  <c r="A821" i="1" s="1"/>
  <c r="C821" i="1" s="1" a="1"/>
  <c r="C821" i="1" s="1"/>
  <c r="E821" i="1" s="1"/>
  <c r="A829" i="1" a="1"/>
  <c r="A829" i="1" s="1"/>
  <c r="A837" i="1" a="1"/>
  <c r="A837" i="1" s="1"/>
  <c r="A845" i="1" a="1"/>
  <c r="A845" i="1" s="1"/>
  <c r="A853" i="1" a="1"/>
  <c r="A853" i="1" s="1"/>
  <c r="C853" i="1" s="1" a="1"/>
  <c r="C853" i="1" s="1"/>
  <c r="E853" i="1" s="1"/>
  <c r="A861" i="1" a="1"/>
  <c r="A861" i="1" s="1"/>
  <c r="A869" i="1" a="1"/>
  <c r="A869" i="1" s="1"/>
  <c r="A877" i="1" a="1"/>
  <c r="A877" i="1" s="1"/>
  <c r="A885" i="1" a="1"/>
  <c r="A885" i="1" s="1"/>
  <c r="A893" i="1" a="1"/>
  <c r="A893" i="1" s="1"/>
  <c r="A901" i="1" a="1"/>
  <c r="A901" i="1" s="1"/>
  <c r="A909" i="1" a="1"/>
  <c r="A909" i="1" s="1"/>
  <c r="A917" i="1" a="1"/>
  <c r="A917" i="1" s="1"/>
  <c r="A925" i="1" a="1"/>
  <c r="A925" i="1" s="1"/>
  <c r="A933" i="1" a="1"/>
  <c r="A933" i="1" s="1"/>
  <c r="A941" i="1" a="1"/>
  <c r="A941" i="1" s="1"/>
  <c r="A948" i="1" a="1"/>
  <c r="A948" i="1" s="1"/>
  <c r="A955" i="1" a="1"/>
  <c r="A955" i="1" s="1"/>
  <c r="A960" i="1" a="1"/>
  <c r="A960" i="1" s="1"/>
  <c r="A973" i="1" a="1"/>
  <c r="A973" i="1" s="1"/>
  <c r="A979" i="1" a="1"/>
  <c r="A979" i="1" s="1"/>
  <c r="A986" i="1" a="1"/>
  <c r="A986" i="1" s="1"/>
  <c r="A993" i="1" a="1"/>
  <c r="A993" i="1" s="1"/>
  <c r="A999" i="1" a="1"/>
  <c r="A999" i="1" s="1"/>
  <c r="A1007" i="1" a="1"/>
  <c r="A1007" i="1" s="1"/>
  <c r="A1015" i="1" a="1"/>
  <c r="A1015" i="1" s="1"/>
  <c r="A1022" i="1" a="1"/>
  <c r="A1022" i="1" s="1"/>
  <c r="A1037" i="1" a="1"/>
  <c r="A1037" i="1" s="1"/>
  <c r="A1045" i="1" a="1"/>
  <c r="A1045" i="1" s="1"/>
  <c r="A1052" i="1" a="1"/>
  <c r="A1052" i="1" s="1"/>
  <c r="A1060" i="1" a="1"/>
  <c r="A1060" i="1" s="1"/>
  <c r="A1067" i="1" a="1"/>
  <c r="A1067" i="1" s="1"/>
  <c r="A1075" i="1" a="1"/>
  <c r="A1075" i="1" s="1"/>
  <c r="A1090" i="1" a="1"/>
  <c r="A1090" i="1" s="1"/>
  <c r="A1098" i="1" a="1"/>
  <c r="A1098" i="1" s="1"/>
  <c r="A1106" i="1" a="1"/>
  <c r="A1106" i="1" s="1"/>
  <c r="A1114" i="1" a="1"/>
  <c r="A1114" i="1" s="1"/>
  <c r="A1122" i="1" a="1"/>
  <c r="A1122" i="1" s="1"/>
  <c r="A1129" i="1" a="1"/>
  <c r="A1129" i="1" s="1"/>
  <c r="A1137" i="1" a="1"/>
  <c r="A1137" i="1" s="1"/>
  <c r="A67" i="1" a="1"/>
  <c r="A67" i="1" s="1"/>
  <c r="C67" i="1" s="1" a="1"/>
  <c r="C67" i="1" s="1"/>
  <c r="D67" i="1" s="1"/>
  <c r="A189" i="1" a="1"/>
  <c r="A189" i="1" s="1"/>
  <c r="C189" i="1" s="1" a="1"/>
  <c r="C189" i="1" s="1"/>
  <c r="E189" i="1" s="1"/>
  <c r="A248" i="1" a="1"/>
  <c r="A248" i="1" s="1"/>
  <c r="C248" i="1" s="1" a="1"/>
  <c r="C248" i="1" s="1"/>
  <c r="E248" i="1" s="1"/>
  <c r="A308" i="1" a="1"/>
  <c r="A308" i="1" s="1"/>
  <c r="C308" i="1" s="1" a="1"/>
  <c r="C308" i="1" s="1"/>
  <c r="D308" i="1" s="1"/>
  <c r="A364" i="1" a="1"/>
  <c r="A364" i="1" s="1"/>
  <c r="C364" i="1" s="1" a="1"/>
  <c r="C364" i="1" s="1"/>
  <c r="E364" i="1" s="1"/>
  <c r="A421" i="1" a="1"/>
  <c r="A421" i="1" s="1"/>
  <c r="C421" i="1" s="1" a="1"/>
  <c r="C421" i="1" s="1"/>
  <c r="A481" i="1" a="1"/>
  <c r="A481" i="1" s="1"/>
  <c r="C481" i="1" s="1" a="1"/>
  <c r="C481" i="1" s="1"/>
  <c r="A538" i="1" a="1"/>
  <c r="A538" i="1" s="1"/>
  <c r="A557" i="1" a="1"/>
  <c r="A557" i="1" s="1"/>
  <c r="A566" i="1" a="1"/>
  <c r="A566" i="1" s="1"/>
  <c r="C566" i="1" s="1" a="1"/>
  <c r="C566" i="1" s="1"/>
  <c r="E566" i="1" s="1"/>
  <c r="A574" i="1" a="1"/>
  <c r="A574" i="1" s="1"/>
  <c r="A581" i="1" a="1"/>
  <c r="A581" i="1" s="1"/>
  <c r="C581" i="1" s="1" a="1"/>
  <c r="C581" i="1" s="1"/>
  <c r="E581" i="1" s="1"/>
  <c r="A588" i="1" a="1"/>
  <c r="A588" i="1" s="1"/>
  <c r="C588" i="1" s="1" a="1"/>
  <c r="C588" i="1" s="1"/>
  <c r="E588" i="1" s="1"/>
  <c r="A603" i="1" a="1"/>
  <c r="A603" i="1" s="1"/>
  <c r="C603" i="1" s="1" a="1"/>
  <c r="C603" i="1" s="1"/>
  <c r="D603" i="1" s="1"/>
  <c r="A611" i="1" a="1"/>
  <c r="A611" i="1" s="1"/>
  <c r="A617" i="1" a="1"/>
  <c r="A617" i="1" s="1"/>
  <c r="C617" i="1" s="1" a="1"/>
  <c r="C617" i="1" s="1"/>
  <c r="D617" i="1" s="1"/>
  <c r="A625" i="1" a="1"/>
  <c r="A625" i="1" s="1"/>
  <c r="C625" i="1" s="1" a="1"/>
  <c r="C625" i="1" s="1"/>
  <c r="D625" i="1" s="1"/>
  <c r="C632" i="1" a="1"/>
  <c r="C632" i="1" s="1"/>
  <c r="E632" i="1" s="1"/>
  <c r="A640" i="1" a="1"/>
  <c r="A640" i="1" s="1"/>
  <c r="C640" i="1" s="1" a="1"/>
  <c r="C640" i="1" s="1"/>
  <c r="D640" i="1" s="1"/>
  <c r="A658" i="1" a="1"/>
  <c r="A658" i="1" s="1"/>
  <c r="C658" i="1" s="1" a="1"/>
  <c r="C658" i="1" s="1"/>
  <c r="E658" i="1" s="1"/>
  <c r="A671" i="1" a="1"/>
  <c r="A671" i="1" s="1"/>
  <c r="A678" i="1" a="1"/>
  <c r="A678" i="1" s="1"/>
  <c r="A686" i="1" a="1"/>
  <c r="A686" i="1" s="1"/>
  <c r="A710" i="1" a="1"/>
  <c r="A710" i="1" s="1"/>
  <c r="C710" i="1" s="1" a="1"/>
  <c r="C710" i="1" s="1"/>
  <c r="E710" i="1" s="1"/>
  <c r="A718" i="1" a="1"/>
  <c r="A718" i="1" s="1"/>
  <c r="A742" i="1" a="1"/>
  <c r="A742" i="1" s="1"/>
  <c r="C742" i="1" s="1" a="1"/>
  <c r="C742" i="1" s="1"/>
  <c r="E742" i="1" s="1"/>
  <c r="A750" i="1" a="1"/>
  <c r="A750" i="1" s="1"/>
  <c r="C750" i="1" s="1" a="1"/>
  <c r="C750" i="1" s="1"/>
  <c r="E750" i="1" s="1"/>
  <c r="A758" i="1" a="1"/>
  <c r="A758" i="1" s="1"/>
  <c r="C758" i="1" s="1" a="1"/>
  <c r="C758" i="1" s="1"/>
  <c r="E758" i="1" s="1"/>
  <c r="A766" i="1" a="1"/>
  <c r="A766" i="1" s="1"/>
  <c r="C766" i="1" s="1" a="1"/>
  <c r="C766" i="1" s="1"/>
  <c r="E766" i="1" s="1"/>
  <c r="A774" i="1" a="1"/>
  <c r="A774" i="1" s="1"/>
  <c r="A782" i="1" a="1"/>
  <c r="A782" i="1" s="1"/>
  <c r="C782" i="1" s="1" a="1"/>
  <c r="C782" i="1" s="1"/>
  <c r="E782" i="1" s="1"/>
  <c r="A790" i="1" a="1"/>
  <c r="A790" i="1" s="1"/>
  <c r="A798" i="1" a="1"/>
  <c r="A798" i="1" s="1"/>
  <c r="C798" i="1" s="1" a="1"/>
  <c r="C798" i="1" s="1"/>
  <c r="E798" i="1" s="1"/>
  <c r="A806" i="1" a="1"/>
  <c r="A806" i="1" s="1"/>
  <c r="C806" i="1" s="1" a="1"/>
  <c r="C806" i="1" s="1"/>
  <c r="E806" i="1" s="1"/>
  <c r="A814" i="1" a="1"/>
  <c r="A814" i="1" s="1"/>
  <c r="C814" i="1" s="1" a="1"/>
  <c r="C814" i="1" s="1"/>
  <c r="E814" i="1" s="1"/>
  <c r="A822" i="1" a="1"/>
  <c r="A822" i="1" s="1"/>
  <c r="C822" i="1" s="1" a="1"/>
  <c r="C822" i="1" s="1"/>
  <c r="E822" i="1" s="1"/>
  <c r="A830" i="1" a="1"/>
  <c r="A830" i="1" s="1"/>
  <c r="A838" i="1" a="1"/>
  <c r="A838" i="1" s="1"/>
  <c r="A846" i="1" a="1"/>
  <c r="A846" i="1" s="1"/>
  <c r="A854" i="1" a="1"/>
  <c r="A854" i="1" s="1"/>
  <c r="C854" i="1" s="1" a="1"/>
  <c r="C854" i="1" s="1"/>
  <c r="E854" i="1" s="1"/>
  <c r="A862" i="1" a="1"/>
  <c r="A862" i="1" s="1"/>
  <c r="A870" i="1" a="1"/>
  <c r="A870" i="1" s="1"/>
  <c r="A878" i="1" a="1"/>
  <c r="A878" i="1" s="1"/>
  <c r="A886" i="1" a="1"/>
  <c r="A886" i="1" s="1"/>
  <c r="A894" i="1" a="1"/>
  <c r="A894" i="1" s="1"/>
  <c r="A902" i="1" a="1"/>
  <c r="A902" i="1" s="1"/>
  <c r="A910" i="1" a="1"/>
  <c r="A910" i="1" s="1"/>
  <c r="A918" i="1" a="1"/>
  <c r="A918" i="1" s="1"/>
  <c r="A926" i="1" a="1"/>
  <c r="A926" i="1" s="1"/>
  <c r="A934" i="1" a="1"/>
  <c r="A934" i="1" s="1"/>
  <c r="A942" i="1" a="1"/>
  <c r="A942" i="1" s="1"/>
  <c r="A949" i="1" a="1"/>
  <c r="A949" i="1" s="1"/>
  <c r="A961" i="1" a="1"/>
  <c r="A961" i="1" s="1"/>
  <c r="A966" i="1" a="1"/>
  <c r="A966" i="1" s="1"/>
  <c r="A980" i="1" a="1"/>
  <c r="A980" i="1" s="1"/>
  <c r="A987" i="1" a="1"/>
  <c r="A987" i="1" s="1"/>
  <c r="A994" i="1" a="1"/>
  <c r="A994" i="1" s="1"/>
  <c r="A1000" i="1" a="1"/>
  <c r="A1000" i="1" s="1"/>
  <c r="A1008" i="1" a="1"/>
  <c r="A1008" i="1" s="1"/>
  <c r="A1016" i="1" a="1"/>
  <c r="A1016" i="1" s="1"/>
  <c r="A1023" i="1" a="1"/>
  <c r="A1023" i="1" s="1"/>
  <c r="A1030" i="1" a="1"/>
  <c r="A1030" i="1" s="1"/>
  <c r="A1038" i="1" a="1"/>
  <c r="A1038" i="1" s="1"/>
  <c r="A1046" i="1" a="1"/>
  <c r="A1046" i="1" s="1"/>
  <c r="A1053" i="1" a="1"/>
  <c r="A1053" i="1" s="1"/>
  <c r="A1061" i="1" a="1"/>
  <c r="A1061" i="1" s="1"/>
  <c r="A1068" i="1" a="1"/>
  <c r="A1068" i="1" s="1"/>
  <c r="A1076" i="1" a="1"/>
  <c r="A1076" i="1" s="1"/>
  <c r="A1083" i="1" a="1"/>
  <c r="A1083" i="1" s="1"/>
  <c r="A1091" i="1" a="1"/>
  <c r="A1091" i="1" s="1"/>
  <c r="A1099" i="1" a="1"/>
  <c r="A1099" i="1" s="1"/>
  <c r="A1107" i="1" a="1"/>
  <c r="A1107" i="1" s="1"/>
  <c r="A1115" i="1" a="1"/>
  <c r="A1115" i="1" s="1"/>
  <c r="A1123" i="1" a="1"/>
  <c r="A1123" i="1" s="1"/>
  <c r="A1130" i="1" a="1"/>
  <c r="A1130" i="1" s="1"/>
  <c r="A75" i="1" a="1"/>
  <c r="A75" i="1" s="1"/>
  <c r="C75" i="1" s="1" a="1"/>
  <c r="C75" i="1" s="1"/>
  <c r="E75" i="1" s="1"/>
  <c r="A137" i="1" a="1"/>
  <c r="A137" i="1" s="1"/>
  <c r="C137" i="1" s="1" a="1"/>
  <c r="C137" i="1" s="1"/>
  <c r="E137" i="1" s="1"/>
  <c r="A196" i="1" a="1"/>
  <c r="A196" i="1" s="1"/>
  <c r="C196" i="1" s="1" a="1"/>
  <c r="C196" i="1" s="1"/>
  <c r="E196" i="1" s="1"/>
  <c r="A256" i="1" a="1"/>
  <c r="A256" i="1" s="1"/>
  <c r="C256" i="1" s="1" a="1"/>
  <c r="C256" i="1" s="1"/>
  <c r="E256" i="1" s="1"/>
  <c r="A316" i="1" a="1"/>
  <c r="A316" i="1" s="1"/>
  <c r="C316" i="1" s="1" a="1"/>
  <c r="C316" i="1" s="1"/>
  <c r="D316" i="1" s="1"/>
  <c r="A371" i="1" a="1"/>
  <c r="A371" i="1" s="1"/>
  <c r="C371" i="1" s="1" a="1"/>
  <c r="C371" i="1" s="1"/>
  <c r="E371" i="1" s="1"/>
  <c r="A428" i="1" a="1"/>
  <c r="A428" i="1" s="1"/>
  <c r="C428" i="1" s="1" a="1"/>
  <c r="C428" i="1" s="1"/>
  <c r="E428" i="1" s="1"/>
  <c r="A541" i="1" a="1"/>
  <c r="A541" i="1" s="1"/>
  <c r="A559" i="1" a="1"/>
  <c r="A559" i="1" s="1"/>
  <c r="A567" i="1" a="1"/>
  <c r="A567" i="1" s="1"/>
  <c r="C567" i="1" s="1" a="1"/>
  <c r="C567" i="1" s="1"/>
  <c r="E567" i="1" s="1"/>
  <c r="A575" i="1" a="1"/>
  <c r="A575" i="1" s="1"/>
  <c r="A582" i="1" a="1"/>
  <c r="A582" i="1" s="1"/>
  <c r="C582" i="1" s="1" a="1"/>
  <c r="C582" i="1" s="1"/>
  <c r="E582" i="1" s="1"/>
  <c r="A589" i="1" a="1"/>
  <c r="A589" i="1" s="1"/>
  <c r="C589" i="1" s="1" a="1"/>
  <c r="C589" i="1" s="1"/>
  <c r="E589" i="1" s="1"/>
  <c r="A596" i="1" a="1"/>
  <c r="A596" i="1" s="1"/>
  <c r="C596" i="1" s="1" a="1"/>
  <c r="C596" i="1" s="1"/>
  <c r="D596" i="1" s="1"/>
  <c r="A604" i="1" a="1"/>
  <c r="A604" i="1" s="1"/>
  <c r="C604" i="1" s="1" a="1"/>
  <c r="C604" i="1" s="1"/>
  <c r="D604" i="1" s="1"/>
  <c r="A618" i="1" a="1"/>
  <c r="A618" i="1" s="1"/>
  <c r="C618" i="1" s="1" a="1"/>
  <c r="C618" i="1" s="1"/>
  <c r="D618" i="1" s="1"/>
  <c r="A626" i="1" a="1"/>
  <c r="A626" i="1" s="1"/>
  <c r="C626" i="1" s="1" a="1"/>
  <c r="C626" i="1" s="1"/>
  <c r="D626" i="1" s="1"/>
  <c r="A633" i="1" a="1"/>
  <c r="A633" i="1" s="1"/>
  <c r="C633" i="1" s="1" a="1"/>
  <c r="C633" i="1" s="1"/>
  <c r="E633" i="1" s="1"/>
  <c r="A641" i="1" a="1"/>
  <c r="A641" i="1" s="1"/>
  <c r="C641" i="1" s="1" a="1"/>
  <c r="C641" i="1" s="1"/>
  <c r="D641" i="1" s="1"/>
  <c r="A647" i="1" a="1"/>
  <c r="A647" i="1" s="1"/>
  <c r="A653" i="1" a="1"/>
  <c r="A653" i="1" s="1"/>
  <c r="C653" i="1" s="1" a="1"/>
  <c r="C653" i="1" s="1"/>
  <c r="D653" i="1" s="1"/>
  <c r="A659" i="1" a="1"/>
  <c r="A659" i="1" s="1"/>
  <c r="C659" i="1" s="1" a="1"/>
  <c r="C659" i="1" s="1"/>
  <c r="D659" i="1" s="1"/>
  <c r="A665" i="1" a="1"/>
  <c r="A665" i="1" s="1"/>
  <c r="A672" i="1" a="1"/>
  <c r="A672" i="1" s="1"/>
  <c r="A679" i="1" a="1"/>
  <c r="A679" i="1" s="1"/>
  <c r="A711" i="1" a="1"/>
  <c r="A711" i="1" s="1"/>
  <c r="C711" i="1" s="1" a="1"/>
  <c r="C711" i="1" s="1"/>
  <c r="E711" i="1" s="1"/>
  <c r="A719" i="1" a="1"/>
  <c r="A719" i="1" s="1"/>
  <c r="A743" i="1" a="1"/>
  <c r="A743" i="1" s="1"/>
  <c r="C743" i="1" s="1" a="1"/>
  <c r="C743" i="1" s="1"/>
  <c r="E743" i="1" s="1"/>
  <c r="A751" i="1" a="1"/>
  <c r="A751" i="1" s="1"/>
  <c r="C751" i="1" s="1" a="1"/>
  <c r="C751" i="1" s="1"/>
  <c r="E751" i="1" s="1"/>
  <c r="A759" i="1" a="1"/>
  <c r="A759" i="1" s="1"/>
  <c r="C759" i="1" s="1" a="1"/>
  <c r="C759" i="1" s="1"/>
  <c r="E759" i="1" s="1"/>
  <c r="A767" i="1" a="1"/>
  <c r="A767" i="1" s="1"/>
  <c r="C767" i="1" s="1" a="1"/>
  <c r="C767" i="1" s="1"/>
  <c r="E767" i="1" s="1"/>
  <c r="A775" i="1" a="1"/>
  <c r="A775" i="1" s="1"/>
  <c r="A783" i="1" a="1"/>
  <c r="A783" i="1" s="1"/>
  <c r="C783" i="1" s="1" a="1"/>
  <c r="C783" i="1" s="1"/>
  <c r="E783" i="1" s="1"/>
  <c r="A791" i="1" a="1"/>
  <c r="A791" i="1" s="1"/>
  <c r="A799" i="1" a="1"/>
  <c r="A799" i="1" s="1"/>
  <c r="C799" i="1" s="1" a="1"/>
  <c r="C799" i="1" s="1"/>
  <c r="E799" i="1" s="1"/>
  <c r="A807" i="1" a="1"/>
  <c r="A807" i="1" s="1"/>
  <c r="A815" i="1" a="1"/>
  <c r="A815" i="1" s="1"/>
  <c r="C815" i="1" s="1" a="1"/>
  <c r="C815" i="1" s="1"/>
  <c r="E815" i="1" s="1"/>
  <c r="A823" i="1" a="1"/>
  <c r="A823" i="1" s="1"/>
  <c r="C823" i="1" s="1" a="1"/>
  <c r="C823" i="1" s="1"/>
  <c r="E823" i="1" s="1"/>
  <c r="A831" i="1" a="1"/>
  <c r="A831" i="1" s="1"/>
  <c r="A839" i="1" a="1"/>
  <c r="A839" i="1" s="1"/>
  <c r="A847" i="1" a="1"/>
  <c r="A847" i="1" s="1"/>
  <c r="A855" i="1" a="1"/>
  <c r="A855" i="1" s="1"/>
  <c r="C855" i="1" s="1" a="1"/>
  <c r="C855" i="1" s="1"/>
  <c r="E855" i="1" s="1"/>
  <c r="A863" i="1" a="1"/>
  <c r="A863" i="1" s="1"/>
  <c r="A871" i="1" a="1"/>
  <c r="A871" i="1" s="1"/>
  <c r="A879" i="1" a="1"/>
  <c r="A879" i="1" s="1"/>
  <c r="A887" i="1" a="1"/>
  <c r="A887" i="1" s="1"/>
  <c r="A895" i="1" a="1"/>
  <c r="A895" i="1" s="1"/>
  <c r="A903" i="1" a="1"/>
  <c r="A903" i="1" s="1"/>
  <c r="A911" i="1" a="1"/>
  <c r="A911" i="1" s="1"/>
  <c r="A919" i="1" a="1"/>
  <c r="A919" i="1" s="1"/>
  <c r="A927" i="1" a="1"/>
  <c r="A927" i="1" s="1"/>
  <c r="A935" i="1" a="1"/>
  <c r="A935" i="1" s="1"/>
  <c r="A943" i="1" a="1"/>
  <c r="A943" i="1" s="1"/>
  <c r="A950" i="1" a="1"/>
  <c r="A950" i="1" s="1"/>
  <c r="A956" i="1" a="1"/>
  <c r="A956" i="1" s="1"/>
  <c r="A967" i="1" a="1"/>
  <c r="A967" i="1" s="1"/>
  <c r="A974" i="1" a="1"/>
  <c r="A974" i="1" s="1"/>
  <c r="A981" i="1" a="1"/>
  <c r="A981" i="1" s="1"/>
  <c r="A988" i="1" a="1"/>
  <c r="A988" i="1" s="1"/>
  <c r="A1001" i="1" a="1"/>
  <c r="A1001" i="1" s="1"/>
  <c r="A1009" i="1" a="1"/>
  <c r="A1009" i="1" s="1"/>
  <c r="A1017" i="1" a="1"/>
  <c r="A1017" i="1" s="1"/>
  <c r="A1024" i="1" a="1"/>
  <c r="A1024" i="1" s="1"/>
  <c r="A1031" i="1" a="1"/>
  <c r="A1031" i="1" s="1"/>
  <c r="A1039" i="1" a="1"/>
  <c r="A1039" i="1" s="1"/>
  <c r="A1047" i="1" a="1"/>
  <c r="A1047" i="1" s="1"/>
  <c r="A1054" i="1" a="1"/>
  <c r="A1054" i="1" s="1"/>
  <c r="A1069" i="1" a="1"/>
  <c r="A1069" i="1" s="1"/>
  <c r="A1077" i="1" a="1"/>
  <c r="A1077" i="1" s="1"/>
  <c r="A1084" i="1" a="1"/>
  <c r="A1084" i="1" s="1"/>
  <c r="A1092" i="1" a="1"/>
  <c r="A1092" i="1" s="1"/>
  <c r="A1100" i="1" a="1"/>
  <c r="A1100" i="1" s="1"/>
  <c r="A1108" i="1" a="1"/>
  <c r="A1108" i="1" s="1"/>
  <c r="A1116" i="1" a="1"/>
  <c r="A1116" i="1" s="1"/>
  <c r="A1124" i="1" a="1"/>
  <c r="A1124" i="1" s="1"/>
  <c r="A83" i="1" a="1"/>
  <c r="A83" i="1" s="1"/>
  <c r="C83" i="1" s="1" a="1"/>
  <c r="C83" i="1" s="1"/>
  <c r="E83" i="1" s="1"/>
  <c r="A145" i="1" a="1"/>
  <c r="A145" i="1" s="1"/>
  <c r="C145" i="1" s="1" a="1"/>
  <c r="C145" i="1" s="1"/>
  <c r="D145" i="1" s="1"/>
  <c r="A204" i="1" a="1"/>
  <c r="A204" i="1" s="1"/>
  <c r="C204" i="1" s="1" a="1"/>
  <c r="C204" i="1" s="1"/>
  <c r="E204" i="1" s="1"/>
  <c r="A263" i="1" a="1"/>
  <c r="A263" i="1" s="1"/>
  <c r="C263" i="1" s="1" a="1"/>
  <c r="C263" i="1" s="1"/>
  <c r="E263" i="1" s="1"/>
  <c r="A323" i="1" a="1"/>
  <c r="A323" i="1" s="1"/>
  <c r="C323" i="1" s="1" a="1"/>
  <c r="C323" i="1" s="1"/>
  <c r="D323" i="1" s="1"/>
  <c r="A377" i="1" a="1"/>
  <c r="A377" i="1" s="1"/>
  <c r="C377" i="1" s="1" a="1"/>
  <c r="C377" i="1" s="1"/>
  <c r="E377" i="1" s="1"/>
  <c r="A436" i="1" a="1"/>
  <c r="A436" i="1" s="1"/>
  <c r="C436" i="1" s="1" a="1"/>
  <c r="C436" i="1" s="1"/>
  <c r="D436" i="1" s="1"/>
  <c r="A495" i="1" a="1"/>
  <c r="A495" i="1" s="1"/>
  <c r="C495" i="1" s="1" a="1"/>
  <c r="C495" i="1" s="1"/>
  <c r="E495" i="1" s="1"/>
  <c r="A546" i="1" a="1"/>
  <c r="A546" i="1" s="1"/>
  <c r="C546" i="1" s="1" a="1"/>
  <c r="C546" i="1" s="1"/>
  <c r="D546" i="1" s="1"/>
  <c r="A560" i="1" a="1"/>
  <c r="A560" i="1" s="1"/>
  <c r="C560" i="1" s="1" a="1"/>
  <c r="C560" i="1" s="1"/>
  <c r="E560" i="1" s="1"/>
  <c r="A568" i="1" a="1"/>
  <c r="A568" i="1" s="1"/>
  <c r="C568" i="1" s="1" a="1"/>
  <c r="C568" i="1" s="1"/>
  <c r="E568" i="1" s="1"/>
  <c r="A576" i="1" a="1"/>
  <c r="A576" i="1" s="1"/>
  <c r="A583" i="1" a="1"/>
  <c r="A583" i="1" s="1"/>
  <c r="C583" i="1" s="1" a="1"/>
  <c r="C583" i="1" s="1"/>
  <c r="E583" i="1" s="1"/>
  <c r="A590" i="1" a="1"/>
  <c r="A590" i="1" s="1"/>
  <c r="C590" i="1" s="1" a="1"/>
  <c r="C590" i="1" s="1"/>
  <c r="E590" i="1" s="1"/>
  <c r="A597" i="1" a="1"/>
  <c r="A597" i="1" s="1"/>
  <c r="C597" i="1" s="1" a="1"/>
  <c r="C597" i="1" s="1"/>
  <c r="D597" i="1" s="1"/>
  <c r="A605" i="1" a="1"/>
  <c r="A605" i="1" s="1"/>
  <c r="C605" i="1" s="1" a="1"/>
  <c r="C605" i="1" s="1"/>
  <c r="D605" i="1" s="1"/>
  <c r="A612" i="1" a="1"/>
  <c r="A612" i="1" s="1"/>
  <c r="A619" i="1" a="1"/>
  <c r="A619" i="1" s="1"/>
  <c r="C619" i="1" s="1" a="1"/>
  <c r="C619" i="1" s="1"/>
  <c r="E619" i="1" s="1"/>
  <c r="A627" i="1" a="1"/>
  <c r="A627" i="1" s="1"/>
  <c r="A634" i="1" a="1"/>
  <c r="A634" i="1" s="1"/>
  <c r="C634" i="1" s="1" a="1"/>
  <c r="C634" i="1" s="1"/>
  <c r="D634" i="1" s="1"/>
  <c r="A642" i="1" a="1"/>
  <c r="A642" i="1" s="1"/>
  <c r="C642" i="1" s="1" a="1"/>
  <c r="C642" i="1" s="1"/>
  <c r="D642" i="1" s="1"/>
  <c r="A648" i="1" a="1"/>
  <c r="A648" i="1" s="1"/>
  <c r="A654" i="1" a="1"/>
  <c r="A654" i="1" s="1"/>
  <c r="C654" i="1" s="1" a="1"/>
  <c r="C654" i="1" s="1"/>
  <c r="D654" i="1" s="1"/>
  <c r="A660" i="1" a="1"/>
  <c r="A660" i="1" s="1"/>
  <c r="C660" i="1" s="1" a="1"/>
  <c r="C660" i="1" s="1"/>
  <c r="D660" i="1" s="1"/>
  <c r="A666" i="1" a="1"/>
  <c r="A666" i="1" s="1"/>
  <c r="A680" i="1" a="1"/>
  <c r="A680" i="1" s="1"/>
  <c r="A688" i="1" a="1"/>
  <c r="A688" i="1" s="1"/>
  <c r="A712" i="1" a="1"/>
  <c r="A712" i="1" s="1"/>
  <c r="C712" i="1" s="1" a="1"/>
  <c r="C712" i="1" s="1"/>
  <c r="E712" i="1" s="1"/>
  <c r="A720" i="1" a="1"/>
  <c r="A720" i="1" s="1"/>
  <c r="A744" i="1" a="1"/>
  <c r="A744" i="1" s="1"/>
  <c r="C744" i="1" s="1" a="1"/>
  <c r="C744" i="1" s="1"/>
  <c r="E744" i="1" s="1"/>
  <c r="A752" i="1" a="1"/>
  <c r="A752" i="1" s="1"/>
  <c r="C752" i="1" s="1" a="1"/>
  <c r="C752" i="1" s="1"/>
  <c r="E752" i="1" s="1"/>
  <c r="A760" i="1" a="1"/>
  <c r="A760" i="1" s="1"/>
  <c r="C760" i="1" s="1" a="1"/>
  <c r="C760" i="1" s="1"/>
  <c r="E760" i="1" s="1"/>
  <c r="A768" i="1" a="1"/>
  <c r="A768" i="1" s="1"/>
  <c r="C768" i="1" s="1" a="1"/>
  <c r="C768" i="1" s="1"/>
  <c r="E768" i="1" s="1"/>
  <c r="A776" i="1" a="1"/>
  <c r="A776" i="1" s="1"/>
  <c r="C776" i="1" s="1" a="1"/>
  <c r="C776" i="1" s="1"/>
  <c r="E776" i="1" s="1"/>
  <c r="A784" i="1" a="1"/>
  <c r="A784" i="1" s="1"/>
  <c r="C784" i="1" s="1" a="1"/>
  <c r="C784" i="1" s="1"/>
  <c r="E784" i="1" s="1"/>
  <c r="A792" i="1" a="1"/>
  <c r="A792" i="1" s="1"/>
  <c r="A800" i="1" a="1"/>
  <c r="A800" i="1" s="1"/>
  <c r="C800" i="1" s="1" a="1"/>
  <c r="C800" i="1" s="1"/>
  <c r="E800" i="1" s="1"/>
  <c r="A808" i="1" a="1"/>
  <c r="A808" i="1" s="1"/>
  <c r="A816" i="1" a="1"/>
  <c r="A816" i="1" s="1"/>
  <c r="C816" i="1" s="1" a="1"/>
  <c r="C816" i="1" s="1"/>
  <c r="E816" i="1" s="1"/>
  <c r="A824" i="1" a="1"/>
  <c r="A824" i="1" s="1"/>
  <c r="C824" i="1" s="1" a="1"/>
  <c r="C824" i="1" s="1"/>
  <c r="E824" i="1" s="1"/>
  <c r="A832" i="1" a="1"/>
  <c r="A832" i="1" s="1"/>
  <c r="A840" i="1" a="1"/>
  <c r="A840" i="1" s="1"/>
  <c r="A848" i="1" a="1"/>
  <c r="A848" i="1" s="1"/>
  <c r="C848" i="1" s="1" a="1"/>
  <c r="C848" i="1" s="1"/>
  <c r="E848" i="1" s="1"/>
  <c r="A856" i="1" a="1"/>
  <c r="A856" i="1" s="1"/>
  <c r="C856" i="1" s="1" a="1"/>
  <c r="C856" i="1" s="1"/>
  <c r="E856" i="1" s="1"/>
  <c r="A864" i="1" a="1"/>
  <c r="A864" i="1" s="1"/>
  <c r="A872" i="1" a="1"/>
  <c r="A872" i="1" s="1"/>
  <c r="A880" i="1" a="1"/>
  <c r="A880" i="1" s="1"/>
  <c r="A888" i="1" a="1"/>
  <c r="A888" i="1" s="1"/>
  <c r="A896" i="1" a="1"/>
  <c r="A896" i="1" s="1"/>
  <c r="A904" i="1" a="1"/>
  <c r="A904" i="1" s="1"/>
  <c r="A912" i="1" a="1"/>
  <c r="A912" i="1" s="1"/>
  <c r="A920" i="1" a="1"/>
  <c r="A920" i="1" s="1"/>
  <c r="A928" i="1" a="1"/>
  <c r="A928" i="1" s="1"/>
  <c r="A936" i="1" a="1"/>
  <c r="A936" i="1" s="1"/>
  <c r="A944" i="1" a="1"/>
  <c r="A944" i="1" s="1"/>
  <c r="A951" i="1" a="1"/>
  <c r="A951" i="1" s="1"/>
  <c r="A962" i="1" a="1"/>
  <c r="A962" i="1" s="1"/>
  <c r="A968" i="1" a="1"/>
  <c r="A968" i="1" s="1"/>
  <c r="A975" i="1" a="1"/>
  <c r="A975" i="1" s="1"/>
  <c r="A989" i="1" a="1"/>
  <c r="A989" i="1" s="1"/>
  <c r="A995" i="1" a="1"/>
  <c r="A995" i="1" s="1"/>
  <c r="A1002" i="1" a="1"/>
  <c r="A1002" i="1" s="1"/>
  <c r="A1010" i="1" a="1"/>
  <c r="A1010" i="1" s="1"/>
  <c r="A1018" i="1" a="1"/>
  <c r="A1018" i="1" s="1"/>
  <c r="A1025" i="1" a="1"/>
  <c r="A1025" i="1" s="1"/>
  <c r="A1032" i="1" a="1"/>
  <c r="A1032" i="1" s="1"/>
  <c r="A1040" i="1" a="1"/>
  <c r="A1040" i="1" s="1"/>
  <c r="A1048" i="1" a="1"/>
  <c r="A1048" i="1" s="1"/>
  <c r="A1055" i="1" a="1"/>
  <c r="A1055" i="1" s="1"/>
  <c r="A1062" i="1" a="1"/>
  <c r="A1062" i="1" s="1"/>
  <c r="A1070" i="1" a="1"/>
  <c r="A1070" i="1" s="1"/>
  <c r="A1078" i="1" a="1"/>
  <c r="A1078" i="1" s="1"/>
  <c r="A1085" i="1" a="1"/>
  <c r="A1085" i="1" s="1"/>
  <c r="A1093" i="1" a="1"/>
  <c r="A1093" i="1" s="1"/>
  <c r="A1101" i="1" a="1"/>
  <c r="A1101" i="1" s="1"/>
  <c r="A1109" i="1" a="1"/>
  <c r="A1109" i="1" s="1"/>
  <c r="A91" i="1" a="1"/>
  <c r="A91" i="1" s="1"/>
  <c r="C91" i="1" s="1" a="1"/>
  <c r="C91" i="1" s="1"/>
  <c r="A153" i="1" a="1"/>
  <c r="A153" i="1" s="1"/>
  <c r="C153" i="1" s="1" a="1"/>
  <c r="C153" i="1" s="1"/>
  <c r="D153" i="1" s="1"/>
  <c r="A211" i="1" a="1"/>
  <c r="A211" i="1" s="1"/>
  <c r="C211" i="1" s="1" a="1"/>
  <c r="C211" i="1" s="1"/>
  <c r="E211" i="1" s="1"/>
  <c r="A270" i="1" a="1"/>
  <c r="A270" i="1" s="1"/>
  <c r="C270" i="1" s="1" a="1"/>
  <c r="C270" i="1" s="1"/>
  <c r="D270" i="1" s="1"/>
  <c r="A331" i="1" a="1"/>
  <c r="A331" i="1" s="1"/>
  <c r="C331" i="1" s="1" a="1"/>
  <c r="C331" i="1" s="1"/>
  <c r="E331" i="1" s="1"/>
  <c r="A385" i="1" a="1"/>
  <c r="A385" i="1" s="1"/>
  <c r="C385" i="1" s="1" a="1"/>
  <c r="C385" i="1" s="1"/>
  <c r="D385" i="1" s="1"/>
  <c r="A443" i="1" a="1"/>
  <c r="A443" i="1" s="1"/>
  <c r="C443" i="1" s="1" a="1"/>
  <c r="C443" i="1" s="1"/>
  <c r="E443" i="1" s="1"/>
  <c r="A503" i="1" a="1"/>
  <c r="A503" i="1" s="1"/>
  <c r="A548" i="1" a="1"/>
  <c r="A548" i="1" s="1"/>
  <c r="C548" i="1" s="1" a="1"/>
  <c r="C548" i="1" s="1"/>
  <c r="E548" i="1" s="1"/>
  <c r="A561" i="1" a="1"/>
  <c r="A561" i="1" s="1"/>
  <c r="C561" i="1" s="1" a="1"/>
  <c r="C561" i="1" s="1"/>
  <c r="E561" i="1" s="1"/>
  <c r="A569" i="1" a="1"/>
  <c r="A569" i="1" s="1"/>
  <c r="C569" i="1" s="1" a="1"/>
  <c r="C569" i="1" s="1"/>
  <c r="E569" i="1" s="1"/>
  <c r="A577" i="1" a="1"/>
  <c r="A577" i="1" s="1"/>
  <c r="A591" i="1" a="1"/>
  <c r="A591" i="1" s="1"/>
  <c r="A598" i="1" a="1"/>
  <c r="A598" i="1" s="1"/>
  <c r="C598" i="1" s="1" a="1"/>
  <c r="C598" i="1" s="1"/>
  <c r="D598" i="1" s="1"/>
  <c r="A606" i="1" a="1"/>
  <c r="A606" i="1" s="1"/>
  <c r="C606" i="1" s="1" a="1"/>
  <c r="C606" i="1" s="1"/>
  <c r="D606" i="1" s="1"/>
  <c r="A613" i="1" a="1"/>
  <c r="A613" i="1" s="1"/>
  <c r="A620" i="1" a="1"/>
  <c r="A620" i="1" s="1"/>
  <c r="C620" i="1" s="1" a="1"/>
  <c r="C620" i="1" s="1"/>
  <c r="E620" i="1" s="1"/>
  <c r="A635" i="1" a="1"/>
  <c r="A635" i="1" s="1"/>
  <c r="C635" i="1" s="1" a="1"/>
  <c r="C635" i="1" s="1"/>
  <c r="D635" i="1" s="1"/>
  <c r="A643" i="1" a="1"/>
  <c r="A643" i="1" s="1"/>
  <c r="C643" i="1" s="1" a="1"/>
  <c r="C643" i="1" s="1"/>
  <c r="E643" i="1" s="1"/>
  <c r="A649" i="1" a="1"/>
  <c r="A649" i="1" s="1"/>
  <c r="A667" i="1" a="1"/>
  <c r="A667" i="1" s="1"/>
  <c r="A673" i="1" a="1"/>
  <c r="A673" i="1" s="1"/>
  <c r="A681" i="1" a="1"/>
  <c r="A681" i="1" s="1"/>
  <c r="A713" i="1" a="1"/>
  <c r="A713" i="1" s="1"/>
  <c r="C713" i="1" s="1" a="1"/>
  <c r="C713" i="1" s="1"/>
  <c r="E713" i="1" s="1"/>
  <c r="A721" i="1" a="1"/>
  <c r="A721" i="1" s="1"/>
  <c r="A745" i="1" a="1"/>
  <c r="A745" i="1" s="1"/>
  <c r="C745" i="1" s="1" a="1"/>
  <c r="C745" i="1" s="1"/>
  <c r="E745" i="1" s="1"/>
  <c r="A753" i="1" a="1"/>
  <c r="A753" i="1" s="1"/>
  <c r="A761" i="1" a="1"/>
  <c r="A761" i="1" s="1"/>
  <c r="C761" i="1" s="1" a="1"/>
  <c r="C761" i="1" s="1"/>
  <c r="E761" i="1" s="1"/>
  <c r="A769" i="1" a="1"/>
  <c r="A769" i="1" s="1"/>
  <c r="C769" i="1" s="1" a="1"/>
  <c r="C769" i="1" s="1"/>
  <c r="E769" i="1" s="1"/>
  <c r="A777" i="1" a="1"/>
  <c r="A777" i="1" s="1"/>
  <c r="C777" i="1" s="1" a="1"/>
  <c r="C777" i="1" s="1"/>
  <c r="E777" i="1" s="1"/>
  <c r="A785" i="1" a="1"/>
  <c r="A785" i="1" s="1"/>
  <c r="C785" i="1" s="1" a="1"/>
  <c r="C785" i="1" s="1"/>
  <c r="E785" i="1" s="1"/>
  <c r="A793" i="1" a="1"/>
  <c r="A793" i="1" s="1"/>
  <c r="A801" i="1" a="1"/>
  <c r="A801" i="1" s="1"/>
  <c r="C801" i="1" s="1" a="1"/>
  <c r="C801" i="1" s="1"/>
  <c r="E801" i="1" s="1"/>
  <c r="A809" i="1" a="1"/>
  <c r="A809" i="1" s="1"/>
  <c r="A817" i="1" a="1"/>
  <c r="A817" i="1" s="1"/>
  <c r="C817" i="1" s="1" a="1"/>
  <c r="C817" i="1" s="1"/>
  <c r="E817" i="1" s="1"/>
  <c r="A825" i="1" a="1"/>
  <c r="A825" i="1" s="1"/>
  <c r="A833" i="1" a="1"/>
  <c r="A833" i="1" s="1"/>
  <c r="A841" i="1" a="1"/>
  <c r="A841" i="1" s="1"/>
  <c r="A849" i="1" a="1"/>
  <c r="A849" i="1" s="1"/>
  <c r="C849" i="1" s="1" a="1"/>
  <c r="C849" i="1" s="1"/>
  <c r="E849" i="1" s="1"/>
  <c r="A857" i="1" a="1"/>
  <c r="A857" i="1" s="1"/>
  <c r="C857" i="1" s="1" a="1"/>
  <c r="C857" i="1" s="1"/>
  <c r="E857" i="1" s="1"/>
  <c r="A865" i="1" a="1"/>
  <c r="A865" i="1" s="1"/>
  <c r="A873" i="1" a="1"/>
  <c r="A873" i="1" s="1"/>
  <c r="A881" i="1" a="1"/>
  <c r="A881" i="1" s="1"/>
  <c r="A889" i="1" a="1"/>
  <c r="A889" i="1" s="1"/>
  <c r="A897" i="1" a="1"/>
  <c r="A897" i="1" s="1"/>
  <c r="A905" i="1" a="1"/>
  <c r="A905" i="1" s="1"/>
  <c r="A913" i="1" a="1"/>
  <c r="A913" i="1" s="1"/>
  <c r="A921" i="1" a="1"/>
  <c r="A921" i="1" s="1"/>
  <c r="A929" i="1" a="1"/>
  <c r="A929" i="1" s="1"/>
  <c r="A937" i="1" a="1"/>
  <c r="A937" i="1" s="1"/>
  <c r="A952" i="1" a="1"/>
  <c r="A952" i="1" s="1"/>
  <c r="A957" i="1" a="1"/>
  <c r="A957" i="1" s="1"/>
  <c r="A969" i="1" a="1"/>
  <c r="A969" i="1" s="1"/>
  <c r="A976" i="1" a="1"/>
  <c r="A976" i="1" s="1"/>
  <c r="A982" i="1" a="1"/>
  <c r="A982" i="1" s="1"/>
  <c r="A996" i="1" a="1"/>
  <c r="A996" i="1" s="1"/>
  <c r="A1003" i="1" a="1"/>
  <c r="A1003" i="1" s="1"/>
  <c r="A1011" i="1" a="1"/>
  <c r="A1011" i="1" s="1"/>
  <c r="A1026" i="1" a="1"/>
  <c r="A1026" i="1" s="1"/>
  <c r="A1033" i="1" a="1"/>
  <c r="A1033" i="1" s="1"/>
  <c r="A1041" i="1" a="1"/>
  <c r="A1041" i="1" s="1"/>
  <c r="A1049" i="1" a="1"/>
  <c r="A1049" i="1" s="1"/>
  <c r="A1056" i="1" a="1"/>
  <c r="A1056" i="1" s="1"/>
  <c r="A1063" i="1" a="1"/>
  <c r="A1063" i="1" s="1"/>
  <c r="A1071" i="1" a="1"/>
  <c r="A1071" i="1" s="1"/>
  <c r="A1079" i="1" a="1"/>
  <c r="A1079" i="1" s="1"/>
  <c r="A1086" i="1" a="1"/>
  <c r="A1086" i="1" s="1"/>
  <c r="A1094" i="1" a="1"/>
  <c r="A1094" i="1" s="1"/>
  <c r="A1102" i="1" a="1"/>
  <c r="A1102" i="1" s="1"/>
  <c r="A1110" i="1" a="1"/>
  <c r="A1110" i="1" s="1"/>
  <c r="A1118" i="1" a="1"/>
  <c r="A1118" i="1" s="1"/>
  <c r="A1133" i="1" a="1"/>
  <c r="A1133" i="1" s="1"/>
  <c r="A1141" i="1" a="1"/>
  <c r="A1141" i="1" s="1"/>
  <c r="A1148" i="1" a="1"/>
  <c r="A1148" i="1" s="1"/>
  <c r="A98" i="1" a="1"/>
  <c r="A98" i="1" s="1"/>
  <c r="C98" i="1" s="1" a="1"/>
  <c r="C98" i="1" s="1"/>
  <c r="E98" i="1" s="1"/>
  <c r="A160" i="1" a="1"/>
  <c r="A160" i="1" s="1"/>
  <c r="C160" i="1" s="1" a="1"/>
  <c r="C160" i="1" s="1"/>
  <c r="E160" i="1" s="1"/>
  <c r="A219" i="1" a="1"/>
  <c r="A219" i="1" s="1"/>
  <c r="C219" i="1" s="1" a="1"/>
  <c r="C219" i="1" s="1"/>
  <c r="D219" i="1" s="1"/>
  <c r="A278" i="1" a="1"/>
  <c r="A278" i="1" s="1"/>
  <c r="C278" i="1" s="1" a="1"/>
  <c r="C278" i="1" s="1"/>
  <c r="E278" i="1" s="1"/>
  <c r="A338" i="1" a="1"/>
  <c r="A338" i="1" s="1"/>
  <c r="C338" i="1" s="1" a="1"/>
  <c r="C338" i="1" s="1"/>
  <c r="E338" i="1" s="1"/>
  <c r="A451" i="1" a="1"/>
  <c r="A451" i="1" s="1"/>
  <c r="C451" i="1" s="1" a="1"/>
  <c r="C451" i="1" s="1"/>
  <c r="E451" i="1" s="1"/>
  <c r="A511" i="1" a="1"/>
  <c r="A511" i="1" s="1"/>
  <c r="C511" i="1" s="1" a="1"/>
  <c r="C511" i="1" s="1"/>
  <c r="A562" i="1" a="1"/>
  <c r="A562" i="1" s="1"/>
  <c r="C562" i="1" s="1" a="1"/>
  <c r="C562" i="1" s="1"/>
  <c r="E562" i="1" s="1"/>
  <c r="A570" i="1" a="1"/>
  <c r="A570" i="1" s="1"/>
  <c r="C570" i="1" s="1" a="1"/>
  <c r="C570" i="1" s="1"/>
  <c r="D570" i="1" s="1"/>
  <c r="A578" i="1" a="1"/>
  <c r="A578" i="1" s="1"/>
  <c r="C578" i="1" s="1" a="1"/>
  <c r="C578" i="1" s="1"/>
  <c r="E578" i="1" s="1"/>
  <c r="A584" i="1" a="1"/>
  <c r="A584" i="1" s="1"/>
  <c r="C584" i="1" s="1" a="1"/>
  <c r="C584" i="1" s="1"/>
  <c r="E584" i="1" s="1"/>
  <c r="A592" i="1" a="1"/>
  <c r="A592" i="1" s="1"/>
  <c r="A599" i="1" a="1"/>
  <c r="A599" i="1" s="1"/>
  <c r="C599" i="1" s="1" a="1"/>
  <c r="C599" i="1" s="1"/>
  <c r="D599" i="1" s="1"/>
  <c r="A607" i="1" a="1"/>
  <c r="A607" i="1" s="1"/>
  <c r="C607" i="1" s="1" a="1"/>
  <c r="C607" i="1" s="1"/>
  <c r="E607" i="1" s="1"/>
  <c r="A614" i="1" a="1"/>
  <c r="A614" i="1" s="1"/>
  <c r="C614" i="1" s="1" a="1"/>
  <c r="C614" i="1" s="1"/>
  <c r="D614" i="1" s="1"/>
  <c r="A621" i="1" a="1"/>
  <c r="A621" i="1" s="1"/>
  <c r="C621" i="1" s="1" a="1"/>
  <c r="C621" i="1" s="1"/>
  <c r="D621" i="1" s="1"/>
  <c r="A628" i="1" a="1"/>
  <c r="A628" i="1" s="1"/>
  <c r="A636" i="1" a="1"/>
  <c r="A636" i="1" s="1"/>
  <c r="C636" i="1" s="1" a="1"/>
  <c r="C636" i="1" s="1"/>
  <c r="D636" i="1" s="1"/>
  <c r="A650" i="1" a="1"/>
  <c r="A650" i="1" s="1"/>
  <c r="C650" i="1" s="1" a="1"/>
  <c r="C650" i="1" s="1"/>
  <c r="D650" i="1" s="1"/>
  <c r="A655" i="1" a="1"/>
  <c r="A655" i="1" s="1"/>
  <c r="C655" i="1" s="1" a="1"/>
  <c r="C655" i="1" s="1"/>
  <c r="E655" i="1" s="1"/>
  <c r="A661" i="1" a="1"/>
  <c r="A661" i="1" s="1"/>
  <c r="C661" i="1" s="1" a="1"/>
  <c r="C661" i="1" s="1"/>
  <c r="D661" i="1" s="1"/>
  <c r="A668" i="1" a="1"/>
  <c r="A668" i="1" s="1"/>
  <c r="A674" i="1" a="1"/>
  <c r="A674" i="1" s="1"/>
  <c r="A682" i="1" a="1"/>
  <c r="A682" i="1" s="1"/>
  <c r="A690" i="1" a="1"/>
  <c r="A690" i="1" s="1"/>
  <c r="A714" i="1" a="1"/>
  <c r="A714" i="1" s="1"/>
  <c r="C714" i="1" s="1" a="1"/>
  <c r="C714" i="1" s="1"/>
  <c r="E714" i="1" s="1"/>
  <c r="A746" i="1" a="1"/>
  <c r="A746" i="1" s="1"/>
  <c r="C746" i="1" s="1" a="1"/>
  <c r="C746" i="1" s="1"/>
  <c r="E746" i="1" s="1"/>
  <c r="A754" i="1" a="1"/>
  <c r="A754" i="1" s="1"/>
  <c r="A762" i="1" a="1"/>
  <c r="A762" i="1" s="1"/>
  <c r="C762" i="1" s="1" a="1"/>
  <c r="C762" i="1" s="1"/>
  <c r="E762" i="1" s="1"/>
  <c r="A770" i="1" a="1"/>
  <c r="A770" i="1" s="1"/>
  <c r="C770" i="1" s="1" a="1"/>
  <c r="C770" i="1" s="1"/>
  <c r="E770" i="1" s="1"/>
  <c r="A778" i="1" a="1"/>
  <c r="A778" i="1" s="1"/>
  <c r="C778" i="1" s="1" a="1"/>
  <c r="C778" i="1" s="1"/>
  <c r="E778" i="1" s="1"/>
  <c r="A786" i="1" a="1"/>
  <c r="A786" i="1" s="1"/>
  <c r="C786" i="1" s="1" a="1"/>
  <c r="C786" i="1" s="1"/>
  <c r="E786" i="1" s="1"/>
  <c r="A794" i="1" a="1"/>
  <c r="A794" i="1" s="1"/>
  <c r="C794" i="1" s="1" a="1"/>
  <c r="C794" i="1" s="1"/>
  <c r="E794" i="1" s="1"/>
  <c r="A802" i="1" a="1"/>
  <c r="A802" i="1" s="1"/>
  <c r="C802" i="1" s="1" a="1"/>
  <c r="C802" i="1" s="1"/>
  <c r="E802" i="1" s="1"/>
  <c r="A810" i="1" a="1"/>
  <c r="A810" i="1" s="1"/>
  <c r="A818" i="1" a="1"/>
  <c r="A818" i="1" s="1"/>
  <c r="C818" i="1" s="1" a="1"/>
  <c r="C818" i="1" s="1"/>
  <c r="E818" i="1" s="1"/>
  <c r="A826" i="1" a="1"/>
  <c r="A826" i="1" s="1"/>
  <c r="A834" i="1" a="1"/>
  <c r="A834" i="1" s="1"/>
  <c r="A842" i="1" a="1"/>
  <c r="A842" i="1" s="1"/>
  <c r="A850" i="1" a="1"/>
  <c r="A850" i="1" s="1"/>
  <c r="C850" i="1" s="1" a="1"/>
  <c r="C850" i="1" s="1"/>
  <c r="E850" i="1" s="1"/>
  <c r="A858" i="1" a="1"/>
  <c r="A858" i="1" s="1"/>
  <c r="C858" i="1" s="1" a="1"/>
  <c r="C858" i="1" s="1"/>
  <c r="E858" i="1" s="1"/>
  <c r="A866" i="1" a="1"/>
  <c r="A866" i="1" s="1"/>
  <c r="A874" i="1" a="1"/>
  <c r="A874" i="1" s="1"/>
  <c r="A882" i="1" a="1"/>
  <c r="A882" i="1" s="1"/>
  <c r="A890" i="1" a="1"/>
  <c r="A890" i="1" s="1"/>
  <c r="A898" i="1" a="1"/>
  <c r="A898" i="1" s="1"/>
  <c r="A906" i="1" a="1"/>
  <c r="A906" i="1" s="1"/>
  <c r="A914" i="1" a="1"/>
  <c r="A914" i="1" s="1"/>
  <c r="A922" i="1" a="1"/>
  <c r="A922" i="1" s="1"/>
  <c r="A930" i="1" a="1"/>
  <c r="A930" i="1" s="1"/>
  <c r="A938" i="1" a="1"/>
  <c r="A938" i="1" s="1"/>
  <c r="A945" i="1" a="1"/>
  <c r="A945" i="1" s="1"/>
  <c r="A963" i="1" a="1"/>
  <c r="A963" i="1" s="1"/>
  <c r="A970" i="1" a="1"/>
  <c r="A970" i="1" s="1"/>
  <c r="A977" i="1" a="1"/>
  <c r="A977" i="1" s="1"/>
  <c r="A983" i="1" a="1"/>
  <c r="A983" i="1" s="1"/>
  <c r="A990" i="1" a="1"/>
  <c r="A990" i="1" s="1"/>
  <c r="A997" i="1" a="1"/>
  <c r="A997" i="1" s="1"/>
  <c r="A1004" i="1" a="1"/>
  <c r="A1004" i="1" s="1"/>
  <c r="A1012" i="1" a="1"/>
  <c r="A1012" i="1" s="1"/>
  <c r="A1019" i="1" a="1"/>
  <c r="A1019" i="1" s="1"/>
  <c r="A1027" i="1" a="1"/>
  <c r="A1027" i="1" s="1"/>
  <c r="A1034" i="1" a="1"/>
  <c r="A1034" i="1" s="1"/>
  <c r="A1042" i="1" a="1"/>
  <c r="A1042" i="1" s="1"/>
  <c r="A1050" i="1" a="1"/>
  <c r="A1050" i="1" s="1"/>
  <c r="A1057" i="1" a="1"/>
  <c r="A1057" i="1" s="1"/>
  <c r="A1064" i="1" a="1"/>
  <c r="A1064" i="1" s="1"/>
  <c r="A1072" i="1" a="1"/>
  <c r="A1072" i="1" s="1"/>
  <c r="A1080" i="1" a="1"/>
  <c r="A1080" i="1" s="1"/>
  <c r="A1087" i="1" a="1"/>
  <c r="A1087" i="1" s="1"/>
  <c r="A1095" i="1" a="1"/>
  <c r="A1095" i="1" s="1"/>
  <c r="A1103" i="1" a="1"/>
  <c r="A1103" i="1" s="1"/>
  <c r="A1111" i="1" a="1"/>
  <c r="A1111" i="1" s="1"/>
  <c r="A1119" i="1" a="1"/>
  <c r="A1119" i="1" s="1"/>
  <c r="A1126" i="1" a="1"/>
  <c r="A1126" i="1" s="1"/>
  <c r="A1134" i="1" a="1"/>
  <c r="A1134" i="1" s="1"/>
  <c r="A1142" i="1" a="1"/>
  <c r="A1142" i="1" s="1"/>
  <c r="A457" i="1" a="1"/>
  <c r="A457" i="1" s="1"/>
  <c r="C457" i="1" s="1" a="1"/>
  <c r="C457" i="1" s="1"/>
  <c r="D457" i="1" s="1"/>
  <c r="A600" i="1" a="1"/>
  <c r="A600" i="1" s="1"/>
  <c r="C600" i="1" s="1" a="1"/>
  <c r="C600" i="1" s="1"/>
  <c r="D600" i="1" s="1"/>
  <c r="A656" i="1" a="1"/>
  <c r="A656" i="1" s="1"/>
  <c r="C656" i="1" s="1" a="1"/>
  <c r="C656" i="1" s="1"/>
  <c r="E656" i="1" s="1"/>
  <c r="A715" i="1" a="1"/>
  <c r="A715" i="1" s="1"/>
  <c r="C715" i="1" s="1" a="1"/>
  <c r="C715" i="1" s="1"/>
  <c r="D715" i="1" s="1"/>
  <c r="A779" i="1" a="1"/>
  <c r="A779" i="1" s="1"/>
  <c r="C779" i="1" s="1" a="1"/>
  <c r="C779" i="1" s="1"/>
  <c r="E779" i="1" s="1"/>
  <c r="A843" i="1" a="1"/>
  <c r="A843" i="1" s="1"/>
  <c r="A907" i="1" a="1"/>
  <c r="A907" i="1" s="1"/>
  <c r="A964" i="1" a="1"/>
  <c r="A964" i="1" s="1"/>
  <c r="A1020" i="1" a="1"/>
  <c r="A1020" i="1" s="1"/>
  <c r="A1081" i="1" a="1"/>
  <c r="A1081" i="1" s="1"/>
  <c r="A1127" i="1" a="1"/>
  <c r="A1127" i="1" s="1"/>
  <c r="A1144" i="1" a="1"/>
  <c r="A1144" i="1" s="1"/>
  <c r="A1152" i="1" a="1"/>
  <c r="A1152" i="1" s="1"/>
  <c r="A1160" i="1" a="1"/>
  <c r="A1160" i="1" s="1"/>
  <c r="A1168" i="1" a="1"/>
  <c r="A1168" i="1" s="1"/>
  <c r="A1176" i="1" a="1"/>
  <c r="A1176" i="1" s="1"/>
  <c r="A1183" i="1" a="1"/>
  <c r="A1183" i="1" s="1"/>
  <c r="A1190" i="1" a="1"/>
  <c r="A1190" i="1" s="1"/>
  <c r="A1197" i="1" a="1"/>
  <c r="A1197" i="1" s="1"/>
  <c r="A1203" i="1" a="1"/>
  <c r="A1203" i="1" s="1"/>
  <c r="A1211" i="1" a="1"/>
  <c r="A1211" i="1" s="1"/>
  <c r="A1218" i="1" a="1"/>
  <c r="A1218" i="1" s="1"/>
  <c r="A1225" i="1" a="1"/>
  <c r="A1225" i="1" s="1"/>
  <c r="A1231" i="1" a="1"/>
  <c r="A1231" i="1" s="1"/>
  <c r="A1238" i="1" a="1"/>
  <c r="A1238" i="1" s="1"/>
  <c r="A1252" i="1" a="1"/>
  <c r="A1252" i="1" s="1"/>
  <c r="A1259" i="1" a="1"/>
  <c r="A1259" i="1" s="1"/>
  <c r="A1266" i="1" a="1"/>
  <c r="A1266" i="1" s="1"/>
  <c r="A1273" i="1" a="1"/>
  <c r="A1273" i="1" s="1"/>
  <c r="A1280" i="1" a="1"/>
  <c r="A1280" i="1" s="1"/>
  <c r="A1287" i="1" a="1"/>
  <c r="A1287" i="1" s="1"/>
  <c r="A1300" i="1" a="1"/>
  <c r="A1300" i="1" s="1"/>
  <c r="A1309" i="1" a="1"/>
  <c r="A1309" i="1" s="1"/>
  <c r="A1314" i="1" a="1"/>
  <c r="A1314" i="1" s="1"/>
  <c r="A1323" i="1" a="1"/>
  <c r="A1323" i="1" s="1"/>
  <c r="A1332" i="1" a="1"/>
  <c r="A1332" i="1" s="1"/>
  <c r="A1341" i="1" a="1"/>
  <c r="A1341" i="1" s="1"/>
  <c r="A1346" i="1" a="1"/>
  <c r="A1346" i="1" s="1"/>
  <c r="A1355" i="1" a="1"/>
  <c r="A1355" i="1" s="1"/>
  <c r="A1364" i="1" a="1"/>
  <c r="A1364" i="1" s="1"/>
  <c r="A1373" i="1" a="1"/>
  <c r="A1373" i="1" s="1"/>
  <c r="A1378" i="1" a="1"/>
  <c r="A1378" i="1" s="1"/>
  <c r="A1387" i="1" a="1"/>
  <c r="A1387" i="1" s="1"/>
  <c r="A1396" i="1" a="1"/>
  <c r="A1396" i="1" s="1"/>
  <c r="A1405" i="1" a="1"/>
  <c r="A1405" i="1" s="1"/>
  <c r="A1410" i="1" a="1"/>
  <c r="A1410" i="1" s="1"/>
  <c r="A1419" i="1" a="1"/>
  <c r="A1419" i="1" s="1"/>
  <c r="A1424" i="1" a="1"/>
  <c r="A1424" i="1" s="1"/>
  <c r="A1429" i="1" a="1"/>
  <c r="A1429" i="1" s="1"/>
  <c r="A1435" i="1" a="1"/>
  <c r="A1435" i="1" s="1"/>
  <c r="A1440" i="1" a="1"/>
  <c r="A1440" i="1" s="1"/>
  <c r="A1445" i="1" a="1"/>
  <c r="A1445" i="1" s="1"/>
  <c r="A1451" i="1" a="1"/>
  <c r="A1451" i="1" s="1"/>
  <c r="A1456" i="1" a="1"/>
  <c r="A1456" i="1" s="1"/>
  <c r="A1461" i="1" a="1"/>
  <c r="A1461" i="1" s="1"/>
  <c r="A1467" i="1" a="1"/>
  <c r="A1467" i="1" s="1"/>
  <c r="A1472" i="1" a="1"/>
  <c r="A1472" i="1" s="1"/>
  <c r="A1477" i="1" a="1"/>
  <c r="A1477" i="1" s="1"/>
  <c r="A1483" i="1" a="1"/>
  <c r="A1483" i="1" s="1"/>
  <c r="A1495" i="1" a="1"/>
  <c r="A1495" i="1" s="1"/>
  <c r="A1500" i="1" a="1"/>
  <c r="A1500" i="1" s="1"/>
  <c r="A1506" i="1" a="1"/>
  <c r="A1506" i="1" s="1"/>
  <c r="A1512" i="1" a="1"/>
  <c r="A1512" i="1" s="1"/>
  <c r="A1517" i="1" a="1"/>
  <c r="A1517" i="1" s="1"/>
  <c r="A1524" i="1" a="1"/>
  <c r="A1524" i="1" s="1"/>
  <c r="A1530" i="1" a="1"/>
  <c r="A1530" i="1" s="1"/>
  <c r="A1536" i="1" a="1"/>
  <c r="A1536" i="1" s="1"/>
  <c r="A1542" i="1" a="1"/>
  <c r="A1542" i="1" s="1"/>
  <c r="A1548" i="1" a="1"/>
  <c r="A1548" i="1" s="1"/>
  <c r="A1554" i="1" a="1"/>
  <c r="A1554" i="1" s="1"/>
  <c r="A1566" i="1" a="1"/>
  <c r="A1566" i="1" s="1"/>
  <c r="A518" i="1" a="1"/>
  <c r="A518" i="1" s="1"/>
  <c r="C518" i="1" s="1" a="1"/>
  <c r="C518" i="1" s="1"/>
  <c r="E518" i="1" s="1"/>
  <c r="A608" i="1" a="1"/>
  <c r="A608" i="1" s="1"/>
  <c r="C608" i="1" s="1" a="1"/>
  <c r="C608" i="1" s="1"/>
  <c r="D608" i="1" s="1"/>
  <c r="A662" i="1" a="1"/>
  <c r="A662" i="1" s="1"/>
  <c r="C662" i="1" s="1" a="1"/>
  <c r="C662" i="1" s="1"/>
  <c r="D662" i="1" s="1"/>
  <c r="A787" i="1" a="1"/>
  <c r="A787" i="1" s="1"/>
  <c r="C787" i="1" s="1" a="1"/>
  <c r="C787" i="1" s="1"/>
  <c r="E787" i="1" s="1"/>
  <c r="A851" i="1" a="1"/>
  <c r="A851" i="1" s="1"/>
  <c r="C851" i="1" s="1" a="1"/>
  <c r="C851" i="1" s="1"/>
  <c r="E851" i="1" s="1"/>
  <c r="A915" i="1" a="1"/>
  <c r="A915" i="1" s="1"/>
  <c r="A971" i="1" a="1"/>
  <c r="A971" i="1" s="1"/>
  <c r="A1028" i="1" a="1"/>
  <c r="A1028" i="1" s="1"/>
  <c r="A1088" i="1" a="1"/>
  <c r="A1088" i="1" s="1"/>
  <c r="A1131" i="1" a="1"/>
  <c r="A1131" i="1" s="1"/>
  <c r="A1145" i="1" a="1"/>
  <c r="A1145" i="1" s="1"/>
  <c r="A1153" i="1" a="1"/>
  <c r="A1153" i="1" s="1"/>
  <c r="A1161" i="1" a="1"/>
  <c r="A1161" i="1" s="1"/>
  <c r="A1169" i="1" a="1"/>
  <c r="A1169" i="1" s="1"/>
  <c r="A1177" i="1" a="1"/>
  <c r="A1177" i="1" s="1"/>
  <c r="A1184" i="1" a="1"/>
  <c r="A1184" i="1" s="1"/>
  <c r="A1191" i="1" a="1"/>
  <c r="A1191" i="1" s="1"/>
  <c r="A1204" i="1" a="1"/>
  <c r="A1204" i="1" s="1"/>
  <c r="A1212" i="1" a="1"/>
  <c r="A1212" i="1" s="1"/>
  <c r="A1226" i="1" a="1"/>
  <c r="A1226" i="1" s="1"/>
  <c r="A1232" i="1" a="1"/>
  <c r="A1232" i="1" s="1"/>
  <c r="A1239" i="1" a="1"/>
  <c r="A1239" i="1" s="1"/>
  <c r="A1246" i="1" a="1"/>
  <c r="A1246" i="1" s="1"/>
  <c r="A1253" i="1" a="1"/>
  <c r="A1253" i="1" s="1"/>
  <c r="A1260" i="1" a="1"/>
  <c r="A1260" i="1" s="1"/>
  <c r="A1274" i="1" a="1"/>
  <c r="A1274" i="1" s="1"/>
  <c r="A1281" i="1" a="1"/>
  <c r="A1281" i="1" s="1"/>
  <c r="A1288" i="1" a="1"/>
  <c r="A1288" i="1" s="1"/>
  <c r="A1294" i="1" a="1"/>
  <c r="A1294" i="1" s="1"/>
  <c r="A1305" i="1" a="1"/>
  <c r="A1305" i="1" s="1"/>
  <c r="A1310" i="1" a="1"/>
  <c r="A1310" i="1" s="1"/>
  <c r="A1319" i="1" a="1"/>
  <c r="A1319" i="1" s="1"/>
  <c r="A1328" i="1" a="1"/>
  <c r="A1328" i="1" s="1"/>
  <c r="A1337" i="1" a="1"/>
  <c r="A1337" i="1" s="1"/>
  <c r="A1342" i="1" a="1"/>
  <c r="A1342" i="1" s="1"/>
  <c r="A1351" i="1" a="1"/>
  <c r="A1351" i="1" s="1"/>
  <c r="A1360" i="1" a="1"/>
  <c r="A1360" i="1" s="1"/>
  <c r="A1369" i="1" a="1"/>
  <c r="A1369" i="1" s="1"/>
  <c r="A1374" i="1" a="1"/>
  <c r="A1374" i="1" s="1"/>
  <c r="A1383" i="1" a="1"/>
  <c r="A1383" i="1" s="1"/>
  <c r="A1392" i="1" a="1"/>
  <c r="A1392" i="1" s="1"/>
  <c r="A1401" i="1" a="1"/>
  <c r="A1401" i="1" s="1"/>
  <c r="A1406" i="1" a="1"/>
  <c r="A1406" i="1" s="1"/>
  <c r="A1415" i="1" a="1"/>
  <c r="A1415" i="1" s="1"/>
  <c r="A1430" i="1" a="1"/>
  <c r="A1430" i="1" s="1"/>
  <c r="A1446" i="1" a="1"/>
  <c r="A1446" i="1" s="1"/>
  <c r="A1462" i="1" a="1"/>
  <c r="A1462" i="1" s="1"/>
  <c r="A1478" i="1" a="1"/>
  <c r="A1478" i="1" s="1"/>
  <c r="A1489" i="1" a="1"/>
  <c r="A1489" i="1" s="1"/>
  <c r="A1507" i="1" a="1"/>
  <c r="A1507" i="1" s="1"/>
  <c r="A1518" i="1" a="1"/>
  <c r="A1518" i="1" s="1"/>
  <c r="A1531" i="1" a="1"/>
  <c r="A1531" i="1" s="1"/>
  <c r="A1543" i="1" a="1"/>
  <c r="A1543" i="1" s="1"/>
  <c r="A1555" i="1" a="1"/>
  <c r="A1555" i="1" s="1"/>
  <c r="A1561" i="1" a="1"/>
  <c r="A1561" i="1" s="1"/>
  <c r="A106" i="1" a="1"/>
  <c r="A106" i="1" s="1"/>
  <c r="C106" i="1" s="1" a="1"/>
  <c r="C106" i="1" s="1"/>
  <c r="E106" i="1" s="1"/>
  <c r="A552" i="1" a="1"/>
  <c r="A552" i="1" s="1"/>
  <c r="C552" i="1" s="1" a="1"/>
  <c r="C552" i="1" s="1"/>
  <c r="E552" i="1" s="1"/>
  <c r="A615" i="1" a="1"/>
  <c r="A615" i="1" s="1"/>
  <c r="C615" i="1" s="1" a="1"/>
  <c r="C615" i="1" s="1"/>
  <c r="D615" i="1" s="1"/>
  <c r="A795" i="1" a="1"/>
  <c r="A795" i="1" s="1"/>
  <c r="C795" i="1" s="1" a="1"/>
  <c r="C795" i="1" s="1"/>
  <c r="E795" i="1" s="1"/>
  <c r="A859" i="1" a="1"/>
  <c r="A859" i="1" s="1"/>
  <c r="C859" i="1" s="1" a="1"/>
  <c r="C859" i="1" s="1"/>
  <c r="E859" i="1" s="1"/>
  <c r="A923" i="1" a="1"/>
  <c r="A923" i="1" s="1"/>
  <c r="A978" i="1" a="1"/>
  <c r="A978" i="1" s="1"/>
  <c r="A1035" i="1" a="1"/>
  <c r="A1035" i="1" s="1"/>
  <c r="A1096" i="1" a="1"/>
  <c r="A1096" i="1" s="1"/>
  <c r="A1132" i="1" a="1"/>
  <c r="A1132" i="1" s="1"/>
  <c r="A1146" i="1" a="1"/>
  <c r="A1146" i="1" s="1"/>
  <c r="A1154" i="1" a="1"/>
  <c r="A1154" i="1" s="1"/>
  <c r="A1162" i="1" a="1"/>
  <c r="A1162" i="1" s="1"/>
  <c r="A1170" i="1" a="1"/>
  <c r="A1170" i="1" s="1"/>
  <c r="A1178" i="1" a="1"/>
  <c r="A1178" i="1" s="1"/>
  <c r="A1185" i="1" a="1"/>
  <c r="A1185" i="1" s="1"/>
  <c r="A1192" i="1" a="1"/>
  <c r="A1192" i="1" s="1"/>
  <c r="A1198" i="1" a="1"/>
  <c r="A1198" i="1" s="1"/>
  <c r="A1205" i="1" a="1"/>
  <c r="A1205" i="1" s="1"/>
  <c r="A1213" i="1" a="1"/>
  <c r="A1213" i="1" s="1"/>
  <c r="A1219" i="1" a="1"/>
  <c r="A1219" i="1" s="1"/>
  <c r="A1233" i="1" a="1"/>
  <c r="A1233" i="1" s="1"/>
  <c r="A1240" i="1" a="1"/>
  <c r="A1240" i="1" s="1"/>
  <c r="A1247" i="1" a="1"/>
  <c r="A1247" i="1" s="1"/>
  <c r="A1254" i="1" a="1"/>
  <c r="A1254" i="1" s="1"/>
  <c r="A1261" i="1" a="1"/>
  <c r="A1261" i="1" s="1"/>
  <c r="A1267" i="1" a="1"/>
  <c r="A1267" i="1" s="1"/>
  <c r="A1275" i="1" a="1"/>
  <c r="A1275" i="1" s="1"/>
  <c r="A1282" i="1" a="1"/>
  <c r="A1282" i="1" s="1"/>
  <c r="A1289" i="1" a="1"/>
  <c r="A1289" i="1" s="1"/>
  <c r="A1295" i="1" a="1"/>
  <c r="A1295" i="1" s="1"/>
  <c r="A1301" i="1" a="1"/>
  <c r="A1301" i="1" s="1"/>
  <c r="A1306" i="1" a="1"/>
  <c r="A1306" i="1" s="1"/>
  <c r="A1315" i="1" a="1"/>
  <c r="A1315" i="1" s="1"/>
  <c r="A1324" i="1" a="1"/>
  <c r="A1324" i="1" s="1"/>
  <c r="A1333" i="1" a="1"/>
  <c r="A1333" i="1" s="1"/>
  <c r="A1338" i="1" a="1"/>
  <c r="A1338" i="1" s="1"/>
  <c r="A1347" i="1" a="1"/>
  <c r="A1347" i="1" s="1"/>
  <c r="A1356" i="1" a="1"/>
  <c r="A1356" i="1" s="1"/>
  <c r="A1365" i="1" a="1"/>
  <c r="A1365" i="1" s="1"/>
  <c r="A1370" i="1" a="1"/>
  <c r="A1370" i="1" s="1"/>
  <c r="A1379" i="1" a="1"/>
  <c r="A1379" i="1" s="1"/>
  <c r="A1388" i="1" a="1"/>
  <c r="A1388" i="1" s="1"/>
  <c r="A1397" i="1" a="1"/>
  <c r="A1397" i="1" s="1"/>
  <c r="A1402" i="1" a="1"/>
  <c r="A1402" i="1" s="1"/>
  <c r="A1411" i="1" a="1"/>
  <c r="A1411" i="1" s="1"/>
  <c r="A1420" i="1" a="1"/>
  <c r="A1420" i="1" s="1"/>
  <c r="A1425" i="1" a="1"/>
  <c r="A1425" i="1" s="1"/>
  <c r="A1431" i="1" a="1"/>
  <c r="A1431" i="1" s="1"/>
  <c r="A1436" i="1" a="1"/>
  <c r="A1436" i="1" s="1"/>
  <c r="A1441" i="1" a="1"/>
  <c r="A1441" i="1" s="1"/>
  <c r="A1447" i="1" a="1"/>
  <c r="A1447" i="1" s="1"/>
  <c r="A1452" i="1" a="1"/>
  <c r="A1452" i="1" s="1"/>
  <c r="A1457" i="1" a="1"/>
  <c r="A1457" i="1" s="1"/>
  <c r="A1463" i="1" a="1"/>
  <c r="A1463" i="1" s="1"/>
  <c r="A1468" i="1" a="1"/>
  <c r="A1468" i="1" s="1"/>
  <c r="A1473" i="1" a="1"/>
  <c r="A1473" i="1" s="1"/>
  <c r="A1479" i="1" a="1"/>
  <c r="A1479" i="1" s="1"/>
  <c r="A1484" i="1" a="1"/>
  <c r="A1484" i="1" s="1"/>
  <c r="A1490" i="1" a="1"/>
  <c r="A1490" i="1" s="1"/>
  <c r="A1496" i="1" a="1"/>
  <c r="A1496" i="1" s="1"/>
  <c r="A1501" i="1" a="1"/>
  <c r="A1501" i="1" s="1"/>
  <c r="A1508" i="1" a="1"/>
  <c r="A1508" i="1" s="1"/>
  <c r="A1513" i="1" a="1"/>
  <c r="A1513" i="1" s="1"/>
  <c r="A1519" i="1" a="1"/>
  <c r="A1519" i="1" s="1"/>
  <c r="A1525" i="1" a="1"/>
  <c r="A1525" i="1" s="1"/>
  <c r="A1537" i="1" a="1"/>
  <c r="A1537" i="1" s="1"/>
  <c r="A167" i="1" a="1"/>
  <c r="A167" i="1" s="1"/>
  <c r="C167" i="1" s="1" a="1"/>
  <c r="C167" i="1" s="1"/>
  <c r="E167" i="1" s="1"/>
  <c r="A563" i="1" a="1"/>
  <c r="A563" i="1" s="1"/>
  <c r="C563" i="1" s="1" a="1"/>
  <c r="C563" i="1" s="1"/>
  <c r="E563" i="1" s="1"/>
  <c r="A622" i="1" a="1"/>
  <c r="A622" i="1" s="1"/>
  <c r="C622" i="1" s="1" a="1"/>
  <c r="C622" i="1" s="1"/>
  <c r="D622" i="1" s="1"/>
  <c r="A675" i="1" a="1"/>
  <c r="A675" i="1" s="1"/>
  <c r="A803" i="1" a="1"/>
  <c r="A803" i="1" s="1"/>
  <c r="C803" i="1" s="1" a="1"/>
  <c r="C803" i="1" s="1"/>
  <c r="E803" i="1" s="1"/>
  <c r="A867" i="1" a="1"/>
  <c r="A867" i="1" s="1"/>
  <c r="A931" i="1" a="1"/>
  <c r="A931" i="1" s="1"/>
  <c r="A984" i="1" a="1"/>
  <c r="A984" i="1" s="1"/>
  <c r="A1043" i="1" a="1"/>
  <c r="A1043" i="1" s="1"/>
  <c r="A1104" i="1" a="1"/>
  <c r="A1104" i="1" s="1"/>
  <c r="A1135" i="1" a="1"/>
  <c r="A1135" i="1" s="1"/>
  <c r="A1155" i="1" a="1"/>
  <c r="A1155" i="1" s="1"/>
  <c r="A1163" i="1" a="1"/>
  <c r="A1163" i="1" s="1"/>
  <c r="A1171" i="1" a="1"/>
  <c r="A1171" i="1" s="1"/>
  <c r="A1179" i="1" a="1"/>
  <c r="A1179" i="1" s="1"/>
  <c r="A1186" i="1" a="1"/>
  <c r="A1186" i="1" s="1"/>
  <c r="A1193" i="1" a="1"/>
  <c r="A1193" i="1" s="1"/>
  <c r="A1199" i="1" a="1"/>
  <c r="A1199" i="1" s="1"/>
  <c r="A1206" i="1" a="1"/>
  <c r="A1206" i="1" s="1"/>
  <c r="A1220" i="1" a="1"/>
  <c r="A1220" i="1" s="1"/>
  <c r="A1227" i="1" a="1"/>
  <c r="A1227" i="1" s="1"/>
  <c r="A1234" i="1" a="1"/>
  <c r="A1234" i="1" s="1"/>
  <c r="A1241" i="1" a="1"/>
  <c r="A1241" i="1" s="1"/>
  <c r="A1248" i="1" a="1"/>
  <c r="A1248" i="1" s="1"/>
  <c r="A1255" i="1" a="1"/>
  <c r="A1255" i="1" s="1"/>
  <c r="A1268" i="1" a="1"/>
  <c r="A1268" i="1" s="1"/>
  <c r="A1276" i="1" a="1"/>
  <c r="A1276" i="1" s="1"/>
  <c r="A1290" i="1" a="1"/>
  <c r="A1290" i="1" s="1"/>
  <c r="A1296" i="1" a="1"/>
  <c r="A1296" i="1" s="1"/>
  <c r="A1302" i="1" a="1"/>
  <c r="A1302" i="1" s="1"/>
  <c r="A1311" i="1" a="1"/>
  <c r="A1311" i="1" s="1"/>
  <c r="A1320" i="1" a="1"/>
  <c r="A1320" i="1" s="1"/>
  <c r="A1329" i="1" a="1"/>
  <c r="A1329" i="1" s="1"/>
  <c r="A1334" i="1" a="1"/>
  <c r="A1334" i="1" s="1"/>
  <c r="A1343" i="1" a="1"/>
  <c r="A1343" i="1" s="1"/>
  <c r="A1352" i="1" a="1"/>
  <c r="A1352" i="1" s="1"/>
  <c r="A1361" i="1" a="1"/>
  <c r="A1361" i="1" s="1"/>
  <c r="A1366" i="1" a="1"/>
  <c r="A1366" i="1" s="1"/>
  <c r="A1375" i="1" a="1"/>
  <c r="A1375" i="1" s="1"/>
  <c r="A1384" i="1" a="1"/>
  <c r="A1384" i="1" s="1"/>
  <c r="A1393" i="1" a="1"/>
  <c r="A1393" i="1" s="1"/>
  <c r="A1398" i="1" a="1"/>
  <c r="A1398" i="1" s="1"/>
  <c r="A1407" i="1" a="1"/>
  <c r="A1407" i="1" s="1"/>
  <c r="A1416" i="1" a="1"/>
  <c r="A1416" i="1" s="1"/>
  <c r="A1426" i="1" a="1"/>
  <c r="A1426" i="1" s="1"/>
  <c r="A1442" i="1" a="1"/>
  <c r="A1442" i="1" s="1"/>
  <c r="A1458" i="1" a="1"/>
  <c r="A1458" i="1" s="1"/>
  <c r="A1474" i="1" a="1"/>
  <c r="A1474" i="1" s="1"/>
  <c r="A1491" i="1" a="1"/>
  <c r="A1491" i="1" s="1"/>
  <c r="A1502" i="1" a="1"/>
  <c r="A1502" i="1" s="1"/>
  <c r="A1514" i="1" a="1"/>
  <c r="A1514" i="1" s="1"/>
  <c r="A1520" i="1" a="1"/>
  <c r="A1520" i="1" s="1"/>
  <c r="A1526" i="1" a="1"/>
  <c r="A1526" i="1" s="1"/>
  <c r="A1532" i="1" a="1"/>
  <c r="A1532" i="1" s="1"/>
  <c r="A1538" i="1" a="1"/>
  <c r="A1538" i="1" s="1"/>
  <c r="A1550" i="1" a="1"/>
  <c r="A1550" i="1" s="1"/>
  <c r="A1563" i="1" a="1"/>
  <c r="A1563" i="1" s="1"/>
  <c r="A571" i="1" a="1"/>
  <c r="A571" i="1" s="1"/>
  <c r="C571" i="1" s="1" a="1"/>
  <c r="C571" i="1" s="1"/>
  <c r="E571" i="1" s="1"/>
  <c r="A629" i="1" a="1"/>
  <c r="A629" i="1" s="1"/>
  <c r="A683" i="1" a="1"/>
  <c r="A683" i="1" s="1"/>
  <c r="A747" i="1" a="1"/>
  <c r="A747" i="1" s="1"/>
  <c r="C747" i="1" s="1" a="1"/>
  <c r="C747" i="1" s="1"/>
  <c r="E747" i="1" s="1"/>
  <c r="A811" i="1" a="1"/>
  <c r="A811" i="1" s="1"/>
  <c r="A875" i="1" a="1"/>
  <c r="A875" i="1" s="1"/>
  <c r="A939" i="1" a="1"/>
  <c r="A939" i="1" s="1"/>
  <c r="A991" i="1" a="1"/>
  <c r="A991" i="1" s="1"/>
  <c r="A1112" i="1" a="1"/>
  <c r="A1112" i="1" s="1"/>
  <c r="A1138" i="1" a="1"/>
  <c r="A1138" i="1" s="1"/>
  <c r="A1147" i="1" a="1"/>
  <c r="A1147" i="1" s="1"/>
  <c r="A1156" i="1" a="1"/>
  <c r="A1156" i="1" s="1"/>
  <c r="A1164" i="1" a="1"/>
  <c r="A1164" i="1" s="1"/>
  <c r="A1172" i="1" a="1"/>
  <c r="A1172" i="1" s="1"/>
  <c r="A1180" i="1" a="1"/>
  <c r="A1180" i="1" s="1"/>
  <c r="A1194" i="1" a="1"/>
  <c r="A1194" i="1" s="1"/>
  <c r="A1200" i="1" a="1"/>
  <c r="A1200" i="1" s="1"/>
  <c r="A1207" i="1" a="1"/>
  <c r="A1207" i="1" s="1"/>
  <c r="A1214" i="1" a="1"/>
  <c r="A1214" i="1" s="1"/>
  <c r="A1221" i="1" a="1"/>
  <c r="A1221" i="1" s="1"/>
  <c r="A1228" i="1" a="1"/>
  <c r="A1228" i="1" s="1"/>
  <c r="A1242" i="1" a="1"/>
  <c r="A1242" i="1" s="1"/>
  <c r="A1249" i="1" a="1"/>
  <c r="A1249" i="1" s="1"/>
  <c r="A1256" i="1" a="1"/>
  <c r="A1256" i="1" s="1"/>
  <c r="A1262" i="1" a="1"/>
  <c r="A1262" i="1" s="1"/>
  <c r="A1269" i="1" a="1"/>
  <c r="A1269" i="1" s="1"/>
  <c r="A1277" i="1" a="1"/>
  <c r="A1277" i="1" s="1"/>
  <c r="A1283" i="1" a="1"/>
  <c r="A1283" i="1" s="1"/>
  <c r="A1297" i="1" a="1"/>
  <c r="A1297" i="1" s="1"/>
  <c r="A1307" i="1" a="1"/>
  <c r="A1307" i="1" s="1"/>
  <c r="A1316" i="1" a="1"/>
  <c r="A1316" i="1" s="1"/>
  <c r="A1325" i="1" a="1"/>
  <c r="A1325" i="1" s="1"/>
  <c r="A1330" i="1" a="1"/>
  <c r="A1330" i="1" s="1"/>
  <c r="A1339" i="1" a="1"/>
  <c r="A1339" i="1" s="1"/>
  <c r="A1348" i="1" a="1"/>
  <c r="A1348" i="1" s="1"/>
  <c r="A1357" i="1" a="1"/>
  <c r="A1357" i="1" s="1"/>
  <c r="A1362" i="1" a="1"/>
  <c r="A1362" i="1" s="1"/>
  <c r="A1371" i="1" a="1"/>
  <c r="A1371" i="1" s="1"/>
  <c r="A1380" i="1" a="1"/>
  <c r="A1380" i="1" s="1"/>
  <c r="A1389" i="1" a="1"/>
  <c r="A1389" i="1" s="1"/>
  <c r="A1394" i="1" a="1"/>
  <c r="A1394" i="1" s="1"/>
  <c r="A1403" i="1" a="1"/>
  <c r="A1403" i="1" s="1"/>
  <c r="A1412" i="1" a="1"/>
  <c r="A1412" i="1" s="1"/>
  <c r="A1421" i="1" a="1"/>
  <c r="A1421" i="1" s="1"/>
  <c r="A1427" i="1" a="1"/>
  <c r="A1427" i="1" s="1"/>
  <c r="A1432" i="1" a="1"/>
  <c r="A1432" i="1" s="1"/>
  <c r="A1437" i="1" a="1"/>
  <c r="A1437" i="1" s="1"/>
  <c r="A1443" i="1" a="1"/>
  <c r="A1443" i="1" s="1"/>
  <c r="A1448" i="1" a="1"/>
  <c r="A1448" i="1" s="1"/>
  <c r="A1453" i="1" a="1"/>
  <c r="A1453" i="1" s="1"/>
  <c r="A1459" i="1" a="1"/>
  <c r="A1459" i="1" s="1"/>
  <c r="A1464" i="1" a="1"/>
  <c r="A1464" i="1" s="1"/>
  <c r="A1469" i="1" a="1"/>
  <c r="A1469" i="1" s="1"/>
  <c r="A1475" i="1" a="1"/>
  <c r="A1475" i="1" s="1"/>
  <c r="A1480" i="1" a="1"/>
  <c r="A1480" i="1" s="1"/>
  <c r="A1485" i="1" a="1"/>
  <c r="A1485" i="1" s="1"/>
  <c r="A1492" i="1" a="1"/>
  <c r="A1492" i="1" s="1"/>
  <c r="A1497" i="1" a="1"/>
  <c r="A1497" i="1" s="1"/>
  <c r="A1503" i="1" a="1"/>
  <c r="A1503" i="1" s="1"/>
  <c r="A1509" i="1" a="1"/>
  <c r="A1509" i="1" s="1"/>
  <c r="A1515" i="1" a="1"/>
  <c r="A1515" i="1" s="1"/>
  <c r="A1527" i="1" a="1"/>
  <c r="A1527" i="1" s="1"/>
  <c r="A1539" i="1" a="1"/>
  <c r="A1539" i="1" s="1"/>
  <c r="A1545" i="1" a="1"/>
  <c r="A1545" i="1" s="1"/>
  <c r="A1551" i="1" a="1"/>
  <c r="A1551" i="1" s="1"/>
  <c r="A286" i="1" a="1"/>
  <c r="A286" i="1" s="1"/>
  <c r="C286" i="1" s="1" a="1"/>
  <c r="C286" i="1" s="1"/>
  <c r="E286" i="1" s="1"/>
  <c r="A579" i="1" a="1"/>
  <c r="A579" i="1" s="1"/>
  <c r="C579" i="1" s="1" a="1"/>
  <c r="C579" i="1" s="1"/>
  <c r="E579" i="1" s="1"/>
  <c r="A637" i="1" a="1"/>
  <c r="A637" i="1" s="1"/>
  <c r="C637" i="1" s="1" a="1"/>
  <c r="C637" i="1" s="1"/>
  <c r="D637" i="1" s="1"/>
  <c r="A755" i="1" a="1"/>
  <c r="A755" i="1" s="1"/>
  <c r="A819" i="1" a="1"/>
  <c r="A819" i="1" s="1"/>
  <c r="C819" i="1" s="1" a="1"/>
  <c r="C819" i="1" s="1"/>
  <c r="E819" i="1" s="1"/>
  <c r="A883" i="1" a="1"/>
  <c r="A883" i="1" s="1"/>
  <c r="A946" i="1" a="1"/>
  <c r="A946" i="1" s="1"/>
  <c r="A1058" i="1" a="1"/>
  <c r="A1058" i="1" s="1"/>
  <c r="A1117" i="1" a="1"/>
  <c r="A1117" i="1" s="1"/>
  <c r="A1139" i="1" a="1"/>
  <c r="A1139" i="1" s="1"/>
  <c r="A1149" i="1" a="1"/>
  <c r="A1149" i="1" s="1"/>
  <c r="A1157" i="1" a="1"/>
  <c r="A1157" i="1" s="1"/>
  <c r="A1165" i="1" a="1"/>
  <c r="A1165" i="1" s="1"/>
  <c r="A1173" i="1" a="1"/>
  <c r="A1173" i="1" s="1"/>
  <c r="A1181" i="1" a="1"/>
  <c r="A1181" i="1" s="1"/>
  <c r="A1187" i="1" a="1"/>
  <c r="A1187" i="1" s="1"/>
  <c r="A1201" i="1" a="1"/>
  <c r="A1201" i="1" s="1"/>
  <c r="A1208" i="1" a="1"/>
  <c r="A1208" i="1" s="1"/>
  <c r="A1215" i="1" a="1"/>
  <c r="A1215" i="1" s="1"/>
  <c r="A1222" i="1" a="1"/>
  <c r="A1222" i="1" s="1"/>
  <c r="A1229" i="1" a="1"/>
  <c r="A1229" i="1" s="1"/>
  <c r="A1235" i="1" a="1"/>
  <c r="A1235" i="1" s="1"/>
  <c r="A1243" i="1" a="1"/>
  <c r="A1243" i="1" s="1"/>
  <c r="A1250" i="1" a="1"/>
  <c r="A1250" i="1" s="1"/>
  <c r="A1257" i="1" a="1"/>
  <c r="A1257" i="1" s="1"/>
  <c r="A1263" i="1" a="1"/>
  <c r="A1263" i="1" s="1"/>
  <c r="A1270" i="1" a="1"/>
  <c r="A1270" i="1" s="1"/>
  <c r="A1284" i="1" a="1"/>
  <c r="A1284" i="1" s="1"/>
  <c r="A1291" i="1" a="1"/>
  <c r="A1291" i="1" s="1"/>
  <c r="A1298" i="1" a="1"/>
  <c r="A1298" i="1" s="1"/>
  <c r="A1303" i="1" a="1"/>
  <c r="A1303" i="1" s="1"/>
  <c r="A1312" i="1" a="1"/>
  <c r="A1312" i="1" s="1"/>
  <c r="A1321" i="1" a="1"/>
  <c r="A1321" i="1" s="1"/>
  <c r="A1326" i="1" a="1"/>
  <c r="A1326" i="1" s="1"/>
  <c r="A1335" i="1" a="1"/>
  <c r="A1335" i="1" s="1"/>
  <c r="A1344" i="1" a="1"/>
  <c r="A1344" i="1" s="1"/>
  <c r="A1353" i="1" a="1"/>
  <c r="A1353" i="1" s="1"/>
  <c r="A1358" i="1" a="1"/>
  <c r="A1358" i="1" s="1"/>
  <c r="A1367" i="1" a="1"/>
  <c r="A1367" i="1" s="1"/>
  <c r="A1376" i="1" a="1"/>
  <c r="A1376" i="1" s="1"/>
  <c r="A1385" i="1" a="1"/>
  <c r="A1385" i="1" s="1"/>
  <c r="A1390" i="1" a="1"/>
  <c r="A1390" i="1" s="1"/>
  <c r="A1399" i="1" a="1"/>
  <c r="A1399" i="1" s="1"/>
  <c r="A1408" i="1" a="1"/>
  <c r="A1408" i="1" s="1"/>
  <c r="A1417" i="1" a="1"/>
  <c r="A1417" i="1" s="1"/>
  <c r="A1422" i="1" a="1"/>
  <c r="A1422" i="1" s="1"/>
  <c r="A1438" i="1" a="1"/>
  <c r="A1438" i="1" s="1"/>
  <c r="A1454" i="1" a="1"/>
  <c r="A1454" i="1" s="1"/>
  <c r="A1470" i="1" a="1"/>
  <c r="A1470" i="1" s="1"/>
  <c r="A1486" i="1" a="1"/>
  <c r="A1486" i="1" s="1"/>
  <c r="A1498" i="1" a="1"/>
  <c r="A1498" i="1" s="1"/>
  <c r="A1504" i="1" a="1"/>
  <c r="A1504" i="1" s="1"/>
  <c r="A1510" i="1" a="1"/>
  <c r="A1510" i="1" s="1"/>
  <c r="A1521" i="1" a="1"/>
  <c r="A1521" i="1" s="1"/>
  <c r="A1528" i="1" a="1"/>
  <c r="A1528" i="1" s="1"/>
  <c r="A1533" i="1" a="1"/>
  <c r="A1533" i="1" s="1"/>
  <c r="A1540" i="1" a="1"/>
  <c r="A1540" i="1" s="1"/>
  <c r="A1546" i="1" a="1"/>
  <c r="A1546" i="1" s="1"/>
  <c r="A1552" i="1" a="1"/>
  <c r="A1552" i="1" s="1"/>
  <c r="A1558" i="1" a="1"/>
  <c r="A1558" i="1" s="1"/>
  <c r="A398" i="1" a="1"/>
  <c r="A398" i="1" s="1"/>
  <c r="C398" i="1" s="1" a="1"/>
  <c r="C398" i="1" s="1"/>
  <c r="E398" i="1" s="1"/>
  <c r="A593" i="1" a="1"/>
  <c r="A593" i="1" s="1"/>
  <c r="A771" i="1" a="1"/>
  <c r="A771" i="1" s="1"/>
  <c r="A835" i="1" a="1"/>
  <c r="A835" i="1" s="1"/>
  <c r="A899" i="1" a="1"/>
  <c r="A899" i="1" s="1"/>
  <c r="A958" i="1" a="1"/>
  <c r="A958" i="1" s="1"/>
  <c r="A1013" i="1" a="1"/>
  <c r="A1013" i="1" s="1"/>
  <c r="A1073" i="1" a="1"/>
  <c r="A1073" i="1" s="1"/>
  <c r="A1125" i="1" a="1"/>
  <c r="A1125" i="1" s="1"/>
  <c r="A1143" i="1" a="1"/>
  <c r="A1143" i="1" s="1"/>
  <c r="A1151" i="1" a="1"/>
  <c r="A1151" i="1" s="1"/>
  <c r="A1159" i="1" a="1"/>
  <c r="A1159" i="1" s="1"/>
  <c r="A1167" i="1" a="1"/>
  <c r="A1167" i="1" s="1"/>
  <c r="A1175" i="1" a="1"/>
  <c r="A1175" i="1" s="1"/>
  <c r="A1182" i="1" a="1"/>
  <c r="A1182" i="1" s="1"/>
  <c r="A1189" i="1" a="1"/>
  <c r="A1189" i="1" s="1"/>
  <c r="A1196" i="1" a="1"/>
  <c r="A1196" i="1" s="1"/>
  <c r="A1210" i="1" a="1"/>
  <c r="A1210" i="1" s="1"/>
  <c r="A1217" i="1" a="1"/>
  <c r="A1217" i="1" s="1"/>
  <c r="A1224" i="1" a="1"/>
  <c r="A1224" i="1" s="1"/>
  <c r="A1230" i="1" a="1"/>
  <c r="A1230" i="1" s="1"/>
  <c r="A1237" i="1" a="1"/>
  <c r="A1237" i="1" s="1"/>
  <c r="A1245" i="1" a="1"/>
  <c r="A1245" i="1" s="1"/>
  <c r="A1251" i="1" a="1"/>
  <c r="A1251" i="1" s="1"/>
  <c r="A1265" i="1" a="1"/>
  <c r="A1265" i="1" s="1"/>
  <c r="A1272" i="1" a="1"/>
  <c r="A1272" i="1" s="1"/>
  <c r="A1279" i="1" a="1"/>
  <c r="A1279" i="1" s="1"/>
  <c r="A1286" i="1" a="1"/>
  <c r="A1286" i="1" s="1"/>
  <c r="A1293" i="1" a="1"/>
  <c r="A1293" i="1" s="1"/>
  <c r="A1299" i="1" a="1"/>
  <c r="A1299" i="1" s="1"/>
  <c r="A1304" i="1" a="1"/>
  <c r="A1304" i="1" s="1"/>
  <c r="A1313" i="1" a="1"/>
  <c r="A1313" i="1" s="1"/>
  <c r="A1318" i="1" a="1"/>
  <c r="A1318" i="1" s="1"/>
  <c r="A1327" i="1" a="1"/>
  <c r="A1327" i="1" s="1"/>
  <c r="A1336" i="1" a="1"/>
  <c r="A1336" i="1" s="1"/>
  <c r="A1345" i="1" a="1"/>
  <c r="A1345" i="1" s="1"/>
  <c r="A1350" i="1" a="1"/>
  <c r="A1350" i="1" s="1"/>
  <c r="A1359" i="1" a="1"/>
  <c r="A1359" i="1" s="1"/>
  <c r="A1368" i="1" a="1"/>
  <c r="A1368" i="1" s="1"/>
  <c r="A1377" i="1" a="1"/>
  <c r="A1377" i="1" s="1"/>
  <c r="A1382" i="1" a="1"/>
  <c r="A1382" i="1" s="1"/>
  <c r="A1391" i="1" a="1"/>
  <c r="A1391" i="1" s="1"/>
  <c r="A1400" i="1" a="1"/>
  <c r="A1400" i="1" s="1"/>
  <c r="A1409" i="1" a="1"/>
  <c r="A1409" i="1" s="1"/>
  <c r="A1414" i="1" a="1"/>
  <c r="A1414" i="1" s="1"/>
  <c r="A1434" i="1" a="1"/>
  <c r="A1434" i="1" s="1"/>
  <c r="A1450" i="1" a="1"/>
  <c r="A1450" i="1" s="1"/>
  <c r="A1466" i="1" a="1"/>
  <c r="A1466" i="1" s="1"/>
  <c r="A1482" i="1" a="1"/>
  <c r="A1482" i="1" s="1"/>
  <c r="A1488" i="1" a="1"/>
  <c r="A1488" i="1" s="1"/>
  <c r="A1494" i="1" a="1"/>
  <c r="A1494" i="1" s="1"/>
  <c r="A1505" i="1" a="1"/>
  <c r="A1505" i="1" s="1"/>
  <c r="A1523" i="1" a="1"/>
  <c r="A1523" i="1" s="1"/>
  <c r="A1529" i="1" a="1"/>
  <c r="A1529" i="1" s="1"/>
  <c r="A1535" i="1" a="1"/>
  <c r="A1535" i="1" s="1"/>
  <c r="A1541" i="1" a="1"/>
  <c r="A1541" i="1" s="1"/>
  <c r="A1553" i="1" a="1"/>
  <c r="A1553" i="1" s="1"/>
  <c r="A1560" i="1" a="1"/>
  <c r="A1560" i="1" s="1"/>
  <c r="A345" i="1" a="1"/>
  <c r="A345" i="1" s="1"/>
  <c r="C345" i="1" s="1" a="1"/>
  <c r="C345" i="1" s="1"/>
  <c r="D345" i="1" s="1"/>
  <c r="A1005" i="1" a="1"/>
  <c r="A1005" i="1" s="1"/>
  <c r="A1236" i="1" a="1"/>
  <c r="A1236" i="1" s="1"/>
  <c r="A1292" i="1" a="1"/>
  <c r="A1292" i="1" s="1"/>
  <c r="A1331" i="1" a="1"/>
  <c r="A1331" i="1" s="1"/>
  <c r="A1404" i="1" a="1"/>
  <c r="A1404" i="1" s="1"/>
  <c r="A1444" i="1" a="1"/>
  <c r="A1444" i="1" s="1"/>
  <c r="A1487" i="1" a="1"/>
  <c r="A1487" i="1" s="1"/>
  <c r="A1534" i="1" a="1"/>
  <c r="A1534" i="1" s="1"/>
  <c r="A1559" i="1" a="1"/>
  <c r="A1559" i="1" s="1"/>
  <c r="A1575" i="1" a="1"/>
  <c r="A1575" i="1" s="1"/>
  <c r="A1587" i="1" a="1"/>
  <c r="A1587" i="1" s="1"/>
  <c r="A1593" i="1" a="1"/>
  <c r="A1593" i="1" s="1"/>
  <c r="A1599" i="1" a="1"/>
  <c r="A1599" i="1" s="1"/>
  <c r="A1605" i="1" a="1"/>
  <c r="A1605" i="1" s="1"/>
  <c r="A1611" i="1" a="1"/>
  <c r="A1611" i="1" s="1"/>
  <c r="A1616" i="1" a="1"/>
  <c r="A1616" i="1" s="1"/>
  <c r="A1626" i="1" a="1"/>
  <c r="A1626" i="1" s="1"/>
  <c r="A1646" i="1" a="1"/>
  <c r="A1646" i="1" s="1"/>
  <c r="A1655" i="1" a="1"/>
  <c r="A1655" i="1" s="1"/>
  <c r="A1660" i="1" a="1"/>
  <c r="A1660" i="1" s="1"/>
  <c r="A1665" i="1" a="1"/>
  <c r="A1665" i="1" s="1"/>
  <c r="A1670" i="1" a="1"/>
  <c r="A1670" i="1" s="1"/>
  <c r="A1675" i="1" a="1"/>
  <c r="A1675" i="1" s="1"/>
  <c r="A1680" i="1" a="1"/>
  <c r="A1680" i="1" s="1"/>
  <c r="A1690" i="1" a="1"/>
  <c r="A1690" i="1" s="1"/>
  <c r="A1710" i="1" a="1"/>
  <c r="A1710" i="1" s="1"/>
  <c r="A1719" i="1" a="1"/>
  <c r="A1719" i="1" s="1"/>
  <c r="A1724" i="1" a="1"/>
  <c r="A1724" i="1" s="1"/>
  <c r="A1729" i="1" a="1"/>
  <c r="A1729" i="1" s="1"/>
  <c r="A1734" i="1" a="1"/>
  <c r="A1734" i="1" s="1"/>
  <c r="A1739" i="1" a="1"/>
  <c r="A1739" i="1" s="1"/>
  <c r="A1744" i="1" a="1"/>
  <c r="A1744" i="1" s="1"/>
  <c r="A1754" i="1" a="1"/>
  <c r="A1754" i="1" s="1"/>
  <c r="A1759" i="1" a="1"/>
  <c r="A1759" i="1" s="1"/>
  <c r="A1770" i="1" a="1"/>
  <c r="A1770" i="1" s="1"/>
  <c r="A1781" i="1" a="1"/>
  <c r="A1781" i="1" s="1"/>
  <c r="A1787" i="1" a="1"/>
  <c r="A1787" i="1" s="1"/>
  <c r="A1793" i="1" a="1"/>
  <c r="A1793" i="1" s="1"/>
  <c r="A1821" i="1" a="1"/>
  <c r="A1821" i="1" s="1"/>
  <c r="A1828" i="1" a="1"/>
  <c r="A1828" i="1" s="1"/>
  <c r="A1834" i="1" a="1"/>
  <c r="A1834" i="1" s="1"/>
  <c r="A1845" i="1" a="1"/>
  <c r="A1845" i="1" s="1"/>
  <c r="A1851" i="1" a="1"/>
  <c r="A1851" i="1" s="1"/>
  <c r="A1857" i="1" a="1"/>
  <c r="A1857" i="1" s="1"/>
  <c r="A1885" i="1" a="1"/>
  <c r="A1885" i="1" s="1"/>
  <c r="A1892" i="1" a="1"/>
  <c r="A1892" i="1" s="1"/>
  <c r="A1898" i="1" a="1"/>
  <c r="A1898" i="1" s="1"/>
  <c r="A1909" i="1" a="1"/>
  <c r="A1909" i="1" s="1"/>
  <c r="A1915" i="1" a="1"/>
  <c r="A1915" i="1" s="1"/>
  <c r="A1921" i="1" a="1"/>
  <c r="A1921" i="1" s="1"/>
  <c r="A1949" i="1" a="1"/>
  <c r="A1949" i="1" s="1"/>
  <c r="A1956" i="1" a="1"/>
  <c r="A1956" i="1" s="1"/>
  <c r="A1962" i="1" a="1"/>
  <c r="A1962" i="1" s="1"/>
  <c r="A1973" i="1" a="1"/>
  <c r="A1973" i="1" s="1"/>
  <c r="A1979" i="1" a="1"/>
  <c r="A1979" i="1" s="1"/>
  <c r="A1988" i="1" a="1"/>
  <c r="A1988" i="1" s="1"/>
  <c r="A1994" i="1" a="1"/>
  <c r="A1994" i="1" s="1"/>
  <c r="A1999" i="1" a="1"/>
  <c r="A1999" i="1" s="1"/>
  <c r="A2004" i="1" a="1"/>
  <c r="A2004" i="1" s="1"/>
  <c r="A2010" i="1" a="1"/>
  <c r="A2010" i="1" s="1"/>
  <c r="A2015" i="1" a="1"/>
  <c r="A2015" i="1" s="1"/>
  <c r="A2020" i="1" a="1"/>
  <c r="A2020" i="1" s="1"/>
  <c r="A2026" i="1" a="1"/>
  <c r="A2026" i="1" s="1"/>
  <c r="A2031" i="1" a="1"/>
  <c r="A2031" i="1" s="1"/>
  <c r="A2036" i="1" a="1"/>
  <c r="A2036" i="1" s="1"/>
  <c r="A2042" i="1" a="1"/>
  <c r="A2042" i="1" s="1"/>
  <c r="A2047" i="1" a="1"/>
  <c r="A2047" i="1" s="1"/>
  <c r="A2053" i="1" a="1"/>
  <c r="A2053" i="1" s="1"/>
  <c r="A2059" i="1" a="1"/>
  <c r="A2059" i="1" s="1"/>
  <c r="A2066" i="1" a="1"/>
  <c r="A2066" i="1" s="1"/>
  <c r="A2072" i="1" a="1"/>
  <c r="A2072" i="1" s="1"/>
  <c r="A2085" i="1" a="1"/>
  <c r="A2085" i="1" s="1"/>
  <c r="A2091" i="1" a="1"/>
  <c r="A2091" i="1" s="1"/>
  <c r="A2098" i="1" a="1"/>
  <c r="A2098" i="1" s="1"/>
  <c r="A2104" i="1" a="1"/>
  <c r="A2104" i="1" s="1"/>
  <c r="A2112" i="1" a="1"/>
  <c r="A2112" i="1" s="1"/>
  <c r="A2119" i="1" a="1"/>
  <c r="A2119" i="1" s="1"/>
  <c r="A2133" i="1" a="1"/>
  <c r="A2133" i="1" s="1"/>
  <c r="A2141" i="1" a="1"/>
  <c r="A2141" i="1" s="1"/>
  <c r="A2148" i="1" a="1"/>
  <c r="A2148" i="1" s="1"/>
  <c r="A2156" i="1" a="1"/>
  <c r="A2156" i="1" s="1"/>
  <c r="A2170" i="1" a="1"/>
  <c r="A2170" i="1" s="1"/>
  <c r="A2178" i="1" a="1"/>
  <c r="A2178" i="1" s="1"/>
  <c r="A2184" i="1" a="1"/>
  <c r="A2184" i="1" s="1"/>
  <c r="A2191" i="1" a="1"/>
  <c r="A2191" i="1" s="1"/>
  <c r="A2198" i="1" a="1"/>
  <c r="A2198" i="1" s="1"/>
  <c r="A2206" i="1" a="1"/>
  <c r="A2206" i="1" s="1"/>
  <c r="A2213" i="1" a="1"/>
  <c r="A2213" i="1" s="1"/>
  <c r="A2221" i="1" a="1"/>
  <c r="A2221" i="1" s="1"/>
  <c r="A2227" i="1" a="1"/>
  <c r="A2227" i="1" s="1"/>
  <c r="A2235" i="1" a="1"/>
  <c r="A2235" i="1" s="1"/>
  <c r="A2249" i="1" a="1"/>
  <c r="A2249" i="1" s="1"/>
  <c r="A2256" i="1" a="1"/>
  <c r="A2256" i="1" s="1"/>
  <c r="A2263" i="1" a="1"/>
  <c r="A2263" i="1" s="1"/>
  <c r="A2271" i="1" a="1"/>
  <c r="A2271" i="1" s="1"/>
  <c r="A2278" i="1" a="1"/>
  <c r="A2278" i="1" s="1"/>
  <c r="A2285" i="1" a="1"/>
  <c r="A2285" i="1" s="1"/>
  <c r="A2291" i="1" a="1"/>
  <c r="A2291" i="1" s="1"/>
  <c r="A2299" i="1" a="1"/>
  <c r="A2299" i="1" s="1"/>
  <c r="A2313" i="1" a="1"/>
  <c r="A2313" i="1" s="1"/>
  <c r="A2320" i="1" a="1"/>
  <c r="A2320" i="1" s="1"/>
  <c r="A2327" i="1" a="1"/>
  <c r="A2327" i="1" s="1"/>
  <c r="A2335" i="1" a="1"/>
  <c r="A2335" i="1" s="1"/>
  <c r="A2342" i="1" a="1"/>
  <c r="A2342" i="1" s="1"/>
  <c r="A2349" i="1" a="1"/>
  <c r="A2349" i="1" s="1"/>
  <c r="A2355" i="1" a="1"/>
  <c r="A2355" i="1" s="1"/>
  <c r="A2363" i="1" a="1"/>
  <c r="A2363" i="1" s="1"/>
  <c r="A2377" i="1" a="1"/>
  <c r="A2377" i="1" s="1"/>
  <c r="A2384" i="1" a="1"/>
  <c r="A2384" i="1" s="1"/>
  <c r="A2391" i="1" a="1"/>
  <c r="A2391" i="1" s="1"/>
  <c r="A2399" i="1" a="1"/>
  <c r="A2399" i="1" s="1"/>
  <c r="A2406" i="1" a="1"/>
  <c r="A2406" i="1" s="1"/>
  <c r="A2413" i="1" a="1"/>
  <c r="A2413" i="1" s="1"/>
  <c r="A2419" i="1" a="1"/>
  <c r="A2419" i="1" s="1"/>
  <c r="A2427" i="1" a="1"/>
  <c r="A2427" i="1" s="1"/>
  <c r="A2435" i="1" a="1"/>
  <c r="A2435" i="1" s="1"/>
  <c r="A2442" i="1" a="1"/>
  <c r="A2442" i="1" s="1"/>
  <c r="A2449" i="1" a="1"/>
  <c r="A2449" i="1" s="1"/>
  <c r="A2456" i="1" a="1"/>
  <c r="A2456" i="1" s="1"/>
  <c r="A2464" i="1" a="1"/>
  <c r="A2464" i="1" s="1"/>
  <c r="A2471" i="1" a="1"/>
  <c r="A2471" i="1" s="1"/>
  <c r="A2485" i="1" a="1"/>
  <c r="A2485" i="1" s="1"/>
  <c r="A2493" i="1" a="1"/>
  <c r="A2493" i="1" s="1"/>
  <c r="A2501" i="1" a="1"/>
  <c r="A2501" i="1" s="1"/>
  <c r="A2508" i="1" a="1"/>
  <c r="A2508" i="1" s="1"/>
  <c r="A2515" i="1" a="1"/>
  <c r="A2515" i="1" s="1"/>
  <c r="A2522" i="1" a="1"/>
  <c r="A2522" i="1" s="1"/>
  <c r="A2536" i="1" a="1"/>
  <c r="A2536" i="1" s="1"/>
  <c r="A585" i="1" a="1"/>
  <c r="A585" i="1" s="1"/>
  <c r="C585" i="1" s="1" a="1"/>
  <c r="C585" i="1" s="1"/>
  <c r="E585" i="1" s="1"/>
  <c r="A1065" i="1" a="1"/>
  <c r="A1065" i="1" s="1"/>
  <c r="A1188" i="1" a="1"/>
  <c r="A1188" i="1" s="1"/>
  <c r="A1244" i="1" a="1"/>
  <c r="A1244" i="1" s="1"/>
  <c r="A1372" i="1" a="1"/>
  <c r="A1372" i="1" s="1"/>
  <c r="A1449" i="1" a="1"/>
  <c r="A1449" i="1" s="1"/>
  <c r="A1493" i="1" a="1"/>
  <c r="A1493" i="1" s="1"/>
  <c r="A1562" i="1" a="1"/>
  <c r="A1562" i="1" s="1"/>
  <c r="A1569" i="1" a="1"/>
  <c r="A1569" i="1" s="1"/>
  <c r="A1576" i="1" a="1"/>
  <c r="A1576" i="1" s="1"/>
  <c r="A1581" i="1" a="1"/>
  <c r="A1581" i="1" s="1"/>
  <c r="A1588" i="1" a="1"/>
  <c r="A1588" i="1" s="1"/>
  <c r="A1594" i="1" a="1"/>
  <c r="A1594" i="1" s="1"/>
  <c r="A1600" i="1" a="1"/>
  <c r="A1600" i="1" s="1"/>
  <c r="A1606" i="1" a="1"/>
  <c r="A1606" i="1" s="1"/>
  <c r="A1612" i="1" a="1"/>
  <c r="A1612" i="1" s="1"/>
  <c r="A1621" i="1" a="1"/>
  <c r="A1621" i="1" s="1"/>
  <c r="A1631" i="1" a="1"/>
  <c r="A1631" i="1" s="1"/>
  <c r="A1636" i="1" a="1"/>
  <c r="A1636" i="1" s="1"/>
  <c r="A1641" i="1" a="1"/>
  <c r="A1641" i="1" s="1"/>
  <c r="A1651" i="1" a="1"/>
  <c r="A1651" i="1" s="1"/>
  <c r="A1656" i="1" a="1"/>
  <c r="A1656" i="1" s="1"/>
  <c r="A1666" i="1" a="1"/>
  <c r="A1666" i="1" s="1"/>
  <c r="A1676" i="1" a="1"/>
  <c r="A1676" i="1" s="1"/>
  <c r="A1685" i="1" a="1"/>
  <c r="A1685" i="1" s="1"/>
  <c r="A1695" i="1" a="1"/>
  <c r="A1695" i="1" s="1"/>
  <c r="A1700" i="1" a="1"/>
  <c r="A1700" i="1" s="1"/>
  <c r="A1705" i="1" a="1"/>
  <c r="A1705" i="1" s="1"/>
  <c r="A1715" i="1" a="1"/>
  <c r="A1715" i="1" s="1"/>
  <c r="A1720" i="1" a="1"/>
  <c r="A1720" i="1" s="1"/>
  <c r="A1730" i="1" a="1"/>
  <c r="A1730" i="1" s="1"/>
  <c r="A1740" i="1" a="1"/>
  <c r="A1740" i="1" s="1"/>
  <c r="A1749" i="1" a="1"/>
  <c r="A1749" i="1" s="1"/>
  <c r="A1760" i="1" a="1"/>
  <c r="A1760" i="1" s="1"/>
  <c r="A1765" i="1" a="1"/>
  <c r="A1765" i="1" s="1"/>
  <c r="A1776" i="1" a="1"/>
  <c r="A1776" i="1" s="1"/>
  <c r="A1782" i="1" a="1"/>
  <c r="A1782" i="1" s="1"/>
  <c r="A1794" i="1" a="1"/>
  <c r="A1794" i="1" s="1"/>
  <c r="A1799" i="1" a="1"/>
  <c r="A1799" i="1" s="1"/>
  <c r="A1805" i="1" a="1"/>
  <c r="A1805" i="1" s="1"/>
  <c r="A1811" i="1" a="1"/>
  <c r="A1811" i="1" s="1"/>
  <c r="A1817" i="1" a="1"/>
  <c r="A1817" i="1" s="1"/>
  <c r="A1822" i="1" a="1"/>
  <c r="A1822" i="1" s="1"/>
  <c r="A1840" i="1" a="1"/>
  <c r="A1840" i="1" s="1"/>
  <c r="A1846" i="1" a="1"/>
  <c r="A1846" i="1" s="1"/>
  <c r="A1858" i="1" a="1"/>
  <c r="A1858" i="1" s="1"/>
  <c r="A1863" i="1" a="1"/>
  <c r="A1863" i="1" s="1"/>
  <c r="A1869" i="1" a="1"/>
  <c r="A1869" i="1" s="1"/>
  <c r="A1875" i="1" a="1"/>
  <c r="A1875" i="1" s="1"/>
  <c r="A1881" i="1" a="1"/>
  <c r="A1881" i="1" s="1"/>
  <c r="A1886" i="1" a="1"/>
  <c r="A1886" i="1" s="1"/>
  <c r="A1904" i="1" a="1"/>
  <c r="A1904" i="1" s="1"/>
  <c r="A1910" i="1" a="1"/>
  <c r="A1910" i="1" s="1"/>
  <c r="A1922" i="1" a="1"/>
  <c r="A1922" i="1" s="1"/>
  <c r="A1927" i="1" a="1"/>
  <c r="A1927" i="1" s="1"/>
  <c r="A1933" i="1" a="1"/>
  <c r="A1933" i="1" s="1"/>
  <c r="A1939" i="1" a="1"/>
  <c r="A1939" i="1" s="1"/>
  <c r="A1945" i="1" a="1"/>
  <c r="A1945" i="1" s="1"/>
  <c r="A1950" i="1" a="1"/>
  <c r="A1950" i="1" s="1"/>
  <c r="A1968" i="1" a="1"/>
  <c r="A1968" i="1" s="1"/>
  <c r="A1974" i="1" a="1"/>
  <c r="A1974" i="1" s="1"/>
  <c r="A1984" i="1" a="1"/>
  <c r="A1984" i="1" s="1"/>
  <c r="A1989" i="1" a="1"/>
  <c r="A1989" i="1" s="1"/>
  <c r="A2005" i="1" a="1"/>
  <c r="A2005" i="1" s="1"/>
  <c r="A2021" i="1" a="1"/>
  <c r="A2021" i="1" s="1"/>
  <c r="A2037" i="1" a="1"/>
  <c r="A2037" i="1" s="1"/>
  <c r="A2054" i="1" a="1"/>
  <c r="A2054" i="1" s="1"/>
  <c r="A2060" i="1" a="1"/>
  <c r="A2060" i="1" s="1"/>
  <c r="A2073" i="1" a="1"/>
  <c r="A2073" i="1" s="1"/>
  <c r="A2079" i="1" a="1"/>
  <c r="A2079" i="1" s="1"/>
  <c r="A2086" i="1" a="1"/>
  <c r="A2086" i="1" s="1"/>
  <c r="A2092" i="1" a="1"/>
  <c r="A2092" i="1" s="1"/>
  <c r="A2105" i="1" a="1"/>
  <c r="A2105" i="1" s="1"/>
  <c r="A2113" i="1" a="1"/>
  <c r="A2113" i="1" s="1"/>
  <c r="A2120" i="1" a="1"/>
  <c r="A2120" i="1" s="1"/>
  <c r="A2127" i="1" a="1"/>
  <c r="A2127" i="1" s="1"/>
  <c r="A2134" i="1" a="1"/>
  <c r="A2134" i="1" s="1"/>
  <c r="A2142" i="1" a="1"/>
  <c r="A2142" i="1" s="1"/>
  <c r="A2149" i="1" a="1"/>
  <c r="A2149" i="1" s="1"/>
  <c r="A2157" i="1" a="1"/>
  <c r="A2157" i="1" s="1"/>
  <c r="A2163" i="1" a="1"/>
  <c r="A2163" i="1" s="1"/>
  <c r="A2171" i="1" a="1"/>
  <c r="A2171" i="1" s="1"/>
  <c r="A2185" i="1" a="1"/>
  <c r="A2185" i="1" s="1"/>
  <c r="A2192" i="1" a="1"/>
  <c r="A2192" i="1" s="1"/>
  <c r="A2199" i="1" a="1"/>
  <c r="A2199" i="1" s="1"/>
  <c r="A2207" i="1" a="1"/>
  <c r="A2207" i="1" s="1"/>
  <c r="A2214" i="1" a="1"/>
  <c r="A2214" i="1" s="1"/>
  <c r="A2222" i="1" a="1"/>
  <c r="A2222" i="1" s="1"/>
  <c r="A2228" i="1" a="1"/>
  <c r="A2228" i="1" s="1"/>
  <c r="A2236" i="1" a="1"/>
  <c r="A2236" i="1" s="1"/>
  <c r="A2243" i="1" a="1"/>
  <c r="A2243" i="1" s="1"/>
  <c r="A2250" i="1" a="1"/>
  <c r="A2250" i="1" s="1"/>
  <c r="A2257" i="1" a="1"/>
  <c r="A2257" i="1" s="1"/>
  <c r="A2264" i="1" a="1"/>
  <c r="A2264" i="1" s="1"/>
  <c r="A2272" i="1" a="1"/>
  <c r="A2272" i="1" s="1"/>
  <c r="A2286" i="1" a="1"/>
  <c r="A2286" i="1" s="1"/>
  <c r="A2292" i="1" a="1"/>
  <c r="A2292" i="1" s="1"/>
  <c r="A2300" i="1" a="1"/>
  <c r="A2300" i="1" s="1"/>
  <c r="A2307" i="1" a="1"/>
  <c r="A2307" i="1" s="1"/>
  <c r="A2314" i="1" a="1"/>
  <c r="A2314" i="1" s="1"/>
  <c r="A2321" i="1" a="1"/>
  <c r="A2321" i="1" s="1"/>
  <c r="A2328" i="1" a="1"/>
  <c r="A2328" i="1" s="1"/>
  <c r="A2336" i="1" a="1"/>
  <c r="A2336" i="1" s="1"/>
  <c r="A2350" i="1" a="1"/>
  <c r="A2350" i="1" s="1"/>
  <c r="A2356" i="1" a="1"/>
  <c r="A2356" i="1" s="1"/>
  <c r="A2364" i="1" a="1"/>
  <c r="A2364" i="1" s="1"/>
  <c r="A2371" i="1" a="1"/>
  <c r="A2371" i="1" s="1"/>
  <c r="A2378" i="1" a="1"/>
  <c r="A2378" i="1" s="1"/>
  <c r="A2385" i="1" a="1"/>
  <c r="A2385" i="1" s="1"/>
  <c r="A2392" i="1" a="1"/>
  <c r="A2392" i="1" s="1"/>
  <c r="A2400" i="1" a="1"/>
  <c r="A2400" i="1" s="1"/>
  <c r="A2414" i="1" a="1"/>
  <c r="A2414" i="1" s="1"/>
  <c r="A2420" i="1" a="1"/>
  <c r="A2420" i="1" s="1"/>
  <c r="A2428" i="1" a="1"/>
  <c r="A2428" i="1" s="1"/>
  <c r="A2436" i="1" a="1"/>
  <c r="A2436" i="1" s="1"/>
  <c r="A2443" i="1" a="1"/>
  <c r="A2443" i="1" s="1"/>
  <c r="A2450" i="1" a="1"/>
  <c r="A2450" i="1" s="1"/>
  <c r="A2457" i="1" a="1"/>
  <c r="A2457" i="1" s="1"/>
  <c r="A2465" i="1" a="1"/>
  <c r="A2465" i="1" s="1"/>
  <c r="A2472" i="1" a="1"/>
  <c r="A2472" i="1" s="1"/>
  <c r="A2479" i="1" a="1"/>
  <c r="A2479" i="1" s="1"/>
  <c r="A2486" i="1" a="1"/>
  <c r="A2486" i="1" s="1"/>
  <c r="A2494" i="1" a="1"/>
  <c r="A2494" i="1" s="1"/>
  <c r="A2502" i="1" a="1"/>
  <c r="A2502" i="1" s="1"/>
  <c r="A2509" i="1" a="1"/>
  <c r="A2509" i="1" s="1"/>
  <c r="A2516" i="1" a="1"/>
  <c r="A2516" i="1" s="1"/>
  <c r="A2523" i="1" a="1"/>
  <c r="A2523" i="1" s="1"/>
  <c r="A2530" i="1" a="1"/>
  <c r="A2530" i="1" s="1"/>
  <c r="A2537" i="1" a="1"/>
  <c r="A2537" i="1" s="1"/>
  <c r="A644" i="1" a="1"/>
  <c r="A644" i="1" s="1"/>
  <c r="C644" i="1" s="1" a="1"/>
  <c r="C644" i="1" s="1"/>
  <c r="E644" i="1" s="1"/>
  <c r="A1120" i="1" a="1"/>
  <c r="A1120" i="1" s="1"/>
  <c r="A1195" i="1" a="1"/>
  <c r="A1195" i="1" s="1"/>
  <c r="A1340" i="1" a="1"/>
  <c r="A1340" i="1" s="1"/>
  <c r="A1413" i="1" a="1"/>
  <c r="A1413" i="1" s="1"/>
  <c r="A1455" i="1" a="1"/>
  <c r="A1455" i="1" s="1"/>
  <c r="A1499" i="1" a="1"/>
  <c r="A1499" i="1" s="1"/>
  <c r="A1544" i="1" a="1"/>
  <c r="A1544" i="1" s="1"/>
  <c r="A1570" i="1" a="1"/>
  <c r="A1570" i="1" s="1"/>
  <c r="A1582" i="1" a="1"/>
  <c r="A1582" i="1" s="1"/>
  <c r="A1595" i="1" a="1"/>
  <c r="A1595" i="1" s="1"/>
  <c r="A1607" i="1" a="1"/>
  <c r="A1607" i="1" s="1"/>
  <c r="A1617" i="1" a="1"/>
  <c r="A1617" i="1" s="1"/>
  <c r="A1622" i="1" a="1"/>
  <c r="A1622" i="1" s="1"/>
  <c r="A1627" i="1" a="1"/>
  <c r="A1627" i="1" s="1"/>
  <c r="A1632" i="1" a="1"/>
  <c r="A1632" i="1" s="1"/>
  <c r="A1642" i="1" a="1"/>
  <c r="A1642" i="1" s="1"/>
  <c r="A1647" i="1" a="1"/>
  <c r="A1647" i="1" s="1"/>
  <c r="A1661" i="1" a="1"/>
  <c r="A1661" i="1" s="1"/>
  <c r="A1671" i="1" a="1"/>
  <c r="A1671" i="1" s="1"/>
  <c r="A1681" i="1" a="1"/>
  <c r="A1681" i="1" s="1"/>
  <c r="A1686" i="1" a="1"/>
  <c r="A1686" i="1" s="1"/>
  <c r="A1691" i="1" a="1"/>
  <c r="A1691" i="1" s="1"/>
  <c r="A1696" i="1" a="1"/>
  <c r="A1696" i="1" s="1"/>
  <c r="A1706" i="1" a="1"/>
  <c r="A1706" i="1" s="1"/>
  <c r="A1711" i="1" a="1"/>
  <c r="A1711" i="1" s="1"/>
  <c r="A1725" i="1" a="1"/>
  <c r="A1725" i="1" s="1"/>
  <c r="A1735" i="1" a="1"/>
  <c r="A1735" i="1" s="1"/>
  <c r="A1745" i="1" a="1"/>
  <c r="A1745" i="1" s="1"/>
  <c r="A1750" i="1" a="1"/>
  <c r="A1750" i="1" s="1"/>
  <c r="A1755" i="1" a="1"/>
  <c r="A1755" i="1" s="1"/>
  <c r="A1766" i="1" a="1"/>
  <c r="A1766" i="1" s="1"/>
  <c r="A1771" i="1" a="1"/>
  <c r="A1771" i="1" s="1"/>
  <c r="A1777" i="1" a="1"/>
  <c r="A1777" i="1" s="1"/>
  <c r="A1783" i="1" a="1"/>
  <c r="A1783" i="1" s="1"/>
  <c r="A1788" i="1" a="1"/>
  <c r="A1788" i="1" s="1"/>
  <c r="A1795" i="1" a="1"/>
  <c r="A1795" i="1" s="1"/>
  <c r="A1800" i="1" a="1"/>
  <c r="A1800" i="1" s="1"/>
  <c r="A1806" i="1" a="1"/>
  <c r="A1806" i="1" s="1"/>
  <c r="A1818" i="1" a="1"/>
  <c r="A1818" i="1" s="1"/>
  <c r="A1823" i="1" a="1"/>
  <c r="A1823" i="1" s="1"/>
  <c r="A1829" i="1" a="1"/>
  <c r="A1829" i="1" s="1"/>
  <c r="A1835" i="1" a="1"/>
  <c r="A1835" i="1" s="1"/>
  <c r="A1841" i="1" a="1"/>
  <c r="A1841" i="1" s="1"/>
  <c r="A1847" i="1" a="1"/>
  <c r="A1847" i="1" s="1"/>
  <c r="A1852" i="1" a="1"/>
  <c r="A1852" i="1" s="1"/>
  <c r="A1859" i="1" a="1"/>
  <c r="A1859" i="1" s="1"/>
  <c r="A1864" i="1" a="1"/>
  <c r="A1864" i="1" s="1"/>
  <c r="A1870" i="1" a="1"/>
  <c r="A1870" i="1" s="1"/>
  <c r="A1882" i="1" a="1"/>
  <c r="A1882" i="1" s="1"/>
  <c r="A1887" i="1" a="1"/>
  <c r="A1887" i="1" s="1"/>
  <c r="A1893" i="1" a="1"/>
  <c r="A1893" i="1" s="1"/>
  <c r="A1899" i="1" a="1"/>
  <c r="A1899" i="1" s="1"/>
  <c r="A1905" i="1" a="1"/>
  <c r="A1905" i="1" s="1"/>
  <c r="A1911" i="1" a="1"/>
  <c r="A1911" i="1" s="1"/>
  <c r="A1916" i="1" a="1"/>
  <c r="A1916" i="1" s="1"/>
  <c r="A1923" i="1" a="1"/>
  <c r="A1923" i="1" s="1"/>
  <c r="A1928" i="1" a="1"/>
  <c r="A1928" i="1" s="1"/>
  <c r="A1934" i="1" a="1"/>
  <c r="A1934" i="1" s="1"/>
  <c r="A1946" i="1" a="1"/>
  <c r="A1946" i="1" s="1"/>
  <c r="A1951" i="1" a="1"/>
  <c r="A1951" i="1" s="1"/>
  <c r="A1957" i="1" a="1"/>
  <c r="A1957" i="1" s="1"/>
  <c r="A1963" i="1" a="1"/>
  <c r="A1963" i="1" s="1"/>
  <c r="A1969" i="1" a="1"/>
  <c r="A1969" i="1" s="1"/>
  <c r="A1975" i="1" a="1"/>
  <c r="A1975" i="1" s="1"/>
  <c r="A1980" i="1" a="1"/>
  <c r="A1980" i="1" s="1"/>
  <c r="A1990" i="1" a="1"/>
  <c r="A1990" i="1" s="1"/>
  <c r="A1995" i="1" a="1"/>
  <c r="A1995" i="1" s="1"/>
  <c r="A2000" i="1" a="1"/>
  <c r="A2000" i="1" s="1"/>
  <c r="A2006" i="1" a="1"/>
  <c r="A2006" i="1" s="1"/>
  <c r="A2011" i="1" a="1"/>
  <c r="A2011" i="1" s="1"/>
  <c r="A2016" i="1" a="1"/>
  <c r="A2016" i="1" s="1"/>
  <c r="A2022" i="1" a="1"/>
  <c r="A2022" i="1" s="1"/>
  <c r="A2027" i="1" a="1"/>
  <c r="A2027" i="1" s="1"/>
  <c r="A2032" i="1" a="1"/>
  <c r="A2032" i="1" s="1"/>
  <c r="A2038" i="1" a="1"/>
  <c r="A2038" i="1" s="1"/>
  <c r="A2043" i="1" a="1"/>
  <c r="A2043" i="1" s="1"/>
  <c r="A2048" i="1" a="1"/>
  <c r="A2048" i="1" s="1"/>
  <c r="A2061" i="1" a="1"/>
  <c r="A2061" i="1" s="1"/>
  <c r="A2067" i="1" a="1"/>
  <c r="A2067" i="1" s="1"/>
  <c r="A2074" i="1" a="1"/>
  <c r="A2074" i="1" s="1"/>
  <c r="A2080" i="1" a="1"/>
  <c r="A2080" i="1" s="1"/>
  <c r="A2093" i="1" a="1"/>
  <c r="A2093" i="1" s="1"/>
  <c r="A2099" i="1" a="1"/>
  <c r="A2099" i="1" s="1"/>
  <c r="A2106" i="1" a="1"/>
  <c r="A2106" i="1" s="1"/>
  <c r="A2114" i="1" a="1"/>
  <c r="A2114" i="1" s="1"/>
  <c r="A2121" i="1" a="1"/>
  <c r="A2121" i="1" s="1"/>
  <c r="A2128" i="1" a="1"/>
  <c r="A2128" i="1" s="1"/>
  <c r="A2135" i="1" a="1"/>
  <c r="A2135" i="1" s="1"/>
  <c r="A2143" i="1" a="1"/>
  <c r="A2143" i="1" s="1"/>
  <c r="A2150" i="1" a="1"/>
  <c r="A2150" i="1" s="1"/>
  <c r="A2158" i="1" a="1"/>
  <c r="A2158" i="1" s="1"/>
  <c r="A2164" i="1" a="1"/>
  <c r="A2164" i="1" s="1"/>
  <c r="A2172" i="1" a="1"/>
  <c r="A2172" i="1" s="1"/>
  <c r="A2179" i="1" a="1"/>
  <c r="A2179" i="1" s="1"/>
  <c r="A2186" i="1" a="1"/>
  <c r="A2186" i="1" s="1"/>
  <c r="A2193" i="1" a="1"/>
  <c r="A2193" i="1" s="1"/>
  <c r="A2200" i="1" a="1"/>
  <c r="A2200" i="1" s="1"/>
  <c r="A2208" i="1" a="1"/>
  <c r="A2208" i="1" s="1"/>
  <c r="A2215" i="1" a="1"/>
  <c r="A2215" i="1" s="1"/>
  <c r="A2229" i="1" a="1"/>
  <c r="A2229" i="1" s="1"/>
  <c r="A2237" i="1" a="1"/>
  <c r="A2237" i="1" s="1"/>
  <c r="A2244" i="1" a="1"/>
  <c r="A2244" i="1" s="1"/>
  <c r="A2251" i="1" a="1"/>
  <c r="A2251" i="1" s="1"/>
  <c r="A2258" i="1" a="1"/>
  <c r="A2258" i="1" s="1"/>
  <c r="A2265" i="1" a="1"/>
  <c r="A2265" i="1" s="1"/>
  <c r="A2273" i="1" a="1"/>
  <c r="A2273" i="1" s="1"/>
  <c r="A2279" i="1" a="1"/>
  <c r="A2279" i="1" s="1"/>
  <c r="A2293" i="1" a="1"/>
  <c r="A2293" i="1" s="1"/>
  <c r="A2301" i="1" a="1"/>
  <c r="A2301" i="1" s="1"/>
  <c r="A2308" i="1" a="1"/>
  <c r="A2308" i="1" s="1"/>
  <c r="A2315" i="1" a="1"/>
  <c r="A2315" i="1" s="1"/>
  <c r="A2322" i="1" a="1"/>
  <c r="A2322" i="1" s="1"/>
  <c r="A2329" i="1" a="1"/>
  <c r="A2329" i="1" s="1"/>
  <c r="A2337" i="1" a="1"/>
  <c r="A2337" i="1" s="1"/>
  <c r="A2343" i="1" a="1"/>
  <c r="A2343" i="1" s="1"/>
  <c r="A2357" i="1" a="1"/>
  <c r="A2357" i="1" s="1"/>
  <c r="A2365" i="1" a="1"/>
  <c r="A2365" i="1" s="1"/>
  <c r="A2372" i="1" a="1"/>
  <c r="A2372" i="1" s="1"/>
  <c r="A2379" i="1" a="1"/>
  <c r="A2379" i="1" s="1"/>
  <c r="A2386" i="1" a="1"/>
  <c r="A2386" i="1" s="1"/>
  <c r="A2393" i="1" a="1"/>
  <c r="A2393" i="1" s="1"/>
  <c r="A2401" i="1" a="1"/>
  <c r="A2401" i="1" s="1"/>
  <c r="A2407" i="1" a="1"/>
  <c r="A2407" i="1" s="1"/>
  <c r="A2421" i="1" a="1"/>
  <c r="A2421" i="1" s="1"/>
  <c r="A2429" i="1" a="1"/>
  <c r="A2429" i="1" s="1"/>
  <c r="A2437" i="1" a="1"/>
  <c r="A2437" i="1" s="1"/>
  <c r="A2444" i="1" a="1"/>
  <c r="A2444" i="1" s="1"/>
  <c r="A2458" i="1" a="1"/>
  <c r="A2458" i="1" s="1"/>
  <c r="A2466" i="1" a="1"/>
  <c r="A2466" i="1" s="1"/>
  <c r="A2473" i="1" a="1"/>
  <c r="A2473" i="1" s="1"/>
  <c r="A2480" i="1" a="1"/>
  <c r="A2480" i="1" s="1"/>
  <c r="A2487" i="1" a="1"/>
  <c r="A2487" i="1" s="1"/>
  <c r="A2495" i="1" a="1"/>
  <c r="A2495" i="1" s="1"/>
  <c r="A2510" i="1" a="1"/>
  <c r="A2510" i="1" s="1"/>
  <c r="A2517" i="1" a="1"/>
  <c r="A2517" i="1" s="1"/>
  <c r="A2524" i="1" a="1"/>
  <c r="A2524" i="1" s="1"/>
  <c r="A2531" i="1" a="1"/>
  <c r="A2531" i="1" s="1"/>
  <c r="A1140" i="1" a="1"/>
  <c r="A1140" i="1" s="1"/>
  <c r="A1202" i="1" a="1"/>
  <c r="A1202" i="1" s="1"/>
  <c r="A1258" i="1" a="1"/>
  <c r="A1258" i="1" s="1"/>
  <c r="A1308" i="1" a="1"/>
  <c r="A1308" i="1" s="1"/>
  <c r="A1381" i="1" a="1"/>
  <c r="A1381" i="1" s="1"/>
  <c r="A1418" i="1" a="1"/>
  <c r="A1418" i="1" s="1"/>
  <c r="A1460" i="1" a="1"/>
  <c r="A1460" i="1" s="1"/>
  <c r="A1547" i="1" a="1"/>
  <c r="A1547" i="1" s="1"/>
  <c r="A1564" i="1" a="1"/>
  <c r="A1564" i="1" s="1"/>
  <c r="A1571" i="1" a="1"/>
  <c r="A1571" i="1" s="1"/>
  <c r="A1577" i="1" a="1"/>
  <c r="A1577" i="1" s="1"/>
  <c r="A1583" i="1" a="1"/>
  <c r="A1583" i="1" s="1"/>
  <c r="A1589" i="1" a="1"/>
  <c r="A1589" i="1" s="1"/>
  <c r="A1601" i="1" a="1"/>
  <c r="A1601" i="1" s="1"/>
  <c r="A1608" i="1" a="1"/>
  <c r="A1608" i="1" s="1"/>
  <c r="A1613" i="1" a="1"/>
  <c r="A1613" i="1" s="1"/>
  <c r="A1618" i="1" a="1"/>
  <c r="A1618" i="1" s="1"/>
  <c r="A1637" i="1" a="1"/>
  <c r="A1637" i="1" s="1"/>
  <c r="A1652" i="1" a="1"/>
  <c r="A1652" i="1" s="1"/>
  <c r="A1657" i="1" a="1"/>
  <c r="A1657" i="1" s="1"/>
  <c r="A1662" i="1" a="1"/>
  <c r="A1662" i="1" s="1"/>
  <c r="A1667" i="1" a="1"/>
  <c r="A1667" i="1" s="1"/>
  <c r="A1672" i="1" a="1"/>
  <c r="A1672" i="1" s="1"/>
  <c r="A1677" i="1" a="1"/>
  <c r="A1677" i="1" s="1"/>
  <c r="A1682" i="1" a="1"/>
  <c r="A1682" i="1" s="1"/>
  <c r="A1701" i="1" a="1"/>
  <c r="A1701" i="1" s="1"/>
  <c r="A1716" i="1" a="1"/>
  <c r="A1716" i="1" s="1"/>
  <c r="A1721" i="1" a="1"/>
  <c r="A1721" i="1" s="1"/>
  <c r="A1726" i="1" a="1"/>
  <c r="A1726" i="1" s="1"/>
  <c r="A1731" i="1" a="1"/>
  <c r="A1731" i="1" s="1"/>
  <c r="A1736" i="1" a="1"/>
  <c r="A1736" i="1" s="1"/>
  <c r="A1741" i="1" a="1"/>
  <c r="A1741" i="1" s="1"/>
  <c r="A1746" i="1" a="1"/>
  <c r="A1746" i="1" s="1"/>
  <c r="A1761" i="1" a="1"/>
  <c r="A1761" i="1" s="1"/>
  <c r="A1772" i="1" a="1"/>
  <c r="A1772" i="1" s="1"/>
  <c r="A1778" i="1" a="1"/>
  <c r="A1778" i="1" s="1"/>
  <c r="A1784" i="1" a="1"/>
  <c r="A1784" i="1" s="1"/>
  <c r="A1801" i="1" a="1"/>
  <c r="A1801" i="1" s="1"/>
  <c r="A1807" i="1" a="1"/>
  <c r="A1807" i="1" s="1"/>
  <c r="A1812" i="1" a="1"/>
  <c r="A1812" i="1" s="1"/>
  <c r="A1824" i="1" a="1"/>
  <c r="A1824" i="1" s="1"/>
  <c r="A1830" i="1" a="1"/>
  <c r="A1830" i="1" s="1"/>
  <c r="A1836" i="1" a="1"/>
  <c r="A1836" i="1" s="1"/>
  <c r="A1842" i="1" a="1"/>
  <c r="A1842" i="1" s="1"/>
  <c r="A1848" i="1" a="1"/>
  <c r="A1848" i="1" s="1"/>
  <c r="A1865" i="1" a="1"/>
  <c r="A1865" i="1" s="1"/>
  <c r="A1871" i="1" a="1"/>
  <c r="A1871" i="1" s="1"/>
  <c r="A1876" i="1" a="1"/>
  <c r="A1876" i="1" s="1"/>
  <c r="A1888" i="1" a="1"/>
  <c r="A1888" i="1" s="1"/>
  <c r="A1894" i="1" a="1"/>
  <c r="A1894" i="1" s="1"/>
  <c r="A1900" i="1" a="1"/>
  <c r="A1900" i="1" s="1"/>
  <c r="A1906" i="1" a="1"/>
  <c r="A1906" i="1" s="1"/>
  <c r="A1912" i="1" a="1"/>
  <c r="A1912" i="1" s="1"/>
  <c r="A1929" i="1" a="1"/>
  <c r="A1929" i="1" s="1"/>
  <c r="A1935" i="1" a="1"/>
  <c r="A1935" i="1" s="1"/>
  <c r="A1940" i="1" a="1"/>
  <c r="A1940" i="1" s="1"/>
  <c r="A1952" i="1" a="1"/>
  <c r="A1952" i="1" s="1"/>
  <c r="A1958" i="1" a="1"/>
  <c r="A1958" i="1" s="1"/>
  <c r="A1964" i="1" a="1"/>
  <c r="A1964" i="1" s="1"/>
  <c r="A1970" i="1" a="1"/>
  <c r="A1970" i="1" s="1"/>
  <c r="A1976" i="1" a="1"/>
  <c r="A1976" i="1" s="1"/>
  <c r="A1985" i="1" a="1"/>
  <c r="A1985" i="1" s="1"/>
  <c r="A2001" i="1" a="1"/>
  <c r="A2001" i="1" s="1"/>
  <c r="A2017" i="1" a="1"/>
  <c r="A2017" i="1" s="1"/>
  <c r="A2033" i="1" a="1"/>
  <c r="A2033" i="1" s="1"/>
  <c r="A2049" i="1" a="1"/>
  <c r="A2049" i="1" s="1"/>
  <c r="A2055" i="1" a="1"/>
  <c r="A2055" i="1" s="1"/>
  <c r="A2062" i="1" a="1"/>
  <c r="A2062" i="1" s="1"/>
  <c r="A2068" i="1" a="1"/>
  <c r="A2068" i="1" s="1"/>
  <c r="A2081" i="1" a="1"/>
  <c r="A2081" i="1" s="1"/>
  <c r="A2087" i="1" a="1"/>
  <c r="A2087" i="1" s="1"/>
  <c r="A2094" i="1" a="1"/>
  <c r="A2094" i="1" s="1"/>
  <c r="A2100" i="1" a="1"/>
  <c r="A2100" i="1" s="1"/>
  <c r="A2107" i="1" a="1"/>
  <c r="A2107" i="1" s="1"/>
  <c r="A2122" i="1" a="1"/>
  <c r="A2122" i="1" s="1"/>
  <c r="A2129" i="1" a="1"/>
  <c r="A2129" i="1" s="1"/>
  <c r="A2136" i="1" a="1"/>
  <c r="A2136" i="1" s="1"/>
  <c r="A2144" i="1" a="1"/>
  <c r="A2144" i="1" s="1"/>
  <c r="A2151" i="1" a="1"/>
  <c r="A2151" i="1" s="1"/>
  <c r="A2165" i="1" a="1"/>
  <c r="A2165" i="1" s="1"/>
  <c r="A2173" i="1" a="1"/>
  <c r="A2173" i="1" s="1"/>
  <c r="A2180" i="1" a="1"/>
  <c r="A2180" i="1" s="1"/>
  <c r="A2187" i="1" a="1"/>
  <c r="A2187" i="1" s="1"/>
  <c r="A2194" i="1" a="1"/>
  <c r="A2194" i="1" s="1"/>
  <c r="A2201" i="1" a="1"/>
  <c r="A2201" i="1" s="1"/>
  <c r="A2209" i="1" a="1"/>
  <c r="A2209" i="1" s="1"/>
  <c r="A2216" i="1" a="1"/>
  <c r="A2216" i="1" s="1"/>
  <c r="A2223" i="1" a="1"/>
  <c r="A2223" i="1" s="1"/>
  <c r="A2230" i="1" a="1"/>
  <c r="A2230" i="1" s="1"/>
  <c r="A2238" i="1" a="1"/>
  <c r="A2238" i="1" s="1"/>
  <c r="A2245" i="1" a="1"/>
  <c r="A2245" i="1" s="1"/>
  <c r="A2252" i="1" a="1"/>
  <c r="A2252" i="1" s="1"/>
  <c r="A2266" i="1" a="1"/>
  <c r="A2266" i="1" s="1"/>
  <c r="A2274" i="1" a="1"/>
  <c r="A2274" i="1" s="1"/>
  <c r="A2280" i="1" a="1"/>
  <c r="A2280" i="1" s="1"/>
  <c r="A2287" i="1" a="1"/>
  <c r="A2287" i="1" s="1"/>
  <c r="A2294" i="1" a="1"/>
  <c r="A2294" i="1" s="1"/>
  <c r="A2302" i="1" a="1"/>
  <c r="A2302" i="1" s="1"/>
  <c r="A2309" i="1" a="1"/>
  <c r="A2309" i="1" s="1"/>
  <c r="A2316" i="1" a="1"/>
  <c r="A2316" i="1" s="1"/>
  <c r="A2330" i="1" a="1"/>
  <c r="A2330" i="1" s="1"/>
  <c r="A2338" i="1" a="1"/>
  <c r="A2338" i="1" s="1"/>
  <c r="A2344" i="1" a="1"/>
  <c r="A2344" i="1" s="1"/>
  <c r="A2351" i="1" a="1"/>
  <c r="A2351" i="1" s="1"/>
  <c r="A2358" i="1" a="1"/>
  <c r="A2358" i="1" s="1"/>
  <c r="A2366" i="1" a="1"/>
  <c r="A2366" i="1" s="1"/>
  <c r="A2373" i="1" a="1"/>
  <c r="A2373" i="1" s="1"/>
  <c r="A2380" i="1" a="1"/>
  <c r="A2380" i="1" s="1"/>
  <c r="A2394" i="1" a="1"/>
  <c r="A2394" i="1" s="1"/>
  <c r="A2402" i="1" a="1"/>
  <c r="A2402" i="1" s="1"/>
  <c r="A2408" i="1" a="1"/>
  <c r="A2408" i="1" s="1"/>
  <c r="A2415" i="1" a="1"/>
  <c r="A2415" i="1" s="1"/>
  <c r="A2422" i="1" a="1"/>
  <c r="A2422" i="1" s="1"/>
  <c r="A2430" i="1" a="1"/>
  <c r="A2430" i="1" s="1"/>
  <c r="A2438" i="1" a="1"/>
  <c r="A2438" i="1" s="1"/>
  <c r="A2445" i="1" a="1"/>
  <c r="A2445" i="1" s="1"/>
  <c r="A2451" i="1" a="1"/>
  <c r="A2451" i="1" s="1"/>
  <c r="A2459" i="1" a="1"/>
  <c r="A2459" i="1" s="1"/>
  <c r="A2467" i="1" a="1"/>
  <c r="A2467" i="1" s="1"/>
  <c r="A2474" i="1" a="1"/>
  <c r="A2474" i="1" s="1"/>
  <c r="A2481" i="1" a="1"/>
  <c r="A2481" i="1" s="1"/>
  <c r="A2488" i="1" a="1"/>
  <c r="A2488" i="1" s="1"/>
  <c r="A2496" i="1" a="1"/>
  <c r="A2496" i="1" s="1"/>
  <c r="A2503" i="1" a="1"/>
  <c r="A2503" i="1" s="1"/>
  <c r="A2511" i="1" a="1"/>
  <c r="A2511" i="1" s="1"/>
  <c r="A2518" i="1" a="1"/>
  <c r="A2518" i="1" s="1"/>
  <c r="A2525" i="1" a="1"/>
  <c r="A2525" i="1" s="1"/>
  <c r="A2532" i="1" a="1"/>
  <c r="A2532" i="1" s="1"/>
  <c r="A2539" i="1" a="1"/>
  <c r="A2539" i="1" s="1"/>
  <c r="A763" i="1" a="1"/>
  <c r="A763" i="1" s="1"/>
  <c r="C763" i="1" s="1" a="1"/>
  <c r="C763" i="1" s="1"/>
  <c r="E763" i="1" s="1"/>
  <c r="A1150" i="1" a="1"/>
  <c r="A1150" i="1" s="1"/>
  <c r="A1209" i="1" a="1"/>
  <c r="A1209" i="1" s="1"/>
  <c r="A1264" i="1" a="1"/>
  <c r="A1264" i="1" s="1"/>
  <c r="A1349" i="1" a="1"/>
  <c r="A1349" i="1" s="1"/>
  <c r="A1386" i="1" a="1"/>
  <c r="A1386" i="1" s="1"/>
  <c r="A1423" i="1" a="1"/>
  <c r="A1423" i="1" s="1"/>
  <c r="A1465" i="1" a="1"/>
  <c r="A1465" i="1" s="1"/>
  <c r="A1511" i="1" a="1"/>
  <c r="A1511" i="1" s="1"/>
  <c r="A1549" i="1" a="1"/>
  <c r="A1549" i="1" s="1"/>
  <c r="A1572" i="1" a="1"/>
  <c r="A1572" i="1" s="1"/>
  <c r="A1578" i="1" a="1"/>
  <c r="A1578" i="1" s="1"/>
  <c r="A1584" i="1" a="1"/>
  <c r="A1584" i="1" s="1"/>
  <c r="A1590" i="1" a="1"/>
  <c r="A1590" i="1" s="1"/>
  <c r="A1596" i="1" a="1"/>
  <c r="A1596" i="1" s="1"/>
  <c r="A1602" i="1" a="1"/>
  <c r="A1602" i="1" s="1"/>
  <c r="A1614" i="1" a="1"/>
  <c r="A1614" i="1" s="1"/>
  <c r="A1623" i="1" a="1"/>
  <c r="A1623" i="1" s="1"/>
  <c r="A1628" i="1" a="1"/>
  <c r="A1628" i="1" s="1"/>
  <c r="A1633" i="1" a="1"/>
  <c r="A1633" i="1" s="1"/>
  <c r="A1638" i="1" a="1"/>
  <c r="A1638" i="1" s="1"/>
  <c r="A1643" i="1" a="1"/>
  <c r="A1643" i="1" s="1"/>
  <c r="A1648" i="1" a="1"/>
  <c r="A1648" i="1" s="1"/>
  <c r="A1658" i="1" a="1"/>
  <c r="A1658" i="1" s="1"/>
  <c r="A1678" i="1" a="1"/>
  <c r="A1678" i="1" s="1"/>
  <c r="A1687" i="1" a="1"/>
  <c r="A1687" i="1" s="1"/>
  <c r="A1692" i="1" a="1"/>
  <c r="A1692" i="1" s="1"/>
  <c r="A1697" i="1" a="1"/>
  <c r="A1697" i="1" s="1"/>
  <c r="A1702" i="1" a="1"/>
  <c r="A1702" i="1" s="1"/>
  <c r="A1707" i="1" a="1"/>
  <c r="A1707" i="1" s="1"/>
  <c r="A1712" i="1" a="1"/>
  <c r="A1712" i="1" s="1"/>
  <c r="A1722" i="1" a="1"/>
  <c r="A1722" i="1" s="1"/>
  <c r="A1742" i="1" a="1"/>
  <c r="A1742" i="1" s="1"/>
  <c r="A1751" i="1" a="1"/>
  <c r="A1751" i="1" s="1"/>
  <c r="A1756" i="1" a="1"/>
  <c r="A1756" i="1" s="1"/>
  <c r="A1762" i="1" a="1"/>
  <c r="A1762" i="1" s="1"/>
  <c r="A1767" i="1" a="1"/>
  <c r="A1767" i="1" s="1"/>
  <c r="A1789" i="1" a="1"/>
  <c r="A1789" i="1" s="1"/>
  <c r="A1796" i="1" a="1"/>
  <c r="A1796" i="1" s="1"/>
  <c r="A1802" i="1" a="1"/>
  <c r="A1802" i="1" s="1"/>
  <c r="A1813" i="1" a="1"/>
  <c r="A1813" i="1" s="1"/>
  <c r="A1819" i="1" a="1"/>
  <c r="A1819" i="1" s="1"/>
  <c r="A1825" i="1" a="1"/>
  <c r="A1825" i="1" s="1"/>
  <c r="A1853" i="1" a="1"/>
  <c r="A1853" i="1" s="1"/>
  <c r="A1860" i="1" a="1"/>
  <c r="A1860" i="1" s="1"/>
  <c r="A1866" i="1" a="1"/>
  <c r="A1866" i="1" s="1"/>
  <c r="A1877" i="1" a="1"/>
  <c r="A1877" i="1" s="1"/>
  <c r="A1883" i="1" a="1"/>
  <c r="A1883" i="1" s="1"/>
  <c r="A1889" i="1" a="1"/>
  <c r="A1889" i="1" s="1"/>
  <c r="A1917" i="1" a="1"/>
  <c r="A1917" i="1" s="1"/>
  <c r="A1924" i="1" a="1"/>
  <c r="A1924" i="1" s="1"/>
  <c r="A1930" i="1" a="1"/>
  <c r="A1930" i="1" s="1"/>
  <c r="A1941" i="1" a="1"/>
  <c r="A1941" i="1" s="1"/>
  <c r="A1947" i="1" a="1"/>
  <c r="A1947" i="1" s="1"/>
  <c r="A1953" i="1" a="1"/>
  <c r="A1953" i="1" s="1"/>
  <c r="A1981" i="1" a="1"/>
  <c r="A1981" i="1" s="1"/>
  <c r="A1986" i="1" a="1"/>
  <c r="A1986" i="1" s="1"/>
  <c r="A1991" i="1" a="1"/>
  <c r="A1991" i="1" s="1"/>
  <c r="A1996" i="1" a="1"/>
  <c r="A1996" i="1" s="1"/>
  <c r="A2002" i="1" a="1"/>
  <c r="A2002" i="1" s="1"/>
  <c r="A2007" i="1" a="1"/>
  <c r="A2007" i="1" s="1"/>
  <c r="A2012" i="1" a="1"/>
  <c r="A2012" i="1" s="1"/>
  <c r="A2018" i="1" a="1"/>
  <c r="A2018" i="1" s="1"/>
  <c r="A2023" i="1" a="1"/>
  <c r="A2023" i="1" s="1"/>
  <c r="A2028" i="1" a="1"/>
  <c r="A2028" i="1" s="1"/>
  <c r="A2034" i="1" a="1"/>
  <c r="A2034" i="1" s="1"/>
  <c r="A2039" i="1" a="1"/>
  <c r="A2039" i="1" s="1"/>
  <c r="A2044" i="1" a="1"/>
  <c r="A2044" i="1" s="1"/>
  <c r="A2050" i="1" a="1"/>
  <c r="A2050" i="1" s="1"/>
  <c r="A2056" i="1" a="1"/>
  <c r="A2056" i="1" s="1"/>
  <c r="A2069" i="1" a="1"/>
  <c r="A2069" i="1" s="1"/>
  <c r="A2075" i="1" a="1"/>
  <c r="A2075" i="1" s="1"/>
  <c r="A2082" i="1" a="1"/>
  <c r="A2082" i="1" s="1"/>
  <c r="A2088" i="1" a="1"/>
  <c r="A2088" i="1" s="1"/>
  <c r="A2101" i="1" a="1"/>
  <c r="A2101" i="1" s="1"/>
  <c r="A2108" i="1" a="1"/>
  <c r="A2108" i="1" s="1"/>
  <c r="A2115" i="1" a="1"/>
  <c r="A2115" i="1" s="1"/>
  <c r="A2123" i="1" a="1"/>
  <c r="A2123" i="1" s="1"/>
  <c r="A2130" i="1" a="1"/>
  <c r="A2130" i="1" s="1"/>
  <c r="A2137" i="1" a="1"/>
  <c r="A2137" i="1" s="1"/>
  <c r="A2145" i="1" a="1"/>
  <c r="A2145" i="1" s="1"/>
  <c r="A2152" i="1" a="1"/>
  <c r="A2152" i="1" s="1"/>
  <c r="A2159" i="1" a="1"/>
  <c r="A2159" i="1" s="1"/>
  <c r="A2166" i="1" a="1"/>
  <c r="A2166" i="1" s="1"/>
  <c r="A2174" i="1" a="1"/>
  <c r="A2174" i="1" s="1"/>
  <c r="A2181" i="1" a="1"/>
  <c r="A2181" i="1" s="1"/>
  <c r="A2188" i="1" a="1"/>
  <c r="A2188" i="1" s="1"/>
  <c r="A2202" i="1" a="1"/>
  <c r="A2202" i="1" s="1"/>
  <c r="A2210" i="1" a="1"/>
  <c r="A2210" i="1" s="1"/>
  <c r="A2217" i="1" a="1"/>
  <c r="A2217" i="1" s="1"/>
  <c r="A2224" i="1" a="1"/>
  <c r="A2224" i="1" s="1"/>
  <c r="A2231" i="1" a="1"/>
  <c r="A2231" i="1" s="1"/>
  <c r="A2239" i="1" a="1"/>
  <c r="A2239" i="1" s="1"/>
  <c r="A2246" i="1" a="1"/>
  <c r="A2246" i="1" s="1"/>
  <c r="A2253" i="1" a="1"/>
  <c r="A2253" i="1" s="1"/>
  <c r="A2259" i="1" a="1"/>
  <c r="A2259" i="1" s="1"/>
  <c r="A2267" i="1" a="1"/>
  <c r="A2267" i="1" s="1"/>
  <c r="A2281" i="1" a="1"/>
  <c r="A2281" i="1" s="1"/>
  <c r="A2288" i="1" a="1"/>
  <c r="A2288" i="1" s="1"/>
  <c r="A2295" i="1" a="1"/>
  <c r="A2295" i="1" s="1"/>
  <c r="A2303" i="1" a="1"/>
  <c r="A2303" i="1" s="1"/>
  <c r="A2310" i="1" a="1"/>
  <c r="A2310" i="1" s="1"/>
  <c r="A2317" i="1" a="1"/>
  <c r="A2317" i="1" s="1"/>
  <c r="A2323" i="1" a="1"/>
  <c r="A2323" i="1" s="1"/>
  <c r="A2331" i="1" a="1"/>
  <c r="A2331" i="1" s="1"/>
  <c r="A2345" i="1" a="1"/>
  <c r="A2345" i="1" s="1"/>
  <c r="A2352" i="1" a="1"/>
  <c r="A2352" i="1" s="1"/>
  <c r="A2359" i="1" a="1"/>
  <c r="A2359" i="1" s="1"/>
  <c r="A2367" i="1" a="1"/>
  <c r="A2367" i="1" s="1"/>
  <c r="A2374" i="1" a="1"/>
  <c r="A2374" i="1" s="1"/>
  <c r="A2381" i="1" a="1"/>
  <c r="A2381" i="1" s="1"/>
  <c r="A2387" i="1" a="1"/>
  <c r="A2387" i="1" s="1"/>
  <c r="A2395" i="1" a="1"/>
  <c r="A2395" i="1" s="1"/>
  <c r="A2409" i="1" a="1"/>
  <c r="A2409" i="1" s="1"/>
  <c r="A2416" i="1" a="1"/>
  <c r="A2416" i="1" s="1"/>
  <c r="A2423" i="1" a="1"/>
  <c r="A2423" i="1" s="1"/>
  <c r="A2431" i="1" a="1"/>
  <c r="A2431" i="1" s="1"/>
  <c r="A2446" i="1" a="1"/>
  <c r="A2446" i="1" s="1"/>
  <c r="A2452" i="1" a="1"/>
  <c r="A2452" i="1" s="1"/>
  <c r="A2460" i="1" a="1"/>
  <c r="A2460" i="1" s="1"/>
  <c r="A2468" i="1" a="1"/>
  <c r="A2468" i="1" s="1"/>
  <c r="A2475" i="1" a="1"/>
  <c r="A2475" i="1" s="1"/>
  <c r="A2482" i="1" a="1"/>
  <c r="A2482" i="1" s="1"/>
  <c r="A2489" i="1" a="1"/>
  <c r="A2489" i="1" s="1"/>
  <c r="A2497" i="1" a="1"/>
  <c r="A2497" i="1" s="1"/>
  <c r="A2504" i="1" a="1"/>
  <c r="A2504" i="1" s="1"/>
  <c r="A2512" i="1" a="1"/>
  <c r="A2512" i="1" s="1"/>
  <c r="A2526" i="1" a="1"/>
  <c r="A2526" i="1" s="1"/>
  <c r="A2533" i="1" a="1"/>
  <c r="A2533" i="1" s="1"/>
  <c r="A2540" i="1" a="1"/>
  <c r="A2540" i="1" s="1"/>
  <c r="A827" i="1" a="1"/>
  <c r="A827" i="1" s="1"/>
  <c r="A1158" i="1" a="1"/>
  <c r="A1158" i="1" s="1"/>
  <c r="A1216" i="1" a="1"/>
  <c r="A1216" i="1" s="1"/>
  <c r="A1271" i="1" a="1"/>
  <c r="A1271" i="1" s="1"/>
  <c r="A1317" i="1" a="1"/>
  <c r="A1317" i="1" s="1"/>
  <c r="A1354" i="1" a="1"/>
  <c r="A1354" i="1" s="1"/>
  <c r="A1428" i="1" a="1"/>
  <c r="A1428" i="1" s="1"/>
  <c r="A1471" i="1" a="1"/>
  <c r="A1471" i="1" s="1"/>
  <c r="A1516" i="1" a="1"/>
  <c r="A1516" i="1" s="1"/>
  <c r="A1565" i="1" a="1"/>
  <c r="A1565" i="1" s="1"/>
  <c r="A1579" i="1" a="1"/>
  <c r="A1579" i="1" s="1"/>
  <c r="A1591" i="1" a="1"/>
  <c r="A1591" i="1" s="1"/>
  <c r="A1603" i="1" a="1"/>
  <c r="A1603" i="1" s="1"/>
  <c r="A1609" i="1" a="1"/>
  <c r="A1609" i="1" s="1"/>
  <c r="A1619" i="1" a="1"/>
  <c r="A1619" i="1" s="1"/>
  <c r="A1624" i="1" a="1"/>
  <c r="A1624" i="1" s="1"/>
  <c r="A1634" i="1" a="1"/>
  <c r="A1634" i="1" s="1"/>
  <c r="A1644" i="1" a="1"/>
  <c r="A1644" i="1" s="1"/>
  <c r="A1653" i="1" a="1"/>
  <c r="A1653" i="1" s="1"/>
  <c r="A1663" i="1" a="1"/>
  <c r="A1663" i="1" s="1"/>
  <c r="A1668" i="1" a="1"/>
  <c r="A1668" i="1" s="1"/>
  <c r="A1673" i="1" a="1"/>
  <c r="A1673" i="1" s="1"/>
  <c r="A1683" i="1" a="1"/>
  <c r="A1683" i="1" s="1"/>
  <c r="A1688" i="1" a="1"/>
  <c r="A1688" i="1" s="1"/>
  <c r="A1698" i="1" a="1"/>
  <c r="A1698" i="1" s="1"/>
  <c r="A1708" i="1" a="1"/>
  <c r="A1708" i="1" s="1"/>
  <c r="A1717" i="1" a="1"/>
  <c r="A1717" i="1" s="1"/>
  <c r="A1727" i="1" a="1"/>
  <c r="A1727" i="1" s="1"/>
  <c r="A1732" i="1" a="1"/>
  <c r="A1732" i="1" s="1"/>
  <c r="A1737" i="1" a="1"/>
  <c r="A1737" i="1" s="1"/>
  <c r="A1747" i="1" a="1"/>
  <c r="A1747" i="1" s="1"/>
  <c r="A1752" i="1" a="1"/>
  <c r="A1752" i="1" s="1"/>
  <c r="A1763" i="1" a="1"/>
  <c r="A1763" i="1" s="1"/>
  <c r="A1768" i="1" a="1"/>
  <c r="A1768" i="1" s="1"/>
  <c r="A1773" i="1" a="1"/>
  <c r="A1773" i="1" s="1"/>
  <c r="A1779" i="1" a="1"/>
  <c r="A1779" i="1" s="1"/>
  <c r="A1785" i="1" a="1"/>
  <c r="A1785" i="1" s="1"/>
  <c r="A1790" i="1" a="1"/>
  <c r="A1790" i="1" s="1"/>
  <c r="A1808" i="1" a="1"/>
  <c r="A1808" i="1" s="1"/>
  <c r="A1814" i="1" a="1"/>
  <c r="A1814" i="1" s="1"/>
  <c r="A1826" i="1" a="1"/>
  <c r="A1826" i="1" s="1"/>
  <c r="A1831" i="1" a="1"/>
  <c r="A1831" i="1" s="1"/>
  <c r="A1837" i="1" a="1"/>
  <c r="A1837" i="1" s="1"/>
  <c r="A1843" i="1" a="1"/>
  <c r="A1843" i="1" s="1"/>
  <c r="A1849" i="1" a="1"/>
  <c r="A1849" i="1" s="1"/>
  <c r="A1854" i="1" a="1"/>
  <c r="A1854" i="1" s="1"/>
  <c r="A1872" i="1" a="1"/>
  <c r="A1872" i="1" s="1"/>
  <c r="A1878" i="1" a="1"/>
  <c r="A1878" i="1" s="1"/>
  <c r="A1890" i="1" a="1"/>
  <c r="A1890" i="1" s="1"/>
  <c r="A1895" i="1" a="1"/>
  <c r="A1895" i="1" s="1"/>
  <c r="A1901" i="1" a="1"/>
  <c r="A1901" i="1" s="1"/>
  <c r="A1907" i="1" a="1"/>
  <c r="A1907" i="1" s="1"/>
  <c r="A1913" i="1" a="1"/>
  <c r="A1913" i="1" s="1"/>
  <c r="A1918" i="1" a="1"/>
  <c r="A1918" i="1" s="1"/>
  <c r="A1936" i="1" a="1"/>
  <c r="A1936" i="1" s="1"/>
  <c r="A1942" i="1" a="1"/>
  <c r="A1942" i="1" s="1"/>
  <c r="A1954" i="1" a="1"/>
  <c r="A1954" i="1" s="1"/>
  <c r="A1959" i="1" a="1"/>
  <c r="A1959" i="1" s="1"/>
  <c r="A1965" i="1" a="1"/>
  <c r="A1965" i="1" s="1"/>
  <c r="A1971" i="1" a="1"/>
  <c r="A1971" i="1" s="1"/>
  <c r="A1977" i="1" a="1"/>
  <c r="A1977" i="1" s="1"/>
  <c r="A1982" i="1" a="1"/>
  <c r="A1982" i="1" s="1"/>
  <c r="A1997" i="1" a="1"/>
  <c r="A1997" i="1" s="1"/>
  <c r="A2013" i="1" a="1"/>
  <c r="A2013" i="1" s="1"/>
  <c r="A2029" i="1" a="1"/>
  <c r="A2029" i="1" s="1"/>
  <c r="A2045" i="1" a="1"/>
  <c r="A2045" i="1" s="1"/>
  <c r="A2057" i="1" a="1"/>
  <c r="A2057" i="1" s="1"/>
  <c r="A2063" i="1" a="1"/>
  <c r="A2063" i="1" s="1"/>
  <c r="A2070" i="1" a="1"/>
  <c r="A2070" i="1" s="1"/>
  <c r="A2076" i="1" a="1"/>
  <c r="A2076" i="1" s="1"/>
  <c r="A2089" i="1" a="1"/>
  <c r="A2089" i="1" s="1"/>
  <c r="A2095" i="1" a="1"/>
  <c r="A2095" i="1" s="1"/>
  <c r="A2102" i="1" a="1"/>
  <c r="A2102" i="1" s="1"/>
  <c r="A2109" i="1" a="1"/>
  <c r="A2109" i="1" s="1"/>
  <c r="A2116" i="1" a="1"/>
  <c r="A2116" i="1" s="1"/>
  <c r="A2124" i="1" a="1"/>
  <c r="A2124" i="1" s="1"/>
  <c r="A2138" i="1" a="1"/>
  <c r="A2138" i="1" s="1"/>
  <c r="A2146" i="1" a="1"/>
  <c r="A2146" i="1" s="1"/>
  <c r="A2153" i="1" a="1"/>
  <c r="A2153" i="1" s="1"/>
  <c r="A2160" i="1" a="1"/>
  <c r="A2160" i="1" s="1"/>
  <c r="A2167" i="1" a="1"/>
  <c r="A2167" i="1" s="1"/>
  <c r="A2175" i="1" a="1"/>
  <c r="A2175" i="1" s="1"/>
  <c r="A2182" i="1" a="1"/>
  <c r="A2182" i="1" s="1"/>
  <c r="A2189" i="1" a="1"/>
  <c r="A2189" i="1" s="1"/>
  <c r="A2195" i="1" a="1"/>
  <c r="A2195" i="1" s="1"/>
  <c r="A2203" i="1" a="1"/>
  <c r="A2203" i="1" s="1"/>
  <c r="A2218" i="1" a="1"/>
  <c r="A2218" i="1" s="1"/>
  <c r="A2225" i="1" a="1"/>
  <c r="A2225" i="1" s="1"/>
  <c r="A2232" i="1" a="1"/>
  <c r="A2232" i="1" s="1"/>
  <c r="A2240" i="1" a="1"/>
  <c r="A2240" i="1" s="1"/>
  <c r="A2254" i="1" a="1"/>
  <c r="A2254" i="1" s="1"/>
  <c r="A2260" i="1" a="1"/>
  <c r="A2260" i="1" s="1"/>
  <c r="A2268" i="1" a="1"/>
  <c r="A2268" i="1" s="1"/>
  <c r="A2275" i="1" a="1"/>
  <c r="A2275" i="1" s="1"/>
  <c r="A2282" i="1" a="1"/>
  <c r="A2282" i="1" s="1"/>
  <c r="A2289" i="1" a="1"/>
  <c r="A2289" i="1" s="1"/>
  <c r="A2296" i="1" a="1"/>
  <c r="A2296" i="1" s="1"/>
  <c r="A2304" i="1" a="1"/>
  <c r="A2304" i="1" s="1"/>
  <c r="A2318" i="1" a="1"/>
  <c r="A2318" i="1" s="1"/>
  <c r="A2324" i="1" a="1"/>
  <c r="A2324" i="1" s="1"/>
  <c r="A2332" i="1" a="1"/>
  <c r="A2332" i="1" s="1"/>
  <c r="A2339" i="1" a="1"/>
  <c r="A2339" i="1" s="1"/>
  <c r="A2346" i="1" a="1"/>
  <c r="A2346" i="1" s="1"/>
  <c r="A2353" i="1" a="1"/>
  <c r="A2353" i="1" s="1"/>
  <c r="A2360" i="1" a="1"/>
  <c r="A2360" i="1" s="1"/>
  <c r="A2368" i="1" a="1"/>
  <c r="A2368" i="1" s="1"/>
  <c r="A2382" i="1" a="1"/>
  <c r="A2382" i="1" s="1"/>
  <c r="A2388" i="1" a="1"/>
  <c r="A2388" i="1" s="1"/>
  <c r="A2396" i="1" a="1"/>
  <c r="A2396" i="1" s="1"/>
  <c r="A2403" i="1" a="1"/>
  <c r="A2403" i="1" s="1"/>
  <c r="A2410" i="1" a="1"/>
  <c r="A2410" i="1" s="1"/>
  <c r="A2417" i="1" a="1"/>
  <c r="A2417" i="1" s="1"/>
  <c r="A2424" i="1" a="1"/>
  <c r="A2424" i="1" s="1"/>
  <c r="A2432" i="1" a="1"/>
  <c r="A2432" i="1" s="1"/>
  <c r="A2439" i="1" a="1"/>
  <c r="A2439" i="1" s="1"/>
  <c r="A2453" i="1" a="1"/>
  <c r="A2453" i="1" s="1"/>
  <c r="A2461" i="1" a="1"/>
  <c r="A2461" i="1" s="1"/>
  <c r="A2469" i="1" a="1"/>
  <c r="A2469" i="1" s="1"/>
  <c r="A2476" i="1" a="1"/>
  <c r="A2476" i="1" s="1"/>
  <c r="A2490" i="1" a="1"/>
  <c r="A2490" i="1" s="1"/>
  <c r="A2498" i="1" a="1"/>
  <c r="A2498" i="1" s="1"/>
  <c r="A2505" i="1" a="1"/>
  <c r="A2505" i="1" s="1"/>
  <c r="A2513" i="1" a="1"/>
  <c r="A2513" i="1" s="1"/>
  <c r="A2519" i="1" a="1"/>
  <c r="A2519" i="1" s="1"/>
  <c r="A2527" i="1" a="1"/>
  <c r="A2527" i="1" s="1"/>
  <c r="A2534" i="1" a="1"/>
  <c r="A2534" i="1" s="1"/>
  <c r="A953" i="1" a="1"/>
  <c r="A953" i="1" s="1"/>
  <c r="A1174" i="1" a="1"/>
  <c r="A1174" i="1" s="1"/>
  <c r="A1285" i="1" a="1"/>
  <c r="A1285" i="1" s="1"/>
  <c r="A1363" i="1" a="1"/>
  <c r="A1363" i="1" s="1"/>
  <c r="A1439" i="1" a="1"/>
  <c r="A1439" i="1" s="1"/>
  <c r="A1481" i="1" a="1"/>
  <c r="A1481" i="1" s="1"/>
  <c r="A1557" i="1" a="1"/>
  <c r="A1557" i="1" s="1"/>
  <c r="A1568" i="1" a="1"/>
  <c r="A1568" i="1" s="1"/>
  <c r="A1574" i="1" a="1"/>
  <c r="A1574" i="1" s="1"/>
  <c r="A1580" i="1" a="1"/>
  <c r="A1580" i="1" s="1"/>
  <c r="A1586" i="1" a="1"/>
  <c r="A1586" i="1" s="1"/>
  <c r="A1598" i="1" a="1"/>
  <c r="A1598" i="1" s="1"/>
  <c r="A1620" i="1" a="1"/>
  <c r="A1620" i="1" s="1"/>
  <c r="A1625" i="1" a="1"/>
  <c r="A1625" i="1" s="1"/>
  <c r="A1630" i="1" a="1"/>
  <c r="A1630" i="1" s="1"/>
  <c r="A1635" i="1" a="1"/>
  <c r="A1635" i="1" s="1"/>
  <c r="A1640" i="1" a="1"/>
  <c r="A1640" i="1" s="1"/>
  <c r="A1645" i="1" a="1"/>
  <c r="A1645" i="1" s="1"/>
  <c r="A1650" i="1" a="1"/>
  <c r="A1650" i="1" s="1"/>
  <c r="A1669" i="1" a="1"/>
  <c r="A1669" i="1" s="1"/>
  <c r="A1684" i="1" a="1"/>
  <c r="A1684" i="1" s="1"/>
  <c r="A1689" i="1" a="1"/>
  <c r="A1689" i="1" s="1"/>
  <c r="A1694" i="1" a="1"/>
  <c r="A1694" i="1" s="1"/>
  <c r="A1699" i="1" a="1"/>
  <c r="A1699" i="1" s="1"/>
  <c r="A1704" i="1" a="1"/>
  <c r="A1704" i="1" s="1"/>
  <c r="A1709" i="1" a="1"/>
  <c r="A1709" i="1" s="1"/>
  <c r="A1714" i="1" a="1"/>
  <c r="A1714" i="1" s="1"/>
  <c r="A1733" i="1" a="1"/>
  <c r="A1733" i="1" s="1"/>
  <c r="A1748" i="1" a="1"/>
  <c r="A1748" i="1" s="1"/>
  <c r="A1753" i="1" a="1"/>
  <c r="A1753" i="1" s="1"/>
  <c r="A1758" i="1" a="1"/>
  <c r="A1758" i="1" s="1"/>
  <c r="A1764" i="1" a="1"/>
  <c r="A1764" i="1" s="1"/>
  <c r="A1769" i="1" a="1"/>
  <c r="A1769" i="1" s="1"/>
  <c r="A1775" i="1" a="1"/>
  <c r="A1775" i="1" s="1"/>
  <c r="A1780" i="1" a="1"/>
  <c r="A1780" i="1" s="1"/>
  <c r="A1792" i="1" a="1"/>
  <c r="A1792" i="1" s="1"/>
  <c r="A1798" i="1" a="1"/>
  <c r="A1798" i="1" s="1"/>
  <c r="A1804" i="1" a="1"/>
  <c r="A1804" i="1" s="1"/>
  <c r="A1810" i="1" a="1"/>
  <c r="A1810" i="1" s="1"/>
  <c r="A1816" i="1" a="1"/>
  <c r="A1816" i="1" s="1"/>
  <c r="A1833" i="1" a="1"/>
  <c r="A1833" i="1" s="1"/>
  <c r="A1839" i="1" a="1"/>
  <c r="A1839" i="1" s="1"/>
  <c r="A1844" i="1" a="1"/>
  <c r="A1844" i="1" s="1"/>
  <c r="A1856" i="1" a="1"/>
  <c r="A1856" i="1" s="1"/>
  <c r="A1862" i="1" a="1"/>
  <c r="A1862" i="1" s="1"/>
  <c r="A1868" i="1" a="1"/>
  <c r="A1868" i="1" s="1"/>
  <c r="A1874" i="1" a="1"/>
  <c r="A1874" i="1" s="1"/>
  <c r="A1880" i="1" a="1"/>
  <c r="A1880" i="1" s="1"/>
  <c r="A1897" i="1" a="1"/>
  <c r="A1897" i="1" s="1"/>
  <c r="A1903" i="1" a="1"/>
  <c r="A1903" i="1" s="1"/>
  <c r="A1908" i="1" a="1"/>
  <c r="A1908" i="1" s="1"/>
  <c r="A1920" i="1" a="1"/>
  <c r="A1920" i="1" s="1"/>
  <c r="A1926" i="1" a="1"/>
  <c r="A1926" i="1" s="1"/>
  <c r="A1932" i="1" a="1"/>
  <c r="A1932" i="1" s="1"/>
  <c r="A1938" i="1" a="1"/>
  <c r="A1938" i="1" s="1"/>
  <c r="A1944" i="1" a="1"/>
  <c r="A1944" i="1" s="1"/>
  <c r="A1961" i="1" a="1"/>
  <c r="A1961" i="1" s="1"/>
  <c r="A1967" i="1" a="1"/>
  <c r="A1967" i="1" s="1"/>
  <c r="A1972" i="1" a="1"/>
  <c r="A1972" i="1" s="1"/>
  <c r="A1983" i="1" a="1"/>
  <c r="A1983" i="1" s="1"/>
  <c r="A1993" i="1" a="1"/>
  <c r="A1993" i="1" s="1"/>
  <c r="A2009" i="1" a="1"/>
  <c r="A2009" i="1" s="1"/>
  <c r="A2025" i="1" a="1"/>
  <c r="A2025" i="1" s="1"/>
  <c r="A2041" i="1" a="1"/>
  <c r="A2041" i="1" s="1"/>
  <c r="A2052" i="1" a="1"/>
  <c r="A2052" i="1" s="1"/>
  <c r="A2065" i="1" a="1"/>
  <c r="A2065" i="1" s="1"/>
  <c r="A2071" i="1" a="1"/>
  <c r="A2071" i="1" s="1"/>
  <c r="A2078" i="1" a="1"/>
  <c r="A2078" i="1" s="1"/>
  <c r="A2084" i="1" a="1"/>
  <c r="A2084" i="1" s="1"/>
  <c r="A2097" i="1" a="1"/>
  <c r="A2097" i="1" s="1"/>
  <c r="A2103" i="1" a="1"/>
  <c r="A2103" i="1" s="1"/>
  <c r="A2111" i="1" a="1"/>
  <c r="A2111" i="1" s="1"/>
  <c r="A2118" i="1" a="1"/>
  <c r="A2118" i="1" s="1"/>
  <c r="A2126" i="1" a="1"/>
  <c r="A2126" i="1" s="1"/>
  <c r="A2132" i="1" a="1"/>
  <c r="A2132" i="1" s="1"/>
  <c r="A2140" i="1" a="1"/>
  <c r="A2140" i="1" s="1"/>
  <c r="A2147" i="1" a="1"/>
  <c r="A2147" i="1" s="1"/>
  <c r="A2155" i="1" a="1"/>
  <c r="A2155" i="1" s="1"/>
  <c r="A2162" i="1" a="1"/>
  <c r="A2162" i="1" s="1"/>
  <c r="A2169" i="1" a="1"/>
  <c r="A2169" i="1" s="1"/>
  <c r="A2177" i="1" a="1"/>
  <c r="A2177" i="1" s="1"/>
  <c r="A2183" i="1" a="1"/>
  <c r="A2183" i="1" s="1"/>
  <c r="A2197" i="1" a="1"/>
  <c r="A2197" i="1" s="1"/>
  <c r="A2205" i="1" a="1"/>
  <c r="A2205" i="1" s="1"/>
  <c r="A2212" i="1" a="1"/>
  <c r="A2212" i="1" s="1"/>
  <c r="A2220" i="1" a="1"/>
  <c r="A2220" i="1" s="1"/>
  <c r="A2234" i="1" a="1"/>
  <c r="A2234" i="1" s="1"/>
  <c r="A2242" i="1" a="1"/>
  <c r="A2242" i="1" s="1"/>
  <c r="A2248" i="1" a="1"/>
  <c r="A2248" i="1" s="1"/>
  <c r="A2255" i="1" a="1"/>
  <c r="A2255" i="1" s="1"/>
  <c r="A2262" i="1" a="1"/>
  <c r="A2262" i="1" s="1"/>
  <c r="A2270" i="1" a="1"/>
  <c r="A2270" i="1" s="1"/>
  <c r="A2277" i="1" a="1"/>
  <c r="A2277" i="1" s="1"/>
  <c r="A2284" i="1" a="1"/>
  <c r="A2284" i="1" s="1"/>
  <c r="A2298" i="1" a="1"/>
  <c r="A2298" i="1" s="1"/>
  <c r="A2306" i="1" a="1"/>
  <c r="A2306" i="1" s="1"/>
  <c r="A2312" i="1" a="1"/>
  <c r="A2312" i="1" s="1"/>
  <c r="A2319" i="1" a="1"/>
  <c r="A2319" i="1" s="1"/>
  <c r="A2326" i="1" a="1"/>
  <c r="A2326" i="1" s="1"/>
  <c r="A2334" i="1" a="1"/>
  <c r="A2334" i="1" s="1"/>
  <c r="A2341" i="1" a="1"/>
  <c r="A2341" i="1" s="1"/>
  <c r="A2348" i="1" a="1"/>
  <c r="A2348" i="1" s="1"/>
  <c r="A2362" i="1" a="1"/>
  <c r="A2362" i="1" s="1"/>
  <c r="A2370" i="1" a="1"/>
  <c r="A2370" i="1" s="1"/>
  <c r="A2376" i="1" a="1"/>
  <c r="A2376" i="1" s="1"/>
  <c r="A2383" i="1" a="1"/>
  <c r="A2383" i="1" s="1"/>
  <c r="A2390" i="1" a="1"/>
  <c r="A2390" i="1" s="1"/>
  <c r="A2398" i="1" a="1"/>
  <c r="A2398" i="1" s="1"/>
  <c r="A2405" i="1" a="1"/>
  <c r="A2405" i="1" s="1"/>
  <c r="A2412" i="1" a="1"/>
  <c r="A2412" i="1" s="1"/>
  <c r="A2426" i="1" a="1"/>
  <c r="A2426" i="1" s="1"/>
  <c r="A2434" i="1" a="1"/>
  <c r="A2434" i="1" s="1"/>
  <c r="A2441" i="1" a="1"/>
  <c r="A2441" i="1" s="1"/>
  <c r="A2448" i="1" a="1"/>
  <c r="A2448" i="1" s="1"/>
  <c r="A2455" i="1" a="1"/>
  <c r="A2455" i="1" s="1"/>
  <c r="A2463" i="1" a="1"/>
  <c r="A2463" i="1" s="1"/>
  <c r="A2478" i="1" a="1"/>
  <c r="A2478" i="1" s="1"/>
  <c r="A2484" i="1" a="1"/>
  <c r="A2484" i="1" s="1"/>
  <c r="A2492" i="1" a="1"/>
  <c r="A2492" i="1" s="1"/>
  <c r="A2500" i="1" a="1"/>
  <c r="A2500" i="1" s="1"/>
  <c r="A2507" i="1" a="1"/>
  <c r="A2507" i="1" s="1"/>
  <c r="A2514" i="1" a="1"/>
  <c r="A2514" i="1" s="1"/>
  <c r="A2521" i="1" a="1"/>
  <c r="A2521" i="1" s="1"/>
  <c r="A2529" i="1" a="1"/>
  <c r="A2529" i="1" s="1"/>
  <c r="A2535" i="1" a="1"/>
  <c r="A2535" i="1" s="1"/>
  <c r="A891" i="1" a="1"/>
  <c r="A891" i="1" s="1"/>
  <c r="A1476" i="1" a="1"/>
  <c r="A1476" i="1" s="1"/>
  <c r="A1597" i="1" a="1"/>
  <c r="A1597" i="1" s="1"/>
  <c r="A1639" i="1" a="1"/>
  <c r="A1639" i="1" s="1"/>
  <c r="A1679" i="1" a="1"/>
  <c r="A1679" i="1" s="1"/>
  <c r="A1718" i="1" a="1"/>
  <c r="A1718" i="1" s="1"/>
  <c r="A1757" i="1" a="1"/>
  <c r="A1757" i="1" s="1"/>
  <c r="A1803" i="1" a="1"/>
  <c r="A1803" i="1" s="1"/>
  <c r="A1850" i="1" a="1"/>
  <c r="A1850" i="1" s="1"/>
  <c r="A1896" i="1" a="1"/>
  <c r="A1896" i="1" s="1"/>
  <c r="A1943" i="1" a="1"/>
  <c r="A1943" i="1" s="1"/>
  <c r="A1987" i="1" a="1"/>
  <c r="A1987" i="1" s="1"/>
  <c r="A2030" i="1" a="1"/>
  <c r="A2030" i="1" s="1"/>
  <c r="A2077" i="1" a="1"/>
  <c r="A2077" i="1" s="1"/>
  <c r="A2131" i="1" a="1"/>
  <c r="A2131" i="1" s="1"/>
  <c r="A2190" i="1" a="1"/>
  <c r="A2190" i="1" s="1"/>
  <c r="A2247" i="1" a="1"/>
  <c r="A2247" i="1" s="1"/>
  <c r="A2305" i="1" a="1"/>
  <c r="A2305" i="1" s="1"/>
  <c r="A2361" i="1" a="1"/>
  <c r="A2361" i="1" s="1"/>
  <c r="A2418" i="1" a="1"/>
  <c r="A2418" i="1" s="1"/>
  <c r="A2477" i="1" a="1"/>
  <c r="A2477" i="1" s="1"/>
  <c r="A2546" i="1" a="1"/>
  <c r="A2546" i="1" s="1"/>
  <c r="A2553" i="1" a="1"/>
  <c r="A2553" i="1" s="1"/>
  <c r="A2561" i="1" a="1"/>
  <c r="A2561" i="1" s="1"/>
  <c r="A2567" i="1" a="1"/>
  <c r="A2567" i="1" s="1"/>
  <c r="A2575" i="1" a="1"/>
  <c r="A2575" i="1" s="1"/>
  <c r="A2582" i="1" a="1"/>
  <c r="A2582" i="1" s="1"/>
  <c r="A2589" i="1" a="1"/>
  <c r="A2589" i="1" s="1"/>
  <c r="A2596" i="1" a="1"/>
  <c r="A2596" i="1" s="1"/>
  <c r="A2603" i="1" a="1"/>
  <c r="A2603" i="1" s="1"/>
  <c r="A2610" i="1" a="1"/>
  <c r="A2610" i="1" s="1"/>
  <c r="A2617" i="1" a="1"/>
  <c r="A2617" i="1" s="1"/>
  <c r="A2625" i="1" a="1"/>
  <c r="A2625" i="1" s="1"/>
  <c r="A2631" i="1" a="1"/>
  <c r="A2631" i="1" s="1"/>
  <c r="A2639" i="1" a="1"/>
  <c r="A2639" i="1" s="1"/>
  <c r="A2644" i="1" a="1"/>
  <c r="A2644" i="1" s="1"/>
  <c r="A2653" i="1" a="1"/>
  <c r="A2653" i="1" s="1"/>
  <c r="A2662" i="1" a="1"/>
  <c r="A2662" i="1" s="1"/>
  <c r="A2667" i="1" a="1"/>
  <c r="A2667" i="1" s="1"/>
  <c r="A2673" i="1" a="1"/>
  <c r="A2673" i="1" s="1"/>
  <c r="A2678" i="1" a="1"/>
  <c r="A2678" i="1" s="1"/>
  <c r="A2683" i="1" a="1"/>
  <c r="A2683" i="1" s="1"/>
  <c r="A2689" i="1" a="1"/>
  <c r="A2689" i="1" s="1"/>
  <c r="A2701" i="1" a="1"/>
  <c r="A2701" i="1" s="1"/>
  <c r="A2707" i="1" a="1"/>
  <c r="A2707" i="1" s="1"/>
  <c r="A2714" i="1" a="1"/>
  <c r="A2714" i="1" s="1"/>
  <c r="A2720" i="1" a="1"/>
  <c r="A2720" i="1" s="1"/>
  <c r="A2733" i="1" a="1"/>
  <c r="A2733" i="1" s="1"/>
  <c r="A2739" i="1" a="1"/>
  <c r="A2739" i="1" s="1"/>
  <c r="A2746" i="1" a="1"/>
  <c r="A2746" i="1" s="1"/>
  <c r="A2752" i="1" a="1"/>
  <c r="A2752" i="1" s="1"/>
  <c r="A2759" i="1" a="1"/>
  <c r="A2759" i="1" s="1"/>
  <c r="A2774" i="1" a="1"/>
  <c r="A2774" i="1" s="1"/>
  <c r="A2781" i="1" a="1"/>
  <c r="A2781" i="1" s="1"/>
  <c r="A2788" i="1" a="1"/>
  <c r="A2788" i="1" s="1"/>
  <c r="A2795" i="1" a="1"/>
  <c r="A2795" i="1" s="1"/>
  <c r="A2802" i="1" a="1"/>
  <c r="A2802" i="1" s="1"/>
  <c r="A2809" i="1" a="1"/>
  <c r="A2809" i="1" s="1"/>
  <c r="A2816" i="1" a="1"/>
  <c r="A2816" i="1" s="1"/>
  <c r="A2823" i="1" a="1"/>
  <c r="A2823" i="1" s="1"/>
  <c r="A2838" i="1" a="1"/>
  <c r="A2838" i="1" s="1"/>
  <c r="A2845" i="1" a="1"/>
  <c r="A2845" i="1" s="1"/>
  <c r="A2852" i="1" a="1"/>
  <c r="A2852" i="1" s="1"/>
  <c r="A2859" i="1" a="1"/>
  <c r="A2859" i="1" s="1"/>
  <c r="A2867" i="1" a="1"/>
  <c r="A2867" i="1" s="1"/>
  <c r="A2874" i="1" a="1"/>
  <c r="A2874" i="1" s="1"/>
  <c r="A2881" i="1" a="1"/>
  <c r="A2881" i="1" s="1"/>
  <c r="A2888" i="1" a="1"/>
  <c r="A2888" i="1" s="1"/>
  <c r="A2896" i="1" a="1"/>
  <c r="A2896" i="1" s="1"/>
  <c r="A2903" i="1" a="1"/>
  <c r="A2903" i="1" s="1"/>
  <c r="A2918" i="1" a="1"/>
  <c r="A2918" i="1" s="1"/>
  <c r="A2925" i="1" a="1"/>
  <c r="A2925" i="1" s="1"/>
  <c r="A2933" i="1" a="1"/>
  <c r="A2933" i="1" s="1"/>
  <c r="A2940" i="1" a="1"/>
  <c r="A2940" i="1" s="1"/>
  <c r="A2947" i="1" a="1"/>
  <c r="A2947" i="1" s="1"/>
  <c r="A2954" i="1" a="1"/>
  <c r="A2954" i="1" s="1"/>
  <c r="A2962" i="1" a="1"/>
  <c r="A2962" i="1" s="1"/>
  <c r="A2969" i="1" a="1"/>
  <c r="A2969" i="1" s="1"/>
  <c r="A2976" i="1" a="1"/>
  <c r="A2976" i="1" s="1"/>
  <c r="A2983" i="1" a="1"/>
  <c r="A2983" i="1" s="1"/>
  <c r="A2991" i="1" a="1"/>
  <c r="A2991" i="1" s="1"/>
  <c r="A3005" i="1" a="1"/>
  <c r="A3005" i="1" s="1"/>
  <c r="A3012" i="1" a="1"/>
  <c r="A3012" i="1" s="1"/>
  <c r="A3025" i="1" a="1"/>
  <c r="A3025" i="1" s="1"/>
  <c r="A3033" i="1" a="1"/>
  <c r="A3033" i="1" s="1"/>
  <c r="A3041" i="1" a="1"/>
  <c r="A3041" i="1" s="1"/>
  <c r="A3049" i="1" a="1"/>
  <c r="A3049" i="1" s="1"/>
  <c r="A3057" i="1" a="1"/>
  <c r="A3057" i="1" s="1"/>
  <c r="A1166" i="1" a="1"/>
  <c r="A1166" i="1" s="1"/>
  <c r="A1522" i="1" a="1"/>
  <c r="A1522" i="1" s="1"/>
  <c r="A1604" i="1" a="1"/>
  <c r="A1604" i="1" s="1"/>
  <c r="A1723" i="1" a="1"/>
  <c r="A1723" i="1" s="1"/>
  <c r="A1809" i="1" a="1"/>
  <c r="A1809" i="1" s="1"/>
  <c r="A1855" i="1" a="1"/>
  <c r="A1855" i="1" s="1"/>
  <c r="A1902" i="1" a="1"/>
  <c r="A1902" i="1" s="1"/>
  <c r="A1948" i="1" a="1"/>
  <c r="A1948" i="1" s="1"/>
  <c r="A1992" i="1" a="1"/>
  <c r="A1992" i="1" s="1"/>
  <c r="A2035" i="1" a="1"/>
  <c r="A2035" i="1" s="1"/>
  <c r="A2083" i="1" a="1"/>
  <c r="A2083" i="1" s="1"/>
  <c r="A2139" i="1" a="1"/>
  <c r="A2139" i="1" s="1"/>
  <c r="A2196" i="1" a="1"/>
  <c r="A2196" i="1" s="1"/>
  <c r="A2311" i="1" a="1"/>
  <c r="A2311" i="1" s="1"/>
  <c r="A2369" i="1" a="1"/>
  <c r="A2369" i="1" s="1"/>
  <c r="A2425" i="1" a="1"/>
  <c r="A2425" i="1" s="1"/>
  <c r="A2483" i="1" a="1"/>
  <c r="A2483" i="1" s="1"/>
  <c r="A2538" i="1" a="1"/>
  <c r="A2538" i="1" s="1"/>
  <c r="A2547" i="1" a="1"/>
  <c r="A2547" i="1" s="1"/>
  <c r="A2554" i="1" a="1"/>
  <c r="A2554" i="1" s="1"/>
  <c r="A2568" i="1" a="1"/>
  <c r="A2568" i="1" s="1"/>
  <c r="A2576" i="1" a="1"/>
  <c r="A2576" i="1" s="1"/>
  <c r="A2590" i="1" a="1"/>
  <c r="A2590" i="1" s="1"/>
  <c r="A2597" i="1" a="1"/>
  <c r="A2597" i="1" s="1"/>
  <c r="A2604" i="1" a="1"/>
  <c r="A2604" i="1" s="1"/>
  <c r="A2611" i="1" a="1"/>
  <c r="A2611" i="1" s="1"/>
  <c r="A2618" i="1" a="1"/>
  <c r="A2618" i="1" s="1"/>
  <c r="A2632" i="1" a="1"/>
  <c r="A2632" i="1" s="1"/>
  <c r="A2640" i="1" a="1"/>
  <c r="A2640" i="1" s="1"/>
  <c r="A2649" i="1" a="1"/>
  <c r="A2649" i="1" s="1"/>
  <c r="A2658" i="1" a="1"/>
  <c r="A2658" i="1" s="1"/>
  <c r="A2668" i="1" a="1"/>
  <c r="A2668" i="1" s="1"/>
  <c r="A2684" i="1" a="1"/>
  <c r="A2684" i="1" s="1"/>
  <c r="A2695" i="1" a="1"/>
  <c r="A2695" i="1" s="1"/>
  <c r="A2702" i="1" a="1"/>
  <c r="A2702" i="1" s="1"/>
  <c r="A2708" i="1" a="1"/>
  <c r="A2708" i="1" s="1"/>
  <c r="A2721" i="1" a="1"/>
  <c r="A2721" i="1" s="1"/>
  <c r="A2727" i="1" a="1"/>
  <c r="A2727" i="1" s="1"/>
  <c r="A2734" i="1" a="1"/>
  <c r="A2734" i="1" s="1"/>
  <c r="A2740" i="1" a="1"/>
  <c r="A2740" i="1" s="1"/>
  <c r="A2753" i="1" a="1"/>
  <c r="A2753" i="1" s="1"/>
  <c r="A2760" i="1" a="1"/>
  <c r="A2760" i="1" s="1"/>
  <c r="A2767" i="1" a="1"/>
  <c r="A2767" i="1" s="1"/>
  <c r="A2782" i="1" a="1"/>
  <c r="A2782" i="1" s="1"/>
  <c r="A2789" i="1" a="1"/>
  <c r="A2789" i="1" s="1"/>
  <c r="A2796" i="1" a="1"/>
  <c r="A2796" i="1" s="1"/>
  <c r="A2803" i="1" a="1"/>
  <c r="A2803" i="1" s="1"/>
  <c r="A2810" i="1" a="1"/>
  <c r="A2810" i="1" s="1"/>
  <c r="A2817" i="1" a="1"/>
  <c r="A2817" i="1" s="1"/>
  <c r="A2824" i="1" a="1"/>
  <c r="A2824" i="1" s="1"/>
  <c r="A2831" i="1" a="1"/>
  <c r="A2831" i="1" s="1"/>
  <c r="A2846" i="1" a="1"/>
  <c r="A2846" i="1" s="1"/>
  <c r="A2853" i="1" a="1"/>
  <c r="A2853" i="1" s="1"/>
  <c r="A2860" i="1" a="1"/>
  <c r="A2860" i="1" s="1"/>
  <c r="A2868" i="1" a="1"/>
  <c r="A2868" i="1" s="1"/>
  <c r="A2875" i="1" a="1"/>
  <c r="A2875" i="1" s="1"/>
  <c r="A2882" i="1" a="1"/>
  <c r="A2882" i="1" s="1"/>
  <c r="A2889" i="1" a="1"/>
  <c r="A2889" i="1" s="1"/>
  <c r="A2897" i="1" a="1"/>
  <c r="A2897" i="1" s="1"/>
  <c r="A2904" i="1" a="1"/>
  <c r="A2904" i="1" s="1"/>
  <c r="A2911" i="1" a="1"/>
  <c r="A2911" i="1" s="1"/>
  <c r="A2926" i="1" a="1"/>
  <c r="A2926" i="1" s="1"/>
  <c r="A2934" i="1" a="1"/>
  <c r="A2934" i="1" s="1"/>
  <c r="A2941" i="1" a="1"/>
  <c r="A2941" i="1" s="1"/>
  <c r="A2948" i="1" a="1"/>
  <c r="A2948" i="1" s="1"/>
  <c r="A2955" i="1" a="1"/>
  <c r="A2955" i="1" s="1"/>
  <c r="A2963" i="1" a="1"/>
  <c r="A2963" i="1" s="1"/>
  <c r="A2970" i="1" a="1"/>
  <c r="A2970" i="1" s="1"/>
  <c r="A2977" i="1" a="1"/>
  <c r="A2977" i="1" s="1"/>
  <c r="A2984" i="1" a="1"/>
  <c r="A2984" i="1" s="1"/>
  <c r="A2992" i="1" a="1"/>
  <c r="A2992" i="1" s="1"/>
  <c r="A2999" i="1" a="1"/>
  <c r="A2999" i="1" s="1"/>
  <c r="A3006" i="1" a="1"/>
  <c r="A3006" i="1" s="1"/>
  <c r="A3013" i="1" a="1"/>
  <c r="A3013" i="1" s="1"/>
  <c r="A3019" i="1" a="1"/>
  <c r="A3019" i="1" s="1"/>
  <c r="A3026" i="1" a="1"/>
  <c r="A3026" i="1" s="1"/>
  <c r="A3034" i="1" a="1"/>
  <c r="A3034" i="1" s="1"/>
  <c r="A3042" i="1" a="1"/>
  <c r="A3042" i="1" s="1"/>
  <c r="A3050" i="1" a="1"/>
  <c r="A3050" i="1" s="1"/>
  <c r="A3058" i="1" a="1"/>
  <c r="A3058" i="1" s="1"/>
  <c r="A3066" i="1" a="1"/>
  <c r="A3066" i="1" s="1"/>
  <c r="A3074" i="1" a="1"/>
  <c r="A3074" i="1" s="1"/>
  <c r="A3082" i="1" a="1"/>
  <c r="A3082" i="1" s="1"/>
  <c r="A3090" i="1" a="1"/>
  <c r="A3090" i="1" s="1"/>
  <c r="A3098" i="1" a="1"/>
  <c r="A3098" i="1" s="1"/>
  <c r="A3106" i="1" a="1"/>
  <c r="A3106" i="1" s="1"/>
  <c r="A3114" i="1" a="1"/>
  <c r="A3114" i="1" s="1"/>
  <c r="A3122" i="1" a="1"/>
  <c r="A3122" i="1" s="1"/>
  <c r="A3130" i="1" a="1"/>
  <c r="A3130" i="1" s="1"/>
  <c r="A3138" i="1" a="1"/>
  <c r="A3138" i="1" s="1"/>
  <c r="A3146" i="1" a="1"/>
  <c r="A3146" i="1" s="1"/>
  <c r="A3154" i="1" a="1"/>
  <c r="A3154" i="1" s="1"/>
  <c r="A3162" i="1" a="1"/>
  <c r="A3162" i="1" s="1"/>
  <c r="A3170" i="1" a="1"/>
  <c r="A3170" i="1" s="1"/>
  <c r="A3178" i="1" a="1"/>
  <c r="A3178" i="1" s="1"/>
  <c r="A3186" i="1" a="1"/>
  <c r="A3186" i="1" s="1"/>
  <c r="A3194" i="1" a="1"/>
  <c r="A3194" i="1" s="1"/>
  <c r="A3202" i="1" a="1"/>
  <c r="A3202" i="1" s="1"/>
  <c r="A3210" i="1" a="1"/>
  <c r="A3210" i="1" s="1"/>
  <c r="A3218" i="1" a="1"/>
  <c r="A3218" i="1" s="1"/>
  <c r="A3226" i="1" a="1"/>
  <c r="A3226" i="1" s="1"/>
  <c r="A3234" i="1" a="1"/>
  <c r="A3234" i="1" s="1"/>
  <c r="A3242" i="1" a="1"/>
  <c r="A3242" i="1" s="1"/>
  <c r="A3250" i="1" a="1"/>
  <c r="A3250" i="1" s="1"/>
  <c r="A3258" i="1" a="1"/>
  <c r="A3258" i="1" s="1"/>
  <c r="A3266" i="1" a="1"/>
  <c r="A3266" i="1" s="1"/>
  <c r="A3274" i="1" a="1"/>
  <c r="A3274" i="1" s="1"/>
  <c r="A3282" i="1" a="1"/>
  <c r="A3282" i="1" s="1"/>
  <c r="A3290" i="1" a="1"/>
  <c r="A3290" i="1" s="1"/>
  <c r="A3298" i="1" a="1"/>
  <c r="A3298" i="1" s="1"/>
  <c r="A3306" i="1" a="1"/>
  <c r="A3306" i="1" s="1"/>
  <c r="A3314" i="1" a="1"/>
  <c r="A3314" i="1" s="1"/>
  <c r="A3322" i="1" a="1"/>
  <c r="A3322" i="1" s="1"/>
  <c r="A3330" i="1" a="1"/>
  <c r="A3330" i="1" s="1"/>
  <c r="A3338" i="1" a="1"/>
  <c r="A3338" i="1" s="1"/>
  <c r="A3346" i="1" a="1"/>
  <c r="A3346" i="1" s="1"/>
  <c r="A3354" i="1" a="1"/>
  <c r="A3354" i="1" s="1"/>
  <c r="A3362" i="1" a="1"/>
  <c r="A3362" i="1" s="1"/>
  <c r="A3369" i="1" a="1"/>
  <c r="A3369" i="1" s="1"/>
  <c r="A3381" i="1" a="1"/>
  <c r="A3381" i="1" s="1"/>
  <c r="A3400" i="1" a="1"/>
  <c r="A3400" i="1" s="1"/>
  <c r="A3406" i="1" a="1"/>
  <c r="A3406" i="1" s="1"/>
  <c r="A3418" i="1" a="1"/>
  <c r="A3418" i="1" s="1"/>
  <c r="A3424" i="1" a="1"/>
  <c r="A3424" i="1" s="1"/>
  <c r="A3430" i="1" a="1"/>
  <c r="A3430" i="1" s="1"/>
  <c r="A3436" i="1" a="1"/>
  <c r="A3436" i="1" s="1"/>
  <c r="A3442" i="1" a="1"/>
  <c r="A3442" i="1" s="1"/>
  <c r="A3449" i="1" a="1"/>
  <c r="A3449" i="1" s="1"/>
  <c r="A3455" i="1" a="1"/>
  <c r="A3455" i="1" s="1"/>
  <c r="A3461" i="1" a="1"/>
  <c r="A3461" i="1" s="1"/>
  <c r="A3480" i="1" a="1"/>
  <c r="A3480" i="1" s="1"/>
  <c r="A3486" i="1" a="1"/>
  <c r="A3486" i="1" s="1"/>
  <c r="A3492" i="1" a="1"/>
  <c r="A3492" i="1" s="1"/>
  <c r="A3498" i="1" a="1"/>
  <c r="A3498" i="1" s="1"/>
  <c r="A3506" i="1" a="1"/>
  <c r="A3506" i="1" s="1"/>
  <c r="A3514" i="1" a="1"/>
  <c r="A3514" i="1" s="1"/>
  <c r="A3522" i="1" a="1"/>
  <c r="A3522" i="1" s="1"/>
  <c r="A3530" i="1" a="1"/>
  <c r="A3530" i="1" s="1"/>
  <c r="A3538" i="1" a="1"/>
  <c r="A3538" i="1" s="1"/>
  <c r="A3546" i="1" a="1"/>
  <c r="A3546" i="1" s="1"/>
  <c r="A3554" i="1" a="1"/>
  <c r="A3554" i="1" s="1"/>
  <c r="A3562" i="1" a="1"/>
  <c r="A3562" i="1" s="1"/>
  <c r="A3570" i="1" a="1"/>
  <c r="A3570" i="1" s="1"/>
  <c r="A3578" i="1" a="1"/>
  <c r="A3578" i="1" s="1"/>
  <c r="A3586" i="1" a="1"/>
  <c r="A3586" i="1" s="1"/>
  <c r="A3594" i="1" a="1"/>
  <c r="A3594" i="1" s="1"/>
  <c r="A3602" i="1" a="1"/>
  <c r="A3602" i="1" s="1"/>
  <c r="A1223" i="1" a="1"/>
  <c r="A1223" i="1" s="1"/>
  <c r="A1556" i="1" a="1"/>
  <c r="A1556" i="1" s="1"/>
  <c r="A1610" i="1" a="1"/>
  <c r="A1610" i="1" s="1"/>
  <c r="A1649" i="1" a="1"/>
  <c r="A1649" i="1" s="1"/>
  <c r="A1728" i="1" a="1"/>
  <c r="A1728" i="1" s="1"/>
  <c r="A1815" i="1" a="1"/>
  <c r="A1815" i="1" s="1"/>
  <c r="A1861" i="1" a="1"/>
  <c r="A1861" i="1" s="1"/>
  <c r="A1955" i="1" a="1"/>
  <c r="A1955" i="1" s="1"/>
  <c r="A1998" i="1" a="1"/>
  <c r="A1998" i="1" s="1"/>
  <c r="A2040" i="1" a="1"/>
  <c r="A2040" i="1" s="1"/>
  <c r="A2090" i="1" a="1"/>
  <c r="A2090" i="1" s="1"/>
  <c r="A2204" i="1" a="1"/>
  <c r="A2204" i="1" s="1"/>
  <c r="A2261" i="1" a="1"/>
  <c r="A2261" i="1" s="1"/>
  <c r="A2375" i="1" a="1"/>
  <c r="A2375" i="1" s="1"/>
  <c r="A2433" i="1" a="1"/>
  <c r="A2433" i="1" s="1"/>
  <c r="A2491" i="1" a="1"/>
  <c r="A2491" i="1" s="1"/>
  <c r="A2541" i="1" a="1"/>
  <c r="A2541" i="1" s="1"/>
  <c r="A2548" i="1" a="1"/>
  <c r="A2548" i="1" s="1"/>
  <c r="A2555" i="1" a="1"/>
  <c r="A2555" i="1" s="1"/>
  <c r="A2562" i="1" a="1"/>
  <c r="A2562" i="1" s="1"/>
  <c r="A2569" i="1" a="1"/>
  <c r="A2569" i="1" s="1"/>
  <c r="A2577" i="1" a="1"/>
  <c r="A2577" i="1" s="1"/>
  <c r="A2583" i="1" a="1"/>
  <c r="A2583" i="1" s="1"/>
  <c r="A2591" i="1" a="1"/>
  <c r="A2591" i="1" s="1"/>
  <c r="A2598" i="1" a="1"/>
  <c r="A2598" i="1" s="1"/>
  <c r="A2605" i="1" a="1"/>
  <c r="A2605" i="1" s="1"/>
  <c r="A2612" i="1" a="1"/>
  <c r="A2612" i="1" s="1"/>
  <c r="A2619" i="1" a="1"/>
  <c r="A2619" i="1" s="1"/>
  <c r="A2626" i="1" a="1"/>
  <c r="A2626" i="1" s="1"/>
  <c r="A2633" i="1" a="1"/>
  <c r="A2633" i="1" s="1"/>
  <c r="A2645" i="1" a="1"/>
  <c r="A2645" i="1" s="1"/>
  <c r="A2654" i="1" a="1"/>
  <c r="A2654" i="1" s="1"/>
  <c r="A2663" i="1" a="1"/>
  <c r="A2663" i="1" s="1"/>
  <c r="A2669" i="1" a="1"/>
  <c r="A2669" i="1" s="1"/>
  <c r="A2674" i="1" a="1"/>
  <c r="A2674" i="1" s="1"/>
  <c r="A2679" i="1" a="1"/>
  <c r="A2679" i="1" s="1"/>
  <c r="A2685" i="1" a="1"/>
  <c r="A2685" i="1" s="1"/>
  <c r="A2690" i="1" a="1"/>
  <c r="A2690" i="1" s="1"/>
  <c r="A2696" i="1" a="1"/>
  <c r="A2696" i="1" s="1"/>
  <c r="A2709" i="1" a="1"/>
  <c r="A2709" i="1" s="1"/>
  <c r="A2715" i="1" a="1"/>
  <c r="A2715" i="1" s="1"/>
  <c r="A2722" i="1" a="1"/>
  <c r="A2722" i="1" s="1"/>
  <c r="A2728" i="1" a="1"/>
  <c r="A2728" i="1" s="1"/>
  <c r="A2741" i="1" a="1"/>
  <c r="A2741" i="1" s="1"/>
  <c r="A2747" i="1" a="1"/>
  <c r="A2747" i="1" s="1"/>
  <c r="A2754" i="1" a="1"/>
  <c r="A2754" i="1" s="1"/>
  <c r="A2761" i="1" a="1"/>
  <c r="A2761" i="1" s="1"/>
  <c r="A2768" i="1" a="1"/>
  <c r="A2768" i="1" s="1"/>
  <c r="A2775" i="1" a="1"/>
  <c r="A2775" i="1" s="1"/>
  <c r="A2790" i="1" a="1"/>
  <c r="A2790" i="1" s="1"/>
  <c r="A2797" i="1" a="1"/>
  <c r="A2797" i="1" s="1"/>
  <c r="A2804" i="1" a="1"/>
  <c r="A2804" i="1" s="1"/>
  <c r="A2811" i="1" a="1"/>
  <c r="A2811" i="1" s="1"/>
  <c r="A2818" i="1" a="1"/>
  <c r="A2818" i="1" s="1"/>
  <c r="A2825" i="1" a="1"/>
  <c r="A2825" i="1" s="1"/>
  <c r="A2832" i="1" a="1"/>
  <c r="A2832" i="1" s="1"/>
  <c r="A2839" i="1" a="1"/>
  <c r="A2839" i="1" s="1"/>
  <c r="A2854" i="1" a="1"/>
  <c r="A2854" i="1" s="1"/>
  <c r="A2861" i="1" a="1"/>
  <c r="A2861" i="1" s="1"/>
  <c r="A2869" i="1" a="1"/>
  <c r="A2869" i="1" s="1"/>
  <c r="A2876" i="1" a="1"/>
  <c r="A2876" i="1" s="1"/>
  <c r="A2883" i="1" a="1"/>
  <c r="A2883" i="1" s="1"/>
  <c r="A2890" i="1" a="1"/>
  <c r="A2890" i="1" s="1"/>
  <c r="A2898" i="1" a="1"/>
  <c r="A2898" i="1" s="1"/>
  <c r="A2905" i="1" a="1"/>
  <c r="A2905" i="1" s="1"/>
  <c r="A2912" i="1" a="1"/>
  <c r="A2912" i="1" s="1"/>
  <c r="A2919" i="1" a="1"/>
  <c r="A2919" i="1" s="1"/>
  <c r="A2927" i="1" a="1"/>
  <c r="A2927" i="1" s="1"/>
  <c r="A2942" i="1" a="1"/>
  <c r="A2942" i="1" s="1"/>
  <c r="A2949" i="1" a="1"/>
  <c r="A2949" i="1" s="1"/>
  <c r="A2956" i="1" a="1"/>
  <c r="A2956" i="1" s="1"/>
  <c r="A2964" i="1" a="1"/>
  <c r="A2964" i="1" s="1"/>
  <c r="A2971" i="1" a="1"/>
  <c r="A2971" i="1" s="1"/>
  <c r="A2978" i="1" a="1"/>
  <c r="A2978" i="1" s="1"/>
  <c r="A2985" i="1" a="1"/>
  <c r="A2985" i="1" s="1"/>
  <c r="A2993" i="1" a="1"/>
  <c r="A2993" i="1" s="1"/>
  <c r="A3000" i="1" a="1"/>
  <c r="A3000" i="1" s="1"/>
  <c r="A3014" i="1" a="1"/>
  <c r="A3014" i="1" s="1"/>
  <c r="A3020" i="1" a="1"/>
  <c r="A3020" i="1" s="1"/>
  <c r="A3027" i="1" a="1"/>
  <c r="A3027" i="1" s="1"/>
  <c r="A3035" i="1" a="1"/>
  <c r="A3035" i="1" s="1"/>
  <c r="A3043" i="1" a="1"/>
  <c r="A3043" i="1" s="1"/>
  <c r="A3051" i="1" a="1"/>
  <c r="A3051" i="1" s="1"/>
  <c r="A3059" i="1" a="1"/>
  <c r="A3059" i="1" s="1"/>
  <c r="A3067" i="1" a="1"/>
  <c r="A3067" i="1" s="1"/>
  <c r="A3075" i="1" a="1"/>
  <c r="A3075" i="1" s="1"/>
  <c r="A3083" i="1" a="1"/>
  <c r="A3083" i="1" s="1"/>
  <c r="A3091" i="1" a="1"/>
  <c r="A3091" i="1" s="1"/>
  <c r="A3099" i="1" a="1"/>
  <c r="A3099" i="1" s="1"/>
  <c r="A3107" i="1" a="1"/>
  <c r="A3107" i="1" s="1"/>
  <c r="A3115" i="1" a="1"/>
  <c r="A3115" i="1" s="1"/>
  <c r="A3123" i="1" a="1"/>
  <c r="A3123" i="1" s="1"/>
  <c r="A3131" i="1" a="1"/>
  <c r="A3131" i="1" s="1"/>
  <c r="A3139" i="1" a="1"/>
  <c r="A3139" i="1" s="1"/>
  <c r="A3147" i="1" a="1"/>
  <c r="A3147" i="1" s="1"/>
  <c r="A3155" i="1" a="1"/>
  <c r="A3155" i="1" s="1"/>
  <c r="A3163" i="1" a="1"/>
  <c r="A3163" i="1" s="1"/>
  <c r="A3171" i="1" a="1"/>
  <c r="A3171" i="1" s="1"/>
  <c r="A3179" i="1" a="1"/>
  <c r="A3179" i="1" s="1"/>
  <c r="A3187" i="1" a="1"/>
  <c r="A3187" i="1" s="1"/>
  <c r="A3195" i="1" a="1"/>
  <c r="A3195" i="1" s="1"/>
  <c r="A3203" i="1" a="1"/>
  <c r="A3203" i="1" s="1"/>
  <c r="A3211" i="1" a="1"/>
  <c r="A3211" i="1" s="1"/>
  <c r="A3219" i="1" a="1"/>
  <c r="A3219" i="1" s="1"/>
  <c r="A3227" i="1" a="1"/>
  <c r="A3227" i="1" s="1"/>
  <c r="A3235" i="1" a="1"/>
  <c r="A3235" i="1" s="1"/>
  <c r="A3243" i="1" a="1"/>
  <c r="A3243" i="1" s="1"/>
  <c r="A3251" i="1" a="1"/>
  <c r="A3251" i="1" s="1"/>
  <c r="A3259" i="1" a="1"/>
  <c r="A3259" i="1" s="1"/>
  <c r="A3267" i="1" a="1"/>
  <c r="A3267" i="1" s="1"/>
  <c r="A3275" i="1" a="1"/>
  <c r="A3275" i="1" s="1"/>
  <c r="A3283" i="1" a="1"/>
  <c r="A3283" i="1" s="1"/>
  <c r="A3291" i="1" a="1"/>
  <c r="A3291" i="1" s="1"/>
  <c r="A3299" i="1" a="1"/>
  <c r="A3299" i="1" s="1"/>
  <c r="A3307" i="1" a="1"/>
  <c r="A3307" i="1" s="1"/>
  <c r="A3315" i="1" a="1"/>
  <c r="A3315" i="1" s="1"/>
  <c r="A3323" i="1" a="1"/>
  <c r="A3323" i="1" s="1"/>
  <c r="A3331" i="1" a="1"/>
  <c r="A3331" i="1" s="1"/>
  <c r="A3339" i="1" a="1"/>
  <c r="A3339" i="1" s="1"/>
  <c r="A3347" i="1" a="1"/>
  <c r="A3347" i="1" s="1"/>
  <c r="A3355" i="1" a="1"/>
  <c r="A3355" i="1" s="1"/>
  <c r="A3363" i="1" a="1"/>
  <c r="A3363" i="1" s="1"/>
  <c r="A3376" i="1" a="1"/>
  <c r="A3376" i="1" s="1"/>
  <c r="A3382" i="1" a="1"/>
  <c r="A3382" i="1" s="1"/>
  <c r="A3388" i="1" a="1"/>
  <c r="A3388" i="1" s="1"/>
  <c r="A3394" i="1" a="1"/>
  <c r="A3394" i="1" s="1"/>
  <c r="A3401" i="1" a="1"/>
  <c r="A3401" i="1" s="1"/>
  <c r="A3407" i="1" a="1"/>
  <c r="A3407" i="1" s="1"/>
  <c r="A3412" i="1" a="1"/>
  <c r="A3412" i="1" s="1"/>
  <c r="A3419" i="1" a="1"/>
  <c r="A3419" i="1" s="1"/>
  <c r="A3425" i="1" a="1"/>
  <c r="A3425" i="1" s="1"/>
  <c r="A3431" i="1" a="1"/>
  <c r="A3431" i="1" s="1"/>
  <c r="A3437" i="1" a="1"/>
  <c r="A3437" i="1" s="1"/>
  <c r="A3443" i="1" a="1"/>
  <c r="A3443" i="1" s="1"/>
  <c r="A3462" i="1" a="1"/>
  <c r="A3462" i="1" s="1"/>
  <c r="A3468" i="1" a="1"/>
  <c r="A3468" i="1" s="1"/>
  <c r="A3474" i="1" a="1"/>
  <c r="A3474" i="1" s="1"/>
  <c r="A3481" i="1" a="1"/>
  <c r="A3481" i="1" s="1"/>
  <c r="A3499" i="1" a="1"/>
  <c r="A3499" i="1" s="1"/>
  <c r="A3507" i="1" a="1"/>
  <c r="A3507" i="1" s="1"/>
  <c r="A3515" i="1" a="1"/>
  <c r="A3515" i="1" s="1"/>
  <c r="A3523" i="1" a="1"/>
  <c r="A3523" i="1" s="1"/>
  <c r="A3531" i="1" a="1"/>
  <c r="A3531" i="1" s="1"/>
  <c r="A3539" i="1" a="1"/>
  <c r="A3539" i="1" s="1"/>
  <c r="A3547" i="1" a="1"/>
  <c r="A3547" i="1" s="1"/>
  <c r="A3555" i="1" a="1"/>
  <c r="A3555" i="1" s="1"/>
  <c r="A3563" i="1" a="1"/>
  <c r="A3563" i="1" s="1"/>
  <c r="A3571" i="1" a="1"/>
  <c r="A3571" i="1" s="1"/>
  <c r="A3579" i="1" a="1"/>
  <c r="A3579" i="1" s="1"/>
  <c r="A3587" i="1" a="1"/>
  <c r="A3587" i="1" s="1"/>
  <c r="A3595" i="1" a="1"/>
  <c r="A3595" i="1" s="1"/>
  <c r="A1278" i="1" a="1"/>
  <c r="A1278" i="1" s="1"/>
  <c r="A1567" i="1" a="1"/>
  <c r="A1567" i="1" s="1"/>
  <c r="A1615" i="1" a="1"/>
  <c r="A1615" i="1" s="1"/>
  <c r="A1654" i="1" a="1"/>
  <c r="A1654" i="1" s="1"/>
  <c r="A1693" i="1" a="1"/>
  <c r="A1693" i="1" s="1"/>
  <c r="A1774" i="1" a="1"/>
  <c r="A1774" i="1" s="1"/>
  <c r="A1820" i="1" a="1"/>
  <c r="A1820" i="1" s="1"/>
  <c r="A1867" i="1" a="1"/>
  <c r="A1867" i="1" s="1"/>
  <c r="A1914" i="1" a="1"/>
  <c r="A1914" i="1" s="1"/>
  <c r="A1960" i="1" a="1"/>
  <c r="A1960" i="1" s="1"/>
  <c r="A2003" i="1" a="1"/>
  <c r="A2003" i="1" s="1"/>
  <c r="A2046" i="1" a="1"/>
  <c r="A2046" i="1" s="1"/>
  <c r="A2096" i="1" a="1"/>
  <c r="A2096" i="1" s="1"/>
  <c r="A2154" i="1" a="1"/>
  <c r="A2154" i="1" s="1"/>
  <c r="A2211" i="1" a="1"/>
  <c r="A2211" i="1" s="1"/>
  <c r="A2269" i="1" a="1"/>
  <c r="A2269" i="1" s="1"/>
  <c r="A2325" i="1" a="1"/>
  <c r="A2325" i="1" s="1"/>
  <c r="A2440" i="1" a="1"/>
  <c r="A2440" i="1" s="1"/>
  <c r="A2499" i="1" a="1"/>
  <c r="A2499" i="1" s="1"/>
  <c r="A2542" i="1" a="1"/>
  <c r="A2542" i="1" s="1"/>
  <c r="A2549" i="1" a="1"/>
  <c r="A2549" i="1" s="1"/>
  <c r="A2556" i="1" a="1"/>
  <c r="A2556" i="1" s="1"/>
  <c r="A2563" i="1" a="1"/>
  <c r="A2563" i="1" s="1"/>
  <c r="A2570" i="1" a="1"/>
  <c r="A2570" i="1" s="1"/>
  <c r="A2584" i="1" a="1"/>
  <c r="A2584" i="1" s="1"/>
  <c r="A2592" i="1" a="1"/>
  <c r="A2592" i="1" s="1"/>
  <c r="A2606" i="1" a="1"/>
  <c r="A2606" i="1" s="1"/>
  <c r="A2613" i="1" a="1"/>
  <c r="A2613" i="1" s="1"/>
  <c r="A2620" i="1" a="1"/>
  <c r="A2620" i="1" s="1"/>
  <c r="A2627" i="1" a="1"/>
  <c r="A2627" i="1" s="1"/>
  <c r="A2634" i="1" a="1"/>
  <c r="A2634" i="1" s="1"/>
  <c r="A2641" i="1" a="1"/>
  <c r="A2641" i="1" s="1"/>
  <c r="A2650" i="1" a="1"/>
  <c r="A2650" i="1" s="1"/>
  <c r="A2659" i="1" a="1"/>
  <c r="A2659" i="1" s="1"/>
  <c r="A2664" i="1" a="1"/>
  <c r="A2664" i="1" s="1"/>
  <c r="A2680" i="1" a="1"/>
  <c r="A2680" i="1" s="1"/>
  <c r="A2697" i="1" a="1"/>
  <c r="A2697" i="1" s="1"/>
  <c r="A2703" i="1" a="1"/>
  <c r="A2703" i="1" s="1"/>
  <c r="A2710" i="1" a="1"/>
  <c r="A2710" i="1" s="1"/>
  <c r="A2716" i="1" a="1"/>
  <c r="A2716" i="1" s="1"/>
  <c r="A2729" i="1" a="1"/>
  <c r="A2729" i="1" s="1"/>
  <c r="A2735" i="1" a="1"/>
  <c r="A2735" i="1" s="1"/>
  <c r="A2742" i="1" a="1"/>
  <c r="A2742" i="1" s="1"/>
  <c r="A2748" i="1" a="1"/>
  <c r="A2748" i="1" s="1"/>
  <c r="A2755" i="1" a="1"/>
  <c r="A2755" i="1" s="1"/>
  <c r="A2762" i="1" a="1"/>
  <c r="A2762" i="1" s="1"/>
  <c r="A2769" i="1" a="1"/>
  <c r="A2769" i="1" s="1"/>
  <c r="A2776" i="1" a="1"/>
  <c r="A2776" i="1" s="1"/>
  <c r="A2783" i="1" a="1"/>
  <c r="A2783" i="1" s="1"/>
  <c r="A2798" i="1" a="1"/>
  <c r="A2798" i="1" s="1"/>
  <c r="A2805" i="1" a="1"/>
  <c r="A2805" i="1" s="1"/>
  <c r="A2812" i="1" a="1"/>
  <c r="A2812" i="1" s="1"/>
  <c r="A2819" i="1" a="1"/>
  <c r="A2819" i="1" s="1"/>
  <c r="A2826" i="1" a="1"/>
  <c r="A2826" i="1" s="1"/>
  <c r="A2833" i="1" a="1"/>
  <c r="A2833" i="1" s="1"/>
  <c r="A2840" i="1" a="1"/>
  <c r="A2840" i="1" s="1"/>
  <c r="A2847" i="1" a="1"/>
  <c r="A2847" i="1" s="1"/>
  <c r="A2862" i="1" a="1"/>
  <c r="A2862" i="1" s="1"/>
  <c r="A2870" i="1" a="1"/>
  <c r="A2870" i="1" s="1"/>
  <c r="A2877" i="1" a="1"/>
  <c r="A2877" i="1" s="1"/>
  <c r="A2884" i="1" a="1"/>
  <c r="A2884" i="1" s="1"/>
  <c r="A2891" i="1" a="1"/>
  <c r="A2891" i="1" s="1"/>
  <c r="A2899" i="1" a="1"/>
  <c r="A2899" i="1" s="1"/>
  <c r="A2906" i="1" a="1"/>
  <c r="A2906" i="1" s="1"/>
  <c r="A2913" i="1" a="1"/>
  <c r="A2913" i="1" s="1"/>
  <c r="A2920" i="1" a="1"/>
  <c r="A2920" i="1" s="1"/>
  <c r="A2928" i="1" a="1"/>
  <c r="A2928" i="1" s="1"/>
  <c r="A2935" i="1" a="1"/>
  <c r="A2935" i="1" s="1"/>
  <c r="A2950" i="1" a="1"/>
  <c r="A2950" i="1" s="1"/>
  <c r="A2957" i="1" a="1"/>
  <c r="A2957" i="1" s="1"/>
  <c r="A2965" i="1" a="1"/>
  <c r="A2965" i="1" s="1"/>
  <c r="A2972" i="1" a="1"/>
  <c r="A2972" i="1" s="1"/>
  <c r="A2979" i="1" a="1"/>
  <c r="A2979" i="1" s="1"/>
  <c r="A2986" i="1" a="1"/>
  <c r="A2986" i="1" s="1"/>
  <c r="A2994" i="1" a="1"/>
  <c r="A2994" i="1" s="1"/>
  <c r="A3001" i="1" a="1"/>
  <c r="A3001" i="1" s="1"/>
  <c r="A3007" i="1" a="1"/>
  <c r="A3007" i="1" s="1"/>
  <c r="A3021" i="1" a="1"/>
  <c r="A3021" i="1" s="1"/>
  <c r="A3028" i="1" a="1"/>
  <c r="A3028" i="1" s="1"/>
  <c r="A3036" i="1" a="1"/>
  <c r="A3036" i="1" s="1"/>
  <c r="A3044" i="1" a="1"/>
  <c r="A3044" i="1" s="1"/>
  <c r="A3052" i="1" a="1"/>
  <c r="A3052" i="1" s="1"/>
  <c r="A3060" i="1" a="1"/>
  <c r="A3060" i="1" s="1"/>
  <c r="A3068" i="1" a="1"/>
  <c r="A3068" i="1" s="1"/>
  <c r="A3076" i="1" a="1"/>
  <c r="A3076" i="1" s="1"/>
  <c r="A3084" i="1" a="1"/>
  <c r="A3084" i="1" s="1"/>
  <c r="A3092" i="1" a="1"/>
  <c r="A3092" i="1" s="1"/>
  <c r="A3100" i="1" a="1"/>
  <c r="A3100" i="1" s="1"/>
  <c r="A3108" i="1" a="1"/>
  <c r="A3108" i="1" s="1"/>
  <c r="A3116" i="1" a="1"/>
  <c r="A3116" i="1" s="1"/>
  <c r="A3124" i="1" a="1"/>
  <c r="A3124" i="1" s="1"/>
  <c r="A3132" i="1" a="1"/>
  <c r="A3132" i="1" s="1"/>
  <c r="A3140" i="1" a="1"/>
  <c r="A3140" i="1" s="1"/>
  <c r="A3148" i="1" a="1"/>
  <c r="A3148" i="1" s="1"/>
  <c r="A3156" i="1" a="1"/>
  <c r="A3156" i="1" s="1"/>
  <c r="A3164" i="1" a="1"/>
  <c r="A3164" i="1" s="1"/>
  <c r="A3172" i="1" a="1"/>
  <c r="A3172" i="1" s="1"/>
  <c r="A3180" i="1" a="1"/>
  <c r="A3180" i="1" s="1"/>
  <c r="A3188" i="1" a="1"/>
  <c r="A3188" i="1" s="1"/>
  <c r="A3196" i="1" a="1"/>
  <c r="A3196" i="1" s="1"/>
  <c r="A3204" i="1" a="1"/>
  <c r="A3204" i="1" s="1"/>
  <c r="A3212" i="1" a="1"/>
  <c r="A3212" i="1" s="1"/>
  <c r="A3220" i="1" a="1"/>
  <c r="A3220" i="1" s="1"/>
  <c r="A3228" i="1" a="1"/>
  <c r="A3228" i="1" s="1"/>
  <c r="A3236" i="1" a="1"/>
  <c r="A3236" i="1" s="1"/>
  <c r="A3244" i="1" a="1"/>
  <c r="A3244" i="1" s="1"/>
  <c r="A3252" i="1" a="1"/>
  <c r="A3252" i="1" s="1"/>
  <c r="A3260" i="1" a="1"/>
  <c r="A3260" i="1" s="1"/>
  <c r="A3268" i="1" a="1"/>
  <c r="A3268" i="1" s="1"/>
  <c r="A3276" i="1" a="1"/>
  <c r="A3276" i="1" s="1"/>
  <c r="A3284" i="1" a="1"/>
  <c r="A3284" i="1" s="1"/>
  <c r="A3292" i="1" a="1"/>
  <c r="A3292" i="1" s="1"/>
  <c r="A3300" i="1" a="1"/>
  <c r="A3300" i="1" s="1"/>
  <c r="A3308" i="1" a="1"/>
  <c r="A3308" i="1" s="1"/>
  <c r="A3316" i="1" a="1"/>
  <c r="A3316" i="1" s="1"/>
  <c r="A3324" i="1" a="1"/>
  <c r="A3324" i="1" s="1"/>
  <c r="A3332" i="1" a="1"/>
  <c r="A3332" i="1" s="1"/>
  <c r="A3340" i="1" a="1"/>
  <c r="A3340" i="1" s="1"/>
  <c r="A3348" i="1" a="1"/>
  <c r="A3348" i="1" s="1"/>
  <c r="A3356" i="1" a="1"/>
  <c r="A3356" i="1" s="1"/>
  <c r="A3364" i="1" a="1"/>
  <c r="A3364" i="1" s="1"/>
  <c r="A3370" i="1" a="1"/>
  <c r="A3370" i="1" s="1"/>
  <c r="A3377" i="1" a="1"/>
  <c r="A3377" i="1" s="1"/>
  <c r="A3383" i="1" a="1"/>
  <c r="A3383" i="1" s="1"/>
  <c r="A3389" i="1" a="1"/>
  <c r="A3389" i="1" s="1"/>
  <c r="A3395" i="1" a="1"/>
  <c r="A3395" i="1" s="1"/>
  <c r="A3413" i="1" a="1"/>
  <c r="A3413" i="1" s="1"/>
  <c r="A3432" i="1" a="1"/>
  <c r="A3432" i="1" s="1"/>
  <c r="A3438" i="1" a="1"/>
  <c r="A3438" i="1" s="1"/>
  <c r="A3450" i="1" a="1"/>
  <c r="A3450" i="1" s="1"/>
  <c r="A3456" i="1" a="1"/>
  <c r="A3456" i="1" s="1"/>
  <c r="A3463" i="1" a="1"/>
  <c r="A3463" i="1" s="1"/>
  <c r="A3469" i="1" a="1"/>
  <c r="A3469" i="1" s="1"/>
  <c r="A3475" i="1" a="1"/>
  <c r="A3475" i="1" s="1"/>
  <c r="A3487" i="1" a="1"/>
  <c r="A3487" i="1" s="1"/>
  <c r="A3493" i="1" a="1"/>
  <c r="A3493" i="1" s="1"/>
  <c r="A3500" i="1" a="1"/>
  <c r="A3500" i="1" s="1"/>
  <c r="A3508" i="1" a="1"/>
  <c r="A3508" i="1" s="1"/>
  <c r="A3516" i="1" a="1"/>
  <c r="A3516" i="1" s="1"/>
  <c r="A3524" i="1" a="1"/>
  <c r="A3524" i="1" s="1"/>
  <c r="A3532" i="1" a="1"/>
  <c r="A3532" i="1" s="1"/>
  <c r="A3540" i="1" a="1"/>
  <c r="A3540" i="1" s="1"/>
  <c r="A3548" i="1" a="1"/>
  <c r="A3548" i="1" s="1"/>
  <c r="A3556" i="1" a="1"/>
  <c r="A3556" i="1" s="1"/>
  <c r="A3564" i="1" a="1"/>
  <c r="A3564" i="1" s="1"/>
  <c r="A3572" i="1" a="1"/>
  <c r="A3572" i="1" s="1"/>
  <c r="A3580" i="1" a="1"/>
  <c r="A3580" i="1" s="1"/>
  <c r="A3588" i="1" a="1"/>
  <c r="A3588" i="1" s="1"/>
  <c r="A3596" i="1" a="1"/>
  <c r="A3596" i="1" s="1"/>
  <c r="A1322" i="1" a="1"/>
  <c r="A1322" i="1" s="1"/>
  <c r="A1573" i="1" a="1"/>
  <c r="A1573" i="1" s="1"/>
  <c r="A1659" i="1" a="1"/>
  <c r="A1659" i="1" s="1"/>
  <c r="A1738" i="1" a="1"/>
  <c r="A1738" i="1" s="1"/>
  <c r="A1827" i="1" a="1"/>
  <c r="A1827" i="1" s="1"/>
  <c r="A1873" i="1" a="1"/>
  <c r="A1873" i="1" s="1"/>
  <c r="A1919" i="1" a="1"/>
  <c r="A1919" i="1" s="1"/>
  <c r="A1966" i="1" a="1"/>
  <c r="A1966" i="1" s="1"/>
  <c r="A2008" i="1" a="1"/>
  <c r="A2008" i="1" s="1"/>
  <c r="A2051" i="1" a="1"/>
  <c r="A2051" i="1" s="1"/>
  <c r="A2161" i="1" a="1"/>
  <c r="A2161" i="1" s="1"/>
  <c r="A2219" i="1" a="1"/>
  <c r="A2219" i="1" s="1"/>
  <c r="A2276" i="1" a="1"/>
  <c r="A2276" i="1" s="1"/>
  <c r="A2333" i="1" a="1"/>
  <c r="A2333" i="1" s="1"/>
  <c r="A2389" i="1" a="1"/>
  <c r="A2389" i="1" s="1"/>
  <c r="A2447" i="1" a="1"/>
  <c r="A2447" i="1" s="1"/>
  <c r="A2506" i="1" a="1"/>
  <c r="A2506" i="1" s="1"/>
  <c r="A2543" i="1" a="1"/>
  <c r="A2543" i="1" s="1"/>
  <c r="A2550" i="1" a="1"/>
  <c r="A2550" i="1" s="1"/>
  <c r="A2557" i="1" a="1"/>
  <c r="A2557" i="1" s="1"/>
  <c r="A2564" i="1" a="1"/>
  <c r="A2564" i="1" s="1"/>
  <c r="A2571" i="1" a="1"/>
  <c r="A2571" i="1" s="1"/>
  <c r="A2578" i="1" a="1"/>
  <c r="A2578" i="1" s="1"/>
  <c r="A2585" i="1" a="1"/>
  <c r="A2585" i="1" s="1"/>
  <c r="A2593" i="1" a="1"/>
  <c r="A2593" i="1" s="1"/>
  <c r="A2599" i="1" a="1"/>
  <c r="A2599" i="1" s="1"/>
  <c r="A2607" i="1" a="1"/>
  <c r="A2607" i="1" s="1"/>
  <c r="A2614" i="1" a="1"/>
  <c r="A2614" i="1" s="1"/>
  <c r="A2621" i="1" a="1"/>
  <c r="A2621" i="1" s="1"/>
  <c r="A2628" i="1" a="1"/>
  <c r="A2628" i="1" s="1"/>
  <c r="A2635" i="1" a="1"/>
  <c r="A2635" i="1" s="1"/>
  <c r="A2646" i="1" a="1"/>
  <c r="A2646" i="1" s="1"/>
  <c r="A2655" i="1" a="1"/>
  <c r="A2655" i="1" s="1"/>
  <c r="A2660" i="1" a="1"/>
  <c r="A2660" i="1" s="1"/>
  <c r="A2665" i="1" a="1"/>
  <c r="A2665" i="1" s="1"/>
  <c r="A2670" i="1" a="1"/>
  <c r="A2670" i="1" s="1"/>
  <c r="A2675" i="1" a="1"/>
  <c r="A2675" i="1" s="1"/>
  <c r="A2681" i="1" a="1"/>
  <c r="A2681" i="1" s="1"/>
  <c r="A2686" i="1" a="1"/>
  <c r="A2686" i="1" s="1"/>
  <c r="A2691" i="1" a="1"/>
  <c r="A2691" i="1" s="1"/>
  <c r="A2698" i="1" a="1"/>
  <c r="A2698" i="1" s="1"/>
  <c r="A2704" i="1" a="1"/>
  <c r="A2704" i="1" s="1"/>
  <c r="A2717" i="1" a="1"/>
  <c r="A2717" i="1" s="1"/>
  <c r="A2723" i="1" a="1"/>
  <c r="A2723" i="1" s="1"/>
  <c r="A2730" i="1" a="1"/>
  <c r="A2730" i="1" s="1"/>
  <c r="A2736" i="1" a="1"/>
  <c r="A2736" i="1" s="1"/>
  <c r="A2749" i="1" a="1"/>
  <c r="A2749" i="1" s="1"/>
  <c r="A2756" i="1" a="1"/>
  <c r="A2756" i="1" s="1"/>
  <c r="A2763" i="1" a="1"/>
  <c r="A2763" i="1" s="1"/>
  <c r="A2770" i="1" a="1"/>
  <c r="A2770" i="1" s="1"/>
  <c r="A2777" i="1" a="1"/>
  <c r="A2777" i="1" s="1"/>
  <c r="A2784" i="1" a="1"/>
  <c r="A2784" i="1" s="1"/>
  <c r="A2791" i="1" a="1"/>
  <c r="A2791" i="1" s="1"/>
  <c r="A2806" i="1" a="1"/>
  <c r="A2806" i="1" s="1"/>
  <c r="A2813" i="1" a="1"/>
  <c r="A2813" i="1" s="1"/>
  <c r="A2820" i="1" a="1"/>
  <c r="A2820" i="1" s="1"/>
  <c r="A2827" i="1" a="1"/>
  <c r="A2827" i="1" s="1"/>
  <c r="A2834" i="1" a="1"/>
  <c r="A2834" i="1" s="1"/>
  <c r="A2841" i="1" a="1"/>
  <c r="A2841" i="1" s="1"/>
  <c r="A2848" i="1" a="1"/>
  <c r="A2848" i="1" s="1"/>
  <c r="A2855" i="1" a="1"/>
  <c r="A2855" i="1" s="1"/>
  <c r="A2863" i="1" a="1"/>
  <c r="A2863" i="1" s="1"/>
  <c r="A2878" i="1" a="1"/>
  <c r="A2878" i="1" s="1"/>
  <c r="A2885" i="1" a="1"/>
  <c r="A2885" i="1" s="1"/>
  <c r="A2892" i="1" a="1"/>
  <c r="A2892" i="1" s="1"/>
  <c r="A2900" i="1" a="1"/>
  <c r="A2900" i="1" s="1"/>
  <c r="A2907" i="1" a="1"/>
  <c r="A2907" i="1" s="1"/>
  <c r="A2914" i="1" a="1"/>
  <c r="A2914" i="1" s="1"/>
  <c r="A2921" i="1" a="1"/>
  <c r="A2921" i="1" s="1"/>
  <c r="A2929" i="1" a="1"/>
  <c r="A2929" i="1" s="1"/>
  <c r="A2936" i="1" a="1"/>
  <c r="A2936" i="1" s="1"/>
  <c r="A2943" i="1" a="1"/>
  <c r="A2943" i="1" s="1"/>
  <c r="A2958" i="1" a="1"/>
  <c r="A2958" i="1" s="1"/>
  <c r="A2966" i="1" a="1"/>
  <c r="A2966" i="1" s="1"/>
  <c r="A2973" i="1" a="1"/>
  <c r="A2973" i="1" s="1"/>
  <c r="A2980" i="1" a="1"/>
  <c r="A2980" i="1" s="1"/>
  <c r="A2987" i="1" a="1"/>
  <c r="A2987" i="1" s="1"/>
  <c r="A2995" i="1" a="1"/>
  <c r="A2995" i="1" s="1"/>
  <c r="A3002" i="1" a="1"/>
  <c r="A3002" i="1" s="1"/>
  <c r="A3008" i="1" a="1"/>
  <c r="A3008" i="1" s="1"/>
  <c r="A3015" i="1" a="1"/>
  <c r="A3015" i="1" s="1"/>
  <c r="A3029" i="1" a="1"/>
  <c r="A3029" i="1" s="1"/>
  <c r="A3037" i="1" a="1"/>
  <c r="A3037" i="1" s="1"/>
  <c r="A3045" i="1" a="1"/>
  <c r="A3045" i="1" s="1"/>
  <c r="A3053" i="1" a="1"/>
  <c r="A3053" i="1" s="1"/>
  <c r="A3061" i="1" a="1"/>
  <c r="A3061" i="1" s="1"/>
  <c r="A3069" i="1" a="1"/>
  <c r="A3069" i="1" s="1"/>
  <c r="A3077" i="1" a="1"/>
  <c r="A3077" i="1" s="1"/>
  <c r="A3085" i="1" a="1"/>
  <c r="A3085" i="1" s="1"/>
  <c r="A3093" i="1" a="1"/>
  <c r="A3093" i="1" s="1"/>
  <c r="A3101" i="1" a="1"/>
  <c r="A3101" i="1" s="1"/>
  <c r="A3109" i="1" a="1"/>
  <c r="A3109" i="1" s="1"/>
  <c r="A3117" i="1" a="1"/>
  <c r="A3117" i="1" s="1"/>
  <c r="A3125" i="1" a="1"/>
  <c r="A3125" i="1" s="1"/>
  <c r="A3133" i="1" a="1"/>
  <c r="A3133" i="1" s="1"/>
  <c r="A3141" i="1" a="1"/>
  <c r="A3141" i="1" s="1"/>
  <c r="A3149" i="1" a="1"/>
  <c r="A3149" i="1" s="1"/>
  <c r="A3157" i="1" a="1"/>
  <c r="A3157" i="1" s="1"/>
  <c r="A3165" i="1" a="1"/>
  <c r="A3165" i="1" s="1"/>
  <c r="A3173" i="1" a="1"/>
  <c r="A3173" i="1" s="1"/>
  <c r="A3181" i="1" a="1"/>
  <c r="A3181" i="1" s="1"/>
  <c r="A3189" i="1" a="1"/>
  <c r="A3189" i="1" s="1"/>
  <c r="A3197" i="1" a="1"/>
  <c r="A3197" i="1" s="1"/>
  <c r="A3205" i="1" a="1"/>
  <c r="A3205" i="1" s="1"/>
  <c r="A3213" i="1" a="1"/>
  <c r="A3213" i="1" s="1"/>
  <c r="A3221" i="1" a="1"/>
  <c r="A3221" i="1" s="1"/>
  <c r="A3229" i="1" a="1"/>
  <c r="A3229" i="1" s="1"/>
  <c r="A3237" i="1" a="1"/>
  <c r="A3237" i="1" s="1"/>
  <c r="A3245" i="1" a="1"/>
  <c r="A3245" i="1" s="1"/>
  <c r="A3253" i="1" a="1"/>
  <c r="A3253" i="1" s="1"/>
  <c r="A3261" i="1" a="1"/>
  <c r="A3261" i="1" s="1"/>
  <c r="A3269" i="1" a="1"/>
  <c r="A3269" i="1" s="1"/>
  <c r="A3277" i="1" a="1"/>
  <c r="A3277" i="1" s="1"/>
  <c r="A3285" i="1" a="1"/>
  <c r="A3285" i="1" s="1"/>
  <c r="A3293" i="1" a="1"/>
  <c r="A3293" i="1" s="1"/>
  <c r="A3301" i="1" a="1"/>
  <c r="A3301" i="1" s="1"/>
  <c r="A3309" i="1" a="1"/>
  <c r="A3309" i="1" s="1"/>
  <c r="A3317" i="1" a="1"/>
  <c r="A3317" i="1" s="1"/>
  <c r="A3325" i="1" a="1"/>
  <c r="A3325" i="1" s="1"/>
  <c r="A3333" i="1" a="1"/>
  <c r="A3333" i="1" s="1"/>
  <c r="A3341" i="1" a="1"/>
  <c r="A3341" i="1" s="1"/>
  <c r="A3349" i="1" a="1"/>
  <c r="A3349" i="1" s="1"/>
  <c r="A3357" i="1" a="1"/>
  <c r="A3357" i="1" s="1"/>
  <c r="A3365" i="1" a="1"/>
  <c r="A3365" i="1" s="1"/>
  <c r="A3371" i="1" a="1"/>
  <c r="A3371" i="1" s="1"/>
  <c r="A3384" i="1" a="1"/>
  <c r="A3384" i="1" s="1"/>
  <c r="A3390" i="1" a="1"/>
  <c r="A3390" i="1" s="1"/>
  <c r="A3402" i="1" a="1"/>
  <c r="A3402" i="1" s="1"/>
  <c r="A3408" i="1" a="1"/>
  <c r="A3408" i="1" s="1"/>
  <c r="A3414" i="1" a="1"/>
  <c r="A3414" i="1" s="1"/>
  <c r="A3420" i="1" a="1"/>
  <c r="A3420" i="1" s="1"/>
  <c r="A3426" i="1" a="1"/>
  <c r="A3426" i="1" s="1"/>
  <c r="A3433" i="1" a="1"/>
  <c r="A3433" i="1" s="1"/>
  <c r="A3439" i="1" a="1"/>
  <c r="A3439" i="1" s="1"/>
  <c r="A3444" i="1" a="1"/>
  <c r="A3444" i="1" s="1"/>
  <c r="A3451" i="1" a="1"/>
  <c r="A3451" i="1" s="1"/>
  <c r="A3457" i="1" a="1"/>
  <c r="A3457" i="1" s="1"/>
  <c r="A3464" i="1" a="1"/>
  <c r="A3464" i="1" s="1"/>
  <c r="A3470" i="1" a="1"/>
  <c r="A3470" i="1" s="1"/>
  <c r="A3482" i="1" a="1"/>
  <c r="A3482" i="1" s="1"/>
  <c r="A3488" i="1" a="1"/>
  <c r="A3488" i="1" s="1"/>
  <c r="A3494" i="1" a="1"/>
  <c r="A3494" i="1" s="1"/>
  <c r="A3501" i="1" a="1"/>
  <c r="A3501" i="1" s="1"/>
  <c r="A3509" i="1" a="1"/>
  <c r="A3509" i="1" s="1"/>
  <c r="A3517" i="1" a="1"/>
  <c r="A3517" i="1" s="1"/>
  <c r="A3525" i="1" a="1"/>
  <c r="A3525" i="1" s="1"/>
  <c r="A3533" i="1" a="1"/>
  <c r="A3533" i="1" s="1"/>
  <c r="A3541" i="1" a="1"/>
  <c r="A3541" i="1" s="1"/>
  <c r="A3549" i="1" a="1"/>
  <c r="A3549" i="1" s="1"/>
  <c r="A3557" i="1" a="1"/>
  <c r="A3557" i="1" s="1"/>
  <c r="A3565" i="1" a="1"/>
  <c r="A3565" i="1" s="1"/>
  <c r="A3573" i="1" a="1"/>
  <c r="A3573" i="1" s="1"/>
  <c r="A3581" i="1" a="1"/>
  <c r="A3581" i="1" s="1"/>
  <c r="A3589" i="1" a="1"/>
  <c r="A3589" i="1" s="1"/>
  <c r="A3597" i="1" a="1"/>
  <c r="A3597" i="1" s="1"/>
  <c r="A1664" i="1" a="1"/>
  <c r="A1664" i="1" s="1"/>
  <c r="A1703" i="1" a="1"/>
  <c r="A1703" i="1" s="1"/>
  <c r="A1743" i="1" a="1"/>
  <c r="A1743" i="1" s="1"/>
  <c r="A1786" i="1" a="1"/>
  <c r="A1786" i="1" s="1"/>
  <c r="A1832" i="1" a="1"/>
  <c r="A1832" i="1" s="1"/>
  <c r="A1879" i="1" a="1"/>
  <c r="A1879" i="1" s="1"/>
  <c r="A1925" i="1" a="1"/>
  <c r="A1925" i="1" s="1"/>
  <c r="A2014" i="1" a="1"/>
  <c r="A2014" i="1" s="1"/>
  <c r="A2058" i="1" a="1"/>
  <c r="A2058" i="1" s="1"/>
  <c r="A2110" i="1" a="1"/>
  <c r="A2110" i="1" s="1"/>
  <c r="A2168" i="1" a="1"/>
  <c r="A2168" i="1" s="1"/>
  <c r="A2226" i="1" a="1"/>
  <c r="A2226" i="1" s="1"/>
  <c r="A2283" i="1" a="1"/>
  <c r="A2283" i="1" s="1"/>
  <c r="A2340" i="1" a="1"/>
  <c r="A2340" i="1" s="1"/>
  <c r="A2397" i="1" a="1"/>
  <c r="A2397" i="1" s="1"/>
  <c r="A2454" i="1" a="1"/>
  <c r="A2454" i="1" s="1"/>
  <c r="A2544" i="1" a="1"/>
  <c r="A2544" i="1" s="1"/>
  <c r="A2558" i="1" a="1"/>
  <c r="A2558" i="1" s="1"/>
  <c r="A2565" i="1" a="1"/>
  <c r="A2565" i="1" s="1"/>
  <c r="A2572" i="1" a="1"/>
  <c r="A2572" i="1" s="1"/>
  <c r="A2579" i="1" a="1"/>
  <c r="A2579" i="1" s="1"/>
  <c r="A2586" i="1" a="1"/>
  <c r="A2586" i="1" s="1"/>
  <c r="A2600" i="1" a="1"/>
  <c r="A2600" i="1" s="1"/>
  <c r="A2608" i="1" a="1"/>
  <c r="A2608" i="1" s="1"/>
  <c r="A2622" i="1" a="1"/>
  <c r="A2622" i="1" s="1"/>
  <c r="A2629" i="1" a="1"/>
  <c r="A2629" i="1" s="1"/>
  <c r="A2636" i="1" a="1"/>
  <c r="A2636" i="1" s="1"/>
  <c r="A2642" i="1" a="1"/>
  <c r="A2642" i="1" s="1"/>
  <c r="A2651" i="1" a="1"/>
  <c r="A2651" i="1" s="1"/>
  <c r="A2656" i="1" a="1"/>
  <c r="A2656" i="1" s="1"/>
  <c r="A2676" i="1" a="1"/>
  <c r="A2676" i="1" s="1"/>
  <c r="A2692" i="1" a="1"/>
  <c r="A2692" i="1" s="1"/>
  <c r="A2705" i="1" a="1"/>
  <c r="A2705" i="1" s="1"/>
  <c r="A2711" i="1" a="1"/>
  <c r="A2711" i="1" s="1"/>
  <c r="A2718" i="1" a="1"/>
  <c r="A2718" i="1" s="1"/>
  <c r="A2724" i="1" a="1"/>
  <c r="A2724" i="1" s="1"/>
  <c r="A2737" i="1" a="1"/>
  <c r="A2737" i="1" s="1"/>
  <c r="A2743" i="1" a="1"/>
  <c r="A2743" i="1" s="1"/>
  <c r="A2750" i="1" a="1"/>
  <c r="A2750" i="1" s="1"/>
  <c r="A2757" i="1" a="1"/>
  <c r="A2757" i="1" s="1"/>
  <c r="A2764" i="1" a="1"/>
  <c r="A2764" i="1" s="1"/>
  <c r="A2771" i="1" a="1"/>
  <c r="A2771" i="1" s="1"/>
  <c r="A2778" i="1" a="1"/>
  <c r="A2778" i="1" s="1"/>
  <c r="A2785" i="1" a="1"/>
  <c r="A2785" i="1" s="1"/>
  <c r="A2792" i="1" a="1"/>
  <c r="A2792" i="1" s="1"/>
  <c r="A2799" i="1" a="1"/>
  <c r="A2799" i="1" s="1"/>
  <c r="A2814" i="1" a="1"/>
  <c r="A2814" i="1" s="1"/>
  <c r="A2821" i="1" a="1"/>
  <c r="A2821" i="1" s="1"/>
  <c r="A2828" i="1" a="1"/>
  <c r="A2828" i="1" s="1"/>
  <c r="A2835" i="1" a="1"/>
  <c r="A2835" i="1" s="1"/>
  <c r="A2842" i="1" a="1"/>
  <c r="A2842" i="1" s="1"/>
  <c r="A2849" i="1" a="1"/>
  <c r="A2849" i="1" s="1"/>
  <c r="A2856" i="1" a="1"/>
  <c r="A2856" i="1" s="1"/>
  <c r="A2864" i="1" a="1"/>
  <c r="A2864" i="1" s="1"/>
  <c r="A2871" i="1" a="1"/>
  <c r="A2871" i="1" s="1"/>
  <c r="A2886" i="1" a="1"/>
  <c r="A2886" i="1" s="1"/>
  <c r="A2893" i="1" a="1"/>
  <c r="A2893" i="1" s="1"/>
  <c r="A2901" i="1" a="1"/>
  <c r="A2901" i="1" s="1"/>
  <c r="A2908" i="1" a="1"/>
  <c r="A2908" i="1" s="1"/>
  <c r="A2915" i="1" a="1"/>
  <c r="A2915" i="1" s="1"/>
  <c r="A2922" i="1" a="1"/>
  <c r="A2922" i="1" s="1"/>
  <c r="A2930" i="1" a="1"/>
  <c r="A2930" i="1" s="1"/>
  <c r="A2937" i="1" a="1"/>
  <c r="A2937" i="1" s="1"/>
  <c r="A2944" i="1" a="1"/>
  <c r="A2944" i="1" s="1"/>
  <c r="A2951" i="1" a="1"/>
  <c r="A2951" i="1" s="1"/>
  <c r="A2959" i="1" a="1"/>
  <c r="A2959" i="1" s="1"/>
  <c r="A2974" i="1" a="1"/>
  <c r="A2974" i="1" s="1"/>
  <c r="A2981" i="1" a="1"/>
  <c r="A2981" i="1" s="1"/>
  <c r="A2988" i="1" a="1"/>
  <c r="A2988" i="1" s="1"/>
  <c r="A2996" i="1" a="1"/>
  <c r="A2996" i="1" s="1"/>
  <c r="A3009" i="1" a="1"/>
  <c r="A3009" i="1" s="1"/>
  <c r="A3016" i="1" a="1"/>
  <c r="A3016" i="1" s="1"/>
  <c r="A3022" i="1" a="1"/>
  <c r="A3022" i="1" s="1"/>
  <c r="A3030" i="1" a="1"/>
  <c r="A3030" i="1" s="1"/>
  <c r="A3038" i="1" a="1"/>
  <c r="A3038" i="1" s="1"/>
  <c r="A3046" i="1" a="1"/>
  <c r="A3046" i="1" s="1"/>
  <c r="A3054" i="1" a="1"/>
  <c r="A3054" i="1" s="1"/>
  <c r="A3062" i="1" a="1"/>
  <c r="A3062" i="1" s="1"/>
  <c r="A3070" i="1" a="1"/>
  <c r="A3070" i="1" s="1"/>
  <c r="A3078" i="1" a="1"/>
  <c r="A3078" i="1" s="1"/>
  <c r="A3086" i="1" a="1"/>
  <c r="A3086" i="1" s="1"/>
  <c r="A3094" i="1" a="1"/>
  <c r="A3094" i="1" s="1"/>
  <c r="A3102" i="1" a="1"/>
  <c r="A3102" i="1" s="1"/>
  <c r="A3110" i="1" a="1"/>
  <c r="A3110" i="1" s="1"/>
  <c r="A3118" i="1" a="1"/>
  <c r="A3118" i="1" s="1"/>
  <c r="A3126" i="1" a="1"/>
  <c r="A3126" i="1" s="1"/>
  <c r="A3134" i="1" a="1"/>
  <c r="A3134" i="1" s="1"/>
  <c r="A3142" i="1" a="1"/>
  <c r="A3142" i="1" s="1"/>
  <c r="A3150" i="1" a="1"/>
  <c r="A3150" i="1" s="1"/>
  <c r="A3158" i="1" a="1"/>
  <c r="A3158" i="1" s="1"/>
  <c r="A3166" i="1" a="1"/>
  <c r="A3166" i="1" s="1"/>
  <c r="A3174" i="1" a="1"/>
  <c r="A3174" i="1" s="1"/>
  <c r="A3182" i="1" a="1"/>
  <c r="A3182" i="1" s="1"/>
  <c r="A3190" i="1" a="1"/>
  <c r="A3190" i="1" s="1"/>
  <c r="A3198" i="1" a="1"/>
  <c r="A3198" i="1" s="1"/>
  <c r="A3206" i="1" a="1"/>
  <c r="A3206" i="1" s="1"/>
  <c r="A3214" i="1" a="1"/>
  <c r="A3214" i="1" s="1"/>
  <c r="A3222" i="1" a="1"/>
  <c r="A3222" i="1" s="1"/>
  <c r="A3230" i="1" a="1"/>
  <c r="A3230" i="1" s="1"/>
  <c r="A3238" i="1" a="1"/>
  <c r="A3238" i="1" s="1"/>
  <c r="A3246" i="1" a="1"/>
  <c r="A3246" i="1" s="1"/>
  <c r="A3254" i="1" a="1"/>
  <c r="A3254" i="1" s="1"/>
  <c r="A3262" i="1" a="1"/>
  <c r="A3262" i="1" s="1"/>
  <c r="A3270" i="1" a="1"/>
  <c r="A3270" i="1" s="1"/>
  <c r="A3278" i="1" a="1"/>
  <c r="A3278" i="1" s="1"/>
  <c r="A3286" i="1" a="1"/>
  <c r="A3286" i="1" s="1"/>
  <c r="A3294" i="1" a="1"/>
  <c r="A3294" i="1" s="1"/>
  <c r="A3302" i="1" a="1"/>
  <c r="A3302" i="1" s="1"/>
  <c r="A3310" i="1" a="1"/>
  <c r="A3310" i="1" s="1"/>
  <c r="A3318" i="1" a="1"/>
  <c r="A3318" i="1" s="1"/>
  <c r="A3326" i="1" a="1"/>
  <c r="A3326" i="1" s="1"/>
  <c r="A3334" i="1" a="1"/>
  <c r="A3334" i="1" s="1"/>
  <c r="A3342" i="1" a="1"/>
  <c r="A3342" i="1" s="1"/>
  <c r="A3350" i="1" a="1"/>
  <c r="A3350" i="1" s="1"/>
  <c r="A3358" i="1" a="1"/>
  <c r="A3358" i="1" s="1"/>
  <c r="A3372" i="1" a="1"/>
  <c r="A3372" i="1" s="1"/>
  <c r="A3378" i="1" a="1"/>
  <c r="A3378" i="1" s="1"/>
  <c r="A3385" i="1" a="1"/>
  <c r="A3385" i="1" s="1"/>
  <c r="A3391" i="1" a="1"/>
  <c r="A3391" i="1" s="1"/>
  <c r="A3396" i="1" a="1"/>
  <c r="A3396" i="1" s="1"/>
  <c r="A3403" i="1" a="1"/>
  <c r="A3403" i="1" s="1"/>
  <c r="A3409" i="1" a="1"/>
  <c r="A3409" i="1" s="1"/>
  <c r="A3415" i="1" a="1"/>
  <c r="A3415" i="1" s="1"/>
  <c r="A3421" i="1" a="1"/>
  <c r="A3421" i="1" s="1"/>
  <c r="A3427" i="1" a="1"/>
  <c r="A3427" i="1" s="1"/>
  <c r="A3445" i="1" a="1"/>
  <c r="A3445" i="1" s="1"/>
  <c r="A3465" i="1" a="1"/>
  <c r="A3465" i="1" s="1"/>
  <c r="A3471" i="1" a="1"/>
  <c r="A3471" i="1" s="1"/>
  <c r="A3476" i="1" a="1"/>
  <c r="A3476" i="1" s="1"/>
  <c r="A3483" i="1" a="1"/>
  <c r="A3483" i="1" s="1"/>
  <c r="A3495" i="1" a="1"/>
  <c r="A3495" i="1" s="1"/>
  <c r="A3502" i="1" a="1"/>
  <c r="A3502" i="1" s="1"/>
  <c r="A3510" i="1" a="1"/>
  <c r="A3510" i="1" s="1"/>
  <c r="A3518" i="1" a="1"/>
  <c r="A3518" i="1" s="1"/>
  <c r="A3526" i="1" a="1"/>
  <c r="A3526" i="1" s="1"/>
  <c r="A3534" i="1" a="1"/>
  <c r="A3534" i="1" s="1"/>
  <c r="A3542" i="1" a="1"/>
  <c r="A3542" i="1" s="1"/>
  <c r="A3550" i="1" a="1"/>
  <c r="A3550" i="1" s="1"/>
  <c r="A3558" i="1" a="1"/>
  <c r="A3558" i="1" s="1"/>
  <c r="A3566" i="1" a="1"/>
  <c r="A3566" i="1" s="1"/>
  <c r="A3574" i="1" a="1"/>
  <c r="A3574" i="1" s="1"/>
  <c r="A3582" i="1" a="1"/>
  <c r="A3582" i="1" s="1"/>
  <c r="A3590" i="1" a="1"/>
  <c r="A3590" i="1" s="1"/>
  <c r="A3598" i="1" a="1"/>
  <c r="A3598" i="1" s="1"/>
  <c r="A1395" i="1" a="1"/>
  <c r="A1395" i="1" s="1"/>
  <c r="A1585" i="1" a="1"/>
  <c r="A1585" i="1" s="1"/>
  <c r="A1629" i="1" a="1"/>
  <c r="A1629" i="1" s="1"/>
  <c r="A1791" i="1" a="1"/>
  <c r="A1791" i="1" s="1"/>
  <c r="A1838" i="1" a="1"/>
  <c r="A1838" i="1" s="1"/>
  <c r="A1884" i="1" a="1"/>
  <c r="A1884" i="1" s="1"/>
  <c r="A1931" i="1" a="1"/>
  <c r="A1931" i="1" s="1"/>
  <c r="A1978" i="1" a="1"/>
  <c r="A1978" i="1" s="1"/>
  <c r="A2019" i="1" a="1"/>
  <c r="A2019" i="1" s="1"/>
  <c r="A2064" i="1" a="1"/>
  <c r="A2064" i="1" s="1"/>
  <c r="A2117" i="1" a="1"/>
  <c r="A2117" i="1" s="1"/>
  <c r="A2176" i="1" a="1"/>
  <c r="A2176" i="1" s="1"/>
  <c r="A2233" i="1" a="1"/>
  <c r="A2233" i="1" s="1"/>
  <c r="A2290" i="1" a="1"/>
  <c r="A2290" i="1" s="1"/>
  <c r="A2347" i="1" a="1"/>
  <c r="A2347" i="1" s="1"/>
  <c r="A2404" i="1" a="1"/>
  <c r="A2404" i="1" s="1"/>
  <c r="A2462" i="1" a="1"/>
  <c r="A2462" i="1" s="1"/>
  <c r="A2520" i="1" a="1"/>
  <c r="A2520" i="1" s="1"/>
  <c r="A2545" i="1" a="1"/>
  <c r="A2545" i="1" s="1"/>
  <c r="A2551" i="1" a="1"/>
  <c r="A2551" i="1" s="1"/>
  <c r="A2559" i="1" a="1"/>
  <c r="A2559" i="1" s="1"/>
  <c r="A2566" i="1" a="1"/>
  <c r="A2566" i="1" s="1"/>
  <c r="A2573" i="1" a="1"/>
  <c r="A2573" i="1" s="1"/>
  <c r="A2580" i="1" a="1"/>
  <c r="A2580" i="1" s="1"/>
  <c r="A2587" i="1" a="1"/>
  <c r="A2587" i="1" s="1"/>
  <c r="A2594" i="1" a="1"/>
  <c r="A2594" i="1" s="1"/>
  <c r="A2601" i="1" a="1"/>
  <c r="A2601" i="1" s="1"/>
  <c r="A2609" i="1" a="1"/>
  <c r="A2609" i="1" s="1"/>
  <c r="A2615" i="1" a="1"/>
  <c r="A2615" i="1" s="1"/>
  <c r="A2623" i="1" a="1"/>
  <c r="A2623" i="1" s="1"/>
  <c r="A2630" i="1" a="1"/>
  <c r="A2630" i="1" s="1"/>
  <c r="A2637" i="1" a="1"/>
  <c r="A2637" i="1" s="1"/>
  <c r="A2647" i="1" a="1"/>
  <c r="A2647" i="1" s="1"/>
  <c r="A2652" i="1" a="1"/>
  <c r="A2652" i="1" s="1"/>
  <c r="A2661" i="1" a="1"/>
  <c r="A2661" i="1" s="1"/>
  <c r="A2666" i="1" a="1"/>
  <c r="A2666" i="1" s="1"/>
  <c r="A2671" i="1" a="1"/>
  <c r="A2671" i="1" s="1"/>
  <c r="A2677" i="1" a="1"/>
  <c r="A2677" i="1" s="1"/>
  <c r="A2682" i="1" a="1"/>
  <c r="A2682" i="1" s="1"/>
  <c r="A2687" i="1" a="1"/>
  <c r="A2687" i="1" s="1"/>
  <c r="A2693" i="1" a="1"/>
  <c r="A2693" i="1" s="1"/>
  <c r="A2699" i="1" a="1"/>
  <c r="A2699" i="1" s="1"/>
  <c r="A2706" i="1" a="1"/>
  <c r="A2706" i="1" s="1"/>
  <c r="A2712" i="1" a="1"/>
  <c r="A2712" i="1" s="1"/>
  <c r="A2725" i="1" a="1"/>
  <c r="A2725" i="1" s="1"/>
  <c r="A2731" i="1" a="1"/>
  <c r="A2731" i="1" s="1"/>
  <c r="A2738" i="1" a="1"/>
  <c r="A2738" i="1" s="1"/>
  <c r="A2744" i="1" a="1"/>
  <c r="A2744" i="1" s="1"/>
  <c r="A2758" i="1" a="1"/>
  <c r="A2758" i="1" s="1"/>
  <c r="A2765" i="1" a="1"/>
  <c r="A2765" i="1" s="1"/>
  <c r="A2772" i="1" a="1"/>
  <c r="A2772" i="1" s="1"/>
  <c r="A2779" i="1" a="1"/>
  <c r="A2779" i="1" s="1"/>
  <c r="A2786" i="1" a="1"/>
  <c r="A2786" i="1" s="1"/>
  <c r="A2793" i="1" a="1"/>
  <c r="A2793" i="1" s="1"/>
  <c r="A2800" i="1" a="1"/>
  <c r="A2800" i="1" s="1"/>
  <c r="A2807" i="1" a="1"/>
  <c r="A2807" i="1" s="1"/>
  <c r="A2822" i="1" a="1"/>
  <c r="A2822" i="1" s="1"/>
  <c r="A2829" i="1" a="1"/>
  <c r="A2829" i="1" s="1"/>
  <c r="A2836" i="1" a="1"/>
  <c r="A2836" i="1" s="1"/>
  <c r="A2843" i="1" a="1"/>
  <c r="A2843" i="1" s="1"/>
  <c r="A2850" i="1" a="1"/>
  <c r="A2850" i="1" s="1"/>
  <c r="A2857" i="1" a="1"/>
  <c r="A2857" i="1" s="1"/>
  <c r="A2865" i="1" a="1"/>
  <c r="A2865" i="1" s="1"/>
  <c r="A2872" i="1" a="1"/>
  <c r="A2872" i="1" s="1"/>
  <c r="A2879" i="1" a="1"/>
  <c r="A2879" i="1" s="1"/>
  <c r="A2894" i="1" a="1"/>
  <c r="A2894" i="1" s="1"/>
  <c r="A2902" i="1" a="1"/>
  <c r="A2902" i="1" s="1"/>
  <c r="A2909" i="1" a="1"/>
  <c r="A2909" i="1" s="1"/>
  <c r="A2916" i="1" a="1"/>
  <c r="A2916" i="1" s="1"/>
  <c r="A2923" i="1" a="1"/>
  <c r="A2923" i="1" s="1"/>
  <c r="A2931" i="1" a="1"/>
  <c r="A2931" i="1" s="1"/>
  <c r="A2938" i="1" a="1"/>
  <c r="A2938" i="1" s="1"/>
  <c r="A2945" i="1" a="1"/>
  <c r="A2945" i="1" s="1"/>
  <c r="A2952" i="1" a="1"/>
  <c r="A2952" i="1" s="1"/>
  <c r="A2960" i="1" a="1"/>
  <c r="A2960" i="1" s="1"/>
  <c r="A2967" i="1" a="1"/>
  <c r="A2967" i="1" s="1"/>
  <c r="A2982" i="1" a="1"/>
  <c r="A2982" i="1" s="1"/>
  <c r="A2989" i="1" a="1"/>
  <c r="A2989" i="1" s="1"/>
  <c r="A2997" i="1" a="1"/>
  <c r="A2997" i="1" s="1"/>
  <c r="A3003" i="1" a="1"/>
  <c r="A3003" i="1" s="1"/>
  <c r="A3010" i="1" a="1"/>
  <c r="A3010" i="1" s="1"/>
  <c r="A3017" i="1" a="1"/>
  <c r="A3017" i="1" s="1"/>
  <c r="A3023" i="1" a="1"/>
  <c r="A3023" i="1" s="1"/>
  <c r="A3031" i="1" a="1"/>
  <c r="A3031" i="1" s="1"/>
  <c r="A3039" i="1" a="1"/>
  <c r="A3039" i="1" s="1"/>
  <c r="A3047" i="1" a="1"/>
  <c r="A3047" i="1" s="1"/>
  <c r="A3055" i="1" a="1"/>
  <c r="A3055" i="1" s="1"/>
  <c r="A3063" i="1" a="1"/>
  <c r="A3063" i="1" s="1"/>
  <c r="A3071" i="1" a="1"/>
  <c r="A3071" i="1" s="1"/>
  <c r="A3079" i="1" a="1"/>
  <c r="A3079" i="1" s="1"/>
  <c r="A3087" i="1" a="1"/>
  <c r="A3087" i="1" s="1"/>
  <c r="A3095" i="1" a="1"/>
  <c r="A3095" i="1" s="1"/>
  <c r="A3103" i="1" a="1"/>
  <c r="A3103" i="1" s="1"/>
  <c r="A3111" i="1" a="1"/>
  <c r="A3111" i="1" s="1"/>
  <c r="A3119" i="1" a="1"/>
  <c r="A3119" i="1" s="1"/>
  <c r="A3127" i="1" a="1"/>
  <c r="A3127" i="1" s="1"/>
  <c r="A3135" i="1" a="1"/>
  <c r="A3135" i="1" s="1"/>
  <c r="A3143" i="1" a="1"/>
  <c r="A3143" i="1" s="1"/>
  <c r="A3151" i="1" a="1"/>
  <c r="A3151" i="1" s="1"/>
  <c r="A3159" i="1" a="1"/>
  <c r="A3159" i="1" s="1"/>
  <c r="A3167" i="1" a="1"/>
  <c r="A3167" i="1" s="1"/>
  <c r="A3175" i="1" a="1"/>
  <c r="A3175" i="1" s="1"/>
  <c r="A3183" i="1" a="1"/>
  <c r="A3183" i="1" s="1"/>
  <c r="A3191" i="1" a="1"/>
  <c r="A3191" i="1" s="1"/>
  <c r="A3199" i="1" a="1"/>
  <c r="A3199" i="1" s="1"/>
  <c r="A3207" i="1" a="1"/>
  <c r="A3207" i="1" s="1"/>
  <c r="A3215" i="1" a="1"/>
  <c r="A3215" i="1" s="1"/>
  <c r="A3223" i="1" a="1"/>
  <c r="A3223" i="1" s="1"/>
  <c r="A3231" i="1" a="1"/>
  <c r="A3231" i="1" s="1"/>
  <c r="A3239" i="1" a="1"/>
  <c r="A3239" i="1" s="1"/>
  <c r="A3247" i="1" a="1"/>
  <c r="A3247" i="1" s="1"/>
  <c r="A3255" i="1" a="1"/>
  <c r="A3255" i="1" s="1"/>
  <c r="A3263" i="1" a="1"/>
  <c r="A3263" i="1" s="1"/>
  <c r="A3271" i="1" a="1"/>
  <c r="A3271" i="1" s="1"/>
  <c r="A3279" i="1" a="1"/>
  <c r="A3279" i="1" s="1"/>
  <c r="A3287" i="1" a="1"/>
  <c r="A3287" i="1" s="1"/>
  <c r="A3295" i="1" a="1"/>
  <c r="A3295" i="1" s="1"/>
  <c r="A3303" i="1" a="1"/>
  <c r="A3303" i="1" s="1"/>
  <c r="A3311" i="1" a="1"/>
  <c r="A3311" i="1" s="1"/>
  <c r="A3319" i="1" a="1"/>
  <c r="A3319" i="1" s="1"/>
  <c r="A3327" i="1" a="1"/>
  <c r="A3327" i="1" s="1"/>
  <c r="A3335" i="1" a="1"/>
  <c r="A3335" i="1" s="1"/>
  <c r="A3343" i="1" a="1"/>
  <c r="A3343" i="1" s="1"/>
  <c r="A3351" i="1" a="1"/>
  <c r="A3351" i="1" s="1"/>
  <c r="A3359" i="1" a="1"/>
  <c r="A3359" i="1" s="1"/>
  <c r="A3366" i="1" a="1"/>
  <c r="A3366" i="1" s="1"/>
  <c r="A3373" i="1" a="1"/>
  <c r="A3373" i="1" s="1"/>
  <c r="A3379" i="1" a="1"/>
  <c r="A3379" i="1" s="1"/>
  <c r="A3397" i="1" a="1"/>
  <c r="A3397" i="1" s="1"/>
  <c r="A3416" i="1" a="1"/>
  <c r="A3416" i="1" s="1"/>
  <c r="A3422" i="1" a="1"/>
  <c r="A3422" i="1" s="1"/>
  <c r="A3434" i="1" a="1"/>
  <c r="A3434" i="1" s="1"/>
  <c r="A3440" i="1" a="1"/>
  <c r="A3440" i="1" s="1"/>
  <c r="A3446" i="1" a="1"/>
  <c r="A3446" i="1" s="1"/>
  <c r="A3452" i="1" a="1"/>
  <c r="A3452" i="1" s="1"/>
  <c r="A3458" i="1" a="1"/>
  <c r="A3458" i="1" s="1"/>
  <c r="A3477" i="1" a="1"/>
  <c r="A3477" i="1" s="1"/>
  <c r="A3489" i="1" a="1"/>
  <c r="A3489" i="1" s="1"/>
  <c r="A3496" i="1" a="1"/>
  <c r="A3496" i="1" s="1"/>
  <c r="A3503" i="1" a="1"/>
  <c r="A3503" i="1" s="1"/>
  <c r="A3511" i="1" a="1"/>
  <c r="A3511" i="1" s="1"/>
  <c r="A3519" i="1" a="1"/>
  <c r="A3519" i="1" s="1"/>
  <c r="A3527" i="1" a="1"/>
  <c r="A3527" i="1" s="1"/>
  <c r="A3535" i="1" a="1"/>
  <c r="A3535" i="1" s="1"/>
  <c r="A3543" i="1" a="1"/>
  <c r="A3543" i="1" s="1"/>
  <c r="A3551" i="1" a="1"/>
  <c r="A3551" i="1" s="1"/>
  <c r="A3559" i="1" a="1"/>
  <c r="A3559" i="1" s="1"/>
  <c r="A3567" i="1" a="1"/>
  <c r="A3567" i="1" s="1"/>
  <c r="A3575" i="1" a="1"/>
  <c r="A3575" i="1" s="1"/>
  <c r="A1433" i="1" a="1"/>
  <c r="A1433" i="1" s="1"/>
  <c r="A1592" i="1" a="1"/>
  <c r="A1592" i="1" s="1"/>
  <c r="A1674" i="1" a="1"/>
  <c r="A1674" i="1" s="1"/>
  <c r="A1713" i="1" a="1"/>
  <c r="A1713" i="1" s="1"/>
  <c r="A1797" i="1" a="1"/>
  <c r="A1797" i="1" s="1"/>
  <c r="A1891" i="1" a="1"/>
  <c r="A1891" i="1" s="1"/>
  <c r="A1937" i="1" a="1"/>
  <c r="A1937" i="1" s="1"/>
  <c r="A2024" i="1" a="1"/>
  <c r="A2024" i="1" s="1"/>
  <c r="A2125" i="1" a="1"/>
  <c r="A2125" i="1" s="1"/>
  <c r="A2241" i="1" a="1"/>
  <c r="A2241" i="1" s="1"/>
  <c r="A2297" i="1" a="1"/>
  <c r="A2297" i="1" s="1"/>
  <c r="A2354" i="1" a="1"/>
  <c r="A2354" i="1" s="1"/>
  <c r="A2411" i="1" a="1"/>
  <c r="A2411" i="1" s="1"/>
  <c r="A2470" i="1" a="1"/>
  <c r="A2470" i="1" s="1"/>
  <c r="A2528" i="1" a="1"/>
  <c r="A2528" i="1" s="1"/>
  <c r="A2552" i="1" a="1"/>
  <c r="A2552" i="1" s="1"/>
  <c r="A2560" i="1" a="1"/>
  <c r="A2560" i="1" s="1"/>
  <c r="A2574" i="1" a="1"/>
  <c r="A2574" i="1" s="1"/>
  <c r="A2581" i="1" a="1"/>
  <c r="A2581" i="1" s="1"/>
  <c r="A2588" i="1" a="1"/>
  <c r="A2588" i="1" s="1"/>
  <c r="A2595" i="1" a="1"/>
  <c r="A2595" i="1" s="1"/>
  <c r="A2602" i="1" a="1"/>
  <c r="A2602" i="1" s="1"/>
  <c r="A2616" i="1" a="1"/>
  <c r="A2616" i="1" s="1"/>
  <c r="A2624" i="1" a="1"/>
  <c r="A2624" i="1" s="1"/>
  <c r="A2638" i="1" a="1"/>
  <c r="A2638" i="1" s="1"/>
  <c r="A2643" i="1" a="1"/>
  <c r="A2643" i="1" s="1"/>
  <c r="A2648" i="1" a="1"/>
  <c r="A2648" i="1" s="1"/>
  <c r="A2657" i="1" a="1"/>
  <c r="A2657" i="1" s="1"/>
  <c r="A2672" i="1" a="1"/>
  <c r="A2672" i="1" s="1"/>
  <c r="A2688" i="1" a="1"/>
  <c r="A2688" i="1" s="1"/>
  <c r="A2694" i="1" a="1"/>
  <c r="A2694" i="1" s="1"/>
  <c r="A2700" i="1" a="1"/>
  <c r="A2700" i="1" s="1"/>
  <c r="A2713" i="1" a="1"/>
  <c r="A2713" i="1" s="1"/>
  <c r="A2719" i="1" a="1"/>
  <c r="A2719" i="1" s="1"/>
  <c r="A2726" i="1" a="1"/>
  <c r="A2726" i="1" s="1"/>
  <c r="A2732" i="1" a="1"/>
  <c r="A2732" i="1" s="1"/>
  <c r="A2745" i="1" a="1"/>
  <c r="A2745" i="1" s="1"/>
  <c r="A2751" i="1" a="1"/>
  <c r="A2751" i="1" s="1"/>
  <c r="A2766" i="1" a="1"/>
  <c r="A2766" i="1" s="1"/>
  <c r="A2773" i="1" a="1"/>
  <c r="A2773" i="1" s="1"/>
  <c r="A2780" i="1" a="1"/>
  <c r="A2780" i="1" s="1"/>
  <c r="A2787" i="1" a="1"/>
  <c r="A2787" i="1" s="1"/>
  <c r="A2794" i="1" a="1"/>
  <c r="A2794" i="1" s="1"/>
  <c r="A2801" i="1" a="1"/>
  <c r="A2801" i="1" s="1"/>
  <c r="A2808" i="1" a="1"/>
  <c r="A2808" i="1" s="1"/>
  <c r="A2815" i="1" a="1"/>
  <c r="A2815" i="1" s="1"/>
  <c r="A2830" i="1" a="1"/>
  <c r="A2830" i="1" s="1"/>
  <c r="A2837" i="1" a="1"/>
  <c r="A2837" i="1" s="1"/>
  <c r="A2844" i="1" a="1"/>
  <c r="A2844" i="1" s="1"/>
  <c r="A2851" i="1" a="1"/>
  <c r="A2851" i="1" s="1"/>
  <c r="A2858" i="1" a="1"/>
  <c r="A2858" i="1" s="1"/>
  <c r="A2866" i="1" a="1"/>
  <c r="A2866" i="1" s="1"/>
  <c r="A2873" i="1" a="1"/>
  <c r="A2873" i="1" s="1"/>
  <c r="A2880" i="1" a="1"/>
  <c r="A2880" i="1" s="1"/>
  <c r="A2887" i="1" a="1"/>
  <c r="A2887" i="1" s="1"/>
  <c r="A2895" i="1" a="1"/>
  <c r="A2895" i="1" s="1"/>
  <c r="A2910" i="1" a="1"/>
  <c r="A2910" i="1" s="1"/>
  <c r="A2917" i="1" a="1"/>
  <c r="A2917" i="1" s="1"/>
  <c r="A2924" i="1" a="1"/>
  <c r="A2924" i="1" s="1"/>
  <c r="A2932" i="1" a="1"/>
  <c r="A2932" i="1" s="1"/>
  <c r="A2939" i="1" a="1"/>
  <c r="A2939" i="1" s="1"/>
  <c r="A2946" i="1" a="1"/>
  <c r="A2946" i="1" s="1"/>
  <c r="A2953" i="1" a="1"/>
  <c r="A2953" i="1" s="1"/>
  <c r="A2961" i="1" a="1"/>
  <c r="A2961" i="1" s="1"/>
  <c r="A2968" i="1" a="1"/>
  <c r="A2968" i="1" s="1"/>
  <c r="A2975" i="1" a="1"/>
  <c r="A2975" i="1" s="1"/>
  <c r="A2990" i="1" a="1"/>
  <c r="A2990" i="1" s="1"/>
  <c r="A2998" i="1" a="1"/>
  <c r="A2998" i="1" s="1"/>
  <c r="A3004" i="1" a="1"/>
  <c r="A3004" i="1" s="1"/>
  <c r="A3011" i="1" a="1"/>
  <c r="A3011" i="1" s="1"/>
  <c r="A3018" i="1" a="1"/>
  <c r="A3018" i="1" s="1"/>
  <c r="A3024" i="1" a="1"/>
  <c r="A3024" i="1" s="1"/>
  <c r="A3032" i="1" a="1"/>
  <c r="A3032" i="1" s="1"/>
  <c r="A3040" i="1" a="1"/>
  <c r="A3040" i="1" s="1"/>
  <c r="A3048" i="1" a="1"/>
  <c r="A3048" i="1" s="1"/>
  <c r="A3056" i="1" a="1"/>
  <c r="A3056" i="1" s="1"/>
  <c r="A3064" i="1" a="1"/>
  <c r="A3064" i="1" s="1"/>
  <c r="A3072" i="1" a="1"/>
  <c r="A3072" i="1" s="1"/>
  <c r="A3080" i="1" a="1"/>
  <c r="A3080" i="1" s="1"/>
  <c r="A3088" i="1" a="1"/>
  <c r="A3088" i="1" s="1"/>
  <c r="A3096" i="1" a="1"/>
  <c r="A3096" i="1" s="1"/>
  <c r="A3104" i="1" a="1"/>
  <c r="A3104" i="1" s="1"/>
  <c r="A3112" i="1" a="1"/>
  <c r="A3112" i="1" s="1"/>
  <c r="A3120" i="1" a="1"/>
  <c r="A3120" i="1" s="1"/>
  <c r="A3128" i="1" a="1"/>
  <c r="A3128" i="1" s="1"/>
  <c r="A3136" i="1" a="1"/>
  <c r="A3136" i="1" s="1"/>
  <c r="A3144" i="1" a="1"/>
  <c r="A3144" i="1" s="1"/>
  <c r="A3152" i="1" a="1"/>
  <c r="A3152" i="1" s="1"/>
  <c r="A3160" i="1" a="1"/>
  <c r="A3160" i="1" s="1"/>
  <c r="A3168" i="1" a="1"/>
  <c r="A3168" i="1" s="1"/>
  <c r="A3176" i="1" a="1"/>
  <c r="A3176" i="1" s="1"/>
  <c r="A3184" i="1" a="1"/>
  <c r="A3184" i="1" s="1"/>
  <c r="A3192" i="1" a="1"/>
  <c r="A3192" i="1" s="1"/>
  <c r="A3200" i="1" a="1"/>
  <c r="A3200" i="1" s="1"/>
  <c r="A3208" i="1" a="1"/>
  <c r="A3208" i="1" s="1"/>
  <c r="A3216" i="1" a="1"/>
  <c r="A3216" i="1" s="1"/>
  <c r="A3224" i="1" a="1"/>
  <c r="A3224" i="1" s="1"/>
  <c r="A3232" i="1" a="1"/>
  <c r="A3232" i="1" s="1"/>
  <c r="A3240" i="1" a="1"/>
  <c r="A3240" i="1" s="1"/>
  <c r="A3248" i="1" a="1"/>
  <c r="A3248" i="1" s="1"/>
  <c r="A3256" i="1" a="1"/>
  <c r="A3256" i="1" s="1"/>
  <c r="A3264" i="1" a="1"/>
  <c r="A3264" i="1" s="1"/>
  <c r="A3272" i="1" a="1"/>
  <c r="A3272" i="1" s="1"/>
  <c r="A3280" i="1" a="1"/>
  <c r="A3280" i="1" s="1"/>
  <c r="A3288" i="1" a="1"/>
  <c r="A3288" i="1" s="1"/>
  <c r="A3296" i="1" a="1"/>
  <c r="A3296" i="1" s="1"/>
  <c r="A3304" i="1" a="1"/>
  <c r="A3304" i="1" s="1"/>
  <c r="A3312" i="1" a="1"/>
  <c r="A3312" i="1" s="1"/>
  <c r="A3320" i="1" a="1"/>
  <c r="A3320" i="1" s="1"/>
  <c r="A3328" i="1" a="1"/>
  <c r="A3328" i="1" s="1"/>
  <c r="A3336" i="1" a="1"/>
  <c r="A3336" i="1" s="1"/>
  <c r="A3344" i="1" a="1"/>
  <c r="A3344" i="1" s="1"/>
  <c r="A3352" i="1" a="1"/>
  <c r="A3352" i="1" s="1"/>
  <c r="A3360" i="1" a="1"/>
  <c r="A3360" i="1" s="1"/>
  <c r="A3367" i="1" a="1"/>
  <c r="A3367" i="1" s="1"/>
  <c r="A3374" i="1" a="1"/>
  <c r="A3374" i="1" s="1"/>
  <c r="A3386" i="1" a="1"/>
  <c r="A3386" i="1" s="1"/>
  <c r="A3392" i="1" a="1"/>
  <c r="A3392" i="1" s="1"/>
  <c r="A3398" i="1" a="1"/>
  <c r="A3398" i="1" s="1"/>
  <c r="A3404" i="1" a="1"/>
  <c r="A3404" i="1" s="1"/>
  <c r="A3410" i="1" a="1"/>
  <c r="A3410" i="1" s="1"/>
  <c r="A3417" i="1" a="1"/>
  <c r="A3417" i="1" s="1"/>
  <c r="A3423" i="1" a="1"/>
  <c r="A3423" i="1" s="1"/>
  <c r="A3428" i="1" a="1"/>
  <c r="A3428" i="1" s="1"/>
  <c r="A3435" i="1" a="1"/>
  <c r="A3435" i="1" s="1"/>
  <c r="A3441" i="1" a="1"/>
  <c r="A3441" i="1" s="1"/>
  <c r="A3447" i="1" a="1"/>
  <c r="A3447" i="1" s="1"/>
  <c r="A3453" i="1" a="1"/>
  <c r="A3453" i="1" s="1"/>
  <c r="A3459" i="1" a="1"/>
  <c r="A3459" i="1" s="1"/>
  <c r="A3466" i="1" a="1"/>
  <c r="A3466" i="1" s="1"/>
  <c r="A3472" i="1" a="1"/>
  <c r="A3472" i="1" s="1"/>
  <c r="A3478" i="1" a="1"/>
  <c r="A3478" i="1" s="1"/>
  <c r="A3484" i="1" a="1"/>
  <c r="A3484" i="1" s="1"/>
  <c r="A3490" i="1" a="1"/>
  <c r="A3490" i="1" s="1"/>
  <c r="A3504" i="1" a="1"/>
  <c r="A3504" i="1" s="1"/>
  <c r="A3512" i="1" a="1"/>
  <c r="A3512" i="1" s="1"/>
  <c r="A3520" i="1" a="1"/>
  <c r="A3520" i="1" s="1"/>
  <c r="A3528" i="1" a="1"/>
  <c r="A3528" i="1" s="1"/>
  <c r="A3536" i="1" a="1"/>
  <c r="A3536" i="1" s="1"/>
  <c r="A3544" i="1" a="1"/>
  <c r="A3544" i="1" s="1"/>
  <c r="A3552" i="1" a="1"/>
  <c r="A3552" i="1" s="1"/>
  <c r="A3560" i="1" a="1"/>
  <c r="A3560" i="1" s="1"/>
  <c r="A3568" i="1" a="1"/>
  <c r="A3568" i="1" s="1"/>
  <c r="A3576" i="1" a="1"/>
  <c r="A3576" i="1" s="1"/>
  <c r="A3584" i="1" a="1"/>
  <c r="A3584" i="1" s="1"/>
  <c r="A3592" i="1" a="1"/>
  <c r="A3592" i="1" s="1"/>
  <c r="A3600" i="1" a="1"/>
  <c r="A3600" i="1" s="1"/>
  <c r="A3065" i="1" a="1"/>
  <c r="A3065" i="1" s="1"/>
  <c r="A3129" i="1" a="1"/>
  <c r="A3129" i="1" s="1"/>
  <c r="A3193" i="1" a="1"/>
  <c r="A3193" i="1" s="1"/>
  <c r="A3257" i="1" a="1"/>
  <c r="A3257" i="1" s="1"/>
  <c r="A3321" i="1" a="1"/>
  <c r="A3321" i="1" s="1"/>
  <c r="A3380" i="1" a="1"/>
  <c r="A3380" i="1" s="1"/>
  <c r="A3429" i="1" a="1"/>
  <c r="A3429" i="1" s="1"/>
  <c r="A3479" i="1" a="1"/>
  <c r="A3479" i="1" s="1"/>
  <c r="A3537" i="1" a="1"/>
  <c r="A3537" i="1" s="1"/>
  <c r="A3591" i="1" a="1"/>
  <c r="A3591" i="1" s="1"/>
  <c r="A3607" i="1" a="1"/>
  <c r="A3607" i="1" s="1"/>
  <c r="A3615" i="1" a="1"/>
  <c r="A3615" i="1" s="1"/>
  <c r="A3623" i="1" a="1"/>
  <c r="A3623" i="1" s="1"/>
  <c r="A3631" i="1" a="1"/>
  <c r="A3631" i="1" s="1"/>
  <c r="A3639" i="1" a="1"/>
  <c r="A3639" i="1" s="1"/>
  <c r="A3647" i="1" a="1"/>
  <c r="A3647" i="1" s="1"/>
  <c r="A3655" i="1" a="1"/>
  <c r="A3655" i="1" s="1"/>
  <c r="A3663" i="1" a="1"/>
  <c r="A3663" i="1" s="1"/>
  <c r="A3671" i="1" a="1"/>
  <c r="A3671" i="1" s="1"/>
  <c r="A3679" i="1" a="1"/>
  <c r="A3679" i="1" s="1"/>
  <c r="A3687" i="1" a="1"/>
  <c r="A3687" i="1" s="1"/>
  <c r="A3695" i="1" a="1"/>
  <c r="A3695" i="1" s="1"/>
  <c r="A3703" i="1" a="1"/>
  <c r="A3703" i="1" s="1"/>
  <c r="A3711" i="1" a="1"/>
  <c r="A3711" i="1" s="1"/>
  <c r="A3719" i="1" a="1"/>
  <c r="A3719" i="1" s="1"/>
  <c r="A3727" i="1" a="1"/>
  <c r="A3727" i="1" s="1"/>
  <c r="A3735" i="1" a="1"/>
  <c r="A3735" i="1" s="1"/>
  <c r="A3743" i="1" a="1"/>
  <c r="A3743" i="1" s="1"/>
  <c r="A3751" i="1" a="1"/>
  <c r="A3751" i="1" s="1"/>
  <c r="A3759" i="1" a="1"/>
  <c r="A3759" i="1" s="1"/>
  <c r="A3767" i="1" a="1"/>
  <c r="A3767" i="1" s="1"/>
  <c r="A3775" i="1" a="1"/>
  <c r="A3775" i="1" s="1"/>
  <c r="A3783" i="1" a="1"/>
  <c r="A3783" i="1" s="1"/>
  <c r="A3791" i="1" a="1"/>
  <c r="A3791" i="1" s="1"/>
  <c r="A3799" i="1" a="1"/>
  <c r="A3799" i="1" s="1"/>
  <c r="A3807" i="1" a="1"/>
  <c r="A3807" i="1" s="1"/>
  <c r="A3815" i="1" a="1"/>
  <c r="A3815" i="1" s="1"/>
  <c r="A3823" i="1" a="1"/>
  <c r="A3823" i="1" s="1"/>
  <c r="A3831" i="1" a="1"/>
  <c r="A3831" i="1" s="1"/>
  <c r="A3839" i="1" a="1"/>
  <c r="A3839" i="1" s="1"/>
  <c r="A3847" i="1" a="1"/>
  <c r="A3847" i="1" s="1"/>
  <c r="A3855" i="1" a="1"/>
  <c r="A3855" i="1" s="1"/>
  <c r="A3863" i="1" a="1"/>
  <c r="A3863" i="1" s="1"/>
  <c r="A3871" i="1" a="1"/>
  <c r="A3871" i="1" s="1"/>
  <c r="A3879" i="1" a="1"/>
  <c r="A3879" i="1" s="1"/>
  <c r="A3887" i="1" a="1"/>
  <c r="A3887" i="1" s="1"/>
  <c r="A3895" i="1" a="1"/>
  <c r="A3895" i="1" s="1"/>
  <c r="A3903" i="1" a="1"/>
  <c r="A3903" i="1" s="1"/>
  <c r="A3911" i="1" a="1"/>
  <c r="A3911" i="1" s="1"/>
  <c r="A3919" i="1" a="1"/>
  <c r="A3919" i="1" s="1"/>
  <c r="A3927" i="1" a="1"/>
  <c r="A3927" i="1" s="1"/>
  <c r="A3935" i="1" a="1"/>
  <c r="A3935" i="1" s="1"/>
  <c r="A3943" i="1" a="1"/>
  <c r="A3943" i="1" s="1"/>
  <c r="A3951" i="1" a="1"/>
  <c r="A3951" i="1" s="1"/>
  <c r="A3959" i="1" a="1"/>
  <c r="A3959" i="1" s="1"/>
  <c r="A3967" i="1" a="1"/>
  <c r="A3967" i="1" s="1"/>
  <c r="A3975" i="1" a="1"/>
  <c r="A3975" i="1" s="1"/>
  <c r="A3983" i="1" a="1"/>
  <c r="A3983" i="1" s="1"/>
  <c r="A3991" i="1" a="1"/>
  <c r="A3991" i="1" s="1"/>
  <c r="A3999" i="1" a="1"/>
  <c r="A3999" i="1" s="1"/>
  <c r="A4007" i="1" a="1"/>
  <c r="A4007" i="1" s="1"/>
  <c r="A4015" i="1" a="1"/>
  <c r="A4015" i="1" s="1"/>
  <c r="A4023" i="1" a="1"/>
  <c r="A4023" i="1" s="1"/>
  <c r="A4031" i="1" a="1"/>
  <c r="A4031" i="1" s="1"/>
  <c r="A4039" i="1" a="1"/>
  <c r="A4039" i="1" s="1"/>
  <c r="A4047" i="1" a="1"/>
  <c r="A4047" i="1" s="1"/>
  <c r="A4055" i="1" a="1"/>
  <c r="A4055" i="1" s="1"/>
  <c r="A4063" i="1" a="1"/>
  <c r="A4063" i="1" s="1"/>
  <c r="A4071" i="1" a="1"/>
  <c r="A4071" i="1" s="1"/>
  <c r="A4079" i="1" a="1"/>
  <c r="A4079" i="1" s="1"/>
  <c r="A4087" i="1" a="1"/>
  <c r="A4087" i="1" s="1"/>
  <c r="A4095" i="1" a="1"/>
  <c r="A4095" i="1" s="1"/>
  <c r="A4103" i="1" a="1"/>
  <c r="A4103" i="1" s="1"/>
  <c r="A4111" i="1" a="1"/>
  <c r="A4111" i="1" s="1"/>
  <c r="A4119" i="1" a="1"/>
  <c r="A4119" i="1" s="1"/>
  <c r="A4127" i="1" a="1"/>
  <c r="A4127" i="1" s="1"/>
  <c r="A4135" i="1" a="1"/>
  <c r="A4135" i="1" s="1"/>
  <c r="A4141" i="1" a="1"/>
  <c r="A4141" i="1" s="1"/>
  <c r="A4146" i="1" a="1"/>
  <c r="A4146" i="1" s="1"/>
  <c r="A4152" i="1" a="1"/>
  <c r="A4152" i="1" s="1"/>
  <c r="A4159" i="1" a="1"/>
  <c r="A4159" i="1" s="1"/>
  <c r="A4167" i="1" a="1"/>
  <c r="A4167" i="1" s="1"/>
  <c r="A4175" i="1" a="1"/>
  <c r="A4175" i="1" s="1"/>
  <c r="A4183" i="1" a="1"/>
  <c r="A4183" i="1" s="1"/>
  <c r="A4191" i="1" a="1"/>
  <c r="A4191" i="1" s="1"/>
  <c r="A4199" i="1" a="1"/>
  <c r="A4199" i="1" s="1"/>
  <c r="A4207" i="1" a="1"/>
  <c r="A4207" i="1" s="1"/>
  <c r="A4215" i="1" a="1"/>
  <c r="A4215" i="1" s="1"/>
  <c r="A4223" i="1" a="1"/>
  <c r="A4223" i="1" s="1"/>
  <c r="A4231" i="1" a="1"/>
  <c r="A4231" i="1" s="1"/>
  <c r="A4239" i="1" a="1"/>
  <c r="A4239" i="1" s="1"/>
  <c r="A4247" i="1" a="1"/>
  <c r="A4247" i="1" s="1"/>
  <c r="A4255" i="1" a="1"/>
  <c r="A4255" i="1" s="1"/>
  <c r="A4263" i="1" a="1"/>
  <c r="A4263" i="1" s="1"/>
  <c r="A4271" i="1" a="1"/>
  <c r="A4271" i="1" s="1"/>
  <c r="A4279" i="1" a="1"/>
  <c r="A4279" i="1" s="1"/>
  <c r="A4287" i="1" a="1"/>
  <c r="A4287" i="1" s="1"/>
  <c r="A4295" i="1" a="1"/>
  <c r="A4295" i="1" s="1"/>
  <c r="A4303" i="1" a="1"/>
  <c r="A4303" i="1" s="1"/>
  <c r="A4311" i="1" a="1"/>
  <c r="A4311" i="1" s="1"/>
  <c r="A4319" i="1" a="1"/>
  <c r="A4319" i="1" s="1"/>
  <c r="A4327" i="1" a="1"/>
  <c r="A4327" i="1" s="1"/>
  <c r="A4335" i="1" a="1"/>
  <c r="A4335" i="1" s="1"/>
  <c r="A4343" i="1" a="1"/>
  <c r="A4343" i="1" s="1"/>
  <c r="A4351" i="1" a="1"/>
  <c r="A4351" i="1" s="1"/>
  <c r="A4359" i="1" a="1"/>
  <c r="A4359" i="1" s="1"/>
  <c r="A4367" i="1" a="1"/>
  <c r="A4367" i="1" s="1"/>
  <c r="A4375" i="1" a="1"/>
  <c r="A4375" i="1" s="1"/>
  <c r="A4383" i="1" a="1"/>
  <c r="A4383" i="1" s="1"/>
  <c r="A4391" i="1" a="1"/>
  <c r="A4391" i="1" s="1"/>
  <c r="A4399" i="1" a="1"/>
  <c r="A4399" i="1" s="1"/>
  <c r="A4407" i="1" a="1"/>
  <c r="A4407" i="1" s="1"/>
  <c r="A4415" i="1" a="1"/>
  <c r="A4415" i="1" s="1"/>
  <c r="A4423" i="1" a="1"/>
  <c r="A4423" i="1" s="1"/>
  <c r="A4431" i="1" a="1"/>
  <c r="A4431" i="1" s="1"/>
  <c r="A4439" i="1" a="1"/>
  <c r="A4439" i="1" s="1"/>
  <c r="A4447" i="1" a="1"/>
  <c r="A4447" i="1" s="1"/>
  <c r="A4455" i="1" a="1"/>
  <c r="A4455" i="1" s="1"/>
  <c r="A4463" i="1" a="1"/>
  <c r="A4463" i="1" s="1"/>
  <c r="A4471" i="1" a="1"/>
  <c r="A4471" i="1" s="1"/>
  <c r="A4479" i="1" a="1"/>
  <c r="A4479" i="1" s="1"/>
  <c r="A4487" i="1" a="1"/>
  <c r="A4487" i="1" s="1"/>
  <c r="A4495" i="1" a="1"/>
  <c r="A4495" i="1" s="1"/>
  <c r="A4503" i="1" a="1"/>
  <c r="A4503" i="1" s="1"/>
  <c r="A4511" i="1" a="1"/>
  <c r="A4511" i="1" s="1"/>
  <c r="A4519" i="1" a="1"/>
  <c r="A4519" i="1" s="1"/>
  <c r="A4527" i="1" a="1"/>
  <c r="A4527" i="1" s="1"/>
  <c r="A4535" i="1" a="1"/>
  <c r="A4535" i="1" s="1"/>
  <c r="A4543" i="1" a="1"/>
  <c r="A4543" i="1" s="1"/>
  <c r="A4551" i="1" a="1"/>
  <c r="A4551" i="1" s="1"/>
  <c r="A4559" i="1" a="1"/>
  <c r="A4559" i="1" s="1"/>
  <c r="A4567" i="1" a="1"/>
  <c r="A4567" i="1" s="1"/>
  <c r="A4575" i="1" a="1"/>
  <c r="A4575" i="1" s="1"/>
  <c r="A4583" i="1" a="1"/>
  <c r="A4583" i="1" s="1"/>
  <c r="A4591" i="1" a="1"/>
  <c r="A4591" i="1" s="1"/>
  <c r="A4599" i="1" a="1"/>
  <c r="A4599" i="1" s="1"/>
  <c r="A4607" i="1" a="1"/>
  <c r="A4607" i="1" s="1"/>
  <c r="A4615" i="1" a="1"/>
  <c r="A4615" i="1" s="1"/>
  <c r="A4623" i="1" a="1"/>
  <c r="A4623" i="1" s="1"/>
  <c r="A4631" i="1" a="1"/>
  <c r="A4631" i="1" s="1"/>
  <c r="A4639" i="1" a="1"/>
  <c r="A4639" i="1" s="1"/>
  <c r="A4647" i="1" a="1"/>
  <c r="A4647" i="1" s="1"/>
  <c r="A4655" i="1" a="1"/>
  <c r="A4655" i="1" s="1"/>
  <c r="A4663" i="1" a="1"/>
  <c r="A4663" i="1" s="1"/>
  <c r="A4671" i="1" a="1"/>
  <c r="A4671" i="1" s="1"/>
  <c r="A4679" i="1" a="1"/>
  <c r="A4679" i="1" s="1"/>
  <c r="A4687" i="1" a="1"/>
  <c r="A4687" i="1" s="1"/>
  <c r="A4695" i="1" a="1"/>
  <c r="A4695" i="1" s="1"/>
  <c r="A4703" i="1" a="1"/>
  <c r="A4703" i="1" s="1"/>
  <c r="A4711" i="1" a="1"/>
  <c r="A4711" i="1" s="1"/>
  <c r="A4719" i="1" a="1"/>
  <c r="A4719" i="1" s="1"/>
  <c r="A4727" i="1" a="1"/>
  <c r="A4727" i="1" s="1"/>
  <c r="A4735" i="1" a="1"/>
  <c r="A4735" i="1" s="1"/>
  <c r="A4743" i="1" a="1"/>
  <c r="A4743" i="1" s="1"/>
  <c r="A4751" i="1" a="1"/>
  <c r="A4751" i="1" s="1"/>
  <c r="A4759" i="1" a="1"/>
  <c r="A4759" i="1" s="1"/>
  <c r="A4767" i="1" a="1"/>
  <c r="A4767" i="1" s="1"/>
  <c r="A4775" i="1" a="1"/>
  <c r="A4775" i="1" s="1"/>
  <c r="A4783" i="1" a="1"/>
  <c r="A4783" i="1" s="1"/>
  <c r="A4791" i="1" a="1"/>
  <c r="A4791" i="1" s="1"/>
  <c r="A4799" i="1" a="1"/>
  <c r="A4799" i="1" s="1"/>
  <c r="A4807" i="1" a="1"/>
  <c r="A4807" i="1" s="1"/>
  <c r="A4815" i="1" a="1"/>
  <c r="A4815" i="1" s="1"/>
  <c r="A4823" i="1" a="1"/>
  <c r="A4823" i="1" s="1"/>
  <c r="A4838" i="1" a="1"/>
  <c r="A4838" i="1" s="1"/>
  <c r="A4843" i="1" a="1"/>
  <c r="A4843" i="1" s="1"/>
  <c r="A4855" i="1" a="1"/>
  <c r="A4855" i="1" s="1"/>
  <c r="A4863" i="1" a="1"/>
  <c r="A4863" i="1" s="1"/>
  <c r="A3073" i="1" a="1"/>
  <c r="A3073" i="1" s="1"/>
  <c r="A3137" i="1" a="1"/>
  <c r="A3137" i="1" s="1"/>
  <c r="A3201" i="1" a="1"/>
  <c r="A3201" i="1" s="1"/>
  <c r="A3265" i="1" a="1"/>
  <c r="A3265" i="1" s="1"/>
  <c r="A3329" i="1" a="1"/>
  <c r="A3329" i="1" s="1"/>
  <c r="A3387" i="1" a="1"/>
  <c r="A3387" i="1" s="1"/>
  <c r="A3485" i="1" a="1"/>
  <c r="A3485" i="1" s="1"/>
  <c r="A3545" i="1" a="1"/>
  <c r="A3545" i="1" s="1"/>
  <c r="A3593" i="1" a="1"/>
  <c r="A3593" i="1" s="1"/>
  <c r="A3608" i="1" a="1"/>
  <c r="A3608" i="1" s="1"/>
  <c r="A3616" i="1" a="1"/>
  <c r="A3616" i="1" s="1"/>
  <c r="A3624" i="1" a="1"/>
  <c r="A3624" i="1" s="1"/>
  <c r="A3632" i="1" a="1"/>
  <c r="A3632" i="1" s="1"/>
  <c r="A3640" i="1" a="1"/>
  <c r="A3640" i="1" s="1"/>
  <c r="A3648" i="1" a="1"/>
  <c r="A3648" i="1" s="1"/>
  <c r="A3656" i="1" a="1"/>
  <c r="A3656" i="1" s="1"/>
  <c r="A3664" i="1" a="1"/>
  <c r="A3664" i="1" s="1"/>
  <c r="A3672" i="1" a="1"/>
  <c r="A3672" i="1" s="1"/>
  <c r="A3680" i="1" a="1"/>
  <c r="A3680" i="1" s="1"/>
  <c r="A3688" i="1" a="1"/>
  <c r="A3688" i="1" s="1"/>
  <c r="A3696" i="1" a="1"/>
  <c r="A3696" i="1" s="1"/>
  <c r="A3704" i="1" a="1"/>
  <c r="A3704" i="1" s="1"/>
  <c r="A3712" i="1" a="1"/>
  <c r="A3712" i="1" s="1"/>
  <c r="A3720" i="1" a="1"/>
  <c r="A3720" i="1" s="1"/>
  <c r="A3728" i="1" a="1"/>
  <c r="A3728" i="1" s="1"/>
  <c r="A3736" i="1" a="1"/>
  <c r="A3736" i="1" s="1"/>
  <c r="A3744" i="1" a="1"/>
  <c r="A3744" i="1" s="1"/>
  <c r="A3752" i="1" a="1"/>
  <c r="A3752" i="1" s="1"/>
  <c r="A3760" i="1" a="1"/>
  <c r="A3760" i="1" s="1"/>
  <c r="A3768" i="1" a="1"/>
  <c r="A3768" i="1" s="1"/>
  <c r="A3776" i="1" a="1"/>
  <c r="A3776" i="1" s="1"/>
  <c r="A3784" i="1" a="1"/>
  <c r="A3784" i="1" s="1"/>
  <c r="A3792" i="1" a="1"/>
  <c r="A3792" i="1" s="1"/>
  <c r="A3800" i="1" a="1"/>
  <c r="A3800" i="1" s="1"/>
  <c r="A3808" i="1" a="1"/>
  <c r="A3808" i="1" s="1"/>
  <c r="A3816" i="1" a="1"/>
  <c r="A3816" i="1" s="1"/>
  <c r="A3824" i="1" a="1"/>
  <c r="A3824" i="1" s="1"/>
  <c r="A3832" i="1" a="1"/>
  <c r="A3832" i="1" s="1"/>
  <c r="A3840" i="1" a="1"/>
  <c r="A3840" i="1" s="1"/>
  <c r="A3848" i="1" a="1"/>
  <c r="A3848" i="1" s="1"/>
  <c r="A3856" i="1" a="1"/>
  <c r="A3856" i="1" s="1"/>
  <c r="A3864" i="1" a="1"/>
  <c r="A3864" i="1" s="1"/>
  <c r="A3872" i="1" a="1"/>
  <c r="A3872" i="1" s="1"/>
  <c r="A3880" i="1" a="1"/>
  <c r="A3880" i="1" s="1"/>
  <c r="A3888" i="1" a="1"/>
  <c r="A3888" i="1" s="1"/>
  <c r="A3896" i="1" a="1"/>
  <c r="A3896" i="1" s="1"/>
  <c r="A3904" i="1" a="1"/>
  <c r="A3904" i="1" s="1"/>
  <c r="A3912" i="1" a="1"/>
  <c r="A3912" i="1" s="1"/>
  <c r="A3920" i="1" a="1"/>
  <c r="A3920" i="1" s="1"/>
  <c r="A3928" i="1" a="1"/>
  <c r="A3928" i="1" s="1"/>
  <c r="A3936" i="1" a="1"/>
  <c r="A3936" i="1" s="1"/>
  <c r="A3944" i="1" a="1"/>
  <c r="A3944" i="1" s="1"/>
  <c r="A3952" i="1" a="1"/>
  <c r="A3952" i="1" s="1"/>
  <c r="A3960" i="1" a="1"/>
  <c r="A3960" i="1" s="1"/>
  <c r="A3968" i="1" a="1"/>
  <c r="A3968" i="1" s="1"/>
  <c r="A3976" i="1" a="1"/>
  <c r="A3976" i="1" s="1"/>
  <c r="A3984" i="1" a="1"/>
  <c r="A3984" i="1" s="1"/>
  <c r="A3992" i="1" a="1"/>
  <c r="A3992" i="1" s="1"/>
  <c r="A4000" i="1" a="1"/>
  <c r="A4000" i="1" s="1"/>
  <c r="A4008" i="1" a="1"/>
  <c r="A4008" i="1" s="1"/>
  <c r="A4016" i="1" a="1"/>
  <c r="A4016" i="1" s="1"/>
  <c r="A4024" i="1" a="1"/>
  <c r="A4024" i="1" s="1"/>
  <c r="A4032" i="1" a="1"/>
  <c r="A4032" i="1" s="1"/>
  <c r="A4040" i="1" a="1"/>
  <c r="A4040" i="1" s="1"/>
  <c r="A4048" i="1" a="1"/>
  <c r="A4048" i="1" s="1"/>
  <c r="A4056" i="1" a="1"/>
  <c r="A4056" i="1" s="1"/>
  <c r="A4064" i="1" a="1"/>
  <c r="A4064" i="1" s="1"/>
  <c r="A4072" i="1" a="1"/>
  <c r="A4072" i="1" s="1"/>
  <c r="A4080" i="1" a="1"/>
  <c r="A4080" i="1" s="1"/>
  <c r="A4088" i="1" a="1"/>
  <c r="A4088" i="1" s="1"/>
  <c r="A4096" i="1" a="1"/>
  <c r="A4096" i="1" s="1"/>
  <c r="A4104" i="1" a="1"/>
  <c r="A4104" i="1" s="1"/>
  <c r="A4112" i="1" a="1"/>
  <c r="A4112" i="1" s="1"/>
  <c r="A4120" i="1" a="1"/>
  <c r="A4120" i="1" s="1"/>
  <c r="A4128" i="1" a="1"/>
  <c r="A4128" i="1" s="1"/>
  <c r="A4136" i="1" a="1"/>
  <c r="A4136" i="1" s="1"/>
  <c r="A4160" i="1" a="1"/>
  <c r="A4160" i="1" s="1"/>
  <c r="A4168" i="1" a="1"/>
  <c r="A4168" i="1" s="1"/>
  <c r="A4176" i="1" a="1"/>
  <c r="A4176" i="1" s="1"/>
  <c r="A4184" i="1" a="1"/>
  <c r="A4184" i="1" s="1"/>
  <c r="A4192" i="1" a="1"/>
  <c r="A4192" i="1" s="1"/>
  <c r="A4200" i="1" a="1"/>
  <c r="A4200" i="1" s="1"/>
  <c r="A4208" i="1" a="1"/>
  <c r="A4208" i="1" s="1"/>
  <c r="A4216" i="1" a="1"/>
  <c r="A4216" i="1" s="1"/>
  <c r="A4224" i="1" a="1"/>
  <c r="A4224" i="1" s="1"/>
  <c r="A4232" i="1" a="1"/>
  <c r="A4232" i="1" s="1"/>
  <c r="A4240" i="1" a="1"/>
  <c r="A4240" i="1" s="1"/>
  <c r="A4248" i="1" a="1"/>
  <c r="A4248" i="1" s="1"/>
  <c r="A4256" i="1" a="1"/>
  <c r="A4256" i="1" s="1"/>
  <c r="A4264" i="1" a="1"/>
  <c r="A4264" i="1" s="1"/>
  <c r="A4272" i="1" a="1"/>
  <c r="A4272" i="1" s="1"/>
  <c r="A4280" i="1" a="1"/>
  <c r="A4280" i="1" s="1"/>
  <c r="A4288" i="1" a="1"/>
  <c r="A4288" i="1" s="1"/>
  <c r="A4296" i="1" a="1"/>
  <c r="A4296" i="1" s="1"/>
  <c r="A4304" i="1" a="1"/>
  <c r="A4304" i="1" s="1"/>
  <c r="A4312" i="1" a="1"/>
  <c r="A4312" i="1" s="1"/>
  <c r="A4320" i="1" a="1"/>
  <c r="A4320" i="1" s="1"/>
  <c r="A4328" i="1" a="1"/>
  <c r="A4328" i="1" s="1"/>
  <c r="A4336" i="1" a="1"/>
  <c r="A4336" i="1" s="1"/>
  <c r="A4344" i="1" a="1"/>
  <c r="A4344" i="1" s="1"/>
  <c r="A4352" i="1" a="1"/>
  <c r="A4352" i="1" s="1"/>
  <c r="A4360" i="1" a="1"/>
  <c r="A4360" i="1" s="1"/>
  <c r="A4368" i="1" a="1"/>
  <c r="A4368" i="1" s="1"/>
  <c r="A4376" i="1" a="1"/>
  <c r="A4376" i="1" s="1"/>
  <c r="A4384" i="1" a="1"/>
  <c r="A4384" i="1" s="1"/>
  <c r="A4392" i="1" a="1"/>
  <c r="A4392" i="1" s="1"/>
  <c r="A4400" i="1" a="1"/>
  <c r="A4400" i="1" s="1"/>
  <c r="A4408" i="1" a="1"/>
  <c r="A4408" i="1" s="1"/>
  <c r="A4416" i="1" a="1"/>
  <c r="A4416" i="1" s="1"/>
  <c r="A4424" i="1" a="1"/>
  <c r="A4424" i="1" s="1"/>
  <c r="A4432" i="1" a="1"/>
  <c r="A4432" i="1" s="1"/>
  <c r="A4440" i="1" a="1"/>
  <c r="A4440" i="1" s="1"/>
  <c r="A4448" i="1" a="1"/>
  <c r="A4448" i="1" s="1"/>
  <c r="A4456" i="1" a="1"/>
  <c r="A4456" i="1" s="1"/>
  <c r="A4464" i="1" a="1"/>
  <c r="A4464" i="1" s="1"/>
  <c r="A4472" i="1" a="1"/>
  <c r="A4472" i="1" s="1"/>
  <c r="A4480" i="1" a="1"/>
  <c r="A4480" i="1" s="1"/>
  <c r="A4488" i="1" a="1"/>
  <c r="A4488" i="1" s="1"/>
  <c r="A4496" i="1" a="1"/>
  <c r="A4496" i="1" s="1"/>
  <c r="A4504" i="1" a="1"/>
  <c r="A4504" i="1" s="1"/>
  <c r="A4512" i="1" a="1"/>
  <c r="A4512" i="1" s="1"/>
  <c r="A4520" i="1" a="1"/>
  <c r="A4520" i="1" s="1"/>
  <c r="A4528" i="1" a="1"/>
  <c r="A4528" i="1" s="1"/>
  <c r="A4536" i="1" a="1"/>
  <c r="A4536" i="1" s="1"/>
  <c r="A4544" i="1" a="1"/>
  <c r="A4544" i="1" s="1"/>
  <c r="A4552" i="1" a="1"/>
  <c r="A4552" i="1" s="1"/>
  <c r="A4560" i="1" a="1"/>
  <c r="A4560" i="1" s="1"/>
  <c r="A4568" i="1" a="1"/>
  <c r="A4568" i="1" s="1"/>
  <c r="A4576" i="1" a="1"/>
  <c r="A4576" i="1" s="1"/>
  <c r="A4584" i="1" a="1"/>
  <c r="A4584" i="1" s="1"/>
  <c r="A4592" i="1" a="1"/>
  <c r="A4592" i="1" s="1"/>
  <c r="A4600" i="1" a="1"/>
  <c r="A4600" i="1" s="1"/>
  <c r="A4608" i="1" a="1"/>
  <c r="A4608" i="1" s="1"/>
  <c r="A4616" i="1" a="1"/>
  <c r="A4616" i="1" s="1"/>
  <c r="A4624" i="1" a="1"/>
  <c r="A4624" i="1" s="1"/>
  <c r="A4632" i="1" a="1"/>
  <c r="A4632" i="1" s="1"/>
  <c r="A4640" i="1" a="1"/>
  <c r="A4640" i="1" s="1"/>
  <c r="A4648" i="1" a="1"/>
  <c r="A4648" i="1" s="1"/>
  <c r="A4656" i="1" a="1"/>
  <c r="A4656" i="1" s="1"/>
  <c r="A4664" i="1" a="1"/>
  <c r="A4664" i="1" s="1"/>
  <c r="A4672" i="1" a="1"/>
  <c r="A4672" i="1" s="1"/>
  <c r="A4680" i="1" a="1"/>
  <c r="A4680" i="1" s="1"/>
  <c r="A4688" i="1" a="1"/>
  <c r="A4688" i="1" s="1"/>
  <c r="A4696" i="1" a="1"/>
  <c r="A4696" i="1" s="1"/>
  <c r="A4704" i="1" a="1"/>
  <c r="A4704" i="1" s="1"/>
  <c r="A4712" i="1" a="1"/>
  <c r="A4712" i="1" s="1"/>
  <c r="A4720" i="1" a="1"/>
  <c r="A4720" i="1" s="1"/>
  <c r="A4728" i="1" a="1"/>
  <c r="A4728" i="1" s="1"/>
  <c r="A4736" i="1" a="1"/>
  <c r="A4736" i="1" s="1"/>
  <c r="A4744" i="1" a="1"/>
  <c r="A4744" i="1" s="1"/>
  <c r="A4752" i="1" a="1"/>
  <c r="A4752" i="1" s="1"/>
  <c r="A4760" i="1" a="1"/>
  <c r="A4760" i="1" s="1"/>
  <c r="A4768" i="1" a="1"/>
  <c r="A4768" i="1" s="1"/>
  <c r="A4776" i="1" a="1"/>
  <c r="A4776" i="1" s="1"/>
  <c r="A4784" i="1" a="1"/>
  <c r="A4784" i="1" s="1"/>
  <c r="A4792" i="1" a="1"/>
  <c r="A4792" i="1" s="1"/>
  <c r="A4800" i="1" a="1"/>
  <c r="A4800" i="1" s="1"/>
  <c r="A4808" i="1" a="1"/>
  <c r="A4808" i="1" s="1"/>
  <c r="A4816" i="1" a="1"/>
  <c r="A4816" i="1" s="1"/>
  <c r="A4824" i="1" a="1"/>
  <c r="A4824" i="1" s="1"/>
  <c r="A4831" i="1" a="1"/>
  <c r="A4831" i="1" s="1"/>
  <c r="A4844" i="1" a="1"/>
  <c r="A4844" i="1" s="1"/>
  <c r="A4849" i="1" a="1"/>
  <c r="A4849" i="1" s="1"/>
  <c r="A4856" i="1" a="1"/>
  <c r="A4856" i="1" s="1"/>
  <c r="A4864" i="1" a="1"/>
  <c r="A4864" i="1" s="1"/>
  <c r="A3081" i="1" a="1"/>
  <c r="A3081" i="1" s="1"/>
  <c r="A3145" i="1" a="1"/>
  <c r="A3145" i="1" s="1"/>
  <c r="A3209" i="1" a="1"/>
  <c r="A3209" i="1" s="1"/>
  <c r="A3273" i="1" a="1"/>
  <c r="A3273" i="1" s="1"/>
  <c r="A3337" i="1" a="1"/>
  <c r="A3337" i="1" s="1"/>
  <c r="A3393" i="1" a="1"/>
  <c r="A3393" i="1" s="1"/>
  <c r="A3491" i="1" a="1"/>
  <c r="A3491" i="1" s="1"/>
  <c r="A3553" i="1" a="1"/>
  <c r="A3553" i="1" s="1"/>
  <c r="A3599" i="1" a="1"/>
  <c r="A3599" i="1" s="1"/>
  <c r="A3609" i="1" a="1"/>
  <c r="A3609" i="1" s="1"/>
  <c r="A3617" i="1" a="1"/>
  <c r="A3617" i="1" s="1"/>
  <c r="A3625" i="1" a="1"/>
  <c r="A3625" i="1" s="1"/>
  <c r="A3633" i="1" a="1"/>
  <c r="A3633" i="1" s="1"/>
  <c r="A3641" i="1" a="1"/>
  <c r="A3641" i="1" s="1"/>
  <c r="A3649" i="1" a="1"/>
  <c r="A3649" i="1" s="1"/>
  <c r="A3657" i="1" a="1"/>
  <c r="A3657" i="1" s="1"/>
  <c r="A3665" i="1" a="1"/>
  <c r="A3665" i="1" s="1"/>
  <c r="A3673" i="1" a="1"/>
  <c r="A3673" i="1" s="1"/>
  <c r="A3681" i="1" a="1"/>
  <c r="A3681" i="1" s="1"/>
  <c r="A3689" i="1" a="1"/>
  <c r="A3689" i="1" s="1"/>
  <c r="A3697" i="1" a="1"/>
  <c r="A3697" i="1" s="1"/>
  <c r="A3705" i="1" a="1"/>
  <c r="A3705" i="1" s="1"/>
  <c r="A3713" i="1" a="1"/>
  <c r="A3713" i="1" s="1"/>
  <c r="A3721" i="1" a="1"/>
  <c r="A3721" i="1" s="1"/>
  <c r="A3729" i="1" a="1"/>
  <c r="A3729" i="1" s="1"/>
  <c r="A3737" i="1" a="1"/>
  <c r="A3737" i="1" s="1"/>
  <c r="A3745" i="1" a="1"/>
  <c r="A3745" i="1" s="1"/>
  <c r="A3753" i="1" a="1"/>
  <c r="A3753" i="1" s="1"/>
  <c r="A3761" i="1" a="1"/>
  <c r="A3761" i="1" s="1"/>
  <c r="A3769" i="1" a="1"/>
  <c r="A3769" i="1" s="1"/>
  <c r="A3777" i="1" a="1"/>
  <c r="A3777" i="1" s="1"/>
  <c r="A3785" i="1" a="1"/>
  <c r="A3785" i="1" s="1"/>
  <c r="A3793" i="1" a="1"/>
  <c r="A3793" i="1" s="1"/>
  <c r="A3801" i="1" a="1"/>
  <c r="A3801" i="1" s="1"/>
  <c r="A3809" i="1" a="1"/>
  <c r="A3809" i="1" s="1"/>
  <c r="A3817" i="1" a="1"/>
  <c r="A3817" i="1" s="1"/>
  <c r="A3825" i="1" a="1"/>
  <c r="A3825" i="1" s="1"/>
  <c r="A3833" i="1" a="1"/>
  <c r="A3833" i="1" s="1"/>
  <c r="A3841" i="1" a="1"/>
  <c r="A3841" i="1" s="1"/>
  <c r="A3849" i="1" a="1"/>
  <c r="A3849" i="1" s="1"/>
  <c r="A3857" i="1" a="1"/>
  <c r="A3857" i="1" s="1"/>
  <c r="A3865" i="1" a="1"/>
  <c r="A3865" i="1" s="1"/>
  <c r="A3873" i="1" a="1"/>
  <c r="A3873" i="1" s="1"/>
  <c r="A3881" i="1" a="1"/>
  <c r="A3881" i="1" s="1"/>
  <c r="A3889" i="1" a="1"/>
  <c r="A3889" i="1" s="1"/>
  <c r="A3897" i="1" a="1"/>
  <c r="A3897" i="1" s="1"/>
  <c r="A3905" i="1" a="1"/>
  <c r="A3905" i="1" s="1"/>
  <c r="A3913" i="1" a="1"/>
  <c r="A3913" i="1" s="1"/>
  <c r="A3921" i="1" a="1"/>
  <c r="A3921" i="1" s="1"/>
  <c r="A3929" i="1" a="1"/>
  <c r="A3929" i="1" s="1"/>
  <c r="A3937" i="1" a="1"/>
  <c r="A3937" i="1" s="1"/>
  <c r="A3945" i="1" a="1"/>
  <c r="A3945" i="1" s="1"/>
  <c r="A3953" i="1" a="1"/>
  <c r="A3953" i="1" s="1"/>
  <c r="A3961" i="1" a="1"/>
  <c r="A3961" i="1" s="1"/>
  <c r="A3969" i="1" a="1"/>
  <c r="A3969" i="1" s="1"/>
  <c r="A3977" i="1" a="1"/>
  <c r="A3977" i="1" s="1"/>
  <c r="A3985" i="1" a="1"/>
  <c r="A3985" i="1" s="1"/>
  <c r="A3993" i="1" a="1"/>
  <c r="A3993" i="1" s="1"/>
  <c r="A4001" i="1" a="1"/>
  <c r="A4001" i="1" s="1"/>
  <c r="A4009" i="1" a="1"/>
  <c r="A4009" i="1" s="1"/>
  <c r="A4017" i="1" a="1"/>
  <c r="A4017" i="1" s="1"/>
  <c r="A4025" i="1" a="1"/>
  <c r="A4025" i="1" s="1"/>
  <c r="A4033" i="1" a="1"/>
  <c r="A4033" i="1" s="1"/>
  <c r="A4041" i="1" a="1"/>
  <c r="A4041" i="1" s="1"/>
  <c r="A4049" i="1" a="1"/>
  <c r="A4049" i="1" s="1"/>
  <c r="A4057" i="1" a="1"/>
  <c r="A4057" i="1" s="1"/>
  <c r="A4065" i="1" a="1"/>
  <c r="A4065" i="1" s="1"/>
  <c r="A4073" i="1" a="1"/>
  <c r="A4073" i="1" s="1"/>
  <c r="A4081" i="1" a="1"/>
  <c r="A4081" i="1" s="1"/>
  <c r="A4089" i="1" a="1"/>
  <c r="A4089" i="1" s="1"/>
  <c r="A4097" i="1" a="1"/>
  <c r="A4097" i="1" s="1"/>
  <c r="A4105" i="1" a="1"/>
  <c r="A4105" i="1" s="1"/>
  <c r="A4113" i="1" a="1"/>
  <c r="A4113" i="1" s="1"/>
  <c r="A4121" i="1" a="1"/>
  <c r="A4121" i="1" s="1"/>
  <c r="A4129" i="1" a="1"/>
  <c r="A4129" i="1" s="1"/>
  <c r="A4137" i="1" a="1"/>
  <c r="A4137" i="1" s="1"/>
  <c r="A4142" i="1" a="1"/>
  <c r="A4142" i="1" s="1"/>
  <c r="A4147" i="1" a="1"/>
  <c r="A4147" i="1" s="1"/>
  <c r="A4153" i="1" a="1"/>
  <c r="A4153" i="1" s="1"/>
  <c r="A4161" i="1" a="1"/>
  <c r="A4161" i="1" s="1"/>
  <c r="A4169" i="1" a="1"/>
  <c r="A4169" i="1" s="1"/>
  <c r="A4177" i="1" a="1"/>
  <c r="A4177" i="1" s="1"/>
  <c r="A4185" i="1" a="1"/>
  <c r="A4185" i="1" s="1"/>
  <c r="A4193" i="1" a="1"/>
  <c r="A4193" i="1" s="1"/>
  <c r="A4201" i="1" a="1"/>
  <c r="A4201" i="1" s="1"/>
  <c r="A4209" i="1" a="1"/>
  <c r="A4209" i="1" s="1"/>
  <c r="A4217" i="1" a="1"/>
  <c r="A4217" i="1" s="1"/>
  <c r="A4225" i="1" a="1"/>
  <c r="A4225" i="1" s="1"/>
  <c r="A4233" i="1" a="1"/>
  <c r="A4233" i="1" s="1"/>
  <c r="A4241" i="1" a="1"/>
  <c r="A4241" i="1" s="1"/>
  <c r="A4249" i="1" a="1"/>
  <c r="A4249" i="1" s="1"/>
  <c r="A4257" i="1" a="1"/>
  <c r="A4257" i="1" s="1"/>
  <c r="A4265" i="1" a="1"/>
  <c r="A4265" i="1" s="1"/>
  <c r="A4273" i="1" a="1"/>
  <c r="A4273" i="1" s="1"/>
  <c r="A4281" i="1" a="1"/>
  <c r="A4281" i="1" s="1"/>
  <c r="A4289" i="1" a="1"/>
  <c r="A4289" i="1" s="1"/>
  <c r="A4297" i="1" a="1"/>
  <c r="A4297" i="1" s="1"/>
  <c r="A4305" i="1" a="1"/>
  <c r="A4305" i="1" s="1"/>
  <c r="A4313" i="1" a="1"/>
  <c r="A4313" i="1" s="1"/>
  <c r="A4321" i="1" a="1"/>
  <c r="A4321" i="1" s="1"/>
  <c r="A4329" i="1" a="1"/>
  <c r="A4329" i="1" s="1"/>
  <c r="A4337" i="1" a="1"/>
  <c r="A4337" i="1" s="1"/>
  <c r="A4345" i="1" a="1"/>
  <c r="A4345" i="1" s="1"/>
  <c r="A4353" i="1" a="1"/>
  <c r="A4353" i="1" s="1"/>
  <c r="A4361" i="1" a="1"/>
  <c r="A4361" i="1" s="1"/>
  <c r="A4369" i="1" a="1"/>
  <c r="A4369" i="1" s="1"/>
  <c r="A4377" i="1" a="1"/>
  <c r="A4377" i="1" s="1"/>
  <c r="A4385" i="1" a="1"/>
  <c r="A4385" i="1" s="1"/>
  <c r="A4393" i="1" a="1"/>
  <c r="A4393" i="1" s="1"/>
  <c r="A4401" i="1" a="1"/>
  <c r="A4401" i="1" s="1"/>
  <c r="A4409" i="1" a="1"/>
  <c r="A4409" i="1" s="1"/>
  <c r="A4417" i="1" a="1"/>
  <c r="A4417" i="1" s="1"/>
  <c r="A4425" i="1" a="1"/>
  <c r="A4425" i="1" s="1"/>
  <c r="A4433" i="1" a="1"/>
  <c r="A4433" i="1" s="1"/>
  <c r="A4441" i="1" a="1"/>
  <c r="A4441" i="1" s="1"/>
  <c r="A4449" i="1" a="1"/>
  <c r="A4449" i="1" s="1"/>
  <c r="A4457" i="1" a="1"/>
  <c r="A4457" i="1" s="1"/>
  <c r="A4465" i="1" a="1"/>
  <c r="A4465" i="1" s="1"/>
  <c r="A4473" i="1" a="1"/>
  <c r="A4473" i="1" s="1"/>
  <c r="A4481" i="1" a="1"/>
  <c r="A4481" i="1" s="1"/>
  <c r="A4489" i="1" a="1"/>
  <c r="A4489" i="1" s="1"/>
  <c r="A4497" i="1" a="1"/>
  <c r="A4497" i="1" s="1"/>
  <c r="A4505" i="1" a="1"/>
  <c r="A4505" i="1" s="1"/>
  <c r="A4513" i="1" a="1"/>
  <c r="A4513" i="1" s="1"/>
  <c r="A4521" i="1" a="1"/>
  <c r="A4521" i="1" s="1"/>
  <c r="A4529" i="1" a="1"/>
  <c r="A4529" i="1" s="1"/>
  <c r="A4537" i="1" a="1"/>
  <c r="A4537" i="1" s="1"/>
  <c r="A4545" i="1" a="1"/>
  <c r="A4545" i="1" s="1"/>
  <c r="A4553" i="1" a="1"/>
  <c r="A4553" i="1" s="1"/>
  <c r="A4561" i="1" a="1"/>
  <c r="A4561" i="1" s="1"/>
  <c r="A4569" i="1" a="1"/>
  <c r="A4569" i="1" s="1"/>
  <c r="A4577" i="1" a="1"/>
  <c r="A4577" i="1" s="1"/>
  <c r="A4585" i="1" a="1"/>
  <c r="A4585" i="1" s="1"/>
  <c r="A4593" i="1" a="1"/>
  <c r="A4593" i="1" s="1"/>
  <c r="A4601" i="1" a="1"/>
  <c r="A4601" i="1" s="1"/>
  <c r="A4609" i="1" a="1"/>
  <c r="A4609" i="1" s="1"/>
  <c r="A4617" i="1" a="1"/>
  <c r="A4617" i="1" s="1"/>
  <c r="A4625" i="1" a="1"/>
  <c r="A4625" i="1" s="1"/>
  <c r="A4633" i="1" a="1"/>
  <c r="A4633" i="1" s="1"/>
  <c r="A4641" i="1" a="1"/>
  <c r="A4641" i="1" s="1"/>
  <c r="A4649" i="1" a="1"/>
  <c r="A4649" i="1" s="1"/>
  <c r="A4657" i="1" a="1"/>
  <c r="A4657" i="1" s="1"/>
  <c r="A4665" i="1" a="1"/>
  <c r="A4665" i="1" s="1"/>
  <c r="A4673" i="1" a="1"/>
  <c r="A4673" i="1" s="1"/>
  <c r="A4681" i="1" a="1"/>
  <c r="A4681" i="1" s="1"/>
  <c r="A4689" i="1" a="1"/>
  <c r="A4689" i="1" s="1"/>
  <c r="A4697" i="1" a="1"/>
  <c r="A4697" i="1" s="1"/>
  <c r="A4705" i="1" a="1"/>
  <c r="A4705" i="1" s="1"/>
  <c r="A4713" i="1" a="1"/>
  <c r="A4713" i="1" s="1"/>
  <c r="A4721" i="1" a="1"/>
  <c r="A4721" i="1" s="1"/>
  <c r="A4729" i="1" a="1"/>
  <c r="A4729" i="1" s="1"/>
  <c r="A4737" i="1" a="1"/>
  <c r="A4737" i="1" s="1"/>
  <c r="A4745" i="1" a="1"/>
  <c r="A4745" i="1" s="1"/>
  <c r="A4753" i="1" a="1"/>
  <c r="A4753" i="1" s="1"/>
  <c r="A4761" i="1" a="1"/>
  <c r="A4761" i="1" s="1"/>
  <c r="A4769" i="1" a="1"/>
  <c r="A4769" i="1" s="1"/>
  <c r="A4777" i="1" a="1"/>
  <c r="A4777" i="1" s="1"/>
  <c r="A4785" i="1" a="1"/>
  <c r="A4785" i="1" s="1"/>
  <c r="A4793" i="1" a="1"/>
  <c r="A4793" i="1" s="1"/>
  <c r="A4801" i="1" a="1"/>
  <c r="A4801" i="1" s="1"/>
  <c r="A4809" i="1" a="1"/>
  <c r="A4809" i="1" s="1"/>
  <c r="A4817" i="1" a="1"/>
  <c r="A4817" i="1" s="1"/>
  <c r="A4825" i="1" a="1"/>
  <c r="A4825" i="1" s="1"/>
  <c r="A4832" i="1" a="1"/>
  <c r="A4832" i="1" s="1"/>
  <c r="A4839" i="1" a="1"/>
  <c r="A4839" i="1" s="1"/>
  <c r="A4850" i="1" a="1"/>
  <c r="A4850" i="1" s="1"/>
  <c r="A4857" i="1" a="1"/>
  <c r="A4857" i="1" s="1"/>
  <c r="A4865" i="1" a="1"/>
  <c r="A4865" i="1" s="1"/>
  <c r="A3089" i="1" a="1"/>
  <c r="A3089" i="1" s="1"/>
  <c r="A3153" i="1" a="1"/>
  <c r="A3153" i="1" s="1"/>
  <c r="A3217" i="1" a="1"/>
  <c r="A3217" i="1" s="1"/>
  <c r="A3281" i="1" a="1"/>
  <c r="A3281" i="1" s="1"/>
  <c r="A3345" i="1" a="1"/>
  <c r="A3345" i="1" s="1"/>
  <c r="A3399" i="1" a="1"/>
  <c r="A3399" i="1" s="1"/>
  <c r="A3448" i="1" a="1"/>
  <c r="A3448" i="1" s="1"/>
  <c r="A3497" i="1" a="1"/>
  <c r="A3497" i="1" s="1"/>
  <c r="A3561" i="1" a="1"/>
  <c r="A3561" i="1" s="1"/>
  <c r="A3601" i="1" a="1"/>
  <c r="A3601" i="1" s="1"/>
  <c r="A3610" i="1" a="1"/>
  <c r="A3610" i="1" s="1"/>
  <c r="A3618" i="1" a="1"/>
  <c r="A3618" i="1" s="1"/>
  <c r="A3626" i="1" a="1"/>
  <c r="A3626" i="1" s="1"/>
  <c r="A3634" i="1" a="1"/>
  <c r="A3634" i="1" s="1"/>
  <c r="A3642" i="1" a="1"/>
  <c r="A3642" i="1" s="1"/>
  <c r="A3650" i="1" a="1"/>
  <c r="A3650" i="1" s="1"/>
  <c r="A3658" i="1" a="1"/>
  <c r="A3658" i="1" s="1"/>
  <c r="A3666" i="1" a="1"/>
  <c r="A3666" i="1" s="1"/>
  <c r="A3674" i="1" a="1"/>
  <c r="A3674" i="1" s="1"/>
  <c r="A3682" i="1" a="1"/>
  <c r="A3682" i="1" s="1"/>
  <c r="A3690" i="1" a="1"/>
  <c r="A3690" i="1" s="1"/>
  <c r="A3698" i="1" a="1"/>
  <c r="A3698" i="1" s="1"/>
  <c r="A3706" i="1" a="1"/>
  <c r="A3706" i="1" s="1"/>
  <c r="A3714" i="1" a="1"/>
  <c r="A3714" i="1" s="1"/>
  <c r="A3722" i="1" a="1"/>
  <c r="A3722" i="1" s="1"/>
  <c r="A3730" i="1" a="1"/>
  <c r="A3730" i="1" s="1"/>
  <c r="A3738" i="1" a="1"/>
  <c r="A3738" i="1" s="1"/>
  <c r="A3746" i="1" a="1"/>
  <c r="A3746" i="1" s="1"/>
  <c r="A3754" i="1" a="1"/>
  <c r="A3754" i="1" s="1"/>
  <c r="A3762" i="1" a="1"/>
  <c r="A3762" i="1" s="1"/>
  <c r="A3770" i="1" a="1"/>
  <c r="A3770" i="1" s="1"/>
  <c r="A3778" i="1" a="1"/>
  <c r="A3778" i="1" s="1"/>
  <c r="A3786" i="1" a="1"/>
  <c r="A3786" i="1" s="1"/>
  <c r="A3794" i="1" a="1"/>
  <c r="A3794" i="1" s="1"/>
  <c r="A3802" i="1" a="1"/>
  <c r="A3802" i="1" s="1"/>
  <c r="A3810" i="1" a="1"/>
  <c r="A3810" i="1" s="1"/>
  <c r="A3818" i="1" a="1"/>
  <c r="A3818" i="1" s="1"/>
  <c r="A3826" i="1" a="1"/>
  <c r="A3826" i="1" s="1"/>
  <c r="A3834" i="1" a="1"/>
  <c r="A3834" i="1" s="1"/>
  <c r="A3842" i="1" a="1"/>
  <c r="A3842" i="1" s="1"/>
  <c r="A3850" i="1" a="1"/>
  <c r="A3850" i="1" s="1"/>
  <c r="A3858" i="1" a="1"/>
  <c r="A3858" i="1" s="1"/>
  <c r="A3866" i="1" a="1"/>
  <c r="A3866" i="1" s="1"/>
  <c r="A3874" i="1" a="1"/>
  <c r="A3874" i="1" s="1"/>
  <c r="A3882" i="1" a="1"/>
  <c r="A3882" i="1" s="1"/>
  <c r="A3890" i="1" a="1"/>
  <c r="A3890" i="1" s="1"/>
  <c r="A3898" i="1" a="1"/>
  <c r="A3898" i="1" s="1"/>
  <c r="A3906" i="1" a="1"/>
  <c r="A3906" i="1" s="1"/>
  <c r="A3914" i="1" a="1"/>
  <c r="A3914" i="1" s="1"/>
  <c r="A3922" i="1" a="1"/>
  <c r="A3922" i="1" s="1"/>
  <c r="A3930" i="1" a="1"/>
  <c r="A3930" i="1" s="1"/>
  <c r="A3938" i="1" a="1"/>
  <c r="A3938" i="1" s="1"/>
  <c r="A3946" i="1" a="1"/>
  <c r="A3946" i="1" s="1"/>
  <c r="A3954" i="1" a="1"/>
  <c r="A3954" i="1" s="1"/>
  <c r="A3962" i="1" a="1"/>
  <c r="A3962" i="1" s="1"/>
  <c r="A3970" i="1" a="1"/>
  <c r="A3970" i="1" s="1"/>
  <c r="A3978" i="1" a="1"/>
  <c r="A3978" i="1" s="1"/>
  <c r="A3986" i="1" a="1"/>
  <c r="A3986" i="1" s="1"/>
  <c r="A3994" i="1" a="1"/>
  <c r="A3994" i="1" s="1"/>
  <c r="A4002" i="1" a="1"/>
  <c r="A4002" i="1" s="1"/>
  <c r="A4010" i="1" a="1"/>
  <c r="A4010" i="1" s="1"/>
  <c r="A4018" i="1" a="1"/>
  <c r="A4018" i="1" s="1"/>
  <c r="A4026" i="1" a="1"/>
  <c r="A4026" i="1" s="1"/>
  <c r="A4034" i="1" a="1"/>
  <c r="A4034" i="1" s="1"/>
  <c r="A4042" i="1" a="1"/>
  <c r="A4042" i="1" s="1"/>
  <c r="A4050" i="1" a="1"/>
  <c r="A4050" i="1" s="1"/>
  <c r="A4058" i="1" a="1"/>
  <c r="A4058" i="1" s="1"/>
  <c r="A4066" i="1" a="1"/>
  <c r="A4066" i="1" s="1"/>
  <c r="A4074" i="1" a="1"/>
  <c r="A4074" i="1" s="1"/>
  <c r="A4082" i="1" a="1"/>
  <c r="A4082" i="1" s="1"/>
  <c r="A4090" i="1" a="1"/>
  <c r="A4090" i="1" s="1"/>
  <c r="A4098" i="1" a="1"/>
  <c r="A4098" i="1" s="1"/>
  <c r="A4106" i="1" a="1"/>
  <c r="A4106" i="1" s="1"/>
  <c r="A4114" i="1" a="1"/>
  <c r="A4114" i="1" s="1"/>
  <c r="A4122" i="1" a="1"/>
  <c r="A4122" i="1" s="1"/>
  <c r="A4130" i="1" a="1"/>
  <c r="A4130" i="1" s="1"/>
  <c r="A4148" i="1" a="1"/>
  <c r="A4148" i="1" s="1"/>
  <c r="A4154" i="1" a="1"/>
  <c r="A4154" i="1" s="1"/>
  <c r="A4162" i="1" a="1"/>
  <c r="A4162" i="1" s="1"/>
  <c r="A4170" i="1" a="1"/>
  <c r="A4170" i="1" s="1"/>
  <c r="A4178" i="1" a="1"/>
  <c r="A4178" i="1" s="1"/>
  <c r="A4186" i="1" a="1"/>
  <c r="A4186" i="1" s="1"/>
  <c r="A4194" i="1" a="1"/>
  <c r="A4194" i="1" s="1"/>
  <c r="A4202" i="1" a="1"/>
  <c r="A4202" i="1" s="1"/>
  <c r="A4210" i="1" a="1"/>
  <c r="A4210" i="1" s="1"/>
  <c r="A4218" i="1" a="1"/>
  <c r="A4218" i="1" s="1"/>
  <c r="A4226" i="1" a="1"/>
  <c r="A4226" i="1" s="1"/>
  <c r="A4234" i="1" a="1"/>
  <c r="A4234" i="1" s="1"/>
  <c r="A4242" i="1" a="1"/>
  <c r="A4242" i="1" s="1"/>
  <c r="A4250" i="1" a="1"/>
  <c r="A4250" i="1" s="1"/>
  <c r="A4258" i="1" a="1"/>
  <c r="A4258" i="1" s="1"/>
  <c r="A4266" i="1" a="1"/>
  <c r="A4266" i="1" s="1"/>
  <c r="A4274" i="1" a="1"/>
  <c r="A4274" i="1" s="1"/>
  <c r="A4282" i="1" a="1"/>
  <c r="A4282" i="1" s="1"/>
  <c r="A4290" i="1" a="1"/>
  <c r="A4290" i="1" s="1"/>
  <c r="A4298" i="1" a="1"/>
  <c r="A4298" i="1" s="1"/>
  <c r="A4306" i="1" a="1"/>
  <c r="A4306" i="1" s="1"/>
  <c r="A4314" i="1" a="1"/>
  <c r="A4314" i="1" s="1"/>
  <c r="A4322" i="1" a="1"/>
  <c r="A4322" i="1" s="1"/>
  <c r="A4330" i="1" a="1"/>
  <c r="A4330" i="1" s="1"/>
  <c r="A4338" i="1" a="1"/>
  <c r="A4338" i="1" s="1"/>
  <c r="A4346" i="1" a="1"/>
  <c r="A4346" i="1" s="1"/>
  <c r="A4354" i="1" a="1"/>
  <c r="A4354" i="1" s="1"/>
  <c r="A4362" i="1" a="1"/>
  <c r="A4362" i="1" s="1"/>
  <c r="A4370" i="1" a="1"/>
  <c r="A4370" i="1" s="1"/>
  <c r="A4378" i="1" a="1"/>
  <c r="A4378" i="1" s="1"/>
  <c r="A4386" i="1" a="1"/>
  <c r="A4386" i="1" s="1"/>
  <c r="A4394" i="1" a="1"/>
  <c r="A4394" i="1" s="1"/>
  <c r="A4402" i="1" a="1"/>
  <c r="A4402" i="1" s="1"/>
  <c r="A4410" i="1" a="1"/>
  <c r="A4410" i="1" s="1"/>
  <c r="A4418" i="1" a="1"/>
  <c r="A4418" i="1" s="1"/>
  <c r="A4426" i="1" a="1"/>
  <c r="A4426" i="1" s="1"/>
  <c r="A4434" i="1" a="1"/>
  <c r="A4434" i="1" s="1"/>
  <c r="A4442" i="1" a="1"/>
  <c r="A4442" i="1" s="1"/>
  <c r="A4450" i="1" a="1"/>
  <c r="A4450" i="1" s="1"/>
  <c r="A4458" i="1" a="1"/>
  <c r="A4458" i="1" s="1"/>
  <c r="A4466" i="1" a="1"/>
  <c r="A4466" i="1" s="1"/>
  <c r="A4474" i="1" a="1"/>
  <c r="A4474" i="1" s="1"/>
  <c r="A4482" i="1" a="1"/>
  <c r="A4482" i="1" s="1"/>
  <c r="A4490" i="1" a="1"/>
  <c r="A4490" i="1" s="1"/>
  <c r="A4498" i="1" a="1"/>
  <c r="A4498" i="1" s="1"/>
  <c r="A4506" i="1" a="1"/>
  <c r="A4506" i="1" s="1"/>
  <c r="A4514" i="1" a="1"/>
  <c r="A4514" i="1" s="1"/>
  <c r="A4522" i="1" a="1"/>
  <c r="A4522" i="1" s="1"/>
  <c r="A4530" i="1" a="1"/>
  <c r="A4530" i="1" s="1"/>
  <c r="A4538" i="1" a="1"/>
  <c r="A4538" i="1" s="1"/>
  <c r="A4546" i="1" a="1"/>
  <c r="A4546" i="1" s="1"/>
  <c r="A4554" i="1" a="1"/>
  <c r="A4554" i="1" s="1"/>
  <c r="A4562" i="1" a="1"/>
  <c r="A4562" i="1" s="1"/>
  <c r="A4570" i="1" a="1"/>
  <c r="A4570" i="1" s="1"/>
  <c r="A4578" i="1" a="1"/>
  <c r="A4578" i="1" s="1"/>
  <c r="A4586" i="1" a="1"/>
  <c r="A4586" i="1" s="1"/>
  <c r="A4594" i="1" a="1"/>
  <c r="A4594" i="1" s="1"/>
  <c r="A4602" i="1" a="1"/>
  <c r="A4602" i="1" s="1"/>
  <c r="A4610" i="1" a="1"/>
  <c r="A4610" i="1" s="1"/>
  <c r="A4618" i="1" a="1"/>
  <c r="A4618" i="1" s="1"/>
  <c r="A4626" i="1" a="1"/>
  <c r="A4626" i="1" s="1"/>
  <c r="A4634" i="1" a="1"/>
  <c r="A4634" i="1" s="1"/>
  <c r="A4642" i="1" a="1"/>
  <c r="A4642" i="1" s="1"/>
  <c r="A4650" i="1" a="1"/>
  <c r="A4650" i="1" s="1"/>
  <c r="A4658" i="1" a="1"/>
  <c r="A4658" i="1" s="1"/>
  <c r="A4666" i="1" a="1"/>
  <c r="A4666" i="1" s="1"/>
  <c r="A4674" i="1" a="1"/>
  <c r="A4674" i="1" s="1"/>
  <c r="A4682" i="1" a="1"/>
  <c r="A4682" i="1" s="1"/>
  <c r="A4690" i="1" a="1"/>
  <c r="A4690" i="1" s="1"/>
  <c r="A4698" i="1" a="1"/>
  <c r="A4698" i="1" s="1"/>
  <c r="A4706" i="1" a="1"/>
  <c r="A4706" i="1" s="1"/>
  <c r="A4714" i="1" a="1"/>
  <c r="A4714" i="1" s="1"/>
  <c r="A4722" i="1" a="1"/>
  <c r="A4722" i="1" s="1"/>
  <c r="A4730" i="1" a="1"/>
  <c r="A4730" i="1" s="1"/>
  <c r="A4738" i="1" a="1"/>
  <c r="A4738" i="1" s="1"/>
  <c r="A4746" i="1" a="1"/>
  <c r="A4746" i="1" s="1"/>
  <c r="A4754" i="1" a="1"/>
  <c r="A4754" i="1" s="1"/>
  <c r="A4762" i="1" a="1"/>
  <c r="A4762" i="1" s="1"/>
  <c r="A4770" i="1" a="1"/>
  <c r="A4770" i="1" s="1"/>
  <c r="A4778" i="1" a="1"/>
  <c r="A4778" i="1" s="1"/>
  <c r="A4786" i="1" a="1"/>
  <c r="A4786" i="1" s="1"/>
  <c r="A4794" i="1" a="1"/>
  <c r="A4794" i="1" s="1"/>
  <c r="A4802" i="1" a="1"/>
  <c r="A4802" i="1" s="1"/>
  <c r="A4810" i="1" a="1"/>
  <c r="A4810" i="1" s="1"/>
  <c r="A4818" i="1" a="1"/>
  <c r="A4818" i="1" s="1"/>
  <c r="A4826" i="1" a="1"/>
  <c r="A4826" i="1" s="1"/>
  <c r="A4833" i="1" a="1"/>
  <c r="A4833" i="1" s="1"/>
  <c r="A4840" i="1" a="1"/>
  <c r="A4840" i="1" s="1"/>
  <c r="A4845" i="1" a="1"/>
  <c r="A4845" i="1" s="1"/>
  <c r="A4851" i="1" a="1"/>
  <c r="A4851" i="1" s="1"/>
  <c r="A4858" i="1" a="1"/>
  <c r="A4858" i="1" s="1"/>
  <c r="A4866" i="1" a="1"/>
  <c r="A4866" i="1" s="1"/>
  <c r="A3097" i="1" a="1"/>
  <c r="A3097" i="1" s="1"/>
  <c r="A3161" i="1" a="1"/>
  <c r="A3161" i="1" s="1"/>
  <c r="A3225" i="1" a="1"/>
  <c r="A3225" i="1" s="1"/>
  <c r="A3289" i="1" a="1"/>
  <c r="A3289" i="1" s="1"/>
  <c r="A3353" i="1" a="1"/>
  <c r="A3353" i="1" s="1"/>
  <c r="A3405" i="1" a="1"/>
  <c r="A3405" i="1" s="1"/>
  <c r="A3454" i="1" a="1"/>
  <c r="A3454" i="1" s="1"/>
  <c r="A3505" i="1" a="1"/>
  <c r="A3505" i="1" s="1"/>
  <c r="A3569" i="1" a="1"/>
  <c r="A3569" i="1" s="1"/>
  <c r="A3603" i="1" a="1"/>
  <c r="A3603" i="1" s="1"/>
  <c r="A3611" i="1" a="1"/>
  <c r="A3611" i="1" s="1"/>
  <c r="A3619" i="1" a="1"/>
  <c r="A3619" i="1" s="1"/>
  <c r="A3627" i="1" a="1"/>
  <c r="A3627" i="1" s="1"/>
  <c r="A3635" i="1" a="1"/>
  <c r="A3635" i="1" s="1"/>
  <c r="A3643" i="1" a="1"/>
  <c r="A3643" i="1" s="1"/>
  <c r="A3651" i="1" a="1"/>
  <c r="A3651" i="1" s="1"/>
  <c r="A3659" i="1" a="1"/>
  <c r="A3659" i="1" s="1"/>
  <c r="A3667" i="1" a="1"/>
  <c r="A3667" i="1" s="1"/>
  <c r="A3675" i="1" a="1"/>
  <c r="A3675" i="1" s="1"/>
  <c r="A3683" i="1" a="1"/>
  <c r="A3683" i="1" s="1"/>
  <c r="A3691" i="1" a="1"/>
  <c r="A3691" i="1" s="1"/>
  <c r="A3699" i="1" a="1"/>
  <c r="A3699" i="1" s="1"/>
  <c r="A3707" i="1" a="1"/>
  <c r="A3707" i="1" s="1"/>
  <c r="A3715" i="1" a="1"/>
  <c r="A3715" i="1" s="1"/>
  <c r="A3723" i="1" a="1"/>
  <c r="A3723" i="1" s="1"/>
  <c r="A3731" i="1" a="1"/>
  <c r="A3731" i="1" s="1"/>
  <c r="A3739" i="1" a="1"/>
  <c r="A3739" i="1" s="1"/>
  <c r="A3747" i="1" a="1"/>
  <c r="A3747" i="1" s="1"/>
  <c r="A3755" i="1" a="1"/>
  <c r="A3755" i="1" s="1"/>
  <c r="A3763" i="1" a="1"/>
  <c r="A3763" i="1" s="1"/>
  <c r="A3771" i="1" a="1"/>
  <c r="A3771" i="1" s="1"/>
  <c r="A3779" i="1" a="1"/>
  <c r="A3779" i="1" s="1"/>
  <c r="A3787" i="1" a="1"/>
  <c r="A3787" i="1" s="1"/>
  <c r="A3795" i="1" a="1"/>
  <c r="A3795" i="1" s="1"/>
  <c r="A3803" i="1" a="1"/>
  <c r="A3803" i="1" s="1"/>
  <c r="A3811" i="1" a="1"/>
  <c r="A3811" i="1" s="1"/>
  <c r="A3819" i="1" a="1"/>
  <c r="A3819" i="1" s="1"/>
  <c r="A3827" i="1" a="1"/>
  <c r="A3827" i="1" s="1"/>
  <c r="A3835" i="1" a="1"/>
  <c r="A3835" i="1" s="1"/>
  <c r="A3843" i="1" a="1"/>
  <c r="A3843" i="1" s="1"/>
  <c r="A3851" i="1" a="1"/>
  <c r="A3851" i="1" s="1"/>
  <c r="A3859" i="1" a="1"/>
  <c r="A3859" i="1" s="1"/>
  <c r="A3867" i="1" a="1"/>
  <c r="A3867" i="1" s="1"/>
  <c r="A3875" i="1" a="1"/>
  <c r="A3875" i="1" s="1"/>
  <c r="A3883" i="1" a="1"/>
  <c r="A3883" i="1" s="1"/>
  <c r="A3891" i="1" a="1"/>
  <c r="A3891" i="1" s="1"/>
  <c r="A3899" i="1" a="1"/>
  <c r="A3899" i="1" s="1"/>
  <c r="A3907" i="1" a="1"/>
  <c r="A3907" i="1" s="1"/>
  <c r="A3915" i="1" a="1"/>
  <c r="A3915" i="1" s="1"/>
  <c r="A3923" i="1" a="1"/>
  <c r="A3923" i="1" s="1"/>
  <c r="A3931" i="1" a="1"/>
  <c r="A3931" i="1" s="1"/>
  <c r="A3939" i="1" a="1"/>
  <c r="A3939" i="1" s="1"/>
  <c r="A3947" i="1" a="1"/>
  <c r="A3947" i="1" s="1"/>
  <c r="A3955" i="1" a="1"/>
  <c r="A3955" i="1" s="1"/>
  <c r="A3963" i="1" a="1"/>
  <c r="A3963" i="1" s="1"/>
  <c r="A3971" i="1" a="1"/>
  <c r="A3971" i="1" s="1"/>
  <c r="A3979" i="1" a="1"/>
  <c r="A3979" i="1" s="1"/>
  <c r="A3987" i="1" a="1"/>
  <c r="A3987" i="1" s="1"/>
  <c r="A3995" i="1" a="1"/>
  <c r="A3995" i="1" s="1"/>
  <c r="A4003" i="1" a="1"/>
  <c r="A4003" i="1" s="1"/>
  <c r="A4011" i="1" a="1"/>
  <c r="A4011" i="1" s="1"/>
  <c r="A4019" i="1" a="1"/>
  <c r="A4019" i="1" s="1"/>
  <c r="A4027" i="1" a="1"/>
  <c r="A4027" i="1" s="1"/>
  <c r="A4035" i="1" a="1"/>
  <c r="A4035" i="1" s="1"/>
  <c r="A4043" i="1" a="1"/>
  <c r="A4043" i="1" s="1"/>
  <c r="A4051" i="1" a="1"/>
  <c r="A4051" i="1" s="1"/>
  <c r="A4059" i="1" a="1"/>
  <c r="A4059" i="1" s="1"/>
  <c r="A4067" i="1" a="1"/>
  <c r="A4067" i="1" s="1"/>
  <c r="A4075" i="1" a="1"/>
  <c r="A4075" i="1" s="1"/>
  <c r="A4083" i="1" a="1"/>
  <c r="A4083" i="1" s="1"/>
  <c r="A4091" i="1" a="1"/>
  <c r="A4091" i="1" s="1"/>
  <c r="A4099" i="1" a="1"/>
  <c r="A4099" i="1" s="1"/>
  <c r="A4107" i="1" a="1"/>
  <c r="A4107" i="1" s="1"/>
  <c r="A4115" i="1" a="1"/>
  <c r="A4115" i="1" s="1"/>
  <c r="A4123" i="1" a="1"/>
  <c r="A4123" i="1" s="1"/>
  <c r="A4131" i="1" a="1"/>
  <c r="A4131" i="1" s="1"/>
  <c r="A4138" i="1" a="1"/>
  <c r="A4138" i="1" s="1"/>
  <c r="A4143" i="1" a="1"/>
  <c r="A4143" i="1" s="1"/>
  <c r="A4155" i="1" a="1"/>
  <c r="A4155" i="1" s="1"/>
  <c r="A4163" i="1" a="1"/>
  <c r="A4163" i="1" s="1"/>
  <c r="A4171" i="1" a="1"/>
  <c r="A4171" i="1" s="1"/>
  <c r="A4179" i="1" a="1"/>
  <c r="A4179" i="1" s="1"/>
  <c r="A4187" i="1" a="1"/>
  <c r="A4187" i="1" s="1"/>
  <c r="A4195" i="1" a="1"/>
  <c r="A4195" i="1" s="1"/>
  <c r="A4203" i="1" a="1"/>
  <c r="A4203" i="1" s="1"/>
  <c r="A4211" i="1" a="1"/>
  <c r="A4211" i="1" s="1"/>
  <c r="A4219" i="1" a="1"/>
  <c r="A4219" i="1" s="1"/>
  <c r="A4227" i="1" a="1"/>
  <c r="A4227" i="1" s="1"/>
  <c r="A4235" i="1" a="1"/>
  <c r="A4235" i="1" s="1"/>
  <c r="A4243" i="1" a="1"/>
  <c r="A4243" i="1" s="1"/>
  <c r="A4251" i="1" a="1"/>
  <c r="A4251" i="1" s="1"/>
  <c r="A4259" i="1" a="1"/>
  <c r="A4259" i="1" s="1"/>
  <c r="A4267" i="1" a="1"/>
  <c r="A4267" i="1" s="1"/>
  <c r="A4275" i="1" a="1"/>
  <c r="A4275" i="1" s="1"/>
  <c r="A4283" i="1" a="1"/>
  <c r="A4283" i="1" s="1"/>
  <c r="A4291" i="1" a="1"/>
  <c r="A4291" i="1" s="1"/>
  <c r="A4299" i="1" a="1"/>
  <c r="A4299" i="1" s="1"/>
  <c r="A4307" i="1" a="1"/>
  <c r="A4307" i="1" s="1"/>
  <c r="A4315" i="1" a="1"/>
  <c r="A4315" i="1" s="1"/>
  <c r="A4323" i="1" a="1"/>
  <c r="A4323" i="1" s="1"/>
  <c r="A4331" i="1" a="1"/>
  <c r="A4331" i="1" s="1"/>
  <c r="A4339" i="1" a="1"/>
  <c r="A4339" i="1" s="1"/>
  <c r="A4347" i="1" a="1"/>
  <c r="A4347" i="1" s="1"/>
  <c r="A4355" i="1" a="1"/>
  <c r="A4355" i="1" s="1"/>
  <c r="A4363" i="1" a="1"/>
  <c r="A4363" i="1" s="1"/>
  <c r="A4371" i="1" a="1"/>
  <c r="A4371" i="1" s="1"/>
  <c r="A4379" i="1" a="1"/>
  <c r="A4379" i="1" s="1"/>
  <c r="A4387" i="1" a="1"/>
  <c r="A4387" i="1" s="1"/>
  <c r="A4395" i="1" a="1"/>
  <c r="A4395" i="1" s="1"/>
  <c r="A4403" i="1" a="1"/>
  <c r="A4403" i="1" s="1"/>
  <c r="A4411" i="1" a="1"/>
  <c r="A4411" i="1" s="1"/>
  <c r="A4419" i="1" a="1"/>
  <c r="A4419" i="1" s="1"/>
  <c r="A4427" i="1" a="1"/>
  <c r="A4427" i="1" s="1"/>
  <c r="A4435" i="1" a="1"/>
  <c r="A4435" i="1" s="1"/>
  <c r="A4443" i="1" a="1"/>
  <c r="A4443" i="1" s="1"/>
  <c r="A4451" i="1" a="1"/>
  <c r="A4451" i="1" s="1"/>
  <c r="A4459" i="1" a="1"/>
  <c r="A4459" i="1" s="1"/>
  <c r="A4467" i="1" a="1"/>
  <c r="A4467" i="1" s="1"/>
  <c r="A4475" i="1" a="1"/>
  <c r="A4475" i="1" s="1"/>
  <c r="A4483" i="1" a="1"/>
  <c r="A4483" i="1" s="1"/>
  <c r="A4491" i="1" a="1"/>
  <c r="A4491" i="1" s="1"/>
  <c r="A4499" i="1" a="1"/>
  <c r="A4499" i="1" s="1"/>
  <c r="A4507" i="1" a="1"/>
  <c r="A4507" i="1" s="1"/>
  <c r="A4515" i="1" a="1"/>
  <c r="A4515" i="1" s="1"/>
  <c r="A4523" i="1" a="1"/>
  <c r="A4523" i="1" s="1"/>
  <c r="A4531" i="1" a="1"/>
  <c r="A4531" i="1" s="1"/>
  <c r="A4539" i="1" a="1"/>
  <c r="A4539" i="1" s="1"/>
  <c r="A4547" i="1" a="1"/>
  <c r="A4547" i="1" s="1"/>
  <c r="A4555" i="1" a="1"/>
  <c r="A4555" i="1" s="1"/>
  <c r="A4563" i="1" a="1"/>
  <c r="A4563" i="1" s="1"/>
  <c r="A4571" i="1" a="1"/>
  <c r="A4571" i="1" s="1"/>
  <c r="A4579" i="1" a="1"/>
  <c r="A4579" i="1" s="1"/>
  <c r="A4587" i="1" a="1"/>
  <c r="A4587" i="1" s="1"/>
  <c r="A4595" i="1" a="1"/>
  <c r="A4595" i="1" s="1"/>
  <c r="A4603" i="1" a="1"/>
  <c r="A4603" i="1" s="1"/>
  <c r="A4611" i="1" a="1"/>
  <c r="A4611" i="1" s="1"/>
  <c r="A4619" i="1" a="1"/>
  <c r="A4619" i="1" s="1"/>
  <c r="A4627" i="1" a="1"/>
  <c r="A4627" i="1" s="1"/>
  <c r="A4635" i="1" a="1"/>
  <c r="A4635" i="1" s="1"/>
  <c r="A4643" i="1" a="1"/>
  <c r="A4643" i="1" s="1"/>
  <c r="A4651" i="1" a="1"/>
  <c r="A4651" i="1" s="1"/>
  <c r="A4659" i="1" a="1"/>
  <c r="A4659" i="1" s="1"/>
  <c r="A4667" i="1" a="1"/>
  <c r="A4667" i="1" s="1"/>
  <c r="A4675" i="1" a="1"/>
  <c r="A4675" i="1" s="1"/>
  <c r="A4683" i="1" a="1"/>
  <c r="A4683" i="1" s="1"/>
  <c r="A4691" i="1" a="1"/>
  <c r="A4691" i="1" s="1"/>
  <c r="A4699" i="1" a="1"/>
  <c r="A4699" i="1" s="1"/>
  <c r="A4707" i="1" a="1"/>
  <c r="A4707" i="1" s="1"/>
  <c r="A4715" i="1" a="1"/>
  <c r="A4715" i="1" s="1"/>
  <c r="A4723" i="1" a="1"/>
  <c r="A4723" i="1" s="1"/>
  <c r="A4731" i="1" a="1"/>
  <c r="A4731" i="1" s="1"/>
  <c r="A4739" i="1" a="1"/>
  <c r="A4739" i="1" s="1"/>
  <c r="A4747" i="1" a="1"/>
  <c r="A4747" i="1" s="1"/>
  <c r="A4755" i="1" a="1"/>
  <c r="A4755" i="1" s="1"/>
  <c r="A4763" i="1" a="1"/>
  <c r="A4763" i="1" s="1"/>
  <c r="A4771" i="1" a="1"/>
  <c r="A4771" i="1" s="1"/>
  <c r="A4779" i="1" a="1"/>
  <c r="A4779" i="1" s="1"/>
  <c r="A4787" i="1" a="1"/>
  <c r="A4787" i="1" s="1"/>
  <c r="A4795" i="1" a="1"/>
  <c r="A4795" i="1" s="1"/>
  <c r="A4803" i="1" a="1"/>
  <c r="A4803" i="1" s="1"/>
  <c r="A4811" i="1" a="1"/>
  <c r="A4811" i="1" s="1"/>
  <c r="A4819" i="1" a="1"/>
  <c r="A4819" i="1" s="1"/>
  <c r="A4827" i="1" a="1"/>
  <c r="A4827" i="1" s="1"/>
  <c r="A4834" i="1" a="1"/>
  <c r="A4834" i="1" s="1"/>
  <c r="A4846" i="1" a="1"/>
  <c r="A4846" i="1" s="1"/>
  <c r="A4852" i="1" a="1"/>
  <c r="A4852" i="1" s="1"/>
  <c r="A4859" i="1" a="1"/>
  <c r="A4859" i="1" s="1"/>
  <c r="A4867" i="1" a="1"/>
  <c r="A4867" i="1" s="1"/>
  <c r="A3105" i="1" a="1"/>
  <c r="A3105" i="1" s="1"/>
  <c r="A3169" i="1" a="1"/>
  <c r="A3169" i="1" s="1"/>
  <c r="A3233" i="1" a="1"/>
  <c r="A3233" i="1" s="1"/>
  <c r="A3297" i="1" a="1"/>
  <c r="A3297" i="1" s="1"/>
  <c r="A3361" i="1" a="1"/>
  <c r="A3361" i="1" s="1"/>
  <c r="A3411" i="1" a="1"/>
  <c r="A3411" i="1" s="1"/>
  <c r="A3460" i="1" a="1"/>
  <c r="A3460" i="1" s="1"/>
  <c r="A3513" i="1" a="1"/>
  <c r="A3513" i="1" s="1"/>
  <c r="A3577" i="1" a="1"/>
  <c r="A3577" i="1" s="1"/>
  <c r="A3604" i="1" a="1"/>
  <c r="A3604" i="1" s="1"/>
  <c r="A3612" i="1" a="1"/>
  <c r="A3612" i="1" s="1"/>
  <c r="A3620" i="1" a="1"/>
  <c r="A3620" i="1" s="1"/>
  <c r="A3628" i="1" a="1"/>
  <c r="A3628" i="1" s="1"/>
  <c r="A3636" i="1" a="1"/>
  <c r="A3636" i="1" s="1"/>
  <c r="A3644" i="1" a="1"/>
  <c r="A3644" i="1" s="1"/>
  <c r="A3652" i="1" a="1"/>
  <c r="A3652" i="1" s="1"/>
  <c r="A3660" i="1" a="1"/>
  <c r="A3660" i="1" s="1"/>
  <c r="A3668" i="1" a="1"/>
  <c r="A3668" i="1" s="1"/>
  <c r="A3676" i="1" a="1"/>
  <c r="A3676" i="1" s="1"/>
  <c r="A3684" i="1" a="1"/>
  <c r="A3684" i="1" s="1"/>
  <c r="A3692" i="1" a="1"/>
  <c r="A3692" i="1" s="1"/>
  <c r="A3700" i="1" a="1"/>
  <c r="A3700" i="1" s="1"/>
  <c r="A3708" i="1" a="1"/>
  <c r="A3708" i="1" s="1"/>
  <c r="A3716" i="1" a="1"/>
  <c r="A3716" i="1" s="1"/>
  <c r="A3724" i="1" a="1"/>
  <c r="A3724" i="1" s="1"/>
  <c r="A3732" i="1" a="1"/>
  <c r="A3732" i="1" s="1"/>
  <c r="A3740" i="1" a="1"/>
  <c r="A3740" i="1" s="1"/>
  <c r="A3748" i="1" a="1"/>
  <c r="A3748" i="1" s="1"/>
  <c r="A3756" i="1" a="1"/>
  <c r="A3756" i="1" s="1"/>
  <c r="A3764" i="1" a="1"/>
  <c r="A3764" i="1" s="1"/>
  <c r="A3772" i="1" a="1"/>
  <c r="A3772" i="1" s="1"/>
  <c r="A3780" i="1" a="1"/>
  <c r="A3780" i="1" s="1"/>
  <c r="A3788" i="1" a="1"/>
  <c r="A3788" i="1" s="1"/>
  <c r="A3796" i="1" a="1"/>
  <c r="A3796" i="1" s="1"/>
  <c r="A3804" i="1" a="1"/>
  <c r="A3804" i="1" s="1"/>
  <c r="A3812" i="1" a="1"/>
  <c r="A3812" i="1" s="1"/>
  <c r="A3820" i="1" a="1"/>
  <c r="A3820" i="1" s="1"/>
  <c r="A3828" i="1" a="1"/>
  <c r="A3828" i="1" s="1"/>
  <c r="A3836" i="1" a="1"/>
  <c r="A3836" i="1" s="1"/>
  <c r="A3844" i="1" a="1"/>
  <c r="A3844" i="1" s="1"/>
  <c r="A3852" i="1" a="1"/>
  <c r="A3852" i="1" s="1"/>
  <c r="A3860" i="1" a="1"/>
  <c r="A3860" i="1" s="1"/>
  <c r="A3868" i="1" a="1"/>
  <c r="A3868" i="1" s="1"/>
  <c r="A3876" i="1" a="1"/>
  <c r="A3876" i="1" s="1"/>
  <c r="A3884" i="1" a="1"/>
  <c r="A3884" i="1" s="1"/>
  <c r="A3892" i="1" a="1"/>
  <c r="A3892" i="1" s="1"/>
  <c r="A3900" i="1" a="1"/>
  <c r="A3900" i="1" s="1"/>
  <c r="A3908" i="1" a="1"/>
  <c r="A3908" i="1" s="1"/>
  <c r="A3916" i="1" a="1"/>
  <c r="A3916" i="1" s="1"/>
  <c r="A3924" i="1" a="1"/>
  <c r="A3924" i="1" s="1"/>
  <c r="A3932" i="1" a="1"/>
  <c r="A3932" i="1" s="1"/>
  <c r="A3940" i="1" a="1"/>
  <c r="A3940" i="1" s="1"/>
  <c r="A3948" i="1" a="1"/>
  <c r="A3948" i="1" s="1"/>
  <c r="A3956" i="1" a="1"/>
  <c r="A3956" i="1" s="1"/>
  <c r="A3964" i="1" a="1"/>
  <c r="A3964" i="1" s="1"/>
  <c r="A3972" i="1" a="1"/>
  <c r="A3972" i="1" s="1"/>
  <c r="A3980" i="1" a="1"/>
  <c r="A3980" i="1" s="1"/>
  <c r="A3988" i="1" a="1"/>
  <c r="A3988" i="1" s="1"/>
  <c r="A3996" i="1" a="1"/>
  <c r="A3996" i="1" s="1"/>
  <c r="A4004" i="1" a="1"/>
  <c r="A4004" i="1" s="1"/>
  <c r="A4012" i="1" a="1"/>
  <c r="A4012" i="1" s="1"/>
  <c r="A4020" i="1" a="1"/>
  <c r="A4020" i="1" s="1"/>
  <c r="A4028" i="1" a="1"/>
  <c r="A4028" i="1" s="1"/>
  <c r="A4036" i="1" a="1"/>
  <c r="A4036" i="1" s="1"/>
  <c r="A4044" i="1" a="1"/>
  <c r="A4044" i="1" s="1"/>
  <c r="A4052" i="1" a="1"/>
  <c r="A4052" i="1" s="1"/>
  <c r="A4060" i="1" a="1"/>
  <c r="A4060" i="1" s="1"/>
  <c r="A4068" i="1" a="1"/>
  <c r="A4068" i="1" s="1"/>
  <c r="A4076" i="1" a="1"/>
  <c r="A4076" i="1" s="1"/>
  <c r="A4084" i="1" a="1"/>
  <c r="A4084" i="1" s="1"/>
  <c r="A4092" i="1" a="1"/>
  <c r="A4092" i="1" s="1"/>
  <c r="A4100" i="1" a="1"/>
  <c r="A4100" i="1" s="1"/>
  <c r="A4108" i="1" a="1"/>
  <c r="A4108" i="1" s="1"/>
  <c r="A4116" i="1" a="1"/>
  <c r="A4116" i="1" s="1"/>
  <c r="A4124" i="1" a="1"/>
  <c r="A4124" i="1" s="1"/>
  <c r="A4132" i="1" a="1"/>
  <c r="A4132" i="1" s="1"/>
  <c r="A4139" i="1" a="1"/>
  <c r="A4139" i="1" s="1"/>
  <c r="A4144" i="1" a="1"/>
  <c r="A4144" i="1" s="1"/>
  <c r="A4149" i="1" a="1"/>
  <c r="A4149" i="1" s="1"/>
  <c r="A4156" i="1" a="1"/>
  <c r="A4156" i="1" s="1"/>
  <c r="A4164" i="1" a="1"/>
  <c r="A4164" i="1" s="1"/>
  <c r="A4172" i="1" a="1"/>
  <c r="A4172" i="1" s="1"/>
  <c r="A4180" i="1" a="1"/>
  <c r="A4180" i="1" s="1"/>
  <c r="A4188" i="1" a="1"/>
  <c r="A4188" i="1" s="1"/>
  <c r="A4196" i="1" a="1"/>
  <c r="A4196" i="1" s="1"/>
  <c r="A4204" i="1" a="1"/>
  <c r="A4204" i="1" s="1"/>
  <c r="A4212" i="1" a="1"/>
  <c r="A4212" i="1" s="1"/>
  <c r="A4220" i="1" a="1"/>
  <c r="A4220" i="1" s="1"/>
  <c r="A4228" i="1" a="1"/>
  <c r="A4228" i="1" s="1"/>
  <c r="A4236" i="1" a="1"/>
  <c r="A4236" i="1" s="1"/>
  <c r="A4244" i="1" a="1"/>
  <c r="A4244" i="1" s="1"/>
  <c r="A4252" i="1" a="1"/>
  <c r="A4252" i="1" s="1"/>
  <c r="A4260" i="1" a="1"/>
  <c r="A4260" i="1" s="1"/>
  <c r="A4268" i="1" a="1"/>
  <c r="A4268" i="1" s="1"/>
  <c r="A4276" i="1" a="1"/>
  <c r="A4276" i="1" s="1"/>
  <c r="A4284" i="1" a="1"/>
  <c r="A4284" i="1" s="1"/>
  <c r="A4292" i="1" a="1"/>
  <c r="A4292" i="1" s="1"/>
  <c r="A4300" i="1" a="1"/>
  <c r="A4300" i="1" s="1"/>
  <c r="A4308" i="1" a="1"/>
  <c r="A4308" i="1" s="1"/>
  <c r="A4316" i="1" a="1"/>
  <c r="A4316" i="1" s="1"/>
  <c r="A4324" i="1" a="1"/>
  <c r="A4324" i="1" s="1"/>
  <c r="A4332" i="1" a="1"/>
  <c r="A4332" i="1" s="1"/>
  <c r="A4340" i="1" a="1"/>
  <c r="A4340" i="1" s="1"/>
  <c r="A4348" i="1" a="1"/>
  <c r="A4348" i="1" s="1"/>
  <c r="A4356" i="1" a="1"/>
  <c r="A4356" i="1" s="1"/>
  <c r="A4364" i="1" a="1"/>
  <c r="A4364" i="1" s="1"/>
  <c r="A4372" i="1" a="1"/>
  <c r="A4372" i="1" s="1"/>
  <c r="A4380" i="1" a="1"/>
  <c r="A4380" i="1" s="1"/>
  <c r="A4388" i="1" a="1"/>
  <c r="A4388" i="1" s="1"/>
  <c r="A4396" i="1" a="1"/>
  <c r="A4396" i="1" s="1"/>
  <c r="A4404" i="1" a="1"/>
  <c r="A4404" i="1" s="1"/>
  <c r="A4412" i="1" a="1"/>
  <c r="A4412" i="1" s="1"/>
  <c r="A4420" i="1" a="1"/>
  <c r="A4420" i="1" s="1"/>
  <c r="A4428" i="1" a="1"/>
  <c r="A4428" i="1" s="1"/>
  <c r="A4436" i="1" a="1"/>
  <c r="A4436" i="1" s="1"/>
  <c r="A4444" i="1" a="1"/>
  <c r="A4444" i="1" s="1"/>
  <c r="A4452" i="1" a="1"/>
  <c r="A4452" i="1" s="1"/>
  <c r="A4460" i="1" a="1"/>
  <c r="A4460" i="1" s="1"/>
  <c r="A4468" i="1" a="1"/>
  <c r="A4468" i="1" s="1"/>
  <c r="A4476" i="1" a="1"/>
  <c r="A4476" i="1" s="1"/>
  <c r="A4484" i="1" a="1"/>
  <c r="A4484" i="1" s="1"/>
  <c r="A4492" i="1" a="1"/>
  <c r="A4492" i="1" s="1"/>
  <c r="A4500" i="1" a="1"/>
  <c r="A4500" i="1" s="1"/>
  <c r="A4508" i="1" a="1"/>
  <c r="A4508" i="1" s="1"/>
  <c r="A4516" i="1" a="1"/>
  <c r="A4516" i="1" s="1"/>
  <c r="A4524" i="1" a="1"/>
  <c r="A4524" i="1" s="1"/>
  <c r="A4532" i="1" a="1"/>
  <c r="A4532" i="1" s="1"/>
  <c r="A4540" i="1" a="1"/>
  <c r="A4540" i="1" s="1"/>
  <c r="A4548" i="1" a="1"/>
  <c r="A4548" i="1" s="1"/>
  <c r="A4556" i="1" a="1"/>
  <c r="A4556" i="1" s="1"/>
  <c r="A4564" i="1" a="1"/>
  <c r="A4564" i="1" s="1"/>
  <c r="A4572" i="1" a="1"/>
  <c r="A4572" i="1" s="1"/>
  <c r="A4580" i="1" a="1"/>
  <c r="A4580" i="1" s="1"/>
  <c r="A4588" i="1" a="1"/>
  <c r="A4588" i="1" s="1"/>
  <c r="A4596" i="1" a="1"/>
  <c r="A4596" i="1" s="1"/>
  <c r="A4604" i="1" a="1"/>
  <c r="A4604" i="1" s="1"/>
  <c r="A4612" i="1" a="1"/>
  <c r="A4612" i="1" s="1"/>
  <c r="A4620" i="1" a="1"/>
  <c r="A4620" i="1" s="1"/>
  <c r="A4628" i="1" a="1"/>
  <c r="A4628" i="1" s="1"/>
  <c r="A4636" i="1" a="1"/>
  <c r="A4636" i="1" s="1"/>
  <c r="A4644" i="1" a="1"/>
  <c r="A4644" i="1" s="1"/>
  <c r="A4652" i="1" a="1"/>
  <c r="A4652" i="1" s="1"/>
  <c r="A4660" i="1" a="1"/>
  <c r="A4660" i="1" s="1"/>
  <c r="A4668" i="1" a="1"/>
  <c r="A4668" i="1" s="1"/>
  <c r="A4676" i="1" a="1"/>
  <c r="A4676" i="1" s="1"/>
  <c r="A4684" i="1" a="1"/>
  <c r="A4684" i="1" s="1"/>
  <c r="A4692" i="1" a="1"/>
  <c r="A4692" i="1" s="1"/>
  <c r="A4700" i="1" a="1"/>
  <c r="A4700" i="1" s="1"/>
  <c r="A4708" i="1" a="1"/>
  <c r="A4708" i="1" s="1"/>
  <c r="A4716" i="1" a="1"/>
  <c r="A4716" i="1" s="1"/>
  <c r="A4724" i="1" a="1"/>
  <c r="A4724" i="1" s="1"/>
  <c r="A4732" i="1" a="1"/>
  <c r="A4732" i="1" s="1"/>
  <c r="A4740" i="1" a="1"/>
  <c r="A4740" i="1" s="1"/>
  <c r="A4748" i="1" a="1"/>
  <c r="A4748" i="1" s="1"/>
  <c r="A4756" i="1" a="1"/>
  <c r="A4756" i="1" s="1"/>
  <c r="A4764" i="1" a="1"/>
  <c r="A4764" i="1" s="1"/>
  <c r="A4772" i="1" a="1"/>
  <c r="A4772" i="1" s="1"/>
  <c r="A4780" i="1" a="1"/>
  <c r="A4780" i="1" s="1"/>
  <c r="A4788" i="1" a="1"/>
  <c r="A4788" i="1" s="1"/>
  <c r="A4796" i="1" a="1"/>
  <c r="A4796" i="1" s="1"/>
  <c r="A4804" i="1" a="1"/>
  <c r="A4804" i="1" s="1"/>
  <c r="A4812" i="1" a="1"/>
  <c r="A4812" i="1" s="1"/>
  <c r="A4820" i="1" a="1"/>
  <c r="A4820" i="1" s="1"/>
  <c r="A4828" i="1" a="1"/>
  <c r="A4828" i="1" s="1"/>
  <c r="A4835" i="1" a="1"/>
  <c r="A4835" i="1" s="1"/>
  <c r="A4841" i="1" a="1"/>
  <c r="A4841" i="1" s="1"/>
  <c r="A4860" i="1" a="1"/>
  <c r="A4860" i="1" s="1"/>
  <c r="A4868" i="1" a="1"/>
  <c r="A4868" i="1" s="1"/>
  <c r="A3121" i="1" a="1"/>
  <c r="A3121" i="1" s="1"/>
  <c r="A3185" i="1" a="1"/>
  <c r="A3185" i="1" s="1"/>
  <c r="A3249" i="1" a="1"/>
  <c r="A3249" i="1" s="1"/>
  <c r="A3313" i="1" a="1"/>
  <c r="A3313" i="1" s="1"/>
  <c r="A3375" i="1" a="1"/>
  <c r="A3375" i="1" s="1"/>
  <c r="A3473" i="1" a="1"/>
  <c r="A3473" i="1" s="1"/>
  <c r="A3529" i="1" a="1"/>
  <c r="A3529" i="1" s="1"/>
  <c r="A3585" i="1" a="1"/>
  <c r="A3585" i="1" s="1"/>
  <c r="A3606" i="1" a="1"/>
  <c r="A3606" i="1" s="1"/>
  <c r="A3614" i="1" a="1"/>
  <c r="A3614" i="1" s="1"/>
  <c r="A3622" i="1" a="1"/>
  <c r="A3622" i="1" s="1"/>
  <c r="A3630" i="1" a="1"/>
  <c r="A3630" i="1" s="1"/>
  <c r="A3638" i="1" a="1"/>
  <c r="A3638" i="1" s="1"/>
  <c r="A3646" i="1" a="1"/>
  <c r="A3646" i="1" s="1"/>
  <c r="A3654" i="1" a="1"/>
  <c r="A3654" i="1" s="1"/>
  <c r="A3662" i="1" a="1"/>
  <c r="A3662" i="1" s="1"/>
  <c r="A3670" i="1" a="1"/>
  <c r="A3670" i="1" s="1"/>
  <c r="A3678" i="1" a="1"/>
  <c r="A3678" i="1" s="1"/>
  <c r="A3686" i="1" a="1"/>
  <c r="A3686" i="1" s="1"/>
  <c r="A3694" i="1" a="1"/>
  <c r="A3694" i="1" s="1"/>
  <c r="A3702" i="1" a="1"/>
  <c r="A3702" i="1" s="1"/>
  <c r="A3710" i="1" a="1"/>
  <c r="A3710" i="1" s="1"/>
  <c r="A3718" i="1" a="1"/>
  <c r="A3718" i="1" s="1"/>
  <c r="A3726" i="1" a="1"/>
  <c r="A3726" i="1" s="1"/>
  <c r="A3734" i="1" a="1"/>
  <c r="A3734" i="1" s="1"/>
  <c r="A3742" i="1" a="1"/>
  <c r="A3742" i="1" s="1"/>
  <c r="A3750" i="1" a="1"/>
  <c r="A3750" i="1" s="1"/>
  <c r="A3758" i="1" a="1"/>
  <c r="A3758" i="1" s="1"/>
  <c r="A3766" i="1" a="1"/>
  <c r="A3766" i="1" s="1"/>
  <c r="A3774" i="1" a="1"/>
  <c r="A3774" i="1" s="1"/>
  <c r="A3782" i="1" a="1"/>
  <c r="A3782" i="1" s="1"/>
  <c r="A3790" i="1" a="1"/>
  <c r="A3790" i="1" s="1"/>
  <c r="A3798" i="1" a="1"/>
  <c r="A3798" i="1" s="1"/>
  <c r="A3806" i="1" a="1"/>
  <c r="A3806" i="1" s="1"/>
  <c r="A3814" i="1" a="1"/>
  <c r="A3814" i="1" s="1"/>
  <c r="A3822" i="1" a="1"/>
  <c r="A3822" i="1" s="1"/>
  <c r="A3830" i="1" a="1"/>
  <c r="A3830" i="1" s="1"/>
  <c r="A3838" i="1" a="1"/>
  <c r="A3838" i="1" s="1"/>
  <c r="A3846" i="1" a="1"/>
  <c r="A3846" i="1" s="1"/>
  <c r="A3854" i="1" a="1"/>
  <c r="A3854" i="1" s="1"/>
  <c r="A3862" i="1" a="1"/>
  <c r="A3862" i="1" s="1"/>
  <c r="A3870" i="1" a="1"/>
  <c r="A3870" i="1" s="1"/>
  <c r="A3878" i="1" a="1"/>
  <c r="A3878" i="1" s="1"/>
  <c r="A3886" i="1" a="1"/>
  <c r="A3886" i="1" s="1"/>
  <c r="A3894" i="1" a="1"/>
  <c r="A3894" i="1" s="1"/>
  <c r="A3902" i="1" a="1"/>
  <c r="A3902" i="1" s="1"/>
  <c r="A3910" i="1" a="1"/>
  <c r="A3910" i="1" s="1"/>
  <c r="A3918" i="1" a="1"/>
  <c r="A3918" i="1" s="1"/>
  <c r="A3926" i="1" a="1"/>
  <c r="A3926" i="1" s="1"/>
  <c r="A3934" i="1" a="1"/>
  <c r="A3934" i="1" s="1"/>
  <c r="A3942" i="1" a="1"/>
  <c r="A3942" i="1" s="1"/>
  <c r="A3950" i="1" a="1"/>
  <c r="A3950" i="1" s="1"/>
  <c r="A3958" i="1" a="1"/>
  <c r="A3958" i="1" s="1"/>
  <c r="A3966" i="1" a="1"/>
  <c r="A3966" i="1" s="1"/>
  <c r="A3974" i="1" a="1"/>
  <c r="A3974" i="1" s="1"/>
  <c r="A3982" i="1" a="1"/>
  <c r="A3982" i="1" s="1"/>
  <c r="A3990" i="1" a="1"/>
  <c r="A3990" i="1" s="1"/>
  <c r="A3998" i="1" a="1"/>
  <c r="A3998" i="1" s="1"/>
  <c r="A4006" i="1" a="1"/>
  <c r="A4006" i="1" s="1"/>
  <c r="A4014" i="1" a="1"/>
  <c r="A4014" i="1" s="1"/>
  <c r="A4022" i="1" a="1"/>
  <c r="A4022" i="1" s="1"/>
  <c r="A4030" i="1" a="1"/>
  <c r="A4030" i="1" s="1"/>
  <c r="A4038" i="1" a="1"/>
  <c r="A4038" i="1" s="1"/>
  <c r="A4046" i="1" a="1"/>
  <c r="A4046" i="1" s="1"/>
  <c r="A4054" i="1" a="1"/>
  <c r="A4054" i="1" s="1"/>
  <c r="A4062" i="1" a="1"/>
  <c r="A4062" i="1" s="1"/>
  <c r="A4070" i="1" a="1"/>
  <c r="A4070" i="1" s="1"/>
  <c r="A4078" i="1" a="1"/>
  <c r="A4078" i="1" s="1"/>
  <c r="A4086" i="1" a="1"/>
  <c r="A4086" i="1" s="1"/>
  <c r="A4094" i="1" a="1"/>
  <c r="A4094" i="1" s="1"/>
  <c r="A4102" i="1" a="1"/>
  <c r="A4102" i="1" s="1"/>
  <c r="A4110" i="1" a="1"/>
  <c r="A4110" i="1" s="1"/>
  <c r="A4118" i="1" a="1"/>
  <c r="A4118" i="1" s="1"/>
  <c r="A4126" i="1" a="1"/>
  <c r="A4126" i="1" s="1"/>
  <c r="A4134" i="1" a="1"/>
  <c r="A4134" i="1" s="1"/>
  <c r="A4145" i="1" a="1"/>
  <c r="A4145" i="1" s="1"/>
  <c r="A4151" i="1" a="1"/>
  <c r="A4151" i="1" s="1"/>
  <c r="A4158" i="1" a="1"/>
  <c r="A4158" i="1" s="1"/>
  <c r="A4166" i="1" a="1"/>
  <c r="A4166" i="1" s="1"/>
  <c r="A4174" i="1" a="1"/>
  <c r="A4174" i="1" s="1"/>
  <c r="A4182" i="1" a="1"/>
  <c r="A4182" i="1" s="1"/>
  <c r="A4190" i="1" a="1"/>
  <c r="A4190" i="1" s="1"/>
  <c r="A4198" i="1" a="1"/>
  <c r="A4198" i="1" s="1"/>
  <c r="A4206" i="1" a="1"/>
  <c r="A4206" i="1" s="1"/>
  <c r="A4214" i="1" a="1"/>
  <c r="A4214" i="1" s="1"/>
  <c r="A4222" i="1" a="1"/>
  <c r="A4222" i="1" s="1"/>
  <c r="A4230" i="1" a="1"/>
  <c r="A4230" i="1" s="1"/>
  <c r="A4238" i="1" a="1"/>
  <c r="A4238" i="1" s="1"/>
  <c r="A4246" i="1" a="1"/>
  <c r="A4246" i="1" s="1"/>
  <c r="A4254" i="1" a="1"/>
  <c r="A4254" i="1" s="1"/>
  <c r="A4262" i="1" a="1"/>
  <c r="A4262" i="1" s="1"/>
  <c r="A4270" i="1" a="1"/>
  <c r="A4270" i="1" s="1"/>
  <c r="A4278" i="1" a="1"/>
  <c r="A4278" i="1" s="1"/>
  <c r="A4286" i="1" a="1"/>
  <c r="A4286" i="1" s="1"/>
  <c r="A4294" i="1" a="1"/>
  <c r="A4294" i="1" s="1"/>
  <c r="A4302" i="1" a="1"/>
  <c r="A4302" i="1" s="1"/>
  <c r="A4310" i="1" a="1"/>
  <c r="A4310" i="1" s="1"/>
  <c r="A4318" i="1" a="1"/>
  <c r="A4318" i="1" s="1"/>
  <c r="A4326" i="1" a="1"/>
  <c r="A4326" i="1" s="1"/>
  <c r="A4334" i="1" a="1"/>
  <c r="A4334" i="1" s="1"/>
  <c r="A4342" i="1" a="1"/>
  <c r="A4342" i="1" s="1"/>
  <c r="A4350" i="1" a="1"/>
  <c r="A4350" i="1" s="1"/>
  <c r="A4358" i="1" a="1"/>
  <c r="A4358" i="1" s="1"/>
  <c r="A4366" i="1" a="1"/>
  <c r="A4366" i="1" s="1"/>
  <c r="A4374" i="1" a="1"/>
  <c r="A4374" i="1" s="1"/>
  <c r="A4382" i="1" a="1"/>
  <c r="A4382" i="1" s="1"/>
  <c r="A4390" i="1" a="1"/>
  <c r="A4390" i="1" s="1"/>
  <c r="A4398" i="1" a="1"/>
  <c r="A4398" i="1" s="1"/>
  <c r="A4406" i="1" a="1"/>
  <c r="A4406" i="1" s="1"/>
  <c r="A4414" i="1" a="1"/>
  <c r="A4414" i="1" s="1"/>
  <c r="A4422" i="1" a="1"/>
  <c r="A4422" i="1" s="1"/>
  <c r="A4430" i="1" a="1"/>
  <c r="A4430" i="1" s="1"/>
  <c r="A4438" i="1" a="1"/>
  <c r="A4438" i="1" s="1"/>
  <c r="A4446" i="1" a="1"/>
  <c r="A4446" i="1" s="1"/>
  <c r="A4454" i="1" a="1"/>
  <c r="A4454" i="1" s="1"/>
  <c r="A4462" i="1" a="1"/>
  <c r="A4462" i="1" s="1"/>
  <c r="A4470" i="1" a="1"/>
  <c r="A4470" i="1" s="1"/>
  <c r="A4478" i="1" a="1"/>
  <c r="A4478" i="1" s="1"/>
  <c r="A4486" i="1" a="1"/>
  <c r="A4486" i="1" s="1"/>
  <c r="A4494" i="1" a="1"/>
  <c r="A4494" i="1" s="1"/>
  <c r="A4502" i="1" a="1"/>
  <c r="A4502" i="1" s="1"/>
  <c r="A4510" i="1" a="1"/>
  <c r="A4510" i="1" s="1"/>
  <c r="A4518" i="1" a="1"/>
  <c r="A4518" i="1" s="1"/>
  <c r="A4526" i="1" a="1"/>
  <c r="A4526" i="1" s="1"/>
  <c r="A4534" i="1" a="1"/>
  <c r="A4534" i="1" s="1"/>
  <c r="A4542" i="1" a="1"/>
  <c r="A4542" i="1" s="1"/>
  <c r="A4550" i="1" a="1"/>
  <c r="A4550" i="1" s="1"/>
  <c r="A4558" i="1" a="1"/>
  <c r="A4558" i="1" s="1"/>
  <c r="A4566" i="1" a="1"/>
  <c r="A4566" i="1" s="1"/>
  <c r="A4574" i="1" a="1"/>
  <c r="A4574" i="1" s="1"/>
  <c r="A4582" i="1" a="1"/>
  <c r="A4582" i="1" s="1"/>
  <c r="A4590" i="1" a="1"/>
  <c r="A4590" i="1" s="1"/>
  <c r="A4598" i="1" a="1"/>
  <c r="A4598" i="1" s="1"/>
  <c r="A4606" i="1" a="1"/>
  <c r="A4606" i="1" s="1"/>
  <c r="A4614" i="1" a="1"/>
  <c r="A4614" i="1" s="1"/>
  <c r="A4622" i="1" a="1"/>
  <c r="A4622" i="1" s="1"/>
  <c r="A4630" i="1" a="1"/>
  <c r="A4630" i="1" s="1"/>
  <c r="A4638" i="1" a="1"/>
  <c r="A4638" i="1" s="1"/>
  <c r="A4646" i="1" a="1"/>
  <c r="A4646" i="1" s="1"/>
  <c r="A4654" i="1" a="1"/>
  <c r="A4654" i="1" s="1"/>
  <c r="A4662" i="1" a="1"/>
  <c r="A4662" i="1" s="1"/>
  <c r="A4670" i="1" a="1"/>
  <c r="A4670" i="1" s="1"/>
  <c r="A4678" i="1" a="1"/>
  <c r="A4678" i="1" s="1"/>
  <c r="A4686" i="1" a="1"/>
  <c r="A4686" i="1" s="1"/>
  <c r="A4694" i="1" a="1"/>
  <c r="A4694" i="1" s="1"/>
  <c r="A4702" i="1" a="1"/>
  <c r="A4702" i="1" s="1"/>
  <c r="A4710" i="1" a="1"/>
  <c r="A4710" i="1" s="1"/>
  <c r="A4718" i="1" a="1"/>
  <c r="A4718" i="1" s="1"/>
  <c r="A4726" i="1" a="1"/>
  <c r="A4726" i="1" s="1"/>
  <c r="A4734" i="1" a="1"/>
  <c r="A4734" i="1" s="1"/>
  <c r="A4742" i="1" a="1"/>
  <c r="A4742" i="1" s="1"/>
  <c r="A4750" i="1" a="1"/>
  <c r="A4750" i="1" s="1"/>
  <c r="A4758" i="1" a="1"/>
  <c r="A4758" i="1" s="1"/>
  <c r="A4766" i="1" a="1"/>
  <c r="A4766" i="1" s="1"/>
  <c r="A4774" i="1" a="1"/>
  <c r="A4774" i="1" s="1"/>
  <c r="A4782" i="1" a="1"/>
  <c r="A4782" i="1" s="1"/>
  <c r="A4790" i="1" a="1"/>
  <c r="A4790" i="1" s="1"/>
  <c r="A4798" i="1" a="1"/>
  <c r="A4798" i="1" s="1"/>
  <c r="A4806" i="1" a="1"/>
  <c r="A4806" i="1" s="1"/>
  <c r="A4814" i="1" a="1"/>
  <c r="A4814" i="1" s="1"/>
  <c r="A4822" i="1" a="1"/>
  <c r="A4822" i="1" s="1"/>
  <c r="A4830" i="1" a="1"/>
  <c r="A4830" i="1" s="1"/>
  <c r="A4837" i="1" a="1"/>
  <c r="A4837" i="1" s="1"/>
  <c r="A4848" i="1" a="1"/>
  <c r="A4848" i="1" s="1"/>
  <c r="A4854" i="1" a="1"/>
  <c r="A4854" i="1" s="1"/>
  <c r="A4862" i="1" a="1"/>
  <c r="A4862" i="1" s="1"/>
  <c r="A4870" i="1" a="1"/>
  <c r="A4870" i="1" s="1"/>
  <c r="A4994" i="1" a="1"/>
  <c r="A4994" i="1" s="1"/>
  <c r="A4986" i="1" a="1"/>
  <c r="A4986" i="1" s="1"/>
  <c r="A4978" i="1" a="1"/>
  <c r="A4978" i="1" s="1"/>
  <c r="A4970" i="1" a="1"/>
  <c r="A4970" i="1" s="1"/>
  <c r="A4962" i="1" a="1"/>
  <c r="A4962" i="1" s="1"/>
  <c r="A4954" i="1" a="1"/>
  <c r="A4954" i="1" s="1"/>
  <c r="A4946" i="1" a="1"/>
  <c r="A4946" i="1" s="1"/>
  <c r="A4938" i="1" a="1"/>
  <c r="A4938" i="1" s="1"/>
  <c r="A4930" i="1" a="1"/>
  <c r="A4930" i="1" s="1"/>
  <c r="A4922" i="1" a="1"/>
  <c r="A4922" i="1" s="1"/>
  <c r="A4914" i="1" a="1"/>
  <c r="A4914" i="1" s="1"/>
  <c r="A4906" i="1" a="1"/>
  <c r="A4906" i="1" s="1"/>
  <c r="A4898" i="1" a="1"/>
  <c r="A4898" i="1" s="1"/>
  <c r="A4890" i="1" a="1"/>
  <c r="A4890" i="1" s="1"/>
  <c r="A4882" i="1" a="1"/>
  <c r="A4882" i="1" s="1"/>
  <c r="A4874" i="1" a="1"/>
  <c r="A4874" i="1" s="1"/>
  <c r="A4842" i="1" a="1"/>
  <c r="A4842" i="1" s="1"/>
  <c r="A4781" i="1" a="1"/>
  <c r="A4781" i="1" s="1"/>
  <c r="A4717" i="1" a="1"/>
  <c r="A4717" i="1" s="1"/>
  <c r="A4653" i="1" a="1"/>
  <c r="A4653" i="1" s="1"/>
  <c r="A4589" i="1" a="1"/>
  <c r="A4589" i="1" s="1"/>
  <c r="A4525" i="1" a="1"/>
  <c r="A4525" i="1" s="1"/>
  <c r="A4461" i="1" a="1"/>
  <c r="A4461" i="1" s="1"/>
  <c r="A4397" i="1" a="1"/>
  <c r="A4397" i="1" s="1"/>
  <c r="A4333" i="1" a="1"/>
  <c r="A4333" i="1" s="1"/>
  <c r="A4269" i="1" a="1"/>
  <c r="A4269" i="1" s="1"/>
  <c r="A4205" i="1" a="1"/>
  <c r="A4205" i="1" s="1"/>
  <c r="A4085" i="1" a="1"/>
  <c r="A4085" i="1" s="1"/>
  <c r="A4021" i="1" a="1"/>
  <c r="A4021" i="1" s="1"/>
  <c r="A3957" i="1" a="1"/>
  <c r="A3957" i="1" s="1"/>
  <c r="A3893" i="1" a="1"/>
  <c r="A3893" i="1" s="1"/>
  <c r="A3829" i="1" a="1"/>
  <c r="A3829" i="1" s="1"/>
  <c r="A3765" i="1" a="1"/>
  <c r="A3765" i="1" s="1"/>
  <c r="A3701" i="1" a="1"/>
  <c r="A3701" i="1" s="1"/>
  <c r="A3637" i="1" a="1"/>
  <c r="A3637" i="1" s="1"/>
  <c r="A5001" i="1" a="1"/>
  <c r="A5001" i="1" s="1"/>
  <c r="A4993" i="1" a="1"/>
  <c r="A4993" i="1" s="1"/>
  <c r="A4985" i="1" a="1"/>
  <c r="A4985" i="1" s="1"/>
  <c r="A4977" i="1" a="1"/>
  <c r="A4977" i="1" s="1"/>
  <c r="A4969" i="1" a="1"/>
  <c r="A4969" i="1" s="1"/>
  <c r="A4961" i="1" a="1"/>
  <c r="A4961" i="1" s="1"/>
  <c r="A4953" i="1" a="1"/>
  <c r="A4953" i="1" s="1"/>
  <c r="A4945" i="1" a="1"/>
  <c r="A4945" i="1" s="1"/>
  <c r="A4937" i="1" a="1"/>
  <c r="A4937" i="1" s="1"/>
  <c r="A4929" i="1" a="1"/>
  <c r="A4929" i="1" s="1"/>
  <c r="A4921" i="1" a="1"/>
  <c r="A4921" i="1" s="1"/>
  <c r="A4913" i="1" a="1"/>
  <c r="A4913" i="1" s="1"/>
  <c r="A4905" i="1" a="1"/>
  <c r="A4905" i="1" s="1"/>
  <c r="A4897" i="1" a="1"/>
  <c r="A4897" i="1" s="1"/>
  <c r="A4889" i="1" a="1"/>
  <c r="A4889" i="1" s="1"/>
  <c r="A4881" i="1" a="1"/>
  <c r="A4881" i="1" s="1"/>
  <c r="A4873" i="1" a="1"/>
  <c r="A4873" i="1" s="1"/>
  <c r="A4836" i="1" a="1"/>
  <c r="A4836" i="1" s="1"/>
  <c r="A4773" i="1" a="1"/>
  <c r="A4773" i="1" s="1"/>
  <c r="A4709" i="1" a="1"/>
  <c r="A4709" i="1" s="1"/>
  <c r="A4645" i="1" a="1"/>
  <c r="A4645" i="1" s="1"/>
  <c r="A4581" i="1" a="1"/>
  <c r="A4581" i="1" s="1"/>
  <c r="A4517" i="1" a="1"/>
  <c r="A4517" i="1" s="1"/>
  <c r="A4453" i="1" a="1"/>
  <c r="A4453" i="1" s="1"/>
  <c r="A4389" i="1" a="1"/>
  <c r="A4389" i="1" s="1"/>
  <c r="A4325" i="1" a="1"/>
  <c r="A4325" i="1" s="1"/>
  <c r="A4261" i="1" a="1"/>
  <c r="A4261" i="1" s="1"/>
  <c r="A4197" i="1" a="1"/>
  <c r="A4197" i="1" s="1"/>
  <c r="A4140" i="1" a="1"/>
  <c r="A4140" i="1" s="1"/>
  <c r="A4077" i="1" a="1"/>
  <c r="A4077" i="1" s="1"/>
  <c r="A4013" i="1" a="1"/>
  <c r="A4013" i="1" s="1"/>
  <c r="A3949" i="1" a="1"/>
  <c r="A3949" i="1" s="1"/>
  <c r="A3885" i="1" a="1"/>
  <c r="A3885" i="1" s="1"/>
  <c r="A3821" i="1" a="1"/>
  <c r="A3821" i="1" s="1"/>
  <c r="A3757" i="1" a="1"/>
  <c r="A3757" i="1" s="1"/>
  <c r="A3693" i="1" a="1"/>
  <c r="A3693" i="1" s="1"/>
  <c r="A3629" i="1" a="1"/>
  <c r="A3629" i="1" s="1"/>
  <c r="A3368" i="1" a="1"/>
  <c r="A3368" i="1" s="1"/>
  <c r="A5000" i="1" a="1"/>
  <c r="A5000" i="1" s="1"/>
  <c r="A4992" i="1" a="1"/>
  <c r="A4992" i="1" s="1"/>
  <c r="A4984" i="1" a="1"/>
  <c r="A4984" i="1" s="1"/>
  <c r="A4976" i="1" a="1"/>
  <c r="A4976" i="1" s="1"/>
  <c r="A4968" i="1" a="1"/>
  <c r="A4968" i="1" s="1"/>
  <c r="A4960" i="1" a="1"/>
  <c r="A4960" i="1" s="1"/>
  <c r="A4952" i="1" a="1"/>
  <c r="A4952" i="1" s="1"/>
  <c r="A4944" i="1" a="1"/>
  <c r="A4944" i="1" s="1"/>
  <c r="A4936" i="1" a="1"/>
  <c r="A4936" i="1" s="1"/>
  <c r="A4928" i="1" a="1"/>
  <c r="A4928" i="1" s="1"/>
  <c r="A4920" i="1" a="1"/>
  <c r="A4920" i="1" s="1"/>
  <c r="A4912" i="1" a="1"/>
  <c r="A4912" i="1" s="1"/>
  <c r="A4904" i="1" a="1"/>
  <c r="A4904" i="1" s="1"/>
  <c r="A4896" i="1" a="1"/>
  <c r="A4896" i="1" s="1"/>
  <c r="A4888" i="1" a="1"/>
  <c r="A4888" i="1" s="1"/>
  <c r="A4880" i="1" a="1"/>
  <c r="A4880" i="1" s="1"/>
  <c r="A4872" i="1" a="1"/>
  <c r="A4872" i="1" s="1"/>
  <c r="A4829" i="1" a="1"/>
  <c r="A4829" i="1" s="1"/>
  <c r="A4765" i="1" a="1"/>
  <c r="A4765" i="1" s="1"/>
  <c r="A4701" i="1" a="1"/>
  <c r="A4701" i="1" s="1"/>
  <c r="A4637" i="1" a="1"/>
  <c r="A4637" i="1" s="1"/>
  <c r="A4573" i="1" a="1"/>
  <c r="A4573" i="1" s="1"/>
  <c r="A4509" i="1" a="1"/>
  <c r="A4509" i="1" s="1"/>
  <c r="A4445" i="1" a="1"/>
  <c r="A4445" i="1" s="1"/>
  <c r="A4381" i="1" a="1"/>
  <c r="A4381" i="1" s="1"/>
  <c r="A4317" i="1" a="1"/>
  <c r="A4317" i="1" s="1"/>
  <c r="A4253" i="1" a="1"/>
  <c r="A4253" i="1" s="1"/>
  <c r="A4189" i="1" a="1"/>
  <c r="A4189" i="1" s="1"/>
  <c r="A4133" i="1" a="1"/>
  <c r="A4133" i="1" s="1"/>
  <c r="A4069" i="1" a="1"/>
  <c r="A4069" i="1" s="1"/>
  <c r="A4005" i="1" a="1"/>
  <c r="A4005" i="1" s="1"/>
  <c r="A3941" i="1" a="1"/>
  <c r="A3941" i="1" s="1"/>
  <c r="A3877" i="1" a="1"/>
  <c r="A3877" i="1" s="1"/>
  <c r="A3813" i="1" a="1"/>
  <c r="A3813" i="1" s="1"/>
  <c r="A3749" i="1" a="1"/>
  <c r="A3749" i="1" s="1"/>
  <c r="A3685" i="1" a="1"/>
  <c r="A3685" i="1" s="1"/>
  <c r="A3621" i="1" a="1"/>
  <c r="A3621" i="1" s="1"/>
  <c r="A3305" i="1" a="1"/>
  <c r="A3305" i="1" s="1"/>
  <c r="A4999" i="1" a="1"/>
  <c r="A4999" i="1" s="1"/>
  <c r="A4991" i="1" a="1"/>
  <c r="A4991" i="1" s="1"/>
  <c r="A4983" i="1" a="1"/>
  <c r="A4983" i="1" s="1"/>
  <c r="A4975" i="1" a="1"/>
  <c r="A4975" i="1" s="1"/>
  <c r="A4967" i="1" a="1"/>
  <c r="A4967" i="1" s="1"/>
  <c r="A4959" i="1" a="1"/>
  <c r="A4959" i="1" s="1"/>
  <c r="A4951" i="1" a="1"/>
  <c r="A4951" i="1" s="1"/>
  <c r="A4943" i="1" a="1"/>
  <c r="A4943" i="1" s="1"/>
  <c r="A4935" i="1" a="1"/>
  <c r="A4935" i="1" s="1"/>
  <c r="A4927" i="1" a="1"/>
  <c r="A4927" i="1" s="1"/>
  <c r="A4919" i="1" a="1"/>
  <c r="A4919" i="1" s="1"/>
  <c r="A4911" i="1" a="1"/>
  <c r="A4911" i="1" s="1"/>
  <c r="A4903" i="1" a="1"/>
  <c r="A4903" i="1" s="1"/>
  <c r="A4895" i="1" a="1"/>
  <c r="A4895" i="1" s="1"/>
  <c r="A4887" i="1" a="1"/>
  <c r="A4887" i="1" s="1"/>
  <c r="A4879" i="1" a="1"/>
  <c r="A4879" i="1" s="1"/>
  <c r="A4871" i="1" a="1"/>
  <c r="A4871" i="1" s="1"/>
  <c r="A4821" i="1" a="1"/>
  <c r="A4821" i="1" s="1"/>
  <c r="A4757" i="1" a="1"/>
  <c r="A4757" i="1" s="1"/>
  <c r="A4693" i="1" a="1"/>
  <c r="A4693" i="1" s="1"/>
  <c r="A4629" i="1" a="1"/>
  <c r="A4629" i="1" s="1"/>
  <c r="A4565" i="1" a="1"/>
  <c r="A4565" i="1" s="1"/>
  <c r="A4501" i="1" a="1"/>
  <c r="A4501" i="1" s="1"/>
  <c r="A4437" i="1" a="1"/>
  <c r="A4437" i="1" s="1"/>
  <c r="A4373" i="1" a="1"/>
  <c r="A4373" i="1" s="1"/>
  <c r="A4309" i="1" a="1"/>
  <c r="A4309" i="1" s="1"/>
  <c r="A4245" i="1" a="1"/>
  <c r="A4245" i="1" s="1"/>
  <c r="A4181" i="1" a="1"/>
  <c r="A4181" i="1" s="1"/>
  <c r="A4125" i="1" a="1"/>
  <c r="A4125" i="1" s="1"/>
  <c r="A4061" i="1" a="1"/>
  <c r="A4061" i="1" s="1"/>
  <c r="A3997" i="1" a="1"/>
  <c r="A3997" i="1" s="1"/>
  <c r="A3933" i="1" a="1"/>
  <c r="A3933" i="1" s="1"/>
  <c r="A3869" i="1" a="1"/>
  <c r="A3869" i="1" s="1"/>
  <c r="A3805" i="1" a="1"/>
  <c r="A3805" i="1" s="1"/>
  <c r="A3741" i="1" a="1"/>
  <c r="A3741" i="1" s="1"/>
  <c r="A3677" i="1" a="1"/>
  <c r="A3677" i="1" s="1"/>
  <c r="A3613" i="1" a="1"/>
  <c r="A3613" i="1" s="1"/>
  <c r="A3241" i="1" a="1"/>
  <c r="A3241" i="1" s="1"/>
  <c r="A4998" i="1" a="1"/>
  <c r="A4998" i="1" s="1"/>
  <c r="A4990" i="1" a="1"/>
  <c r="A4990" i="1" s="1"/>
  <c r="A4982" i="1" a="1"/>
  <c r="A4982" i="1" s="1"/>
  <c r="A4974" i="1" a="1"/>
  <c r="A4974" i="1" s="1"/>
  <c r="A4966" i="1" a="1"/>
  <c r="A4966" i="1" s="1"/>
  <c r="A4958" i="1" a="1"/>
  <c r="A4958" i="1" s="1"/>
  <c r="A4950" i="1" a="1"/>
  <c r="A4950" i="1" s="1"/>
  <c r="A4942" i="1" a="1"/>
  <c r="A4942" i="1" s="1"/>
  <c r="A4934" i="1" a="1"/>
  <c r="A4934" i="1" s="1"/>
  <c r="A4926" i="1" a="1"/>
  <c r="A4926" i="1" s="1"/>
  <c r="A4918" i="1" a="1"/>
  <c r="A4918" i="1" s="1"/>
  <c r="A4910" i="1" a="1"/>
  <c r="A4910" i="1" s="1"/>
  <c r="A4902" i="1" a="1"/>
  <c r="A4902" i="1" s="1"/>
  <c r="A4894" i="1" a="1"/>
  <c r="A4894" i="1" s="1"/>
  <c r="A4886" i="1" a="1"/>
  <c r="A4886" i="1" s="1"/>
  <c r="A4878" i="1" a="1"/>
  <c r="A4878" i="1" s="1"/>
  <c r="A4869" i="1" a="1"/>
  <c r="A4869" i="1" s="1"/>
  <c r="A4813" i="1" a="1"/>
  <c r="A4813" i="1" s="1"/>
  <c r="A4749" i="1" a="1"/>
  <c r="A4749" i="1" s="1"/>
  <c r="A4685" i="1" a="1"/>
  <c r="A4685" i="1" s="1"/>
  <c r="A4621" i="1" a="1"/>
  <c r="A4621" i="1" s="1"/>
  <c r="A4557" i="1" a="1"/>
  <c r="A4557" i="1" s="1"/>
  <c r="A4493" i="1" a="1"/>
  <c r="A4493" i="1" s="1"/>
  <c r="A4429" i="1" a="1"/>
  <c r="A4429" i="1" s="1"/>
  <c r="A4365" i="1" a="1"/>
  <c r="A4365" i="1" s="1"/>
  <c r="A4301" i="1" a="1"/>
  <c r="A4301" i="1" s="1"/>
  <c r="A4237" i="1" a="1"/>
  <c r="A4237" i="1" s="1"/>
  <c r="A4173" i="1" a="1"/>
  <c r="A4173" i="1" s="1"/>
  <c r="A4117" i="1" a="1"/>
  <c r="A4117" i="1" s="1"/>
  <c r="A4053" i="1" a="1"/>
  <c r="A4053" i="1" s="1"/>
  <c r="A3989" i="1" a="1"/>
  <c r="A3989" i="1" s="1"/>
  <c r="A3925" i="1" a="1"/>
  <c r="A3925" i="1" s="1"/>
  <c r="A3861" i="1" a="1"/>
  <c r="A3861" i="1" s="1"/>
  <c r="A3797" i="1" a="1"/>
  <c r="A3797" i="1" s="1"/>
  <c r="A3733" i="1" a="1"/>
  <c r="A3733" i="1" s="1"/>
  <c r="A3669" i="1" a="1"/>
  <c r="A3669" i="1" s="1"/>
  <c r="A3605" i="1" a="1"/>
  <c r="A3605" i="1" s="1"/>
  <c r="A3177" i="1" a="1"/>
  <c r="A3177" i="1" s="1"/>
  <c r="A4997" i="1" a="1"/>
  <c r="A4997" i="1" s="1"/>
  <c r="A4989" i="1" a="1"/>
  <c r="A4989" i="1" s="1"/>
  <c r="A4981" i="1" a="1"/>
  <c r="A4981" i="1" s="1"/>
  <c r="A4973" i="1" a="1"/>
  <c r="A4973" i="1" s="1"/>
  <c r="A4965" i="1" a="1"/>
  <c r="A4965" i="1" s="1"/>
  <c r="A4957" i="1" a="1"/>
  <c r="A4957" i="1" s="1"/>
  <c r="A4949" i="1" a="1"/>
  <c r="A4949" i="1" s="1"/>
  <c r="A4941" i="1" a="1"/>
  <c r="A4941" i="1" s="1"/>
  <c r="A4933" i="1" a="1"/>
  <c r="A4933" i="1" s="1"/>
  <c r="A4925" i="1" a="1"/>
  <c r="A4925" i="1" s="1"/>
  <c r="A4917" i="1" a="1"/>
  <c r="A4917" i="1" s="1"/>
  <c r="A4909" i="1" a="1"/>
  <c r="A4909" i="1" s="1"/>
  <c r="A4901" i="1" a="1"/>
  <c r="A4901" i="1" s="1"/>
  <c r="A4893" i="1" a="1"/>
  <c r="A4893" i="1" s="1"/>
  <c r="A4885" i="1" a="1"/>
  <c r="A4885" i="1" s="1"/>
  <c r="A4877" i="1" a="1"/>
  <c r="A4877" i="1" s="1"/>
  <c r="A4861" i="1" a="1"/>
  <c r="A4861" i="1" s="1"/>
  <c r="A4805" i="1" a="1"/>
  <c r="A4805" i="1" s="1"/>
  <c r="A4741" i="1" a="1"/>
  <c r="A4741" i="1" s="1"/>
  <c r="A4677" i="1" a="1"/>
  <c r="A4677" i="1" s="1"/>
  <c r="A4613" i="1" a="1"/>
  <c r="A4613" i="1" s="1"/>
  <c r="A4549" i="1" a="1"/>
  <c r="A4549" i="1" s="1"/>
  <c r="A4485" i="1" a="1"/>
  <c r="A4485" i="1" s="1"/>
  <c r="A4421" i="1" a="1"/>
  <c r="A4421" i="1" s="1"/>
  <c r="A4357" i="1" a="1"/>
  <c r="A4357" i="1" s="1"/>
  <c r="A4293" i="1" a="1"/>
  <c r="A4293" i="1" s="1"/>
  <c r="A4229" i="1" a="1"/>
  <c r="A4229" i="1" s="1"/>
  <c r="A4165" i="1" a="1"/>
  <c r="A4165" i="1" s="1"/>
  <c r="A4109" i="1" a="1"/>
  <c r="A4109" i="1" s="1"/>
  <c r="A4045" i="1" a="1"/>
  <c r="A4045" i="1" s="1"/>
  <c r="A3981" i="1" a="1"/>
  <c r="A3981" i="1" s="1"/>
  <c r="A3917" i="1" a="1"/>
  <c r="A3917" i="1" s="1"/>
  <c r="A3853" i="1" a="1"/>
  <c r="A3853" i="1" s="1"/>
  <c r="A3789" i="1" a="1"/>
  <c r="A3789" i="1" s="1"/>
  <c r="A3725" i="1" a="1"/>
  <c r="A3725" i="1" s="1"/>
  <c r="A3661" i="1" a="1"/>
  <c r="A3661" i="1" s="1"/>
  <c r="A3583" i="1" a="1"/>
  <c r="A3583" i="1" s="1"/>
  <c r="A3113" i="1" a="1"/>
  <c r="A3113" i="1" s="1"/>
  <c r="E481" i="1"/>
  <c r="E91" i="1"/>
  <c r="D5" i="1"/>
  <c r="E182" i="1"/>
  <c r="E250" i="1"/>
  <c r="E55" i="1"/>
  <c r="E460" i="1"/>
  <c r="E438" i="1"/>
  <c r="E277" i="1"/>
  <c r="E375" i="1"/>
  <c r="E405" i="1"/>
  <c r="E74" i="1"/>
  <c r="E448" i="1"/>
  <c r="E421" i="1"/>
  <c r="E456" i="1"/>
  <c r="D421" i="1"/>
  <c r="D260" i="1"/>
  <c r="E2" i="1"/>
  <c r="D2" i="1"/>
  <c r="D182" i="1"/>
  <c r="D277" i="1"/>
  <c r="D315" i="1"/>
  <c r="D289" i="1"/>
  <c r="D456" i="1"/>
  <c r="E93" i="1"/>
  <c r="D61" i="1"/>
  <c r="E5" i="1"/>
  <c r="B421" i="1"/>
  <c r="B405" i="1"/>
  <c r="B277" i="1"/>
  <c r="B2" i="1"/>
  <c r="B347" i="1"/>
  <c r="B250" i="1"/>
  <c r="B249" i="1"/>
  <c r="B456" i="1"/>
  <c r="B295" i="1"/>
  <c r="B438" i="1"/>
  <c r="B182" i="1"/>
  <c r="B93" i="1"/>
  <c r="B147" i="1"/>
  <c r="B138" i="1"/>
  <c r="D248" i="1" l="1"/>
  <c r="B248" i="1"/>
  <c r="D705" i="1"/>
  <c r="B45" i="1"/>
  <c r="E409" i="1"/>
  <c r="D744" i="1"/>
  <c r="D750" i="1"/>
  <c r="D751" i="1"/>
  <c r="D763" i="1"/>
  <c r="D770" i="1"/>
  <c r="D782" i="1"/>
  <c r="D788" i="1"/>
  <c r="D801" i="1"/>
  <c r="D795" i="1"/>
  <c r="D820" i="1"/>
  <c r="D814" i="1"/>
  <c r="D857" i="1"/>
  <c r="D851" i="1"/>
  <c r="D749" i="1"/>
  <c r="D743" i="1"/>
  <c r="D768" i="1"/>
  <c r="D769" i="1"/>
  <c r="D758" i="1"/>
  <c r="D781" i="1"/>
  <c r="D776" i="1"/>
  <c r="D800" i="1"/>
  <c r="D806" i="1"/>
  <c r="D819" i="1"/>
  <c r="D813" i="1"/>
  <c r="D856" i="1"/>
  <c r="D850" i="1"/>
  <c r="D748" i="1"/>
  <c r="D742" i="1"/>
  <c r="D767" i="1"/>
  <c r="D762" i="1"/>
  <c r="D786" i="1"/>
  <c r="D780" i="1"/>
  <c r="D787" i="1"/>
  <c r="D799" i="1"/>
  <c r="D794" i="1"/>
  <c r="D818" i="1"/>
  <c r="D824" i="1"/>
  <c r="D855" i="1"/>
  <c r="D849" i="1"/>
  <c r="D747" i="1"/>
  <c r="D741" i="1"/>
  <c r="D766" i="1"/>
  <c r="D761" i="1"/>
  <c r="D785" i="1"/>
  <c r="D779" i="1"/>
  <c r="D804" i="1"/>
  <c r="D798" i="1"/>
  <c r="D805" i="1"/>
  <c r="D817" i="1"/>
  <c r="D812" i="1"/>
  <c r="D854" i="1"/>
  <c r="D860" i="1"/>
  <c r="D746" i="1"/>
  <c r="D752" i="1"/>
  <c r="D765" i="1"/>
  <c r="D760" i="1"/>
  <c r="D784" i="1"/>
  <c r="D778" i="1"/>
  <c r="D803" i="1"/>
  <c r="D797" i="1"/>
  <c r="D822" i="1"/>
  <c r="D816" i="1"/>
  <c r="D823" i="1"/>
  <c r="D853" i="1"/>
  <c r="D848" i="1"/>
  <c r="D745" i="1"/>
  <c r="D740" i="1"/>
  <c r="D764" i="1"/>
  <c r="D759" i="1"/>
  <c r="D783" i="1"/>
  <c r="D777" i="1"/>
  <c r="D802" i="1"/>
  <c r="D796" i="1"/>
  <c r="D821" i="1"/>
  <c r="D815" i="1"/>
  <c r="D858" i="1"/>
  <c r="D852" i="1"/>
  <c r="D859" i="1"/>
  <c r="B224" i="1"/>
  <c r="E360" i="1"/>
  <c r="D295" i="1"/>
  <c r="D162" i="1"/>
  <c r="B360" i="1"/>
  <c r="B162" i="1"/>
  <c r="D121" i="1"/>
  <c r="E224" i="1"/>
  <c r="B70" i="1"/>
  <c r="B426" i="1"/>
  <c r="D494" i="1"/>
  <c r="B121" i="1"/>
  <c r="B315" i="1"/>
  <c r="B191" i="1"/>
  <c r="B80" i="1"/>
  <c r="B172" i="1"/>
  <c r="D340" i="1"/>
  <c r="E275" i="1"/>
  <c r="D166" i="1"/>
  <c r="B340" i="1"/>
  <c r="D117" i="1"/>
  <c r="E303" i="1"/>
  <c r="B166" i="1"/>
  <c r="B368" i="1"/>
  <c r="B193" i="1"/>
  <c r="D80" i="1"/>
  <c r="B357" i="1"/>
  <c r="B381" i="1"/>
  <c r="B409" i="1"/>
  <c r="B462" i="1"/>
  <c r="B206" i="1"/>
  <c r="B275" i="1"/>
  <c r="D442" i="1"/>
  <c r="B122" i="1"/>
  <c r="D122" i="1"/>
  <c r="B43" i="1"/>
  <c r="C28" i="1" a="1"/>
  <c r="C28" i="1" s="1"/>
  <c r="D28" i="1" s="1"/>
  <c r="E689" i="1"/>
  <c r="D382" i="1"/>
  <c r="B167" i="1"/>
  <c r="E270" i="1"/>
  <c r="D697" i="1"/>
  <c r="B42" i="1"/>
  <c r="C50" i="1" a="1"/>
  <c r="C50" i="1" s="1"/>
  <c r="E50" i="1" s="1"/>
  <c r="E229" i="1"/>
  <c r="E418" i="1"/>
  <c r="B300" i="1"/>
  <c r="C52" i="1" a="1"/>
  <c r="C52" i="1" s="1"/>
  <c r="E52" i="1" s="1"/>
  <c r="D459" i="1"/>
  <c r="D696" i="1"/>
  <c r="D488" i="1"/>
  <c r="D687" i="1"/>
  <c r="C41" i="1" a="1"/>
  <c r="C41" i="1" s="1"/>
  <c r="E691" i="1"/>
  <c r="E704" i="1"/>
  <c r="B329" i="1"/>
  <c r="B367" i="1"/>
  <c r="D329" i="1"/>
  <c r="E306" i="1"/>
  <c r="C34" i="1" a="1"/>
  <c r="C34" i="1" s="1"/>
  <c r="D34" i="1" s="1"/>
  <c r="B133" i="1"/>
  <c r="D309" i="1"/>
  <c r="E128" i="1"/>
  <c r="B229" i="1"/>
  <c r="B418" i="1"/>
  <c r="B309" i="1"/>
  <c r="E327" i="1"/>
  <c r="B128" i="1"/>
  <c r="B293" i="1"/>
  <c r="B397" i="1"/>
  <c r="B327" i="1"/>
  <c r="B306" i="1"/>
  <c r="E698" i="1"/>
  <c r="C26" i="1" a="1"/>
  <c r="C26" i="1" s="1"/>
  <c r="D26" i="1" s="1"/>
  <c r="C35" i="1" a="1"/>
  <c r="C35" i="1" s="1"/>
  <c r="D35" i="1" s="1"/>
  <c r="E695" i="1"/>
  <c r="E707" i="1"/>
  <c r="C32" i="1" a="1"/>
  <c r="C32" i="1" s="1"/>
  <c r="D32" i="1" s="1"/>
  <c r="E706" i="1"/>
  <c r="E693" i="1"/>
  <c r="E694" i="1"/>
  <c r="C38" i="1" a="1"/>
  <c r="C38" i="1" s="1"/>
  <c r="D38" i="1" s="1"/>
  <c r="D714" i="1"/>
  <c r="D708" i="1"/>
  <c r="C673" i="1" a="1"/>
  <c r="C673" i="1" s="1"/>
  <c r="D673" i="1" s="1"/>
  <c r="C688" i="1" a="1"/>
  <c r="C688" i="1" s="1"/>
  <c r="D688" i="1" s="1"/>
  <c r="D713" i="1"/>
  <c r="C680" i="1" a="1"/>
  <c r="C680" i="1" s="1"/>
  <c r="E680" i="1" s="1"/>
  <c r="C675" i="1" a="1"/>
  <c r="C675" i="1" s="1"/>
  <c r="D675" i="1" s="1"/>
  <c r="C686" i="1" a="1"/>
  <c r="C686" i="1" s="1"/>
  <c r="D686" i="1" s="1"/>
  <c r="D712" i="1"/>
  <c r="C678" i="1" a="1"/>
  <c r="C678" i="1" s="1"/>
  <c r="D678" i="1" s="1"/>
  <c r="C690" i="1" a="1"/>
  <c r="C690" i="1" s="1"/>
  <c r="D690" i="1" s="1"/>
  <c r="C671" i="1" a="1"/>
  <c r="C671" i="1" s="1"/>
  <c r="E671" i="1" s="1"/>
  <c r="E716" i="1"/>
  <c r="D711" i="1"/>
  <c r="C674" i="1" a="1"/>
  <c r="C674" i="1" s="1"/>
  <c r="D674" i="1" s="1"/>
  <c r="C692" i="1" a="1"/>
  <c r="C692" i="1" s="1"/>
  <c r="E692" i="1" s="1"/>
  <c r="D710" i="1"/>
  <c r="C668" i="1" a="1"/>
  <c r="C668" i="1" s="1"/>
  <c r="E668" i="1" s="1"/>
  <c r="C679" i="1" a="1"/>
  <c r="C679" i="1" s="1"/>
  <c r="E679" i="1" s="1"/>
  <c r="C677" i="1" a="1"/>
  <c r="C677" i="1" s="1"/>
  <c r="D677" i="1" s="1"/>
  <c r="C672" i="1" a="1"/>
  <c r="C672" i="1" s="1"/>
  <c r="D672" i="1" s="1"/>
  <c r="C670" i="1" a="1"/>
  <c r="C670" i="1" s="1"/>
  <c r="E670" i="1" s="1"/>
  <c r="C676" i="1" a="1"/>
  <c r="C676" i="1" s="1"/>
  <c r="D676" i="1" s="1"/>
  <c r="E715" i="1"/>
  <c r="D709" i="1"/>
  <c r="C669" i="1" a="1"/>
  <c r="C669" i="1" s="1"/>
  <c r="E669" i="1" s="1"/>
  <c r="C40" i="1" a="1"/>
  <c r="C40" i="1" s="1"/>
  <c r="D40" i="1" s="1"/>
  <c r="B270" i="1"/>
  <c r="D98" i="1"/>
  <c r="C46" i="1" a="1"/>
  <c r="C46" i="1" s="1"/>
  <c r="D46" i="1" s="1"/>
  <c r="C39" i="1" a="1"/>
  <c r="C39" i="1" s="1"/>
  <c r="E39" i="1" s="1"/>
  <c r="D126" i="1"/>
  <c r="B320" i="1"/>
  <c r="B294" i="1"/>
  <c r="D120" i="1"/>
  <c r="D414" i="1"/>
  <c r="B126" i="1"/>
  <c r="B414" i="1"/>
  <c r="B299" i="1"/>
  <c r="D320" i="1"/>
  <c r="E480" i="1"/>
  <c r="D77" i="1"/>
  <c r="B120" i="1"/>
  <c r="B105" i="1"/>
  <c r="B233" i="1"/>
  <c r="B459" i="1"/>
  <c r="D294" i="1"/>
  <c r="D105" i="1"/>
  <c r="E392" i="1"/>
  <c r="B77" i="1"/>
  <c r="E148" i="1"/>
  <c r="B36" i="1"/>
  <c r="C27" i="1" a="1"/>
  <c r="C27" i="1" s="1"/>
  <c r="D27" i="1" s="1"/>
  <c r="C53" i="1" a="1"/>
  <c r="C53" i="1" s="1"/>
  <c r="D53" i="1" s="1"/>
  <c r="C48" i="1" a="1"/>
  <c r="C48" i="1" s="1"/>
  <c r="E48" i="1" s="1"/>
  <c r="C23" i="1" a="1"/>
  <c r="C23" i="1" s="1"/>
  <c r="D23" i="1" s="1"/>
  <c r="B31" i="1"/>
  <c r="B130" i="1"/>
  <c r="B238" i="1"/>
  <c r="B415" i="1"/>
  <c r="D415" i="1"/>
  <c r="E65" i="1"/>
  <c r="C51" i="1" a="1"/>
  <c r="C51" i="1" s="1"/>
  <c r="D51" i="1" s="1"/>
  <c r="E434" i="1"/>
  <c r="B170" i="1"/>
  <c r="C33" i="1" a="1"/>
  <c r="C33" i="1" s="1"/>
  <c r="E33" i="1" s="1"/>
  <c r="B61" i="1"/>
  <c r="B57" i="1"/>
  <c r="B226" i="1"/>
  <c r="D226" i="1"/>
  <c r="D170" i="1"/>
  <c r="C25" i="1" a="1"/>
  <c r="C25" i="1" s="1"/>
  <c r="D25" i="1" s="1"/>
  <c r="B65" i="1"/>
  <c r="B260" i="1"/>
  <c r="D324" i="1"/>
  <c r="B448" i="1"/>
  <c r="D252" i="1"/>
  <c r="B231" i="1"/>
  <c r="B332" i="1"/>
  <c r="E165" i="1"/>
  <c r="C47" i="1" a="1"/>
  <c r="C47" i="1" s="1"/>
  <c r="D47" i="1" s="1"/>
  <c r="D130" i="1"/>
  <c r="B165" i="1"/>
  <c r="B161" i="1"/>
  <c r="B434" i="1"/>
  <c r="E509" i="1"/>
  <c r="D509" i="1"/>
  <c r="D508" i="1"/>
  <c r="D513" i="1"/>
  <c r="E533" i="1"/>
  <c r="D527" i="1"/>
  <c r="D552" i="1"/>
  <c r="E546" i="1"/>
  <c r="D571" i="1"/>
  <c r="D565" i="1"/>
  <c r="D578" i="1"/>
  <c r="D584" i="1"/>
  <c r="E608" i="1"/>
  <c r="E603" i="1"/>
  <c r="E597" i="1"/>
  <c r="E622" i="1"/>
  <c r="E616" i="1"/>
  <c r="E641" i="1"/>
  <c r="E635" i="1"/>
  <c r="E660" i="1"/>
  <c r="E654" i="1"/>
  <c r="D516" i="1"/>
  <c r="D512" i="1"/>
  <c r="E532" i="1"/>
  <c r="D526" i="1"/>
  <c r="D551" i="1"/>
  <c r="E545" i="1"/>
  <c r="E570" i="1"/>
  <c r="D564" i="1"/>
  <c r="D589" i="1"/>
  <c r="D583" i="1"/>
  <c r="E596" i="1"/>
  <c r="E602" i="1"/>
  <c r="E626" i="1"/>
  <c r="E621" i="1"/>
  <c r="E615" i="1"/>
  <c r="E640" i="1"/>
  <c r="E634" i="1"/>
  <c r="E659" i="1"/>
  <c r="E653" i="1"/>
  <c r="D507" i="1"/>
  <c r="D536" i="1"/>
  <c r="D531" i="1"/>
  <c r="D525" i="1"/>
  <c r="D550" i="1"/>
  <c r="D544" i="1"/>
  <c r="D569" i="1"/>
  <c r="D563" i="1"/>
  <c r="D588" i="1"/>
  <c r="D582" i="1"/>
  <c r="D607" i="1"/>
  <c r="E601" i="1"/>
  <c r="E614" i="1"/>
  <c r="D620" i="1"/>
  <c r="D644" i="1"/>
  <c r="E639" i="1"/>
  <c r="D633" i="1"/>
  <c r="D658" i="1"/>
  <c r="E652" i="1"/>
  <c r="E511" i="1"/>
  <c r="D511" i="1"/>
  <c r="D515" i="1"/>
  <c r="D524" i="1"/>
  <c r="D530" i="1"/>
  <c r="D554" i="1"/>
  <c r="D549" i="1"/>
  <c r="D543" i="1"/>
  <c r="D568" i="1"/>
  <c r="D562" i="1"/>
  <c r="D587" i="1"/>
  <c r="D581" i="1"/>
  <c r="E606" i="1"/>
  <c r="E600" i="1"/>
  <c r="E625" i="1"/>
  <c r="D619" i="1"/>
  <c r="D632" i="1"/>
  <c r="E638" i="1"/>
  <c r="E662" i="1"/>
  <c r="D657" i="1"/>
  <c r="E651" i="1"/>
  <c r="E510" i="1"/>
  <c r="D510" i="1"/>
  <c r="D518" i="1"/>
  <c r="D506" i="1"/>
  <c r="D535" i="1"/>
  <c r="D529" i="1"/>
  <c r="D542" i="1"/>
  <c r="D548" i="1"/>
  <c r="D572" i="1"/>
  <c r="D567" i="1"/>
  <c r="D561" i="1"/>
  <c r="D586" i="1"/>
  <c r="D580" i="1"/>
  <c r="E605" i="1"/>
  <c r="E599" i="1"/>
  <c r="E624" i="1"/>
  <c r="E618" i="1"/>
  <c r="D643" i="1"/>
  <c r="E637" i="1"/>
  <c r="E650" i="1"/>
  <c r="D656" i="1"/>
  <c r="E675" i="1"/>
  <c r="D517" i="1"/>
  <c r="E514" i="1"/>
  <c r="E534" i="1"/>
  <c r="D528" i="1"/>
  <c r="D553" i="1"/>
  <c r="D547" i="1"/>
  <c r="D560" i="1"/>
  <c r="D566" i="1"/>
  <c r="D590" i="1"/>
  <c r="D585" i="1"/>
  <c r="D579" i="1"/>
  <c r="E604" i="1"/>
  <c r="E598" i="1"/>
  <c r="E623" i="1"/>
  <c r="E617" i="1"/>
  <c r="E642" i="1"/>
  <c r="E636" i="1"/>
  <c r="E661" i="1"/>
  <c r="D655" i="1"/>
  <c r="E674" i="1"/>
  <c r="C24" i="1" a="1"/>
  <c r="C24" i="1" s="1"/>
  <c r="D24" i="1" s="1"/>
  <c r="C21" i="1" a="1"/>
  <c r="C21" i="1" s="1"/>
  <c r="D21" i="1" s="1"/>
  <c r="B156" i="1"/>
  <c r="B64" i="1"/>
  <c r="B422" i="1"/>
  <c r="E138" i="1"/>
  <c r="B234" i="1"/>
  <c r="B185" i="1"/>
  <c r="E422" i="1"/>
  <c r="E454" i="1"/>
  <c r="E19" i="1"/>
  <c r="D19" i="1"/>
  <c r="D257" i="1"/>
  <c r="B362" i="1"/>
  <c r="E67" i="1"/>
  <c r="B296" i="1"/>
  <c r="B257" i="1"/>
  <c r="B235" i="1"/>
  <c r="D159" i="1"/>
  <c r="E199" i="1"/>
  <c r="E363" i="1"/>
  <c r="B109" i="1"/>
  <c r="B67" i="1"/>
  <c r="B444" i="1"/>
  <c r="D109" i="1"/>
  <c r="E333" i="1"/>
  <c r="B173" i="1"/>
  <c r="E261" i="1"/>
  <c r="D296" i="1"/>
  <c r="B363" i="1"/>
  <c r="B261" i="1"/>
  <c r="B159" i="1"/>
  <c r="B164" i="1"/>
  <c r="B371" i="1"/>
  <c r="D68" i="1"/>
  <c r="B68" i="1"/>
  <c r="E471" i="1"/>
  <c r="B168" i="1"/>
  <c r="B333" i="1"/>
  <c r="D20" i="1"/>
  <c r="E20" i="1"/>
  <c r="D22" i="1"/>
  <c r="E22" i="1"/>
  <c r="D45" i="1"/>
  <c r="D29" i="1"/>
  <c r="E29" i="1"/>
  <c r="D30" i="1"/>
  <c r="E30" i="1"/>
  <c r="D31" i="1"/>
  <c r="E31" i="1"/>
  <c r="B186" i="1"/>
  <c r="D331" i="1"/>
  <c r="E376" i="1"/>
  <c r="E285" i="1"/>
  <c r="B464" i="1"/>
  <c r="B331" i="1"/>
  <c r="D207" i="1"/>
  <c r="B382" i="1"/>
  <c r="D464" i="1"/>
  <c r="D395" i="1"/>
  <c r="D474" i="1"/>
  <c r="B395" i="1"/>
  <c r="B445" i="1"/>
  <c r="E491" i="1"/>
  <c r="B110" i="1"/>
  <c r="B285" i="1"/>
  <c r="D82" i="1"/>
  <c r="E445" i="1"/>
  <c r="B92" i="1"/>
  <c r="E96" i="1"/>
  <c r="B190" i="1"/>
  <c r="B207" i="1"/>
  <c r="E186" i="1"/>
  <c r="B82" i="1"/>
  <c r="B376" i="1"/>
  <c r="B188" i="1"/>
  <c r="D36" i="1"/>
  <c r="E36" i="1"/>
  <c r="D37" i="1"/>
  <c r="E37" i="1"/>
  <c r="D49" i="1"/>
  <c r="E49" i="1"/>
  <c r="D42" i="1"/>
  <c r="E42" i="1"/>
  <c r="D44" i="1"/>
  <c r="E44" i="1"/>
  <c r="D281" i="1"/>
  <c r="D355" i="1"/>
  <c r="D163" i="1"/>
  <c r="E185" i="1"/>
  <c r="B246" i="1"/>
  <c r="B355" i="1"/>
  <c r="B408" i="1"/>
  <c r="B281" i="1"/>
  <c r="B380" i="1"/>
  <c r="D449" i="1"/>
  <c r="D246" i="1"/>
  <c r="B440" i="1"/>
  <c r="D497" i="1"/>
  <c r="B94" i="1"/>
  <c r="B337" i="1"/>
  <c r="D71" i="1"/>
  <c r="D58" i="1"/>
  <c r="B163" i="1"/>
  <c r="D54" i="1"/>
  <c r="B449" i="1"/>
  <c r="B253" i="1"/>
  <c r="D94" i="1"/>
  <c r="B58" i="1"/>
  <c r="B454" i="1"/>
  <c r="B259" i="1"/>
  <c r="B71" i="1"/>
  <c r="D41" i="1"/>
  <c r="E41" i="1"/>
  <c r="D43" i="1"/>
  <c r="E43" i="1"/>
  <c r="E452" i="1"/>
  <c r="E145" i="1"/>
  <c r="B298" i="1"/>
  <c r="B301" i="1"/>
  <c r="E366" i="1"/>
  <c r="B366" i="1"/>
  <c r="D272" i="1"/>
  <c r="D169" i="1"/>
  <c r="E312" i="1"/>
  <c r="B118" i="1"/>
  <c r="B145" i="1"/>
  <c r="B389" i="1"/>
  <c r="B169" i="1"/>
  <c r="D428" i="1"/>
  <c r="B428" i="1"/>
  <c r="E305" i="1"/>
  <c r="D403" i="1"/>
  <c r="E273" i="1"/>
  <c r="B273" i="1"/>
  <c r="B305" i="1"/>
  <c r="E152" i="1"/>
  <c r="E492" i="1"/>
  <c r="B86" i="1"/>
  <c r="B403" i="1"/>
  <c r="B208" i="1"/>
  <c r="B311" i="1"/>
  <c r="B429" i="1"/>
  <c r="D125" i="1"/>
  <c r="E241" i="1"/>
  <c r="B125" i="1"/>
  <c r="B241" i="1"/>
  <c r="E184" i="1"/>
  <c r="E311" i="1"/>
  <c r="B54" i="1"/>
  <c r="B184" i="1"/>
  <c r="D429" i="1"/>
  <c r="B339" i="1"/>
  <c r="E351" i="1"/>
  <c r="B351" i="1"/>
  <c r="B442" i="1"/>
  <c r="E316" i="1"/>
  <c r="B123" i="1"/>
  <c r="B101" i="1"/>
  <c r="B334" i="1"/>
  <c r="B441" i="1"/>
  <c r="D141" i="1"/>
  <c r="E238" i="1"/>
  <c r="E498" i="1"/>
  <c r="B394" i="1"/>
  <c r="E265" i="1"/>
  <c r="B240" i="1"/>
  <c r="B220" i="1"/>
  <c r="D101" i="1"/>
  <c r="D472" i="1"/>
  <c r="B114" i="1"/>
  <c r="B141" i="1"/>
  <c r="B265" i="1"/>
  <c r="B179" i="1"/>
  <c r="B292" i="1"/>
  <c r="B398" i="1"/>
  <c r="B407" i="1"/>
  <c r="D407" i="1"/>
  <c r="D151" i="1"/>
  <c r="E179" i="1"/>
  <c r="E394" i="1"/>
  <c r="B289" i="1"/>
  <c r="B436" i="1"/>
  <c r="D256" i="1"/>
  <c r="E436" i="1"/>
  <c r="D325" i="1"/>
  <c r="E453" i="1"/>
  <c r="B245" i="1"/>
  <c r="B63" i="1"/>
  <c r="B99" i="1"/>
  <c r="B354" i="1"/>
  <c r="D112" i="1"/>
  <c r="B323" i="1"/>
  <c r="D193" i="1"/>
  <c r="E427" i="1"/>
  <c r="E323" i="1"/>
  <c r="B104" i="1"/>
  <c r="D341" i="1"/>
  <c r="D230" i="1"/>
  <c r="B144" i="1"/>
  <c r="B446" i="1"/>
  <c r="D104" i="1"/>
  <c r="E425" i="1"/>
  <c r="B230" i="1"/>
  <c r="B116" i="1"/>
  <c r="B341" i="1"/>
  <c r="B148" i="1"/>
  <c r="B318" i="1"/>
  <c r="B375" i="1"/>
  <c r="B272" i="1"/>
  <c r="B452" i="1"/>
  <c r="D237" i="1"/>
  <c r="B227" i="1"/>
  <c r="B386" i="1"/>
  <c r="B251" i="1"/>
  <c r="D155" i="1"/>
  <c r="D200" i="1"/>
  <c r="D102" i="1"/>
  <c r="D251" i="1"/>
  <c r="E433" i="1"/>
  <c r="D245" i="1"/>
  <c r="B98" i="1"/>
  <c r="B155" i="1"/>
  <c r="D202" i="1"/>
  <c r="E386" i="1"/>
  <c r="B102" i="1"/>
  <c r="B202" i="1"/>
  <c r="B291" i="1"/>
  <c r="B435" i="1"/>
  <c r="D291" i="1"/>
  <c r="B112" i="1"/>
  <c r="B416" i="1"/>
  <c r="B325" i="1"/>
  <c r="D354" i="1"/>
  <c r="E142" i="1"/>
  <c r="D124" i="1"/>
  <c r="B453" i="1"/>
  <c r="B377" i="1"/>
  <c r="D396" i="1"/>
  <c r="D482" i="1"/>
  <c r="E63" i="1"/>
  <c r="B124" i="1"/>
  <c r="B142" i="1"/>
  <c r="B335" i="1"/>
  <c r="B388" i="1"/>
  <c r="B197" i="1"/>
  <c r="B152" i="1"/>
  <c r="B433" i="1"/>
  <c r="B396" i="1"/>
  <c r="B319" i="1"/>
  <c r="D76" i="1"/>
  <c r="D483" i="1"/>
  <c r="D500" i="1"/>
  <c r="E175" i="1"/>
  <c r="E393" i="1"/>
  <c r="E385" i="1"/>
  <c r="D413" i="1"/>
  <c r="B413" i="1"/>
  <c r="B171" i="1"/>
  <c r="B175" i="1"/>
  <c r="B359" i="1"/>
  <c r="D216" i="1"/>
  <c r="E458" i="1"/>
  <c r="E369" i="1"/>
  <c r="E225" i="1"/>
  <c r="B461" i="1"/>
  <c r="B225" i="1"/>
  <c r="D87" i="1"/>
  <c r="D180" i="1"/>
  <c r="E319" i="1"/>
  <c r="B330" i="1"/>
  <c r="B129" i="1"/>
  <c r="B369" i="1"/>
  <c r="B313" i="1"/>
  <c r="B431" i="1"/>
  <c r="B264" i="1"/>
  <c r="B180" i="1"/>
  <c r="D461" i="1"/>
  <c r="B385" i="1"/>
  <c r="B198" i="1"/>
  <c r="B393" i="1"/>
  <c r="B267" i="1"/>
  <c r="B187" i="1"/>
  <c r="B75" i="1"/>
  <c r="D439" i="1"/>
  <c r="B310" i="1"/>
  <c r="B213" i="1"/>
  <c r="E274" i="1"/>
  <c r="B183" i="1"/>
  <c r="B400" i="1"/>
  <c r="B274" i="1"/>
  <c r="B365" i="1"/>
  <c r="B87" i="1"/>
  <c r="D213" i="1"/>
  <c r="B457" i="1"/>
  <c r="B127" i="1"/>
  <c r="B232" i="1"/>
  <c r="B465" i="1"/>
  <c r="B439" i="1"/>
  <c r="D232" i="1"/>
  <c r="D187" i="1"/>
  <c r="D127" i="1"/>
  <c r="D365" i="1"/>
  <c r="D183" i="1"/>
  <c r="E457" i="1"/>
  <c r="D400" i="1"/>
  <c r="B217" i="1"/>
  <c r="B450" i="1"/>
  <c r="B412" i="1"/>
  <c r="D242" i="1"/>
  <c r="D212" i="1"/>
  <c r="D478" i="1"/>
  <c r="B223" i="1"/>
  <c r="B316" i="1"/>
  <c r="B106" i="1"/>
  <c r="B430" i="1"/>
  <c r="D271" i="1"/>
  <c r="D450" i="1"/>
  <c r="D203" i="1"/>
  <c r="D339" i="1"/>
  <c r="D57" i="1"/>
  <c r="B350" i="1"/>
  <c r="B263" i="1"/>
  <c r="B432" i="1"/>
  <c r="B401" i="1"/>
  <c r="E219" i="1"/>
  <c r="B312" i="1"/>
  <c r="B242" i="1"/>
  <c r="D66" i="1"/>
  <c r="E486" i="1"/>
  <c r="B219" i="1"/>
  <c r="B212" i="1"/>
  <c r="B364" i="1"/>
  <c r="D330" i="1"/>
  <c r="B78" i="1"/>
  <c r="B203" i="1"/>
  <c r="B174" i="1"/>
  <c r="B136" i="1"/>
  <c r="B271" i="1"/>
  <c r="B60" i="1"/>
  <c r="B374" i="1"/>
  <c r="B372" i="1"/>
  <c r="D364" i="1"/>
  <c r="D60" i="1"/>
  <c r="D223" i="1"/>
  <c r="D106" i="1"/>
  <c r="D350" i="1"/>
  <c r="D430" i="1"/>
  <c r="B391" i="1"/>
  <c r="B468" i="1"/>
  <c r="D372" i="1"/>
  <c r="B178" i="1"/>
  <c r="B66" i="1"/>
  <c r="B146" i="1"/>
  <c r="B96" i="1"/>
  <c r="B199" i="1"/>
  <c r="B399" i="1"/>
  <c r="B419" i="1"/>
  <c r="D419" i="1"/>
  <c r="B132" i="1"/>
  <c r="B4" i="1"/>
  <c r="B216" i="1"/>
  <c r="B458" i="1"/>
  <c r="B411" i="1"/>
  <c r="B237" i="1"/>
  <c r="D322" i="1"/>
  <c r="D332" i="1"/>
  <c r="D304" i="1"/>
  <c r="E153" i="1"/>
  <c r="B151" i="1"/>
  <c r="B153" i="1"/>
  <c r="B304" i="1"/>
  <c r="B345" i="1"/>
  <c r="D479" i="1"/>
  <c r="D209" i="1"/>
  <c r="D195" i="1"/>
  <c r="D286" i="1"/>
  <c r="E258" i="1"/>
  <c r="E473" i="1"/>
  <c r="E345" i="1"/>
  <c r="B343" i="1"/>
  <c r="D269" i="1"/>
  <c r="B460" i="1"/>
  <c r="E343" i="1"/>
  <c r="D70" i="1"/>
  <c r="B76" i="1"/>
  <c r="B286" i="1"/>
  <c r="B283" i="1"/>
  <c r="D4" i="1"/>
  <c r="B89" i="1"/>
  <c r="B160" i="1"/>
  <c r="B336" i="1"/>
  <c r="B308" i="1"/>
  <c r="B269" i="1"/>
  <c r="D235" i="1"/>
  <c r="D129" i="1"/>
  <c r="D132" i="1"/>
  <c r="E308" i="1"/>
  <c r="B255" i="1"/>
  <c r="B209" i="1"/>
  <c r="B361" i="1"/>
  <c r="B195" i="1"/>
  <c r="E255" i="1"/>
  <c r="B423" i="1"/>
  <c r="B424" i="1"/>
  <c r="B100" i="1"/>
  <c r="B302" i="1"/>
  <c r="B256" i="1"/>
  <c r="B322" i="1"/>
  <c r="B404" i="1"/>
  <c r="B205" i="1"/>
  <c r="B181" i="1"/>
  <c r="E282" i="1"/>
  <c r="B83" i="1"/>
  <c r="B303" i="1"/>
  <c r="B314" i="1"/>
  <c r="D181" i="1"/>
  <c r="B85" i="1"/>
  <c r="B56" i="1"/>
  <c r="B358" i="1"/>
  <c r="B463" i="1"/>
  <c r="B201" i="1"/>
  <c r="B189" i="1"/>
  <c r="D83" i="1"/>
  <c r="D189" i="1"/>
  <c r="D437" i="1"/>
  <c r="E201" i="1"/>
  <c r="E288" i="1"/>
  <c r="D249" i="1"/>
  <c r="D72" i="1"/>
  <c r="D307" i="1"/>
  <c r="D389" i="1"/>
  <c r="D446" i="1"/>
  <c r="E467" i="1"/>
  <c r="D156" i="1"/>
  <c r="D85" i="1"/>
  <c r="D134" i="1"/>
  <c r="D390" i="1"/>
  <c r="E190" i="1"/>
  <c r="B72" i="1"/>
  <c r="B427" i="1"/>
  <c r="B348" i="1"/>
  <c r="B239" i="1"/>
  <c r="D177" i="1"/>
  <c r="B117" i="1"/>
  <c r="B390" i="1"/>
  <c r="B282" i="1"/>
  <c r="B370" i="1"/>
  <c r="B373" i="1"/>
  <c r="B437" i="1"/>
  <c r="D370" i="1"/>
  <c r="D137" i="1"/>
  <c r="D358" i="1"/>
  <c r="E243" i="1"/>
  <c r="E378" i="1"/>
  <c r="B113" i="1"/>
  <c r="B134" i="1"/>
  <c r="B137" i="1"/>
  <c r="B177" i="1"/>
  <c r="B194" i="1"/>
  <c r="B378" i="1"/>
  <c r="B243" i="1"/>
  <c r="B307" i="1"/>
  <c r="B467" i="1"/>
  <c r="D399" i="1"/>
  <c r="D487" i="1"/>
  <c r="D264" i="1"/>
  <c r="D416" i="1"/>
  <c r="D465" i="1"/>
  <c r="D227" i="1"/>
  <c r="D411" i="1"/>
  <c r="D499" i="1"/>
  <c r="E123" i="1"/>
  <c r="D173" i="1"/>
  <c r="D301" i="1"/>
  <c r="D92" i="1"/>
  <c r="D424" i="1"/>
  <c r="D401" i="1"/>
  <c r="D147" i="1"/>
  <c r="D191" i="1"/>
  <c r="D423" i="1"/>
  <c r="D336" i="1"/>
  <c r="D233" i="1"/>
  <c r="D347" i="1"/>
  <c r="D292" i="1"/>
  <c r="D380" i="1"/>
  <c r="E373" i="1"/>
  <c r="E493" i="1"/>
  <c r="D247" i="1"/>
  <c r="D335" i="1"/>
  <c r="D75" i="1"/>
  <c r="D164" i="1"/>
  <c r="E374" i="1"/>
  <c r="D463" i="1"/>
  <c r="D167" i="1"/>
  <c r="D441" i="1"/>
  <c r="D250" i="1"/>
  <c r="D362" i="1"/>
  <c r="D475" i="1"/>
  <c r="D89" i="1"/>
  <c r="D100" i="1"/>
  <c r="D263" i="1"/>
  <c r="D377" i="1"/>
  <c r="D114" i="1"/>
  <c r="D397" i="1"/>
  <c r="E485" i="1"/>
  <c r="D313" i="1"/>
  <c r="D283" i="1"/>
  <c r="D172" i="1"/>
  <c r="D438" i="1"/>
  <c r="D208" i="1"/>
  <c r="D253" i="1"/>
  <c r="D206" i="1"/>
  <c r="D359" i="1"/>
  <c r="D431" i="1"/>
  <c r="D432" i="1"/>
  <c r="D178" i="1"/>
  <c r="D56" i="1"/>
  <c r="D435" i="1"/>
  <c r="D160" i="1"/>
  <c r="D388" i="1"/>
  <c r="D468" i="1"/>
  <c r="D161" i="1"/>
  <c r="D64" i="1"/>
  <c r="D342" i="1"/>
  <c r="D367" i="1"/>
  <c r="D240" i="1"/>
  <c r="D368" i="1"/>
  <c r="D440" i="1"/>
  <c r="D78" i="1"/>
  <c r="D337" i="1"/>
  <c r="D299" i="1"/>
  <c r="D174" i="1"/>
  <c r="D302" i="1"/>
  <c r="D116" i="1"/>
  <c r="D113" i="1"/>
  <c r="D357" i="1"/>
  <c r="D447" i="1"/>
  <c r="D298" i="1"/>
  <c r="D136" i="1"/>
  <c r="D371" i="1"/>
  <c r="D404" i="1"/>
  <c r="D99" i="1"/>
  <c r="D310" i="1"/>
  <c r="D110" i="1"/>
  <c r="D495" i="1"/>
  <c r="D300" i="1"/>
  <c r="D231" i="1"/>
  <c r="D383" i="1"/>
  <c r="D133" i="1"/>
  <c r="D86" i="1"/>
  <c r="E95" i="1"/>
  <c r="D188" i="1"/>
  <c r="D293" i="1"/>
  <c r="D318" i="1"/>
  <c r="D405" i="1"/>
  <c r="D477" i="1"/>
  <c r="D234" i="1"/>
  <c r="D259" i="1"/>
  <c r="D171" i="1"/>
  <c r="D197" i="1"/>
  <c r="D198" i="1"/>
  <c r="D194" i="1"/>
  <c r="D118" i="1"/>
  <c r="D239" i="1"/>
  <c r="D144" i="1"/>
  <c r="D490" i="1"/>
  <c r="D408" i="1"/>
  <c r="D426" i="1"/>
  <c r="D267" i="1"/>
  <c r="D220" i="1"/>
  <c r="D444" i="1"/>
  <c r="D205" i="1"/>
  <c r="B97" i="1"/>
  <c r="B344" i="1"/>
  <c r="B266" i="1"/>
  <c r="B324" i="1"/>
  <c r="E81" i="1"/>
  <c r="D59" i="1"/>
  <c r="D91" i="1"/>
  <c r="E157" i="1"/>
  <c r="D222" i="1"/>
  <c r="D326" i="1"/>
  <c r="D406" i="1"/>
  <c r="B154" i="1"/>
  <c r="B91" i="1"/>
  <c r="B108" i="1"/>
  <c r="B262" i="1"/>
  <c r="B326" i="1"/>
  <c r="B455" i="1"/>
  <c r="B288" i="1"/>
  <c r="B425" i="1"/>
  <c r="B252" i="1"/>
  <c r="D176" i="1"/>
  <c r="D384" i="1"/>
  <c r="D489" i="1"/>
  <c r="E139" i="1"/>
  <c r="B115" i="1"/>
  <c r="B278" i="1"/>
  <c r="B342" i="1"/>
  <c r="B406" i="1"/>
  <c r="B218" i="1"/>
  <c r="B284" i="1"/>
  <c r="D287" i="1"/>
  <c r="D328" i="1"/>
  <c r="D361" i="1"/>
  <c r="D55" i="1"/>
  <c r="D103" i="1"/>
  <c r="D158" i="1"/>
  <c r="D410" i="1"/>
  <c r="D236" i="1"/>
  <c r="D484" i="1"/>
  <c r="D97" i="1"/>
  <c r="D108" i="1"/>
  <c r="D140" i="1"/>
  <c r="D381" i="1"/>
  <c r="D346" i="1"/>
  <c r="B384" i="1"/>
  <c r="B140" i="1"/>
  <c r="B69" i="1"/>
  <c r="B158" i="1"/>
  <c r="B103" i="1"/>
  <c r="B222" i="1"/>
  <c r="B176" i="1"/>
  <c r="D344" i="1"/>
  <c r="D266" i="1"/>
  <c r="D387" i="1"/>
  <c r="D284" i="1"/>
  <c r="D356" i="1"/>
  <c r="E115" i="1"/>
  <c r="D262" i="1"/>
  <c r="D297" i="1"/>
  <c r="B95" i="1"/>
  <c r="B297" i="1"/>
  <c r="B204" i="1"/>
  <c r="B356" i="1"/>
  <c r="D119" i="1"/>
  <c r="D451" i="1"/>
  <c r="B119" i="1"/>
  <c r="B81" i="1"/>
  <c r="B287" i="1"/>
  <c r="B328" i="1"/>
  <c r="B451" i="1"/>
  <c r="D69" i="1"/>
  <c r="D217" i="1"/>
  <c r="D470" i="1"/>
  <c r="B420" i="1"/>
  <c r="D244" i="1"/>
  <c r="D420" i="1"/>
  <c r="B59" i="1"/>
  <c r="B139" i="1"/>
  <c r="B157" i="1"/>
  <c r="B200" i="1"/>
  <c r="B410" i="1"/>
  <c r="B387" i="1"/>
  <c r="B236" i="1"/>
  <c r="D143" i="1"/>
  <c r="D391" i="1"/>
  <c r="D455" i="1"/>
  <c r="D154" i="1"/>
  <c r="D218" i="1"/>
  <c r="D278" i="1"/>
  <c r="B55" i="1"/>
  <c r="B143" i="1"/>
  <c r="B346" i="1"/>
  <c r="B244" i="1"/>
  <c r="D204" i="1"/>
  <c r="B90" i="1"/>
  <c r="B84" i="1"/>
  <c r="B135" i="1"/>
  <c r="B73" i="1"/>
  <c r="B214" i="1"/>
  <c r="B258" i="1"/>
  <c r="B211" i="1"/>
  <c r="B228" i="1"/>
  <c r="D79" i="1"/>
  <c r="D111" i="1"/>
  <c r="D88" i="1"/>
  <c r="D379" i="1"/>
  <c r="D443" i="1"/>
  <c r="D131" i="1"/>
  <c r="D469" i="1"/>
  <c r="D62" i="1"/>
  <c r="D334" i="1"/>
  <c r="D398" i="1"/>
  <c r="D462" i="1"/>
  <c r="B149" i="1"/>
  <c r="B150" i="1"/>
  <c r="B79" i="1"/>
  <c r="B247" i="1"/>
  <c r="B5" i="1"/>
  <c r="B321" i="1"/>
  <c r="B317" i="1"/>
  <c r="D321" i="1"/>
  <c r="D210" i="1"/>
  <c r="D338" i="1"/>
  <c r="D402" i="1"/>
  <c r="D466" i="1"/>
  <c r="D228" i="1"/>
  <c r="B447" i="1"/>
  <c r="B192" i="1"/>
  <c r="D352" i="1"/>
  <c r="D107" i="1"/>
  <c r="D214" i="1"/>
  <c r="D149" i="1"/>
  <c r="D349" i="1"/>
  <c r="D135" i="1"/>
  <c r="D290" i="1"/>
  <c r="D211" i="1"/>
  <c r="D254" i="1"/>
  <c r="B383" i="1"/>
  <c r="B402" i="1"/>
  <c r="B290" i="1"/>
  <c r="B196" i="1"/>
  <c r="B469" i="1"/>
  <c r="D496" i="1"/>
  <c r="D73" i="1"/>
  <c r="D268" i="1"/>
  <c r="D74" i="1"/>
  <c r="D90" i="1"/>
  <c r="D215" i="1"/>
  <c r="D84" i="1"/>
  <c r="D150" i="1"/>
  <c r="B210" i="1"/>
  <c r="B338" i="1"/>
  <c r="B466" i="1"/>
  <c r="B88" i="1"/>
  <c r="B392" i="1"/>
  <c r="D279" i="1"/>
  <c r="D146" i="1"/>
  <c r="B131" i="1"/>
  <c r="B111" i="1"/>
  <c r="B254" i="1"/>
  <c r="B215" i="1"/>
  <c r="B279" i="1"/>
  <c r="B280" i="1"/>
  <c r="B353" i="1"/>
  <c r="B417" i="1"/>
  <c r="B379" i="1"/>
  <c r="B443" i="1"/>
  <c r="B268" i="1"/>
  <c r="B221" i="1"/>
  <c r="B349" i="1"/>
  <c r="D192" i="1"/>
  <c r="D280" i="1"/>
  <c r="D353" i="1"/>
  <c r="D417" i="1"/>
  <c r="D481" i="1"/>
  <c r="D168" i="1"/>
  <c r="D196" i="1"/>
  <c r="D276" i="1"/>
  <c r="B107" i="1"/>
  <c r="B74" i="1"/>
  <c r="B62" i="1"/>
  <c r="B352" i="1"/>
  <c r="B276" i="1"/>
  <c r="D314" i="1"/>
  <c r="D348" i="1"/>
  <c r="D412" i="1"/>
  <c r="D476" i="1"/>
  <c r="D221" i="1"/>
  <c r="D317" i="1"/>
  <c r="E28" i="1" l="1"/>
  <c r="E676" i="1"/>
  <c r="D52" i="1"/>
  <c r="E34" i="1"/>
  <c r="E53" i="1"/>
  <c r="D50" i="1"/>
  <c r="D670" i="1"/>
  <c r="D680" i="1"/>
  <c r="E23" i="1"/>
  <c r="E32" i="1"/>
  <c r="E40" i="1"/>
  <c r="E26" i="1"/>
  <c r="D668" i="1"/>
  <c r="E678" i="1"/>
  <c r="D39" i="1"/>
  <c r="D669" i="1"/>
  <c r="D692" i="1"/>
  <c r="E686" i="1"/>
  <c r="E673" i="1"/>
  <c r="E672" i="1"/>
  <c r="D679" i="1"/>
  <c r="E46" i="1"/>
  <c r="E688" i="1"/>
  <c r="E35" i="1"/>
  <c r="D48" i="1"/>
  <c r="E690" i="1"/>
  <c r="D671" i="1"/>
  <c r="E38" i="1"/>
  <c r="E24" i="1"/>
  <c r="E677" i="1"/>
  <c r="E51" i="1"/>
  <c r="E21" i="1"/>
  <c r="E25" i="1"/>
  <c r="E27" i="1"/>
  <c r="E47" i="1"/>
  <c r="D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<sst xmlns="http://schemas.openxmlformats.org/spreadsheetml/2006/main" count="2057" uniqueCount="311">
  <si>
    <t>NÚCLEO</t>
  </si>
  <si>
    <t>ESCOLA</t>
  </si>
  <si>
    <t>ETAPA</t>
  </si>
  <si>
    <t>NOME DA LINHA</t>
  </si>
  <si>
    <t>NOME DO MOTORISTA</t>
  </si>
  <si>
    <t>TURNO DA LINHA</t>
  </si>
  <si>
    <t>FONE DO MOTORISTA</t>
  </si>
  <si>
    <t>CRECHE I</t>
  </si>
  <si>
    <t>CRECHE II</t>
  </si>
  <si>
    <t>PRE I</t>
  </si>
  <si>
    <t>PRE II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</si>
  <si>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</si>
  <si>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</si>
  <si>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</si>
  <si>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</si>
  <si>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</si>
  <si>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</si>
  <si>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</si>
  <si>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</si>
  <si>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</si>
  <si>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FUNDAMENTAL</t>
  </si>
  <si>
    <t>EJA I</t>
  </si>
  <si>
    <t>EJA II</t>
  </si>
  <si>
    <t>EDUCAÇÃO INFANTIL</t>
  </si>
  <si>
    <t>ENSINO MÉDIO</t>
  </si>
  <si>
    <t>NÍVEL</t>
  </si>
  <si>
    <t>Nº</t>
  </si>
  <si>
    <t>OFERTA</t>
  </si>
  <si>
    <t>COD ETPA</t>
  </si>
  <si>
    <t>TOTAL ETAPAS</t>
  </si>
  <si>
    <t>CODIGO DA LINHA</t>
  </si>
  <si>
    <t>URBANO</t>
  </si>
  <si>
    <t xml:space="preserve">SANTO ANTONIO DAS LENDAS/BARRANCO VERMELHO </t>
  </si>
  <si>
    <t>SIDNEI CEBALHO BARONCIELO</t>
  </si>
  <si>
    <t>VESPERTINO</t>
  </si>
  <si>
    <t>BARREIRO PRETO</t>
  </si>
  <si>
    <t>ADEMILCO SOUZA MILAS</t>
  </si>
  <si>
    <t>BOA ESPERANÇA/SÃO JOSE/BOM JARDIM</t>
  </si>
  <si>
    <t>RONY OLIVEIRA QUEROZ</t>
  </si>
  <si>
    <t>FAZENDA BAÚ</t>
  </si>
  <si>
    <t>SEBASTIÃO RAMOS OLIVEIRA</t>
  </si>
  <si>
    <t>CINTURÃO VERDE/FACÃO</t>
  </si>
  <si>
    <t>EDUARDO DE ALMEIDA CARLINO</t>
  </si>
  <si>
    <t>JOSE AUGUSTO DA SILVA CRUZ</t>
  </si>
  <si>
    <t>ROTA PNE</t>
  </si>
  <si>
    <t>ODENIR JESUS DE PAULA</t>
  </si>
  <si>
    <t>ROTA PCD</t>
  </si>
  <si>
    <t>ODAIR CAMACHO DE SOUZA</t>
  </si>
  <si>
    <t>JARDIM AEROPORTO</t>
  </si>
  <si>
    <t>WAGNER RODRIGUES DE SOUZA</t>
  </si>
  <si>
    <t>TAQUARAL/PERAPUTANGA/PONTA DO MORRO</t>
  </si>
  <si>
    <t>LAURILEU LUIZ DA SILVA JUNIOR</t>
  </si>
  <si>
    <t>CAIÇARA/MINUANO/ROTA DAS AGUAS</t>
  </si>
  <si>
    <t>ALISON RIBEIRO FELIX</t>
  </si>
  <si>
    <t>TARUMÃ/PEDRAS</t>
  </si>
  <si>
    <t>DOUGLAS CAMARGO</t>
  </si>
  <si>
    <t>PONTA DO MORRO/BOM TEMPO</t>
  </si>
  <si>
    <t>FRANCISCO FERREIRA LIMA FILHO</t>
  </si>
  <si>
    <t>MATUTINO</t>
  </si>
  <si>
    <t>DOIS DE OURO/AFFEMAT</t>
  </si>
  <si>
    <t>LUIZ ORLEI AGUIAR</t>
  </si>
  <si>
    <t>PEDREIRA/MATADOURO/CASCALHEIRA</t>
  </si>
  <si>
    <t>GENILDO DA SILVA</t>
  </si>
  <si>
    <t>BOM JARDIM/BR</t>
  </si>
  <si>
    <t>JOILSON FELIX MACEDO</t>
  </si>
  <si>
    <t>(65) 9934407953</t>
  </si>
  <si>
    <t>(65) 99977-7697</t>
  </si>
  <si>
    <t>(65) 99802-4770</t>
  </si>
  <si>
    <t>(65) 99914-7203</t>
  </si>
  <si>
    <t>(65) 99955-9699</t>
  </si>
  <si>
    <t>(65) 99947-4152</t>
  </si>
  <si>
    <t>(65) 99665-9133</t>
  </si>
  <si>
    <t>(65) 99609-0109</t>
  </si>
  <si>
    <t>(65) 99806-7902</t>
  </si>
  <si>
    <t>(65) 99969-5040</t>
  </si>
  <si>
    <t>(65) 99917-2749</t>
  </si>
  <si>
    <t>(65) 99964-9434</t>
  </si>
  <si>
    <t>(65) 996360-7189</t>
  </si>
  <si>
    <t>(65) 99946-0417</t>
  </si>
  <si>
    <t>(65) 999777-5657</t>
  </si>
  <si>
    <t xml:space="preserve">EM DR. JOSE RODRIGUES FONTES </t>
  </si>
  <si>
    <t xml:space="preserve"> EM CENTRO EDUCACIONAL DOM MAXIMO BIENNES </t>
  </si>
  <si>
    <t xml:space="preserve"> EM PROFª ERENICE SIMAO ALVARENGA </t>
  </si>
  <si>
    <t>EM ROCA VELHA</t>
  </si>
  <si>
    <t>EM SANTA CATARINA</t>
  </si>
  <si>
    <t>EM SOTECO</t>
  </si>
  <si>
    <t>EM GARCES</t>
  </si>
  <si>
    <t>EM TANCREDO NEVES</t>
  </si>
  <si>
    <t>EM JARDIM PARAISO</t>
  </si>
  <si>
    <t>EM BURITI</t>
  </si>
  <si>
    <t>EM PROFª ISABEL CAMPOS</t>
  </si>
  <si>
    <t>EM VILA REAL</t>
  </si>
  <si>
    <t xml:space="preserve"> EM NOVO ORIENTE</t>
  </si>
  <si>
    <t>EM VILA IRENE</t>
  </si>
  <si>
    <t xml:space="preserve"> EMEI BUSCANDO O SABER </t>
  </si>
  <si>
    <t>EM UNIAO</t>
  </si>
  <si>
    <t xml:space="preserve">EM CLARINÓPOLIS </t>
  </si>
  <si>
    <t>EM SANTOS DUMONT</t>
  </si>
  <si>
    <t xml:space="preserve"> EM LARANJEIRA I </t>
  </si>
  <si>
    <t>EM 16 DE MARÇO</t>
  </si>
  <si>
    <t>EM PAULO FREIRE</t>
  </si>
  <si>
    <t>EMEI BRINCANDO E APRENDENDO</t>
  </si>
  <si>
    <t xml:space="preserve">EM NOSSA SENHORA APARECIDA </t>
  </si>
  <si>
    <t>EM PEQUENO SABIO</t>
  </si>
  <si>
    <t>EM DUQUE DE CAXIAS</t>
  </si>
  <si>
    <t>EM LIMOEIRO</t>
  </si>
  <si>
    <t>EMEI FREI GRIGNION</t>
  </si>
  <si>
    <t>EM DESEMBARGADOR GABRIEL PINTO DE ARRUDA</t>
  </si>
  <si>
    <t xml:space="preserve"> EM VITORIA REGIA</t>
  </si>
  <si>
    <t>RURAL</t>
  </si>
  <si>
    <t>SOTECO</t>
  </si>
  <si>
    <t>LIMÃO</t>
  </si>
  <si>
    <t>LARANJEIRA</t>
  </si>
  <si>
    <t>LIMOEIRO</t>
  </si>
  <si>
    <t>PAIOL</t>
  </si>
  <si>
    <t>CLARINOPOLIS</t>
  </si>
  <si>
    <t>CARAMUJO</t>
  </si>
  <si>
    <t>VILA APARECIDA</t>
  </si>
  <si>
    <t>ROÇA VELHA</t>
  </si>
  <si>
    <t>SADIA</t>
  </si>
  <si>
    <t>SAPIQUÁ</t>
  </si>
  <si>
    <t xml:space="preserve">VILA APARECIDA </t>
  </si>
  <si>
    <t xml:space="preserve">CLARINOPOLIS </t>
  </si>
  <si>
    <t xml:space="preserve">LARANJEIRA </t>
  </si>
  <si>
    <t xml:space="preserve">SADIA </t>
  </si>
  <si>
    <t>não</t>
  </si>
  <si>
    <t>SIM</t>
  </si>
  <si>
    <t xml:space="preserve">EM CAIC </t>
  </si>
  <si>
    <t>E.E SÃO LUIZ</t>
  </si>
  <si>
    <t>E.E COLEGIO ESTADUAL ONZE DE MARÇO ( CEOM )</t>
  </si>
  <si>
    <t>EM SANTO ANTONIO DO CARAMUJO</t>
  </si>
  <si>
    <t>E.E 12 DE OUTUBRO ANEXA SAPIQUÁ</t>
  </si>
  <si>
    <t>E.E 12 DE OUTUBRO ANEXA CLARINOPOLIS</t>
  </si>
  <si>
    <t>E.E 12 DE OUTUBRO ANEXA SOTECO</t>
  </si>
  <si>
    <t>BURITI</t>
  </si>
  <si>
    <t>HORIZONTE D'OESTE</t>
  </si>
  <si>
    <t>NUCLEO</t>
  </si>
  <si>
    <t>CAIÇARA/LIMÃO</t>
  </si>
  <si>
    <t>ELYSSON VIDAL GUILHER</t>
  </si>
  <si>
    <t>(65) 98419-7041</t>
  </si>
  <si>
    <t>TRÊS RIOS</t>
  </si>
  <si>
    <t>RENATO TORRES CUNHA</t>
  </si>
  <si>
    <t>(65) 99643-6868</t>
  </si>
  <si>
    <t>SANTA CRUZ/MOEDA/SANTA MARIA</t>
  </si>
  <si>
    <t>MANOEL JOSE DA SILVA</t>
  </si>
  <si>
    <t>(65) 99693-6409</t>
  </si>
  <si>
    <t>ENCANTO/IPANEMA</t>
  </si>
  <si>
    <t>NATANAEL ALVES DA SILVA</t>
  </si>
  <si>
    <t>(65) 99936-2463</t>
  </si>
  <si>
    <t>SANTA HELENA/FAZENDA COMETA/ALAMBRADO</t>
  </si>
  <si>
    <t>JOSE LUIZ TORRES DA CUNHA</t>
  </si>
  <si>
    <t>(65) 65 99639-5618</t>
  </si>
  <si>
    <t>SANTA BARBARA/SANTA CRUZ</t>
  </si>
  <si>
    <t>JOÃO RAMOS PIRES</t>
  </si>
  <si>
    <t>(65)99815-3120</t>
  </si>
  <si>
    <t>PANTANAL/ANGICO</t>
  </si>
  <si>
    <t>MARIONEY LOURENÇO PATRICIO DA SILVA</t>
  </si>
  <si>
    <t>(65) 9961-1810</t>
  </si>
  <si>
    <t xml:space="preserve">KATIRA/JATOBA/BOA ESPERANÇA </t>
  </si>
  <si>
    <t>JOSE LEANDRO NUNES</t>
  </si>
  <si>
    <t>(65) 9801-9996</t>
  </si>
  <si>
    <t>CORIXA</t>
  </si>
  <si>
    <t>AIRTON LOURENÇO SALVIANI</t>
  </si>
  <si>
    <t>(65) 9674-1986</t>
  </si>
  <si>
    <t>RANCHO SAPIQUÁ</t>
  </si>
  <si>
    <t>ROBSON FRANCISCO BORGES</t>
  </si>
  <si>
    <t>(65) 9948-7537</t>
  </si>
  <si>
    <t>TREMEDAL/CORIXA</t>
  </si>
  <si>
    <t>DANIELI LOURENÇO SALVIANI</t>
  </si>
  <si>
    <t>(65) 9934-7834</t>
  </si>
  <si>
    <t>CORIXINHA/SAPIQUÁ</t>
  </si>
  <si>
    <t>RENATO ANTONIO VIANA</t>
  </si>
  <si>
    <t>(65) 9962-9113</t>
  </si>
  <si>
    <t>ROMARIO DA SILVA FREIRES</t>
  </si>
  <si>
    <t>ENCANTO/CORIXA</t>
  </si>
  <si>
    <t>(65) 9954-3256</t>
  </si>
  <si>
    <t>ODILIO PEREIRA DE LIMA</t>
  </si>
  <si>
    <t>SÃO GERALDO/PÉ DE ANTA/SÃO FRANCISCO</t>
  </si>
  <si>
    <t>(65) 9605-5309</t>
  </si>
  <si>
    <t xml:space="preserve">EDILSON DA CRUZ </t>
  </si>
  <si>
    <t>ITIQUIRA/CARAMUJO/SALVAÇÃO</t>
  </si>
  <si>
    <t>(65) 9900-9996</t>
  </si>
  <si>
    <t>SANTA LUZIA/BARRA NOVA</t>
  </si>
  <si>
    <t>SANTA RITA/SANTA MARIA</t>
  </si>
  <si>
    <t xml:space="preserve">PIUVAL/BARREIRO/ SÃO FRANCISCO </t>
  </si>
  <si>
    <t xml:space="preserve">EDER FERREIRA </t>
  </si>
  <si>
    <t>ANDRÉ LUIZ VILAS BOAS DO ESPIRITO SANTO</t>
  </si>
  <si>
    <t>RONEI DA SILVA GONÇALVES NETO</t>
  </si>
  <si>
    <t>MARGARIDA ALVES/BOA ESPERANÇA</t>
  </si>
  <si>
    <t xml:space="preserve">MARIO CAMPOS DA SILVA </t>
  </si>
  <si>
    <t>(65) 9911-0415</t>
  </si>
  <si>
    <t>(65) 9325-2392</t>
  </si>
  <si>
    <t>(65) 9817-6721</t>
  </si>
  <si>
    <t>(65) 9811-2336</t>
  </si>
  <si>
    <t xml:space="preserve">ALEGRIA 1 / AGUA BOA </t>
  </si>
  <si>
    <t>ALEGRIA 2 / AGUA BOA</t>
  </si>
  <si>
    <t>BARRANQUEIRA 1</t>
  </si>
  <si>
    <t>BARRANQUEIRA 2</t>
  </si>
  <si>
    <t>JULIANO DA SILVA CRUZ</t>
  </si>
  <si>
    <t>ADRIELTON NASCIMENTO CARVALHO</t>
  </si>
  <si>
    <t>VANDERSON BRITO MIRANDA</t>
  </si>
  <si>
    <t>ALMERINDO DUARTE DA SILVA</t>
  </si>
  <si>
    <t>(65) 9936-2135</t>
  </si>
  <si>
    <t>(65) 9957-3628</t>
  </si>
  <si>
    <t>(65) 9353-8785</t>
  </si>
  <si>
    <t>(65) 9665-8012</t>
  </si>
  <si>
    <t>E.E JOÃO FLORENTINO SILVA NETO ANEXA BURITI</t>
  </si>
  <si>
    <t>E.E JOÃO FLORENTINO SILVA NETO ANEXA SADIA</t>
  </si>
  <si>
    <t>E.E JOÃO FLORENTINO SILVA NETO ANEXA PAIOL</t>
  </si>
  <si>
    <t>E.E JOÃO FLORENTINO SILVA NETO ANEXA LARANJEIRA</t>
  </si>
  <si>
    <t>E.E JOÃO FLORENTINO SILVA NETO ANEXA HORIZONTE D'OESTE</t>
  </si>
  <si>
    <t>E.E 12 DE OUTUBRO LIMÃO</t>
  </si>
  <si>
    <t>E.E JOÃO FLORENTINO SILVA NETO CARAMUJO</t>
  </si>
  <si>
    <t>MT 343/ GUARANDI</t>
  </si>
  <si>
    <t>FLOR DA MATA</t>
  </si>
  <si>
    <t>BOCAINA DO CASCAVEL</t>
  </si>
  <si>
    <t>SEPUTUBINHA/ BARRANQUINHO</t>
  </si>
  <si>
    <t>RIO CACHOEIRA/ PINDAIVAL</t>
  </si>
  <si>
    <t>SANTANA /EXU/ SÃO NICOLAU</t>
  </si>
  <si>
    <t>FAZENDA OURO VERDE/ ZÉ DO OLEO</t>
  </si>
  <si>
    <t>RENATO SEBASTIÃO DE SOUZA</t>
  </si>
  <si>
    <t>EDISON EGUES</t>
  </si>
  <si>
    <t>ALOISIO DA CONCEICAO LOPES MARTINS VIANA</t>
  </si>
  <si>
    <t>JOÃO FELIPE DA MATA</t>
  </si>
  <si>
    <t>GONÇALO DA COSTA VILANOVA</t>
  </si>
  <si>
    <t>LORIVALDO DE PAULA DE OLIVEIRA</t>
  </si>
  <si>
    <t>JESUS VALDECI FRANCO RODRIGUES</t>
  </si>
  <si>
    <t>(65) 9616-4969</t>
  </si>
  <si>
    <t>(65) 9642-7778</t>
  </si>
  <si>
    <t>(65) 9965-2410</t>
  </si>
  <si>
    <t>(65) 9935-7420</t>
  </si>
  <si>
    <t>(65) 9996-4238</t>
  </si>
  <si>
    <t>(65) 9800-0488</t>
  </si>
  <si>
    <t>(65) 9941-7125</t>
  </si>
  <si>
    <t>NOVA LIMEIRA/CACIMBA</t>
  </si>
  <si>
    <t>JOSE ANTONIO EVANGELISTA</t>
  </si>
  <si>
    <t>(65) 9999-9303</t>
  </si>
  <si>
    <t>SAVIO DA SILVA CEBALHO</t>
  </si>
  <si>
    <t>PADRE INACIO</t>
  </si>
  <si>
    <t>(65) 9971-2916</t>
  </si>
  <si>
    <t>SEBASTIÃO MARTINS NERES</t>
  </si>
  <si>
    <t>QUATRO BOCAS</t>
  </si>
  <si>
    <t>(65)9614-0062</t>
  </si>
  <si>
    <t>CLAUDINEI ANACLETO DA SILVA</t>
  </si>
  <si>
    <t>IPÊ ROXO/7 LOTES/ LARANJEIRA 1</t>
  </si>
  <si>
    <t>(65) 9801-4528</t>
  </si>
  <si>
    <t>ADEMAR CARVALHO SILVA</t>
  </si>
  <si>
    <t>VIDA NOVA/ LARANJEIRA / FURNAS</t>
  </si>
  <si>
    <t>(65) 9948-5799</t>
  </si>
  <si>
    <t>JOSE ROBERTO DE MIRANDA</t>
  </si>
  <si>
    <t>LARANJEIRA/ FEIJÃO/ VIDA NOVA</t>
  </si>
  <si>
    <t>(65) 9685-0924</t>
  </si>
  <si>
    <t>LINHÃO DAS BRANCAS</t>
  </si>
  <si>
    <t>MONJOLO/LAGOA/RESERVA</t>
  </si>
  <si>
    <t>VALE DO MANGAVAL</t>
  </si>
  <si>
    <t>BR/PAIOL</t>
  </si>
  <si>
    <t>SIVANILDO CIRIACO SANTANA</t>
  </si>
  <si>
    <t>CESAR OLIVEIRA QUEROZ</t>
  </si>
  <si>
    <t>ELTON DOS SANTOS</t>
  </si>
  <si>
    <t>HENRIQUE RODRGUES LARANJEIRA</t>
  </si>
  <si>
    <t>(65) 9957-6772</t>
  </si>
  <si>
    <t>(65) 9678-0791</t>
  </si>
  <si>
    <t>(65) 8461-9301</t>
  </si>
  <si>
    <t>(65) 8453-1069</t>
  </si>
  <si>
    <t>REINALDO TEIXEIRA SILVA</t>
  </si>
  <si>
    <t>LUIZ CARLOS RIBEIRO RAMOS</t>
  </si>
  <si>
    <t>FAZENDA DREBOR/SANTA MARCIA/LIMOEIRO</t>
  </si>
  <si>
    <t>RIO/FAZ.FEMA/ LIMOEIRO</t>
  </si>
  <si>
    <t>(65) 9641-1570</t>
  </si>
  <si>
    <t>(65) 9916-9491</t>
  </si>
  <si>
    <t>SIDNEI ADÃO DE CAMPOS</t>
  </si>
  <si>
    <t>NOVAS FLECHAS</t>
  </si>
  <si>
    <t>EDER PRADO DE SOUZA</t>
  </si>
  <si>
    <t>FRANCISLAINE DOS SANTOS</t>
  </si>
  <si>
    <t>WALLACE MORAES DA SILVA</t>
  </si>
  <si>
    <t>PAULO CESAR DA SILVA MACHADO</t>
  </si>
  <si>
    <t>DIVANEI UNIMOTO DA CRUZ</t>
  </si>
  <si>
    <t xml:space="preserve">ARIZONA/ BOA SORTE/CARANDA </t>
  </si>
  <si>
    <t>VALE AZUL/ TEXEIRINHA</t>
  </si>
  <si>
    <t>LINHÃO 1 E 4 (ESQUERDO)</t>
  </si>
  <si>
    <t xml:space="preserve">UNIÃO/TRABALHO/ LINHÃO 2,3,5 </t>
  </si>
  <si>
    <t>SANGRADOURO/VALE VERDE /BOQUEIRÃO</t>
  </si>
  <si>
    <t>(65) 9905-3400</t>
  </si>
  <si>
    <t>(65) 9607-9876</t>
  </si>
  <si>
    <t>(65) 9956-1461</t>
  </si>
  <si>
    <t>(65) 9618-6881</t>
  </si>
  <si>
    <t>(65) 9942-7381</t>
  </si>
  <si>
    <t>(65) 9680-8617</t>
  </si>
  <si>
    <t>JACKSON FORNAZARI DO NASCIMENTO</t>
  </si>
  <si>
    <t>CAMPARINO/PORTO</t>
  </si>
  <si>
    <t>JERSON MENDES DE CARVALHO</t>
  </si>
  <si>
    <t>SEPUTUBA/PANAMBI/ ARAÇATUBA</t>
  </si>
  <si>
    <t>DENNIS FABRICIO DA SILVA FERRON</t>
  </si>
  <si>
    <t>AVIÃO CAIDO</t>
  </si>
  <si>
    <t>(65) 9672-9185</t>
  </si>
  <si>
    <t>(65) 9844-4160</t>
  </si>
  <si>
    <t>(65) 9600-9031</t>
  </si>
  <si>
    <t>MARCO ANTONIO DO NASCIMENTO</t>
  </si>
  <si>
    <t>JOEL CAVALCANTI DE ALMEIDA</t>
  </si>
  <si>
    <t>SOJA</t>
  </si>
  <si>
    <t>BAIA BELA</t>
  </si>
  <si>
    <t>(65) 9960-6859</t>
  </si>
  <si>
    <t>E. E. C. M. Profª Ana Maria G. Noronha</t>
  </si>
  <si>
    <t>EM RAQUEL RAMAO DA SILVA</t>
  </si>
  <si>
    <t>E. E. EDIEB – Prof. Miltom Marques Curvo</t>
  </si>
  <si>
    <t>E. E. Prof. Demétrio Costa Pereira</t>
  </si>
  <si>
    <t>E. E. M. Tiradentes Prof. Natalino F. Mendes</t>
  </si>
  <si>
    <t>E. E. C. M. Frei Ambrósio</t>
  </si>
  <si>
    <t>E. E. C. M. Senador Mário Motta</t>
  </si>
  <si>
    <t xml:space="preserve">(65) 99636-2859 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</si>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</sst>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14" borderId="1" xfId="0" applyFont="1" applyFill="1" applyBorder="1"/>
    <xf numFmtId="0" fontId="2" fillId="0" borderId="1" xfId="0" applyFont="1" applyBorder="1"/>
    <xf numFmtId="0" fontId="2" fillId="1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600"/>
      <color rgb="FF00FFCC"/>
      <color rgb="FF6600FF"/>
      <color rgb="FF996600"/>
      <color rgb="FF3366FF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66675</xdr:colOff>
      <xdr:row>0</xdr:row>
      <xdr:rowOff>114299</xdr:rowOff>
    </xdr:from>
    <xdr:to>
      <xdr:col>11</xdr:col>
      <xdr:colOff>552450</xdr:colOff>
      <xdr:row>19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SCOLA">
              <a:extLst>
                <a:ext uri="{FF2B5EF4-FFF2-40B4-BE49-F238E27FC236}">
                  <a16:creationId xmlns:a16="http://schemas.microsoft.com/office/drawing/2014/main" id="{24740D77-87AC-D762-589A-B2A0E57FE3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O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0" y="114299"/>
              <a:ext cx="4143375" cy="3505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COLA" xr10:uid="{56ADF6EA-3EB4-4D75-916D-E4D0528B313B}" sourceName="ESCOLA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COLA" xr10:uid="{E8D20F7B-EF80-4BE3-8397-5A2799B9771B}" cache="SegmentaçãodeDados_ESCOLA" caption="ESCOLA" startItem="32" columnCount="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A174B-4A09-47D9-BD7A-B80AC41FF7C8}" name="tbNucleo" displayName="tbNucleo" ref="A1:B51" totalsRowShown="0">
  <autoFilter ref="A1:B51" xr:uid="{90FA174B-4A09-47D9-BD7A-B80AC41FF7C8}"/>
  <tableColumns count="2">
    <tableColumn id="1" xr3:uid="{4AB15D01-A2E8-41DF-BC70-BED529F55BEB}" name="ESCOLA"/>
    <tableColumn id="2" xr3:uid="{D9CF8AEB-02B7-49D3-969C-B59ECAB41BE6}" name="NÚCLE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AF539-C772-42A1-BBA7-7979F06E0E5A}" name="tbEtapas" displayName="tbEtapas" ref="E1:G19" totalsRowShown="0">
  <autoFilter ref="E1:G19" xr:uid="{FF2AF539-C772-42A1-BBA7-7979F06E0E5A}"/>
  <tableColumns count="3">
    <tableColumn id="3" xr3:uid="{9BB9458F-8BBE-43BF-A115-C0CC0EAA21D6}" name="Nº"/>
    <tableColumn id="1" xr3:uid="{E3E07A0F-A55B-43E5-B54A-6503C2D9DD91}" name="ETAPA"/>
    <tableColumn id="2" xr3:uid="{FF62FED6-B50A-4F17-B602-DCF1B3F04B92}" name="NÍ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23D1D-D5A8-4A16-A0BF-2ACCF2CDDA4A}" name="tbEscolas" displayName="tbEscolas" ref="A1:F5001" totalsRowShown="0">
  <autoFilter ref="A1:F5001" xr:uid="{FFE23D1D-D5A8-4A16-A0BF-2ACCF2CDDA4A}"/>
  <tableColumns count="6">
    <tableColumn id="1" xr3:uid="{F79E4833-CCE1-459B-B2F7-22267BF1E5AE}" name="ESCOLA" dataDxfId="3">
      <calculatedColumnFormula array="1">IFERROR(INDEX(tbNucleo[ESCOLA],ROUNDUP(ROW(A1)/TotalEtapas,0)),"")</calculatedColumnFormula>
    </tableColumn>
    <tableColumn id="2" xr3:uid="{F36CE514-D307-4106-8A3A-03668F3CC2F6}" name="NÚCLEO"/>
    <tableColumn id="3" xr3:uid="{29D23084-238D-4F7C-BA80-A4C46B77512E}" name="COD ETPA"/>
    <tableColumn id="6" xr3:uid="{AE88A39E-EBD5-432A-A998-B439CFA88393}" name="ETAPA" dataDxfId="2">
      <calculatedColumnFormula>IFERROR(VLOOKUP(tbEscolas[[#This Row],[COD ETPA]],tbEtapas[],2,FALSE),"")</calculatedColumnFormula>
    </tableColumn>
    <tableColumn id="7" xr3:uid="{E9145C3B-34FB-48AE-AE38-9B4E60FA7203}" name="NÍVEL" dataDxfId="1">
      <calculatedColumnFormula>IFERROR(VLOOKUP(tbEscolas[[#This Row],[COD ETPA]],tbEtapas[],3,FALSE),"")</calculatedColumnFormula>
    </tableColumn>
    <tableColumn id="4" xr3:uid="{1879DE3D-DAD2-4051-88C4-49C76EC5A02E}" name="OFER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AEF4DD-EE6A-4496-9026-E8B26D1A4962}" name="tbLinhas" displayName="tbLinhas" ref="A1:G91" totalsRowShown="0">
  <autoFilter ref="A1:G91" xr:uid="{24AEF4DD-EE6A-4496-9026-E8B26D1A4962}"/>
  <sortState xmlns:xlrd2="http://schemas.microsoft.com/office/spreadsheetml/2017/richdata2" ref="A2:G91">
    <sortCondition ref="B1:B91"/>
  </sortState>
  <tableColumns count="7">
    <tableColumn id="5" xr3:uid="{5B7D3BD5-CD69-48E3-A27B-ABD9F303AC9D}" name="CODIGO DA LINHA">
      <calculatedColumnFormula>ROW()-1</calculatedColumnFormula>
    </tableColumn>
    <tableColumn id="1" xr3:uid="{9A593570-0838-4DFE-A597-34C9B00A5B78}" name="NOME DA LINHA"/>
    <tableColumn id="7" xr3:uid="{A1297841-1401-400A-90DB-EF63E9E2A262}" name="Coluna1" dataDxfId="0"/>
    <tableColumn id="2" xr3:uid="{81E26F45-5317-4384-8609-59B2ABA3D36E}" name="NOME DO MOTORISTA"/>
    <tableColumn id="3" xr3:uid="{37CA6DCE-D27E-43B8-8C9E-BB9CF5A2D10E}" name="FONE DO MOTORISTA"/>
    <tableColumn id="4" xr3:uid="{F7B03FB6-A38B-4AB6-977E-FEA88C792C11}" name="TURNO DA LINHA"/>
    <tableColumn id="6" xr3:uid="{4C604BA4-264D-48E5-8377-630736F5DAC6}" name="NUCLE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258D-D0D9-4F14-AB04-6D0BD3FAE276}">
  <dimension ref="A1:I51"/>
  <sheetViews>
    <sheetView workbookViewId="0">
      <selection activeCell="J7" sqref="J7"/>
    </sheetView>
  </sheetViews>
  <sheetFormatPr defaultRowHeight="15" x14ac:dyDescent="0.25"/>
  <cols>
    <col min="1" max="1" width="57" bestFit="1" customWidth="1"/>
    <col min="2" max="2" width="19.140625" bestFit="1" customWidth="1"/>
    <col min="5" max="5" width="8.5703125" customWidth="1"/>
    <col min="6" max="6" width="16.5703125" customWidth="1"/>
    <col min="7" max="7" width="28.5703125" customWidth="1"/>
    <col min="9" max="9" width="23.5703125" hidden="1" customWidth="1"/>
  </cols>
  <sheetData>
    <row r="1" spans="1:9" x14ac:dyDescent="0.25">
      <c r="A1" t="s">
        <v>1</v>
      </c>
      <c r="B1" t="s">
        <v>0</v>
      </c>
      <c r="E1" t="s">
        <v>26</v>
      </c>
      <c r="F1" t="s">
        <v>2</v>
      </c>
      <c r="G1" t="s">
        <v>25</v>
      </c>
      <c r="I1" t="s">
        <v>29</v>
      </c>
    </row>
    <row r="2" spans="1:9" x14ac:dyDescent="0.25">
      <c r="A2" t="s">
        <v>81</v>
      </c>
      <c r="B2" t="s">
        <v>31</v>
      </c>
      <c r="E2">
        <v>1</v>
      </c>
      <c r="F2" t="s">
        <v>7</v>
      </c>
      <c r="G2" t="s">
        <v>23</v>
      </c>
      <c r="I2">
        <f>COUNTA(tbEtapas[ETAPA])</f>
        <v>18</v>
      </c>
    </row>
    <row r="3" spans="1:9" x14ac:dyDescent="0.25">
      <c r="A3" t="s">
        <v>108</v>
      </c>
      <c r="B3" t="s">
        <v>31</v>
      </c>
      <c r="E3">
        <v>2</v>
      </c>
      <c r="F3" t="s">
        <v>8</v>
      </c>
      <c r="G3" t="s">
        <v>23</v>
      </c>
    </row>
    <row r="4" spans="1:9" x14ac:dyDescent="0.25">
      <c r="A4" t="s">
        <v>90</v>
      </c>
      <c r="B4" t="s">
        <v>31</v>
      </c>
      <c r="E4">
        <v>3</v>
      </c>
      <c r="F4" t="s">
        <v>9</v>
      </c>
      <c r="G4" t="s">
        <v>23</v>
      </c>
    </row>
    <row r="5" spans="1:9" x14ac:dyDescent="0.25">
      <c r="A5" t="s">
        <v>128</v>
      </c>
      <c r="B5" t="s">
        <v>31</v>
      </c>
      <c r="E5">
        <v>4</v>
      </c>
      <c r="F5" t="s">
        <v>10</v>
      </c>
      <c r="G5" t="s">
        <v>23</v>
      </c>
    </row>
    <row r="6" spans="1:9" x14ac:dyDescent="0.25">
      <c r="A6" t="s">
        <v>129</v>
      </c>
      <c r="B6" t="s">
        <v>31</v>
      </c>
      <c r="E6">
        <v>5</v>
      </c>
      <c r="F6" t="s">
        <v>11</v>
      </c>
      <c r="G6" t="s">
        <v>20</v>
      </c>
    </row>
    <row r="7" spans="1:9" x14ac:dyDescent="0.25">
      <c r="A7" t="s">
        <v>94</v>
      </c>
      <c r="B7" t="s">
        <v>31</v>
      </c>
      <c r="E7">
        <v>6</v>
      </c>
      <c r="F7" t="s">
        <v>12</v>
      </c>
      <c r="G7" t="s">
        <v>20</v>
      </c>
    </row>
    <row r="8" spans="1:9" x14ac:dyDescent="0.25">
      <c r="A8" t="s">
        <v>92</v>
      </c>
      <c r="B8" t="s">
        <v>31</v>
      </c>
      <c r="E8">
        <v>7</v>
      </c>
      <c r="F8" t="s">
        <v>13</v>
      </c>
      <c r="G8" t="s">
        <v>20</v>
      </c>
    </row>
    <row r="9" spans="1:9" x14ac:dyDescent="0.25">
      <c r="A9" t="s">
        <v>82</v>
      </c>
      <c r="B9" t="s">
        <v>31</v>
      </c>
      <c r="E9">
        <v>8</v>
      </c>
      <c r="F9" t="s">
        <v>14</v>
      </c>
      <c r="G9" t="s">
        <v>20</v>
      </c>
    </row>
    <row r="10" spans="1:9" x14ac:dyDescent="0.25">
      <c r="A10" s="15" t="s">
        <v>307</v>
      </c>
      <c r="B10" t="s">
        <v>31</v>
      </c>
      <c r="E10">
        <v>9</v>
      </c>
      <c r="F10" t="s">
        <v>15</v>
      </c>
      <c r="G10" t="s">
        <v>20</v>
      </c>
    </row>
    <row r="11" spans="1:9" x14ac:dyDescent="0.25">
      <c r="A11" s="15" t="s">
        <v>308</v>
      </c>
      <c r="B11" t="s">
        <v>31</v>
      </c>
      <c r="E11">
        <v>10</v>
      </c>
      <c r="F11" t="s">
        <v>16</v>
      </c>
      <c r="G11" t="s">
        <v>20</v>
      </c>
    </row>
    <row r="12" spans="1:9" x14ac:dyDescent="0.25">
      <c r="A12" s="15" t="s">
        <v>304</v>
      </c>
      <c r="B12" t="s">
        <v>31</v>
      </c>
      <c r="E12">
        <v>11</v>
      </c>
      <c r="F12" t="s">
        <v>17</v>
      </c>
      <c r="G12" t="s">
        <v>20</v>
      </c>
    </row>
    <row r="13" spans="1:9" x14ac:dyDescent="0.25">
      <c r="A13" t="s">
        <v>106</v>
      </c>
      <c r="B13" t="s">
        <v>31</v>
      </c>
      <c r="E13">
        <v>12</v>
      </c>
      <c r="F13" t="s">
        <v>18</v>
      </c>
      <c r="G13" t="s">
        <v>20</v>
      </c>
    </row>
    <row r="14" spans="1:9" x14ac:dyDescent="0.25">
      <c r="A14" s="15" t="s">
        <v>302</v>
      </c>
      <c r="B14" t="s">
        <v>31</v>
      </c>
      <c r="E14">
        <v>13</v>
      </c>
      <c r="F14" t="s">
        <v>19</v>
      </c>
      <c r="G14" t="s">
        <v>20</v>
      </c>
    </row>
    <row r="15" spans="1:9" x14ac:dyDescent="0.25">
      <c r="A15" t="s">
        <v>97</v>
      </c>
      <c r="B15" t="s">
        <v>31</v>
      </c>
      <c r="E15">
        <v>14</v>
      </c>
      <c r="F15" t="s">
        <v>11</v>
      </c>
      <c r="G15" t="s">
        <v>24</v>
      </c>
    </row>
    <row r="16" spans="1:9" x14ac:dyDescent="0.25">
      <c r="A16" t="s">
        <v>107</v>
      </c>
      <c r="B16" t="s">
        <v>31</v>
      </c>
      <c r="E16">
        <v>15</v>
      </c>
      <c r="F16" t="s">
        <v>12</v>
      </c>
      <c r="G16" t="s">
        <v>24</v>
      </c>
    </row>
    <row r="17" spans="1:7" x14ac:dyDescent="0.25">
      <c r="A17" t="s">
        <v>80</v>
      </c>
      <c r="B17" t="s">
        <v>31</v>
      </c>
      <c r="E17">
        <v>16</v>
      </c>
      <c r="F17" t="s">
        <v>13</v>
      </c>
      <c r="G17" t="s">
        <v>24</v>
      </c>
    </row>
    <row r="18" spans="1:7" x14ac:dyDescent="0.25">
      <c r="A18" s="15" t="s">
        <v>305</v>
      </c>
      <c r="B18" t="s">
        <v>31</v>
      </c>
      <c r="E18">
        <v>17</v>
      </c>
      <c r="F18" t="s">
        <v>21</v>
      </c>
      <c r="G18" t="s">
        <v>20</v>
      </c>
    </row>
    <row r="19" spans="1:7" x14ac:dyDescent="0.25">
      <c r="A19" t="s">
        <v>87</v>
      </c>
      <c r="B19" t="s">
        <v>31</v>
      </c>
      <c r="E19">
        <v>18</v>
      </c>
      <c r="F19" t="s">
        <v>22</v>
      </c>
      <c r="G19" t="s">
        <v>24</v>
      </c>
    </row>
    <row r="20" spans="1:7" x14ac:dyDescent="0.25">
      <c r="A20" t="s">
        <v>103</v>
      </c>
      <c r="B20" t="s">
        <v>31</v>
      </c>
    </row>
    <row r="21" spans="1:7" x14ac:dyDescent="0.25">
      <c r="A21" t="s">
        <v>127</v>
      </c>
      <c r="B21" t="s">
        <v>31</v>
      </c>
    </row>
    <row r="22" spans="1:7" x14ac:dyDescent="0.25">
      <c r="A22" t="s">
        <v>91</v>
      </c>
      <c r="B22" t="s">
        <v>31</v>
      </c>
    </row>
    <row r="23" spans="1:7" x14ac:dyDescent="0.25">
      <c r="A23" t="s">
        <v>101</v>
      </c>
      <c r="B23" t="s">
        <v>31</v>
      </c>
    </row>
    <row r="24" spans="1:7" x14ac:dyDescent="0.25">
      <c r="A24" t="s">
        <v>88</v>
      </c>
      <c r="B24" t="s">
        <v>31</v>
      </c>
    </row>
    <row r="25" spans="1:7" x14ac:dyDescent="0.25">
      <c r="A25" t="s">
        <v>303</v>
      </c>
      <c r="B25" t="s">
        <v>31</v>
      </c>
    </row>
    <row r="26" spans="1:7" x14ac:dyDescent="0.25">
      <c r="A26" s="15" t="s">
        <v>306</v>
      </c>
      <c r="B26" t="s">
        <v>31</v>
      </c>
    </row>
    <row r="27" spans="1:7" x14ac:dyDescent="0.25">
      <c r="A27" t="s">
        <v>83</v>
      </c>
      <c r="B27" t="s">
        <v>118</v>
      </c>
    </row>
    <row r="28" spans="1:7" x14ac:dyDescent="0.25">
      <c r="A28" t="s">
        <v>84</v>
      </c>
      <c r="B28" t="s">
        <v>111</v>
      </c>
    </row>
    <row r="29" spans="1:7" x14ac:dyDescent="0.25">
      <c r="A29" t="s">
        <v>85</v>
      </c>
      <c r="B29" t="s">
        <v>110</v>
      </c>
    </row>
    <row r="30" spans="1:7" x14ac:dyDescent="0.25">
      <c r="A30" t="s">
        <v>86</v>
      </c>
      <c r="B30" t="s">
        <v>31</v>
      </c>
    </row>
    <row r="31" spans="1:7" x14ac:dyDescent="0.25">
      <c r="A31" t="s">
        <v>89</v>
      </c>
      <c r="B31" t="s">
        <v>117</v>
      </c>
    </row>
    <row r="32" spans="1:7" x14ac:dyDescent="0.25">
      <c r="A32" t="s">
        <v>93</v>
      </c>
      <c r="B32" t="s">
        <v>31</v>
      </c>
    </row>
    <row r="33" spans="1:2" x14ac:dyDescent="0.25">
      <c r="A33" t="s">
        <v>130</v>
      </c>
      <c r="B33" t="s">
        <v>116</v>
      </c>
    </row>
    <row r="34" spans="1:2" x14ac:dyDescent="0.25">
      <c r="A34" t="s">
        <v>95</v>
      </c>
      <c r="B34" t="s">
        <v>135</v>
      </c>
    </row>
    <row r="35" spans="1:2" x14ac:dyDescent="0.25">
      <c r="A35" t="s">
        <v>96</v>
      </c>
      <c r="B35" t="s">
        <v>115</v>
      </c>
    </row>
    <row r="36" spans="1:2" x14ac:dyDescent="0.25">
      <c r="A36" t="s">
        <v>98</v>
      </c>
      <c r="B36" t="s">
        <v>112</v>
      </c>
    </row>
    <row r="37" spans="1:2" x14ac:dyDescent="0.25">
      <c r="A37" t="s">
        <v>99</v>
      </c>
      <c r="B37" t="s">
        <v>109</v>
      </c>
    </row>
    <row r="38" spans="1:2" x14ac:dyDescent="0.25">
      <c r="A38" t="s">
        <v>100</v>
      </c>
      <c r="B38" t="s">
        <v>114</v>
      </c>
    </row>
    <row r="39" spans="1:2" x14ac:dyDescent="0.25">
      <c r="A39" t="s">
        <v>102</v>
      </c>
      <c r="B39" t="s">
        <v>109</v>
      </c>
    </row>
    <row r="40" spans="1:2" x14ac:dyDescent="0.25">
      <c r="A40" t="s">
        <v>104</v>
      </c>
      <c r="B40" t="s">
        <v>31</v>
      </c>
    </row>
    <row r="41" spans="1:2" x14ac:dyDescent="0.25">
      <c r="A41" t="s">
        <v>105</v>
      </c>
      <c r="B41" t="s">
        <v>113</v>
      </c>
    </row>
    <row r="42" spans="1:2" x14ac:dyDescent="0.25">
      <c r="A42" t="s">
        <v>211</v>
      </c>
      <c r="B42" t="s">
        <v>111</v>
      </c>
    </row>
    <row r="43" spans="1:2" x14ac:dyDescent="0.25">
      <c r="A43" t="s">
        <v>131</v>
      </c>
      <c r="B43" t="s">
        <v>120</v>
      </c>
    </row>
    <row r="44" spans="1:2" x14ac:dyDescent="0.25">
      <c r="A44" t="s">
        <v>132</v>
      </c>
      <c r="B44" t="s">
        <v>115</v>
      </c>
    </row>
    <row r="45" spans="1:2" x14ac:dyDescent="0.25">
      <c r="A45" t="s">
        <v>133</v>
      </c>
      <c r="B45" t="s">
        <v>110</v>
      </c>
    </row>
    <row r="46" spans="1:2" x14ac:dyDescent="0.25">
      <c r="A46" t="s">
        <v>212</v>
      </c>
      <c r="B46" t="s">
        <v>116</v>
      </c>
    </row>
    <row r="47" spans="1:2" x14ac:dyDescent="0.25">
      <c r="A47" t="s">
        <v>206</v>
      </c>
      <c r="B47" t="s">
        <v>134</v>
      </c>
    </row>
    <row r="48" spans="1:2" x14ac:dyDescent="0.25">
      <c r="A48" t="s">
        <v>207</v>
      </c>
      <c r="B48" t="s">
        <v>119</v>
      </c>
    </row>
    <row r="49" spans="1:2" x14ac:dyDescent="0.25">
      <c r="A49" t="s">
        <v>208</v>
      </c>
      <c r="B49" t="s">
        <v>114</v>
      </c>
    </row>
    <row r="50" spans="1:2" x14ac:dyDescent="0.25">
      <c r="A50" t="s">
        <v>209</v>
      </c>
      <c r="B50" t="s">
        <v>112</v>
      </c>
    </row>
    <row r="51" spans="1:2" x14ac:dyDescent="0.25">
      <c r="A51" t="s">
        <v>210</v>
      </c>
      <c r="B51" t="s">
        <v>135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B38C-D1D9-4B59-AFC3-ABC801D0E205}">
  <dimension ref="A1:M5001"/>
  <sheetViews>
    <sheetView topLeftCell="A139" workbookViewId="0">
      <selection activeCell="A2" sqref="A2"/>
    </sheetView>
  </sheetViews>
  <sheetFormatPr defaultRowHeight="15" x14ac:dyDescent="0.25"/>
  <cols>
    <col min="1" max="1" width="57" bestFit="1" customWidth="1"/>
    <col min="2" max="2" width="19.5703125" customWidth="1"/>
    <col min="3" max="3" width="12.42578125" customWidth="1"/>
    <col min="4" max="4" width="15" customWidth="1"/>
    <col min="5" max="5" width="20.85546875" customWidth="1"/>
    <col min="6" max="6" width="14.140625" customWidth="1"/>
    <col min="9" max="9" width="19.140625" bestFit="1" customWidth="1"/>
    <col min="10" max="10" width="9" customWidth="1"/>
    <col min="11" max="11" width="8.42578125" customWidth="1"/>
    <col min="12" max="12" width="19.28515625" bestFit="1" customWidth="1"/>
    <col min="13" max="13" width="19.28515625" hidden="1" customWidth="1"/>
    <col min="14" max="14" width="19.28515625" bestFit="1" customWidth="1"/>
  </cols>
  <sheetData>
    <row r="1" spans="1:13" x14ac:dyDescent="0.25">
      <c r="A1" t="s">
        <v>1</v>
      </c>
      <c r="B1" t="s">
        <v>0</v>
      </c>
      <c r="C1" t="s">
        <v>28</v>
      </c>
      <c r="D1" t="s">
        <v>2</v>
      </c>
      <c r="E1" t="s">
        <v>25</v>
      </c>
      <c r="F1" t="s">
        <v>27</v>
      </c>
    </row>
    <row r="2" spans="1:13" x14ac:dyDescent="0.25">
      <c r="A2" t="str" cm="1">
        <f t="array" ref="A2">IFERROR(INDEX(tbNucleo[ESCOLA],ROUNDUP(ROW(A1)/TotalEtapas,0)),"")</f>
        <v xml:space="preserve"> EM CENTRO EDUCACIONAL DOM MAXIMO BIENNES </v>
      </c>
      <c r="B2" t="str">
        <f>IFERROR(VLOOKUP(A2,tbNucleo[],2,FALSE),"")</f>
        <v>URBANO</v>
      </c>
      <c r="C2">
        <v>1</v>
      </c>
      <c r="D2" t="str">
        <f>IFERROR(VLOOKUP(tbEscolas[[#This Row],[COD ETPA]],tbEtapas[],2,FALSE),"")</f>
        <v>CRECHE I</v>
      </c>
      <c r="E2" t="str">
        <f>IFERROR(VLOOKUP(tbEscolas[[#This Row],[COD ETPA]],tbEtapas[],3,FALSE),"")</f>
        <v>EDUCAÇÃO INFANTIL</v>
      </c>
      <c r="F2" t="s">
        <v>125</v>
      </c>
      <c r="M2">
        <f>TotalEtapas</f>
        <v>18</v>
      </c>
    </row>
    <row r="3" spans="1:13" x14ac:dyDescent="0.25">
      <c r="A3" t="str" cm="1">
        <f t="array" ref="A3">IFERROR(INDEX(tbNucleo[ESCOLA],ROUNDUP(ROW(A2)/TotalEtapas,0)),"")</f>
        <v xml:space="preserve"> EM CENTRO EDUCACIONAL DOM MAXIMO BIENNES </v>
      </c>
      <c r="B3" t="str">
        <f>IFERROR(VLOOKUP(A3,tbNucleo[],2,FALSE),"")</f>
        <v>URBANO</v>
      </c>
      <c r="C3">
        <v>2</v>
      </c>
      <c r="D3" t="str">
        <f>IFERROR(VLOOKUP(tbEscolas[[#This Row],[COD ETPA]],tbEtapas[],2,FALSE),"")</f>
        <v>CRECHE II</v>
      </c>
      <c r="E3" t="str">
        <f>IFERROR(VLOOKUP(tbEscolas[[#This Row],[COD ETPA]],tbEtapas[],3,FALSE),"")</f>
        <v>EDUCAÇÃO INFANTIL</v>
      </c>
      <c r="F3" t="s">
        <v>125</v>
      </c>
    </row>
    <row r="4" spans="1:13" x14ac:dyDescent="0.25">
      <c r="A4" t="str" cm="1">
        <f t="array" ref="A4">IFERROR(INDEX(tbNucleo[ESCOLA],ROUNDUP(ROW(A3)/TotalEtapas,0)),"")</f>
        <v xml:space="preserve"> EM CENTRO EDUCACIONAL DOM MAXIMO BIENNES </v>
      </c>
      <c r="B4" t="str">
        <f>IFERROR(VLOOKUP(A4,tbNucleo[],2,FALSE),"")</f>
        <v>URBANO</v>
      </c>
      <c r="C4">
        <v>3</v>
      </c>
      <c r="D4" t="str">
        <f>IFERROR(VLOOKUP(tbEscolas[[#This Row],[COD ETPA]],tbEtapas[],2,FALSE),"")</f>
        <v>PRE I</v>
      </c>
      <c r="E4" t="str">
        <f>IFERROR(VLOOKUP(tbEscolas[[#This Row],[COD ETPA]],tbEtapas[],3,FALSE),"")</f>
        <v>EDUCAÇÃO INFANTIL</v>
      </c>
      <c r="F4" t="s">
        <v>125</v>
      </c>
    </row>
    <row r="5" spans="1:13" x14ac:dyDescent="0.25">
      <c r="A5" t="str" cm="1">
        <f t="array" ref="A5">IFERROR(INDEX(tbNucleo[ESCOLA],ROUNDUP(ROW(A4)/TotalEtapas,0)),"")</f>
        <v xml:space="preserve"> EM CENTRO EDUCACIONAL DOM MAXIMO BIENNES </v>
      </c>
      <c r="B5" t="str">
        <f>IFERROR(VLOOKUP(A5,tbNucleo[],2,FALSE),"")</f>
        <v>URBANO</v>
      </c>
      <c r="C5">
        <v>4</v>
      </c>
      <c r="D5" t="str">
        <f>IFERROR(VLOOKUP(tbEscolas[[#This Row],[COD ETPA]],tbEtapas[],2,FALSE),"")</f>
        <v>PRE II</v>
      </c>
      <c r="E5" t="str">
        <f>IFERROR(VLOOKUP(tbEscolas[[#This Row],[COD ETPA]],tbEtapas[],3,FALSE),"")</f>
        <v>EDUCAÇÃO INFANTIL</v>
      </c>
      <c r="F5" t="s">
        <v>125</v>
      </c>
    </row>
    <row r="6" spans="1:13" x14ac:dyDescent="0.25">
      <c r="A6" t="str" cm="1">
        <f t="array" ref="A6">IFERROR(INDEX(tbNucleo[ESCOLA],ROUNDUP(ROW(A5)/TotalEtapas,0)),"")</f>
        <v xml:space="preserve"> EM CENTRO EDUCACIONAL DOM MAXIMO BIENNES </v>
      </c>
      <c r="B6" t="str">
        <f>IFERROR(VLOOKUP(A6,tbNucleo[],2,FALSE),"")</f>
        <v>URBANO</v>
      </c>
      <c r="C6">
        <v>5</v>
      </c>
      <c r="D6" t="str">
        <f>IFERROR(VLOOKUP(tbEscolas[[#This Row],[COD ETPA]],tbEtapas[],2,FALSE),"")</f>
        <v>1º ANO</v>
      </c>
      <c r="E6" t="str">
        <f>IFERROR(VLOOKUP(tbEscolas[[#This Row],[COD ETPA]],tbEtapas[],3,FALSE),"")</f>
        <v>FUNDAMENTAL</v>
      </c>
      <c r="F6" t="s">
        <v>126</v>
      </c>
    </row>
    <row r="7" spans="1:13" x14ac:dyDescent="0.25">
      <c r="A7" t="str" cm="1">
        <f t="array" ref="A7">IFERROR(INDEX(tbNucleo[ESCOLA],ROUNDUP(ROW(A6)/TotalEtapas,0)),"")</f>
        <v xml:space="preserve"> EM CENTRO EDUCACIONAL DOM MAXIMO BIENNES </v>
      </c>
      <c r="B7" t="str">
        <f>IFERROR(VLOOKUP(A7,tbNucleo[],2,FALSE),"")</f>
        <v>URBANO</v>
      </c>
      <c r="C7">
        <v>6</v>
      </c>
      <c r="D7" t="str">
        <f>IFERROR(VLOOKUP(tbEscolas[[#This Row],[COD ETPA]],tbEtapas[],2,FALSE),"")</f>
        <v>2º ANO</v>
      </c>
      <c r="E7" t="str">
        <f>IFERROR(VLOOKUP(tbEscolas[[#This Row],[COD ETPA]],tbEtapas[],3,FALSE),"")</f>
        <v>FUNDAMENTAL</v>
      </c>
      <c r="F7" t="s">
        <v>126</v>
      </c>
    </row>
    <row r="8" spans="1:13" x14ac:dyDescent="0.25">
      <c r="A8" t="str" cm="1">
        <f t="array" ref="A8">IFERROR(INDEX(tbNucleo[ESCOLA],ROUNDUP(ROW(A7)/TotalEtapas,0)),"")</f>
        <v xml:space="preserve"> EM CENTRO EDUCACIONAL DOM MAXIMO BIENNES </v>
      </c>
      <c r="B8" t="str">
        <f>IFERROR(VLOOKUP(A8,tbNucleo[],2,FALSE),"")</f>
        <v>URBANO</v>
      </c>
      <c r="C8">
        <v>7</v>
      </c>
      <c r="D8" t="str">
        <f>IFERROR(VLOOKUP(tbEscolas[[#This Row],[COD ETPA]],tbEtapas[],2,FALSE),"")</f>
        <v>3º ANO</v>
      </c>
      <c r="E8" t="str">
        <f>IFERROR(VLOOKUP(tbEscolas[[#This Row],[COD ETPA]],tbEtapas[],3,FALSE),"")</f>
        <v>FUNDAMENTAL</v>
      </c>
      <c r="F8" t="s">
        <v>126</v>
      </c>
    </row>
    <row r="9" spans="1:13" x14ac:dyDescent="0.25">
      <c r="A9" t="str" cm="1">
        <f t="array" ref="A9">IFERROR(INDEX(tbNucleo[ESCOLA],ROUNDUP(ROW(A8)/TotalEtapas,0)),"")</f>
        <v xml:space="preserve"> EM CENTRO EDUCACIONAL DOM MAXIMO BIENNES </v>
      </c>
      <c r="B9" t="str">
        <f>IFERROR(VLOOKUP(A9,tbNucleo[],2,FALSE),"")</f>
        <v>URBANO</v>
      </c>
      <c r="C9">
        <v>8</v>
      </c>
      <c r="D9" t="str">
        <f>IFERROR(VLOOKUP(tbEscolas[[#This Row],[COD ETPA]],tbEtapas[],2,FALSE),"")</f>
        <v>4º ANO</v>
      </c>
      <c r="E9" t="str">
        <f>IFERROR(VLOOKUP(tbEscolas[[#This Row],[COD ETPA]],tbEtapas[],3,FALSE),"")</f>
        <v>FUNDAMENTAL</v>
      </c>
      <c r="F9" t="s">
        <v>126</v>
      </c>
    </row>
    <row r="10" spans="1:13" x14ac:dyDescent="0.25">
      <c r="A10" t="str" cm="1">
        <f t="array" ref="A10">IFERROR(INDEX(tbNucleo[ESCOLA],ROUNDUP(ROW(A9)/TotalEtapas,0)),"")</f>
        <v xml:space="preserve"> EM CENTRO EDUCACIONAL DOM MAXIMO BIENNES </v>
      </c>
      <c r="B10" t="str">
        <f>IFERROR(VLOOKUP(A10,tbNucleo[],2,FALSE),"")</f>
        <v>URBANO</v>
      </c>
      <c r="C10">
        <v>9</v>
      </c>
      <c r="D10" t="str">
        <f>IFERROR(VLOOKUP(tbEscolas[[#This Row],[COD ETPA]],tbEtapas[],2,FALSE),"")</f>
        <v>5º ANO</v>
      </c>
      <c r="E10" t="str">
        <f>IFERROR(VLOOKUP(tbEscolas[[#This Row],[COD ETPA]],tbEtapas[],3,FALSE),"")</f>
        <v>FUNDAMENTAL</v>
      </c>
      <c r="F10" t="s">
        <v>126</v>
      </c>
    </row>
    <row r="11" spans="1:13" x14ac:dyDescent="0.25">
      <c r="A11" t="str" cm="1">
        <f t="array" ref="A11">IFERROR(INDEX(tbNucleo[ESCOLA],ROUNDUP(ROW(A10)/TotalEtapas,0)),"")</f>
        <v xml:space="preserve"> EM CENTRO EDUCACIONAL DOM MAXIMO BIENNES </v>
      </c>
      <c r="B11" t="str">
        <f>IFERROR(VLOOKUP(A11,tbNucleo[],2,FALSE),"")</f>
        <v>URBANO</v>
      </c>
      <c r="C11">
        <v>10</v>
      </c>
      <c r="D11" t="str">
        <f>IFERROR(VLOOKUP(tbEscolas[[#This Row],[COD ETPA]],tbEtapas[],2,FALSE),"")</f>
        <v>6º ANO</v>
      </c>
      <c r="E11" t="str">
        <f>IFERROR(VLOOKUP(tbEscolas[[#This Row],[COD ETPA]],tbEtapas[],3,FALSE),"")</f>
        <v>FUNDAMENTAL</v>
      </c>
      <c r="F11" t="s">
        <v>125</v>
      </c>
    </row>
    <row r="12" spans="1:13" x14ac:dyDescent="0.25">
      <c r="A12" t="str" cm="1">
        <f t="array" ref="A12">IFERROR(INDEX(tbNucleo[ESCOLA],ROUNDUP(ROW(A11)/TotalEtapas,0)),"")</f>
        <v xml:space="preserve"> EM CENTRO EDUCACIONAL DOM MAXIMO BIENNES </v>
      </c>
      <c r="B12" t="str">
        <f>IFERROR(VLOOKUP(A12,tbNucleo[],2,FALSE),"")</f>
        <v>URBANO</v>
      </c>
      <c r="C12">
        <v>11</v>
      </c>
      <c r="D12" t="str">
        <f>IFERROR(VLOOKUP(tbEscolas[[#This Row],[COD ETPA]],tbEtapas[],2,FALSE),"")</f>
        <v>7º ANO</v>
      </c>
      <c r="E12" t="str">
        <f>IFERROR(VLOOKUP(tbEscolas[[#This Row],[COD ETPA]],tbEtapas[],3,FALSE),"")</f>
        <v>FUNDAMENTAL</v>
      </c>
      <c r="F12" t="s">
        <v>125</v>
      </c>
    </row>
    <row r="13" spans="1:13" x14ac:dyDescent="0.25">
      <c r="A13" t="str" cm="1">
        <f t="array" ref="A13">IFERROR(INDEX(tbNucleo[ESCOLA],ROUNDUP(ROW(A12)/TotalEtapas,0)),"")</f>
        <v xml:space="preserve"> EM CENTRO EDUCACIONAL DOM MAXIMO BIENNES </v>
      </c>
      <c r="B13" t="str">
        <f>IFERROR(VLOOKUP(A13,tbNucleo[],2,FALSE),"")</f>
        <v>URBANO</v>
      </c>
      <c r="C13">
        <v>12</v>
      </c>
      <c r="D13" t="str">
        <f>IFERROR(VLOOKUP(tbEscolas[[#This Row],[COD ETPA]],tbEtapas[],2,FALSE),"")</f>
        <v>8º ANO</v>
      </c>
      <c r="E13" t="str">
        <f>IFERROR(VLOOKUP(tbEscolas[[#This Row],[COD ETPA]],tbEtapas[],3,FALSE),"")</f>
        <v>FUNDAMENTAL</v>
      </c>
      <c r="F13" t="s">
        <v>125</v>
      </c>
    </row>
    <row r="14" spans="1:13" x14ac:dyDescent="0.25">
      <c r="A14" t="str" cm="1">
        <f t="array" ref="A14">IFERROR(INDEX(tbNucleo[ESCOLA],ROUNDUP(ROW(A13)/TotalEtapas,0)),"")</f>
        <v xml:space="preserve"> EM CENTRO EDUCACIONAL DOM MAXIMO BIENNES </v>
      </c>
      <c r="B14" t="str">
        <f>IFERROR(VLOOKUP(A14,tbNucleo[],2,FALSE),"")</f>
        <v>URBANO</v>
      </c>
      <c r="C14">
        <v>13</v>
      </c>
      <c r="D14" t="str">
        <f>IFERROR(VLOOKUP(tbEscolas[[#This Row],[COD ETPA]],tbEtapas[],2,FALSE),"")</f>
        <v>9º ANO</v>
      </c>
      <c r="E14" t="str">
        <f>IFERROR(VLOOKUP(tbEscolas[[#This Row],[COD ETPA]],tbEtapas[],3,FALSE),"")</f>
        <v>FUNDAMENTAL</v>
      </c>
      <c r="F14" t="s">
        <v>125</v>
      </c>
    </row>
    <row r="15" spans="1:13" x14ac:dyDescent="0.25">
      <c r="A15" t="str" cm="1">
        <f t="array" ref="A15">IFERROR(INDEX(tbNucleo[ESCOLA],ROUNDUP(ROW(A14)/TotalEtapas,0)),"")</f>
        <v xml:space="preserve"> EM CENTRO EDUCACIONAL DOM MAXIMO BIENNES </v>
      </c>
      <c r="B15" t="str">
        <f>IFERROR(VLOOKUP(A15,tbNucleo[],2,FALSE),"")</f>
        <v>URBANO</v>
      </c>
      <c r="C15">
        <v>14</v>
      </c>
      <c r="D15" t="str">
        <f>IFERROR(VLOOKUP(tbEscolas[[#This Row],[COD ETPA]],tbEtapas[],2,FALSE),"")</f>
        <v>1º ANO</v>
      </c>
      <c r="E15" t="str">
        <f>IFERROR(VLOOKUP(tbEscolas[[#This Row],[COD ETPA]],tbEtapas[],3,FALSE),"")</f>
        <v>ENSINO MÉDIO</v>
      </c>
      <c r="F15" t="s">
        <v>125</v>
      </c>
    </row>
    <row r="16" spans="1:13" x14ac:dyDescent="0.25">
      <c r="A16" t="str" cm="1">
        <f t="array" ref="A16">IFERROR(INDEX(tbNucleo[ESCOLA],ROUNDUP(ROW(A15)/TotalEtapas,0)),"")</f>
        <v xml:space="preserve"> EM CENTRO EDUCACIONAL DOM MAXIMO BIENNES </v>
      </c>
      <c r="B16" t="str">
        <f>IFERROR(VLOOKUP(A16,tbNucleo[],2,FALSE),"")</f>
        <v>URBANO</v>
      </c>
      <c r="C16">
        <v>15</v>
      </c>
      <c r="D16" t="str">
        <f>IFERROR(VLOOKUP(tbEscolas[[#This Row],[COD ETPA]],tbEtapas[],2,FALSE),"")</f>
        <v>2º ANO</v>
      </c>
      <c r="E16" t="str">
        <f>IFERROR(VLOOKUP(tbEscolas[[#This Row],[COD ETPA]],tbEtapas[],3,FALSE),"")</f>
        <v>ENSINO MÉDIO</v>
      </c>
      <c r="F16" t="s">
        <v>125</v>
      </c>
    </row>
    <row r="17" spans="1:9" x14ac:dyDescent="0.25">
      <c r="A17" t="str" cm="1">
        <f t="array" ref="A17">IFERROR(INDEX(tbNucleo[ESCOLA],ROUNDUP(ROW(A16)/TotalEtapas,0)),"")</f>
        <v xml:space="preserve"> EM CENTRO EDUCACIONAL DOM MAXIMO BIENNES </v>
      </c>
      <c r="B17" t="str">
        <f>IFERROR(VLOOKUP(A17,tbNucleo[],2,FALSE),"")</f>
        <v>URBANO</v>
      </c>
      <c r="C17">
        <v>16</v>
      </c>
      <c r="D17" t="str">
        <f>IFERROR(VLOOKUP(tbEscolas[[#This Row],[COD ETPA]],tbEtapas[],2,FALSE),"")</f>
        <v>3º ANO</v>
      </c>
      <c r="E17" t="str">
        <f>IFERROR(VLOOKUP(tbEscolas[[#This Row],[COD ETPA]],tbEtapas[],3,FALSE),"")</f>
        <v>ENSINO MÉDIO</v>
      </c>
      <c r="F17" t="s">
        <v>125</v>
      </c>
    </row>
    <row r="18" spans="1:9" x14ac:dyDescent="0.25">
      <c r="A18" t="str" cm="1">
        <f t="array" ref="A18">IFERROR(INDEX(tbNucleo[ESCOLA],ROUNDUP(ROW(A17)/TotalEtapas,0)),"")</f>
        <v xml:space="preserve"> EM CENTRO EDUCACIONAL DOM MAXIMO BIENNES </v>
      </c>
      <c r="B18" t="str">
        <f>IFERROR(VLOOKUP(A18,tbNucleo[],2,FALSE),"")</f>
        <v>URBANO</v>
      </c>
      <c r="C18">
        <v>17</v>
      </c>
      <c r="D18" t="str">
        <f>IFERROR(VLOOKUP(tbEscolas[[#This Row],[COD ETPA]],tbEtapas[],2,FALSE),"")</f>
        <v>EJA I</v>
      </c>
      <c r="E18" t="str">
        <f>IFERROR(VLOOKUP(tbEscolas[[#This Row],[COD ETPA]],tbEtapas[],3,FALSE),"")</f>
        <v>FUNDAMENTAL</v>
      </c>
      <c r="F18" t="s">
        <v>125</v>
      </c>
    </row>
    <row r="19" spans="1:9" x14ac:dyDescent="0.25">
      <c r="A19" t="str" cm="1">
        <f t="array" ref="A19">IFERROR(INDEX(tbNucleo[ESCOLA],ROUNDUP(ROW(A18)/TotalEtapas,0)),"")</f>
        <v xml:space="preserve"> EM CENTRO EDUCACIONAL DOM MAXIMO BIENNES </v>
      </c>
      <c r="B19" t="str">
        <f>IFERROR(VLOOKUP(A19,tbNucleo[],2,FALSE),"")</f>
        <v>URBANO</v>
      </c>
      <c r="C19" cm="1">
        <f t="array" ref="C19">IF(A19="","",INDEX(tbEtapas[Nº],MOD(ROW(A18)-1,TotalEtapas)+1))</f>
        <v>18</v>
      </c>
      <c r="D19" t="str">
        <f>IFERROR(VLOOKUP(tbEscolas[[#This Row],[COD ETPA]],tbEtapas[],2,FALSE),"")</f>
        <v>EJA II</v>
      </c>
      <c r="E19" t="str">
        <f>IFERROR(VLOOKUP(tbEscolas[[#This Row],[COD ETPA]],tbEtapas[],3,FALSE),"")</f>
        <v>ENSINO MÉDIO</v>
      </c>
      <c r="F19" t="s">
        <v>125</v>
      </c>
    </row>
    <row r="20" spans="1:9" x14ac:dyDescent="0.25">
      <c r="A20" t="str" cm="1">
        <f t="array" ref="A20">IFERROR(INDEX(tbNucleo[ESCOLA],ROUNDUP(ROW(A19)/TotalEtapas,0)),"")</f>
        <v xml:space="preserve"> EM VITORIA REGIA</v>
      </c>
      <c r="B20" t="str">
        <f>IFERROR(VLOOKUP(A20,tbNucleo[],2,FALSE),"")</f>
        <v>URBANO</v>
      </c>
      <c r="C20" cm="1">
        <f t="array" ref="C20">IF(A20="","",INDEX(tbEtapas[Nº],MOD(ROW(A19)-1,TotalEtapas)+1))</f>
        <v>1</v>
      </c>
      <c r="D20" t="str">
        <f>IFERROR(VLOOKUP(tbEscolas[[#This Row],[COD ETPA]],tbEtapas[],2,FALSE),"")</f>
        <v>CRECHE I</v>
      </c>
      <c r="E20" t="str">
        <f>IFERROR(VLOOKUP(tbEscolas[[#This Row],[COD ETPA]],tbEtapas[],3,FALSE),"")</f>
        <v>EDUCAÇÃO INFANTIL</v>
      </c>
      <c r="F20" t="s">
        <v>125</v>
      </c>
    </row>
    <row r="21" spans="1:9" x14ac:dyDescent="0.25">
      <c r="A21" t="str" cm="1">
        <f t="array" ref="A21">IFERROR(INDEX(tbNucleo[ESCOLA],ROUNDUP(ROW(A20)/TotalEtapas,0)),"")</f>
        <v xml:space="preserve"> EM VITORIA REGIA</v>
      </c>
      <c r="B21" t="str">
        <f>IFERROR(VLOOKUP(A21,tbNucleo[],2,FALSE),"")</f>
        <v>URBANO</v>
      </c>
      <c r="C21" cm="1">
        <f t="array" ref="C21">IF(A21="","",INDEX(tbEtapas[Nº],MOD(ROW(A20)-1,TotalEtapas)+1))</f>
        <v>2</v>
      </c>
      <c r="D21" t="str">
        <f>IFERROR(VLOOKUP(tbEscolas[[#This Row],[COD ETPA]],tbEtapas[],2,FALSE),"")</f>
        <v>CRECHE II</v>
      </c>
      <c r="E21" t="str">
        <f>IFERROR(VLOOKUP(tbEscolas[[#This Row],[COD ETPA]],tbEtapas[],3,FALSE),"")</f>
        <v>EDUCAÇÃO INFANTIL</v>
      </c>
      <c r="F21" t="s">
        <v>125</v>
      </c>
      <c r="H21" s="1"/>
      <c r="I21" t="s">
        <v>118</v>
      </c>
    </row>
    <row r="22" spans="1:9" x14ac:dyDescent="0.25">
      <c r="A22" t="str" cm="1">
        <f t="array" ref="A22">IFERROR(INDEX(tbNucleo[ESCOLA],ROUNDUP(ROW(A21)/TotalEtapas,0)),"")</f>
        <v xml:space="preserve"> EM VITORIA REGIA</v>
      </c>
      <c r="B22" t="str">
        <f>IFERROR(VLOOKUP(A22,tbNucleo[],2,FALSE),"")</f>
        <v>URBANO</v>
      </c>
      <c r="C22" cm="1">
        <f t="array" ref="C22">IF(A22="","",INDEX(tbEtapas[Nº],MOD(ROW(A21)-1,TotalEtapas)+1))</f>
        <v>3</v>
      </c>
      <c r="D22" t="str">
        <f>IFERROR(VLOOKUP(tbEscolas[[#This Row],[COD ETPA]],tbEtapas[],2,FALSE),"")</f>
        <v>PRE I</v>
      </c>
      <c r="E22" t="str">
        <f>IFERROR(VLOOKUP(tbEscolas[[#This Row],[COD ETPA]],tbEtapas[],3,FALSE),"")</f>
        <v>EDUCAÇÃO INFANTIL</v>
      </c>
      <c r="F22" t="s">
        <v>126</v>
      </c>
      <c r="H22" s="2"/>
      <c r="I22" t="s">
        <v>111</v>
      </c>
    </row>
    <row r="23" spans="1:9" x14ac:dyDescent="0.25">
      <c r="A23" t="str" cm="1">
        <f t="array" ref="A23">IFERROR(INDEX(tbNucleo[ESCOLA],ROUNDUP(ROW(A22)/TotalEtapas,0)),"")</f>
        <v xml:space="preserve"> EM VITORIA REGIA</v>
      </c>
      <c r="B23" t="str">
        <f>IFERROR(VLOOKUP(A23,tbNucleo[],2,FALSE),"")</f>
        <v>URBANO</v>
      </c>
      <c r="C23" cm="1">
        <f t="array" ref="C23">IF(A23="","",INDEX(tbEtapas[Nº],MOD(ROW(A22)-1,TotalEtapas)+1))</f>
        <v>4</v>
      </c>
      <c r="D23" t="str">
        <f>IFERROR(VLOOKUP(tbEscolas[[#This Row],[COD ETPA]],tbEtapas[],2,FALSE),"")</f>
        <v>PRE II</v>
      </c>
      <c r="E23" t="str">
        <f>IFERROR(VLOOKUP(tbEscolas[[#This Row],[COD ETPA]],tbEtapas[],3,FALSE),"")</f>
        <v>EDUCAÇÃO INFANTIL</v>
      </c>
      <c r="F23" t="s">
        <v>126</v>
      </c>
      <c r="H23" s="3"/>
      <c r="I23" t="s">
        <v>110</v>
      </c>
    </row>
    <row r="24" spans="1:9" x14ac:dyDescent="0.25">
      <c r="A24" t="str" cm="1">
        <f t="array" ref="A24">IFERROR(INDEX(tbNucleo[ESCOLA],ROUNDUP(ROW(A23)/TotalEtapas,0)),"")</f>
        <v xml:space="preserve"> EM VITORIA REGIA</v>
      </c>
      <c r="B24" t="str">
        <f>IFERROR(VLOOKUP(A24,tbNucleo[],2,FALSE),"")</f>
        <v>URBANO</v>
      </c>
      <c r="C24" cm="1">
        <f t="array" ref="C24">IF(A24="","",INDEX(tbEtapas[Nº],MOD(ROW(A23)-1,TotalEtapas)+1))</f>
        <v>5</v>
      </c>
      <c r="D24" t="str">
        <f>IFERROR(VLOOKUP(tbEscolas[[#This Row],[COD ETPA]],tbEtapas[],2,FALSE),"")</f>
        <v>1º ANO</v>
      </c>
      <c r="E24" t="str">
        <f>IFERROR(VLOOKUP(tbEscolas[[#This Row],[COD ETPA]],tbEtapas[],3,FALSE),"")</f>
        <v>FUNDAMENTAL</v>
      </c>
      <c r="F24" t="s">
        <v>126</v>
      </c>
      <c r="H24" s="4"/>
      <c r="I24" t="s">
        <v>121</v>
      </c>
    </row>
    <row r="25" spans="1:9" x14ac:dyDescent="0.25">
      <c r="A25" t="str" cm="1">
        <f t="array" ref="A25">IFERROR(INDEX(tbNucleo[ESCOLA],ROUNDUP(ROW(A24)/TotalEtapas,0)),"")</f>
        <v xml:space="preserve"> EM VITORIA REGIA</v>
      </c>
      <c r="B25" t="str">
        <f>IFERROR(VLOOKUP(A25,tbNucleo[],2,FALSE),"")</f>
        <v>URBANO</v>
      </c>
      <c r="C25" cm="1">
        <f t="array" ref="C25">IF(A25="","",INDEX(tbEtapas[Nº],MOD(ROW(A24)-1,TotalEtapas)+1))</f>
        <v>6</v>
      </c>
      <c r="D25" t="str">
        <f>IFERROR(VLOOKUP(tbEscolas[[#This Row],[COD ETPA]],tbEtapas[],2,FALSE),"")</f>
        <v>2º ANO</v>
      </c>
      <c r="E25" t="str">
        <f>IFERROR(VLOOKUP(tbEscolas[[#This Row],[COD ETPA]],tbEtapas[],3,FALSE),"")</f>
        <v>FUNDAMENTAL</v>
      </c>
      <c r="F25" t="s">
        <v>126</v>
      </c>
      <c r="H25" s="5"/>
      <c r="I25" t="s">
        <v>116</v>
      </c>
    </row>
    <row r="26" spans="1:9" x14ac:dyDescent="0.25">
      <c r="A26" t="str" cm="1">
        <f t="array" ref="A26">IFERROR(INDEX(tbNucleo[ESCOLA],ROUNDUP(ROW(A25)/TotalEtapas,0)),"")</f>
        <v xml:space="preserve"> EM VITORIA REGIA</v>
      </c>
      <c r="B26" t="str">
        <f>IFERROR(VLOOKUP(A26,tbNucleo[],2,FALSE),"")</f>
        <v>URBANO</v>
      </c>
      <c r="C26" cm="1">
        <f t="array" ref="C26">IF(A26="","",INDEX(tbEtapas[Nº],MOD(ROW(A25)-1,TotalEtapas)+1))</f>
        <v>7</v>
      </c>
      <c r="D26" t="str">
        <f>IFERROR(VLOOKUP(tbEscolas[[#This Row],[COD ETPA]],tbEtapas[],2,FALSE),"")</f>
        <v>3º ANO</v>
      </c>
      <c r="E26" t="str">
        <f>IFERROR(VLOOKUP(tbEscolas[[#This Row],[COD ETPA]],tbEtapas[],3,FALSE),"")</f>
        <v>FUNDAMENTAL</v>
      </c>
      <c r="F26" t="s">
        <v>126</v>
      </c>
      <c r="H26" s="6"/>
      <c r="I26" t="s">
        <v>135</v>
      </c>
    </row>
    <row r="27" spans="1:9" x14ac:dyDescent="0.25">
      <c r="A27" t="str" cm="1">
        <f t="array" ref="A27">IFERROR(INDEX(tbNucleo[ESCOLA],ROUNDUP(ROW(A26)/TotalEtapas,0)),"")</f>
        <v xml:space="preserve"> EM VITORIA REGIA</v>
      </c>
      <c r="B27" t="str">
        <f>IFERROR(VLOOKUP(A27,tbNucleo[],2,FALSE),"")</f>
        <v>URBANO</v>
      </c>
      <c r="C27" cm="1">
        <f t="array" ref="C27">IF(A27="","",INDEX(tbEtapas[Nº],MOD(ROW(A26)-1,TotalEtapas)+1))</f>
        <v>8</v>
      </c>
      <c r="D27" t="str">
        <f>IFERROR(VLOOKUP(tbEscolas[[#This Row],[COD ETPA]],tbEtapas[],2,FALSE),"")</f>
        <v>4º ANO</v>
      </c>
      <c r="E27" t="str">
        <f>IFERROR(VLOOKUP(tbEscolas[[#This Row],[COD ETPA]],tbEtapas[],3,FALSE),"")</f>
        <v>FUNDAMENTAL</v>
      </c>
      <c r="F27" t="s">
        <v>126</v>
      </c>
      <c r="H27" s="7"/>
      <c r="I27" t="s">
        <v>122</v>
      </c>
    </row>
    <row r="28" spans="1:9" x14ac:dyDescent="0.25">
      <c r="A28" t="str" cm="1">
        <f t="array" ref="A28">IFERROR(INDEX(tbNucleo[ESCOLA],ROUNDUP(ROW(A27)/TotalEtapas,0)),"")</f>
        <v xml:space="preserve"> EM VITORIA REGIA</v>
      </c>
      <c r="B28" t="str">
        <f>IFERROR(VLOOKUP(A28,tbNucleo[],2,FALSE),"")</f>
        <v>URBANO</v>
      </c>
      <c r="C28" cm="1">
        <f t="array" ref="C28">IF(A28="","",INDEX(tbEtapas[Nº],MOD(ROW(A27)-1,TotalEtapas)+1))</f>
        <v>9</v>
      </c>
      <c r="D28" t="str">
        <f>IFERROR(VLOOKUP(tbEscolas[[#This Row],[COD ETPA]],tbEtapas[],2,FALSE),"")</f>
        <v>5º ANO</v>
      </c>
      <c r="E28" t="str">
        <f>IFERROR(VLOOKUP(tbEscolas[[#This Row],[COD ETPA]],tbEtapas[],3,FALSE),"")</f>
        <v>FUNDAMENTAL</v>
      </c>
      <c r="F28" t="s">
        <v>126</v>
      </c>
      <c r="H28" s="8"/>
      <c r="I28" t="s">
        <v>123</v>
      </c>
    </row>
    <row r="29" spans="1:9" x14ac:dyDescent="0.25">
      <c r="A29" t="str" cm="1">
        <f t="array" ref="A29">IFERROR(INDEX(tbNucleo[ESCOLA],ROUNDUP(ROW(A28)/TotalEtapas,0)),"")</f>
        <v xml:space="preserve"> EM VITORIA REGIA</v>
      </c>
      <c r="B29" t="str">
        <f>IFERROR(VLOOKUP(A29,tbNucleo[],2,FALSE),"")</f>
        <v>URBANO</v>
      </c>
      <c r="C29" cm="1">
        <f t="array" ref="C29">IF(A29="","",INDEX(tbEtapas[Nº],MOD(ROW(A28)-1,TotalEtapas)+1))</f>
        <v>10</v>
      </c>
      <c r="D29" t="str">
        <f>IFERROR(VLOOKUP(tbEscolas[[#This Row],[COD ETPA]],tbEtapas[],2,FALSE),"")</f>
        <v>6º ANO</v>
      </c>
      <c r="E29" t="str">
        <f>IFERROR(VLOOKUP(tbEscolas[[#This Row],[COD ETPA]],tbEtapas[],3,FALSE),"")</f>
        <v>FUNDAMENTAL</v>
      </c>
      <c r="F29" t="s">
        <v>125</v>
      </c>
      <c r="H29" s="9"/>
      <c r="I29" t="s">
        <v>124</v>
      </c>
    </row>
    <row r="30" spans="1:9" x14ac:dyDescent="0.25">
      <c r="A30" t="str" cm="1">
        <f t="array" ref="A30">IFERROR(INDEX(tbNucleo[ESCOLA],ROUNDUP(ROW(A29)/TotalEtapas,0)),"")</f>
        <v xml:space="preserve"> EM VITORIA REGIA</v>
      </c>
      <c r="B30" t="str">
        <f>IFERROR(VLOOKUP(A30,tbNucleo[],2,FALSE),"")</f>
        <v>URBANO</v>
      </c>
      <c r="C30" cm="1">
        <f t="array" ref="C30">IF(A30="","",INDEX(tbEtapas[Nº],MOD(ROW(A29)-1,TotalEtapas)+1))</f>
        <v>11</v>
      </c>
      <c r="D30" t="str">
        <f>IFERROR(VLOOKUP(tbEscolas[[#This Row],[COD ETPA]],tbEtapas[],2,FALSE),"")</f>
        <v>7º ANO</v>
      </c>
      <c r="E30" t="str">
        <f>IFERROR(VLOOKUP(tbEscolas[[#This Row],[COD ETPA]],tbEtapas[],3,FALSE),"")</f>
        <v>FUNDAMENTAL</v>
      </c>
      <c r="F30" t="s">
        <v>125</v>
      </c>
      <c r="H30" s="10"/>
      <c r="I30" t="s">
        <v>114</v>
      </c>
    </row>
    <row r="31" spans="1:9" x14ac:dyDescent="0.25">
      <c r="A31" t="str" cm="1">
        <f t="array" ref="A31">IFERROR(INDEX(tbNucleo[ESCOLA],ROUNDUP(ROW(A30)/TotalEtapas,0)),"")</f>
        <v xml:space="preserve"> EM VITORIA REGIA</v>
      </c>
      <c r="B31" t="str">
        <f>IFERROR(VLOOKUP(A31,tbNucleo[],2,FALSE),"")</f>
        <v>URBANO</v>
      </c>
      <c r="C31" cm="1">
        <f t="array" ref="C31">IF(A31="","",INDEX(tbEtapas[Nº],MOD(ROW(A30)-1,TotalEtapas)+1))</f>
        <v>12</v>
      </c>
      <c r="D31" t="str">
        <f>IFERROR(VLOOKUP(tbEscolas[[#This Row],[COD ETPA]],tbEtapas[],2,FALSE),"")</f>
        <v>8º ANO</v>
      </c>
      <c r="E31" t="str">
        <f>IFERROR(VLOOKUP(tbEscolas[[#This Row],[COD ETPA]],tbEtapas[],3,FALSE),"")</f>
        <v>FUNDAMENTAL</v>
      </c>
      <c r="F31" t="s">
        <v>125</v>
      </c>
      <c r="H31" s="11"/>
      <c r="I31" t="s">
        <v>120</v>
      </c>
    </row>
    <row r="32" spans="1:9" x14ac:dyDescent="0.25">
      <c r="A32" t="str" cm="1">
        <f t="array" ref="A32">IFERROR(INDEX(tbNucleo[ESCOLA],ROUNDUP(ROW(A31)/TotalEtapas,0)),"")</f>
        <v xml:space="preserve"> EM VITORIA REGIA</v>
      </c>
      <c r="B32" t="str">
        <f>IFERROR(VLOOKUP(A32,tbNucleo[],2,FALSE),"")</f>
        <v>URBANO</v>
      </c>
      <c r="C32" cm="1">
        <f t="array" ref="C32">IF(A32="","",INDEX(tbEtapas[Nº],MOD(ROW(A31)-1,TotalEtapas)+1))</f>
        <v>13</v>
      </c>
      <c r="D32" t="str">
        <f>IFERROR(VLOOKUP(tbEscolas[[#This Row],[COD ETPA]],tbEtapas[],2,FALSE),"")</f>
        <v>9º ANO</v>
      </c>
      <c r="E32" t="str">
        <f>IFERROR(VLOOKUP(tbEscolas[[#This Row],[COD ETPA]],tbEtapas[],3,FALSE),"")</f>
        <v>FUNDAMENTAL</v>
      </c>
      <c r="F32" t="s">
        <v>125</v>
      </c>
      <c r="H32" s="12"/>
      <c r="I32" t="s">
        <v>113</v>
      </c>
    </row>
    <row r="33" spans="1:6" x14ac:dyDescent="0.25">
      <c r="A33" t="str" cm="1">
        <f t="array" ref="A33">IFERROR(INDEX(tbNucleo[ESCOLA],ROUNDUP(ROW(A32)/TotalEtapas,0)),"")</f>
        <v xml:space="preserve"> EM VITORIA REGIA</v>
      </c>
      <c r="B33" t="str">
        <f>IFERROR(VLOOKUP(A33,tbNucleo[],2,FALSE),"")</f>
        <v>URBANO</v>
      </c>
      <c r="C33" cm="1">
        <f t="array" ref="C33">IF(A33="","",INDEX(tbEtapas[Nº],MOD(ROW(A32)-1,TotalEtapas)+1))</f>
        <v>14</v>
      </c>
      <c r="D33" t="str">
        <f>IFERROR(VLOOKUP(tbEscolas[[#This Row],[COD ETPA]],tbEtapas[],2,FALSE),"")</f>
        <v>1º ANO</v>
      </c>
      <c r="E33" t="str">
        <f>IFERROR(VLOOKUP(tbEscolas[[#This Row],[COD ETPA]],tbEtapas[],3,FALSE),"")</f>
        <v>ENSINO MÉDIO</v>
      </c>
      <c r="F33" t="s">
        <v>125</v>
      </c>
    </row>
    <row r="34" spans="1:6" x14ac:dyDescent="0.25">
      <c r="A34" t="str" cm="1">
        <f t="array" ref="A34">IFERROR(INDEX(tbNucleo[ESCOLA],ROUNDUP(ROW(A33)/TotalEtapas,0)),"")</f>
        <v xml:space="preserve"> EM VITORIA REGIA</v>
      </c>
      <c r="B34" t="str">
        <f>IFERROR(VLOOKUP(A34,tbNucleo[],2,FALSE),"")</f>
        <v>URBANO</v>
      </c>
      <c r="C34" cm="1">
        <f t="array" ref="C34">IF(A34="","",INDEX(tbEtapas[Nº],MOD(ROW(A33)-1,TotalEtapas)+1))</f>
        <v>15</v>
      </c>
      <c r="D34" t="str">
        <f>IFERROR(VLOOKUP(tbEscolas[[#This Row],[COD ETPA]],tbEtapas[],2,FALSE),"")</f>
        <v>2º ANO</v>
      </c>
      <c r="E34" t="str">
        <f>IFERROR(VLOOKUP(tbEscolas[[#This Row],[COD ETPA]],tbEtapas[],3,FALSE),"")</f>
        <v>ENSINO MÉDIO</v>
      </c>
      <c r="F34" t="s">
        <v>125</v>
      </c>
    </row>
    <row r="35" spans="1:6" x14ac:dyDescent="0.25">
      <c r="A35" t="str" cm="1">
        <f t="array" ref="A35">IFERROR(INDEX(tbNucleo[ESCOLA],ROUNDUP(ROW(A34)/TotalEtapas,0)),"")</f>
        <v xml:space="preserve"> EM VITORIA REGIA</v>
      </c>
      <c r="B35" t="str">
        <f>IFERROR(VLOOKUP(A35,tbNucleo[],2,FALSE),"")</f>
        <v>URBANO</v>
      </c>
      <c r="C35" cm="1">
        <f t="array" ref="C35">IF(A35="","",INDEX(tbEtapas[Nº],MOD(ROW(A34)-1,TotalEtapas)+1))</f>
        <v>16</v>
      </c>
      <c r="D35" t="str">
        <f>IFERROR(VLOOKUP(tbEscolas[[#This Row],[COD ETPA]],tbEtapas[],2,FALSE),"")</f>
        <v>3º ANO</v>
      </c>
      <c r="E35" t="str">
        <f>IFERROR(VLOOKUP(tbEscolas[[#This Row],[COD ETPA]],tbEtapas[],3,FALSE),"")</f>
        <v>ENSINO MÉDIO</v>
      </c>
      <c r="F35" t="s">
        <v>125</v>
      </c>
    </row>
    <row r="36" spans="1:6" x14ac:dyDescent="0.25">
      <c r="A36" t="str" cm="1">
        <f t="array" ref="A36">IFERROR(INDEX(tbNucleo[ESCOLA],ROUNDUP(ROW(A35)/TotalEtapas,0)),"")</f>
        <v xml:space="preserve"> EM VITORIA REGIA</v>
      </c>
      <c r="B36" t="str">
        <f>IFERROR(VLOOKUP(A36,tbNucleo[],2,FALSE),"")</f>
        <v>URBANO</v>
      </c>
      <c r="C36" cm="1">
        <f t="array" ref="C36">IF(A36="","",INDEX(tbEtapas[Nº],MOD(ROW(A35)-1,TotalEtapas)+1))</f>
        <v>17</v>
      </c>
      <c r="D36" t="str">
        <f>IFERROR(VLOOKUP(tbEscolas[[#This Row],[COD ETPA]],tbEtapas[],2,FALSE),"")</f>
        <v>EJA I</v>
      </c>
      <c r="E36" t="str">
        <f>IFERROR(VLOOKUP(tbEscolas[[#This Row],[COD ETPA]],tbEtapas[],3,FALSE),"")</f>
        <v>FUNDAMENTAL</v>
      </c>
      <c r="F36" t="s">
        <v>125</v>
      </c>
    </row>
    <row r="37" spans="1:6" x14ac:dyDescent="0.25">
      <c r="A37" t="str" cm="1">
        <f t="array" ref="A37">IFERROR(INDEX(tbNucleo[ESCOLA],ROUNDUP(ROW(A36)/TotalEtapas,0)),"")</f>
        <v xml:space="preserve"> EM VITORIA REGIA</v>
      </c>
      <c r="B37" t="str">
        <f>IFERROR(VLOOKUP(A37,tbNucleo[],2,FALSE),"")</f>
        <v>URBANO</v>
      </c>
      <c r="C37" cm="1">
        <f t="array" ref="C37">IF(A37="","",INDEX(tbEtapas[Nº],MOD(ROW(A36)-1,TotalEtapas)+1))</f>
        <v>18</v>
      </c>
      <c r="D37" t="str">
        <f>IFERROR(VLOOKUP(tbEscolas[[#This Row],[COD ETPA]],tbEtapas[],2,FALSE),"")</f>
        <v>EJA II</v>
      </c>
      <c r="E37" t="str">
        <f>IFERROR(VLOOKUP(tbEscolas[[#This Row],[COD ETPA]],tbEtapas[],3,FALSE),"")</f>
        <v>ENSINO MÉDIO</v>
      </c>
      <c r="F37" t="s">
        <v>125</v>
      </c>
    </row>
    <row r="38" spans="1:6" x14ac:dyDescent="0.25">
      <c r="A38" t="str" cm="1">
        <f t="array" ref="A38">IFERROR(INDEX(tbNucleo[ESCOLA],ROUNDUP(ROW(A37)/TotalEtapas,0)),"")</f>
        <v>EM PROFª ISABEL CAMPOS</v>
      </c>
      <c r="B38" t="str">
        <f>IFERROR(VLOOKUP(A38,tbNucleo[],2,FALSE),"")</f>
        <v>URBANO</v>
      </c>
      <c r="C38" cm="1">
        <f t="array" ref="C38">IF(A38="","",INDEX(tbEtapas[Nº],MOD(ROW(A37)-1,TotalEtapas)+1))</f>
        <v>1</v>
      </c>
      <c r="D38" t="str">
        <f>IFERROR(VLOOKUP(tbEscolas[[#This Row],[COD ETPA]],tbEtapas[],2,FALSE),"")</f>
        <v>CRECHE I</v>
      </c>
      <c r="E38" t="str">
        <f>IFERROR(VLOOKUP(tbEscolas[[#This Row],[COD ETPA]],tbEtapas[],3,FALSE),"")</f>
        <v>EDUCAÇÃO INFANTIL</v>
      </c>
      <c r="F38" t="s">
        <v>125</v>
      </c>
    </row>
    <row r="39" spans="1:6" x14ac:dyDescent="0.25">
      <c r="A39" t="str" cm="1">
        <f t="array" ref="A39">IFERROR(INDEX(tbNucleo[ESCOLA],ROUNDUP(ROW(A38)/TotalEtapas,0)),"")</f>
        <v>EM PROFª ISABEL CAMPOS</v>
      </c>
      <c r="B39" t="str">
        <f>IFERROR(VLOOKUP(A39,tbNucleo[],2,FALSE),"")</f>
        <v>URBANO</v>
      </c>
      <c r="C39" cm="1">
        <f t="array" ref="C39">IF(A39="","",INDEX(tbEtapas[Nº],MOD(ROW(A38)-1,TotalEtapas)+1))</f>
        <v>2</v>
      </c>
      <c r="D39" t="str">
        <f>IFERROR(VLOOKUP(tbEscolas[[#This Row],[COD ETPA]],tbEtapas[],2,FALSE),"")</f>
        <v>CRECHE II</v>
      </c>
      <c r="E39" t="str">
        <f>IFERROR(VLOOKUP(tbEscolas[[#This Row],[COD ETPA]],tbEtapas[],3,FALSE),"")</f>
        <v>EDUCAÇÃO INFANTIL</v>
      </c>
      <c r="F39" t="s">
        <v>125</v>
      </c>
    </row>
    <row r="40" spans="1:6" x14ac:dyDescent="0.25">
      <c r="A40" t="str" cm="1">
        <f t="array" ref="A40">IFERROR(INDEX(tbNucleo[ESCOLA],ROUNDUP(ROW(A39)/TotalEtapas,0)),"")</f>
        <v>EM PROFª ISABEL CAMPOS</v>
      </c>
      <c r="B40" t="str">
        <f>IFERROR(VLOOKUP(A40,tbNucleo[],2,FALSE),"")</f>
        <v>URBANO</v>
      </c>
      <c r="C40" cm="1">
        <f t="array" ref="C40">IF(A40="","",INDEX(tbEtapas[Nº],MOD(ROW(A39)-1,TotalEtapas)+1))</f>
        <v>3</v>
      </c>
      <c r="D40" t="str">
        <f>IFERROR(VLOOKUP(tbEscolas[[#This Row],[COD ETPA]],tbEtapas[],2,FALSE),"")</f>
        <v>PRE I</v>
      </c>
      <c r="E40" t="str">
        <f>IFERROR(VLOOKUP(tbEscolas[[#This Row],[COD ETPA]],tbEtapas[],3,FALSE),"")</f>
        <v>EDUCAÇÃO INFANTIL</v>
      </c>
      <c r="F40" t="s">
        <v>126</v>
      </c>
    </row>
    <row r="41" spans="1:6" x14ac:dyDescent="0.25">
      <c r="A41" t="str" cm="1">
        <f t="array" ref="A41">IFERROR(INDEX(tbNucleo[ESCOLA],ROUNDUP(ROW(A40)/TotalEtapas,0)),"")</f>
        <v>EM PROFª ISABEL CAMPOS</v>
      </c>
      <c r="B41" t="str">
        <f>IFERROR(VLOOKUP(A41,tbNucleo[],2,FALSE),"")</f>
        <v>URBANO</v>
      </c>
      <c r="C41" cm="1">
        <f t="array" ref="C41">IF(A41="","",INDEX(tbEtapas[Nº],MOD(ROW(A40)-1,TotalEtapas)+1))</f>
        <v>4</v>
      </c>
      <c r="D41" t="str">
        <f>IFERROR(VLOOKUP(tbEscolas[[#This Row],[COD ETPA]],tbEtapas[],2,FALSE),"")</f>
        <v>PRE II</v>
      </c>
      <c r="E41" t="str">
        <f>IFERROR(VLOOKUP(tbEscolas[[#This Row],[COD ETPA]],tbEtapas[],3,FALSE),"")</f>
        <v>EDUCAÇÃO INFANTIL</v>
      </c>
      <c r="F41" t="s">
        <v>126</v>
      </c>
    </row>
    <row r="42" spans="1:6" x14ac:dyDescent="0.25">
      <c r="A42" t="str" cm="1">
        <f t="array" ref="A42">IFERROR(INDEX(tbNucleo[ESCOLA],ROUNDUP(ROW(A41)/TotalEtapas,0)),"")</f>
        <v>EM PROFª ISABEL CAMPOS</v>
      </c>
      <c r="B42" t="str">
        <f>IFERROR(VLOOKUP(A42,tbNucleo[],2,FALSE),"")</f>
        <v>URBANO</v>
      </c>
      <c r="C42" cm="1">
        <f t="array" ref="C42">IF(A42="","",INDEX(tbEtapas[Nº],MOD(ROW(A41)-1,TotalEtapas)+1))</f>
        <v>5</v>
      </c>
      <c r="D42" t="str">
        <f>IFERROR(VLOOKUP(tbEscolas[[#This Row],[COD ETPA]],tbEtapas[],2,FALSE),"")</f>
        <v>1º ANO</v>
      </c>
      <c r="E42" t="str">
        <f>IFERROR(VLOOKUP(tbEscolas[[#This Row],[COD ETPA]],tbEtapas[],3,FALSE),"")</f>
        <v>FUNDAMENTAL</v>
      </c>
      <c r="F42" t="s">
        <v>126</v>
      </c>
    </row>
    <row r="43" spans="1:6" x14ac:dyDescent="0.25">
      <c r="A43" t="str" cm="1">
        <f t="array" ref="A43">IFERROR(INDEX(tbNucleo[ESCOLA],ROUNDUP(ROW(A42)/TotalEtapas,0)),"")</f>
        <v>EM PROFª ISABEL CAMPOS</v>
      </c>
      <c r="B43" t="str">
        <f>IFERROR(VLOOKUP(A43,tbNucleo[],2,FALSE),"")</f>
        <v>URBANO</v>
      </c>
      <c r="C43" cm="1">
        <f t="array" ref="C43">IF(A43="","",INDEX(tbEtapas[Nº],MOD(ROW(A42)-1,TotalEtapas)+1))</f>
        <v>6</v>
      </c>
      <c r="D43" t="str">
        <f>IFERROR(VLOOKUP(tbEscolas[[#This Row],[COD ETPA]],tbEtapas[],2,FALSE),"")</f>
        <v>2º ANO</v>
      </c>
      <c r="E43" t="str">
        <f>IFERROR(VLOOKUP(tbEscolas[[#This Row],[COD ETPA]],tbEtapas[],3,FALSE),"")</f>
        <v>FUNDAMENTAL</v>
      </c>
      <c r="F43" t="s">
        <v>126</v>
      </c>
    </row>
    <row r="44" spans="1:6" x14ac:dyDescent="0.25">
      <c r="A44" t="str" cm="1">
        <f t="array" ref="A44">IFERROR(INDEX(tbNucleo[ESCOLA],ROUNDUP(ROW(A43)/TotalEtapas,0)),"")</f>
        <v>EM PROFª ISABEL CAMPOS</v>
      </c>
      <c r="B44" t="str">
        <f>IFERROR(VLOOKUP(A44,tbNucleo[],2,FALSE),"")</f>
        <v>URBANO</v>
      </c>
      <c r="C44" cm="1">
        <f t="array" ref="C44">IF(A44="","",INDEX(tbEtapas[Nº],MOD(ROW(A43)-1,TotalEtapas)+1))</f>
        <v>7</v>
      </c>
      <c r="D44" t="str">
        <f>IFERROR(VLOOKUP(tbEscolas[[#This Row],[COD ETPA]],tbEtapas[],2,FALSE),"")</f>
        <v>3º ANO</v>
      </c>
      <c r="E44" t="str">
        <f>IFERROR(VLOOKUP(tbEscolas[[#This Row],[COD ETPA]],tbEtapas[],3,FALSE),"")</f>
        <v>FUNDAMENTAL</v>
      </c>
      <c r="F44" t="s">
        <v>126</v>
      </c>
    </row>
    <row r="45" spans="1:6" x14ac:dyDescent="0.25">
      <c r="A45" t="str" cm="1">
        <f t="array" ref="A45">IFERROR(INDEX(tbNucleo[ESCOLA],ROUNDUP(ROW(A44)/TotalEtapas,0)),"")</f>
        <v>EM PROFª ISABEL CAMPOS</v>
      </c>
      <c r="B45" t="str">
        <f>IFERROR(VLOOKUP(A45,tbNucleo[],2,FALSE),"")</f>
        <v>URBANO</v>
      </c>
      <c r="C45" cm="1">
        <f t="array" ref="C45">IF(A45="","",INDEX(tbEtapas[Nº],MOD(ROW(A44)-1,TotalEtapas)+1))</f>
        <v>8</v>
      </c>
      <c r="D45" t="str">
        <f>IFERROR(VLOOKUP(tbEscolas[[#This Row],[COD ETPA]],tbEtapas[],2,FALSE),"")</f>
        <v>4º ANO</v>
      </c>
      <c r="E45" t="str">
        <f>IFERROR(VLOOKUP(tbEscolas[[#This Row],[COD ETPA]],tbEtapas[],3,FALSE),"")</f>
        <v>FUNDAMENTAL</v>
      </c>
      <c r="F45" t="s">
        <v>126</v>
      </c>
    </row>
    <row r="46" spans="1:6" x14ac:dyDescent="0.25">
      <c r="A46" t="str" cm="1">
        <f t="array" ref="A46">IFERROR(INDEX(tbNucleo[ESCOLA],ROUNDUP(ROW(A45)/TotalEtapas,0)),"")</f>
        <v>EM PROFª ISABEL CAMPOS</v>
      </c>
      <c r="B46" t="str">
        <f>IFERROR(VLOOKUP(A46,tbNucleo[],2,FALSE),"")</f>
        <v>URBANO</v>
      </c>
      <c r="C46" cm="1">
        <f t="array" ref="C46">IF(A46="","",INDEX(tbEtapas[Nº],MOD(ROW(A45)-1,TotalEtapas)+1))</f>
        <v>9</v>
      </c>
      <c r="D46" t="str">
        <f>IFERROR(VLOOKUP(tbEscolas[[#This Row],[COD ETPA]],tbEtapas[],2,FALSE),"")</f>
        <v>5º ANO</v>
      </c>
      <c r="E46" t="str">
        <f>IFERROR(VLOOKUP(tbEscolas[[#This Row],[COD ETPA]],tbEtapas[],3,FALSE),"")</f>
        <v>FUNDAMENTAL</v>
      </c>
      <c r="F46" t="s">
        <v>126</v>
      </c>
    </row>
    <row r="47" spans="1:6" x14ac:dyDescent="0.25">
      <c r="A47" t="str" cm="1">
        <f t="array" ref="A47">IFERROR(INDEX(tbNucleo[ESCOLA],ROUNDUP(ROW(A46)/TotalEtapas,0)),"")</f>
        <v>EM PROFª ISABEL CAMPOS</v>
      </c>
      <c r="B47" t="str">
        <f>IFERROR(VLOOKUP(A47,tbNucleo[],2,FALSE),"")</f>
        <v>URBANO</v>
      </c>
      <c r="C47" cm="1">
        <f t="array" ref="C47">IF(A47="","",INDEX(tbEtapas[Nº],MOD(ROW(A46)-1,TotalEtapas)+1))</f>
        <v>10</v>
      </c>
      <c r="D47" t="str">
        <f>IFERROR(VLOOKUP(tbEscolas[[#This Row],[COD ETPA]],tbEtapas[],2,FALSE),"")</f>
        <v>6º ANO</v>
      </c>
      <c r="E47" t="str">
        <f>IFERROR(VLOOKUP(tbEscolas[[#This Row],[COD ETPA]],tbEtapas[],3,FALSE),"")</f>
        <v>FUNDAMENTAL</v>
      </c>
      <c r="F47" t="s">
        <v>125</v>
      </c>
    </row>
    <row r="48" spans="1:6" x14ac:dyDescent="0.25">
      <c r="A48" t="str" cm="1">
        <f t="array" ref="A48">IFERROR(INDEX(tbNucleo[ESCOLA],ROUNDUP(ROW(A47)/TotalEtapas,0)),"")</f>
        <v>EM PROFª ISABEL CAMPOS</v>
      </c>
      <c r="B48" t="str">
        <f>IFERROR(VLOOKUP(A48,tbNucleo[],2,FALSE),"")</f>
        <v>URBANO</v>
      </c>
      <c r="C48" cm="1">
        <f t="array" ref="C48">IF(A48="","",INDEX(tbEtapas[Nº],MOD(ROW(A47)-1,TotalEtapas)+1))</f>
        <v>11</v>
      </c>
      <c r="D48" t="str">
        <f>IFERROR(VLOOKUP(tbEscolas[[#This Row],[COD ETPA]],tbEtapas[],2,FALSE),"")</f>
        <v>7º ANO</v>
      </c>
      <c r="E48" t="str">
        <f>IFERROR(VLOOKUP(tbEscolas[[#This Row],[COD ETPA]],tbEtapas[],3,FALSE),"")</f>
        <v>FUNDAMENTAL</v>
      </c>
      <c r="F48" t="s">
        <v>125</v>
      </c>
    </row>
    <row r="49" spans="1:6" x14ac:dyDescent="0.25">
      <c r="A49" t="str" cm="1">
        <f t="array" ref="A49">IFERROR(INDEX(tbNucleo[ESCOLA],ROUNDUP(ROW(A48)/TotalEtapas,0)),"")</f>
        <v>EM PROFª ISABEL CAMPOS</v>
      </c>
      <c r="B49" t="str">
        <f>IFERROR(VLOOKUP(A49,tbNucleo[],2,FALSE),"")</f>
        <v>URBANO</v>
      </c>
      <c r="C49" cm="1">
        <f t="array" ref="C49">IF(A49="","",INDEX(tbEtapas[Nº],MOD(ROW(A48)-1,TotalEtapas)+1))</f>
        <v>12</v>
      </c>
      <c r="D49" t="str">
        <f>IFERROR(VLOOKUP(tbEscolas[[#This Row],[COD ETPA]],tbEtapas[],2,FALSE),"")</f>
        <v>8º ANO</v>
      </c>
      <c r="E49" t="str">
        <f>IFERROR(VLOOKUP(tbEscolas[[#This Row],[COD ETPA]],tbEtapas[],3,FALSE),"")</f>
        <v>FUNDAMENTAL</v>
      </c>
      <c r="F49" t="s">
        <v>125</v>
      </c>
    </row>
    <row r="50" spans="1:6" x14ac:dyDescent="0.25">
      <c r="A50" t="str" cm="1">
        <f t="array" ref="A50">IFERROR(INDEX(tbNucleo[ESCOLA],ROUNDUP(ROW(A49)/TotalEtapas,0)),"")</f>
        <v>EM PROFª ISABEL CAMPOS</v>
      </c>
      <c r="B50" t="str">
        <f>IFERROR(VLOOKUP(A50,tbNucleo[],2,FALSE),"")</f>
        <v>URBANO</v>
      </c>
      <c r="C50" cm="1">
        <f t="array" ref="C50">IF(A50="","",INDEX(tbEtapas[Nº],MOD(ROW(A49)-1,TotalEtapas)+1))</f>
        <v>13</v>
      </c>
      <c r="D50" t="str">
        <f>IFERROR(VLOOKUP(tbEscolas[[#This Row],[COD ETPA]],tbEtapas[],2,FALSE),"")</f>
        <v>9º ANO</v>
      </c>
      <c r="E50" t="str">
        <f>IFERROR(VLOOKUP(tbEscolas[[#This Row],[COD ETPA]],tbEtapas[],3,FALSE),"")</f>
        <v>FUNDAMENTAL</v>
      </c>
      <c r="F50" t="s">
        <v>125</v>
      </c>
    </row>
    <row r="51" spans="1:6" x14ac:dyDescent="0.25">
      <c r="A51" t="str" cm="1">
        <f t="array" ref="A51">IFERROR(INDEX(tbNucleo[ESCOLA],ROUNDUP(ROW(A50)/TotalEtapas,0)),"")</f>
        <v>EM PROFª ISABEL CAMPOS</v>
      </c>
      <c r="B51" t="str">
        <f>IFERROR(VLOOKUP(A51,tbNucleo[],2,FALSE),"")</f>
        <v>URBANO</v>
      </c>
      <c r="C51" cm="1">
        <f t="array" ref="C51">IF(A51="","",INDEX(tbEtapas[Nº],MOD(ROW(A50)-1,TotalEtapas)+1))</f>
        <v>14</v>
      </c>
      <c r="D51" t="str">
        <f>IFERROR(VLOOKUP(tbEscolas[[#This Row],[COD ETPA]],tbEtapas[],2,FALSE),"")</f>
        <v>1º ANO</v>
      </c>
      <c r="E51" t="str">
        <f>IFERROR(VLOOKUP(tbEscolas[[#This Row],[COD ETPA]],tbEtapas[],3,FALSE),"")</f>
        <v>ENSINO MÉDIO</v>
      </c>
      <c r="F51" t="s">
        <v>125</v>
      </c>
    </row>
    <row r="52" spans="1:6" x14ac:dyDescent="0.25">
      <c r="A52" t="str" cm="1">
        <f t="array" ref="A52">IFERROR(INDEX(tbNucleo[ESCOLA],ROUNDUP(ROW(A51)/TotalEtapas,0)),"")</f>
        <v>EM PROFª ISABEL CAMPOS</v>
      </c>
      <c r="B52" t="str">
        <f>IFERROR(VLOOKUP(A52,tbNucleo[],2,FALSE),"")</f>
        <v>URBANO</v>
      </c>
      <c r="C52" cm="1">
        <f t="array" ref="C52">IF(A52="","",INDEX(tbEtapas[Nº],MOD(ROW(A51)-1,TotalEtapas)+1))</f>
        <v>15</v>
      </c>
      <c r="D52" t="str">
        <f>IFERROR(VLOOKUP(tbEscolas[[#This Row],[COD ETPA]],tbEtapas[],2,FALSE),"")</f>
        <v>2º ANO</v>
      </c>
      <c r="E52" t="str">
        <f>IFERROR(VLOOKUP(tbEscolas[[#This Row],[COD ETPA]],tbEtapas[],3,FALSE),"")</f>
        <v>ENSINO MÉDIO</v>
      </c>
      <c r="F52" t="s">
        <v>125</v>
      </c>
    </row>
    <row r="53" spans="1:6" x14ac:dyDescent="0.25">
      <c r="A53" t="str" cm="1">
        <f t="array" ref="A53">IFERROR(INDEX(tbNucleo[ESCOLA],ROUNDUP(ROW(A52)/TotalEtapas,0)),"")</f>
        <v>EM PROFª ISABEL CAMPOS</v>
      </c>
      <c r="B53" t="str">
        <f>IFERROR(VLOOKUP(A53,tbNucleo[],2,FALSE),"")</f>
        <v>URBANO</v>
      </c>
      <c r="C53" cm="1">
        <f t="array" ref="C53">IF(A53="","",INDEX(tbEtapas[Nº],MOD(ROW(A52)-1,TotalEtapas)+1))</f>
        <v>16</v>
      </c>
      <c r="D53" t="str">
        <f>IFERROR(VLOOKUP(tbEscolas[[#This Row],[COD ETPA]],tbEtapas[],2,FALSE),"")</f>
        <v>3º ANO</v>
      </c>
      <c r="E53" t="str">
        <f>IFERROR(VLOOKUP(tbEscolas[[#This Row],[COD ETPA]],tbEtapas[],3,FALSE),"")</f>
        <v>ENSINO MÉDIO</v>
      </c>
      <c r="F53" t="s">
        <v>125</v>
      </c>
    </row>
    <row r="54" spans="1:6" x14ac:dyDescent="0.25">
      <c r="A54" t="str" cm="1">
        <f t="array" ref="A54">IFERROR(INDEX(tbNucleo[ESCOLA],ROUNDUP(ROW(A53)/TotalEtapas,0)),"")</f>
        <v>EM PROFª ISABEL CAMPOS</v>
      </c>
      <c r="B54" t="str">
        <f>IFERROR(VLOOKUP(A54,tbNucleo[],2,FALSE),"")</f>
        <v>URBANO</v>
      </c>
      <c r="C54" cm="1">
        <f t="array" ref="C54">IF(A54="","",INDEX(tbEtapas[Nº],MOD(ROW(A53)-1,TotalEtapas)+1))</f>
        <v>17</v>
      </c>
      <c r="D54" t="str">
        <f>IFERROR(VLOOKUP(tbEscolas[[#This Row],[COD ETPA]],tbEtapas[],2,FALSE),"")</f>
        <v>EJA I</v>
      </c>
      <c r="E54" t="str">
        <f>IFERROR(VLOOKUP(tbEscolas[[#This Row],[COD ETPA]],tbEtapas[],3,FALSE),"")</f>
        <v>FUNDAMENTAL</v>
      </c>
      <c r="F54" t="s">
        <v>125</v>
      </c>
    </row>
    <row r="55" spans="1:6" x14ac:dyDescent="0.25">
      <c r="A55" t="str" cm="1">
        <f t="array" ref="A55">IFERROR(INDEX(tbNucleo[ESCOLA],ROUNDUP(ROW(A54)/TotalEtapas,0)),"")</f>
        <v>EM PROFª ISABEL CAMPOS</v>
      </c>
      <c r="B55" t="str">
        <f>IFERROR(VLOOKUP(A55,tbNucleo[],2,FALSE),"")</f>
        <v>URBANO</v>
      </c>
      <c r="C55" cm="1">
        <f t="array" ref="C55">IF(A55="","",INDEX(tbEtapas[Nº],MOD(ROW(A54)-1,TotalEtapas)+1))</f>
        <v>18</v>
      </c>
      <c r="D55" t="str">
        <f>IFERROR(VLOOKUP(tbEscolas[[#This Row],[COD ETPA]],tbEtapas[],2,FALSE),"")</f>
        <v>EJA II</v>
      </c>
      <c r="E55" t="str">
        <f>IFERROR(VLOOKUP(tbEscolas[[#This Row],[COD ETPA]],tbEtapas[],3,FALSE),"")</f>
        <v>ENSINO MÉDIO</v>
      </c>
      <c r="F55" t="s">
        <v>125</v>
      </c>
    </row>
    <row r="56" spans="1:6" x14ac:dyDescent="0.25">
      <c r="A56" t="str" cm="1">
        <f t="array" ref="A56">IFERROR(INDEX(tbNucleo[ESCOLA],ROUNDUP(ROW(A55)/TotalEtapas,0)),"")</f>
        <v>E.E SÃO LUIZ</v>
      </c>
      <c r="B56" t="str">
        <f>IFERROR(VLOOKUP(A56,tbNucleo[],2,FALSE),"")</f>
        <v>URBANO</v>
      </c>
      <c r="C56" cm="1">
        <f t="array" ref="C56">IF(A56="","",INDEX(tbEtapas[Nº],MOD(ROW(A55)-1,TotalEtapas)+1))</f>
        <v>1</v>
      </c>
      <c r="D56" t="str">
        <f>IFERROR(VLOOKUP(tbEscolas[[#This Row],[COD ETPA]],tbEtapas[],2,FALSE),"")</f>
        <v>CRECHE I</v>
      </c>
      <c r="E56" t="str">
        <f>IFERROR(VLOOKUP(tbEscolas[[#This Row],[COD ETPA]],tbEtapas[],3,FALSE),"")</f>
        <v>EDUCAÇÃO INFANTIL</v>
      </c>
      <c r="F56" t="s">
        <v>125</v>
      </c>
    </row>
    <row r="57" spans="1:6" x14ac:dyDescent="0.25">
      <c r="A57" t="str" cm="1">
        <f t="array" ref="A57">IFERROR(INDEX(tbNucleo[ESCOLA],ROUNDUP(ROW(A56)/TotalEtapas,0)),"")</f>
        <v>E.E SÃO LUIZ</v>
      </c>
      <c r="B57" t="str">
        <f>IFERROR(VLOOKUP(A57,tbNucleo[],2,FALSE),"")</f>
        <v>URBANO</v>
      </c>
      <c r="C57" cm="1">
        <f t="array" ref="C57">IF(A57="","",INDEX(tbEtapas[Nº],MOD(ROW(A56)-1,TotalEtapas)+1))</f>
        <v>2</v>
      </c>
      <c r="D57" t="str">
        <f>IFERROR(VLOOKUP(tbEscolas[[#This Row],[COD ETPA]],tbEtapas[],2,FALSE),"")</f>
        <v>CRECHE II</v>
      </c>
      <c r="E57" t="str">
        <f>IFERROR(VLOOKUP(tbEscolas[[#This Row],[COD ETPA]],tbEtapas[],3,FALSE),"")</f>
        <v>EDUCAÇÃO INFANTIL</v>
      </c>
      <c r="F57" t="s">
        <v>125</v>
      </c>
    </row>
    <row r="58" spans="1:6" x14ac:dyDescent="0.25">
      <c r="A58" t="str" cm="1">
        <f t="array" ref="A58">IFERROR(INDEX(tbNucleo[ESCOLA],ROUNDUP(ROW(A57)/TotalEtapas,0)),"")</f>
        <v>E.E SÃO LUIZ</v>
      </c>
      <c r="B58" t="str">
        <f>IFERROR(VLOOKUP(A58,tbNucleo[],2,FALSE),"")</f>
        <v>URBANO</v>
      </c>
      <c r="C58" cm="1">
        <f t="array" ref="C58">IF(A58="","",INDEX(tbEtapas[Nº],MOD(ROW(A57)-1,TotalEtapas)+1))</f>
        <v>3</v>
      </c>
      <c r="D58" t="str">
        <f>IFERROR(VLOOKUP(tbEscolas[[#This Row],[COD ETPA]],tbEtapas[],2,FALSE),"")</f>
        <v>PRE I</v>
      </c>
      <c r="E58" t="str">
        <f>IFERROR(VLOOKUP(tbEscolas[[#This Row],[COD ETPA]],tbEtapas[],3,FALSE),"")</f>
        <v>EDUCAÇÃO INFANTIL</v>
      </c>
      <c r="F58" t="s">
        <v>125</v>
      </c>
    </row>
    <row r="59" spans="1:6" x14ac:dyDescent="0.25">
      <c r="A59" t="str" cm="1">
        <f t="array" ref="A59">IFERROR(INDEX(tbNucleo[ESCOLA],ROUNDUP(ROW(A58)/TotalEtapas,0)),"")</f>
        <v>E.E SÃO LUIZ</v>
      </c>
      <c r="B59" t="str">
        <f>IFERROR(VLOOKUP(A59,tbNucleo[],2,FALSE),"")</f>
        <v>URBANO</v>
      </c>
      <c r="C59" cm="1">
        <f t="array" ref="C59">IF(A59="","",INDEX(tbEtapas[Nº],MOD(ROW(A58)-1,TotalEtapas)+1))</f>
        <v>4</v>
      </c>
      <c r="D59" t="str">
        <f>IFERROR(VLOOKUP(tbEscolas[[#This Row],[COD ETPA]],tbEtapas[],2,FALSE),"")</f>
        <v>PRE II</v>
      </c>
      <c r="E59" t="str">
        <f>IFERROR(VLOOKUP(tbEscolas[[#This Row],[COD ETPA]],tbEtapas[],3,FALSE),"")</f>
        <v>EDUCAÇÃO INFANTIL</v>
      </c>
      <c r="F59" t="s">
        <v>125</v>
      </c>
    </row>
    <row r="60" spans="1:6" x14ac:dyDescent="0.25">
      <c r="A60" t="str" cm="1">
        <f t="array" ref="A60">IFERROR(INDEX(tbNucleo[ESCOLA],ROUNDUP(ROW(A59)/TotalEtapas,0)),"")</f>
        <v>E.E SÃO LUIZ</v>
      </c>
      <c r="B60" t="str">
        <f>IFERROR(VLOOKUP(A60,tbNucleo[],2,FALSE),"")</f>
        <v>URBANO</v>
      </c>
      <c r="C60" cm="1">
        <f t="array" ref="C60">IF(A60="","",INDEX(tbEtapas[Nº],MOD(ROW(A59)-1,TotalEtapas)+1))</f>
        <v>5</v>
      </c>
      <c r="D60" t="str">
        <f>IFERROR(VLOOKUP(tbEscolas[[#This Row],[COD ETPA]],tbEtapas[],2,FALSE),"")</f>
        <v>1º ANO</v>
      </c>
      <c r="E60" t="str">
        <f>IFERROR(VLOOKUP(tbEscolas[[#This Row],[COD ETPA]],tbEtapas[],3,FALSE),"")</f>
        <v>FUNDAMENTAL</v>
      </c>
      <c r="F60" t="s">
        <v>125</v>
      </c>
    </row>
    <row r="61" spans="1:6" x14ac:dyDescent="0.25">
      <c r="A61" t="str" cm="1">
        <f t="array" ref="A61">IFERROR(INDEX(tbNucleo[ESCOLA],ROUNDUP(ROW(A60)/TotalEtapas,0)),"")</f>
        <v>E.E SÃO LUIZ</v>
      </c>
      <c r="B61" t="str">
        <f>IFERROR(VLOOKUP(A61,tbNucleo[],2,FALSE),"")</f>
        <v>URBANO</v>
      </c>
      <c r="C61" cm="1">
        <f t="array" ref="C61">IF(A61="","",INDEX(tbEtapas[Nº],MOD(ROW(A60)-1,TotalEtapas)+1))</f>
        <v>6</v>
      </c>
      <c r="D61" t="str">
        <f>IFERROR(VLOOKUP(tbEscolas[[#This Row],[COD ETPA]],tbEtapas[],2,FALSE),"")</f>
        <v>2º ANO</v>
      </c>
      <c r="E61" t="str">
        <f>IFERROR(VLOOKUP(tbEscolas[[#This Row],[COD ETPA]],tbEtapas[],3,FALSE),"")</f>
        <v>FUNDAMENTAL</v>
      </c>
      <c r="F61" t="s">
        <v>125</v>
      </c>
    </row>
    <row r="62" spans="1:6" x14ac:dyDescent="0.25">
      <c r="A62" t="str" cm="1">
        <f t="array" ref="A62">IFERROR(INDEX(tbNucleo[ESCOLA],ROUNDUP(ROW(A61)/TotalEtapas,0)),"")</f>
        <v>E.E SÃO LUIZ</v>
      </c>
      <c r="B62" t="str">
        <f>IFERROR(VLOOKUP(A62,tbNucleo[],2,FALSE),"")</f>
        <v>URBANO</v>
      </c>
      <c r="C62" cm="1">
        <f t="array" ref="C62">IF(A62="","",INDEX(tbEtapas[Nº],MOD(ROW(A61)-1,TotalEtapas)+1))</f>
        <v>7</v>
      </c>
      <c r="D62" t="str">
        <f>IFERROR(VLOOKUP(tbEscolas[[#This Row],[COD ETPA]],tbEtapas[],2,FALSE),"")</f>
        <v>3º ANO</v>
      </c>
      <c r="E62" t="str">
        <f>IFERROR(VLOOKUP(tbEscolas[[#This Row],[COD ETPA]],tbEtapas[],3,FALSE),"")</f>
        <v>FUNDAMENTAL</v>
      </c>
      <c r="F62" t="s">
        <v>125</v>
      </c>
    </row>
    <row r="63" spans="1:6" x14ac:dyDescent="0.25">
      <c r="A63" t="str" cm="1">
        <f t="array" ref="A63">IFERROR(INDEX(tbNucleo[ESCOLA],ROUNDUP(ROW(A62)/TotalEtapas,0)),"")</f>
        <v>E.E SÃO LUIZ</v>
      </c>
      <c r="B63" t="str">
        <f>IFERROR(VLOOKUP(A63,tbNucleo[],2,FALSE),"")</f>
        <v>URBANO</v>
      </c>
      <c r="C63" cm="1">
        <f t="array" ref="C63">IF(A63="","",INDEX(tbEtapas[Nº],MOD(ROW(A62)-1,TotalEtapas)+1))</f>
        <v>8</v>
      </c>
      <c r="D63" t="str">
        <f>IFERROR(VLOOKUP(tbEscolas[[#This Row],[COD ETPA]],tbEtapas[],2,FALSE),"")</f>
        <v>4º ANO</v>
      </c>
      <c r="E63" t="str">
        <f>IFERROR(VLOOKUP(tbEscolas[[#This Row],[COD ETPA]],tbEtapas[],3,FALSE),"")</f>
        <v>FUNDAMENTAL</v>
      </c>
      <c r="F63" t="s">
        <v>125</v>
      </c>
    </row>
    <row r="64" spans="1:6" x14ac:dyDescent="0.25">
      <c r="A64" t="str" cm="1">
        <f t="array" ref="A64">IFERROR(INDEX(tbNucleo[ESCOLA],ROUNDUP(ROW(A63)/TotalEtapas,0)),"")</f>
        <v>E.E SÃO LUIZ</v>
      </c>
      <c r="B64" t="str">
        <f>IFERROR(VLOOKUP(A64,tbNucleo[],2,FALSE),"")</f>
        <v>URBANO</v>
      </c>
      <c r="C64" cm="1">
        <f t="array" ref="C64">IF(A64="","",INDEX(tbEtapas[Nº],MOD(ROW(A63)-1,TotalEtapas)+1))</f>
        <v>9</v>
      </c>
      <c r="D64" t="str">
        <f>IFERROR(VLOOKUP(tbEscolas[[#This Row],[COD ETPA]],tbEtapas[],2,FALSE),"")</f>
        <v>5º ANO</v>
      </c>
      <c r="E64" t="str">
        <f>IFERROR(VLOOKUP(tbEscolas[[#This Row],[COD ETPA]],tbEtapas[],3,FALSE),"")</f>
        <v>FUNDAMENTAL</v>
      </c>
      <c r="F64" t="s">
        <v>125</v>
      </c>
    </row>
    <row r="65" spans="1:6" x14ac:dyDescent="0.25">
      <c r="A65" t="str" cm="1">
        <f t="array" ref="A65">IFERROR(INDEX(tbNucleo[ESCOLA],ROUNDUP(ROW(A64)/TotalEtapas,0)),"")</f>
        <v>E.E SÃO LUIZ</v>
      </c>
      <c r="B65" t="str">
        <f>IFERROR(VLOOKUP(A65,tbNucleo[],2,FALSE),"")</f>
        <v>URBANO</v>
      </c>
      <c r="C65" cm="1">
        <f t="array" ref="C65">IF(A65="","",INDEX(tbEtapas[Nº],MOD(ROW(A64)-1,TotalEtapas)+1))</f>
        <v>10</v>
      </c>
      <c r="D65" t="str">
        <f>IFERROR(VLOOKUP(tbEscolas[[#This Row],[COD ETPA]],tbEtapas[],2,FALSE),"")</f>
        <v>6º ANO</v>
      </c>
      <c r="E65" t="str">
        <f>IFERROR(VLOOKUP(tbEscolas[[#This Row],[COD ETPA]],tbEtapas[],3,FALSE),"")</f>
        <v>FUNDAMENTAL</v>
      </c>
      <c r="F65" t="s">
        <v>126</v>
      </c>
    </row>
    <row r="66" spans="1:6" x14ac:dyDescent="0.25">
      <c r="A66" t="str" cm="1">
        <f t="array" ref="A66">IFERROR(INDEX(tbNucleo[ESCOLA],ROUNDUP(ROW(A65)/TotalEtapas,0)),"")</f>
        <v>E.E SÃO LUIZ</v>
      </c>
      <c r="B66" t="str">
        <f>IFERROR(VLOOKUP(A66,tbNucleo[],2,FALSE),"")</f>
        <v>URBANO</v>
      </c>
      <c r="C66" cm="1">
        <f t="array" ref="C66">IF(A66="","",INDEX(tbEtapas[Nº],MOD(ROW(A65)-1,TotalEtapas)+1))</f>
        <v>11</v>
      </c>
      <c r="D66" t="str">
        <f>IFERROR(VLOOKUP(tbEscolas[[#This Row],[COD ETPA]],tbEtapas[],2,FALSE),"")</f>
        <v>7º ANO</v>
      </c>
      <c r="E66" t="str">
        <f>IFERROR(VLOOKUP(tbEscolas[[#This Row],[COD ETPA]],tbEtapas[],3,FALSE),"")</f>
        <v>FUNDAMENTAL</v>
      </c>
      <c r="F66" t="s">
        <v>126</v>
      </c>
    </row>
    <row r="67" spans="1:6" x14ac:dyDescent="0.25">
      <c r="A67" t="str" cm="1">
        <f t="array" ref="A67">IFERROR(INDEX(tbNucleo[ESCOLA],ROUNDUP(ROW(A66)/TotalEtapas,0)),"")</f>
        <v>E.E SÃO LUIZ</v>
      </c>
      <c r="B67" t="str">
        <f>IFERROR(VLOOKUP(A67,tbNucleo[],2,FALSE),"")</f>
        <v>URBANO</v>
      </c>
      <c r="C67" cm="1">
        <f t="array" ref="C67">IF(A67="","",INDEX(tbEtapas[Nº],MOD(ROW(A66)-1,TotalEtapas)+1))</f>
        <v>12</v>
      </c>
      <c r="D67" t="str">
        <f>IFERROR(VLOOKUP(tbEscolas[[#This Row],[COD ETPA]],tbEtapas[],2,FALSE),"")</f>
        <v>8º ANO</v>
      </c>
      <c r="E67" t="str">
        <f>IFERROR(VLOOKUP(tbEscolas[[#This Row],[COD ETPA]],tbEtapas[],3,FALSE),"")</f>
        <v>FUNDAMENTAL</v>
      </c>
      <c r="F67" t="s">
        <v>126</v>
      </c>
    </row>
    <row r="68" spans="1:6" x14ac:dyDescent="0.25">
      <c r="A68" t="str" cm="1">
        <f t="array" ref="A68">IFERROR(INDEX(tbNucleo[ESCOLA],ROUNDUP(ROW(A67)/TotalEtapas,0)),"")</f>
        <v>E.E SÃO LUIZ</v>
      </c>
      <c r="B68" t="str">
        <f>IFERROR(VLOOKUP(A68,tbNucleo[],2,FALSE),"")</f>
        <v>URBANO</v>
      </c>
      <c r="C68" cm="1">
        <f t="array" ref="C68">IF(A68="","",INDEX(tbEtapas[Nº],MOD(ROW(A67)-1,TotalEtapas)+1))</f>
        <v>13</v>
      </c>
      <c r="D68" t="str">
        <f>IFERROR(VLOOKUP(tbEscolas[[#This Row],[COD ETPA]],tbEtapas[],2,FALSE),"")</f>
        <v>9º ANO</v>
      </c>
      <c r="E68" t="str">
        <f>IFERROR(VLOOKUP(tbEscolas[[#This Row],[COD ETPA]],tbEtapas[],3,FALSE),"")</f>
        <v>FUNDAMENTAL</v>
      </c>
      <c r="F68" t="s">
        <v>126</v>
      </c>
    </row>
    <row r="69" spans="1:6" x14ac:dyDescent="0.25">
      <c r="A69" t="str" cm="1">
        <f t="array" ref="A69">IFERROR(INDEX(tbNucleo[ESCOLA],ROUNDUP(ROW(A68)/TotalEtapas,0)),"")</f>
        <v>E.E SÃO LUIZ</v>
      </c>
      <c r="B69" t="str">
        <f>IFERROR(VLOOKUP(A69,tbNucleo[],2,FALSE),"")</f>
        <v>URBANO</v>
      </c>
      <c r="C69" cm="1">
        <f t="array" ref="C69">IF(A69="","",INDEX(tbEtapas[Nº],MOD(ROW(A68)-1,TotalEtapas)+1))</f>
        <v>14</v>
      </c>
      <c r="D69" t="str">
        <f>IFERROR(VLOOKUP(tbEscolas[[#This Row],[COD ETPA]],tbEtapas[],2,FALSE),"")</f>
        <v>1º ANO</v>
      </c>
      <c r="E69" t="str">
        <f>IFERROR(VLOOKUP(tbEscolas[[#This Row],[COD ETPA]],tbEtapas[],3,FALSE),"")</f>
        <v>ENSINO MÉDIO</v>
      </c>
      <c r="F69" t="s">
        <v>126</v>
      </c>
    </row>
    <row r="70" spans="1:6" x14ac:dyDescent="0.25">
      <c r="A70" t="str" cm="1">
        <f t="array" ref="A70">IFERROR(INDEX(tbNucleo[ESCOLA],ROUNDUP(ROW(A69)/TotalEtapas,0)),"")</f>
        <v>E.E SÃO LUIZ</v>
      </c>
      <c r="B70" t="str">
        <f>IFERROR(VLOOKUP(A70,tbNucleo[],2,FALSE),"")</f>
        <v>URBANO</v>
      </c>
      <c r="C70" cm="1">
        <f t="array" ref="C70">IF(A70="","",INDEX(tbEtapas[Nº],MOD(ROW(A69)-1,TotalEtapas)+1))</f>
        <v>15</v>
      </c>
      <c r="D70" t="str">
        <f>IFERROR(VLOOKUP(tbEscolas[[#This Row],[COD ETPA]],tbEtapas[],2,FALSE),"")</f>
        <v>2º ANO</v>
      </c>
      <c r="E70" t="str">
        <f>IFERROR(VLOOKUP(tbEscolas[[#This Row],[COD ETPA]],tbEtapas[],3,FALSE),"")</f>
        <v>ENSINO MÉDIO</v>
      </c>
      <c r="F70" t="s">
        <v>126</v>
      </c>
    </row>
    <row r="71" spans="1:6" x14ac:dyDescent="0.25">
      <c r="A71" t="str" cm="1">
        <f t="array" ref="A71">IFERROR(INDEX(tbNucleo[ESCOLA],ROUNDUP(ROW(A70)/TotalEtapas,0)),"")</f>
        <v>E.E SÃO LUIZ</v>
      </c>
      <c r="B71" t="str">
        <f>IFERROR(VLOOKUP(A71,tbNucleo[],2,FALSE),"")</f>
        <v>URBANO</v>
      </c>
      <c r="C71" cm="1">
        <f t="array" ref="C71">IF(A71="","",INDEX(tbEtapas[Nº],MOD(ROW(A70)-1,TotalEtapas)+1))</f>
        <v>16</v>
      </c>
      <c r="D71" t="str">
        <f>IFERROR(VLOOKUP(tbEscolas[[#This Row],[COD ETPA]],tbEtapas[],2,FALSE),"")</f>
        <v>3º ANO</v>
      </c>
      <c r="E71" t="str">
        <f>IFERROR(VLOOKUP(tbEscolas[[#This Row],[COD ETPA]],tbEtapas[],3,FALSE),"")</f>
        <v>ENSINO MÉDIO</v>
      </c>
      <c r="F71" t="s">
        <v>126</v>
      </c>
    </row>
    <row r="72" spans="1:6" x14ac:dyDescent="0.25">
      <c r="A72" t="str" cm="1">
        <f t="array" ref="A72">IFERROR(INDEX(tbNucleo[ESCOLA],ROUNDUP(ROW(A71)/TotalEtapas,0)),"")</f>
        <v>E.E SÃO LUIZ</v>
      </c>
      <c r="B72" t="str">
        <f>IFERROR(VLOOKUP(A72,tbNucleo[],2,FALSE),"")</f>
        <v>URBANO</v>
      </c>
      <c r="C72" cm="1">
        <f t="array" ref="C72">IF(A72="","",INDEX(tbEtapas[Nº],MOD(ROW(A71)-1,TotalEtapas)+1))</f>
        <v>17</v>
      </c>
      <c r="D72" t="str">
        <f>IFERROR(VLOOKUP(tbEscolas[[#This Row],[COD ETPA]],tbEtapas[],2,FALSE),"")</f>
        <v>EJA I</v>
      </c>
      <c r="E72" t="str">
        <f>IFERROR(VLOOKUP(tbEscolas[[#This Row],[COD ETPA]],tbEtapas[],3,FALSE),"")</f>
        <v>FUNDAMENTAL</v>
      </c>
      <c r="F72" t="s">
        <v>125</v>
      </c>
    </row>
    <row r="73" spans="1:6" x14ac:dyDescent="0.25">
      <c r="A73" t="str" cm="1">
        <f t="array" ref="A73">IFERROR(INDEX(tbNucleo[ESCOLA],ROUNDUP(ROW(A72)/TotalEtapas,0)),"")</f>
        <v>E.E SÃO LUIZ</v>
      </c>
      <c r="B73" t="str">
        <f>IFERROR(VLOOKUP(A73,tbNucleo[],2,FALSE),"")</f>
        <v>URBANO</v>
      </c>
      <c r="C73" cm="1">
        <f t="array" ref="C73">IF(A73="","",INDEX(tbEtapas[Nº],MOD(ROW(A72)-1,TotalEtapas)+1))</f>
        <v>18</v>
      </c>
      <c r="D73" t="str">
        <f>IFERROR(VLOOKUP(tbEscolas[[#This Row],[COD ETPA]],tbEtapas[],2,FALSE),"")</f>
        <v>EJA II</v>
      </c>
      <c r="E73" t="str">
        <f>IFERROR(VLOOKUP(tbEscolas[[#This Row],[COD ETPA]],tbEtapas[],3,FALSE),"")</f>
        <v>ENSINO MÉDIO</v>
      </c>
      <c r="F73" t="s">
        <v>125</v>
      </c>
    </row>
    <row r="74" spans="1:6" x14ac:dyDescent="0.25">
      <c r="A74" t="str" cm="1">
        <f t="array" ref="A74">IFERROR(INDEX(tbNucleo[ESCOLA],ROUNDUP(ROW(A73)/TotalEtapas,0)),"")</f>
        <v>E.E COLEGIO ESTADUAL ONZE DE MARÇO ( CEOM )</v>
      </c>
      <c r="B74" t="str">
        <f>IFERROR(VLOOKUP(A74,tbNucleo[],2,FALSE),"")</f>
        <v>URBANO</v>
      </c>
      <c r="C74" cm="1">
        <f t="array" ref="C74">IF(A74="","",INDEX(tbEtapas[Nº],MOD(ROW(A73)-1,TotalEtapas)+1))</f>
        <v>1</v>
      </c>
      <c r="D74" t="str">
        <f>IFERROR(VLOOKUP(tbEscolas[[#This Row],[COD ETPA]],tbEtapas[],2,FALSE),"")</f>
        <v>CRECHE I</v>
      </c>
      <c r="E74" t="str">
        <f>IFERROR(VLOOKUP(tbEscolas[[#This Row],[COD ETPA]],tbEtapas[],3,FALSE),"")</f>
        <v>EDUCAÇÃO INFANTIL</v>
      </c>
      <c r="F74" t="s">
        <v>125</v>
      </c>
    </row>
    <row r="75" spans="1:6" x14ac:dyDescent="0.25">
      <c r="A75" t="str" cm="1">
        <f t="array" ref="A75">IFERROR(INDEX(tbNucleo[ESCOLA],ROUNDUP(ROW(A74)/TotalEtapas,0)),"")</f>
        <v>E.E COLEGIO ESTADUAL ONZE DE MARÇO ( CEOM )</v>
      </c>
      <c r="B75" t="str">
        <f>IFERROR(VLOOKUP(A75,tbNucleo[],2,FALSE),"")</f>
        <v>URBANO</v>
      </c>
      <c r="C75" cm="1">
        <f t="array" ref="C75">IF(A75="","",INDEX(tbEtapas[Nº],MOD(ROW(A74)-1,TotalEtapas)+1))</f>
        <v>2</v>
      </c>
      <c r="D75" t="str">
        <f>IFERROR(VLOOKUP(tbEscolas[[#This Row],[COD ETPA]],tbEtapas[],2,FALSE),"")</f>
        <v>CRECHE II</v>
      </c>
      <c r="E75" t="str">
        <f>IFERROR(VLOOKUP(tbEscolas[[#This Row],[COD ETPA]],tbEtapas[],3,FALSE),"")</f>
        <v>EDUCAÇÃO INFANTIL</v>
      </c>
      <c r="F75" t="s">
        <v>125</v>
      </c>
    </row>
    <row r="76" spans="1:6" x14ac:dyDescent="0.25">
      <c r="A76" t="str" cm="1">
        <f t="array" ref="A76">IFERROR(INDEX(tbNucleo[ESCOLA],ROUNDUP(ROW(A75)/TotalEtapas,0)),"")</f>
        <v>E.E COLEGIO ESTADUAL ONZE DE MARÇO ( CEOM )</v>
      </c>
      <c r="B76" t="str">
        <f>IFERROR(VLOOKUP(A76,tbNucleo[],2,FALSE),"")</f>
        <v>URBANO</v>
      </c>
      <c r="C76" cm="1">
        <f t="array" ref="C76">IF(A76="","",INDEX(tbEtapas[Nº],MOD(ROW(A75)-1,TotalEtapas)+1))</f>
        <v>3</v>
      </c>
      <c r="D76" t="str">
        <f>IFERROR(VLOOKUP(tbEscolas[[#This Row],[COD ETPA]],tbEtapas[],2,FALSE),"")</f>
        <v>PRE I</v>
      </c>
      <c r="E76" t="str">
        <f>IFERROR(VLOOKUP(tbEscolas[[#This Row],[COD ETPA]],tbEtapas[],3,FALSE),"")</f>
        <v>EDUCAÇÃO INFANTIL</v>
      </c>
      <c r="F76" t="s">
        <v>125</v>
      </c>
    </row>
    <row r="77" spans="1:6" x14ac:dyDescent="0.25">
      <c r="A77" t="str" cm="1">
        <f t="array" ref="A77">IFERROR(INDEX(tbNucleo[ESCOLA],ROUNDUP(ROW(A76)/TotalEtapas,0)),"")</f>
        <v>E.E COLEGIO ESTADUAL ONZE DE MARÇO ( CEOM )</v>
      </c>
      <c r="B77" t="str">
        <f>IFERROR(VLOOKUP(A77,tbNucleo[],2,FALSE),"")</f>
        <v>URBANO</v>
      </c>
      <c r="C77" cm="1">
        <f t="array" ref="C77">IF(A77="","",INDEX(tbEtapas[Nº],MOD(ROW(A76)-1,TotalEtapas)+1))</f>
        <v>4</v>
      </c>
      <c r="D77" t="str">
        <f>IFERROR(VLOOKUP(tbEscolas[[#This Row],[COD ETPA]],tbEtapas[],2,FALSE),"")</f>
        <v>PRE II</v>
      </c>
      <c r="E77" t="str">
        <f>IFERROR(VLOOKUP(tbEscolas[[#This Row],[COD ETPA]],tbEtapas[],3,FALSE),"")</f>
        <v>EDUCAÇÃO INFANTIL</v>
      </c>
      <c r="F77" t="s">
        <v>125</v>
      </c>
    </row>
    <row r="78" spans="1:6" x14ac:dyDescent="0.25">
      <c r="A78" t="str" cm="1">
        <f t="array" ref="A78">IFERROR(INDEX(tbNucleo[ESCOLA],ROUNDUP(ROW(A77)/TotalEtapas,0)),"")</f>
        <v>E.E COLEGIO ESTADUAL ONZE DE MARÇO ( CEOM )</v>
      </c>
      <c r="B78" t="str">
        <f>IFERROR(VLOOKUP(A78,tbNucleo[],2,FALSE),"")</f>
        <v>URBANO</v>
      </c>
      <c r="C78" cm="1">
        <f t="array" ref="C78">IF(A78="","",INDEX(tbEtapas[Nº],MOD(ROW(A77)-1,TotalEtapas)+1))</f>
        <v>5</v>
      </c>
      <c r="D78" t="str">
        <f>IFERROR(VLOOKUP(tbEscolas[[#This Row],[COD ETPA]],tbEtapas[],2,FALSE),"")</f>
        <v>1º ANO</v>
      </c>
      <c r="E78" t="str">
        <f>IFERROR(VLOOKUP(tbEscolas[[#This Row],[COD ETPA]],tbEtapas[],3,FALSE),"")</f>
        <v>FUNDAMENTAL</v>
      </c>
      <c r="F78" t="s">
        <v>125</v>
      </c>
    </row>
    <row r="79" spans="1:6" x14ac:dyDescent="0.25">
      <c r="A79" t="str" cm="1">
        <f t="array" ref="A79">IFERROR(INDEX(tbNucleo[ESCOLA],ROUNDUP(ROW(A78)/TotalEtapas,0)),"")</f>
        <v>E.E COLEGIO ESTADUAL ONZE DE MARÇO ( CEOM )</v>
      </c>
      <c r="B79" t="str">
        <f>IFERROR(VLOOKUP(A79,tbNucleo[],2,FALSE),"")</f>
        <v>URBANO</v>
      </c>
      <c r="C79" cm="1">
        <f t="array" ref="C79">IF(A79="","",INDEX(tbEtapas[Nº],MOD(ROW(A78)-1,TotalEtapas)+1))</f>
        <v>6</v>
      </c>
      <c r="D79" t="str">
        <f>IFERROR(VLOOKUP(tbEscolas[[#This Row],[COD ETPA]],tbEtapas[],2,FALSE),"")</f>
        <v>2º ANO</v>
      </c>
      <c r="E79" t="str">
        <f>IFERROR(VLOOKUP(tbEscolas[[#This Row],[COD ETPA]],tbEtapas[],3,FALSE),"")</f>
        <v>FUNDAMENTAL</v>
      </c>
      <c r="F79" t="s">
        <v>125</v>
      </c>
    </row>
    <row r="80" spans="1:6" x14ac:dyDescent="0.25">
      <c r="A80" t="str" cm="1">
        <f t="array" ref="A80">IFERROR(INDEX(tbNucleo[ESCOLA],ROUNDUP(ROW(A79)/TotalEtapas,0)),"")</f>
        <v>E.E COLEGIO ESTADUAL ONZE DE MARÇO ( CEOM )</v>
      </c>
      <c r="B80" t="str">
        <f>IFERROR(VLOOKUP(A80,tbNucleo[],2,FALSE),"")</f>
        <v>URBANO</v>
      </c>
      <c r="C80" cm="1">
        <f t="array" ref="C80">IF(A80="","",INDEX(tbEtapas[Nº],MOD(ROW(A79)-1,TotalEtapas)+1))</f>
        <v>7</v>
      </c>
      <c r="D80" t="str">
        <f>IFERROR(VLOOKUP(tbEscolas[[#This Row],[COD ETPA]],tbEtapas[],2,FALSE),"")</f>
        <v>3º ANO</v>
      </c>
      <c r="E80" t="str">
        <f>IFERROR(VLOOKUP(tbEscolas[[#This Row],[COD ETPA]],tbEtapas[],3,FALSE),"")</f>
        <v>FUNDAMENTAL</v>
      </c>
      <c r="F80" t="s">
        <v>125</v>
      </c>
    </row>
    <row r="81" spans="1:6" x14ac:dyDescent="0.25">
      <c r="A81" t="str" cm="1">
        <f t="array" ref="A81">IFERROR(INDEX(tbNucleo[ESCOLA],ROUNDUP(ROW(A80)/TotalEtapas,0)),"")</f>
        <v>E.E COLEGIO ESTADUAL ONZE DE MARÇO ( CEOM )</v>
      </c>
      <c r="B81" t="str">
        <f>IFERROR(VLOOKUP(A81,tbNucleo[],2,FALSE),"")</f>
        <v>URBANO</v>
      </c>
      <c r="C81" cm="1">
        <f t="array" ref="C81">IF(A81="","",INDEX(tbEtapas[Nº],MOD(ROW(A80)-1,TotalEtapas)+1))</f>
        <v>8</v>
      </c>
      <c r="D81" t="str">
        <f>IFERROR(VLOOKUP(tbEscolas[[#This Row],[COD ETPA]],tbEtapas[],2,FALSE),"")</f>
        <v>4º ANO</v>
      </c>
      <c r="E81" t="str">
        <f>IFERROR(VLOOKUP(tbEscolas[[#This Row],[COD ETPA]],tbEtapas[],3,FALSE),"")</f>
        <v>FUNDAMENTAL</v>
      </c>
      <c r="F81" t="s">
        <v>125</v>
      </c>
    </row>
    <row r="82" spans="1:6" x14ac:dyDescent="0.25">
      <c r="A82" t="str" cm="1">
        <f t="array" ref="A82">IFERROR(INDEX(tbNucleo[ESCOLA],ROUNDUP(ROW(A81)/TotalEtapas,0)),"")</f>
        <v>E.E COLEGIO ESTADUAL ONZE DE MARÇO ( CEOM )</v>
      </c>
      <c r="B82" t="str">
        <f>IFERROR(VLOOKUP(A82,tbNucleo[],2,FALSE),"")</f>
        <v>URBANO</v>
      </c>
      <c r="C82" cm="1">
        <f t="array" ref="C82">IF(A82="","",INDEX(tbEtapas[Nº],MOD(ROW(A81)-1,TotalEtapas)+1))</f>
        <v>9</v>
      </c>
      <c r="D82" t="str">
        <f>IFERROR(VLOOKUP(tbEscolas[[#This Row],[COD ETPA]],tbEtapas[],2,FALSE),"")</f>
        <v>5º ANO</v>
      </c>
      <c r="E82" t="str">
        <f>IFERROR(VLOOKUP(tbEscolas[[#This Row],[COD ETPA]],tbEtapas[],3,FALSE),"")</f>
        <v>FUNDAMENTAL</v>
      </c>
      <c r="F82" t="s">
        <v>125</v>
      </c>
    </row>
    <row r="83" spans="1:6" x14ac:dyDescent="0.25">
      <c r="A83" t="str" cm="1">
        <f t="array" ref="A83">IFERROR(INDEX(tbNucleo[ESCOLA],ROUNDUP(ROW(A82)/TotalEtapas,0)),"")</f>
        <v>E.E COLEGIO ESTADUAL ONZE DE MARÇO ( CEOM )</v>
      </c>
      <c r="B83" t="str">
        <f>IFERROR(VLOOKUP(A83,tbNucleo[],2,FALSE),"")</f>
        <v>URBANO</v>
      </c>
      <c r="C83" cm="1">
        <f t="array" ref="C83">IF(A83="","",INDEX(tbEtapas[Nº],MOD(ROW(A82)-1,TotalEtapas)+1))</f>
        <v>10</v>
      </c>
      <c r="D83" t="str">
        <f>IFERROR(VLOOKUP(tbEscolas[[#This Row],[COD ETPA]],tbEtapas[],2,FALSE),"")</f>
        <v>6º ANO</v>
      </c>
      <c r="E83" t="str">
        <f>IFERROR(VLOOKUP(tbEscolas[[#This Row],[COD ETPA]],tbEtapas[],3,FALSE),"")</f>
        <v>FUNDAMENTAL</v>
      </c>
      <c r="F83" t="s">
        <v>126</v>
      </c>
    </row>
    <row r="84" spans="1:6" x14ac:dyDescent="0.25">
      <c r="A84" t="str" cm="1">
        <f t="array" ref="A84">IFERROR(INDEX(tbNucleo[ESCOLA],ROUNDUP(ROW(A83)/TotalEtapas,0)),"")</f>
        <v>E.E COLEGIO ESTADUAL ONZE DE MARÇO ( CEOM )</v>
      </c>
      <c r="B84" t="str">
        <f>IFERROR(VLOOKUP(A84,tbNucleo[],2,FALSE),"")</f>
        <v>URBANO</v>
      </c>
      <c r="C84" cm="1">
        <f t="array" ref="C84">IF(A84="","",INDEX(tbEtapas[Nº],MOD(ROW(A83)-1,TotalEtapas)+1))</f>
        <v>11</v>
      </c>
      <c r="D84" t="str">
        <f>IFERROR(VLOOKUP(tbEscolas[[#This Row],[COD ETPA]],tbEtapas[],2,FALSE),"")</f>
        <v>7º ANO</v>
      </c>
      <c r="E84" t="str">
        <f>IFERROR(VLOOKUP(tbEscolas[[#This Row],[COD ETPA]],tbEtapas[],3,FALSE),"")</f>
        <v>FUNDAMENTAL</v>
      </c>
      <c r="F84" t="s">
        <v>126</v>
      </c>
    </row>
    <row r="85" spans="1:6" x14ac:dyDescent="0.25">
      <c r="A85" t="str" cm="1">
        <f t="array" ref="A85">IFERROR(INDEX(tbNucleo[ESCOLA],ROUNDUP(ROW(A84)/TotalEtapas,0)),"")</f>
        <v>E.E COLEGIO ESTADUAL ONZE DE MARÇO ( CEOM )</v>
      </c>
      <c r="B85" t="str">
        <f>IFERROR(VLOOKUP(A85,tbNucleo[],2,FALSE),"")</f>
        <v>URBANO</v>
      </c>
      <c r="C85" cm="1">
        <f t="array" ref="C85">IF(A85="","",INDEX(tbEtapas[Nº],MOD(ROW(A84)-1,TotalEtapas)+1))</f>
        <v>12</v>
      </c>
      <c r="D85" t="str">
        <f>IFERROR(VLOOKUP(tbEscolas[[#This Row],[COD ETPA]],tbEtapas[],2,FALSE),"")</f>
        <v>8º ANO</v>
      </c>
      <c r="E85" t="str">
        <f>IFERROR(VLOOKUP(tbEscolas[[#This Row],[COD ETPA]],tbEtapas[],3,FALSE),"")</f>
        <v>FUNDAMENTAL</v>
      </c>
      <c r="F85" t="s">
        <v>126</v>
      </c>
    </row>
    <row r="86" spans="1:6" x14ac:dyDescent="0.25">
      <c r="A86" t="str" cm="1">
        <f t="array" ref="A86">IFERROR(INDEX(tbNucleo[ESCOLA],ROUNDUP(ROW(A85)/TotalEtapas,0)),"")</f>
        <v>E.E COLEGIO ESTADUAL ONZE DE MARÇO ( CEOM )</v>
      </c>
      <c r="B86" t="str">
        <f>IFERROR(VLOOKUP(A86,tbNucleo[],2,FALSE),"")</f>
        <v>URBANO</v>
      </c>
      <c r="C86" cm="1">
        <f t="array" ref="C86">IF(A86="","",INDEX(tbEtapas[Nº],MOD(ROW(A85)-1,TotalEtapas)+1))</f>
        <v>13</v>
      </c>
      <c r="D86" t="str">
        <f>IFERROR(VLOOKUP(tbEscolas[[#This Row],[COD ETPA]],tbEtapas[],2,FALSE),"")</f>
        <v>9º ANO</v>
      </c>
      <c r="E86" t="str">
        <f>IFERROR(VLOOKUP(tbEscolas[[#This Row],[COD ETPA]],tbEtapas[],3,FALSE),"")</f>
        <v>FUNDAMENTAL</v>
      </c>
      <c r="F86" t="s">
        <v>126</v>
      </c>
    </row>
    <row r="87" spans="1:6" x14ac:dyDescent="0.25">
      <c r="A87" t="str" cm="1">
        <f t="array" ref="A87">IFERROR(INDEX(tbNucleo[ESCOLA],ROUNDUP(ROW(A86)/TotalEtapas,0)),"")</f>
        <v>E.E COLEGIO ESTADUAL ONZE DE MARÇO ( CEOM )</v>
      </c>
      <c r="B87" t="str">
        <f>IFERROR(VLOOKUP(A87,tbNucleo[],2,FALSE),"")</f>
        <v>URBANO</v>
      </c>
      <c r="C87" cm="1">
        <f t="array" ref="C87">IF(A87="","",INDEX(tbEtapas[Nº],MOD(ROW(A86)-1,TotalEtapas)+1))</f>
        <v>14</v>
      </c>
      <c r="D87" t="str">
        <f>IFERROR(VLOOKUP(tbEscolas[[#This Row],[COD ETPA]],tbEtapas[],2,FALSE),"")</f>
        <v>1º ANO</v>
      </c>
      <c r="E87" t="str">
        <f>IFERROR(VLOOKUP(tbEscolas[[#This Row],[COD ETPA]],tbEtapas[],3,FALSE),"")</f>
        <v>ENSINO MÉDIO</v>
      </c>
      <c r="F87" t="s">
        <v>126</v>
      </c>
    </row>
    <row r="88" spans="1:6" x14ac:dyDescent="0.25">
      <c r="A88" t="str" cm="1">
        <f t="array" ref="A88">IFERROR(INDEX(tbNucleo[ESCOLA],ROUNDUP(ROW(A87)/TotalEtapas,0)),"")</f>
        <v>E.E COLEGIO ESTADUAL ONZE DE MARÇO ( CEOM )</v>
      </c>
      <c r="B88" t="str">
        <f>IFERROR(VLOOKUP(A88,tbNucleo[],2,FALSE),"")</f>
        <v>URBANO</v>
      </c>
      <c r="C88" cm="1">
        <f t="array" ref="C88">IF(A88="","",INDEX(tbEtapas[Nº],MOD(ROW(A87)-1,TotalEtapas)+1))</f>
        <v>15</v>
      </c>
      <c r="D88" t="str">
        <f>IFERROR(VLOOKUP(tbEscolas[[#This Row],[COD ETPA]],tbEtapas[],2,FALSE),"")</f>
        <v>2º ANO</v>
      </c>
      <c r="E88" t="str">
        <f>IFERROR(VLOOKUP(tbEscolas[[#This Row],[COD ETPA]],tbEtapas[],3,FALSE),"")</f>
        <v>ENSINO MÉDIO</v>
      </c>
      <c r="F88" t="s">
        <v>126</v>
      </c>
    </row>
    <row r="89" spans="1:6" x14ac:dyDescent="0.25">
      <c r="A89" t="str" cm="1">
        <f t="array" ref="A89">IFERROR(INDEX(tbNucleo[ESCOLA],ROUNDUP(ROW(A88)/TotalEtapas,0)),"")</f>
        <v>E.E COLEGIO ESTADUAL ONZE DE MARÇO ( CEOM )</v>
      </c>
      <c r="B89" t="str">
        <f>IFERROR(VLOOKUP(A89,tbNucleo[],2,FALSE),"")</f>
        <v>URBANO</v>
      </c>
      <c r="C89" cm="1">
        <f t="array" ref="C89">IF(A89="","",INDEX(tbEtapas[Nº],MOD(ROW(A88)-1,TotalEtapas)+1))</f>
        <v>16</v>
      </c>
      <c r="D89" t="str">
        <f>IFERROR(VLOOKUP(tbEscolas[[#This Row],[COD ETPA]],tbEtapas[],2,FALSE),"")</f>
        <v>3º ANO</v>
      </c>
      <c r="E89" t="str">
        <f>IFERROR(VLOOKUP(tbEscolas[[#This Row],[COD ETPA]],tbEtapas[],3,FALSE),"")</f>
        <v>ENSINO MÉDIO</v>
      </c>
      <c r="F89" t="s">
        <v>126</v>
      </c>
    </row>
    <row r="90" spans="1:6" x14ac:dyDescent="0.25">
      <c r="A90" t="str" cm="1">
        <f t="array" ref="A90">IFERROR(INDEX(tbNucleo[ESCOLA],ROUNDUP(ROW(A89)/TotalEtapas,0)),"")</f>
        <v>E.E COLEGIO ESTADUAL ONZE DE MARÇO ( CEOM )</v>
      </c>
      <c r="B90" t="str">
        <f>IFERROR(VLOOKUP(A90,tbNucleo[],2,FALSE),"")</f>
        <v>URBANO</v>
      </c>
      <c r="C90" cm="1">
        <f t="array" ref="C90">IF(A90="","",INDEX(tbEtapas[Nº],MOD(ROW(A89)-1,TotalEtapas)+1))</f>
        <v>17</v>
      </c>
      <c r="D90" t="str">
        <f>IFERROR(VLOOKUP(tbEscolas[[#This Row],[COD ETPA]],tbEtapas[],2,FALSE),"")</f>
        <v>EJA I</v>
      </c>
      <c r="E90" t="str">
        <f>IFERROR(VLOOKUP(tbEscolas[[#This Row],[COD ETPA]],tbEtapas[],3,FALSE),"")</f>
        <v>FUNDAMENTAL</v>
      </c>
      <c r="F90" t="s">
        <v>125</v>
      </c>
    </row>
    <row r="91" spans="1:6" x14ac:dyDescent="0.25">
      <c r="A91" t="str" cm="1">
        <f t="array" ref="A91">IFERROR(INDEX(tbNucleo[ESCOLA],ROUNDUP(ROW(A90)/TotalEtapas,0)),"")</f>
        <v>E.E COLEGIO ESTADUAL ONZE DE MARÇO ( CEOM )</v>
      </c>
      <c r="B91" t="str">
        <f>IFERROR(VLOOKUP(A91,tbNucleo[],2,FALSE),"")</f>
        <v>URBANO</v>
      </c>
      <c r="C91" cm="1">
        <f t="array" ref="C91">IF(A91="","",INDEX(tbEtapas[Nº],MOD(ROW(A90)-1,TotalEtapas)+1))</f>
        <v>18</v>
      </c>
      <c r="D91" t="str">
        <f>IFERROR(VLOOKUP(tbEscolas[[#This Row],[COD ETPA]],tbEtapas[],2,FALSE),"")</f>
        <v>EJA II</v>
      </c>
      <c r="E91" t="str">
        <f>IFERROR(VLOOKUP(tbEscolas[[#This Row],[COD ETPA]],tbEtapas[],3,FALSE),"")</f>
        <v>ENSINO MÉDIO</v>
      </c>
      <c r="F91" t="s">
        <v>125</v>
      </c>
    </row>
    <row r="92" spans="1:6" x14ac:dyDescent="0.25">
      <c r="A92" t="str" cm="1">
        <f t="array" ref="A92">IFERROR(INDEX(tbNucleo[ESCOLA],ROUNDUP(ROW(A91)/TotalEtapas,0)),"")</f>
        <v xml:space="preserve"> EMEI BUSCANDO O SABER </v>
      </c>
      <c r="B92" t="str">
        <f>IFERROR(VLOOKUP(A92,tbNucleo[],2,FALSE),"")</f>
        <v>URBANO</v>
      </c>
      <c r="C92" cm="1">
        <f t="array" ref="C92">IF(A92="","",INDEX(tbEtapas[Nº],MOD(ROW(A91)-1,TotalEtapas)+1))</f>
        <v>1</v>
      </c>
      <c r="D92" t="str">
        <f>IFERROR(VLOOKUP(tbEscolas[[#This Row],[COD ETPA]],tbEtapas[],2,FALSE),"")</f>
        <v>CRECHE I</v>
      </c>
      <c r="E92" t="str">
        <f>IFERROR(VLOOKUP(tbEscolas[[#This Row],[COD ETPA]],tbEtapas[],3,FALSE),"")</f>
        <v>EDUCAÇÃO INFANTIL</v>
      </c>
      <c r="F92" t="s">
        <v>126</v>
      </c>
    </row>
    <row r="93" spans="1:6" x14ac:dyDescent="0.25">
      <c r="A93" t="str" cm="1">
        <f t="array" ref="A93">IFERROR(INDEX(tbNucleo[ESCOLA],ROUNDUP(ROW(A92)/TotalEtapas,0)),"")</f>
        <v xml:space="preserve"> EMEI BUSCANDO O SABER </v>
      </c>
      <c r="B93" t="str">
        <f>IFERROR(VLOOKUP(A93,tbNucleo[],2,FALSE),"")</f>
        <v>URBANO</v>
      </c>
      <c r="C93" cm="1">
        <f t="array" ref="C93">IF(A93="","",INDEX(tbEtapas[Nº],MOD(ROW(A92)-1,TotalEtapas)+1))</f>
        <v>2</v>
      </c>
      <c r="D93" t="str">
        <f>IFERROR(VLOOKUP(tbEscolas[[#This Row],[COD ETPA]],tbEtapas[],2,FALSE),"")</f>
        <v>CRECHE II</v>
      </c>
      <c r="E93" t="str">
        <f>IFERROR(VLOOKUP(tbEscolas[[#This Row],[COD ETPA]],tbEtapas[],3,FALSE),"")</f>
        <v>EDUCAÇÃO INFANTIL</v>
      </c>
      <c r="F93" t="s">
        <v>126</v>
      </c>
    </row>
    <row r="94" spans="1:6" x14ac:dyDescent="0.25">
      <c r="A94" t="str" cm="1">
        <f t="array" ref="A94">IFERROR(INDEX(tbNucleo[ESCOLA],ROUNDUP(ROW(A93)/TotalEtapas,0)),"")</f>
        <v xml:space="preserve"> EMEI BUSCANDO O SABER </v>
      </c>
      <c r="B94" t="str">
        <f>IFERROR(VLOOKUP(A94,tbNucleo[],2,FALSE),"")</f>
        <v>URBANO</v>
      </c>
      <c r="C94" cm="1">
        <f t="array" ref="C94">IF(A94="","",INDEX(tbEtapas[Nº],MOD(ROW(A93)-1,TotalEtapas)+1))</f>
        <v>3</v>
      </c>
      <c r="D94" t="str">
        <f>IFERROR(VLOOKUP(tbEscolas[[#This Row],[COD ETPA]],tbEtapas[],2,FALSE),"")</f>
        <v>PRE I</v>
      </c>
      <c r="E94" t="str">
        <f>IFERROR(VLOOKUP(tbEscolas[[#This Row],[COD ETPA]],tbEtapas[],3,FALSE),"")</f>
        <v>EDUCAÇÃO INFANTIL</v>
      </c>
      <c r="F94" t="s">
        <v>126</v>
      </c>
    </row>
    <row r="95" spans="1:6" x14ac:dyDescent="0.25">
      <c r="A95" t="str" cm="1">
        <f t="array" ref="A95">IFERROR(INDEX(tbNucleo[ESCOLA],ROUNDUP(ROW(A94)/TotalEtapas,0)),"")</f>
        <v xml:space="preserve"> EMEI BUSCANDO O SABER </v>
      </c>
      <c r="B95" t="str">
        <f>IFERROR(VLOOKUP(A95,tbNucleo[],2,FALSE),"")</f>
        <v>URBANO</v>
      </c>
      <c r="C95" cm="1">
        <f t="array" ref="C95">IF(A95="","",INDEX(tbEtapas[Nº],MOD(ROW(A94)-1,TotalEtapas)+1))</f>
        <v>4</v>
      </c>
      <c r="D95" t="str">
        <f>IFERROR(VLOOKUP(tbEscolas[[#This Row],[COD ETPA]],tbEtapas[],2,FALSE),"")</f>
        <v>PRE II</v>
      </c>
      <c r="E95" t="str">
        <f>IFERROR(VLOOKUP(tbEscolas[[#This Row],[COD ETPA]],tbEtapas[],3,FALSE),"")</f>
        <v>EDUCAÇÃO INFANTIL</v>
      </c>
      <c r="F95" t="s">
        <v>126</v>
      </c>
    </row>
    <row r="96" spans="1:6" x14ac:dyDescent="0.25">
      <c r="A96" t="str" cm="1">
        <f t="array" ref="A96">IFERROR(INDEX(tbNucleo[ESCOLA],ROUNDUP(ROW(A95)/TotalEtapas,0)),"")</f>
        <v xml:space="preserve"> EMEI BUSCANDO O SABER </v>
      </c>
      <c r="B96" t="str">
        <f>IFERROR(VLOOKUP(A96,tbNucleo[],2,FALSE),"")</f>
        <v>URBANO</v>
      </c>
      <c r="C96" cm="1">
        <f t="array" ref="C96">IF(A96="","",INDEX(tbEtapas[Nº],MOD(ROW(A95)-1,TotalEtapas)+1))</f>
        <v>5</v>
      </c>
      <c r="D96" t="str">
        <f>IFERROR(VLOOKUP(tbEscolas[[#This Row],[COD ETPA]],tbEtapas[],2,FALSE),"")</f>
        <v>1º ANO</v>
      </c>
      <c r="E96" t="str">
        <f>IFERROR(VLOOKUP(tbEscolas[[#This Row],[COD ETPA]],tbEtapas[],3,FALSE),"")</f>
        <v>FUNDAMENTAL</v>
      </c>
      <c r="F96" t="s">
        <v>125</v>
      </c>
    </row>
    <row r="97" spans="1:6" x14ac:dyDescent="0.25">
      <c r="A97" t="str" cm="1">
        <f t="array" ref="A97">IFERROR(INDEX(tbNucleo[ESCOLA],ROUNDUP(ROW(A96)/TotalEtapas,0)),"")</f>
        <v xml:space="preserve"> EMEI BUSCANDO O SABER </v>
      </c>
      <c r="B97" t="str">
        <f>IFERROR(VLOOKUP(A97,tbNucleo[],2,FALSE),"")</f>
        <v>URBANO</v>
      </c>
      <c r="C97" cm="1">
        <f t="array" ref="C97">IF(A97="","",INDEX(tbEtapas[Nº],MOD(ROW(A96)-1,TotalEtapas)+1))</f>
        <v>6</v>
      </c>
      <c r="D97" t="str">
        <f>IFERROR(VLOOKUP(tbEscolas[[#This Row],[COD ETPA]],tbEtapas[],2,FALSE),"")</f>
        <v>2º ANO</v>
      </c>
      <c r="E97" t="str">
        <f>IFERROR(VLOOKUP(tbEscolas[[#This Row],[COD ETPA]],tbEtapas[],3,FALSE),"")</f>
        <v>FUNDAMENTAL</v>
      </c>
      <c r="F97" t="s">
        <v>125</v>
      </c>
    </row>
    <row r="98" spans="1:6" x14ac:dyDescent="0.25">
      <c r="A98" t="str" cm="1">
        <f t="array" ref="A98">IFERROR(INDEX(tbNucleo[ESCOLA],ROUNDUP(ROW(A97)/TotalEtapas,0)),"")</f>
        <v xml:space="preserve"> EMEI BUSCANDO O SABER </v>
      </c>
      <c r="B98" t="str">
        <f>IFERROR(VLOOKUP(A98,tbNucleo[],2,FALSE),"")</f>
        <v>URBANO</v>
      </c>
      <c r="C98" cm="1">
        <f t="array" ref="C98">IF(A98="","",INDEX(tbEtapas[Nº],MOD(ROW(A97)-1,TotalEtapas)+1))</f>
        <v>7</v>
      </c>
      <c r="D98" t="str">
        <f>IFERROR(VLOOKUP(tbEscolas[[#This Row],[COD ETPA]],tbEtapas[],2,FALSE),"")</f>
        <v>3º ANO</v>
      </c>
      <c r="E98" t="str">
        <f>IFERROR(VLOOKUP(tbEscolas[[#This Row],[COD ETPA]],tbEtapas[],3,FALSE),"")</f>
        <v>FUNDAMENTAL</v>
      </c>
      <c r="F98" t="s">
        <v>125</v>
      </c>
    </row>
    <row r="99" spans="1:6" x14ac:dyDescent="0.25">
      <c r="A99" t="str" cm="1">
        <f t="array" ref="A99">IFERROR(INDEX(tbNucleo[ESCOLA],ROUNDUP(ROW(A98)/TotalEtapas,0)),"")</f>
        <v xml:space="preserve"> EMEI BUSCANDO O SABER </v>
      </c>
      <c r="B99" t="str">
        <f>IFERROR(VLOOKUP(A99,tbNucleo[],2,FALSE),"")</f>
        <v>URBANO</v>
      </c>
      <c r="C99" cm="1">
        <f t="array" ref="C99">IF(A99="","",INDEX(tbEtapas[Nº],MOD(ROW(A98)-1,TotalEtapas)+1))</f>
        <v>8</v>
      </c>
      <c r="D99" t="str">
        <f>IFERROR(VLOOKUP(tbEscolas[[#This Row],[COD ETPA]],tbEtapas[],2,FALSE),"")</f>
        <v>4º ANO</v>
      </c>
      <c r="E99" t="str">
        <f>IFERROR(VLOOKUP(tbEscolas[[#This Row],[COD ETPA]],tbEtapas[],3,FALSE),"")</f>
        <v>FUNDAMENTAL</v>
      </c>
      <c r="F99" t="s">
        <v>125</v>
      </c>
    </row>
    <row r="100" spans="1:6" x14ac:dyDescent="0.25">
      <c r="A100" t="str" cm="1">
        <f t="array" ref="A100">IFERROR(INDEX(tbNucleo[ESCOLA],ROUNDUP(ROW(A99)/TotalEtapas,0)),"")</f>
        <v xml:space="preserve"> EMEI BUSCANDO O SABER </v>
      </c>
      <c r="B100" t="str">
        <f>IFERROR(VLOOKUP(A100,tbNucleo[],2,FALSE),"")</f>
        <v>URBANO</v>
      </c>
      <c r="C100" cm="1">
        <f t="array" ref="C100">IF(A100="","",INDEX(tbEtapas[Nº],MOD(ROW(A99)-1,TotalEtapas)+1))</f>
        <v>9</v>
      </c>
      <c r="D100" t="str">
        <f>IFERROR(VLOOKUP(tbEscolas[[#This Row],[COD ETPA]],tbEtapas[],2,FALSE),"")</f>
        <v>5º ANO</v>
      </c>
      <c r="E100" t="str">
        <f>IFERROR(VLOOKUP(tbEscolas[[#This Row],[COD ETPA]],tbEtapas[],3,FALSE),"")</f>
        <v>FUNDAMENTAL</v>
      </c>
      <c r="F100" t="s">
        <v>125</v>
      </c>
    </row>
    <row r="101" spans="1:6" x14ac:dyDescent="0.25">
      <c r="A101" t="str" cm="1">
        <f t="array" ref="A101">IFERROR(INDEX(tbNucleo[ESCOLA],ROUNDUP(ROW(A100)/TotalEtapas,0)),"")</f>
        <v xml:space="preserve"> EMEI BUSCANDO O SABER </v>
      </c>
      <c r="B101" t="str">
        <f>IFERROR(VLOOKUP(A101,tbNucleo[],2,FALSE),"")</f>
        <v>URBANO</v>
      </c>
      <c r="C101" cm="1">
        <f t="array" ref="C101">IF(A101="","",INDEX(tbEtapas[Nº],MOD(ROW(A100)-1,TotalEtapas)+1))</f>
        <v>10</v>
      </c>
      <c r="D101" t="str">
        <f>IFERROR(VLOOKUP(tbEscolas[[#This Row],[COD ETPA]],tbEtapas[],2,FALSE),"")</f>
        <v>6º ANO</v>
      </c>
      <c r="E101" t="str">
        <f>IFERROR(VLOOKUP(tbEscolas[[#This Row],[COD ETPA]],tbEtapas[],3,FALSE),"")</f>
        <v>FUNDAMENTAL</v>
      </c>
      <c r="F101" t="s">
        <v>125</v>
      </c>
    </row>
    <row r="102" spans="1:6" x14ac:dyDescent="0.25">
      <c r="A102" t="str" cm="1">
        <f t="array" ref="A102">IFERROR(INDEX(tbNucleo[ESCOLA],ROUNDUP(ROW(A101)/TotalEtapas,0)),"")</f>
        <v xml:space="preserve"> EMEI BUSCANDO O SABER </v>
      </c>
      <c r="B102" t="str">
        <f>IFERROR(VLOOKUP(A102,tbNucleo[],2,FALSE),"")</f>
        <v>URBANO</v>
      </c>
      <c r="C102" cm="1">
        <f t="array" ref="C102">IF(A102="","",INDEX(tbEtapas[Nº],MOD(ROW(A101)-1,TotalEtapas)+1))</f>
        <v>11</v>
      </c>
      <c r="D102" t="str">
        <f>IFERROR(VLOOKUP(tbEscolas[[#This Row],[COD ETPA]],tbEtapas[],2,FALSE),"")</f>
        <v>7º ANO</v>
      </c>
      <c r="E102" t="str">
        <f>IFERROR(VLOOKUP(tbEscolas[[#This Row],[COD ETPA]],tbEtapas[],3,FALSE),"")</f>
        <v>FUNDAMENTAL</v>
      </c>
      <c r="F102" t="s">
        <v>125</v>
      </c>
    </row>
    <row r="103" spans="1:6" x14ac:dyDescent="0.25">
      <c r="A103" t="str" cm="1">
        <f t="array" ref="A103">IFERROR(INDEX(tbNucleo[ESCOLA],ROUNDUP(ROW(A102)/TotalEtapas,0)),"")</f>
        <v xml:space="preserve"> EMEI BUSCANDO O SABER </v>
      </c>
      <c r="B103" t="str">
        <f>IFERROR(VLOOKUP(A103,tbNucleo[],2,FALSE),"")</f>
        <v>URBANO</v>
      </c>
      <c r="C103" cm="1">
        <f t="array" ref="C103">IF(A103="","",INDEX(tbEtapas[Nº],MOD(ROW(A102)-1,TotalEtapas)+1))</f>
        <v>12</v>
      </c>
      <c r="D103" t="str">
        <f>IFERROR(VLOOKUP(tbEscolas[[#This Row],[COD ETPA]],tbEtapas[],2,FALSE),"")</f>
        <v>8º ANO</v>
      </c>
      <c r="E103" t="str">
        <f>IFERROR(VLOOKUP(tbEscolas[[#This Row],[COD ETPA]],tbEtapas[],3,FALSE),"")</f>
        <v>FUNDAMENTAL</v>
      </c>
      <c r="F103" t="s">
        <v>125</v>
      </c>
    </row>
    <row r="104" spans="1:6" x14ac:dyDescent="0.25">
      <c r="A104" t="str" cm="1">
        <f t="array" ref="A104">IFERROR(INDEX(tbNucleo[ESCOLA],ROUNDUP(ROW(A103)/TotalEtapas,0)),"")</f>
        <v xml:space="preserve"> EMEI BUSCANDO O SABER </v>
      </c>
      <c r="B104" t="str">
        <f>IFERROR(VLOOKUP(A104,tbNucleo[],2,FALSE),"")</f>
        <v>URBANO</v>
      </c>
      <c r="C104" cm="1">
        <f t="array" ref="C104">IF(A104="","",INDEX(tbEtapas[Nº],MOD(ROW(A103)-1,TotalEtapas)+1))</f>
        <v>13</v>
      </c>
      <c r="D104" t="str">
        <f>IFERROR(VLOOKUP(tbEscolas[[#This Row],[COD ETPA]],tbEtapas[],2,FALSE),"")</f>
        <v>9º ANO</v>
      </c>
      <c r="E104" t="str">
        <f>IFERROR(VLOOKUP(tbEscolas[[#This Row],[COD ETPA]],tbEtapas[],3,FALSE),"")</f>
        <v>FUNDAMENTAL</v>
      </c>
      <c r="F104" t="s">
        <v>125</v>
      </c>
    </row>
    <row r="105" spans="1:6" x14ac:dyDescent="0.25">
      <c r="A105" t="str" cm="1">
        <f t="array" ref="A105">IFERROR(INDEX(tbNucleo[ESCOLA],ROUNDUP(ROW(A104)/TotalEtapas,0)),"")</f>
        <v xml:space="preserve"> EMEI BUSCANDO O SABER </v>
      </c>
      <c r="B105" t="str">
        <f>IFERROR(VLOOKUP(A105,tbNucleo[],2,FALSE),"")</f>
        <v>URBANO</v>
      </c>
      <c r="C105" cm="1">
        <f t="array" ref="C105">IF(A105="","",INDEX(tbEtapas[Nº],MOD(ROW(A104)-1,TotalEtapas)+1))</f>
        <v>14</v>
      </c>
      <c r="D105" t="str">
        <f>IFERROR(VLOOKUP(tbEscolas[[#This Row],[COD ETPA]],tbEtapas[],2,FALSE),"")</f>
        <v>1º ANO</v>
      </c>
      <c r="E105" t="str">
        <f>IFERROR(VLOOKUP(tbEscolas[[#This Row],[COD ETPA]],tbEtapas[],3,FALSE),"")</f>
        <v>ENSINO MÉDIO</v>
      </c>
      <c r="F105" t="s">
        <v>125</v>
      </c>
    </row>
    <row r="106" spans="1:6" x14ac:dyDescent="0.25">
      <c r="A106" t="str" cm="1">
        <f t="array" ref="A106">IFERROR(INDEX(tbNucleo[ESCOLA],ROUNDUP(ROW(A105)/TotalEtapas,0)),"")</f>
        <v xml:space="preserve"> EMEI BUSCANDO O SABER </v>
      </c>
      <c r="B106" t="str">
        <f>IFERROR(VLOOKUP(A106,tbNucleo[],2,FALSE),"")</f>
        <v>URBANO</v>
      </c>
      <c r="C106" cm="1">
        <f t="array" ref="C106">IF(A106="","",INDEX(tbEtapas[Nº],MOD(ROW(A105)-1,TotalEtapas)+1))</f>
        <v>15</v>
      </c>
      <c r="D106" t="str">
        <f>IFERROR(VLOOKUP(tbEscolas[[#This Row],[COD ETPA]],tbEtapas[],2,FALSE),"")</f>
        <v>2º ANO</v>
      </c>
      <c r="E106" t="str">
        <f>IFERROR(VLOOKUP(tbEscolas[[#This Row],[COD ETPA]],tbEtapas[],3,FALSE),"")</f>
        <v>ENSINO MÉDIO</v>
      </c>
      <c r="F106" t="s">
        <v>125</v>
      </c>
    </row>
    <row r="107" spans="1:6" x14ac:dyDescent="0.25">
      <c r="A107" t="str" cm="1">
        <f t="array" ref="A107">IFERROR(INDEX(tbNucleo[ESCOLA],ROUNDUP(ROW(A106)/TotalEtapas,0)),"")</f>
        <v xml:space="preserve"> EMEI BUSCANDO O SABER </v>
      </c>
      <c r="B107" t="str">
        <f>IFERROR(VLOOKUP(A107,tbNucleo[],2,FALSE),"")</f>
        <v>URBANO</v>
      </c>
      <c r="C107" cm="1">
        <f t="array" ref="C107">IF(A107="","",INDEX(tbEtapas[Nº],MOD(ROW(A106)-1,TotalEtapas)+1))</f>
        <v>16</v>
      </c>
      <c r="D107" t="str">
        <f>IFERROR(VLOOKUP(tbEscolas[[#This Row],[COD ETPA]],tbEtapas[],2,FALSE),"")</f>
        <v>3º ANO</v>
      </c>
      <c r="E107" t="str">
        <f>IFERROR(VLOOKUP(tbEscolas[[#This Row],[COD ETPA]],tbEtapas[],3,FALSE),"")</f>
        <v>ENSINO MÉDIO</v>
      </c>
      <c r="F107" t="s">
        <v>125</v>
      </c>
    </row>
    <row r="108" spans="1:6" x14ac:dyDescent="0.25">
      <c r="A108" t="str" cm="1">
        <f t="array" ref="A108">IFERROR(INDEX(tbNucleo[ESCOLA],ROUNDUP(ROW(A107)/TotalEtapas,0)),"")</f>
        <v xml:space="preserve"> EMEI BUSCANDO O SABER </v>
      </c>
      <c r="B108" t="str">
        <f>IFERROR(VLOOKUP(A108,tbNucleo[],2,FALSE),"")</f>
        <v>URBANO</v>
      </c>
      <c r="C108" cm="1">
        <f t="array" ref="C108">IF(A108="","",INDEX(tbEtapas[Nº],MOD(ROW(A107)-1,TotalEtapas)+1))</f>
        <v>17</v>
      </c>
      <c r="D108" t="str">
        <f>IFERROR(VLOOKUP(tbEscolas[[#This Row],[COD ETPA]],tbEtapas[],2,FALSE),"")</f>
        <v>EJA I</v>
      </c>
      <c r="E108" t="str">
        <f>IFERROR(VLOOKUP(tbEscolas[[#This Row],[COD ETPA]],tbEtapas[],3,FALSE),"")</f>
        <v>FUNDAMENTAL</v>
      </c>
      <c r="F108" t="s">
        <v>125</v>
      </c>
    </row>
    <row r="109" spans="1:6" x14ac:dyDescent="0.25">
      <c r="A109" t="str" cm="1">
        <f t="array" ref="A109">IFERROR(INDEX(tbNucleo[ESCOLA],ROUNDUP(ROW(A108)/TotalEtapas,0)),"")</f>
        <v xml:space="preserve"> EMEI BUSCANDO O SABER </v>
      </c>
      <c r="B109" t="str">
        <f>IFERROR(VLOOKUP(A109,tbNucleo[],2,FALSE),"")</f>
        <v>URBANO</v>
      </c>
      <c r="C109" cm="1">
        <f t="array" ref="C109">IF(A109="","",INDEX(tbEtapas[Nº],MOD(ROW(A108)-1,TotalEtapas)+1))</f>
        <v>18</v>
      </c>
      <c r="D109" t="str">
        <f>IFERROR(VLOOKUP(tbEscolas[[#This Row],[COD ETPA]],tbEtapas[],2,FALSE),"")</f>
        <v>EJA II</v>
      </c>
      <c r="E109" t="str">
        <f>IFERROR(VLOOKUP(tbEscolas[[#This Row],[COD ETPA]],tbEtapas[],3,FALSE),"")</f>
        <v>ENSINO MÉDIO</v>
      </c>
      <c r="F109" t="s">
        <v>125</v>
      </c>
    </row>
    <row r="110" spans="1:6" x14ac:dyDescent="0.25">
      <c r="A110" t="str" cm="1">
        <f t="array" ref="A110">IFERROR(INDEX(tbNucleo[ESCOLA],ROUNDUP(ROW(A109)/TotalEtapas,0)),"")</f>
        <v xml:space="preserve"> EM NOVO ORIENTE</v>
      </c>
      <c r="B110" t="str">
        <f>IFERROR(VLOOKUP(A110,tbNucleo[],2,FALSE),"")</f>
        <v>URBANO</v>
      </c>
      <c r="C110" cm="1">
        <f t="array" ref="C110">IF(A110="","",INDEX(tbEtapas[Nº],MOD(ROW(A109)-1,TotalEtapas)+1))</f>
        <v>1</v>
      </c>
      <c r="D110" t="str">
        <f>IFERROR(VLOOKUP(tbEscolas[[#This Row],[COD ETPA]],tbEtapas[],2,FALSE),"")</f>
        <v>CRECHE I</v>
      </c>
      <c r="E110" t="str">
        <f>IFERROR(VLOOKUP(tbEscolas[[#This Row],[COD ETPA]],tbEtapas[],3,FALSE),"")</f>
        <v>EDUCAÇÃO INFANTIL</v>
      </c>
      <c r="F110" t="s">
        <v>125</v>
      </c>
    </row>
    <row r="111" spans="1:6" x14ac:dyDescent="0.25">
      <c r="A111" t="str" cm="1">
        <f t="array" ref="A111">IFERROR(INDEX(tbNucleo[ESCOLA],ROUNDUP(ROW(A110)/TotalEtapas,0)),"")</f>
        <v xml:space="preserve"> EM NOVO ORIENTE</v>
      </c>
      <c r="B111" t="str">
        <f>IFERROR(VLOOKUP(A111,tbNucleo[],2,FALSE),"")</f>
        <v>URBANO</v>
      </c>
      <c r="C111" cm="1">
        <f t="array" ref="C111">IF(A111="","",INDEX(tbEtapas[Nº],MOD(ROW(A110)-1,TotalEtapas)+1))</f>
        <v>2</v>
      </c>
      <c r="D111" t="str">
        <f>IFERROR(VLOOKUP(tbEscolas[[#This Row],[COD ETPA]],tbEtapas[],2,FALSE),"")</f>
        <v>CRECHE II</v>
      </c>
      <c r="E111" t="str">
        <f>IFERROR(VLOOKUP(tbEscolas[[#This Row],[COD ETPA]],tbEtapas[],3,FALSE),"")</f>
        <v>EDUCAÇÃO INFANTIL</v>
      </c>
      <c r="F111" t="s">
        <v>125</v>
      </c>
    </row>
    <row r="112" spans="1:6" x14ac:dyDescent="0.25">
      <c r="A112" t="str" cm="1">
        <f t="array" ref="A112">IFERROR(INDEX(tbNucleo[ESCOLA],ROUNDUP(ROW(A111)/TotalEtapas,0)),"")</f>
        <v xml:space="preserve"> EM NOVO ORIENTE</v>
      </c>
      <c r="B112" t="str">
        <f>IFERROR(VLOOKUP(A112,tbNucleo[],2,FALSE),"")</f>
        <v>URBANO</v>
      </c>
      <c r="C112" cm="1">
        <f t="array" ref="C112">IF(A112="","",INDEX(tbEtapas[Nº],MOD(ROW(A111)-1,TotalEtapas)+1))</f>
        <v>3</v>
      </c>
      <c r="D112" t="str">
        <f>IFERROR(VLOOKUP(tbEscolas[[#This Row],[COD ETPA]],tbEtapas[],2,FALSE),"")</f>
        <v>PRE I</v>
      </c>
      <c r="E112" t="str">
        <f>IFERROR(VLOOKUP(tbEscolas[[#This Row],[COD ETPA]],tbEtapas[],3,FALSE),"")</f>
        <v>EDUCAÇÃO INFANTIL</v>
      </c>
      <c r="F112" t="s">
        <v>126</v>
      </c>
    </row>
    <row r="113" spans="1:6" x14ac:dyDescent="0.25">
      <c r="A113" t="str" cm="1">
        <f t="array" ref="A113">IFERROR(INDEX(tbNucleo[ESCOLA],ROUNDUP(ROW(A112)/TotalEtapas,0)),"")</f>
        <v xml:space="preserve"> EM NOVO ORIENTE</v>
      </c>
      <c r="B113" t="str">
        <f>IFERROR(VLOOKUP(A113,tbNucleo[],2,FALSE),"")</f>
        <v>URBANO</v>
      </c>
      <c r="C113" cm="1">
        <f t="array" ref="C113">IF(A113="","",INDEX(tbEtapas[Nº],MOD(ROW(A112)-1,TotalEtapas)+1))</f>
        <v>4</v>
      </c>
      <c r="D113" t="str">
        <f>IFERROR(VLOOKUP(tbEscolas[[#This Row],[COD ETPA]],tbEtapas[],2,FALSE),"")</f>
        <v>PRE II</v>
      </c>
      <c r="E113" t="str">
        <f>IFERROR(VLOOKUP(tbEscolas[[#This Row],[COD ETPA]],tbEtapas[],3,FALSE),"")</f>
        <v>EDUCAÇÃO INFANTIL</v>
      </c>
      <c r="F113" t="s">
        <v>126</v>
      </c>
    </row>
    <row r="114" spans="1:6" x14ac:dyDescent="0.25">
      <c r="A114" t="str" cm="1">
        <f t="array" ref="A114">IFERROR(INDEX(tbNucleo[ESCOLA],ROUNDUP(ROW(A113)/TotalEtapas,0)),"")</f>
        <v xml:space="preserve"> EM NOVO ORIENTE</v>
      </c>
      <c r="B114" t="str">
        <f>IFERROR(VLOOKUP(A114,tbNucleo[],2,FALSE),"")</f>
        <v>URBANO</v>
      </c>
      <c r="C114" cm="1">
        <f t="array" ref="C114">IF(A114="","",INDEX(tbEtapas[Nº],MOD(ROW(A113)-1,TotalEtapas)+1))</f>
        <v>5</v>
      </c>
      <c r="D114" t="str">
        <f>IFERROR(VLOOKUP(tbEscolas[[#This Row],[COD ETPA]],tbEtapas[],2,FALSE),"")</f>
        <v>1º ANO</v>
      </c>
      <c r="E114" t="str">
        <f>IFERROR(VLOOKUP(tbEscolas[[#This Row],[COD ETPA]],tbEtapas[],3,FALSE),"")</f>
        <v>FUNDAMENTAL</v>
      </c>
      <c r="F114" t="s">
        <v>126</v>
      </c>
    </row>
    <row r="115" spans="1:6" x14ac:dyDescent="0.25">
      <c r="A115" t="str" cm="1">
        <f t="array" ref="A115">IFERROR(INDEX(tbNucleo[ESCOLA],ROUNDUP(ROW(A114)/TotalEtapas,0)),"")</f>
        <v xml:space="preserve"> EM NOVO ORIENTE</v>
      </c>
      <c r="B115" t="str">
        <f>IFERROR(VLOOKUP(A115,tbNucleo[],2,FALSE),"")</f>
        <v>URBANO</v>
      </c>
      <c r="C115" cm="1">
        <f t="array" ref="C115">IF(A115="","",INDEX(tbEtapas[Nº],MOD(ROW(A114)-1,TotalEtapas)+1))</f>
        <v>6</v>
      </c>
      <c r="D115" t="str">
        <f>IFERROR(VLOOKUP(tbEscolas[[#This Row],[COD ETPA]],tbEtapas[],2,FALSE),"")</f>
        <v>2º ANO</v>
      </c>
      <c r="E115" t="str">
        <f>IFERROR(VLOOKUP(tbEscolas[[#This Row],[COD ETPA]],tbEtapas[],3,FALSE),"")</f>
        <v>FUNDAMENTAL</v>
      </c>
      <c r="F115" t="s">
        <v>126</v>
      </c>
    </row>
    <row r="116" spans="1:6" x14ac:dyDescent="0.25">
      <c r="A116" t="str" cm="1">
        <f t="array" ref="A116">IFERROR(INDEX(tbNucleo[ESCOLA],ROUNDUP(ROW(A115)/TotalEtapas,0)),"")</f>
        <v xml:space="preserve"> EM NOVO ORIENTE</v>
      </c>
      <c r="B116" t="str">
        <f>IFERROR(VLOOKUP(A116,tbNucleo[],2,FALSE),"")</f>
        <v>URBANO</v>
      </c>
      <c r="C116" cm="1">
        <f t="array" ref="C116">IF(A116="","",INDEX(tbEtapas[Nº],MOD(ROW(A115)-1,TotalEtapas)+1))</f>
        <v>7</v>
      </c>
      <c r="D116" t="str">
        <f>IFERROR(VLOOKUP(tbEscolas[[#This Row],[COD ETPA]],tbEtapas[],2,FALSE),"")</f>
        <v>3º ANO</v>
      </c>
      <c r="E116" t="str">
        <f>IFERROR(VLOOKUP(tbEscolas[[#This Row],[COD ETPA]],tbEtapas[],3,FALSE),"")</f>
        <v>FUNDAMENTAL</v>
      </c>
      <c r="F116" t="s">
        <v>126</v>
      </c>
    </row>
    <row r="117" spans="1:6" x14ac:dyDescent="0.25">
      <c r="A117" t="str" cm="1">
        <f t="array" ref="A117">IFERROR(INDEX(tbNucleo[ESCOLA],ROUNDUP(ROW(A116)/TotalEtapas,0)),"")</f>
        <v xml:space="preserve"> EM NOVO ORIENTE</v>
      </c>
      <c r="B117" t="str">
        <f>IFERROR(VLOOKUP(A117,tbNucleo[],2,FALSE),"")</f>
        <v>URBANO</v>
      </c>
      <c r="C117" cm="1">
        <f t="array" ref="C117">IF(A117="","",INDEX(tbEtapas[Nº],MOD(ROW(A116)-1,TotalEtapas)+1))</f>
        <v>8</v>
      </c>
      <c r="D117" t="str">
        <f>IFERROR(VLOOKUP(tbEscolas[[#This Row],[COD ETPA]],tbEtapas[],2,FALSE),"")</f>
        <v>4º ANO</v>
      </c>
      <c r="E117" t="str">
        <f>IFERROR(VLOOKUP(tbEscolas[[#This Row],[COD ETPA]],tbEtapas[],3,FALSE),"")</f>
        <v>FUNDAMENTAL</v>
      </c>
      <c r="F117" t="s">
        <v>126</v>
      </c>
    </row>
    <row r="118" spans="1:6" x14ac:dyDescent="0.25">
      <c r="A118" t="str" cm="1">
        <f t="array" ref="A118">IFERROR(INDEX(tbNucleo[ESCOLA],ROUNDUP(ROW(A117)/TotalEtapas,0)),"")</f>
        <v xml:space="preserve"> EM NOVO ORIENTE</v>
      </c>
      <c r="B118" t="str">
        <f>IFERROR(VLOOKUP(A118,tbNucleo[],2,FALSE),"")</f>
        <v>URBANO</v>
      </c>
      <c r="C118" cm="1">
        <f t="array" ref="C118">IF(A118="","",INDEX(tbEtapas[Nº],MOD(ROW(A117)-1,TotalEtapas)+1))</f>
        <v>9</v>
      </c>
      <c r="D118" t="str">
        <f>IFERROR(VLOOKUP(tbEscolas[[#This Row],[COD ETPA]],tbEtapas[],2,FALSE),"")</f>
        <v>5º ANO</v>
      </c>
      <c r="E118" t="str">
        <f>IFERROR(VLOOKUP(tbEscolas[[#This Row],[COD ETPA]],tbEtapas[],3,FALSE),"")</f>
        <v>FUNDAMENTAL</v>
      </c>
      <c r="F118" t="s">
        <v>126</v>
      </c>
    </row>
    <row r="119" spans="1:6" x14ac:dyDescent="0.25">
      <c r="A119" t="str" cm="1">
        <f t="array" ref="A119">IFERROR(INDEX(tbNucleo[ESCOLA],ROUNDUP(ROW(A118)/TotalEtapas,0)),"")</f>
        <v xml:space="preserve"> EM NOVO ORIENTE</v>
      </c>
      <c r="B119" t="str">
        <f>IFERROR(VLOOKUP(A119,tbNucleo[],2,FALSE),"")</f>
        <v>URBANO</v>
      </c>
      <c r="C119" cm="1">
        <f t="array" ref="C119">IF(A119="","",INDEX(tbEtapas[Nº],MOD(ROW(A118)-1,TotalEtapas)+1))</f>
        <v>10</v>
      </c>
      <c r="D119" t="str">
        <f>IFERROR(VLOOKUP(tbEscolas[[#This Row],[COD ETPA]],tbEtapas[],2,FALSE),"")</f>
        <v>6º ANO</v>
      </c>
      <c r="E119" t="str">
        <f>IFERROR(VLOOKUP(tbEscolas[[#This Row],[COD ETPA]],tbEtapas[],3,FALSE),"")</f>
        <v>FUNDAMENTAL</v>
      </c>
      <c r="F119" t="s">
        <v>125</v>
      </c>
    </row>
    <row r="120" spans="1:6" x14ac:dyDescent="0.25">
      <c r="A120" t="str" cm="1">
        <f t="array" ref="A120">IFERROR(INDEX(tbNucleo[ESCOLA],ROUNDUP(ROW(A119)/TotalEtapas,0)),"")</f>
        <v xml:space="preserve"> EM NOVO ORIENTE</v>
      </c>
      <c r="B120" t="str">
        <f>IFERROR(VLOOKUP(A120,tbNucleo[],2,FALSE),"")</f>
        <v>URBANO</v>
      </c>
      <c r="C120" cm="1">
        <f t="array" ref="C120">IF(A120="","",INDEX(tbEtapas[Nº],MOD(ROW(A119)-1,TotalEtapas)+1))</f>
        <v>11</v>
      </c>
      <c r="D120" t="str">
        <f>IFERROR(VLOOKUP(tbEscolas[[#This Row],[COD ETPA]],tbEtapas[],2,FALSE),"")</f>
        <v>7º ANO</v>
      </c>
      <c r="E120" t="str">
        <f>IFERROR(VLOOKUP(tbEscolas[[#This Row],[COD ETPA]],tbEtapas[],3,FALSE),"")</f>
        <v>FUNDAMENTAL</v>
      </c>
      <c r="F120" t="s">
        <v>125</v>
      </c>
    </row>
    <row r="121" spans="1:6" x14ac:dyDescent="0.25">
      <c r="A121" t="str" cm="1">
        <f t="array" ref="A121">IFERROR(INDEX(tbNucleo[ESCOLA],ROUNDUP(ROW(A120)/TotalEtapas,0)),"")</f>
        <v xml:space="preserve"> EM NOVO ORIENTE</v>
      </c>
      <c r="B121" t="str">
        <f>IFERROR(VLOOKUP(A121,tbNucleo[],2,FALSE),"")</f>
        <v>URBANO</v>
      </c>
      <c r="C121" cm="1">
        <f t="array" ref="C121">IF(A121="","",INDEX(tbEtapas[Nº],MOD(ROW(A120)-1,TotalEtapas)+1))</f>
        <v>12</v>
      </c>
      <c r="D121" t="str">
        <f>IFERROR(VLOOKUP(tbEscolas[[#This Row],[COD ETPA]],tbEtapas[],2,FALSE),"")</f>
        <v>8º ANO</v>
      </c>
      <c r="E121" t="str">
        <f>IFERROR(VLOOKUP(tbEscolas[[#This Row],[COD ETPA]],tbEtapas[],3,FALSE),"")</f>
        <v>FUNDAMENTAL</v>
      </c>
      <c r="F121" t="s">
        <v>125</v>
      </c>
    </row>
    <row r="122" spans="1:6" x14ac:dyDescent="0.25">
      <c r="A122" t="str" cm="1">
        <f t="array" ref="A122">IFERROR(INDEX(tbNucleo[ESCOLA],ROUNDUP(ROW(A121)/TotalEtapas,0)),"")</f>
        <v xml:space="preserve"> EM NOVO ORIENTE</v>
      </c>
      <c r="B122" t="str">
        <f>IFERROR(VLOOKUP(A122,tbNucleo[],2,FALSE),"")</f>
        <v>URBANO</v>
      </c>
      <c r="C122" cm="1">
        <f t="array" ref="C122">IF(A122="","",INDEX(tbEtapas[Nº],MOD(ROW(A121)-1,TotalEtapas)+1))</f>
        <v>13</v>
      </c>
      <c r="D122" t="str">
        <f>IFERROR(VLOOKUP(tbEscolas[[#This Row],[COD ETPA]],tbEtapas[],2,FALSE),"")</f>
        <v>9º ANO</v>
      </c>
      <c r="E122" t="str">
        <f>IFERROR(VLOOKUP(tbEscolas[[#This Row],[COD ETPA]],tbEtapas[],3,FALSE),"")</f>
        <v>FUNDAMENTAL</v>
      </c>
      <c r="F122" t="s">
        <v>125</v>
      </c>
    </row>
    <row r="123" spans="1:6" x14ac:dyDescent="0.25">
      <c r="A123" t="str" cm="1">
        <f t="array" ref="A123">IFERROR(INDEX(tbNucleo[ESCOLA],ROUNDUP(ROW(A122)/TotalEtapas,0)),"")</f>
        <v xml:space="preserve"> EM NOVO ORIENTE</v>
      </c>
      <c r="B123" t="str">
        <f>IFERROR(VLOOKUP(A123,tbNucleo[],2,FALSE),"")</f>
        <v>URBANO</v>
      </c>
      <c r="C123" cm="1">
        <f t="array" ref="C123">IF(A123="","",INDEX(tbEtapas[Nº],MOD(ROW(A122)-1,TotalEtapas)+1))</f>
        <v>14</v>
      </c>
      <c r="D123" t="str">
        <f>IFERROR(VLOOKUP(tbEscolas[[#This Row],[COD ETPA]],tbEtapas[],2,FALSE),"")</f>
        <v>1º ANO</v>
      </c>
      <c r="E123" t="str">
        <f>IFERROR(VLOOKUP(tbEscolas[[#This Row],[COD ETPA]],tbEtapas[],3,FALSE),"")</f>
        <v>ENSINO MÉDIO</v>
      </c>
      <c r="F123" t="s">
        <v>125</v>
      </c>
    </row>
    <row r="124" spans="1:6" x14ac:dyDescent="0.25">
      <c r="A124" t="str" cm="1">
        <f t="array" ref="A124">IFERROR(INDEX(tbNucleo[ESCOLA],ROUNDUP(ROW(A123)/TotalEtapas,0)),"")</f>
        <v xml:space="preserve"> EM NOVO ORIENTE</v>
      </c>
      <c r="B124" t="str">
        <f>IFERROR(VLOOKUP(A124,tbNucleo[],2,FALSE),"")</f>
        <v>URBANO</v>
      </c>
      <c r="C124" cm="1">
        <f t="array" ref="C124">IF(A124="","",INDEX(tbEtapas[Nº],MOD(ROW(A123)-1,TotalEtapas)+1))</f>
        <v>15</v>
      </c>
      <c r="D124" t="str">
        <f>IFERROR(VLOOKUP(tbEscolas[[#This Row],[COD ETPA]],tbEtapas[],2,FALSE),"")</f>
        <v>2º ANO</v>
      </c>
      <c r="E124" t="str">
        <f>IFERROR(VLOOKUP(tbEscolas[[#This Row],[COD ETPA]],tbEtapas[],3,FALSE),"")</f>
        <v>ENSINO MÉDIO</v>
      </c>
      <c r="F124" t="s">
        <v>125</v>
      </c>
    </row>
    <row r="125" spans="1:6" x14ac:dyDescent="0.25">
      <c r="A125" t="str" cm="1">
        <f t="array" ref="A125">IFERROR(INDEX(tbNucleo[ESCOLA],ROUNDUP(ROW(A124)/TotalEtapas,0)),"")</f>
        <v xml:space="preserve"> EM NOVO ORIENTE</v>
      </c>
      <c r="B125" t="str">
        <f>IFERROR(VLOOKUP(A125,tbNucleo[],2,FALSE),"")</f>
        <v>URBANO</v>
      </c>
      <c r="C125" cm="1">
        <f t="array" ref="C125">IF(A125="","",INDEX(tbEtapas[Nº],MOD(ROW(A124)-1,TotalEtapas)+1))</f>
        <v>16</v>
      </c>
      <c r="D125" t="str">
        <f>IFERROR(VLOOKUP(tbEscolas[[#This Row],[COD ETPA]],tbEtapas[],2,FALSE),"")</f>
        <v>3º ANO</v>
      </c>
      <c r="E125" t="str">
        <f>IFERROR(VLOOKUP(tbEscolas[[#This Row],[COD ETPA]],tbEtapas[],3,FALSE),"")</f>
        <v>ENSINO MÉDIO</v>
      </c>
      <c r="F125" t="s">
        <v>125</v>
      </c>
    </row>
    <row r="126" spans="1:6" x14ac:dyDescent="0.25">
      <c r="A126" t="str" cm="1">
        <f t="array" ref="A126">IFERROR(INDEX(tbNucleo[ESCOLA],ROUNDUP(ROW(A125)/TotalEtapas,0)),"")</f>
        <v xml:space="preserve"> EM NOVO ORIENTE</v>
      </c>
      <c r="B126" t="str">
        <f>IFERROR(VLOOKUP(A126,tbNucleo[],2,FALSE),"")</f>
        <v>URBANO</v>
      </c>
      <c r="C126" cm="1">
        <f t="array" ref="C126">IF(A126="","",INDEX(tbEtapas[Nº],MOD(ROW(A125)-1,TotalEtapas)+1))</f>
        <v>17</v>
      </c>
      <c r="D126" t="str">
        <f>IFERROR(VLOOKUP(tbEscolas[[#This Row],[COD ETPA]],tbEtapas[],2,FALSE),"")</f>
        <v>EJA I</v>
      </c>
      <c r="E126" t="str">
        <f>IFERROR(VLOOKUP(tbEscolas[[#This Row],[COD ETPA]],tbEtapas[],3,FALSE),"")</f>
        <v>FUNDAMENTAL</v>
      </c>
      <c r="F126" t="s">
        <v>125</v>
      </c>
    </row>
    <row r="127" spans="1:6" x14ac:dyDescent="0.25">
      <c r="A127" t="str" cm="1">
        <f t="array" ref="A127">IFERROR(INDEX(tbNucleo[ESCOLA],ROUNDUP(ROW(A126)/TotalEtapas,0)),"")</f>
        <v xml:space="preserve"> EM NOVO ORIENTE</v>
      </c>
      <c r="B127" t="str">
        <f>IFERROR(VLOOKUP(A127,tbNucleo[],2,FALSE),"")</f>
        <v>URBANO</v>
      </c>
      <c r="C127" cm="1">
        <f t="array" ref="C127">IF(A127="","",INDEX(tbEtapas[Nº],MOD(ROW(A126)-1,TotalEtapas)+1))</f>
        <v>18</v>
      </c>
      <c r="D127" t="str">
        <f>IFERROR(VLOOKUP(tbEscolas[[#This Row],[COD ETPA]],tbEtapas[],2,FALSE),"")</f>
        <v>EJA II</v>
      </c>
      <c r="E127" t="str">
        <f>IFERROR(VLOOKUP(tbEscolas[[#This Row],[COD ETPA]],tbEtapas[],3,FALSE),"")</f>
        <v>ENSINO MÉDIO</v>
      </c>
      <c r="F127" t="s">
        <v>125</v>
      </c>
    </row>
    <row r="128" spans="1:6" x14ac:dyDescent="0.25">
      <c r="A128" t="str" cm="1">
        <f t="array" ref="A128">IFERROR(INDEX(tbNucleo[ESCOLA],ROUNDUP(ROW(A127)/TotalEtapas,0)),"")</f>
        <v xml:space="preserve"> EM PROFª ERENICE SIMAO ALVARENGA </v>
      </c>
      <c r="B128" t="str">
        <f>IFERROR(VLOOKUP(A128,tbNucleo[],2,FALSE),"")</f>
        <v>URBANO</v>
      </c>
      <c r="C128" cm="1">
        <f t="array" ref="C128">IF(A128="","",INDEX(tbEtapas[Nº],MOD(ROW(A127)-1,TotalEtapas)+1))</f>
        <v>1</v>
      </c>
      <c r="D128" t="str">
        <f>IFERROR(VLOOKUP(tbEscolas[[#This Row],[COD ETPA]],tbEtapas[],2,FALSE),"")</f>
        <v>CRECHE I</v>
      </c>
      <c r="E128" t="str">
        <f>IFERROR(VLOOKUP(tbEscolas[[#This Row],[COD ETPA]],tbEtapas[],3,FALSE),"")</f>
        <v>EDUCAÇÃO INFANTIL</v>
      </c>
      <c r="F128" t="s">
        <v>125</v>
      </c>
    </row>
    <row r="129" spans="1:6" x14ac:dyDescent="0.25">
      <c r="A129" t="str" cm="1">
        <f t="array" ref="A129">IFERROR(INDEX(tbNucleo[ESCOLA],ROUNDUP(ROW(A128)/TotalEtapas,0)),"")</f>
        <v xml:space="preserve"> EM PROFª ERENICE SIMAO ALVARENGA </v>
      </c>
      <c r="B129" t="str">
        <f>IFERROR(VLOOKUP(A129,tbNucleo[],2,FALSE),"")</f>
        <v>URBANO</v>
      </c>
      <c r="C129" cm="1">
        <f t="array" ref="C129">IF(A129="","",INDEX(tbEtapas[Nº],MOD(ROW(A128)-1,TotalEtapas)+1))</f>
        <v>2</v>
      </c>
      <c r="D129" t="str">
        <f>IFERROR(VLOOKUP(tbEscolas[[#This Row],[COD ETPA]],tbEtapas[],2,FALSE),"")</f>
        <v>CRECHE II</v>
      </c>
      <c r="E129" t="str">
        <f>IFERROR(VLOOKUP(tbEscolas[[#This Row],[COD ETPA]],tbEtapas[],3,FALSE),"")</f>
        <v>EDUCAÇÃO INFANTIL</v>
      </c>
      <c r="F129" t="s">
        <v>125</v>
      </c>
    </row>
    <row r="130" spans="1:6" x14ac:dyDescent="0.25">
      <c r="A130" t="str" cm="1">
        <f t="array" ref="A130">IFERROR(INDEX(tbNucleo[ESCOLA],ROUNDUP(ROW(A129)/TotalEtapas,0)),"")</f>
        <v xml:space="preserve"> EM PROFª ERENICE SIMAO ALVARENGA </v>
      </c>
      <c r="B130" t="str">
        <f>IFERROR(VLOOKUP(A130,tbNucleo[],2,FALSE),"")</f>
        <v>URBANO</v>
      </c>
      <c r="C130" cm="1">
        <f t="array" ref="C130">IF(A130="","",INDEX(tbEtapas[Nº],MOD(ROW(A129)-1,TotalEtapas)+1))</f>
        <v>3</v>
      </c>
      <c r="D130" t="str">
        <f>IFERROR(VLOOKUP(tbEscolas[[#This Row],[COD ETPA]],tbEtapas[],2,FALSE),"")</f>
        <v>PRE I</v>
      </c>
      <c r="E130" t="str">
        <f>IFERROR(VLOOKUP(tbEscolas[[#This Row],[COD ETPA]],tbEtapas[],3,FALSE),"")</f>
        <v>EDUCAÇÃO INFANTIL</v>
      </c>
      <c r="F130" t="s">
        <v>126</v>
      </c>
    </row>
    <row r="131" spans="1:6" x14ac:dyDescent="0.25">
      <c r="A131" t="str" cm="1">
        <f t="array" ref="A131">IFERROR(INDEX(tbNucleo[ESCOLA],ROUNDUP(ROW(A130)/TotalEtapas,0)),"")</f>
        <v xml:space="preserve"> EM PROFª ERENICE SIMAO ALVARENGA </v>
      </c>
      <c r="B131" t="str">
        <f>IFERROR(VLOOKUP(A131,tbNucleo[],2,FALSE),"")</f>
        <v>URBANO</v>
      </c>
      <c r="C131" cm="1">
        <f t="array" ref="C131">IF(A131="","",INDEX(tbEtapas[Nº],MOD(ROW(A130)-1,TotalEtapas)+1))</f>
        <v>4</v>
      </c>
      <c r="D131" t="str">
        <f>IFERROR(VLOOKUP(tbEscolas[[#This Row],[COD ETPA]],tbEtapas[],2,FALSE),"")</f>
        <v>PRE II</v>
      </c>
      <c r="E131" t="str">
        <f>IFERROR(VLOOKUP(tbEscolas[[#This Row],[COD ETPA]],tbEtapas[],3,FALSE),"")</f>
        <v>EDUCAÇÃO INFANTIL</v>
      </c>
      <c r="F131" t="s">
        <v>126</v>
      </c>
    </row>
    <row r="132" spans="1:6" x14ac:dyDescent="0.25">
      <c r="A132" t="str" cm="1">
        <f t="array" ref="A132">IFERROR(INDEX(tbNucleo[ESCOLA],ROUNDUP(ROW(A131)/TotalEtapas,0)),"")</f>
        <v xml:space="preserve"> EM PROFª ERENICE SIMAO ALVARENGA </v>
      </c>
      <c r="B132" t="str">
        <f>IFERROR(VLOOKUP(A132,tbNucleo[],2,FALSE),"")</f>
        <v>URBANO</v>
      </c>
      <c r="C132" cm="1">
        <f t="array" ref="C132">IF(A132="","",INDEX(tbEtapas[Nº],MOD(ROW(A131)-1,TotalEtapas)+1))</f>
        <v>5</v>
      </c>
      <c r="D132" t="str">
        <f>IFERROR(VLOOKUP(tbEscolas[[#This Row],[COD ETPA]],tbEtapas[],2,FALSE),"")</f>
        <v>1º ANO</v>
      </c>
      <c r="E132" t="str">
        <f>IFERROR(VLOOKUP(tbEscolas[[#This Row],[COD ETPA]],tbEtapas[],3,FALSE),"")</f>
        <v>FUNDAMENTAL</v>
      </c>
      <c r="F132" t="s">
        <v>126</v>
      </c>
    </row>
    <row r="133" spans="1:6" x14ac:dyDescent="0.25">
      <c r="A133" t="str" cm="1">
        <f t="array" ref="A133">IFERROR(INDEX(tbNucleo[ESCOLA],ROUNDUP(ROW(A132)/TotalEtapas,0)),"")</f>
        <v xml:space="preserve"> EM PROFª ERENICE SIMAO ALVARENGA </v>
      </c>
      <c r="B133" t="str">
        <f>IFERROR(VLOOKUP(A133,tbNucleo[],2,FALSE),"")</f>
        <v>URBANO</v>
      </c>
      <c r="C133" cm="1">
        <f t="array" ref="C133">IF(A133="","",INDEX(tbEtapas[Nº],MOD(ROW(A132)-1,TotalEtapas)+1))</f>
        <v>6</v>
      </c>
      <c r="D133" t="str">
        <f>IFERROR(VLOOKUP(tbEscolas[[#This Row],[COD ETPA]],tbEtapas[],2,FALSE),"")</f>
        <v>2º ANO</v>
      </c>
      <c r="E133" t="str">
        <f>IFERROR(VLOOKUP(tbEscolas[[#This Row],[COD ETPA]],tbEtapas[],3,FALSE),"")</f>
        <v>FUNDAMENTAL</v>
      </c>
      <c r="F133" t="s">
        <v>126</v>
      </c>
    </row>
    <row r="134" spans="1:6" x14ac:dyDescent="0.25">
      <c r="A134" t="str" cm="1">
        <f t="array" ref="A134">IFERROR(INDEX(tbNucleo[ESCOLA],ROUNDUP(ROW(A133)/TotalEtapas,0)),"")</f>
        <v xml:space="preserve"> EM PROFª ERENICE SIMAO ALVARENGA </v>
      </c>
      <c r="B134" t="str">
        <f>IFERROR(VLOOKUP(A134,tbNucleo[],2,FALSE),"")</f>
        <v>URBANO</v>
      </c>
      <c r="C134" cm="1">
        <f t="array" ref="C134">IF(A134="","",INDEX(tbEtapas[Nº],MOD(ROW(A133)-1,TotalEtapas)+1))</f>
        <v>7</v>
      </c>
      <c r="D134" t="str">
        <f>IFERROR(VLOOKUP(tbEscolas[[#This Row],[COD ETPA]],tbEtapas[],2,FALSE),"")</f>
        <v>3º ANO</v>
      </c>
      <c r="E134" t="str">
        <f>IFERROR(VLOOKUP(tbEscolas[[#This Row],[COD ETPA]],tbEtapas[],3,FALSE),"")</f>
        <v>FUNDAMENTAL</v>
      </c>
      <c r="F134" t="s">
        <v>126</v>
      </c>
    </row>
    <row r="135" spans="1:6" x14ac:dyDescent="0.25">
      <c r="A135" t="str" cm="1">
        <f t="array" ref="A135">IFERROR(INDEX(tbNucleo[ESCOLA],ROUNDUP(ROW(A134)/TotalEtapas,0)),"")</f>
        <v xml:space="preserve"> EM PROFª ERENICE SIMAO ALVARENGA </v>
      </c>
      <c r="B135" t="str">
        <f>IFERROR(VLOOKUP(A135,tbNucleo[],2,FALSE),"")</f>
        <v>URBANO</v>
      </c>
      <c r="C135" cm="1">
        <f t="array" ref="C135">IF(A135="","",INDEX(tbEtapas[Nº],MOD(ROW(A134)-1,TotalEtapas)+1))</f>
        <v>8</v>
      </c>
      <c r="D135" t="str">
        <f>IFERROR(VLOOKUP(tbEscolas[[#This Row],[COD ETPA]],tbEtapas[],2,FALSE),"")</f>
        <v>4º ANO</v>
      </c>
      <c r="E135" t="str">
        <f>IFERROR(VLOOKUP(tbEscolas[[#This Row],[COD ETPA]],tbEtapas[],3,FALSE),"")</f>
        <v>FUNDAMENTAL</v>
      </c>
      <c r="F135" t="s">
        <v>126</v>
      </c>
    </row>
    <row r="136" spans="1:6" x14ac:dyDescent="0.25">
      <c r="A136" t="str" cm="1">
        <f t="array" ref="A136">IFERROR(INDEX(tbNucleo[ESCOLA],ROUNDUP(ROW(A135)/TotalEtapas,0)),"")</f>
        <v xml:space="preserve"> EM PROFª ERENICE SIMAO ALVARENGA </v>
      </c>
      <c r="B136" t="str">
        <f>IFERROR(VLOOKUP(A136,tbNucleo[],2,FALSE),"")</f>
        <v>URBANO</v>
      </c>
      <c r="C136" cm="1">
        <f t="array" ref="C136">IF(A136="","",INDEX(tbEtapas[Nº],MOD(ROW(A135)-1,TotalEtapas)+1))</f>
        <v>9</v>
      </c>
      <c r="D136" t="str">
        <f>IFERROR(VLOOKUP(tbEscolas[[#This Row],[COD ETPA]],tbEtapas[],2,FALSE),"")</f>
        <v>5º ANO</v>
      </c>
      <c r="E136" t="str">
        <f>IFERROR(VLOOKUP(tbEscolas[[#This Row],[COD ETPA]],tbEtapas[],3,FALSE),"")</f>
        <v>FUNDAMENTAL</v>
      </c>
      <c r="F136" t="s">
        <v>126</v>
      </c>
    </row>
    <row r="137" spans="1:6" x14ac:dyDescent="0.25">
      <c r="A137" t="str" cm="1">
        <f t="array" ref="A137">IFERROR(INDEX(tbNucleo[ESCOLA],ROUNDUP(ROW(A136)/TotalEtapas,0)),"")</f>
        <v xml:space="preserve"> EM PROFª ERENICE SIMAO ALVARENGA </v>
      </c>
      <c r="B137" t="str">
        <f>IFERROR(VLOOKUP(A137,tbNucleo[],2,FALSE),"")</f>
        <v>URBANO</v>
      </c>
      <c r="C137" cm="1">
        <f t="array" ref="C137">IF(A137="","",INDEX(tbEtapas[Nº],MOD(ROW(A136)-1,TotalEtapas)+1))</f>
        <v>10</v>
      </c>
      <c r="D137" t="str">
        <f>IFERROR(VLOOKUP(tbEscolas[[#This Row],[COD ETPA]],tbEtapas[],2,FALSE),"")</f>
        <v>6º ANO</v>
      </c>
      <c r="E137" t="str">
        <f>IFERROR(VLOOKUP(tbEscolas[[#This Row],[COD ETPA]],tbEtapas[],3,FALSE),"")</f>
        <v>FUNDAMENTAL</v>
      </c>
      <c r="F137" t="s">
        <v>125</v>
      </c>
    </row>
    <row r="138" spans="1:6" x14ac:dyDescent="0.25">
      <c r="A138" t="str" cm="1">
        <f t="array" ref="A138">IFERROR(INDEX(tbNucleo[ESCOLA],ROUNDUP(ROW(A137)/TotalEtapas,0)),"")</f>
        <v xml:space="preserve"> EM PROFª ERENICE SIMAO ALVARENGA </v>
      </c>
      <c r="B138" t="str">
        <f>IFERROR(VLOOKUP(A138,tbNucleo[],2,FALSE),"")</f>
        <v>URBANO</v>
      </c>
      <c r="C138" cm="1">
        <f t="array" ref="C138">IF(A138="","",INDEX(tbEtapas[Nº],MOD(ROW(A137)-1,TotalEtapas)+1))</f>
        <v>11</v>
      </c>
      <c r="D138" t="str">
        <f>IFERROR(VLOOKUP(tbEscolas[[#This Row],[COD ETPA]],tbEtapas[],2,FALSE),"")</f>
        <v>7º ANO</v>
      </c>
      <c r="E138" t="str">
        <f>IFERROR(VLOOKUP(tbEscolas[[#This Row],[COD ETPA]],tbEtapas[],3,FALSE),"")</f>
        <v>FUNDAMENTAL</v>
      </c>
      <c r="F138" t="s">
        <v>125</v>
      </c>
    </row>
    <row r="139" spans="1:6" x14ac:dyDescent="0.25">
      <c r="A139" t="str" cm="1">
        <f t="array" ref="A139">IFERROR(INDEX(tbNucleo[ESCOLA],ROUNDUP(ROW(A138)/TotalEtapas,0)),"")</f>
        <v xml:space="preserve"> EM PROFª ERENICE SIMAO ALVARENGA </v>
      </c>
      <c r="B139" t="str">
        <f>IFERROR(VLOOKUP(A139,tbNucleo[],2,FALSE),"")</f>
        <v>URBANO</v>
      </c>
      <c r="C139" cm="1">
        <f t="array" ref="C139">IF(A139="","",INDEX(tbEtapas[Nº],MOD(ROW(A138)-1,TotalEtapas)+1))</f>
        <v>12</v>
      </c>
      <c r="D139" t="str">
        <f>IFERROR(VLOOKUP(tbEscolas[[#This Row],[COD ETPA]],tbEtapas[],2,FALSE),"")</f>
        <v>8º ANO</v>
      </c>
      <c r="E139" t="str">
        <f>IFERROR(VLOOKUP(tbEscolas[[#This Row],[COD ETPA]],tbEtapas[],3,FALSE),"")</f>
        <v>FUNDAMENTAL</v>
      </c>
      <c r="F139" t="s">
        <v>125</v>
      </c>
    </row>
    <row r="140" spans="1:6" x14ac:dyDescent="0.25">
      <c r="A140" t="str" cm="1">
        <f t="array" ref="A140">IFERROR(INDEX(tbNucleo[ESCOLA],ROUNDUP(ROW(A139)/TotalEtapas,0)),"")</f>
        <v xml:space="preserve"> EM PROFª ERENICE SIMAO ALVARENGA </v>
      </c>
      <c r="B140" t="str">
        <f>IFERROR(VLOOKUP(A140,tbNucleo[],2,FALSE),"")</f>
        <v>URBANO</v>
      </c>
      <c r="C140" cm="1">
        <f t="array" ref="C140">IF(A140="","",INDEX(tbEtapas[Nº],MOD(ROW(A139)-1,TotalEtapas)+1))</f>
        <v>13</v>
      </c>
      <c r="D140" t="str">
        <f>IFERROR(VLOOKUP(tbEscolas[[#This Row],[COD ETPA]],tbEtapas[],2,FALSE),"")</f>
        <v>9º ANO</v>
      </c>
      <c r="E140" t="str">
        <f>IFERROR(VLOOKUP(tbEscolas[[#This Row],[COD ETPA]],tbEtapas[],3,FALSE),"")</f>
        <v>FUNDAMENTAL</v>
      </c>
      <c r="F140" t="s">
        <v>125</v>
      </c>
    </row>
    <row r="141" spans="1:6" x14ac:dyDescent="0.25">
      <c r="A141" t="str" cm="1">
        <f t="array" ref="A141">IFERROR(INDEX(tbNucleo[ESCOLA],ROUNDUP(ROW(A140)/TotalEtapas,0)),"")</f>
        <v xml:space="preserve"> EM PROFª ERENICE SIMAO ALVARENGA </v>
      </c>
      <c r="B141" t="str">
        <f>IFERROR(VLOOKUP(A141,tbNucleo[],2,FALSE),"")</f>
        <v>URBANO</v>
      </c>
      <c r="C141" cm="1">
        <f t="array" ref="C141">IF(A141="","",INDEX(tbEtapas[Nº],MOD(ROW(A140)-1,TotalEtapas)+1))</f>
        <v>14</v>
      </c>
      <c r="D141" t="str">
        <f>IFERROR(VLOOKUP(tbEscolas[[#This Row],[COD ETPA]],tbEtapas[],2,FALSE),"")</f>
        <v>1º ANO</v>
      </c>
      <c r="E141" t="str">
        <f>IFERROR(VLOOKUP(tbEscolas[[#This Row],[COD ETPA]],tbEtapas[],3,FALSE),"")</f>
        <v>ENSINO MÉDIO</v>
      </c>
      <c r="F141" t="s">
        <v>125</v>
      </c>
    </row>
    <row r="142" spans="1:6" x14ac:dyDescent="0.25">
      <c r="A142" t="str" cm="1">
        <f t="array" ref="A142">IFERROR(INDEX(tbNucleo[ESCOLA],ROUNDUP(ROW(A141)/TotalEtapas,0)),"")</f>
        <v xml:space="preserve"> EM PROFª ERENICE SIMAO ALVARENGA </v>
      </c>
      <c r="B142" t="str">
        <f>IFERROR(VLOOKUP(A142,tbNucleo[],2,FALSE),"")</f>
        <v>URBANO</v>
      </c>
      <c r="C142" cm="1">
        <f t="array" ref="C142">IF(A142="","",INDEX(tbEtapas[Nº],MOD(ROW(A141)-1,TotalEtapas)+1))</f>
        <v>15</v>
      </c>
      <c r="D142" t="str">
        <f>IFERROR(VLOOKUP(tbEscolas[[#This Row],[COD ETPA]],tbEtapas[],2,FALSE),"")</f>
        <v>2º ANO</v>
      </c>
      <c r="E142" t="str">
        <f>IFERROR(VLOOKUP(tbEscolas[[#This Row],[COD ETPA]],tbEtapas[],3,FALSE),"")</f>
        <v>ENSINO MÉDIO</v>
      </c>
      <c r="F142" t="s">
        <v>125</v>
      </c>
    </row>
    <row r="143" spans="1:6" x14ac:dyDescent="0.25">
      <c r="A143" t="str" cm="1">
        <f t="array" ref="A143">IFERROR(INDEX(tbNucleo[ESCOLA],ROUNDUP(ROW(A142)/TotalEtapas,0)),"")</f>
        <v xml:space="preserve"> EM PROFª ERENICE SIMAO ALVARENGA </v>
      </c>
      <c r="B143" t="str">
        <f>IFERROR(VLOOKUP(A143,tbNucleo[],2,FALSE),"")</f>
        <v>URBANO</v>
      </c>
      <c r="C143" cm="1">
        <f t="array" ref="C143">IF(A143="","",INDEX(tbEtapas[Nº],MOD(ROW(A142)-1,TotalEtapas)+1))</f>
        <v>16</v>
      </c>
      <c r="D143" t="str">
        <f>IFERROR(VLOOKUP(tbEscolas[[#This Row],[COD ETPA]],tbEtapas[],2,FALSE),"")</f>
        <v>3º ANO</v>
      </c>
      <c r="E143" t="str">
        <f>IFERROR(VLOOKUP(tbEscolas[[#This Row],[COD ETPA]],tbEtapas[],3,FALSE),"")</f>
        <v>ENSINO MÉDIO</v>
      </c>
      <c r="F143" t="s">
        <v>125</v>
      </c>
    </row>
    <row r="144" spans="1:6" x14ac:dyDescent="0.25">
      <c r="A144" t="str" cm="1">
        <f t="array" ref="A144">IFERROR(INDEX(tbNucleo[ESCOLA],ROUNDUP(ROW(A143)/TotalEtapas,0)),"")</f>
        <v xml:space="preserve"> EM PROFª ERENICE SIMAO ALVARENGA </v>
      </c>
      <c r="B144" t="str">
        <f>IFERROR(VLOOKUP(A144,tbNucleo[],2,FALSE),"")</f>
        <v>URBANO</v>
      </c>
      <c r="C144" cm="1">
        <f t="array" ref="C144">IF(A144="","",INDEX(tbEtapas[Nº],MOD(ROW(A143)-1,TotalEtapas)+1))</f>
        <v>17</v>
      </c>
      <c r="D144" t="str">
        <f>IFERROR(VLOOKUP(tbEscolas[[#This Row],[COD ETPA]],tbEtapas[],2,FALSE),"")</f>
        <v>EJA I</v>
      </c>
      <c r="E144" t="str">
        <f>IFERROR(VLOOKUP(tbEscolas[[#This Row],[COD ETPA]],tbEtapas[],3,FALSE),"")</f>
        <v>FUNDAMENTAL</v>
      </c>
      <c r="F144" t="s">
        <v>125</v>
      </c>
    </row>
    <row r="145" spans="1:6" x14ac:dyDescent="0.25">
      <c r="A145" t="str" cm="1">
        <f t="array" ref="A145">IFERROR(INDEX(tbNucleo[ESCOLA],ROUNDUP(ROW(A144)/TotalEtapas,0)),"")</f>
        <v xml:space="preserve"> EM PROFª ERENICE SIMAO ALVARENGA </v>
      </c>
      <c r="B145" t="str">
        <f>IFERROR(VLOOKUP(A145,tbNucleo[],2,FALSE),"")</f>
        <v>URBANO</v>
      </c>
      <c r="C145" cm="1">
        <f t="array" ref="C145">IF(A145="","",INDEX(tbEtapas[Nº],MOD(ROW(A144)-1,TotalEtapas)+1))</f>
        <v>18</v>
      </c>
      <c r="D145" t="str">
        <f>IFERROR(VLOOKUP(tbEscolas[[#This Row],[COD ETPA]],tbEtapas[],2,FALSE),"")</f>
        <v>EJA II</v>
      </c>
      <c r="E145" t="str">
        <f>IFERROR(VLOOKUP(tbEscolas[[#This Row],[COD ETPA]],tbEtapas[],3,FALSE),"")</f>
        <v>ENSINO MÉDIO</v>
      </c>
      <c r="F145" t="s">
        <v>125</v>
      </c>
    </row>
    <row r="146" spans="1:6" x14ac:dyDescent="0.25">
      <c r="A146" t="str" cm="1">
        <f t="array" ref="A146">IFERROR(INDEX(tbNucleo[ESCOLA],ROUNDUP(ROW(A145)/TotalEtapas,0)),"")</f>
        <v>E. E. C. M. Frei Ambrósio</v>
      </c>
      <c r="B146" t="str">
        <f>IFERROR(VLOOKUP(A146,tbNucleo[],2,FALSE),"")</f>
        <v>URBANO</v>
      </c>
      <c r="C146" cm="1">
        <f t="array" ref="C146">IF(A146="","",INDEX(tbEtapas[Nº],MOD(ROW(A145)-1,TotalEtapas)+1))</f>
        <v>1</v>
      </c>
      <c r="D146" t="str">
        <f>IFERROR(VLOOKUP(tbEscolas[[#This Row],[COD ETPA]],tbEtapas[],2,FALSE),"")</f>
        <v>CRECHE I</v>
      </c>
      <c r="E146" t="str">
        <f>IFERROR(VLOOKUP(tbEscolas[[#This Row],[COD ETPA]],tbEtapas[],3,FALSE),"")</f>
        <v>EDUCAÇÃO INFANTIL</v>
      </c>
      <c r="F146" t="s">
        <v>125</v>
      </c>
    </row>
    <row r="147" spans="1:6" x14ac:dyDescent="0.25">
      <c r="A147" t="str" cm="1">
        <f t="array" ref="A147">IFERROR(INDEX(tbNucleo[ESCOLA],ROUNDUP(ROW(A146)/TotalEtapas,0)),"")</f>
        <v>E. E. C. M. Frei Ambrósio</v>
      </c>
      <c r="B147" t="str">
        <f>IFERROR(VLOOKUP(A147,tbNucleo[],2,FALSE),"")</f>
        <v>URBANO</v>
      </c>
      <c r="C147" cm="1">
        <f t="array" ref="C147">IF(A147="","",INDEX(tbEtapas[Nº],MOD(ROW(A146)-1,TotalEtapas)+1))</f>
        <v>2</v>
      </c>
      <c r="D147" t="str">
        <f>IFERROR(VLOOKUP(tbEscolas[[#This Row],[COD ETPA]],tbEtapas[],2,FALSE),"")</f>
        <v>CRECHE II</v>
      </c>
      <c r="E147" t="str">
        <f>IFERROR(VLOOKUP(tbEscolas[[#This Row],[COD ETPA]],tbEtapas[],3,FALSE),"")</f>
        <v>EDUCAÇÃO INFANTIL</v>
      </c>
      <c r="F147" t="s">
        <v>125</v>
      </c>
    </row>
    <row r="148" spans="1:6" x14ac:dyDescent="0.25">
      <c r="A148" t="str" cm="1">
        <f t="array" ref="A148">IFERROR(INDEX(tbNucleo[ESCOLA],ROUNDUP(ROW(A147)/TotalEtapas,0)),"")</f>
        <v>E. E. C. M. Frei Ambrósio</v>
      </c>
      <c r="B148" t="str">
        <f>IFERROR(VLOOKUP(A148,tbNucleo[],2,FALSE),"")</f>
        <v>URBANO</v>
      </c>
      <c r="C148" cm="1">
        <f t="array" ref="C148">IF(A148="","",INDEX(tbEtapas[Nº],MOD(ROW(A147)-1,TotalEtapas)+1))</f>
        <v>3</v>
      </c>
      <c r="D148" t="str">
        <f>IFERROR(VLOOKUP(tbEscolas[[#This Row],[COD ETPA]],tbEtapas[],2,FALSE),"")</f>
        <v>PRE I</v>
      </c>
      <c r="E148" t="str">
        <f>IFERROR(VLOOKUP(tbEscolas[[#This Row],[COD ETPA]],tbEtapas[],3,FALSE),"")</f>
        <v>EDUCAÇÃO INFANTIL</v>
      </c>
      <c r="F148" t="s">
        <v>125</v>
      </c>
    </row>
    <row r="149" spans="1:6" x14ac:dyDescent="0.25">
      <c r="A149" t="str" cm="1">
        <f t="array" ref="A149">IFERROR(INDEX(tbNucleo[ESCOLA],ROUNDUP(ROW(A148)/TotalEtapas,0)),"")</f>
        <v>E. E. C. M. Frei Ambrósio</v>
      </c>
      <c r="B149" t="str">
        <f>IFERROR(VLOOKUP(A149,tbNucleo[],2,FALSE),"")</f>
        <v>URBANO</v>
      </c>
      <c r="C149" cm="1">
        <f t="array" ref="C149">IF(A149="","",INDEX(tbEtapas[Nº],MOD(ROW(A148)-1,TotalEtapas)+1))</f>
        <v>4</v>
      </c>
      <c r="D149" t="str">
        <f>IFERROR(VLOOKUP(tbEscolas[[#This Row],[COD ETPA]],tbEtapas[],2,FALSE),"")</f>
        <v>PRE II</v>
      </c>
      <c r="E149" t="str">
        <f>IFERROR(VLOOKUP(tbEscolas[[#This Row],[COD ETPA]],tbEtapas[],3,FALSE),"")</f>
        <v>EDUCAÇÃO INFANTIL</v>
      </c>
      <c r="F149" t="s">
        <v>125</v>
      </c>
    </row>
    <row r="150" spans="1:6" x14ac:dyDescent="0.25">
      <c r="A150" t="str" cm="1">
        <f t="array" ref="A150">IFERROR(INDEX(tbNucleo[ESCOLA],ROUNDUP(ROW(A149)/TotalEtapas,0)),"")</f>
        <v>E. E. C. M. Frei Ambrósio</v>
      </c>
      <c r="B150" t="str">
        <f>IFERROR(VLOOKUP(A150,tbNucleo[],2,FALSE),"")</f>
        <v>URBANO</v>
      </c>
      <c r="C150" cm="1">
        <f t="array" ref="C150">IF(A150="","",INDEX(tbEtapas[Nº],MOD(ROW(A149)-1,TotalEtapas)+1))</f>
        <v>5</v>
      </c>
      <c r="D150" t="str">
        <f>IFERROR(VLOOKUP(tbEscolas[[#This Row],[COD ETPA]],tbEtapas[],2,FALSE),"")</f>
        <v>1º ANO</v>
      </c>
      <c r="E150" t="str">
        <f>IFERROR(VLOOKUP(tbEscolas[[#This Row],[COD ETPA]],tbEtapas[],3,FALSE),"")</f>
        <v>FUNDAMENTAL</v>
      </c>
      <c r="F150" t="s">
        <v>125</v>
      </c>
    </row>
    <row r="151" spans="1:6" x14ac:dyDescent="0.25">
      <c r="A151" t="str" cm="1">
        <f t="array" ref="A151">IFERROR(INDEX(tbNucleo[ESCOLA],ROUNDUP(ROW(A150)/TotalEtapas,0)),"")</f>
        <v>E. E. C. M. Frei Ambrósio</v>
      </c>
      <c r="B151" t="str">
        <f>IFERROR(VLOOKUP(A151,tbNucleo[],2,FALSE),"")</f>
        <v>URBANO</v>
      </c>
      <c r="C151" cm="1">
        <f t="array" ref="C151">IF(A151="","",INDEX(tbEtapas[Nº],MOD(ROW(A150)-1,TotalEtapas)+1))</f>
        <v>6</v>
      </c>
      <c r="D151" t="str">
        <f>IFERROR(VLOOKUP(tbEscolas[[#This Row],[COD ETPA]],tbEtapas[],2,FALSE),"")</f>
        <v>2º ANO</v>
      </c>
      <c r="E151" t="str">
        <f>IFERROR(VLOOKUP(tbEscolas[[#This Row],[COD ETPA]],tbEtapas[],3,FALSE),"")</f>
        <v>FUNDAMENTAL</v>
      </c>
      <c r="F151" t="s">
        <v>125</v>
      </c>
    </row>
    <row r="152" spans="1:6" x14ac:dyDescent="0.25">
      <c r="A152" t="str" cm="1">
        <f t="array" ref="A152">IFERROR(INDEX(tbNucleo[ESCOLA],ROUNDUP(ROW(A151)/TotalEtapas,0)),"")</f>
        <v>E. E. C. M. Frei Ambrósio</v>
      </c>
      <c r="B152" t="str">
        <f>IFERROR(VLOOKUP(A152,tbNucleo[],2,FALSE),"")</f>
        <v>URBANO</v>
      </c>
      <c r="C152" cm="1">
        <f t="array" ref="C152">IF(A152="","",INDEX(tbEtapas[Nº],MOD(ROW(A151)-1,TotalEtapas)+1))</f>
        <v>7</v>
      </c>
      <c r="D152" t="str">
        <f>IFERROR(VLOOKUP(tbEscolas[[#This Row],[COD ETPA]],tbEtapas[],2,FALSE),"")</f>
        <v>3º ANO</v>
      </c>
      <c r="E152" t="str">
        <f>IFERROR(VLOOKUP(tbEscolas[[#This Row],[COD ETPA]],tbEtapas[],3,FALSE),"")</f>
        <v>FUNDAMENTAL</v>
      </c>
      <c r="F152" t="s">
        <v>125</v>
      </c>
    </row>
    <row r="153" spans="1:6" x14ac:dyDescent="0.25">
      <c r="A153" t="str" cm="1">
        <f t="array" ref="A153">IFERROR(INDEX(tbNucleo[ESCOLA],ROUNDUP(ROW(A152)/TotalEtapas,0)),"")</f>
        <v>E. E. C. M. Frei Ambrósio</v>
      </c>
      <c r="B153" t="str">
        <f>IFERROR(VLOOKUP(A153,tbNucleo[],2,FALSE),"")</f>
        <v>URBANO</v>
      </c>
      <c r="C153" cm="1">
        <f t="array" ref="C153">IF(A153="","",INDEX(tbEtapas[Nº],MOD(ROW(A152)-1,TotalEtapas)+1))</f>
        <v>8</v>
      </c>
      <c r="D153" t="str">
        <f>IFERROR(VLOOKUP(tbEscolas[[#This Row],[COD ETPA]],tbEtapas[],2,FALSE),"")</f>
        <v>4º ANO</v>
      </c>
      <c r="E153" t="str">
        <f>IFERROR(VLOOKUP(tbEscolas[[#This Row],[COD ETPA]],tbEtapas[],3,FALSE),"")</f>
        <v>FUNDAMENTAL</v>
      </c>
      <c r="F153" t="s">
        <v>125</v>
      </c>
    </row>
    <row r="154" spans="1:6" x14ac:dyDescent="0.25">
      <c r="A154" t="str" cm="1">
        <f t="array" ref="A154">IFERROR(INDEX(tbNucleo[ESCOLA],ROUNDUP(ROW(A153)/TotalEtapas,0)),"")</f>
        <v>E. E. C. M. Frei Ambrósio</v>
      </c>
      <c r="B154" t="str">
        <f>IFERROR(VLOOKUP(A154,tbNucleo[],2,FALSE),"")</f>
        <v>URBANO</v>
      </c>
      <c r="C154" cm="1">
        <f t="array" ref="C154">IF(A154="","",INDEX(tbEtapas[Nº],MOD(ROW(A153)-1,TotalEtapas)+1))</f>
        <v>9</v>
      </c>
      <c r="D154" t="str">
        <f>IFERROR(VLOOKUP(tbEscolas[[#This Row],[COD ETPA]],tbEtapas[],2,FALSE),"")</f>
        <v>5º ANO</v>
      </c>
      <c r="E154" t="str">
        <f>IFERROR(VLOOKUP(tbEscolas[[#This Row],[COD ETPA]],tbEtapas[],3,FALSE),"")</f>
        <v>FUNDAMENTAL</v>
      </c>
      <c r="F154" t="s">
        <v>125</v>
      </c>
    </row>
    <row r="155" spans="1:6" x14ac:dyDescent="0.25">
      <c r="A155" t="str" cm="1">
        <f t="array" ref="A155">IFERROR(INDEX(tbNucleo[ESCOLA],ROUNDUP(ROW(A154)/TotalEtapas,0)),"")</f>
        <v>E. E. C. M. Frei Ambrósio</v>
      </c>
      <c r="B155" t="str">
        <f>IFERROR(VLOOKUP(A155,tbNucleo[],2,FALSE),"")</f>
        <v>URBANO</v>
      </c>
      <c r="C155" cm="1">
        <f t="array" ref="C155">IF(A155="","",INDEX(tbEtapas[Nº],MOD(ROW(A154)-1,TotalEtapas)+1))</f>
        <v>10</v>
      </c>
      <c r="D155" t="str">
        <f>IFERROR(VLOOKUP(tbEscolas[[#This Row],[COD ETPA]],tbEtapas[],2,FALSE),"")</f>
        <v>6º ANO</v>
      </c>
      <c r="E155" t="str">
        <f>IFERROR(VLOOKUP(tbEscolas[[#This Row],[COD ETPA]],tbEtapas[],3,FALSE),"")</f>
        <v>FUNDAMENTAL</v>
      </c>
      <c r="F155" t="s">
        <v>126</v>
      </c>
    </row>
    <row r="156" spans="1:6" x14ac:dyDescent="0.25">
      <c r="A156" t="str" cm="1">
        <f t="array" ref="A156">IFERROR(INDEX(tbNucleo[ESCOLA],ROUNDUP(ROW(A155)/TotalEtapas,0)),"")</f>
        <v>E. E. C. M. Frei Ambrósio</v>
      </c>
      <c r="B156" t="str">
        <f>IFERROR(VLOOKUP(A156,tbNucleo[],2,FALSE),"")</f>
        <v>URBANO</v>
      </c>
      <c r="C156" cm="1">
        <f t="array" ref="C156">IF(A156="","",INDEX(tbEtapas[Nº],MOD(ROW(A155)-1,TotalEtapas)+1))</f>
        <v>11</v>
      </c>
      <c r="D156" t="str">
        <f>IFERROR(VLOOKUP(tbEscolas[[#This Row],[COD ETPA]],tbEtapas[],2,FALSE),"")</f>
        <v>7º ANO</v>
      </c>
      <c r="E156" t="str">
        <f>IFERROR(VLOOKUP(tbEscolas[[#This Row],[COD ETPA]],tbEtapas[],3,FALSE),"")</f>
        <v>FUNDAMENTAL</v>
      </c>
      <c r="F156" t="s">
        <v>126</v>
      </c>
    </row>
    <row r="157" spans="1:6" x14ac:dyDescent="0.25">
      <c r="A157" t="str" cm="1">
        <f t="array" ref="A157">IFERROR(INDEX(tbNucleo[ESCOLA],ROUNDUP(ROW(A156)/TotalEtapas,0)),"")</f>
        <v>E. E. C. M. Frei Ambrósio</v>
      </c>
      <c r="B157" t="str">
        <f>IFERROR(VLOOKUP(A157,tbNucleo[],2,FALSE),"")</f>
        <v>URBANO</v>
      </c>
      <c r="C157" cm="1">
        <f t="array" ref="C157">IF(A157="","",INDEX(tbEtapas[Nº],MOD(ROW(A156)-1,TotalEtapas)+1))</f>
        <v>12</v>
      </c>
      <c r="D157" t="str">
        <f>IFERROR(VLOOKUP(tbEscolas[[#This Row],[COD ETPA]],tbEtapas[],2,FALSE),"")</f>
        <v>8º ANO</v>
      </c>
      <c r="E157" t="str">
        <f>IFERROR(VLOOKUP(tbEscolas[[#This Row],[COD ETPA]],tbEtapas[],3,FALSE),"")</f>
        <v>FUNDAMENTAL</v>
      </c>
      <c r="F157" t="s">
        <v>126</v>
      </c>
    </row>
    <row r="158" spans="1:6" x14ac:dyDescent="0.25">
      <c r="A158" t="str" cm="1">
        <f t="array" ref="A158">IFERROR(INDEX(tbNucleo[ESCOLA],ROUNDUP(ROW(A157)/TotalEtapas,0)),"")</f>
        <v>E. E. C. M. Frei Ambrósio</v>
      </c>
      <c r="B158" t="str">
        <f>IFERROR(VLOOKUP(A158,tbNucleo[],2,FALSE),"")</f>
        <v>URBANO</v>
      </c>
      <c r="C158" cm="1">
        <f t="array" ref="C158">IF(A158="","",INDEX(tbEtapas[Nº],MOD(ROW(A157)-1,TotalEtapas)+1))</f>
        <v>13</v>
      </c>
      <c r="D158" t="str">
        <f>IFERROR(VLOOKUP(tbEscolas[[#This Row],[COD ETPA]],tbEtapas[],2,FALSE),"")</f>
        <v>9º ANO</v>
      </c>
      <c r="E158" t="str">
        <f>IFERROR(VLOOKUP(tbEscolas[[#This Row],[COD ETPA]],tbEtapas[],3,FALSE),"")</f>
        <v>FUNDAMENTAL</v>
      </c>
      <c r="F158" t="s">
        <v>126</v>
      </c>
    </row>
    <row r="159" spans="1:6" x14ac:dyDescent="0.25">
      <c r="A159" t="str" cm="1">
        <f t="array" ref="A159">IFERROR(INDEX(tbNucleo[ESCOLA],ROUNDUP(ROW(A158)/TotalEtapas,0)),"")</f>
        <v>E. E. C. M. Frei Ambrósio</v>
      </c>
      <c r="B159" t="str">
        <f>IFERROR(VLOOKUP(A159,tbNucleo[],2,FALSE),"")</f>
        <v>URBANO</v>
      </c>
      <c r="C159" cm="1">
        <f t="array" ref="C159">IF(A159="","",INDEX(tbEtapas[Nº],MOD(ROW(A158)-1,TotalEtapas)+1))</f>
        <v>14</v>
      </c>
      <c r="D159" t="str">
        <f>IFERROR(VLOOKUP(tbEscolas[[#This Row],[COD ETPA]],tbEtapas[],2,FALSE),"")</f>
        <v>1º ANO</v>
      </c>
      <c r="E159" t="str">
        <f>IFERROR(VLOOKUP(tbEscolas[[#This Row],[COD ETPA]],tbEtapas[],3,FALSE),"")</f>
        <v>ENSINO MÉDIO</v>
      </c>
      <c r="F159" t="s">
        <v>126</v>
      </c>
    </row>
    <row r="160" spans="1:6" x14ac:dyDescent="0.25">
      <c r="A160" t="str" cm="1">
        <f t="array" ref="A160">IFERROR(INDEX(tbNucleo[ESCOLA],ROUNDUP(ROW(A159)/TotalEtapas,0)),"")</f>
        <v>E. E. C. M. Frei Ambrósio</v>
      </c>
      <c r="B160" t="str">
        <f>IFERROR(VLOOKUP(A160,tbNucleo[],2,FALSE),"")</f>
        <v>URBANO</v>
      </c>
      <c r="C160" cm="1">
        <f t="array" ref="C160">IF(A160="","",INDEX(tbEtapas[Nº],MOD(ROW(A159)-1,TotalEtapas)+1))</f>
        <v>15</v>
      </c>
      <c r="D160" t="str">
        <f>IFERROR(VLOOKUP(tbEscolas[[#This Row],[COD ETPA]],tbEtapas[],2,FALSE),"")</f>
        <v>2º ANO</v>
      </c>
      <c r="E160" t="str">
        <f>IFERROR(VLOOKUP(tbEscolas[[#This Row],[COD ETPA]],tbEtapas[],3,FALSE),"")</f>
        <v>ENSINO MÉDIO</v>
      </c>
      <c r="F160" t="s">
        <v>126</v>
      </c>
    </row>
    <row r="161" spans="1:6" x14ac:dyDescent="0.25">
      <c r="A161" t="str" cm="1">
        <f t="array" ref="A161">IFERROR(INDEX(tbNucleo[ESCOLA],ROUNDUP(ROW(A160)/TotalEtapas,0)),"")</f>
        <v>E. E. C. M. Frei Ambrósio</v>
      </c>
      <c r="B161" t="str">
        <f>IFERROR(VLOOKUP(A161,tbNucleo[],2,FALSE),"")</f>
        <v>URBANO</v>
      </c>
      <c r="C161" cm="1">
        <f t="array" ref="C161">IF(A161="","",INDEX(tbEtapas[Nº],MOD(ROW(A160)-1,TotalEtapas)+1))</f>
        <v>16</v>
      </c>
      <c r="D161" t="str">
        <f>IFERROR(VLOOKUP(tbEscolas[[#This Row],[COD ETPA]],tbEtapas[],2,FALSE),"")</f>
        <v>3º ANO</v>
      </c>
      <c r="E161" t="str">
        <f>IFERROR(VLOOKUP(tbEscolas[[#This Row],[COD ETPA]],tbEtapas[],3,FALSE),"")</f>
        <v>ENSINO MÉDIO</v>
      </c>
      <c r="F161" t="s">
        <v>126</v>
      </c>
    </row>
    <row r="162" spans="1:6" x14ac:dyDescent="0.25">
      <c r="A162" t="str" cm="1">
        <f t="array" ref="A162">IFERROR(INDEX(tbNucleo[ESCOLA],ROUNDUP(ROW(A161)/TotalEtapas,0)),"")</f>
        <v>E. E. C. M. Frei Ambrósio</v>
      </c>
      <c r="B162" t="str">
        <f>IFERROR(VLOOKUP(A162,tbNucleo[],2,FALSE),"")</f>
        <v>URBANO</v>
      </c>
      <c r="C162" cm="1">
        <f t="array" ref="C162">IF(A162="","",INDEX(tbEtapas[Nº],MOD(ROW(A161)-1,TotalEtapas)+1))</f>
        <v>17</v>
      </c>
      <c r="D162" t="str">
        <f>IFERROR(VLOOKUP(tbEscolas[[#This Row],[COD ETPA]],tbEtapas[],2,FALSE),"")</f>
        <v>EJA I</v>
      </c>
      <c r="E162" t="str">
        <f>IFERROR(VLOOKUP(tbEscolas[[#This Row],[COD ETPA]],tbEtapas[],3,FALSE),"")</f>
        <v>FUNDAMENTAL</v>
      </c>
      <c r="F162" t="s">
        <v>125</v>
      </c>
    </row>
    <row r="163" spans="1:6" x14ac:dyDescent="0.25">
      <c r="A163" t="str" cm="1">
        <f t="array" ref="A163">IFERROR(INDEX(tbNucleo[ESCOLA],ROUNDUP(ROW(A162)/TotalEtapas,0)),"")</f>
        <v>E. E. C. M. Frei Ambrósio</v>
      </c>
      <c r="B163" t="str">
        <f>IFERROR(VLOOKUP(A163,tbNucleo[],2,FALSE),"")</f>
        <v>URBANO</v>
      </c>
      <c r="C163" cm="1">
        <f t="array" ref="C163">IF(A163="","",INDEX(tbEtapas[Nº],MOD(ROW(A162)-1,TotalEtapas)+1))</f>
        <v>18</v>
      </c>
      <c r="D163" t="str">
        <f>IFERROR(VLOOKUP(tbEscolas[[#This Row],[COD ETPA]],tbEtapas[],2,FALSE),"")</f>
        <v>EJA II</v>
      </c>
      <c r="E163" t="str">
        <f>IFERROR(VLOOKUP(tbEscolas[[#This Row],[COD ETPA]],tbEtapas[],3,FALSE),"")</f>
        <v>ENSINO MÉDIO</v>
      </c>
      <c r="F163" t="s">
        <v>125</v>
      </c>
    </row>
    <row r="164" spans="1:6" x14ac:dyDescent="0.25">
      <c r="A164" t="str" cm="1">
        <f t="array" ref="A164">IFERROR(INDEX(tbNucleo[ESCOLA],ROUNDUP(ROW(A163)/TotalEtapas,0)),"")</f>
        <v>E. E. C. M. Senador Mário Motta</v>
      </c>
      <c r="B164" t="str">
        <f>IFERROR(VLOOKUP(A164,tbNucleo[],2,FALSE),"")</f>
        <v>URBANO</v>
      </c>
      <c r="C164" cm="1">
        <f t="array" ref="C164">IF(A164="","",INDEX(tbEtapas[Nº],MOD(ROW(A163)-1,TotalEtapas)+1))</f>
        <v>1</v>
      </c>
      <c r="D164" t="str">
        <f>IFERROR(VLOOKUP(tbEscolas[[#This Row],[COD ETPA]],tbEtapas[],2,FALSE),"")</f>
        <v>CRECHE I</v>
      </c>
      <c r="E164" t="str">
        <f>IFERROR(VLOOKUP(tbEscolas[[#This Row],[COD ETPA]],tbEtapas[],3,FALSE),"")</f>
        <v>EDUCAÇÃO INFANTIL</v>
      </c>
      <c r="F164" t="s">
        <v>125</v>
      </c>
    </row>
    <row r="165" spans="1:6" x14ac:dyDescent="0.25">
      <c r="A165" t="str" cm="1">
        <f t="array" ref="A165">IFERROR(INDEX(tbNucleo[ESCOLA],ROUNDUP(ROW(A164)/TotalEtapas,0)),"")</f>
        <v>E. E. C. M. Senador Mário Motta</v>
      </c>
      <c r="B165" t="str">
        <f>IFERROR(VLOOKUP(A165,tbNucleo[],2,FALSE),"")</f>
        <v>URBANO</v>
      </c>
      <c r="C165" cm="1">
        <f t="array" ref="C165">IF(A165="","",INDEX(tbEtapas[Nº],MOD(ROW(A164)-1,TotalEtapas)+1))</f>
        <v>2</v>
      </c>
      <c r="D165" t="str">
        <f>IFERROR(VLOOKUP(tbEscolas[[#This Row],[COD ETPA]],tbEtapas[],2,FALSE),"")</f>
        <v>CRECHE II</v>
      </c>
      <c r="E165" t="str">
        <f>IFERROR(VLOOKUP(tbEscolas[[#This Row],[COD ETPA]],tbEtapas[],3,FALSE),"")</f>
        <v>EDUCAÇÃO INFANTIL</v>
      </c>
      <c r="F165" t="s">
        <v>125</v>
      </c>
    </row>
    <row r="166" spans="1:6" x14ac:dyDescent="0.25">
      <c r="A166" t="str" cm="1">
        <f t="array" ref="A166">IFERROR(INDEX(tbNucleo[ESCOLA],ROUNDUP(ROW(A165)/TotalEtapas,0)),"")</f>
        <v>E. E. C. M. Senador Mário Motta</v>
      </c>
      <c r="B166" t="str">
        <f>IFERROR(VLOOKUP(A166,tbNucleo[],2,FALSE),"")</f>
        <v>URBANO</v>
      </c>
      <c r="C166" cm="1">
        <f t="array" ref="C166">IF(A166="","",INDEX(tbEtapas[Nº],MOD(ROW(A165)-1,TotalEtapas)+1))</f>
        <v>3</v>
      </c>
      <c r="D166" t="str">
        <f>IFERROR(VLOOKUP(tbEscolas[[#This Row],[COD ETPA]],tbEtapas[],2,FALSE),"")</f>
        <v>PRE I</v>
      </c>
      <c r="E166" t="str">
        <f>IFERROR(VLOOKUP(tbEscolas[[#This Row],[COD ETPA]],tbEtapas[],3,FALSE),"")</f>
        <v>EDUCAÇÃO INFANTIL</v>
      </c>
      <c r="F166" t="s">
        <v>125</v>
      </c>
    </row>
    <row r="167" spans="1:6" x14ac:dyDescent="0.25">
      <c r="A167" t="str" cm="1">
        <f t="array" ref="A167">IFERROR(INDEX(tbNucleo[ESCOLA],ROUNDUP(ROW(A166)/TotalEtapas,0)),"")</f>
        <v>E. E. C. M. Senador Mário Motta</v>
      </c>
      <c r="B167" t="str">
        <f>IFERROR(VLOOKUP(A167,tbNucleo[],2,FALSE),"")</f>
        <v>URBANO</v>
      </c>
      <c r="C167" cm="1">
        <f t="array" ref="C167">IF(A167="","",INDEX(tbEtapas[Nº],MOD(ROW(A166)-1,TotalEtapas)+1))</f>
        <v>4</v>
      </c>
      <c r="D167" t="str">
        <f>IFERROR(VLOOKUP(tbEscolas[[#This Row],[COD ETPA]],tbEtapas[],2,FALSE),"")</f>
        <v>PRE II</v>
      </c>
      <c r="E167" t="str">
        <f>IFERROR(VLOOKUP(tbEscolas[[#This Row],[COD ETPA]],tbEtapas[],3,FALSE),"")</f>
        <v>EDUCAÇÃO INFANTIL</v>
      </c>
      <c r="F167" t="s">
        <v>125</v>
      </c>
    </row>
    <row r="168" spans="1:6" x14ac:dyDescent="0.25">
      <c r="A168" t="str" cm="1">
        <f t="array" ref="A168">IFERROR(INDEX(tbNucleo[ESCOLA],ROUNDUP(ROW(A167)/TotalEtapas,0)),"")</f>
        <v>E. E. C. M. Senador Mário Motta</v>
      </c>
      <c r="B168" t="str">
        <f>IFERROR(VLOOKUP(A168,tbNucleo[],2,FALSE),"")</f>
        <v>URBANO</v>
      </c>
      <c r="C168" cm="1">
        <f t="array" ref="C168">IF(A168="","",INDEX(tbEtapas[Nº],MOD(ROW(A167)-1,TotalEtapas)+1))</f>
        <v>5</v>
      </c>
      <c r="D168" t="str">
        <f>IFERROR(VLOOKUP(tbEscolas[[#This Row],[COD ETPA]],tbEtapas[],2,FALSE),"")</f>
        <v>1º ANO</v>
      </c>
      <c r="E168" t="str">
        <f>IFERROR(VLOOKUP(tbEscolas[[#This Row],[COD ETPA]],tbEtapas[],3,FALSE),"")</f>
        <v>FUNDAMENTAL</v>
      </c>
      <c r="F168" t="s">
        <v>125</v>
      </c>
    </row>
    <row r="169" spans="1:6" x14ac:dyDescent="0.25">
      <c r="A169" t="str" cm="1">
        <f t="array" ref="A169">IFERROR(INDEX(tbNucleo[ESCOLA],ROUNDUP(ROW(A168)/TotalEtapas,0)),"")</f>
        <v>E. E. C. M. Senador Mário Motta</v>
      </c>
      <c r="B169" t="str">
        <f>IFERROR(VLOOKUP(A169,tbNucleo[],2,FALSE),"")</f>
        <v>URBANO</v>
      </c>
      <c r="C169" cm="1">
        <f t="array" ref="C169">IF(A169="","",INDEX(tbEtapas[Nº],MOD(ROW(A168)-1,TotalEtapas)+1))</f>
        <v>6</v>
      </c>
      <c r="D169" t="str">
        <f>IFERROR(VLOOKUP(tbEscolas[[#This Row],[COD ETPA]],tbEtapas[],2,FALSE),"")</f>
        <v>2º ANO</v>
      </c>
      <c r="E169" t="str">
        <f>IFERROR(VLOOKUP(tbEscolas[[#This Row],[COD ETPA]],tbEtapas[],3,FALSE),"")</f>
        <v>FUNDAMENTAL</v>
      </c>
      <c r="F169" t="s">
        <v>125</v>
      </c>
    </row>
    <row r="170" spans="1:6" x14ac:dyDescent="0.25">
      <c r="A170" t="str" cm="1">
        <f t="array" ref="A170">IFERROR(INDEX(tbNucleo[ESCOLA],ROUNDUP(ROW(A169)/TotalEtapas,0)),"")</f>
        <v>E. E. C. M. Senador Mário Motta</v>
      </c>
      <c r="B170" t="str">
        <f>IFERROR(VLOOKUP(A170,tbNucleo[],2,FALSE),"")</f>
        <v>URBANO</v>
      </c>
      <c r="C170" cm="1">
        <f t="array" ref="C170">IF(A170="","",INDEX(tbEtapas[Nº],MOD(ROW(A169)-1,TotalEtapas)+1))</f>
        <v>7</v>
      </c>
      <c r="D170" t="str">
        <f>IFERROR(VLOOKUP(tbEscolas[[#This Row],[COD ETPA]],tbEtapas[],2,FALSE),"")</f>
        <v>3º ANO</v>
      </c>
      <c r="E170" t="str">
        <f>IFERROR(VLOOKUP(tbEscolas[[#This Row],[COD ETPA]],tbEtapas[],3,FALSE),"")</f>
        <v>FUNDAMENTAL</v>
      </c>
      <c r="F170" t="s">
        <v>125</v>
      </c>
    </row>
    <row r="171" spans="1:6" x14ac:dyDescent="0.25">
      <c r="A171" t="str" cm="1">
        <f t="array" ref="A171">IFERROR(INDEX(tbNucleo[ESCOLA],ROUNDUP(ROW(A170)/TotalEtapas,0)),"")</f>
        <v>E. E. C. M. Senador Mário Motta</v>
      </c>
      <c r="B171" t="str">
        <f>IFERROR(VLOOKUP(A171,tbNucleo[],2,FALSE),"")</f>
        <v>URBANO</v>
      </c>
      <c r="C171" cm="1">
        <f t="array" ref="C171">IF(A171="","",INDEX(tbEtapas[Nº],MOD(ROW(A170)-1,TotalEtapas)+1))</f>
        <v>8</v>
      </c>
      <c r="D171" t="str">
        <f>IFERROR(VLOOKUP(tbEscolas[[#This Row],[COD ETPA]],tbEtapas[],2,FALSE),"")</f>
        <v>4º ANO</v>
      </c>
      <c r="E171" t="str">
        <f>IFERROR(VLOOKUP(tbEscolas[[#This Row],[COD ETPA]],tbEtapas[],3,FALSE),"")</f>
        <v>FUNDAMENTAL</v>
      </c>
      <c r="F171" t="s">
        <v>125</v>
      </c>
    </row>
    <row r="172" spans="1:6" x14ac:dyDescent="0.25">
      <c r="A172" t="str" cm="1">
        <f t="array" ref="A172">IFERROR(INDEX(tbNucleo[ESCOLA],ROUNDUP(ROW(A171)/TotalEtapas,0)),"")</f>
        <v>E. E. C. M. Senador Mário Motta</v>
      </c>
      <c r="B172" t="str">
        <f>IFERROR(VLOOKUP(A172,tbNucleo[],2,FALSE),"")</f>
        <v>URBANO</v>
      </c>
      <c r="C172" cm="1">
        <f t="array" ref="C172">IF(A172="","",INDEX(tbEtapas[Nº],MOD(ROW(A171)-1,TotalEtapas)+1))</f>
        <v>9</v>
      </c>
      <c r="D172" t="str">
        <f>IFERROR(VLOOKUP(tbEscolas[[#This Row],[COD ETPA]],tbEtapas[],2,FALSE),"")</f>
        <v>5º ANO</v>
      </c>
      <c r="E172" t="str">
        <f>IFERROR(VLOOKUP(tbEscolas[[#This Row],[COD ETPA]],tbEtapas[],3,FALSE),"")</f>
        <v>FUNDAMENTAL</v>
      </c>
      <c r="F172" t="s">
        <v>125</v>
      </c>
    </row>
    <row r="173" spans="1:6" x14ac:dyDescent="0.25">
      <c r="A173" t="str" cm="1">
        <f t="array" ref="A173">IFERROR(INDEX(tbNucleo[ESCOLA],ROUNDUP(ROW(A172)/TotalEtapas,0)),"")</f>
        <v>E. E. C. M. Senador Mário Motta</v>
      </c>
      <c r="B173" t="str">
        <f>IFERROR(VLOOKUP(A173,tbNucleo[],2,FALSE),"")</f>
        <v>URBANO</v>
      </c>
      <c r="C173" cm="1">
        <f t="array" ref="C173">IF(A173="","",INDEX(tbEtapas[Nº],MOD(ROW(A172)-1,TotalEtapas)+1))</f>
        <v>10</v>
      </c>
      <c r="D173" t="str">
        <f>IFERROR(VLOOKUP(tbEscolas[[#This Row],[COD ETPA]],tbEtapas[],2,FALSE),"")</f>
        <v>6º ANO</v>
      </c>
      <c r="E173" t="str">
        <f>IFERROR(VLOOKUP(tbEscolas[[#This Row],[COD ETPA]],tbEtapas[],3,FALSE),"")</f>
        <v>FUNDAMENTAL</v>
      </c>
      <c r="F173" t="s">
        <v>126</v>
      </c>
    </row>
    <row r="174" spans="1:6" x14ac:dyDescent="0.25">
      <c r="A174" t="str" cm="1">
        <f t="array" ref="A174">IFERROR(INDEX(tbNucleo[ESCOLA],ROUNDUP(ROW(A173)/TotalEtapas,0)),"")</f>
        <v>E. E. C. M. Senador Mário Motta</v>
      </c>
      <c r="B174" t="str">
        <f>IFERROR(VLOOKUP(A174,tbNucleo[],2,FALSE),"")</f>
        <v>URBANO</v>
      </c>
      <c r="C174" cm="1">
        <f t="array" ref="C174">IF(A174="","",INDEX(tbEtapas[Nº],MOD(ROW(A173)-1,TotalEtapas)+1))</f>
        <v>11</v>
      </c>
      <c r="D174" t="str">
        <f>IFERROR(VLOOKUP(tbEscolas[[#This Row],[COD ETPA]],tbEtapas[],2,FALSE),"")</f>
        <v>7º ANO</v>
      </c>
      <c r="E174" t="str">
        <f>IFERROR(VLOOKUP(tbEscolas[[#This Row],[COD ETPA]],tbEtapas[],3,FALSE),"")</f>
        <v>FUNDAMENTAL</v>
      </c>
      <c r="F174" t="s">
        <v>126</v>
      </c>
    </row>
    <row r="175" spans="1:6" x14ac:dyDescent="0.25">
      <c r="A175" t="str" cm="1">
        <f t="array" ref="A175">IFERROR(INDEX(tbNucleo[ESCOLA],ROUNDUP(ROW(A174)/TotalEtapas,0)),"")</f>
        <v>E. E. C. M. Senador Mário Motta</v>
      </c>
      <c r="B175" t="str">
        <f>IFERROR(VLOOKUP(A175,tbNucleo[],2,FALSE),"")</f>
        <v>URBANO</v>
      </c>
      <c r="C175" cm="1">
        <f t="array" ref="C175">IF(A175="","",INDEX(tbEtapas[Nº],MOD(ROW(A174)-1,TotalEtapas)+1))</f>
        <v>12</v>
      </c>
      <c r="D175" t="str">
        <f>IFERROR(VLOOKUP(tbEscolas[[#This Row],[COD ETPA]],tbEtapas[],2,FALSE),"")</f>
        <v>8º ANO</v>
      </c>
      <c r="E175" t="str">
        <f>IFERROR(VLOOKUP(tbEscolas[[#This Row],[COD ETPA]],tbEtapas[],3,FALSE),"")</f>
        <v>FUNDAMENTAL</v>
      </c>
      <c r="F175" t="s">
        <v>126</v>
      </c>
    </row>
    <row r="176" spans="1:6" x14ac:dyDescent="0.25">
      <c r="A176" t="str" cm="1">
        <f t="array" ref="A176">IFERROR(INDEX(tbNucleo[ESCOLA],ROUNDUP(ROW(A175)/TotalEtapas,0)),"")</f>
        <v>E. E. C. M. Senador Mário Motta</v>
      </c>
      <c r="B176" t="str">
        <f>IFERROR(VLOOKUP(A176,tbNucleo[],2,FALSE),"")</f>
        <v>URBANO</v>
      </c>
      <c r="C176" cm="1">
        <f t="array" ref="C176">IF(A176="","",INDEX(tbEtapas[Nº],MOD(ROW(A175)-1,TotalEtapas)+1))</f>
        <v>13</v>
      </c>
      <c r="D176" t="str">
        <f>IFERROR(VLOOKUP(tbEscolas[[#This Row],[COD ETPA]],tbEtapas[],2,FALSE),"")</f>
        <v>9º ANO</v>
      </c>
      <c r="E176" t="str">
        <f>IFERROR(VLOOKUP(tbEscolas[[#This Row],[COD ETPA]],tbEtapas[],3,FALSE),"")</f>
        <v>FUNDAMENTAL</v>
      </c>
      <c r="F176" t="s">
        <v>126</v>
      </c>
    </row>
    <row r="177" spans="1:6" x14ac:dyDescent="0.25">
      <c r="A177" t="str" cm="1">
        <f t="array" ref="A177">IFERROR(INDEX(tbNucleo[ESCOLA],ROUNDUP(ROW(A176)/TotalEtapas,0)),"")</f>
        <v>E. E. C. M. Senador Mário Motta</v>
      </c>
      <c r="B177" t="str">
        <f>IFERROR(VLOOKUP(A177,tbNucleo[],2,FALSE),"")</f>
        <v>URBANO</v>
      </c>
      <c r="C177" cm="1">
        <f t="array" ref="C177">IF(A177="","",INDEX(tbEtapas[Nº],MOD(ROW(A176)-1,TotalEtapas)+1))</f>
        <v>14</v>
      </c>
      <c r="D177" t="str">
        <f>IFERROR(VLOOKUP(tbEscolas[[#This Row],[COD ETPA]],tbEtapas[],2,FALSE),"")</f>
        <v>1º ANO</v>
      </c>
      <c r="E177" t="str">
        <f>IFERROR(VLOOKUP(tbEscolas[[#This Row],[COD ETPA]],tbEtapas[],3,FALSE),"")</f>
        <v>ENSINO MÉDIO</v>
      </c>
      <c r="F177" t="s">
        <v>126</v>
      </c>
    </row>
    <row r="178" spans="1:6" x14ac:dyDescent="0.25">
      <c r="A178" t="str" cm="1">
        <f t="array" ref="A178">IFERROR(INDEX(tbNucleo[ESCOLA],ROUNDUP(ROW(A177)/TotalEtapas,0)),"")</f>
        <v>E. E. C. M. Senador Mário Motta</v>
      </c>
      <c r="B178" t="str">
        <f>IFERROR(VLOOKUP(A178,tbNucleo[],2,FALSE),"")</f>
        <v>URBANO</v>
      </c>
      <c r="C178" cm="1">
        <f t="array" ref="C178">IF(A178="","",INDEX(tbEtapas[Nº],MOD(ROW(A177)-1,TotalEtapas)+1))</f>
        <v>15</v>
      </c>
      <c r="D178" t="str">
        <f>IFERROR(VLOOKUP(tbEscolas[[#This Row],[COD ETPA]],tbEtapas[],2,FALSE),"")</f>
        <v>2º ANO</v>
      </c>
      <c r="E178" t="str">
        <f>IFERROR(VLOOKUP(tbEscolas[[#This Row],[COD ETPA]],tbEtapas[],3,FALSE),"")</f>
        <v>ENSINO MÉDIO</v>
      </c>
      <c r="F178" t="s">
        <v>126</v>
      </c>
    </row>
    <row r="179" spans="1:6" x14ac:dyDescent="0.25">
      <c r="A179" t="str" cm="1">
        <f t="array" ref="A179">IFERROR(INDEX(tbNucleo[ESCOLA],ROUNDUP(ROW(A178)/TotalEtapas,0)),"")</f>
        <v>E. E. C. M. Senador Mário Motta</v>
      </c>
      <c r="B179" t="str">
        <f>IFERROR(VLOOKUP(A179,tbNucleo[],2,FALSE),"")</f>
        <v>URBANO</v>
      </c>
      <c r="C179" cm="1">
        <f t="array" ref="C179">IF(A179="","",INDEX(tbEtapas[Nº],MOD(ROW(A178)-1,TotalEtapas)+1))</f>
        <v>16</v>
      </c>
      <c r="D179" t="str">
        <f>IFERROR(VLOOKUP(tbEscolas[[#This Row],[COD ETPA]],tbEtapas[],2,FALSE),"")</f>
        <v>3º ANO</v>
      </c>
      <c r="E179" t="str">
        <f>IFERROR(VLOOKUP(tbEscolas[[#This Row],[COD ETPA]],tbEtapas[],3,FALSE),"")</f>
        <v>ENSINO MÉDIO</v>
      </c>
      <c r="F179" t="s">
        <v>126</v>
      </c>
    </row>
    <row r="180" spans="1:6" x14ac:dyDescent="0.25">
      <c r="A180" t="str" cm="1">
        <f t="array" ref="A180">IFERROR(INDEX(tbNucleo[ESCOLA],ROUNDUP(ROW(A179)/TotalEtapas,0)),"")</f>
        <v>E. E. C. M. Senador Mário Motta</v>
      </c>
      <c r="B180" t="str">
        <f>IFERROR(VLOOKUP(A180,tbNucleo[],2,FALSE),"")</f>
        <v>URBANO</v>
      </c>
      <c r="C180" cm="1">
        <f t="array" ref="C180">IF(A180="","",INDEX(tbEtapas[Nº],MOD(ROW(A179)-1,TotalEtapas)+1))</f>
        <v>17</v>
      </c>
      <c r="D180" t="str">
        <f>IFERROR(VLOOKUP(tbEscolas[[#This Row],[COD ETPA]],tbEtapas[],2,FALSE),"")</f>
        <v>EJA I</v>
      </c>
      <c r="E180" t="str">
        <f>IFERROR(VLOOKUP(tbEscolas[[#This Row],[COD ETPA]],tbEtapas[],3,FALSE),"")</f>
        <v>FUNDAMENTAL</v>
      </c>
      <c r="F180" t="s">
        <v>125</v>
      </c>
    </row>
    <row r="181" spans="1:6" x14ac:dyDescent="0.25">
      <c r="A181" t="str" cm="1">
        <f t="array" ref="A181">IFERROR(INDEX(tbNucleo[ESCOLA],ROUNDUP(ROW(A180)/TotalEtapas,0)),"")</f>
        <v>E. E. C. M. Senador Mário Motta</v>
      </c>
      <c r="B181" t="str">
        <f>IFERROR(VLOOKUP(A181,tbNucleo[],2,FALSE),"")</f>
        <v>URBANO</v>
      </c>
      <c r="C181" cm="1">
        <f t="array" ref="C181">IF(A181="","",INDEX(tbEtapas[Nº],MOD(ROW(A180)-1,TotalEtapas)+1))</f>
        <v>18</v>
      </c>
      <c r="D181" t="str">
        <f>IFERROR(VLOOKUP(tbEscolas[[#This Row],[COD ETPA]],tbEtapas[],2,FALSE),"")</f>
        <v>EJA II</v>
      </c>
      <c r="E181" t="str">
        <f>IFERROR(VLOOKUP(tbEscolas[[#This Row],[COD ETPA]],tbEtapas[],3,FALSE),"")</f>
        <v>ENSINO MÉDIO</v>
      </c>
      <c r="F181" t="s">
        <v>125</v>
      </c>
    </row>
    <row r="182" spans="1:6" x14ac:dyDescent="0.25">
      <c r="A182" t="str" cm="1">
        <f t="array" ref="A182">IFERROR(INDEX(tbNucleo[ESCOLA],ROUNDUP(ROW(A181)/TotalEtapas,0)),"")</f>
        <v>E. E. EDIEB – Prof. Miltom Marques Curvo</v>
      </c>
      <c r="B182" t="str">
        <f>IFERROR(VLOOKUP(A182,tbNucleo[],2,FALSE),"")</f>
        <v>URBANO</v>
      </c>
      <c r="C182" cm="1">
        <f t="array" ref="C182">IF(A182="","",INDEX(tbEtapas[Nº],MOD(ROW(A181)-1,TotalEtapas)+1))</f>
        <v>1</v>
      </c>
      <c r="D182" t="str">
        <f>IFERROR(VLOOKUP(tbEscolas[[#This Row],[COD ETPA]],tbEtapas[],2,FALSE),"")</f>
        <v>CRECHE I</v>
      </c>
      <c r="E182" t="str">
        <f>IFERROR(VLOOKUP(tbEscolas[[#This Row],[COD ETPA]],tbEtapas[],3,FALSE),"")</f>
        <v>EDUCAÇÃO INFANTIL</v>
      </c>
      <c r="F182" t="s">
        <v>125</v>
      </c>
    </row>
    <row r="183" spans="1:6" x14ac:dyDescent="0.25">
      <c r="A183" t="str" cm="1">
        <f t="array" ref="A183">IFERROR(INDEX(tbNucleo[ESCOLA],ROUNDUP(ROW(A182)/TotalEtapas,0)),"")</f>
        <v>E. E. EDIEB – Prof. Miltom Marques Curvo</v>
      </c>
      <c r="B183" t="str">
        <f>IFERROR(VLOOKUP(A183,tbNucleo[],2,FALSE),"")</f>
        <v>URBANO</v>
      </c>
      <c r="C183" cm="1">
        <f t="array" ref="C183">IF(A183="","",INDEX(tbEtapas[Nº],MOD(ROW(A182)-1,TotalEtapas)+1))</f>
        <v>2</v>
      </c>
      <c r="D183" t="str">
        <f>IFERROR(VLOOKUP(tbEscolas[[#This Row],[COD ETPA]],tbEtapas[],2,FALSE),"")</f>
        <v>CRECHE II</v>
      </c>
      <c r="E183" t="str">
        <f>IFERROR(VLOOKUP(tbEscolas[[#This Row],[COD ETPA]],tbEtapas[],3,FALSE),"")</f>
        <v>EDUCAÇÃO INFANTIL</v>
      </c>
      <c r="F183" t="s">
        <v>125</v>
      </c>
    </row>
    <row r="184" spans="1:6" x14ac:dyDescent="0.25">
      <c r="A184" t="str" cm="1">
        <f t="array" ref="A184">IFERROR(INDEX(tbNucleo[ESCOLA],ROUNDUP(ROW(A183)/TotalEtapas,0)),"")</f>
        <v>E. E. EDIEB – Prof. Miltom Marques Curvo</v>
      </c>
      <c r="B184" t="str">
        <f>IFERROR(VLOOKUP(A184,tbNucleo[],2,FALSE),"")</f>
        <v>URBANO</v>
      </c>
      <c r="C184" cm="1">
        <f t="array" ref="C184">IF(A184="","",INDEX(tbEtapas[Nº],MOD(ROW(A183)-1,TotalEtapas)+1))</f>
        <v>3</v>
      </c>
      <c r="D184" t="str">
        <f>IFERROR(VLOOKUP(tbEscolas[[#This Row],[COD ETPA]],tbEtapas[],2,FALSE),"")</f>
        <v>PRE I</v>
      </c>
      <c r="E184" t="str">
        <f>IFERROR(VLOOKUP(tbEscolas[[#This Row],[COD ETPA]],tbEtapas[],3,FALSE),"")</f>
        <v>EDUCAÇÃO INFANTIL</v>
      </c>
      <c r="F184" t="s">
        <v>125</v>
      </c>
    </row>
    <row r="185" spans="1:6" x14ac:dyDescent="0.25">
      <c r="A185" t="str" cm="1">
        <f t="array" ref="A185">IFERROR(INDEX(tbNucleo[ESCOLA],ROUNDUP(ROW(A184)/TotalEtapas,0)),"")</f>
        <v>E. E. EDIEB – Prof. Miltom Marques Curvo</v>
      </c>
      <c r="B185" t="str">
        <f>IFERROR(VLOOKUP(A185,tbNucleo[],2,FALSE),"")</f>
        <v>URBANO</v>
      </c>
      <c r="C185" cm="1">
        <f t="array" ref="C185">IF(A185="","",INDEX(tbEtapas[Nº],MOD(ROW(A184)-1,TotalEtapas)+1))</f>
        <v>4</v>
      </c>
      <c r="D185" t="str">
        <f>IFERROR(VLOOKUP(tbEscolas[[#This Row],[COD ETPA]],tbEtapas[],2,FALSE),"")</f>
        <v>PRE II</v>
      </c>
      <c r="E185" t="str">
        <f>IFERROR(VLOOKUP(tbEscolas[[#This Row],[COD ETPA]],tbEtapas[],3,FALSE),"")</f>
        <v>EDUCAÇÃO INFANTIL</v>
      </c>
      <c r="F185" t="s">
        <v>125</v>
      </c>
    </row>
    <row r="186" spans="1:6" x14ac:dyDescent="0.25">
      <c r="A186" t="str" cm="1">
        <f t="array" ref="A186">IFERROR(INDEX(tbNucleo[ESCOLA],ROUNDUP(ROW(A185)/TotalEtapas,0)),"")</f>
        <v>E. E. EDIEB – Prof. Miltom Marques Curvo</v>
      </c>
      <c r="B186" t="str">
        <f>IFERROR(VLOOKUP(A186,tbNucleo[],2,FALSE),"")</f>
        <v>URBANO</v>
      </c>
      <c r="C186" cm="1">
        <f t="array" ref="C186">IF(A186="","",INDEX(tbEtapas[Nº],MOD(ROW(A185)-1,TotalEtapas)+1))</f>
        <v>5</v>
      </c>
      <c r="D186" t="str">
        <f>IFERROR(VLOOKUP(tbEscolas[[#This Row],[COD ETPA]],tbEtapas[],2,FALSE),"")</f>
        <v>1º ANO</v>
      </c>
      <c r="E186" t="str">
        <f>IFERROR(VLOOKUP(tbEscolas[[#This Row],[COD ETPA]],tbEtapas[],3,FALSE),"")</f>
        <v>FUNDAMENTAL</v>
      </c>
      <c r="F186" t="s">
        <v>125</v>
      </c>
    </row>
    <row r="187" spans="1:6" x14ac:dyDescent="0.25">
      <c r="A187" t="str" cm="1">
        <f t="array" ref="A187">IFERROR(INDEX(tbNucleo[ESCOLA],ROUNDUP(ROW(A186)/TotalEtapas,0)),"")</f>
        <v>E. E. EDIEB – Prof. Miltom Marques Curvo</v>
      </c>
      <c r="B187" t="str">
        <f>IFERROR(VLOOKUP(A187,tbNucleo[],2,FALSE),"")</f>
        <v>URBANO</v>
      </c>
      <c r="C187" cm="1">
        <f t="array" ref="C187">IF(A187="","",INDEX(tbEtapas[Nº],MOD(ROW(A186)-1,TotalEtapas)+1))</f>
        <v>6</v>
      </c>
      <c r="D187" t="str">
        <f>IFERROR(VLOOKUP(tbEscolas[[#This Row],[COD ETPA]],tbEtapas[],2,FALSE),"")</f>
        <v>2º ANO</v>
      </c>
      <c r="E187" t="str">
        <f>IFERROR(VLOOKUP(tbEscolas[[#This Row],[COD ETPA]],tbEtapas[],3,FALSE),"")</f>
        <v>FUNDAMENTAL</v>
      </c>
      <c r="F187" t="s">
        <v>125</v>
      </c>
    </row>
    <row r="188" spans="1:6" x14ac:dyDescent="0.25">
      <c r="A188" t="str" cm="1">
        <f t="array" ref="A188">IFERROR(INDEX(tbNucleo[ESCOLA],ROUNDUP(ROW(A187)/TotalEtapas,0)),"")</f>
        <v>E. E. EDIEB – Prof. Miltom Marques Curvo</v>
      </c>
      <c r="B188" t="str">
        <f>IFERROR(VLOOKUP(A188,tbNucleo[],2,FALSE),"")</f>
        <v>URBANO</v>
      </c>
      <c r="C188" cm="1">
        <f t="array" ref="C188">IF(A188="","",INDEX(tbEtapas[Nº],MOD(ROW(A187)-1,TotalEtapas)+1))</f>
        <v>7</v>
      </c>
      <c r="D188" t="str">
        <f>IFERROR(VLOOKUP(tbEscolas[[#This Row],[COD ETPA]],tbEtapas[],2,FALSE),"")</f>
        <v>3º ANO</v>
      </c>
      <c r="E188" t="str">
        <f>IFERROR(VLOOKUP(tbEscolas[[#This Row],[COD ETPA]],tbEtapas[],3,FALSE),"")</f>
        <v>FUNDAMENTAL</v>
      </c>
      <c r="F188" t="s">
        <v>125</v>
      </c>
    </row>
    <row r="189" spans="1:6" x14ac:dyDescent="0.25">
      <c r="A189" t="str" cm="1">
        <f t="array" ref="A189">IFERROR(INDEX(tbNucleo[ESCOLA],ROUNDUP(ROW(A188)/TotalEtapas,0)),"")</f>
        <v>E. E. EDIEB – Prof. Miltom Marques Curvo</v>
      </c>
      <c r="B189" t="str">
        <f>IFERROR(VLOOKUP(A189,tbNucleo[],2,FALSE),"")</f>
        <v>URBANO</v>
      </c>
      <c r="C189" cm="1">
        <f t="array" ref="C189">IF(A189="","",INDEX(tbEtapas[Nº],MOD(ROW(A188)-1,TotalEtapas)+1))</f>
        <v>8</v>
      </c>
      <c r="D189" t="str">
        <f>IFERROR(VLOOKUP(tbEscolas[[#This Row],[COD ETPA]],tbEtapas[],2,FALSE),"")</f>
        <v>4º ANO</v>
      </c>
      <c r="E189" t="str">
        <f>IFERROR(VLOOKUP(tbEscolas[[#This Row],[COD ETPA]],tbEtapas[],3,FALSE),"")</f>
        <v>FUNDAMENTAL</v>
      </c>
      <c r="F189" t="s">
        <v>125</v>
      </c>
    </row>
    <row r="190" spans="1:6" x14ac:dyDescent="0.25">
      <c r="A190" t="str" cm="1">
        <f t="array" ref="A190">IFERROR(INDEX(tbNucleo[ESCOLA],ROUNDUP(ROW(A189)/TotalEtapas,0)),"")</f>
        <v>E. E. EDIEB – Prof. Miltom Marques Curvo</v>
      </c>
      <c r="B190" t="str">
        <f>IFERROR(VLOOKUP(A190,tbNucleo[],2,FALSE),"")</f>
        <v>URBANO</v>
      </c>
      <c r="C190" cm="1">
        <f t="array" ref="C190">IF(A190="","",INDEX(tbEtapas[Nº],MOD(ROW(A189)-1,TotalEtapas)+1))</f>
        <v>9</v>
      </c>
      <c r="D190" t="str">
        <f>IFERROR(VLOOKUP(tbEscolas[[#This Row],[COD ETPA]],tbEtapas[],2,FALSE),"")</f>
        <v>5º ANO</v>
      </c>
      <c r="E190" t="str">
        <f>IFERROR(VLOOKUP(tbEscolas[[#This Row],[COD ETPA]],tbEtapas[],3,FALSE),"")</f>
        <v>FUNDAMENTAL</v>
      </c>
      <c r="F190" t="s">
        <v>125</v>
      </c>
    </row>
    <row r="191" spans="1:6" x14ac:dyDescent="0.25">
      <c r="A191" t="str" cm="1">
        <f t="array" ref="A191">IFERROR(INDEX(tbNucleo[ESCOLA],ROUNDUP(ROW(A190)/TotalEtapas,0)),"")</f>
        <v>E. E. EDIEB – Prof. Miltom Marques Curvo</v>
      </c>
      <c r="B191" t="str">
        <f>IFERROR(VLOOKUP(A191,tbNucleo[],2,FALSE),"")</f>
        <v>URBANO</v>
      </c>
      <c r="C191" cm="1">
        <f t="array" ref="C191">IF(A191="","",INDEX(tbEtapas[Nº],MOD(ROW(A190)-1,TotalEtapas)+1))</f>
        <v>10</v>
      </c>
      <c r="D191" t="str">
        <f>IFERROR(VLOOKUP(tbEscolas[[#This Row],[COD ETPA]],tbEtapas[],2,FALSE),"")</f>
        <v>6º ANO</v>
      </c>
      <c r="E191" t="str">
        <f>IFERROR(VLOOKUP(tbEscolas[[#This Row],[COD ETPA]],tbEtapas[],3,FALSE),"")</f>
        <v>FUNDAMENTAL</v>
      </c>
      <c r="F191" t="s">
        <v>126</v>
      </c>
    </row>
    <row r="192" spans="1:6" x14ac:dyDescent="0.25">
      <c r="A192" t="str" cm="1">
        <f t="array" ref="A192">IFERROR(INDEX(tbNucleo[ESCOLA],ROUNDUP(ROW(A191)/TotalEtapas,0)),"")</f>
        <v>E. E. EDIEB – Prof. Miltom Marques Curvo</v>
      </c>
      <c r="B192" t="str">
        <f>IFERROR(VLOOKUP(A192,tbNucleo[],2,FALSE),"")</f>
        <v>URBANO</v>
      </c>
      <c r="C192" cm="1">
        <f t="array" ref="C192">IF(A192="","",INDEX(tbEtapas[Nº],MOD(ROW(A191)-1,TotalEtapas)+1))</f>
        <v>11</v>
      </c>
      <c r="D192" t="str">
        <f>IFERROR(VLOOKUP(tbEscolas[[#This Row],[COD ETPA]],tbEtapas[],2,FALSE),"")</f>
        <v>7º ANO</v>
      </c>
      <c r="E192" t="str">
        <f>IFERROR(VLOOKUP(tbEscolas[[#This Row],[COD ETPA]],tbEtapas[],3,FALSE),"")</f>
        <v>FUNDAMENTAL</v>
      </c>
      <c r="F192" t="s">
        <v>126</v>
      </c>
    </row>
    <row r="193" spans="1:6" x14ac:dyDescent="0.25">
      <c r="A193" t="str" cm="1">
        <f t="array" ref="A193">IFERROR(INDEX(tbNucleo[ESCOLA],ROUNDUP(ROW(A192)/TotalEtapas,0)),"")</f>
        <v>E. E. EDIEB – Prof. Miltom Marques Curvo</v>
      </c>
      <c r="B193" t="str">
        <f>IFERROR(VLOOKUP(A193,tbNucleo[],2,FALSE),"")</f>
        <v>URBANO</v>
      </c>
      <c r="C193" cm="1">
        <f t="array" ref="C193">IF(A193="","",INDEX(tbEtapas[Nº],MOD(ROW(A192)-1,TotalEtapas)+1))</f>
        <v>12</v>
      </c>
      <c r="D193" t="str">
        <f>IFERROR(VLOOKUP(tbEscolas[[#This Row],[COD ETPA]],tbEtapas[],2,FALSE),"")</f>
        <v>8º ANO</v>
      </c>
      <c r="E193" t="str">
        <f>IFERROR(VLOOKUP(tbEscolas[[#This Row],[COD ETPA]],tbEtapas[],3,FALSE),"")</f>
        <v>FUNDAMENTAL</v>
      </c>
      <c r="F193" t="s">
        <v>125</v>
      </c>
    </row>
    <row r="194" spans="1:6" x14ac:dyDescent="0.25">
      <c r="A194" t="str" cm="1">
        <f t="array" ref="A194">IFERROR(INDEX(tbNucleo[ESCOLA],ROUNDUP(ROW(A193)/TotalEtapas,0)),"")</f>
        <v>E. E. EDIEB – Prof. Miltom Marques Curvo</v>
      </c>
      <c r="B194" t="str">
        <f>IFERROR(VLOOKUP(A194,tbNucleo[],2,FALSE),"")</f>
        <v>URBANO</v>
      </c>
      <c r="C194" cm="1">
        <f t="array" ref="C194">IF(A194="","",INDEX(tbEtapas[Nº],MOD(ROW(A193)-1,TotalEtapas)+1))</f>
        <v>13</v>
      </c>
      <c r="D194" t="str">
        <f>IFERROR(VLOOKUP(tbEscolas[[#This Row],[COD ETPA]],tbEtapas[],2,FALSE),"")</f>
        <v>9º ANO</v>
      </c>
      <c r="E194" t="str">
        <f>IFERROR(VLOOKUP(tbEscolas[[#This Row],[COD ETPA]],tbEtapas[],3,FALSE),"")</f>
        <v>FUNDAMENTAL</v>
      </c>
      <c r="F194" t="s">
        <v>125</v>
      </c>
    </row>
    <row r="195" spans="1:6" x14ac:dyDescent="0.25">
      <c r="A195" t="str" cm="1">
        <f t="array" ref="A195">IFERROR(INDEX(tbNucleo[ESCOLA],ROUNDUP(ROW(A194)/TotalEtapas,0)),"")</f>
        <v>E. E. EDIEB – Prof. Miltom Marques Curvo</v>
      </c>
      <c r="B195" t="str">
        <f>IFERROR(VLOOKUP(A195,tbNucleo[],2,FALSE),"")</f>
        <v>URBANO</v>
      </c>
      <c r="C195" cm="1">
        <f t="array" ref="C195">IF(A195="","",INDEX(tbEtapas[Nº],MOD(ROW(A194)-1,TotalEtapas)+1))</f>
        <v>14</v>
      </c>
      <c r="D195" t="str">
        <f>IFERROR(VLOOKUP(tbEscolas[[#This Row],[COD ETPA]],tbEtapas[],2,FALSE),"")</f>
        <v>1º ANO</v>
      </c>
      <c r="E195" t="str">
        <f>IFERROR(VLOOKUP(tbEscolas[[#This Row],[COD ETPA]],tbEtapas[],3,FALSE),"")</f>
        <v>ENSINO MÉDIO</v>
      </c>
      <c r="F195" t="s">
        <v>126</v>
      </c>
    </row>
    <row r="196" spans="1:6" x14ac:dyDescent="0.25">
      <c r="A196" t="str" cm="1">
        <f t="array" ref="A196">IFERROR(INDEX(tbNucleo[ESCOLA],ROUNDUP(ROW(A195)/TotalEtapas,0)),"")</f>
        <v>E. E. EDIEB – Prof. Miltom Marques Curvo</v>
      </c>
      <c r="B196" t="str">
        <f>IFERROR(VLOOKUP(A196,tbNucleo[],2,FALSE),"")</f>
        <v>URBANO</v>
      </c>
      <c r="C196" cm="1">
        <f t="array" ref="C196">IF(A196="","",INDEX(tbEtapas[Nº],MOD(ROW(A195)-1,TotalEtapas)+1))</f>
        <v>15</v>
      </c>
      <c r="D196" t="str">
        <f>IFERROR(VLOOKUP(tbEscolas[[#This Row],[COD ETPA]],tbEtapas[],2,FALSE),"")</f>
        <v>2º ANO</v>
      </c>
      <c r="E196" t="str">
        <f>IFERROR(VLOOKUP(tbEscolas[[#This Row],[COD ETPA]],tbEtapas[],3,FALSE),"")</f>
        <v>ENSINO MÉDIO</v>
      </c>
      <c r="F196" t="s">
        <v>126</v>
      </c>
    </row>
    <row r="197" spans="1:6" x14ac:dyDescent="0.25">
      <c r="A197" t="str" cm="1">
        <f t="array" ref="A197">IFERROR(INDEX(tbNucleo[ESCOLA],ROUNDUP(ROW(A196)/TotalEtapas,0)),"")</f>
        <v>E. E. EDIEB – Prof. Miltom Marques Curvo</v>
      </c>
      <c r="B197" t="str">
        <f>IFERROR(VLOOKUP(A197,tbNucleo[],2,FALSE),"")</f>
        <v>URBANO</v>
      </c>
      <c r="C197" cm="1">
        <f t="array" ref="C197">IF(A197="","",INDEX(tbEtapas[Nº],MOD(ROW(A196)-1,TotalEtapas)+1))</f>
        <v>16</v>
      </c>
      <c r="D197" t="str">
        <f>IFERROR(VLOOKUP(tbEscolas[[#This Row],[COD ETPA]],tbEtapas[],2,FALSE),"")</f>
        <v>3º ANO</v>
      </c>
      <c r="E197" t="str">
        <f>IFERROR(VLOOKUP(tbEscolas[[#This Row],[COD ETPA]],tbEtapas[],3,FALSE),"")</f>
        <v>ENSINO MÉDIO</v>
      </c>
      <c r="F197" t="s">
        <v>126</v>
      </c>
    </row>
    <row r="198" spans="1:6" x14ac:dyDescent="0.25">
      <c r="A198" t="str" cm="1">
        <f t="array" ref="A198">IFERROR(INDEX(tbNucleo[ESCOLA],ROUNDUP(ROW(A197)/TotalEtapas,0)),"")</f>
        <v>E. E. EDIEB – Prof. Miltom Marques Curvo</v>
      </c>
      <c r="B198" t="str">
        <f>IFERROR(VLOOKUP(A198,tbNucleo[],2,FALSE),"")</f>
        <v>URBANO</v>
      </c>
      <c r="C198" cm="1">
        <f t="array" ref="C198">IF(A198="","",INDEX(tbEtapas[Nº],MOD(ROW(A197)-1,TotalEtapas)+1))</f>
        <v>17</v>
      </c>
      <c r="D198" t="str">
        <f>IFERROR(VLOOKUP(tbEscolas[[#This Row],[COD ETPA]],tbEtapas[],2,FALSE),"")</f>
        <v>EJA I</v>
      </c>
      <c r="E198" t="str">
        <f>IFERROR(VLOOKUP(tbEscolas[[#This Row],[COD ETPA]],tbEtapas[],3,FALSE),"")</f>
        <v>FUNDAMENTAL</v>
      </c>
      <c r="F198" t="s">
        <v>126</v>
      </c>
    </row>
    <row r="199" spans="1:6" x14ac:dyDescent="0.25">
      <c r="A199" t="str" cm="1">
        <f t="array" ref="A199">IFERROR(INDEX(tbNucleo[ESCOLA],ROUNDUP(ROW(A198)/TotalEtapas,0)),"")</f>
        <v>E. E. EDIEB – Prof. Miltom Marques Curvo</v>
      </c>
      <c r="B199" t="str">
        <f>IFERROR(VLOOKUP(A199,tbNucleo[],2,FALSE),"")</f>
        <v>URBANO</v>
      </c>
      <c r="C199" cm="1">
        <f t="array" ref="C199">IF(A199="","",INDEX(tbEtapas[Nº],MOD(ROW(A198)-1,TotalEtapas)+1))</f>
        <v>18</v>
      </c>
      <c r="D199" t="str">
        <f>IFERROR(VLOOKUP(tbEscolas[[#This Row],[COD ETPA]],tbEtapas[],2,FALSE),"")</f>
        <v>EJA II</v>
      </c>
      <c r="E199" t="str">
        <f>IFERROR(VLOOKUP(tbEscolas[[#This Row],[COD ETPA]],tbEtapas[],3,FALSE),"")</f>
        <v>ENSINO MÉDIO</v>
      </c>
      <c r="F199" t="s">
        <v>126</v>
      </c>
    </row>
    <row r="200" spans="1:6" x14ac:dyDescent="0.25">
      <c r="A200" t="str" cm="1">
        <f t="array" ref="A200">IFERROR(INDEX(tbNucleo[ESCOLA],ROUNDUP(ROW(A199)/TotalEtapas,0)),"")</f>
        <v>EMEI FREI GRIGNION</v>
      </c>
      <c r="B200" t="str">
        <f>IFERROR(VLOOKUP(A200,tbNucleo[],2,FALSE),"")</f>
        <v>URBANO</v>
      </c>
      <c r="C200" cm="1">
        <f t="array" ref="C200">IF(A200="","",INDEX(tbEtapas[Nº],MOD(ROW(A199)-1,TotalEtapas)+1))</f>
        <v>1</v>
      </c>
      <c r="D200" t="str">
        <f>IFERROR(VLOOKUP(tbEscolas[[#This Row],[COD ETPA]],tbEtapas[],2,FALSE),"")</f>
        <v>CRECHE I</v>
      </c>
      <c r="E200" t="str">
        <f>IFERROR(VLOOKUP(tbEscolas[[#This Row],[COD ETPA]],tbEtapas[],3,FALSE),"")</f>
        <v>EDUCAÇÃO INFANTIL</v>
      </c>
      <c r="F200" t="s">
        <v>126</v>
      </c>
    </row>
    <row r="201" spans="1:6" x14ac:dyDescent="0.25">
      <c r="A201" t="str" cm="1">
        <f t="array" ref="A201">IFERROR(INDEX(tbNucleo[ESCOLA],ROUNDUP(ROW(A200)/TotalEtapas,0)),"")</f>
        <v>EMEI FREI GRIGNION</v>
      </c>
      <c r="B201" t="str">
        <f>IFERROR(VLOOKUP(A201,tbNucleo[],2,FALSE),"")</f>
        <v>URBANO</v>
      </c>
      <c r="C201" cm="1">
        <f t="array" ref="C201">IF(A201="","",INDEX(tbEtapas[Nº],MOD(ROW(A200)-1,TotalEtapas)+1))</f>
        <v>2</v>
      </c>
      <c r="D201" t="str">
        <f>IFERROR(VLOOKUP(tbEscolas[[#This Row],[COD ETPA]],tbEtapas[],2,FALSE),"")</f>
        <v>CRECHE II</v>
      </c>
      <c r="E201" t="str">
        <f>IFERROR(VLOOKUP(tbEscolas[[#This Row],[COD ETPA]],tbEtapas[],3,FALSE),"")</f>
        <v>EDUCAÇÃO INFANTIL</v>
      </c>
      <c r="F201" t="s">
        <v>126</v>
      </c>
    </row>
    <row r="202" spans="1:6" x14ac:dyDescent="0.25">
      <c r="A202" t="str" cm="1">
        <f t="array" ref="A202">IFERROR(INDEX(tbNucleo[ESCOLA],ROUNDUP(ROW(A201)/TotalEtapas,0)),"")</f>
        <v>EMEI FREI GRIGNION</v>
      </c>
      <c r="B202" t="str">
        <f>IFERROR(VLOOKUP(A202,tbNucleo[],2,FALSE),"")</f>
        <v>URBANO</v>
      </c>
      <c r="C202" cm="1">
        <f t="array" ref="C202">IF(A202="","",INDEX(tbEtapas[Nº],MOD(ROW(A201)-1,TotalEtapas)+1))</f>
        <v>3</v>
      </c>
      <c r="D202" t="str">
        <f>IFERROR(VLOOKUP(tbEscolas[[#This Row],[COD ETPA]],tbEtapas[],2,FALSE),"")</f>
        <v>PRE I</v>
      </c>
      <c r="E202" t="str">
        <f>IFERROR(VLOOKUP(tbEscolas[[#This Row],[COD ETPA]],tbEtapas[],3,FALSE),"")</f>
        <v>EDUCAÇÃO INFANTIL</v>
      </c>
      <c r="F202" t="s">
        <v>126</v>
      </c>
    </row>
    <row r="203" spans="1:6" x14ac:dyDescent="0.25">
      <c r="A203" t="str" cm="1">
        <f t="array" ref="A203">IFERROR(INDEX(tbNucleo[ESCOLA],ROUNDUP(ROW(A202)/TotalEtapas,0)),"")</f>
        <v>EMEI FREI GRIGNION</v>
      </c>
      <c r="B203" t="str">
        <f>IFERROR(VLOOKUP(A203,tbNucleo[],2,FALSE),"")</f>
        <v>URBANO</v>
      </c>
      <c r="C203" cm="1">
        <f t="array" ref="C203">IF(A203="","",INDEX(tbEtapas[Nº],MOD(ROW(A202)-1,TotalEtapas)+1))</f>
        <v>4</v>
      </c>
      <c r="D203" t="str">
        <f>IFERROR(VLOOKUP(tbEscolas[[#This Row],[COD ETPA]],tbEtapas[],2,FALSE),"")</f>
        <v>PRE II</v>
      </c>
      <c r="E203" t="str">
        <f>IFERROR(VLOOKUP(tbEscolas[[#This Row],[COD ETPA]],tbEtapas[],3,FALSE),"")</f>
        <v>EDUCAÇÃO INFANTIL</v>
      </c>
      <c r="F203" t="s">
        <v>126</v>
      </c>
    </row>
    <row r="204" spans="1:6" x14ac:dyDescent="0.25">
      <c r="A204" t="str" cm="1">
        <f t="array" ref="A204">IFERROR(INDEX(tbNucleo[ESCOLA],ROUNDUP(ROW(A203)/TotalEtapas,0)),"")</f>
        <v>EMEI FREI GRIGNION</v>
      </c>
      <c r="B204" t="str">
        <f>IFERROR(VLOOKUP(A204,tbNucleo[],2,FALSE),"")</f>
        <v>URBANO</v>
      </c>
      <c r="C204" cm="1">
        <f t="array" ref="C204">IF(A204="","",INDEX(tbEtapas[Nº],MOD(ROW(A203)-1,TotalEtapas)+1))</f>
        <v>5</v>
      </c>
      <c r="D204" t="str">
        <f>IFERROR(VLOOKUP(tbEscolas[[#This Row],[COD ETPA]],tbEtapas[],2,FALSE),"")</f>
        <v>1º ANO</v>
      </c>
      <c r="E204" t="str">
        <f>IFERROR(VLOOKUP(tbEscolas[[#This Row],[COD ETPA]],tbEtapas[],3,FALSE),"")</f>
        <v>FUNDAMENTAL</v>
      </c>
      <c r="F204" t="s">
        <v>125</v>
      </c>
    </row>
    <row r="205" spans="1:6" x14ac:dyDescent="0.25">
      <c r="A205" t="str" cm="1">
        <f t="array" ref="A205">IFERROR(INDEX(tbNucleo[ESCOLA],ROUNDUP(ROW(A204)/TotalEtapas,0)),"")</f>
        <v>EMEI FREI GRIGNION</v>
      </c>
      <c r="B205" t="str">
        <f>IFERROR(VLOOKUP(A205,tbNucleo[],2,FALSE),"")</f>
        <v>URBANO</v>
      </c>
      <c r="C205" cm="1">
        <f t="array" ref="C205">IF(A205="","",INDEX(tbEtapas[Nº],MOD(ROW(A204)-1,TotalEtapas)+1))</f>
        <v>6</v>
      </c>
      <c r="D205" t="str">
        <f>IFERROR(VLOOKUP(tbEscolas[[#This Row],[COD ETPA]],tbEtapas[],2,FALSE),"")</f>
        <v>2º ANO</v>
      </c>
      <c r="E205" t="str">
        <f>IFERROR(VLOOKUP(tbEscolas[[#This Row],[COD ETPA]],tbEtapas[],3,FALSE),"")</f>
        <v>FUNDAMENTAL</v>
      </c>
      <c r="F205" t="s">
        <v>125</v>
      </c>
    </row>
    <row r="206" spans="1:6" x14ac:dyDescent="0.25">
      <c r="A206" t="str" cm="1">
        <f t="array" ref="A206">IFERROR(INDEX(tbNucleo[ESCOLA],ROUNDUP(ROW(A205)/TotalEtapas,0)),"")</f>
        <v>EMEI FREI GRIGNION</v>
      </c>
      <c r="B206" t="str">
        <f>IFERROR(VLOOKUP(A206,tbNucleo[],2,FALSE),"")</f>
        <v>URBANO</v>
      </c>
      <c r="C206" cm="1">
        <f t="array" ref="C206">IF(A206="","",INDEX(tbEtapas[Nº],MOD(ROW(A205)-1,TotalEtapas)+1))</f>
        <v>7</v>
      </c>
      <c r="D206" t="str">
        <f>IFERROR(VLOOKUP(tbEscolas[[#This Row],[COD ETPA]],tbEtapas[],2,FALSE),"")</f>
        <v>3º ANO</v>
      </c>
      <c r="E206" t="str">
        <f>IFERROR(VLOOKUP(tbEscolas[[#This Row],[COD ETPA]],tbEtapas[],3,FALSE),"")</f>
        <v>FUNDAMENTAL</v>
      </c>
      <c r="F206" t="s">
        <v>125</v>
      </c>
    </row>
    <row r="207" spans="1:6" x14ac:dyDescent="0.25">
      <c r="A207" t="str" cm="1">
        <f t="array" ref="A207">IFERROR(INDEX(tbNucleo[ESCOLA],ROUNDUP(ROW(A206)/TotalEtapas,0)),"")</f>
        <v>EMEI FREI GRIGNION</v>
      </c>
      <c r="B207" t="str">
        <f>IFERROR(VLOOKUP(A207,tbNucleo[],2,FALSE),"")</f>
        <v>URBANO</v>
      </c>
      <c r="C207" cm="1">
        <f t="array" ref="C207">IF(A207="","",INDEX(tbEtapas[Nº],MOD(ROW(A206)-1,TotalEtapas)+1))</f>
        <v>8</v>
      </c>
      <c r="D207" t="str">
        <f>IFERROR(VLOOKUP(tbEscolas[[#This Row],[COD ETPA]],tbEtapas[],2,FALSE),"")</f>
        <v>4º ANO</v>
      </c>
      <c r="E207" t="str">
        <f>IFERROR(VLOOKUP(tbEscolas[[#This Row],[COD ETPA]],tbEtapas[],3,FALSE),"")</f>
        <v>FUNDAMENTAL</v>
      </c>
      <c r="F207" t="s">
        <v>125</v>
      </c>
    </row>
    <row r="208" spans="1:6" x14ac:dyDescent="0.25">
      <c r="A208" t="str" cm="1">
        <f t="array" ref="A208">IFERROR(INDEX(tbNucleo[ESCOLA],ROUNDUP(ROW(A207)/TotalEtapas,0)),"")</f>
        <v>EMEI FREI GRIGNION</v>
      </c>
      <c r="B208" t="str">
        <f>IFERROR(VLOOKUP(A208,tbNucleo[],2,FALSE),"")</f>
        <v>URBANO</v>
      </c>
      <c r="C208" cm="1">
        <f t="array" ref="C208">IF(A208="","",INDEX(tbEtapas[Nº],MOD(ROW(A207)-1,TotalEtapas)+1))</f>
        <v>9</v>
      </c>
      <c r="D208" t="str">
        <f>IFERROR(VLOOKUP(tbEscolas[[#This Row],[COD ETPA]],tbEtapas[],2,FALSE),"")</f>
        <v>5º ANO</v>
      </c>
      <c r="E208" t="str">
        <f>IFERROR(VLOOKUP(tbEscolas[[#This Row],[COD ETPA]],tbEtapas[],3,FALSE),"")</f>
        <v>FUNDAMENTAL</v>
      </c>
      <c r="F208" t="s">
        <v>125</v>
      </c>
    </row>
    <row r="209" spans="1:6" x14ac:dyDescent="0.25">
      <c r="A209" t="str" cm="1">
        <f t="array" ref="A209">IFERROR(INDEX(tbNucleo[ESCOLA],ROUNDUP(ROW(A208)/TotalEtapas,0)),"")</f>
        <v>EMEI FREI GRIGNION</v>
      </c>
      <c r="B209" t="str">
        <f>IFERROR(VLOOKUP(A209,tbNucleo[],2,FALSE),"")</f>
        <v>URBANO</v>
      </c>
      <c r="C209" cm="1">
        <f t="array" ref="C209">IF(A209="","",INDEX(tbEtapas[Nº],MOD(ROW(A208)-1,TotalEtapas)+1))</f>
        <v>10</v>
      </c>
      <c r="D209" t="str">
        <f>IFERROR(VLOOKUP(tbEscolas[[#This Row],[COD ETPA]],tbEtapas[],2,FALSE),"")</f>
        <v>6º ANO</v>
      </c>
      <c r="E209" t="str">
        <f>IFERROR(VLOOKUP(tbEscolas[[#This Row],[COD ETPA]],tbEtapas[],3,FALSE),"")</f>
        <v>FUNDAMENTAL</v>
      </c>
      <c r="F209" t="s">
        <v>125</v>
      </c>
    </row>
    <row r="210" spans="1:6" x14ac:dyDescent="0.25">
      <c r="A210" t="str" cm="1">
        <f t="array" ref="A210">IFERROR(INDEX(tbNucleo[ESCOLA],ROUNDUP(ROW(A209)/TotalEtapas,0)),"")</f>
        <v>EMEI FREI GRIGNION</v>
      </c>
      <c r="B210" t="str">
        <f>IFERROR(VLOOKUP(A210,tbNucleo[],2,FALSE),"")</f>
        <v>URBANO</v>
      </c>
      <c r="C210" cm="1">
        <f t="array" ref="C210">IF(A210="","",INDEX(tbEtapas[Nº],MOD(ROW(A209)-1,TotalEtapas)+1))</f>
        <v>11</v>
      </c>
      <c r="D210" t="str">
        <f>IFERROR(VLOOKUP(tbEscolas[[#This Row],[COD ETPA]],tbEtapas[],2,FALSE),"")</f>
        <v>7º ANO</v>
      </c>
      <c r="E210" t="str">
        <f>IFERROR(VLOOKUP(tbEscolas[[#This Row],[COD ETPA]],tbEtapas[],3,FALSE),"")</f>
        <v>FUNDAMENTAL</v>
      </c>
      <c r="F210" t="s">
        <v>125</v>
      </c>
    </row>
    <row r="211" spans="1:6" x14ac:dyDescent="0.25">
      <c r="A211" t="str" cm="1">
        <f t="array" ref="A211">IFERROR(INDEX(tbNucleo[ESCOLA],ROUNDUP(ROW(A210)/TotalEtapas,0)),"")</f>
        <v>EMEI FREI GRIGNION</v>
      </c>
      <c r="B211" t="str">
        <f>IFERROR(VLOOKUP(A211,tbNucleo[],2,FALSE),"")</f>
        <v>URBANO</v>
      </c>
      <c r="C211" cm="1">
        <f t="array" ref="C211">IF(A211="","",INDEX(tbEtapas[Nº],MOD(ROW(A210)-1,TotalEtapas)+1))</f>
        <v>12</v>
      </c>
      <c r="D211" t="str">
        <f>IFERROR(VLOOKUP(tbEscolas[[#This Row],[COD ETPA]],tbEtapas[],2,FALSE),"")</f>
        <v>8º ANO</v>
      </c>
      <c r="E211" t="str">
        <f>IFERROR(VLOOKUP(tbEscolas[[#This Row],[COD ETPA]],tbEtapas[],3,FALSE),"")</f>
        <v>FUNDAMENTAL</v>
      </c>
      <c r="F211" t="s">
        <v>125</v>
      </c>
    </row>
    <row r="212" spans="1:6" x14ac:dyDescent="0.25">
      <c r="A212" t="str" cm="1">
        <f t="array" ref="A212">IFERROR(INDEX(tbNucleo[ESCOLA],ROUNDUP(ROW(A211)/TotalEtapas,0)),"")</f>
        <v>EMEI FREI GRIGNION</v>
      </c>
      <c r="B212" t="str">
        <f>IFERROR(VLOOKUP(A212,tbNucleo[],2,FALSE),"")</f>
        <v>URBANO</v>
      </c>
      <c r="C212" cm="1">
        <f t="array" ref="C212">IF(A212="","",INDEX(tbEtapas[Nº],MOD(ROW(A211)-1,TotalEtapas)+1))</f>
        <v>13</v>
      </c>
      <c r="D212" t="str">
        <f>IFERROR(VLOOKUP(tbEscolas[[#This Row],[COD ETPA]],tbEtapas[],2,FALSE),"")</f>
        <v>9º ANO</v>
      </c>
      <c r="E212" t="str">
        <f>IFERROR(VLOOKUP(tbEscolas[[#This Row],[COD ETPA]],tbEtapas[],3,FALSE),"")</f>
        <v>FUNDAMENTAL</v>
      </c>
      <c r="F212" t="s">
        <v>125</v>
      </c>
    </row>
    <row r="213" spans="1:6" x14ac:dyDescent="0.25">
      <c r="A213" t="str" cm="1">
        <f t="array" ref="A213">IFERROR(INDEX(tbNucleo[ESCOLA],ROUNDUP(ROW(A212)/TotalEtapas,0)),"")</f>
        <v>EMEI FREI GRIGNION</v>
      </c>
      <c r="B213" t="str">
        <f>IFERROR(VLOOKUP(A213,tbNucleo[],2,FALSE),"")</f>
        <v>URBANO</v>
      </c>
      <c r="C213" cm="1">
        <f t="array" ref="C213">IF(A213="","",INDEX(tbEtapas[Nº],MOD(ROW(A212)-1,TotalEtapas)+1))</f>
        <v>14</v>
      </c>
      <c r="D213" t="str">
        <f>IFERROR(VLOOKUP(tbEscolas[[#This Row],[COD ETPA]],tbEtapas[],2,FALSE),"")</f>
        <v>1º ANO</v>
      </c>
      <c r="E213" t="str">
        <f>IFERROR(VLOOKUP(tbEscolas[[#This Row],[COD ETPA]],tbEtapas[],3,FALSE),"")</f>
        <v>ENSINO MÉDIO</v>
      </c>
      <c r="F213" t="s">
        <v>125</v>
      </c>
    </row>
    <row r="214" spans="1:6" x14ac:dyDescent="0.25">
      <c r="A214" t="str" cm="1">
        <f t="array" ref="A214">IFERROR(INDEX(tbNucleo[ESCOLA],ROUNDUP(ROW(A213)/TotalEtapas,0)),"")</f>
        <v>EMEI FREI GRIGNION</v>
      </c>
      <c r="B214" t="str">
        <f>IFERROR(VLOOKUP(A214,tbNucleo[],2,FALSE),"")</f>
        <v>URBANO</v>
      </c>
      <c r="C214" cm="1">
        <f t="array" ref="C214">IF(A214="","",INDEX(tbEtapas[Nº],MOD(ROW(A213)-1,TotalEtapas)+1))</f>
        <v>15</v>
      </c>
      <c r="D214" t="str">
        <f>IFERROR(VLOOKUP(tbEscolas[[#This Row],[COD ETPA]],tbEtapas[],2,FALSE),"")</f>
        <v>2º ANO</v>
      </c>
      <c r="E214" t="str">
        <f>IFERROR(VLOOKUP(tbEscolas[[#This Row],[COD ETPA]],tbEtapas[],3,FALSE),"")</f>
        <v>ENSINO MÉDIO</v>
      </c>
      <c r="F214" t="s">
        <v>125</v>
      </c>
    </row>
    <row r="215" spans="1:6" x14ac:dyDescent="0.25">
      <c r="A215" t="str" cm="1">
        <f t="array" ref="A215">IFERROR(INDEX(tbNucleo[ESCOLA],ROUNDUP(ROW(A214)/TotalEtapas,0)),"")</f>
        <v>EMEI FREI GRIGNION</v>
      </c>
      <c r="B215" t="str">
        <f>IFERROR(VLOOKUP(A215,tbNucleo[],2,FALSE),"")</f>
        <v>URBANO</v>
      </c>
      <c r="C215" cm="1">
        <f t="array" ref="C215">IF(A215="","",INDEX(tbEtapas[Nº],MOD(ROW(A214)-1,TotalEtapas)+1))</f>
        <v>16</v>
      </c>
      <c r="D215" t="str">
        <f>IFERROR(VLOOKUP(tbEscolas[[#This Row],[COD ETPA]],tbEtapas[],2,FALSE),"")</f>
        <v>3º ANO</v>
      </c>
      <c r="E215" t="str">
        <f>IFERROR(VLOOKUP(tbEscolas[[#This Row],[COD ETPA]],tbEtapas[],3,FALSE),"")</f>
        <v>ENSINO MÉDIO</v>
      </c>
      <c r="F215" t="s">
        <v>125</v>
      </c>
    </row>
    <row r="216" spans="1:6" x14ac:dyDescent="0.25">
      <c r="A216" t="str" cm="1">
        <f t="array" ref="A216">IFERROR(INDEX(tbNucleo[ESCOLA],ROUNDUP(ROW(A215)/TotalEtapas,0)),"")</f>
        <v>EMEI FREI GRIGNION</v>
      </c>
      <c r="B216" t="str">
        <f>IFERROR(VLOOKUP(A216,tbNucleo[],2,FALSE),"")</f>
        <v>URBANO</v>
      </c>
      <c r="C216" cm="1">
        <f t="array" ref="C216">IF(A216="","",INDEX(tbEtapas[Nº],MOD(ROW(A215)-1,TotalEtapas)+1))</f>
        <v>17</v>
      </c>
      <c r="D216" t="str">
        <f>IFERROR(VLOOKUP(tbEscolas[[#This Row],[COD ETPA]],tbEtapas[],2,FALSE),"")</f>
        <v>EJA I</v>
      </c>
      <c r="E216" t="str">
        <f>IFERROR(VLOOKUP(tbEscolas[[#This Row],[COD ETPA]],tbEtapas[],3,FALSE),"")</f>
        <v>FUNDAMENTAL</v>
      </c>
      <c r="F216" t="s">
        <v>125</v>
      </c>
    </row>
    <row r="217" spans="1:6" x14ac:dyDescent="0.25">
      <c r="A217" t="str" cm="1">
        <f t="array" ref="A217">IFERROR(INDEX(tbNucleo[ESCOLA],ROUNDUP(ROW(A216)/TotalEtapas,0)),"")</f>
        <v>EMEI FREI GRIGNION</v>
      </c>
      <c r="B217" t="str">
        <f>IFERROR(VLOOKUP(A217,tbNucleo[],2,FALSE),"")</f>
        <v>URBANO</v>
      </c>
      <c r="C217" cm="1">
        <f t="array" ref="C217">IF(A217="","",INDEX(tbEtapas[Nº],MOD(ROW(A216)-1,TotalEtapas)+1))</f>
        <v>18</v>
      </c>
      <c r="D217" t="str">
        <f>IFERROR(VLOOKUP(tbEscolas[[#This Row],[COD ETPA]],tbEtapas[],2,FALSE),"")</f>
        <v>EJA II</v>
      </c>
      <c r="E217" t="str">
        <f>IFERROR(VLOOKUP(tbEscolas[[#This Row],[COD ETPA]],tbEtapas[],3,FALSE),"")</f>
        <v>ENSINO MÉDIO</v>
      </c>
      <c r="F217" t="s">
        <v>125</v>
      </c>
    </row>
    <row r="218" spans="1:6" x14ac:dyDescent="0.25">
      <c r="A218" t="str" cm="1">
        <f t="array" ref="A218">IFERROR(INDEX(tbNucleo[ESCOLA],ROUNDUP(ROW(A217)/TotalEtapas,0)),"")</f>
        <v>E. E. C. M. Profª Ana Maria G. Noronha</v>
      </c>
      <c r="B218" t="str">
        <f>IFERROR(VLOOKUP(A218,tbNucleo[],2,FALSE),"")</f>
        <v>URBANO</v>
      </c>
      <c r="C218" cm="1">
        <f t="array" ref="C218">IF(A218="","",INDEX(tbEtapas[Nº],MOD(ROW(A217)-1,TotalEtapas)+1))</f>
        <v>1</v>
      </c>
      <c r="D218" t="str">
        <f>IFERROR(VLOOKUP(tbEscolas[[#This Row],[COD ETPA]],tbEtapas[],2,FALSE),"")</f>
        <v>CRECHE I</v>
      </c>
      <c r="E218" t="str">
        <f>IFERROR(VLOOKUP(tbEscolas[[#This Row],[COD ETPA]],tbEtapas[],3,FALSE),"")</f>
        <v>EDUCAÇÃO INFANTIL</v>
      </c>
      <c r="F218" t="s">
        <v>125</v>
      </c>
    </row>
    <row r="219" spans="1:6" x14ac:dyDescent="0.25">
      <c r="A219" t="str" cm="1">
        <f t="array" ref="A219">IFERROR(INDEX(tbNucleo[ESCOLA],ROUNDUP(ROW(A218)/TotalEtapas,0)),"")</f>
        <v>E. E. C. M. Profª Ana Maria G. Noronha</v>
      </c>
      <c r="B219" t="str">
        <f>IFERROR(VLOOKUP(A219,tbNucleo[],2,FALSE),"")</f>
        <v>URBANO</v>
      </c>
      <c r="C219" cm="1">
        <f t="array" ref="C219">IF(A219="","",INDEX(tbEtapas[Nº],MOD(ROW(A218)-1,TotalEtapas)+1))</f>
        <v>2</v>
      </c>
      <c r="D219" t="str">
        <f>IFERROR(VLOOKUP(tbEscolas[[#This Row],[COD ETPA]],tbEtapas[],2,FALSE),"")</f>
        <v>CRECHE II</v>
      </c>
      <c r="E219" t="str">
        <f>IFERROR(VLOOKUP(tbEscolas[[#This Row],[COD ETPA]],tbEtapas[],3,FALSE),"")</f>
        <v>EDUCAÇÃO INFANTIL</v>
      </c>
      <c r="F219" t="s">
        <v>125</v>
      </c>
    </row>
    <row r="220" spans="1:6" x14ac:dyDescent="0.25">
      <c r="A220" t="str" cm="1">
        <f t="array" ref="A220">IFERROR(INDEX(tbNucleo[ESCOLA],ROUNDUP(ROW(A219)/TotalEtapas,0)),"")</f>
        <v>E. E. C. M. Profª Ana Maria G. Noronha</v>
      </c>
      <c r="B220" t="str">
        <f>IFERROR(VLOOKUP(A220,tbNucleo[],2,FALSE),"")</f>
        <v>URBANO</v>
      </c>
      <c r="C220" cm="1">
        <f t="array" ref="C220">IF(A220="","",INDEX(tbEtapas[Nº],MOD(ROW(A219)-1,TotalEtapas)+1))</f>
        <v>3</v>
      </c>
      <c r="D220" t="str">
        <f>IFERROR(VLOOKUP(tbEscolas[[#This Row],[COD ETPA]],tbEtapas[],2,FALSE),"")</f>
        <v>PRE I</v>
      </c>
      <c r="E220" t="str">
        <f>IFERROR(VLOOKUP(tbEscolas[[#This Row],[COD ETPA]],tbEtapas[],3,FALSE),"")</f>
        <v>EDUCAÇÃO INFANTIL</v>
      </c>
      <c r="F220" t="s">
        <v>125</v>
      </c>
    </row>
    <row r="221" spans="1:6" x14ac:dyDescent="0.25">
      <c r="A221" t="str" cm="1">
        <f t="array" ref="A221">IFERROR(INDEX(tbNucleo[ESCOLA],ROUNDUP(ROW(A220)/TotalEtapas,0)),"")</f>
        <v>E. E. C. M. Profª Ana Maria G. Noronha</v>
      </c>
      <c r="B221" t="str">
        <f>IFERROR(VLOOKUP(A221,tbNucleo[],2,FALSE),"")</f>
        <v>URBANO</v>
      </c>
      <c r="C221" cm="1">
        <f t="array" ref="C221">IF(A221="","",INDEX(tbEtapas[Nº],MOD(ROW(A220)-1,TotalEtapas)+1))</f>
        <v>4</v>
      </c>
      <c r="D221" t="str">
        <f>IFERROR(VLOOKUP(tbEscolas[[#This Row],[COD ETPA]],tbEtapas[],2,FALSE),"")</f>
        <v>PRE II</v>
      </c>
      <c r="E221" t="str">
        <f>IFERROR(VLOOKUP(tbEscolas[[#This Row],[COD ETPA]],tbEtapas[],3,FALSE),"")</f>
        <v>EDUCAÇÃO INFANTIL</v>
      </c>
      <c r="F221" t="s">
        <v>125</v>
      </c>
    </row>
    <row r="222" spans="1:6" x14ac:dyDescent="0.25">
      <c r="A222" t="str" cm="1">
        <f t="array" ref="A222">IFERROR(INDEX(tbNucleo[ESCOLA],ROUNDUP(ROW(A221)/TotalEtapas,0)),"")</f>
        <v>E. E. C. M. Profª Ana Maria G. Noronha</v>
      </c>
      <c r="B222" t="str">
        <f>IFERROR(VLOOKUP(A222,tbNucleo[],2,FALSE),"")</f>
        <v>URBANO</v>
      </c>
      <c r="C222" cm="1">
        <f t="array" ref="C222">IF(A222="","",INDEX(tbEtapas[Nº],MOD(ROW(A221)-1,TotalEtapas)+1))</f>
        <v>5</v>
      </c>
      <c r="D222" t="str">
        <f>IFERROR(VLOOKUP(tbEscolas[[#This Row],[COD ETPA]],tbEtapas[],2,FALSE),"")</f>
        <v>1º ANO</v>
      </c>
      <c r="E222" t="str">
        <f>IFERROR(VLOOKUP(tbEscolas[[#This Row],[COD ETPA]],tbEtapas[],3,FALSE),"")</f>
        <v>FUNDAMENTAL</v>
      </c>
      <c r="F222" t="s">
        <v>125</v>
      </c>
    </row>
    <row r="223" spans="1:6" x14ac:dyDescent="0.25">
      <c r="A223" t="str" cm="1">
        <f t="array" ref="A223">IFERROR(INDEX(tbNucleo[ESCOLA],ROUNDUP(ROW(A222)/TotalEtapas,0)),"")</f>
        <v>E. E. C. M. Profª Ana Maria G. Noronha</v>
      </c>
      <c r="B223" t="str">
        <f>IFERROR(VLOOKUP(A223,tbNucleo[],2,FALSE),"")</f>
        <v>URBANO</v>
      </c>
      <c r="C223" cm="1">
        <f t="array" ref="C223">IF(A223="","",INDEX(tbEtapas[Nº],MOD(ROW(A222)-1,TotalEtapas)+1))</f>
        <v>6</v>
      </c>
      <c r="D223" t="str">
        <f>IFERROR(VLOOKUP(tbEscolas[[#This Row],[COD ETPA]],tbEtapas[],2,FALSE),"")</f>
        <v>2º ANO</v>
      </c>
      <c r="E223" t="str">
        <f>IFERROR(VLOOKUP(tbEscolas[[#This Row],[COD ETPA]],tbEtapas[],3,FALSE),"")</f>
        <v>FUNDAMENTAL</v>
      </c>
      <c r="F223" t="s">
        <v>125</v>
      </c>
    </row>
    <row r="224" spans="1:6" x14ac:dyDescent="0.25">
      <c r="A224" t="str" cm="1">
        <f t="array" ref="A224">IFERROR(INDEX(tbNucleo[ESCOLA],ROUNDUP(ROW(A223)/TotalEtapas,0)),"")</f>
        <v>E. E. C. M. Profª Ana Maria G. Noronha</v>
      </c>
      <c r="B224" t="str">
        <f>IFERROR(VLOOKUP(A224,tbNucleo[],2,FALSE),"")</f>
        <v>URBANO</v>
      </c>
      <c r="C224" cm="1">
        <f t="array" ref="C224">IF(A224="","",INDEX(tbEtapas[Nº],MOD(ROW(A223)-1,TotalEtapas)+1))</f>
        <v>7</v>
      </c>
      <c r="D224" t="str">
        <f>IFERROR(VLOOKUP(tbEscolas[[#This Row],[COD ETPA]],tbEtapas[],2,FALSE),"")</f>
        <v>3º ANO</v>
      </c>
      <c r="E224" t="str">
        <f>IFERROR(VLOOKUP(tbEscolas[[#This Row],[COD ETPA]],tbEtapas[],3,FALSE),"")</f>
        <v>FUNDAMENTAL</v>
      </c>
      <c r="F224" t="s">
        <v>125</v>
      </c>
    </row>
    <row r="225" spans="1:6" x14ac:dyDescent="0.25">
      <c r="A225" t="str" cm="1">
        <f t="array" ref="A225">IFERROR(INDEX(tbNucleo[ESCOLA],ROUNDUP(ROW(A224)/TotalEtapas,0)),"")</f>
        <v>E. E. C. M. Profª Ana Maria G. Noronha</v>
      </c>
      <c r="B225" t="str">
        <f>IFERROR(VLOOKUP(A225,tbNucleo[],2,FALSE),"")</f>
        <v>URBANO</v>
      </c>
      <c r="C225" cm="1">
        <f t="array" ref="C225">IF(A225="","",INDEX(tbEtapas[Nº],MOD(ROW(A224)-1,TotalEtapas)+1))</f>
        <v>8</v>
      </c>
      <c r="D225" t="str">
        <f>IFERROR(VLOOKUP(tbEscolas[[#This Row],[COD ETPA]],tbEtapas[],2,FALSE),"")</f>
        <v>4º ANO</v>
      </c>
      <c r="E225" t="str">
        <f>IFERROR(VLOOKUP(tbEscolas[[#This Row],[COD ETPA]],tbEtapas[],3,FALSE),"")</f>
        <v>FUNDAMENTAL</v>
      </c>
      <c r="F225" t="s">
        <v>125</v>
      </c>
    </row>
    <row r="226" spans="1:6" x14ac:dyDescent="0.25">
      <c r="A226" t="str" cm="1">
        <f t="array" ref="A226">IFERROR(INDEX(tbNucleo[ESCOLA],ROUNDUP(ROW(A225)/TotalEtapas,0)),"")</f>
        <v>E. E. C. M. Profª Ana Maria G. Noronha</v>
      </c>
      <c r="B226" t="str">
        <f>IFERROR(VLOOKUP(A226,tbNucleo[],2,FALSE),"")</f>
        <v>URBANO</v>
      </c>
      <c r="C226" cm="1">
        <f t="array" ref="C226">IF(A226="","",INDEX(tbEtapas[Nº],MOD(ROW(A225)-1,TotalEtapas)+1))</f>
        <v>9</v>
      </c>
      <c r="D226" t="str">
        <f>IFERROR(VLOOKUP(tbEscolas[[#This Row],[COD ETPA]],tbEtapas[],2,FALSE),"")</f>
        <v>5º ANO</v>
      </c>
      <c r="E226" t="str">
        <f>IFERROR(VLOOKUP(tbEscolas[[#This Row],[COD ETPA]],tbEtapas[],3,FALSE),"")</f>
        <v>FUNDAMENTAL</v>
      </c>
      <c r="F226" t="s">
        <v>125</v>
      </c>
    </row>
    <row r="227" spans="1:6" x14ac:dyDescent="0.25">
      <c r="A227" t="str" cm="1">
        <f t="array" ref="A227">IFERROR(INDEX(tbNucleo[ESCOLA],ROUNDUP(ROW(A226)/TotalEtapas,0)),"")</f>
        <v>E. E. C. M. Profª Ana Maria G. Noronha</v>
      </c>
      <c r="B227" t="str">
        <f>IFERROR(VLOOKUP(A227,tbNucleo[],2,FALSE),"")</f>
        <v>URBANO</v>
      </c>
      <c r="C227" cm="1">
        <f t="array" ref="C227">IF(A227="","",INDEX(tbEtapas[Nº],MOD(ROW(A226)-1,TotalEtapas)+1))</f>
        <v>10</v>
      </c>
      <c r="D227" t="str">
        <f>IFERROR(VLOOKUP(tbEscolas[[#This Row],[COD ETPA]],tbEtapas[],2,FALSE),"")</f>
        <v>6º ANO</v>
      </c>
      <c r="E227" t="str">
        <f>IFERROR(VLOOKUP(tbEscolas[[#This Row],[COD ETPA]],tbEtapas[],3,FALSE),"")</f>
        <v>FUNDAMENTAL</v>
      </c>
      <c r="F227" t="s">
        <v>126</v>
      </c>
    </row>
    <row r="228" spans="1:6" x14ac:dyDescent="0.25">
      <c r="A228" t="str" cm="1">
        <f t="array" ref="A228">IFERROR(INDEX(tbNucleo[ESCOLA],ROUNDUP(ROW(A227)/TotalEtapas,0)),"")</f>
        <v>E. E. C. M. Profª Ana Maria G. Noronha</v>
      </c>
      <c r="B228" t="str">
        <f>IFERROR(VLOOKUP(A228,tbNucleo[],2,FALSE),"")</f>
        <v>URBANO</v>
      </c>
      <c r="C228" cm="1">
        <f t="array" ref="C228">IF(A228="","",INDEX(tbEtapas[Nº],MOD(ROW(A227)-1,TotalEtapas)+1))</f>
        <v>11</v>
      </c>
      <c r="D228" t="str">
        <f>IFERROR(VLOOKUP(tbEscolas[[#This Row],[COD ETPA]],tbEtapas[],2,FALSE),"")</f>
        <v>7º ANO</v>
      </c>
      <c r="E228" t="str">
        <f>IFERROR(VLOOKUP(tbEscolas[[#This Row],[COD ETPA]],tbEtapas[],3,FALSE),"")</f>
        <v>FUNDAMENTAL</v>
      </c>
      <c r="F228" t="s">
        <v>126</v>
      </c>
    </row>
    <row r="229" spans="1:6" x14ac:dyDescent="0.25">
      <c r="A229" t="str" cm="1">
        <f t="array" ref="A229">IFERROR(INDEX(tbNucleo[ESCOLA],ROUNDUP(ROW(A228)/TotalEtapas,0)),"")</f>
        <v>E. E. C. M. Profª Ana Maria G. Noronha</v>
      </c>
      <c r="B229" t="str">
        <f>IFERROR(VLOOKUP(A229,tbNucleo[],2,FALSE),"")</f>
        <v>URBANO</v>
      </c>
      <c r="C229" cm="1">
        <f t="array" ref="C229">IF(A229="","",INDEX(tbEtapas[Nº],MOD(ROW(A228)-1,TotalEtapas)+1))</f>
        <v>12</v>
      </c>
      <c r="D229" t="str">
        <f>IFERROR(VLOOKUP(tbEscolas[[#This Row],[COD ETPA]],tbEtapas[],2,FALSE),"")</f>
        <v>8º ANO</v>
      </c>
      <c r="E229" t="str">
        <f>IFERROR(VLOOKUP(tbEscolas[[#This Row],[COD ETPA]],tbEtapas[],3,FALSE),"")</f>
        <v>FUNDAMENTAL</v>
      </c>
      <c r="F229" t="s">
        <v>126</v>
      </c>
    </row>
    <row r="230" spans="1:6" x14ac:dyDescent="0.25">
      <c r="A230" t="str" cm="1">
        <f t="array" ref="A230">IFERROR(INDEX(tbNucleo[ESCOLA],ROUNDUP(ROW(A229)/TotalEtapas,0)),"")</f>
        <v>E. E. C. M. Profª Ana Maria G. Noronha</v>
      </c>
      <c r="B230" t="str">
        <f>IFERROR(VLOOKUP(A230,tbNucleo[],2,FALSE),"")</f>
        <v>URBANO</v>
      </c>
      <c r="C230" cm="1">
        <f t="array" ref="C230">IF(A230="","",INDEX(tbEtapas[Nº],MOD(ROW(A229)-1,TotalEtapas)+1))</f>
        <v>13</v>
      </c>
      <c r="D230" t="str">
        <f>IFERROR(VLOOKUP(tbEscolas[[#This Row],[COD ETPA]],tbEtapas[],2,FALSE),"")</f>
        <v>9º ANO</v>
      </c>
      <c r="E230" t="str">
        <f>IFERROR(VLOOKUP(tbEscolas[[#This Row],[COD ETPA]],tbEtapas[],3,FALSE),"")</f>
        <v>FUNDAMENTAL</v>
      </c>
      <c r="F230" t="s">
        <v>126</v>
      </c>
    </row>
    <row r="231" spans="1:6" x14ac:dyDescent="0.25">
      <c r="A231" t="str" cm="1">
        <f t="array" ref="A231">IFERROR(INDEX(tbNucleo[ESCOLA],ROUNDUP(ROW(A230)/TotalEtapas,0)),"")</f>
        <v>E. E. C. M. Profª Ana Maria G. Noronha</v>
      </c>
      <c r="B231" t="str">
        <f>IFERROR(VLOOKUP(A231,tbNucleo[],2,FALSE),"")</f>
        <v>URBANO</v>
      </c>
      <c r="C231" cm="1">
        <f t="array" ref="C231">IF(A231="","",INDEX(tbEtapas[Nº],MOD(ROW(A230)-1,TotalEtapas)+1))</f>
        <v>14</v>
      </c>
      <c r="D231" t="str">
        <f>IFERROR(VLOOKUP(tbEscolas[[#This Row],[COD ETPA]],tbEtapas[],2,FALSE),"")</f>
        <v>1º ANO</v>
      </c>
      <c r="E231" t="str">
        <f>IFERROR(VLOOKUP(tbEscolas[[#This Row],[COD ETPA]],tbEtapas[],3,FALSE),"")</f>
        <v>ENSINO MÉDIO</v>
      </c>
      <c r="F231" t="s">
        <v>126</v>
      </c>
    </row>
    <row r="232" spans="1:6" x14ac:dyDescent="0.25">
      <c r="A232" t="str" cm="1">
        <f t="array" ref="A232">IFERROR(INDEX(tbNucleo[ESCOLA],ROUNDUP(ROW(A231)/TotalEtapas,0)),"")</f>
        <v>E. E. C. M. Profª Ana Maria G. Noronha</v>
      </c>
      <c r="B232" t="str">
        <f>IFERROR(VLOOKUP(A232,tbNucleo[],2,FALSE),"")</f>
        <v>URBANO</v>
      </c>
      <c r="C232" cm="1">
        <f t="array" ref="C232">IF(A232="","",INDEX(tbEtapas[Nº],MOD(ROW(A231)-1,TotalEtapas)+1))</f>
        <v>15</v>
      </c>
      <c r="D232" t="str">
        <f>IFERROR(VLOOKUP(tbEscolas[[#This Row],[COD ETPA]],tbEtapas[],2,FALSE),"")</f>
        <v>2º ANO</v>
      </c>
      <c r="E232" t="str">
        <f>IFERROR(VLOOKUP(tbEscolas[[#This Row],[COD ETPA]],tbEtapas[],3,FALSE),"")</f>
        <v>ENSINO MÉDIO</v>
      </c>
      <c r="F232" t="s">
        <v>126</v>
      </c>
    </row>
    <row r="233" spans="1:6" x14ac:dyDescent="0.25">
      <c r="A233" t="str" cm="1">
        <f t="array" ref="A233">IFERROR(INDEX(tbNucleo[ESCOLA],ROUNDUP(ROW(A232)/TotalEtapas,0)),"")</f>
        <v>E. E. C. M. Profª Ana Maria G. Noronha</v>
      </c>
      <c r="B233" t="str">
        <f>IFERROR(VLOOKUP(A233,tbNucleo[],2,FALSE),"")</f>
        <v>URBANO</v>
      </c>
      <c r="C233" cm="1">
        <f t="array" ref="C233">IF(A233="","",INDEX(tbEtapas[Nº],MOD(ROW(A232)-1,TotalEtapas)+1))</f>
        <v>16</v>
      </c>
      <c r="D233" t="str">
        <f>IFERROR(VLOOKUP(tbEscolas[[#This Row],[COD ETPA]],tbEtapas[],2,FALSE),"")</f>
        <v>3º ANO</v>
      </c>
      <c r="E233" t="str">
        <f>IFERROR(VLOOKUP(tbEscolas[[#This Row],[COD ETPA]],tbEtapas[],3,FALSE),"")</f>
        <v>ENSINO MÉDIO</v>
      </c>
      <c r="F233" t="s">
        <v>126</v>
      </c>
    </row>
    <row r="234" spans="1:6" x14ac:dyDescent="0.25">
      <c r="A234" t="str" cm="1">
        <f t="array" ref="A234">IFERROR(INDEX(tbNucleo[ESCOLA],ROUNDUP(ROW(A233)/TotalEtapas,0)),"")</f>
        <v>E. E. C. M. Profª Ana Maria G. Noronha</v>
      </c>
      <c r="B234" t="str">
        <f>IFERROR(VLOOKUP(A234,tbNucleo[],2,FALSE),"")</f>
        <v>URBANO</v>
      </c>
      <c r="C234" cm="1">
        <f t="array" ref="C234">IF(A234="","",INDEX(tbEtapas[Nº],MOD(ROW(A233)-1,TotalEtapas)+1))</f>
        <v>17</v>
      </c>
      <c r="D234" t="str">
        <f>IFERROR(VLOOKUP(tbEscolas[[#This Row],[COD ETPA]],tbEtapas[],2,FALSE),"")</f>
        <v>EJA I</v>
      </c>
      <c r="E234" t="str">
        <f>IFERROR(VLOOKUP(tbEscolas[[#This Row],[COD ETPA]],tbEtapas[],3,FALSE),"")</f>
        <v>FUNDAMENTAL</v>
      </c>
      <c r="F234" t="s">
        <v>125</v>
      </c>
    </row>
    <row r="235" spans="1:6" x14ac:dyDescent="0.25">
      <c r="A235" t="str" cm="1">
        <f t="array" ref="A235">IFERROR(INDEX(tbNucleo[ESCOLA],ROUNDUP(ROW(A234)/TotalEtapas,0)),"")</f>
        <v>E. E. C. M. Profª Ana Maria G. Noronha</v>
      </c>
      <c r="B235" t="str">
        <f>IFERROR(VLOOKUP(A235,tbNucleo[],2,FALSE),"")</f>
        <v>URBANO</v>
      </c>
      <c r="C235" cm="1">
        <f t="array" ref="C235">IF(A235="","",INDEX(tbEtapas[Nº],MOD(ROW(A234)-1,TotalEtapas)+1))</f>
        <v>18</v>
      </c>
      <c r="D235" t="str">
        <f>IFERROR(VLOOKUP(tbEscolas[[#This Row],[COD ETPA]],tbEtapas[],2,FALSE),"")</f>
        <v>EJA II</v>
      </c>
      <c r="E235" t="str">
        <f>IFERROR(VLOOKUP(tbEscolas[[#This Row],[COD ETPA]],tbEtapas[],3,FALSE),"")</f>
        <v>ENSINO MÉDIO</v>
      </c>
      <c r="F235" t="s">
        <v>125</v>
      </c>
    </row>
    <row r="236" spans="1:6" x14ac:dyDescent="0.25">
      <c r="A236" t="str" cm="1">
        <f t="array" ref="A236">IFERROR(INDEX(tbNucleo[ESCOLA],ROUNDUP(ROW(A235)/TotalEtapas,0)),"")</f>
        <v>EM SANTOS DUMONT</v>
      </c>
      <c r="B236" t="str">
        <f>IFERROR(VLOOKUP(A236,tbNucleo[],2,FALSE),"")</f>
        <v>URBANO</v>
      </c>
      <c r="C236" cm="1">
        <f t="array" ref="C236">IF(A236="","",INDEX(tbEtapas[Nº],MOD(ROW(A235)-1,TotalEtapas)+1))</f>
        <v>1</v>
      </c>
      <c r="D236" t="str">
        <f>IFERROR(VLOOKUP(tbEscolas[[#This Row],[COD ETPA]],tbEtapas[],2,FALSE),"")</f>
        <v>CRECHE I</v>
      </c>
      <c r="E236" t="str">
        <f>IFERROR(VLOOKUP(tbEscolas[[#This Row],[COD ETPA]],tbEtapas[],3,FALSE),"")</f>
        <v>EDUCAÇÃO INFANTIL</v>
      </c>
      <c r="F236" t="s">
        <v>125</v>
      </c>
    </row>
    <row r="237" spans="1:6" x14ac:dyDescent="0.25">
      <c r="A237" t="str" cm="1">
        <f t="array" ref="A237">IFERROR(INDEX(tbNucleo[ESCOLA],ROUNDUP(ROW(A236)/TotalEtapas,0)),"")</f>
        <v>EM SANTOS DUMONT</v>
      </c>
      <c r="B237" t="str">
        <f>IFERROR(VLOOKUP(A237,tbNucleo[],2,FALSE),"")</f>
        <v>URBANO</v>
      </c>
      <c r="C237" cm="1">
        <f t="array" ref="C237">IF(A237="","",INDEX(tbEtapas[Nº],MOD(ROW(A236)-1,TotalEtapas)+1))</f>
        <v>2</v>
      </c>
      <c r="D237" t="str">
        <f>IFERROR(VLOOKUP(tbEscolas[[#This Row],[COD ETPA]],tbEtapas[],2,FALSE),"")</f>
        <v>CRECHE II</v>
      </c>
      <c r="E237" t="str">
        <f>IFERROR(VLOOKUP(tbEscolas[[#This Row],[COD ETPA]],tbEtapas[],3,FALSE),"")</f>
        <v>EDUCAÇÃO INFANTIL</v>
      </c>
      <c r="F237" t="s">
        <v>125</v>
      </c>
    </row>
    <row r="238" spans="1:6" x14ac:dyDescent="0.25">
      <c r="A238" t="str" cm="1">
        <f t="array" ref="A238">IFERROR(INDEX(tbNucleo[ESCOLA],ROUNDUP(ROW(A237)/TotalEtapas,0)),"")</f>
        <v>EM SANTOS DUMONT</v>
      </c>
      <c r="B238" t="str">
        <f>IFERROR(VLOOKUP(A238,tbNucleo[],2,FALSE),"")</f>
        <v>URBANO</v>
      </c>
      <c r="C238" cm="1">
        <f t="array" ref="C238">IF(A238="","",INDEX(tbEtapas[Nº],MOD(ROW(A237)-1,TotalEtapas)+1))</f>
        <v>3</v>
      </c>
      <c r="D238" t="str">
        <f>IFERROR(VLOOKUP(tbEscolas[[#This Row],[COD ETPA]],tbEtapas[],2,FALSE),"")</f>
        <v>PRE I</v>
      </c>
      <c r="E238" t="str">
        <f>IFERROR(VLOOKUP(tbEscolas[[#This Row],[COD ETPA]],tbEtapas[],3,FALSE),"")</f>
        <v>EDUCAÇÃO INFANTIL</v>
      </c>
      <c r="F238" t="s">
        <v>126</v>
      </c>
    </row>
    <row r="239" spans="1:6" x14ac:dyDescent="0.25">
      <c r="A239" t="str" cm="1">
        <f t="array" ref="A239">IFERROR(INDEX(tbNucleo[ESCOLA],ROUNDUP(ROW(A238)/TotalEtapas,0)),"")</f>
        <v>EM SANTOS DUMONT</v>
      </c>
      <c r="B239" t="str">
        <f>IFERROR(VLOOKUP(A239,tbNucleo[],2,FALSE),"")</f>
        <v>URBANO</v>
      </c>
      <c r="C239" cm="1">
        <f t="array" ref="C239">IF(A239="","",INDEX(tbEtapas[Nº],MOD(ROW(A238)-1,TotalEtapas)+1))</f>
        <v>4</v>
      </c>
      <c r="D239" t="str">
        <f>IFERROR(VLOOKUP(tbEscolas[[#This Row],[COD ETPA]],tbEtapas[],2,FALSE),"")</f>
        <v>PRE II</v>
      </c>
      <c r="E239" t="str">
        <f>IFERROR(VLOOKUP(tbEscolas[[#This Row],[COD ETPA]],tbEtapas[],3,FALSE),"")</f>
        <v>EDUCAÇÃO INFANTIL</v>
      </c>
      <c r="F239" t="s">
        <v>126</v>
      </c>
    </row>
    <row r="240" spans="1:6" x14ac:dyDescent="0.25">
      <c r="A240" t="str" cm="1">
        <f t="array" ref="A240">IFERROR(INDEX(tbNucleo[ESCOLA],ROUNDUP(ROW(A239)/TotalEtapas,0)),"")</f>
        <v>EM SANTOS DUMONT</v>
      </c>
      <c r="B240" t="str">
        <f>IFERROR(VLOOKUP(A240,tbNucleo[],2,FALSE),"")</f>
        <v>URBANO</v>
      </c>
      <c r="C240" cm="1">
        <f t="array" ref="C240">IF(A240="","",INDEX(tbEtapas[Nº],MOD(ROW(A239)-1,TotalEtapas)+1))</f>
        <v>5</v>
      </c>
      <c r="D240" t="str">
        <f>IFERROR(VLOOKUP(tbEscolas[[#This Row],[COD ETPA]],tbEtapas[],2,FALSE),"")</f>
        <v>1º ANO</v>
      </c>
      <c r="E240" t="str">
        <f>IFERROR(VLOOKUP(tbEscolas[[#This Row],[COD ETPA]],tbEtapas[],3,FALSE),"")</f>
        <v>FUNDAMENTAL</v>
      </c>
      <c r="F240" t="s">
        <v>126</v>
      </c>
    </row>
    <row r="241" spans="1:6" x14ac:dyDescent="0.25">
      <c r="A241" t="str" cm="1">
        <f t="array" ref="A241">IFERROR(INDEX(tbNucleo[ESCOLA],ROUNDUP(ROW(A240)/TotalEtapas,0)),"")</f>
        <v>EM SANTOS DUMONT</v>
      </c>
      <c r="B241" t="str">
        <f>IFERROR(VLOOKUP(A241,tbNucleo[],2,FALSE),"")</f>
        <v>URBANO</v>
      </c>
      <c r="C241" cm="1">
        <f t="array" ref="C241">IF(A241="","",INDEX(tbEtapas[Nº],MOD(ROW(A240)-1,TotalEtapas)+1))</f>
        <v>6</v>
      </c>
      <c r="D241" t="str">
        <f>IFERROR(VLOOKUP(tbEscolas[[#This Row],[COD ETPA]],tbEtapas[],2,FALSE),"")</f>
        <v>2º ANO</v>
      </c>
      <c r="E241" t="str">
        <f>IFERROR(VLOOKUP(tbEscolas[[#This Row],[COD ETPA]],tbEtapas[],3,FALSE),"")</f>
        <v>FUNDAMENTAL</v>
      </c>
      <c r="F241" t="s">
        <v>126</v>
      </c>
    </row>
    <row r="242" spans="1:6" x14ac:dyDescent="0.25">
      <c r="A242" t="str" cm="1">
        <f t="array" ref="A242">IFERROR(INDEX(tbNucleo[ESCOLA],ROUNDUP(ROW(A241)/TotalEtapas,0)),"")</f>
        <v>EM SANTOS DUMONT</v>
      </c>
      <c r="B242" t="str">
        <f>IFERROR(VLOOKUP(A242,tbNucleo[],2,FALSE),"")</f>
        <v>URBANO</v>
      </c>
      <c r="C242" cm="1">
        <f t="array" ref="C242">IF(A242="","",INDEX(tbEtapas[Nº],MOD(ROW(A241)-1,TotalEtapas)+1))</f>
        <v>7</v>
      </c>
      <c r="D242" t="str">
        <f>IFERROR(VLOOKUP(tbEscolas[[#This Row],[COD ETPA]],tbEtapas[],2,FALSE),"")</f>
        <v>3º ANO</v>
      </c>
      <c r="E242" t="str">
        <f>IFERROR(VLOOKUP(tbEscolas[[#This Row],[COD ETPA]],tbEtapas[],3,FALSE),"")</f>
        <v>FUNDAMENTAL</v>
      </c>
      <c r="F242" t="s">
        <v>126</v>
      </c>
    </row>
    <row r="243" spans="1:6" x14ac:dyDescent="0.25">
      <c r="A243" t="str" cm="1">
        <f t="array" ref="A243">IFERROR(INDEX(tbNucleo[ESCOLA],ROUNDUP(ROW(A242)/TotalEtapas,0)),"")</f>
        <v>EM SANTOS DUMONT</v>
      </c>
      <c r="B243" t="str">
        <f>IFERROR(VLOOKUP(A243,tbNucleo[],2,FALSE),"")</f>
        <v>URBANO</v>
      </c>
      <c r="C243" cm="1">
        <f t="array" ref="C243">IF(A243="","",INDEX(tbEtapas[Nº],MOD(ROW(A242)-1,TotalEtapas)+1))</f>
        <v>8</v>
      </c>
      <c r="D243" t="str">
        <f>IFERROR(VLOOKUP(tbEscolas[[#This Row],[COD ETPA]],tbEtapas[],2,FALSE),"")</f>
        <v>4º ANO</v>
      </c>
      <c r="E243" t="str">
        <f>IFERROR(VLOOKUP(tbEscolas[[#This Row],[COD ETPA]],tbEtapas[],3,FALSE),"")</f>
        <v>FUNDAMENTAL</v>
      </c>
      <c r="F243" t="s">
        <v>126</v>
      </c>
    </row>
    <row r="244" spans="1:6" x14ac:dyDescent="0.25">
      <c r="A244" t="str" cm="1">
        <f t="array" ref="A244">IFERROR(INDEX(tbNucleo[ESCOLA],ROUNDUP(ROW(A243)/TotalEtapas,0)),"")</f>
        <v>EM SANTOS DUMONT</v>
      </c>
      <c r="B244" t="str">
        <f>IFERROR(VLOOKUP(A244,tbNucleo[],2,FALSE),"")</f>
        <v>URBANO</v>
      </c>
      <c r="C244" cm="1">
        <f t="array" ref="C244">IF(A244="","",INDEX(tbEtapas[Nº],MOD(ROW(A243)-1,TotalEtapas)+1))</f>
        <v>9</v>
      </c>
      <c r="D244" t="str">
        <f>IFERROR(VLOOKUP(tbEscolas[[#This Row],[COD ETPA]],tbEtapas[],2,FALSE),"")</f>
        <v>5º ANO</v>
      </c>
      <c r="E244" t="str">
        <f>IFERROR(VLOOKUP(tbEscolas[[#This Row],[COD ETPA]],tbEtapas[],3,FALSE),"")</f>
        <v>FUNDAMENTAL</v>
      </c>
      <c r="F244" t="s">
        <v>126</v>
      </c>
    </row>
    <row r="245" spans="1:6" x14ac:dyDescent="0.25">
      <c r="A245" t="str" cm="1">
        <f t="array" ref="A245">IFERROR(INDEX(tbNucleo[ESCOLA],ROUNDUP(ROW(A244)/TotalEtapas,0)),"")</f>
        <v>EM SANTOS DUMONT</v>
      </c>
      <c r="B245" t="str">
        <f>IFERROR(VLOOKUP(A245,tbNucleo[],2,FALSE),"")</f>
        <v>URBANO</v>
      </c>
      <c r="C245" cm="1">
        <f t="array" ref="C245">IF(A245="","",INDEX(tbEtapas[Nº],MOD(ROW(A244)-1,TotalEtapas)+1))</f>
        <v>10</v>
      </c>
      <c r="D245" t="str">
        <f>IFERROR(VLOOKUP(tbEscolas[[#This Row],[COD ETPA]],tbEtapas[],2,FALSE),"")</f>
        <v>6º ANO</v>
      </c>
      <c r="E245" t="str">
        <f>IFERROR(VLOOKUP(tbEscolas[[#This Row],[COD ETPA]],tbEtapas[],3,FALSE),"")</f>
        <v>FUNDAMENTAL</v>
      </c>
      <c r="F245" t="s">
        <v>125</v>
      </c>
    </row>
    <row r="246" spans="1:6" x14ac:dyDescent="0.25">
      <c r="A246" t="str" cm="1">
        <f t="array" ref="A246">IFERROR(INDEX(tbNucleo[ESCOLA],ROUNDUP(ROW(A245)/TotalEtapas,0)),"")</f>
        <v>EM SANTOS DUMONT</v>
      </c>
      <c r="B246" t="str">
        <f>IFERROR(VLOOKUP(A246,tbNucleo[],2,FALSE),"")</f>
        <v>URBANO</v>
      </c>
      <c r="C246" cm="1">
        <f t="array" ref="C246">IF(A246="","",INDEX(tbEtapas[Nº],MOD(ROW(A245)-1,TotalEtapas)+1))</f>
        <v>11</v>
      </c>
      <c r="D246" t="str">
        <f>IFERROR(VLOOKUP(tbEscolas[[#This Row],[COD ETPA]],tbEtapas[],2,FALSE),"")</f>
        <v>7º ANO</v>
      </c>
      <c r="E246" t="str">
        <f>IFERROR(VLOOKUP(tbEscolas[[#This Row],[COD ETPA]],tbEtapas[],3,FALSE),"")</f>
        <v>FUNDAMENTAL</v>
      </c>
      <c r="F246" t="s">
        <v>125</v>
      </c>
    </row>
    <row r="247" spans="1:6" x14ac:dyDescent="0.25">
      <c r="A247" t="str" cm="1">
        <f t="array" ref="A247">IFERROR(INDEX(tbNucleo[ESCOLA],ROUNDUP(ROW(A246)/TotalEtapas,0)),"")</f>
        <v>EM SANTOS DUMONT</v>
      </c>
      <c r="B247" t="str">
        <f>IFERROR(VLOOKUP(A247,tbNucleo[],2,FALSE),"")</f>
        <v>URBANO</v>
      </c>
      <c r="C247" cm="1">
        <f t="array" ref="C247">IF(A247="","",INDEX(tbEtapas[Nº],MOD(ROW(A246)-1,TotalEtapas)+1))</f>
        <v>12</v>
      </c>
      <c r="D247" t="str">
        <f>IFERROR(VLOOKUP(tbEscolas[[#This Row],[COD ETPA]],tbEtapas[],2,FALSE),"")</f>
        <v>8º ANO</v>
      </c>
      <c r="E247" t="str">
        <f>IFERROR(VLOOKUP(tbEscolas[[#This Row],[COD ETPA]],tbEtapas[],3,FALSE),"")</f>
        <v>FUNDAMENTAL</v>
      </c>
      <c r="F247" t="s">
        <v>125</v>
      </c>
    </row>
    <row r="248" spans="1:6" x14ac:dyDescent="0.25">
      <c r="A248" t="str" cm="1">
        <f t="array" ref="A248">IFERROR(INDEX(tbNucleo[ESCOLA],ROUNDUP(ROW(A247)/TotalEtapas,0)),"")</f>
        <v>EM SANTOS DUMONT</v>
      </c>
      <c r="B248" t="str">
        <f>IFERROR(VLOOKUP(A248,tbNucleo[],2,FALSE),"")</f>
        <v>URBANO</v>
      </c>
      <c r="C248" cm="1">
        <f t="array" ref="C248">IF(A248="","",INDEX(tbEtapas[Nº],MOD(ROW(A247)-1,TotalEtapas)+1))</f>
        <v>13</v>
      </c>
      <c r="D248" t="str">
        <f>IFERROR(VLOOKUP(tbEscolas[[#This Row],[COD ETPA]],tbEtapas[],2,FALSE),"")</f>
        <v>9º ANO</v>
      </c>
      <c r="E248" t="str">
        <f>IFERROR(VLOOKUP(tbEscolas[[#This Row],[COD ETPA]],tbEtapas[],3,FALSE),"")</f>
        <v>FUNDAMENTAL</v>
      </c>
      <c r="F248" t="s">
        <v>125</v>
      </c>
    </row>
    <row r="249" spans="1:6" x14ac:dyDescent="0.25">
      <c r="A249" t="str" cm="1">
        <f t="array" ref="A249">IFERROR(INDEX(tbNucleo[ESCOLA],ROUNDUP(ROW(A248)/TotalEtapas,0)),"")</f>
        <v>EM SANTOS DUMONT</v>
      </c>
      <c r="B249" t="str">
        <f>IFERROR(VLOOKUP(A249,tbNucleo[],2,FALSE),"")</f>
        <v>URBANO</v>
      </c>
      <c r="C249" cm="1">
        <f t="array" ref="C249">IF(A249="","",INDEX(tbEtapas[Nº],MOD(ROW(A248)-1,TotalEtapas)+1))</f>
        <v>14</v>
      </c>
      <c r="D249" t="str">
        <f>IFERROR(VLOOKUP(tbEscolas[[#This Row],[COD ETPA]],tbEtapas[],2,FALSE),"")</f>
        <v>1º ANO</v>
      </c>
      <c r="E249" t="str">
        <f>IFERROR(VLOOKUP(tbEscolas[[#This Row],[COD ETPA]],tbEtapas[],3,FALSE),"")</f>
        <v>ENSINO MÉDIO</v>
      </c>
      <c r="F249" t="s">
        <v>125</v>
      </c>
    </row>
    <row r="250" spans="1:6" x14ac:dyDescent="0.25">
      <c r="A250" t="str" cm="1">
        <f t="array" ref="A250">IFERROR(INDEX(tbNucleo[ESCOLA],ROUNDUP(ROW(A249)/TotalEtapas,0)),"")</f>
        <v>EM SANTOS DUMONT</v>
      </c>
      <c r="B250" t="str">
        <f>IFERROR(VLOOKUP(A250,tbNucleo[],2,FALSE),"")</f>
        <v>URBANO</v>
      </c>
      <c r="C250" cm="1">
        <f t="array" ref="C250">IF(A250="","",INDEX(tbEtapas[Nº],MOD(ROW(A249)-1,TotalEtapas)+1))</f>
        <v>15</v>
      </c>
      <c r="D250" t="str">
        <f>IFERROR(VLOOKUP(tbEscolas[[#This Row],[COD ETPA]],tbEtapas[],2,FALSE),"")</f>
        <v>2º ANO</v>
      </c>
      <c r="E250" t="str">
        <f>IFERROR(VLOOKUP(tbEscolas[[#This Row],[COD ETPA]],tbEtapas[],3,FALSE),"")</f>
        <v>ENSINO MÉDIO</v>
      </c>
      <c r="F250" t="s">
        <v>125</v>
      </c>
    </row>
    <row r="251" spans="1:6" x14ac:dyDescent="0.25">
      <c r="A251" t="str" cm="1">
        <f t="array" ref="A251">IFERROR(INDEX(tbNucleo[ESCOLA],ROUNDUP(ROW(A250)/TotalEtapas,0)),"")</f>
        <v>EM SANTOS DUMONT</v>
      </c>
      <c r="B251" t="str">
        <f>IFERROR(VLOOKUP(A251,tbNucleo[],2,FALSE),"")</f>
        <v>URBANO</v>
      </c>
      <c r="C251" cm="1">
        <f t="array" ref="C251">IF(A251="","",INDEX(tbEtapas[Nº],MOD(ROW(A250)-1,TotalEtapas)+1))</f>
        <v>16</v>
      </c>
      <c r="D251" t="str">
        <f>IFERROR(VLOOKUP(tbEscolas[[#This Row],[COD ETPA]],tbEtapas[],2,FALSE),"")</f>
        <v>3º ANO</v>
      </c>
      <c r="E251" t="str">
        <f>IFERROR(VLOOKUP(tbEscolas[[#This Row],[COD ETPA]],tbEtapas[],3,FALSE),"")</f>
        <v>ENSINO MÉDIO</v>
      </c>
      <c r="F251" t="s">
        <v>125</v>
      </c>
    </row>
    <row r="252" spans="1:6" x14ac:dyDescent="0.25">
      <c r="A252" t="str" cm="1">
        <f t="array" ref="A252">IFERROR(INDEX(tbNucleo[ESCOLA],ROUNDUP(ROW(A251)/TotalEtapas,0)),"")</f>
        <v>EM SANTOS DUMONT</v>
      </c>
      <c r="B252" t="str">
        <f>IFERROR(VLOOKUP(A252,tbNucleo[],2,FALSE),"")</f>
        <v>URBANO</v>
      </c>
      <c r="C252" cm="1">
        <f t="array" ref="C252">IF(A252="","",INDEX(tbEtapas[Nº],MOD(ROW(A251)-1,TotalEtapas)+1))</f>
        <v>17</v>
      </c>
      <c r="D252" t="str">
        <f>IFERROR(VLOOKUP(tbEscolas[[#This Row],[COD ETPA]],tbEtapas[],2,FALSE),"")</f>
        <v>EJA I</v>
      </c>
      <c r="E252" t="str">
        <f>IFERROR(VLOOKUP(tbEscolas[[#This Row],[COD ETPA]],tbEtapas[],3,FALSE),"")</f>
        <v>FUNDAMENTAL</v>
      </c>
      <c r="F252" t="s">
        <v>125</v>
      </c>
    </row>
    <row r="253" spans="1:6" x14ac:dyDescent="0.25">
      <c r="A253" t="str" cm="1">
        <f t="array" ref="A253">IFERROR(INDEX(tbNucleo[ESCOLA],ROUNDUP(ROW(A252)/TotalEtapas,0)),"")</f>
        <v>EM SANTOS DUMONT</v>
      </c>
      <c r="B253" t="str">
        <f>IFERROR(VLOOKUP(A253,tbNucleo[],2,FALSE),"")</f>
        <v>URBANO</v>
      </c>
      <c r="C253" cm="1">
        <f t="array" ref="C253">IF(A253="","",INDEX(tbEtapas[Nº],MOD(ROW(A252)-1,TotalEtapas)+1))</f>
        <v>18</v>
      </c>
      <c r="D253" t="str">
        <f>IFERROR(VLOOKUP(tbEscolas[[#This Row],[COD ETPA]],tbEtapas[],2,FALSE),"")</f>
        <v>EJA II</v>
      </c>
      <c r="E253" t="str">
        <f>IFERROR(VLOOKUP(tbEscolas[[#This Row],[COD ETPA]],tbEtapas[],3,FALSE),"")</f>
        <v>ENSINO MÉDIO</v>
      </c>
      <c r="F253" t="s">
        <v>125</v>
      </c>
    </row>
    <row r="254" spans="1:6" x14ac:dyDescent="0.25">
      <c r="A254" t="str" cm="1">
        <f t="array" ref="A254">IFERROR(INDEX(tbNucleo[ESCOLA],ROUNDUP(ROW(A253)/TotalEtapas,0)),"")</f>
        <v>EM DESEMBARGADOR GABRIEL PINTO DE ARRUDA</v>
      </c>
      <c r="B254" t="str">
        <f>IFERROR(VLOOKUP(A254,tbNucleo[],2,FALSE),"")</f>
        <v>URBANO</v>
      </c>
      <c r="C254" cm="1">
        <f t="array" ref="C254">IF(A254="","",INDEX(tbEtapas[Nº],MOD(ROW(A253)-1,TotalEtapas)+1))</f>
        <v>1</v>
      </c>
      <c r="D254" t="str">
        <f>IFERROR(VLOOKUP(tbEscolas[[#This Row],[COD ETPA]],tbEtapas[],2,FALSE),"")</f>
        <v>CRECHE I</v>
      </c>
      <c r="E254" t="str">
        <f>IFERROR(VLOOKUP(tbEscolas[[#This Row],[COD ETPA]],tbEtapas[],3,FALSE),"")</f>
        <v>EDUCAÇÃO INFANTIL</v>
      </c>
      <c r="F254" t="s">
        <v>125</v>
      </c>
    </row>
    <row r="255" spans="1:6" x14ac:dyDescent="0.25">
      <c r="A255" t="str" cm="1">
        <f t="array" ref="A255">IFERROR(INDEX(tbNucleo[ESCOLA],ROUNDUP(ROW(A254)/TotalEtapas,0)),"")</f>
        <v>EM DESEMBARGADOR GABRIEL PINTO DE ARRUDA</v>
      </c>
      <c r="B255" t="str">
        <f>IFERROR(VLOOKUP(A255,tbNucleo[],2,FALSE),"")</f>
        <v>URBANO</v>
      </c>
      <c r="C255" cm="1">
        <f t="array" ref="C255">IF(A255="","",INDEX(tbEtapas[Nº],MOD(ROW(A254)-1,TotalEtapas)+1))</f>
        <v>2</v>
      </c>
      <c r="D255" t="str">
        <f>IFERROR(VLOOKUP(tbEscolas[[#This Row],[COD ETPA]],tbEtapas[],2,FALSE),"")</f>
        <v>CRECHE II</v>
      </c>
      <c r="E255" t="str">
        <f>IFERROR(VLOOKUP(tbEscolas[[#This Row],[COD ETPA]],tbEtapas[],3,FALSE),"")</f>
        <v>EDUCAÇÃO INFANTIL</v>
      </c>
      <c r="F255" t="s">
        <v>125</v>
      </c>
    </row>
    <row r="256" spans="1:6" x14ac:dyDescent="0.25">
      <c r="A256" t="str" cm="1">
        <f t="array" ref="A256">IFERROR(INDEX(tbNucleo[ESCOLA],ROUNDUP(ROW(A255)/TotalEtapas,0)),"")</f>
        <v>EM DESEMBARGADOR GABRIEL PINTO DE ARRUDA</v>
      </c>
      <c r="B256" t="str">
        <f>IFERROR(VLOOKUP(A256,tbNucleo[],2,FALSE),"")</f>
        <v>URBANO</v>
      </c>
      <c r="C256" cm="1">
        <f t="array" ref="C256">IF(A256="","",INDEX(tbEtapas[Nº],MOD(ROW(A255)-1,TotalEtapas)+1))</f>
        <v>3</v>
      </c>
      <c r="D256" t="str">
        <f>IFERROR(VLOOKUP(tbEscolas[[#This Row],[COD ETPA]],tbEtapas[],2,FALSE),"")</f>
        <v>PRE I</v>
      </c>
      <c r="E256" t="str">
        <f>IFERROR(VLOOKUP(tbEscolas[[#This Row],[COD ETPA]],tbEtapas[],3,FALSE),"")</f>
        <v>EDUCAÇÃO INFANTIL</v>
      </c>
      <c r="F256" t="s">
        <v>125</v>
      </c>
    </row>
    <row r="257" spans="1:6" x14ac:dyDescent="0.25">
      <c r="A257" t="str" cm="1">
        <f t="array" ref="A257">IFERROR(INDEX(tbNucleo[ESCOLA],ROUNDUP(ROW(A256)/TotalEtapas,0)),"")</f>
        <v>EM DESEMBARGADOR GABRIEL PINTO DE ARRUDA</v>
      </c>
      <c r="B257" t="str">
        <f>IFERROR(VLOOKUP(A257,tbNucleo[],2,FALSE),"")</f>
        <v>URBANO</v>
      </c>
      <c r="C257" cm="1">
        <f t="array" ref="C257">IF(A257="","",INDEX(tbEtapas[Nº],MOD(ROW(A256)-1,TotalEtapas)+1))</f>
        <v>4</v>
      </c>
      <c r="D257" t="str">
        <f>IFERROR(VLOOKUP(tbEscolas[[#This Row],[COD ETPA]],tbEtapas[],2,FALSE),"")</f>
        <v>PRE II</v>
      </c>
      <c r="E257" t="str">
        <f>IFERROR(VLOOKUP(tbEscolas[[#This Row],[COD ETPA]],tbEtapas[],3,FALSE),"")</f>
        <v>EDUCAÇÃO INFANTIL</v>
      </c>
      <c r="F257" t="s">
        <v>125</v>
      </c>
    </row>
    <row r="258" spans="1:6" x14ac:dyDescent="0.25">
      <c r="A258" t="str" cm="1">
        <f t="array" ref="A258">IFERROR(INDEX(tbNucleo[ESCOLA],ROUNDUP(ROW(A257)/TotalEtapas,0)),"")</f>
        <v>EM DESEMBARGADOR GABRIEL PINTO DE ARRUDA</v>
      </c>
      <c r="B258" t="str">
        <f>IFERROR(VLOOKUP(A258,tbNucleo[],2,FALSE),"")</f>
        <v>URBANO</v>
      </c>
      <c r="C258" cm="1">
        <f t="array" ref="C258">IF(A258="","",INDEX(tbEtapas[Nº],MOD(ROW(A257)-1,TotalEtapas)+1))</f>
        <v>5</v>
      </c>
      <c r="D258" t="str">
        <f>IFERROR(VLOOKUP(tbEscolas[[#This Row],[COD ETPA]],tbEtapas[],2,FALSE),"")</f>
        <v>1º ANO</v>
      </c>
      <c r="E258" t="str">
        <f>IFERROR(VLOOKUP(tbEscolas[[#This Row],[COD ETPA]],tbEtapas[],3,FALSE),"")</f>
        <v>FUNDAMENTAL</v>
      </c>
      <c r="F258" t="s">
        <v>126</v>
      </c>
    </row>
    <row r="259" spans="1:6" x14ac:dyDescent="0.25">
      <c r="A259" t="str" cm="1">
        <f t="array" ref="A259">IFERROR(INDEX(tbNucleo[ESCOLA],ROUNDUP(ROW(A258)/TotalEtapas,0)),"")</f>
        <v>EM DESEMBARGADOR GABRIEL PINTO DE ARRUDA</v>
      </c>
      <c r="B259" t="str">
        <f>IFERROR(VLOOKUP(A259,tbNucleo[],2,FALSE),"")</f>
        <v>URBANO</v>
      </c>
      <c r="C259" cm="1">
        <f t="array" ref="C259">IF(A259="","",INDEX(tbEtapas[Nº],MOD(ROW(A258)-1,TotalEtapas)+1))</f>
        <v>6</v>
      </c>
      <c r="D259" t="str">
        <f>IFERROR(VLOOKUP(tbEscolas[[#This Row],[COD ETPA]],tbEtapas[],2,FALSE),"")</f>
        <v>2º ANO</v>
      </c>
      <c r="E259" t="str">
        <f>IFERROR(VLOOKUP(tbEscolas[[#This Row],[COD ETPA]],tbEtapas[],3,FALSE),"")</f>
        <v>FUNDAMENTAL</v>
      </c>
      <c r="F259" t="s">
        <v>126</v>
      </c>
    </row>
    <row r="260" spans="1:6" x14ac:dyDescent="0.25">
      <c r="A260" t="str" cm="1">
        <f t="array" ref="A260">IFERROR(INDEX(tbNucleo[ESCOLA],ROUNDUP(ROW(A259)/TotalEtapas,0)),"")</f>
        <v>EM DESEMBARGADOR GABRIEL PINTO DE ARRUDA</v>
      </c>
      <c r="B260" t="str">
        <f>IFERROR(VLOOKUP(A260,tbNucleo[],2,FALSE),"")</f>
        <v>URBANO</v>
      </c>
      <c r="C260" cm="1">
        <f t="array" ref="C260">IF(A260="","",INDEX(tbEtapas[Nº],MOD(ROW(A259)-1,TotalEtapas)+1))</f>
        <v>7</v>
      </c>
      <c r="D260" t="str">
        <f>IFERROR(VLOOKUP(tbEscolas[[#This Row],[COD ETPA]],tbEtapas[],2,FALSE),"")</f>
        <v>3º ANO</v>
      </c>
      <c r="E260" t="str">
        <f>IFERROR(VLOOKUP(tbEscolas[[#This Row],[COD ETPA]],tbEtapas[],3,FALSE),"")</f>
        <v>FUNDAMENTAL</v>
      </c>
      <c r="F260" t="s">
        <v>126</v>
      </c>
    </row>
    <row r="261" spans="1:6" x14ac:dyDescent="0.25">
      <c r="A261" t="str" cm="1">
        <f t="array" ref="A261">IFERROR(INDEX(tbNucleo[ESCOLA],ROUNDUP(ROW(A260)/TotalEtapas,0)),"")</f>
        <v>EM DESEMBARGADOR GABRIEL PINTO DE ARRUDA</v>
      </c>
      <c r="B261" t="str">
        <f>IFERROR(VLOOKUP(A261,tbNucleo[],2,FALSE),"")</f>
        <v>URBANO</v>
      </c>
      <c r="C261" cm="1">
        <f t="array" ref="C261">IF(A261="","",INDEX(tbEtapas[Nº],MOD(ROW(A260)-1,TotalEtapas)+1))</f>
        <v>8</v>
      </c>
      <c r="D261" t="str">
        <f>IFERROR(VLOOKUP(tbEscolas[[#This Row],[COD ETPA]],tbEtapas[],2,FALSE),"")</f>
        <v>4º ANO</v>
      </c>
      <c r="E261" t="str">
        <f>IFERROR(VLOOKUP(tbEscolas[[#This Row],[COD ETPA]],tbEtapas[],3,FALSE),"")</f>
        <v>FUNDAMENTAL</v>
      </c>
      <c r="F261" t="s">
        <v>126</v>
      </c>
    </row>
    <row r="262" spans="1:6" x14ac:dyDescent="0.25">
      <c r="A262" t="str" cm="1">
        <f t="array" ref="A262">IFERROR(INDEX(tbNucleo[ESCOLA],ROUNDUP(ROW(A261)/TotalEtapas,0)),"")</f>
        <v>EM DESEMBARGADOR GABRIEL PINTO DE ARRUDA</v>
      </c>
      <c r="B262" t="str">
        <f>IFERROR(VLOOKUP(A262,tbNucleo[],2,FALSE),"")</f>
        <v>URBANO</v>
      </c>
      <c r="C262" cm="1">
        <f t="array" ref="C262">IF(A262="","",INDEX(tbEtapas[Nº],MOD(ROW(A261)-1,TotalEtapas)+1))</f>
        <v>9</v>
      </c>
      <c r="D262" t="str">
        <f>IFERROR(VLOOKUP(tbEscolas[[#This Row],[COD ETPA]],tbEtapas[],2,FALSE),"")</f>
        <v>5º ANO</v>
      </c>
      <c r="E262" t="str">
        <f>IFERROR(VLOOKUP(tbEscolas[[#This Row],[COD ETPA]],tbEtapas[],3,FALSE),"")</f>
        <v>FUNDAMENTAL</v>
      </c>
      <c r="F262" t="s">
        <v>126</v>
      </c>
    </row>
    <row r="263" spans="1:6" x14ac:dyDescent="0.25">
      <c r="A263" t="str" cm="1">
        <f t="array" ref="A263">IFERROR(INDEX(tbNucleo[ESCOLA],ROUNDUP(ROW(A262)/TotalEtapas,0)),"")</f>
        <v>EM DESEMBARGADOR GABRIEL PINTO DE ARRUDA</v>
      </c>
      <c r="B263" t="str">
        <f>IFERROR(VLOOKUP(A263,tbNucleo[],2,FALSE),"")</f>
        <v>URBANO</v>
      </c>
      <c r="C263" cm="1">
        <f t="array" ref="C263">IF(A263="","",INDEX(tbEtapas[Nº],MOD(ROW(A262)-1,TotalEtapas)+1))</f>
        <v>10</v>
      </c>
      <c r="D263" t="str">
        <f>IFERROR(VLOOKUP(tbEscolas[[#This Row],[COD ETPA]],tbEtapas[],2,FALSE),"")</f>
        <v>6º ANO</v>
      </c>
      <c r="E263" t="str">
        <f>IFERROR(VLOOKUP(tbEscolas[[#This Row],[COD ETPA]],tbEtapas[],3,FALSE),"")</f>
        <v>FUNDAMENTAL</v>
      </c>
      <c r="F263" t="s">
        <v>125</v>
      </c>
    </row>
    <row r="264" spans="1:6" x14ac:dyDescent="0.25">
      <c r="A264" t="str" cm="1">
        <f t="array" ref="A264">IFERROR(INDEX(tbNucleo[ESCOLA],ROUNDUP(ROW(A263)/TotalEtapas,0)),"")</f>
        <v>EM DESEMBARGADOR GABRIEL PINTO DE ARRUDA</v>
      </c>
      <c r="B264" t="str">
        <f>IFERROR(VLOOKUP(A264,tbNucleo[],2,FALSE),"")</f>
        <v>URBANO</v>
      </c>
      <c r="C264" cm="1">
        <f t="array" ref="C264">IF(A264="","",INDEX(tbEtapas[Nº],MOD(ROW(A263)-1,TotalEtapas)+1))</f>
        <v>11</v>
      </c>
      <c r="D264" t="str">
        <f>IFERROR(VLOOKUP(tbEscolas[[#This Row],[COD ETPA]],tbEtapas[],2,FALSE),"")</f>
        <v>7º ANO</v>
      </c>
      <c r="E264" t="str">
        <f>IFERROR(VLOOKUP(tbEscolas[[#This Row],[COD ETPA]],tbEtapas[],3,FALSE),"")</f>
        <v>FUNDAMENTAL</v>
      </c>
      <c r="F264" t="s">
        <v>125</v>
      </c>
    </row>
    <row r="265" spans="1:6" x14ac:dyDescent="0.25">
      <c r="A265" t="str" cm="1">
        <f t="array" ref="A265">IFERROR(INDEX(tbNucleo[ESCOLA],ROUNDUP(ROW(A264)/TotalEtapas,0)),"")</f>
        <v>EM DESEMBARGADOR GABRIEL PINTO DE ARRUDA</v>
      </c>
      <c r="B265" t="str">
        <f>IFERROR(VLOOKUP(A265,tbNucleo[],2,FALSE),"")</f>
        <v>URBANO</v>
      </c>
      <c r="C265" cm="1">
        <f t="array" ref="C265">IF(A265="","",INDEX(tbEtapas[Nº],MOD(ROW(A264)-1,TotalEtapas)+1))</f>
        <v>12</v>
      </c>
      <c r="D265" t="str">
        <f>IFERROR(VLOOKUP(tbEscolas[[#This Row],[COD ETPA]],tbEtapas[],2,FALSE),"")</f>
        <v>8º ANO</v>
      </c>
      <c r="E265" t="str">
        <f>IFERROR(VLOOKUP(tbEscolas[[#This Row],[COD ETPA]],tbEtapas[],3,FALSE),"")</f>
        <v>FUNDAMENTAL</v>
      </c>
      <c r="F265" t="s">
        <v>125</v>
      </c>
    </row>
    <row r="266" spans="1:6" x14ac:dyDescent="0.25">
      <c r="A266" t="str" cm="1">
        <f t="array" ref="A266">IFERROR(INDEX(tbNucleo[ESCOLA],ROUNDUP(ROW(A265)/TotalEtapas,0)),"")</f>
        <v>EM DESEMBARGADOR GABRIEL PINTO DE ARRUDA</v>
      </c>
      <c r="B266" t="str">
        <f>IFERROR(VLOOKUP(A266,tbNucleo[],2,FALSE),"")</f>
        <v>URBANO</v>
      </c>
      <c r="C266" cm="1">
        <f t="array" ref="C266">IF(A266="","",INDEX(tbEtapas[Nº],MOD(ROW(A265)-1,TotalEtapas)+1))</f>
        <v>13</v>
      </c>
      <c r="D266" t="str">
        <f>IFERROR(VLOOKUP(tbEscolas[[#This Row],[COD ETPA]],tbEtapas[],2,FALSE),"")</f>
        <v>9º ANO</v>
      </c>
      <c r="E266" t="str">
        <f>IFERROR(VLOOKUP(tbEscolas[[#This Row],[COD ETPA]],tbEtapas[],3,FALSE),"")</f>
        <v>FUNDAMENTAL</v>
      </c>
      <c r="F266" t="s">
        <v>125</v>
      </c>
    </row>
    <row r="267" spans="1:6" x14ac:dyDescent="0.25">
      <c r="A267" t="str" cm="1">
        <f t="array" ref="A267">IFERROR(INDEX(tbNucleo[ESCOLA],ROUNDUP(ROW(A266)/TotalEtapas,0)),"")</f>
        <v>EM DESEMBARGADOR GABRIEL PINTO DE ARRUDA</v>
      </c>
      <c r="B267" t="str">
        <f>IFERROR(VLOOKUP(A267,tbNucleo[],2,FALSE),"")</f>
        <v>URBANO</v>
      </c>
      <c r="C267" cm="1">
        <f t="array" ref="C267">IF(A267="","",INDEX(tbEtapas[Nº],MOD(ROW(A266)-1,TotalEtapas)+1))</f>
        <v>14</v>
      </c>
      <c r="D267" t="str">
        <f>IFERROR(VLOOKUP(tbEscolas[[#This Row],[COD ETPA]],tbEtapas[],2,FALSE),"")</f>
        <v>1º ANO</v>
      </c>
      <c r="E267" t="str">
        <f>IFERROR(VLOOKUP(tbEscolas[[#This Row],[COD ETPA]],tbEtapas[],3,FALSE),"")</f>
        <v>ENSINO MÉDIO</v>
      </c>
      <c r="F267" t="s">
        <v>125</v>
      </c>
    </row>
    <row r="268" spans="1:6" x14ac:dyDescent="0.25">
      <c r="A268" t="str" cm="1">
        <f t="array" ref="A268">IFERROR(INDEX(tbNucleo[ESCOLA],ROUNDUP(ROW(A267)/TotalEtapas,0)),"")</f>
        <v>EM DESEMBARGADOR GABRIEL PINTO DE ARRUDA</v>
      </c>
      <c r="B268" t="str">
        <f>IFERROR(VLOOKUP(A268,tbNucleo[],2,FALSE),"")</f>
        <v>URBANO</v>
      </c>
      <c r="C268" cm="1">
        <f t="array" ref="C268">IF(A268="","",INDEX(tbEtapas[Nº],MOD(ROW(A267)-1,TotalEtapas)+1))</f>
        <v>15</v>
      </c>
      <c r="D268" t="str">
        <f>IFERROR(VLOOKUP(tbEscolas[[#This Row],[COD ETPA]],tbEtapas[],2,FALSE),"")</f>
        <v>2º ANO</v>
      </c>
      <c r="E268" t="str">
        <f>IFERROR(VLOOKUP(tbEscolas[[#This Row],[COD ETPA]],tbEtapas[],3,FALSE),"")</f>
        <v>ENSINO MÉDIO</v>
      </c>
      <c r="F268" t="s">
        <v>125</v>
      </c>
    </row>
    <row r="269" spans="1:6" x14ac:dyDescent="0.25">
      <c r="A269" t="str" cm="1">
        <f t="array" ref="A269">IFERROR(INDEX(tbNucleo[ESCOLA],ROUNDUP(ROW(A268)/TotalEtapas,0)),"")</f>
        <v>EM DESEMBARGADOR GABRIEL PINTO DE ARRUDA</v>
      </c>
      <c r="B269" t="str">
        <f>IFERROR(VLOOKUP(A269,tbNucleo[],2,FALSE),"")</f>
        <v>URBANO</v>
      </c>
      <c r="C269" cm="1">
        <f t="array" ref="C269">IF(A269="","",INDEX(tbEtapas[Nº],MOD(ROW(A268)-1,TotalEtapas)+1))</f>
        <v>16</v>
      </c>
      <c r="D269" t="str">
        <f>IFERROR(VLOOKUP(tbEscolas[[#This Row],[COD ETPA]],tbEtapas[],2,FALSE),"")</f>
        <v>3º ANO</v>
      </c>
      <c r="E269" t="str">
        <f>IFERROR(VLOOKUP(tbEscolas[[#This Row],[COD ETPA]],tbEtapas[],3,FALSE),"")</f>
        <v>ENSINO MÉDIO</v>
      </c>
      <c r="F269" t="s">
        <v>125</v>
      </c>
    </row>
    <row r="270" spans="1:6" x14ac:dyDescent="0.25">
      <c r="A270" t="str" cm="1">
        <f t="array" ref="A270">IFERROR(INDEX(tbNucleo[ESCOLA],ROUNDUP(ROW(A269)/TotalEtapas,0)),"")</f>
        <v>EM DESEMBARGADOR GABRIEL PINTO DE ARRUDA</v>
      </c>
      <c r="B270" t="str">
        <f>IFERROR(VLOOKUP(A270,tbNucleo[],2,FALSE),"")</f>
        <v>URBANO</v>
      </c>
      <c r="C270" cm="1">
        <f t="array" ref="C270">IF(A270="","",INDEX(tbEtapas[Nº],MOD(ROW(A269)-1,TotalEtapas)+1))</f>
        <v>17</v>
      </c>
      <c r="D270" t="str">
        <f>IFERROR(VLOOKUP(tbEscolas[[#This Row],[COD ETPA]],tbEtapas[],2,FALSE),"")</f>
        <v>EJA I</v>
      </c>
      <c r="E270" t="str">
        <f>IFERROR(VLOOKUP(tbEscolas[[#This Row],[COD ETPA]],tbEtapas[],3,FALSE),"")</f>
        <v>FUNDAMENTAL</v>
      </c>
      <c r="F270" t="s">
        <v>125</v>
      </c>
    </row>
    <row r="271" spans="1:6" x14ac:dyDescent="0.25">
      <c r="A271" t="str" cm="1">
        <f t="array" ref="A271">IFERROR(INDEX(tbNucleo[ESCOLA],ROUNDUP(ROW(A270)/TotalEtapas,0)),"")</f>
        <v>EM DESEMBARGADOR GABRIEL PINTO DE ARRUDA</v>
      </c>
      <c r="B271" t="str">
        <f>IFERROR(VLOOKUP(A271,tbNucleo[],2,FALSE),"")</f>
        <v>URBANO</v>
      </c>
      <c r="C271" cm="1">
        <f t="array" ref="C271">IF(A271="","",INDEX(tbEtapas[Nº],MOD(ROW(A270)-1,TotalEtapas)+1))</f>
        <v>18</v>
      </c>
      <c r="D271" t="str">
        <f>IFERROR(VLOOKUP(tbEscolas[[#This Row],[COD ETPA]],tbEtapas[],2,FALSE),"")</f>
        <v>EJA II</v>
      </c>
      <c r="E271" t="str">
        <f>IFERROR(VLOOKUP(tbEscolas[[#This Row],[COD ETPA]],tbEtapas[],3,FALSE),"")</f>
        <v>ENSINO MÉDIO</v>
      </c>
      <c r="F271" t="s">
        <v>125</v>
      </c>
    </row>
    <row r="272" spans="1:6" x14ac:dyDescent="0.25">
      <c r="A272" t="str" cm="1">
        <f t="array" ref="A272">IFERROR(INDEX(tbNucleo[ESCOLA],ROUNDUP(ROW(A271)/TotalEtapas,0)),"")</f>
        <v xml:space="preserve">EM DR. JOSE RODRIGUES FONTES </v>
      </c>
      <c r="B272" t="str">
        <f>IFERROR(VLOOKUP(A272,tbNucleo[],2,FALSE),"")</f>
        <v>URBANO</v>
      </c>
      <c r="C272" cm="1">
        <f t="array" ref="C272">IF(A272="","",INDEX(tbEtapas[Nº],MOD(ROW(A271)-1,TotalEtapas)+1))</f>
        <v>1</v>
      </c>
      <c r="D272" t="str">
        <f>IFERROR(VLOOKUP(tbEscolas[[#This Row],[COD ETPA]],tbEtapas[],2,FALSE),"")</f>
        <v>CRECHE I</v>
      </c>
      <c r="E272" t="str">
        <f>IFERROR(VLOOKUP(tbEscolas[[#This Row],[COD ETPA]],tbEtapas[],3,FALSE),"")</f>
        <v>EDUCAÇÃO INFANTIL</v>
      </c>
      <c r="F272" t="s">
        <v>125</v>
      </c>
    </row>
    <row r="273" spans="1:6" x14ac:dyDescent="0.25">
      <c r="A273" t="str" cm="1">
        <f t="array" ref="A273">IFERROR(INDEX(tbNucleo[ESCOLA],ROUNDUP(ROW(A272)/TotalEtapas,0)),"")</f>
        <v xml:space="preserve">EM DR. JOSE RODRIGUES FONTES </v>
      </c>
      <c r="B273" t="str">
        <f>IFERROR(VLOOKUP(A273,tbNucleo[],2,FALSE),"")</f>
        <v>URBANO</v>
      </c>
      <c r="C273" cm="1">
        <f t="array" ref="C273">IF(A273="","",INDEX(tbEtapas[Nº],MOD(ROW(A272)-1,TotalEtapas)+1))</f>
        <v>2</v>
      </c>
      <c r="D273" t="str">
        <f>IFERROR(VLOOKUP(tbEscolas[[#This Row],[COD ETPA]],tbEtapas[],2,FALSE),"")</f>
        <v>CRECHE II</v>
      </c>
      <c r="E273" t="str">
        <f>IFERROR(VLOOKUP(tbEscolas[[#This Row],[COD ETPA]],tbEtapas[],3,FALSE),"")</f>
        <v>EDUCAÇÃO INFANTIL</v>
      </c>
      <c r="F273" t="s">
        <v>125</v>
      </c>
    </row>
    <row r="274" spans="1:6" x14ac:dyDescent="0.25">
      <c r="A274" t="str" cm="1">
        <f t="array" ref="A274">IFERROR(INDEX(tbNucleo[ESCOLA],ROUNDUP(ROW(A273)/TotalEtapas,0)),"")</f>
        <v xml:space="preserve">EM DR. JOSE RODRIGUES FONTES </v>
      </c>
      <c r="B274" t="str">
        <f>IFERROR(VLOOKUP(A274,tbNucleo[],2,FALSE),"")</f>
        <v>URBANO</v>
      </c>
      <c r="C274" cm="1">
        <f t="array" ref="C274">IF(A274="","",INDEX(tbEtapas[Nº],MOD(ROW(A273)-1,TotalEtapas)+1))</f>
        <v>3</v>
      </c>
      <c r="D274" t="str">
        <f>IFERROR(VLOOKUP(tbEscolas[[#This Row],[COD ETPA]],tbEtapas[],2,FALSE),"")</f>
        <v>PRE I</v>
      </c>
      <c r="E274" t="str">
        <f>IFERROR(VLOOKUP(tbEscolas[[#This Row],[COD ETPA]],tbEtapas[],3,FALSE),"")</f>
        <v>EDUCAÇÃO INFANTIL</v>
      </c>
      <c r="F274" t="s">
        <v>125</v>
      </c>
    </row>
    <row r="275" spans="1:6" x14ac:dyDescent="0.25">
      <c r="A275" t="str" cm="1">
        <f t="array" ref="A275">IFERROR(INDEX(tbNucleo[ESCOLA],ROUNDUP(ROW(A274)/TotalEtapas,0)),"")</f>
        <v xml:space="preserve">EM DR. JOSE RODRIGUES FONTES </v>
      </c>
      <c r="B275" t="str">
        <f>IFERROR(VLOOKUP(A275,tbNucleo[],2,FALSE),"")</f>
        <v>URBANO</v>
      </c>
      <c r="C275" cm="1">
        <f t="array" ref="C275">IF(A275="","",INDEX(tbEtapas[Nº],MOD(ROW(A274)-1,TotalEtapas)+1))</f>
        <v>4</v>
      </c>
      <c r="D275" t="str">
        <f>IFERROR(VLOOKUP(tbEscolas[[#This Row],[COD ETPA]],tbEtapas[],2,FALSE),"")</f>
        <v>PRE II</v>
      </c>
      <c r="E275" t="str">
        <f>IFERROR(VLOOKUP(tbEscolas[[#This Row],[COD ETPA]],tbEtapas[],3,FALSE),"")</f>
        <v>EDUCAÇÃO INFANTIL</v>
      </c>
      <c r="F275" t="s">
        <v>125</v>
      </c>
    </row>
    <row r="276" spans="1:6" x14ac:dyDescent="0.25">
      <c r="A276" t="str" cm="1">
        <f t="array" ref="A276">IFERROR(INDEX(tbNucleo[ESCOLA],ROUNDUP(ROW(A275)/TotalEtapas,0)),"")</f>
        <v xml:space="preserve">EM DR. JOSE RODRIGUES FONTES </v>
      </c>
      <c r="B276" t="str">
        <f>IFERROR(VLOOKUP(A276,tbNucleo[],2,FALSE),"")</f>
        <v>URBANO</v>
      </c>
      <c r="C276" cm="1">
        <f t="array" ref="C276">IF(A276="","",INDEX(tbEtapas[Nº],MOD(ROW(A275)-1,TotalEtapas)+1))</f>
        <v>5</v>
      </c>
      <c r="D276" t="str">
        <f>IFERROR(VLOOKUP(tbEscolas[[#This Row],[COD ETPA]],tbEtapas[],2,FALSE),"")</f>
        <v>1º ANO</v>
      </c>
      <c r="E276" t="str">
        <f>IFERROR(VLOOKUP(tbEscolas[[#This Row],[COD ETPA]],tbEtapas[],3,FALSE),"")</f>
        <v>FUNDAMENTAL</v>
      </c>
      <c r="F276" t="s">
        <v>126</v>
      </c>
    </row>
    <row r="277" spans="1:6" x14ac:dyDescent="0.25">
      <c r="A277" t="str" cm="1">
        <f t="array" ref="A277">IFERROR(INDEX(tbNucleo[ESCOLA],ROUNDUP(ROW(A276)/TotalEtapas,0)),"")</f>
        <v xml:space="preserve">EM DR. JOSE RODRIGUES FONTES </v>
      </c>
      <c r="B277" t="str">
        <f>IFERROR(VLOOKUP(A277,tbNucleo[],2,FALSE),"")</f>
        <v>URBANO</v>
      </c>
      <c r="C277" cm="1">
        <f t="array" ref="C277">IF(A277="","",INDEX(tbEtapas[Nº],MOD(ROW(A276)-1,TotalEtapas)+1))</f>
        <v>6</v>
      </c>
      <c r="D277" t="str">
        <f>IFERROR(VLOOKUP(tbEscolas[[#This Row],[COD ETPA]],tbEtapas[],2,FALSE),"")</f>
        <v>2º ANO</v>
      </c>
      <c r="E277" t="str">
        <f>IFERROR(VLOOKUP(tbEscolas[[#This Row],[COD ETPA]],tbEtapas[],3,FALSE),"")</f>
        <v>FUNDAMENTAL</v>
      </c>
      <c r="F277" t="s">
        <v>126</v>
      </c>
    </row>
    <row r="278" spans="1:6" x14ac:dyDescent="0.25">
      <c r="A278" t="str" cm="1">
        <f t="array" ref="A278">IFERROR(INDEX(tbNucleo[ESCOLA],ROUNDUP(ROW(A277)/TotalEtapas,0)),"")</f>
        <v xml:space="preserve">EM DR. JOSE RODRIGUES FONTES </v>
      </c>
      <c r="B278" t="str">
        <f>IFERROR(VLOOKUP(A278,tbNucleo[],2,FALSE),"")</f>
        <v>URBANO</v>
      </c>
      <c r="C278" cm="1">
        <f t="array" ref="C278">IF(A278="","",INDEX(tbEtapas[Nº],MOD(ROW(A277)-1,TotalEtapas)+1))</f>
        <v>7</v>
      </c>
      <c r="D278" t="str">
        <f>IFERROR(VLOOKUP(tbEscolas[[#This Row],[COD ETPA]],tbEtapas[],2,FALSE),"")</f>
        <v>3º ANO</v>
      </c>
      <c r="E278" t="str">
        <f>IFERROR(VLOOKUP(tbEscolas[[#This Row],[COD ETPA]],tbEtapas[],3,FALSE),"")</f>
        <v>FUNDAMENTAL</v>
      </c>
      <c r="F278" t="s">
        <v>126</v>
      </c>
    </row>
    <row r="279" spans="1:6" x14ac:dyDescent="0.25">
      <c r="A279" t="str" cm="1">
        <f t="array" ref="A279">IFERROR(INDEX(tbNucleo[ESCOLA],ROUNDUP(ROW(A278)/TotalEtapas,0)),"")</f>
        <v xml:space="preserve">EM DR. JOSE RODRIGUES FONTES </v>
      </c>
      <c r="B279" t="str">
        <f>IFERROR(VLOOKUP(A279,tbNucleo[],2,FALSE),"")</f>
        <v>URBANO</v>
      </c>
      <c r="C279" cm="1">
        <f t="array" ref="C279">IF(A279="","",INDEX(tbEtapas[Nº],MOD(ROW(A278)-1,TotalEtapas)+1))</f>
        <v>8</v>
      </c>
      <c r="D279" t="str">
        <f>IFERROR(VLOOKUP(tbEscolas[[#This Row],[COD ETPA]],tbEtapas[],2,FALSE),"")</f>
        <v>4º ANO</v>
      </c>
      <c r="E279" t="str">
        <f>IFERROR(VLOOKUP(tbEscolas[[#This Row],[COD ETPA]],tbEtapas[],3,FALSE),"")</f>
        <v>FUNDAMENTAL</v>
      </c>
      <c r="F279" t="s">
        <v>126</v>
      </c>
    </row>
    <row r="280" spans="1:6" x14ac:dyDescent="0.25">
      <c r="A280" t="str" cm="1">
        <f t="array" ref="A280">IFERROR(INDEX(tbNucleo[ESCOLA],ROUNDUP(ROW(A279)/TotalEtapas,0)),"")</f>
        <v xml:space="preserve">EM DR. JOSE RODRIGUES FONTES </v>
      </c>
      <c r="B280" t="str">
        <f>IFERROR(VLOOKUP(A280,tbNucleo[],2,FALSE),"")</f>
        <v>URBANO</v>
      </c>
      <c r="C280" cm="1">
        <f t="array" ref="C280">IF(A280="","",INDEX(tbEtapas[Nº],MOD(ROW(A279)-1,TotalEtapas)+1))</f>
        <v>9</v>
      </c>
      <c r="D280" t="str">
        <f>IFERROR(VLOOKUP(tbEscolas[[#This Row],[COD ETPA]],tbEtapas[],2,FALSE),"")</f>
        <v>5º ANO</v>
      </c>
      <c r="E280" t="str">
        <f>IFERROR(VLOOKUP(tbEscolas[[#This Row],[COD ETPA]],tbEtapas[],3,FALSE),"")</f>
        <v>FUNDAMENTAL</v>
      </c>
      <c r="F280" t="s">
        <v>126</v>
      </c>
    </row>
    <row r="281" spans="1:6" x14ac:dyDescent="0.25">
      <c r="A281" t="str" cm="1">
        <f t="array" ref="A281">IFERROR(INDEX(tbNucleo[ESCOLA],ROUNDUP(ROW(A280)/TotalEtapas,0)),"")</f>
        <v xml:space="preserve">EM DR. JOSE RODRIGUES FONTES </v>
      </c>
      <c r="B281" t="str">
        <f>IFERROR(VLOOKUP(A281,tbNucleo[],2,FALSE),"")</f>
        <v>URBANO</v>
      </c>
      <c r="C281" cm="1">
        <f t="array" ref="C281">IF(A281="","",INDEX(tbEtapas[Nº],MOD(ROW(A280)-1,TotalEtapas)+1))</f>
        <v>10</v>
      </c>
      <c r="D281" t="str">
        <f>IFERROR(VLOOKUP(tbEscolas[[#This Row],[COD ETPA]],tbEtapas[],2,FALSE),"")</f>
        <v>6º ANO</v>
      </c>
      <c r="E281" t="str">
        <f>IFERROR(VLOOKUP(tbEscolas[[#This Row],[COD ETPA]],tbEtapas[],3,FALSE),"")</f>
        <v>FUNDAMENTAL</v>
      </c>
      <c r="F281" t="s">
        <v>125</v>
      </c>
    </row>
    <row r="282" spans="1:6" x14ac:dyDescent="0.25">
      <c r="A282" t="str" cm="1">
        <f t="array" ref="A282">IFERROR(INDEX(tbNucleo[ESCOLA],ROUNDUP(ROW(A281)/TotalEtapas,0)),"")</f>
        <v xml:space="preserve">EM DR. JOSE RODRIGUES FONTES </v>
      </c>
      <c r="B282" t="str">
        <f>IFERROR(VLOOKUP(A282,tbNucleo[],2,FALSE),"")</f>
        <v>URBANO</v>
      </c>
      <c r="C282" cm="1">
        <f t="array" ref="C282">IF(A282="","",INDEX(tbEtapas[Nº],MOD(ROW(A281)-1,TotalEtapas)+1))</f>
        <v>11</v>
      </c>
      <c r="D282" t="str">
        <f>IFERROR(VLOOKUP(tbEscolas[[#This Row],[COD ETPA]],tbEtapas[],2,FALSE),"")</f>
        <v>7º ANO</v>
      </c>
      <c r="E282" t="str">
        <f>IFERROR(VLOOKUP(tbEscolas[[#This Row],[COD ETPA]],tbEtapas[],3,FALSE),"")</f>
        <v>FUNDAMENTAL</v>
      </c>
      <c r="F282" t="s">
        <v>125</v>
      </c>
    </row>
    <row r="283" spans="1:6" x14ac:dyDescent="0.25">
      <c r="A283" t="str" cm="1">
        <f t="array" ref="A283">IFERROR(INDEX(tbNucleo[ESCOLA],ROUNDUP(ROW(A282)/TotalEtapas,0)),"")</f>
        <v xml:space="preserve">EM DR. JOSE RODRIGUES FONTES </v>
      </c>
      <c r="B283" t="str">
        <f>IFERROR(VLOOKUP(A283,tbNucleo[],2,FALSE),"")</f>
        <v>URBANO</v>
      </c>
      <c r="C283" cm="1">
        <f t="array" ref="C283">IF(A283="","",INDEX(tbEtapas[Nº],MOD(ROW(A282)-1,TotalEtapas)+1))</f>
        <v>12</v>
      </c>
      <c r="D283" t="str">
        <f>IFERROR(VLOOKUP(tbEscolas[[#This Row],[COD ETPA]],tbEtapas[],2,FALSE),"")</f>
        <v>8º ANO</v>
      </c>
      <c r="E283" t="str">
        <f>IFERROR(VLOOKUP(tbEscolas[[#This Row],[COD ETPA]],tbEtapas[],3,FALSE),"")</f>
        <v>FUNDAMENTAL</v>
      </c>
      <c r="F283" t="s">
        <v>125</v>
      </c>
    </row>
    <row r="284" spans="1:6" x14ac:dyDescent="0.25">
      <c r="A284" t="str" cm="1">
        <f t="array" ref="A284">IFERROR(INDEX(tbNucleo[ESCOLA],ROUNDUP(ROW(A283)/TotalEtapas,0)),"")</f>
        <v xml:space="preserve">EM DR. JOSE RODRIGUES FONTES </v>
      </c>
      <c r="B284" t="str">
        <f>IFERROR(VLOOKUP(A284,tbNucleo[],2,FALSE),"")</f>
        <v>URBANO</v>
      </c>
      <c r="C284" cm="1">
        <f t="array" ref="C284">IF(A284="","",INDEX(tbEtapas[Nº],MOD(ROW(A283)-1,TotalEtapas)+1))</f>
        <v>13</v>
      </c>
      <c r="D284" t="str">
        <f>IFERROR(VLOOKUP(tbEscolas[[#This Row],[COD ETPA]],tbEtapas[],2,FALSE),"")</f>
        <v>9º ANO</v>
      </c>
      <c r="E284" t="str">
        <f>IFERROR(VLOOKUP(tbEscolas[[#This Row],[COD ETPA]],tbEtapas[],3,FALSE),"")</f>
        <v>FUNDAMENTAL</v>
      </c>
      <c r="F284" t="s">
        <v>125</v>
      </c>
    </row>
    <row r="285" spans="1:6" x14ac:dyDescent="0.25">
      <c r="A285" t="str" cm="1">
        <f t="array" ref="A285">IFERROR(INDEX(tbNucleo[ESCOLA],ROUNDUP(ROW(A284)/TotalEtapas,0)),"")</f>
        <v xml:space="preserve">EM DR. JOSE RODRIGUES FONTES </v>
      </c>
      <c r="B285" t="str">
        <f>IFERROR(VLOOKUP(A285,tbNucleo[],2,FALSE),"")</f>
        <v>URBANO</v>
      </c>
      <c r="C285" cm="1">
        <f t="array" ref="C285">IF(A285="","",INDEX(tbEtapas[Nº],MOD(ROW(A284)-1,TotalEtapas)+1))</f>
        <v>14</v>
      </c>
      <c r="D285" t="str">
        <f>IFERROR(VLOOKUP(tbEscolas[[#This Row],[COD ETPA]],tbEtapas[],2,FALSE),"")</f>
        <v>1º ANO</v>
      </c>
      <c r="E285" t="str">
        <f>IFERROR(VLOOKUP(tbEscolas[[#This Row],[COD ETPA]],tbEtapas[],3,FALSE),"")</f>
        <v>ENSINO MÉDIO</v>
      </c>
      <c r="F285" t="s">
        <v>125</v>
      </c>
    </row>
    <row r="286" spans="1:6" x14ac:dyDescent="0.25">
      <c r="A286" t="str" cm="1">
        <f t="array" ref="A286">IFERROR(INDEX(tbNucleo[ESCOLA],ROUNDUP(ROW(A285)/TotalEtapas,0)),"")</f>
        <v xml:space="preserve">EM DR. JOSE RODRIGUES FONTES </v>
      </c>
      <c r="B286" t="str">
        <f>IFERROR(VLOOKUP(A286,tbNucleo[],2,FALSE),"")</f>
        <v>URBANO</v>
      </c>
      <c r="C286" cm="1">
        <f t="array" ref="C286">IF(A286="","",INDEX(tbEtapas[Nº],MOD(ROW(A285)-1,TotalEtapas)+1))</f>
        <v>15</v>
      </c>
      <c r="D286" t="str">
        <f>IFERROR(VLOOKUP(tbEscolas[[#This Row],[COD ETPA]],tbEtapas[],2,FALSE),"")</f>
        <v>2º ANO</v>
      </c>
      <c r="E286" t="str">
        <f>IFERROR(VLOOKUP(tbEscolas[[#This Row],[COD ETPA]],tbEtapas[],3,FALSE),"")</f>
        <v>ENSINO MÉDIO</v>
      </c>
      <c r="F286" t="s">
        <v>125</v>
      </c>
    </row>
    <row r="287" spans="1:6" x14ac:dyDescent="0.25">
      <c r="A287" t="str" cm="1">
        <f t="array" ref="A287">IFERROR(INDEX(tbNucleo[ESCOLA],ROUNDUP(ROW(A286)/TotalEtapas,0)),"")</f>
        <v xml:space="preserve">EM DR. JOSE RODRIGUES FONTES </v>
      </c>
      <c r="B287" t="str">
        <f>IFERROR(VLOOKUP(A287,tbNucleo[],2,FALSE),"")</f>
        <v>URBANO</v>
      </c>
      <c r="C287" cm="1">
        <f t="array" ref="C287">IF(A287="","",INDEX(tbEtapas[Nº],MOD(ROW(A286)-1,TotalEtapas)+1))</f>
        <v>16</v>
      </c>
      <c r="D287" t="str">
        <f>IFERROR(VLOOKUP(tbEscolas[[#This Row],[COD ETPA]],tbEtapas[],2,FALSE),"")</f>
        <v>3º ANO</v>
      </c>
      <c r="E287" t="str">
        <f>IFERROR(VLOOKUP(tbEscolas[[#This Row],[COD ETPA]],tbEtapas[],3,FALSE),"")</f>
        <v>ENSINO MÉDIO</v>
      </c>
      <c r="F287" t="s">
        <v>125</v>
      </c>
    </row>
    <row r="288" spans="1:6" x14ac:dyDescent="0.25">
      <c r="A288" t="str" cm="1">
        <f t="array" ref="A288">IFERROR(INDEX(tbNucleo[ESCOLA],ROUNDUP(ROW(A287)/TotalEtapas,0)),"")</f>
        <v xml:space="preserve">EM DR. JOSE RODRIGUES FONTES </v>
      </c>
      <c r="B288" t="str">
        <f>IFERROR(VLOOKUP(A288,tbNucleo[],2,FALSE),"")</f>
        <v>URBANO</v>
      </c>
      <c r="C288" cm="1">
        <f t="array" ref="C288">IF(A288="","",INDEX(tbEtapas[Nº],MOD(ROW(A287)-1,TotalEtapas)+1))</f>
        <v>17</v>
      </c>
      <c r="D288" t="str">
        <f>IFERROR(VLOOKUP(tbEscolas[[#This Row],[COD ETPA]],tbEtapas[],2,FALSE),"")</f>
        <v>EJA I</v>
      </c>
      <c r="E288" t="str">
        <f>IFERROR(VLOOKUP(tbEscolas[[#This Row],[COD ETPA]],tbEtapas[],3,FALSE),"")</f>
        <v>FUNDAMENTAL</v>
      </c>
      <c r="F288" t="s">
        <v>125</v>
      </c>
    </row>
    <row r="289" spans="1:6" x14ac:dyDescent="0.25">
      <c r="A289" t="str" cm="1">
        <f t="array" ref="A289">IFERROR(INDEX(tbNucleo[ESCOLA],ROUNDUP(ROW(A288)/TotalEtapas,0)),"")</f>
        <v xml:space="preserve">EM DR. JOSE RODRIGUES FONTES </v>
      </c>
      <c r="B289" t="str">
        <f>IFERROR(VLOOKUP(A289,tbNucleo[],2,FALSE),"")</f>
        <v>URBANO</v>
      </c>
      <c r="C289" cm="1">
        <f t="array" ref="C289">IF(A289="","",INDEX(tbEtapas[Nº],MOD(ROW(A288)-1,TotalEtapas)+1))</f>
        <v>18</v>
      </c>
      <c r="D289" t="str">
        <f>IFERROR(VLOOKUP(tbEscolas[[#This Row],[COD ETPA]],tbEtapas[],2,FALSE),"")</f>
        <v>EJA II</v>
      </c>
      <c r="E289" t="str">
        <f>IFERROR(VLOOKUP(tbEscolas[[#This Row],[COD ETPA]],tbEtapas[],3,FALSE),"")</f>
        <v>ENSINO MÉDIO</v>
      </c>
      <c r="F289" t="s">
        <v>125</v>
      </c>
    </row>
    <row r="290" spans="1:6" x14ac:dyDescent="0.25">
      <c r="A290" t="str" cm="1">
        <f t="array" ref="A290">IFERROR(INDEX(tbNucleo[ESCOLA],ROUNDUP(ROW(A289)/TotalEtapas,0)),"")</f>
        <v>E. E. Prof. Demétrio Costa Pereira</v>
      </c>
      <c r="B290" t="str">
        <f>IFERROR(VLOOKUP(A290,tbNucleo[],2,FALSE),"")</f>
        <v>URBANO</v>
      </c>
      <c r="C290" cm="1">
        <f t="array" ref="C290">IF(A290="","",INDEX(tbEtapas[Nº],MOD(ROW(A289)-1,TotalEtapas)+1))</f>
        <v>1</v>
      </c>
      <c r="D290" t="str">
        <f>IFERROR(VLOOKUP(tbEscolas[[#This Row],[COD ETPA]],tbEtapas[],2,FALSE),"")</f>
        <v>CRECHE I</v>
      </c>
      <c r="E290" t="str">
        <f>IFERROR(VLOOKUP(tbEscolas[[#This Row],[COD ETPA]],tbEtapas[],3,FALSE),"")</f>
        <v>EDUCAÇÃO INFANTIL</v>
      </c>
      <c r="F290" t="s">
        <v>125</v>
      </c>
    </row>
    <row r="291" spans="1:6" x14ac:dyDescent="0.25">
      <c r="A291" t="str" cm="1">
        <f t="array" ref="A291">IFERROR(INDEX(tbNucleo[ESCOLA],ROUNDUP(ROW(A290)/TotalEtapas,0)),"")</f>
        <v>E. E. Prof. Demétrio Costa Pereira</v>
      </c>
      <c r="B291" t="str">
        <f>IFERROR(VLOOKUP(A291,tbNucleo[],2,FALSE),"")</f>
        <v>URBANO</v>
      </c>
      <c r="C291" cm="1">
        <f t="array" ref="C291">IF(A291="","",INDEX(tbEtapas[Nº],MOD(ROW(A290)-1,TotalEtapas)+1))</f>
        <v>2</v>
      </c>
      <c r="D291" t="str">
        <f>IFERROR(VLOOKUP(tbEscolas[[#This Row],[COD ETPA]],tbEtapas[],2,FALSE),"")</f>
        <v>CRECHE II</v>
      </c>
      <c r="E291" t="str">
        <f>IFERROR(VLOOKUP(tbEscolas[[#This Row],[COD ETPA]],tbEtapas[],3,FALSE),"")</f>
        <v>EDUCAÇÃO INFANTIL</v>
      </c>
      <c r="F291" t="s">
        <v>125</v>
      </c>
    </row>
    <row r="292" spans="1:6" x14ac:dyDescent="0.25">
      <c r="A292" t="str" cm="1">
        <f t="array" ref="A292">IFERROR(INDEX(tbNucleo[ESCOLA],ROUNDUP(ROW(A291)/TotalEtapas,0)),"")</f>
        <v>E. E. Prof. Demétrio Costa Pereira</v>
      </c>
      <c r="B292" t="str">
        <f>IFERROR(VLOOKUP(A292,tbNucleo[],2,FALSE),"")</f>
        <v>URBANO</v>
      </c>
      <c r="C292" cm="1">
        <f t="array" ref="C292">IF(A292="","",INDEX(tbEtapas[Nº],MOD(ROW(A291)-1,TotalEtapas)+1))</f>
        <v>3</v>
      </c>
      <c r="D292" t="str">
        <f>IFERROR(VLOOKUP(tbEscolas[[#This Row],[COD ETPA]],tbEtapas[],2,FALSE),"")</f>
        <v>PRE I</v>
      </c>
      <c r="E292" t="str">
        <f>IFERROR(VLOOKUP(tbEscolas[[#This Row],[COD ETPA]],tbEtapas[],3,FALSE),"")</f>
        <v>EDUCAÇÃO INFANTIL</v>
      </c>
      <c r="F292" t="s">
        <v>125</v>
      </c>
    </row>
    <row r="293" spans="1:6" x14ac:dyDescent="0.25">
      <c r="A293" t="str" cm="1">
        <f t="array" ref="A293">IFERROR(INDEX(tbNucleo[ESCOLA],ROUNDUP(ROW(A292)/TotalEtapas,0)),"")</f>
        <v>E. E. Prof. Demétrio Costa Pereira</v>
      </c>
      <c r="B293" t="str">
        <f>IFERROR(VLOOKUP(A293,tbNucleo[],2,FALSE),"")</f>
        <v>URBANO</v>
      </c>
      <c r="C293" cm="1">
        <f t="array" ref="C293">IF(A293="","",INDEX(tbEtapas[Nº],MOD(ROW(A292)-1,TotalEtapas)+1))</f>
        <v>4</v>
      </c>
      <c r="D293" t="str">
        <f>IFERROR(VLOOKUP(tbEscolas[[#This Row],[COD ETPA]],tbEtapas[],2,FALSE),"")</f>
        <v>PRE II</v>
      </c>
      <c r="E293" t="str">
        <f>IFERROR(VLOOKUP(tbEscolas[[#This Row],[COD ETPA]],tbEtapas[],3,FALSE),"")</f>
        <v>EDUCAÇÃO INFANTIL</v>
      </c>
      <c r="F293" t="s">
        <v>125</v>
      </c>
    </row>
    <row r="294" spans="1:6" x14ac:dyDescent="0.25">
      <c r="A294" t="str" cm="1">
        <f t="array" ref="A294">IFERROR(INDEX(tbNucleo[ESCOLA],ROUNDUP(ROW(A293)/TotalEtapas,0)),"")</f>
        <v>E. E. Prof. Demétrio Costa Pereira</v>
      </c>
      <c r="B294" t="str">
        <f>IFERROR(VLOOKUP(A294,tbNucleo[],2,FALSE),"")</f>
        <v>URBANO</v>
      </c>
      <c r="C294" cm="1">
        <f t="array" ref="C294">IF(A294="","",INDEX(tbEtapas[Nº],MOD(ROW(A293)-1,TotalEtapas)+1))</f>
        <v>5</v>
      </c>
      <c r="D294" t="str">
        <f>IFERROR(VLOOKUP(tbEscolas[[#This Row],[COD ETPA]],tbEtapas[],2,FALSE),"")</f>
        <v>1º ANO</v>
      </c>
      <c r="E294" t="str">
        <f>IFERROR(VLOOKUP(tbEscolas[[#This Row],[COD ETPA]],tbEtapas[],3,FALSE),"")</f>
        <v>FUNDAMENTAL</v>
      </c>
      <c r="F294" t="s">
        <v>125</v>
      </c>
    </row>
    <row r="295" spans="1:6" x14ac:dyDescent="0.25">
      <c r="A295" t="str" cm="1">
        <f t="array" ref="A295">IFERROR(INDEX(tbNucleo[ESCOLA],ROUNDUP(ROW(A294)/TotalEtapas,0)),"")</f>
        <v>E. E. Prof. Demétrio Costa Pereira</v>
      </c>
      <c r="B295" t="str">
        <f>IFERROR(VLOOKUP(A295,tbNucleo[],2,FALSE),"")</f>
        <v>URBANO</v>
      </c>
      <c r="C295" cm="1">
        <f t="array" ref="C295">IF(A295="","",INDEX(tbEtapas[Nº],MOD(ROW(A294)-1,TotalEtapas)+1))</f>
        <v>6</v>
      </c>
      <c r="D295" t="str">
        <f>IFERROR(VLOOKUP(tbEscolas[[#This Row],[COD ETPA]],tbEtapas[],2,FALSE),"")</f>
        <v>2º ANO</v>
      </c>
      <c r="E295" t="str">
        <f>IFERROR(VLOOKUP(tbEscolas[[#This Row],[COD ETPA]],tbEtapas[],3,FALSE),"")</f>
        <v>FUNDAMENTAL</v>
      </c>
      <c r="F295" t="s">
        <v>125</v>
      </c>
    </row>
    <row r="296" spans="1:6" x14ac:dyDescent="0.25">
      <c r="A296" t="str" cm="1">
        <f t="array" ref="A296">IFERROR(INDEX(tbNucleo[ESCOLA],ROUNDUP(ROW(A295)/TotalEtapas,0)),"")</f>
        <v>E. E. Prof. Demétrio Costa Pereira</v>
      </c>
      <c r="B296" t="str">
        <f>IFERROR(VLOOKUP(A296,tbNucleo[],2,FALSE),"")</f>
        <v>URBANO</v>
      </c>
      <c r="C296" cm="1">
        <f t="array" ref="C296">IF(A296="","",INDEX(tbEtapas[Nº],MOD(ROW(A295)-1,TotalEtapas)+1))</f>
        <v>7</v>
      </c>
      <c r="D296" t="str">
        <f>IFERROR(VLOOKUP(tbEscolas[[#This Row],[COD ETPA]],tbEtapas[],2,FALSE),"")</f>
        <v>3º ANO</v>
      </c>
      <c r="E296" t="str">
        <f>IFERROR(VLOOKUP(tbEscolas[[#This Row],[COD ETPA]],tbEtapas[],3,FALSE),"")</f>
        <v>FUNDAMENTAL</v>
      </c>
      <c r="F296" t="s">
        <v>125</v>
      </c>
    </row>
    <row r="297" spans="1:6" x14ac:dyDescent="0.25">
      <c r="A297" t="str" cm="1">
        <f t="array" ref="A297">IFERROR(INDEX(tbNucleo[ESCOLA],ROUNDUP(ROW(A296)/TotalEtapas,0)),"")</f>
        <v>E. E. Prof. Demétrio Costa Pereira</v>
      </c>
      <c r="B297" t="str">
        <f>IFERROR(VLOOKUP(A297,tbNucleo[],2,FALSE),"")</f>
        <v>URBANO</v>
      </c>
      <c r="C297" cm="1">
        <f t="array" ref="C297">IF(A297="","",INDEX(tbEtapas[Nº],MOD(ROW(A296)-1,TotalEtapas)+1))</f>
        <v>8</v>
      </c>
      <c r="D297" t="str">
        <f>IFERROR(VLOOKUP(tbEscolas[[#This Row],[COD ETPA]],tbEtapas[],2,FALSE),"")</f>
        <v>4º ANO</v>
      </c>
      <c r="E297" t="str">
        <f>IFERROR(VLOOKUP(tbEscolas[[#This Row],[COD ETPA]],tbEtapas[],3,FALSE),"")</f>
        <v>FUNDAMENTAL</v>
      </c>
      <c r="F297" t="s">
        <v>125</v>
      </c>
    </row>
    <row r="298" spans="1:6" x14ac:dyDescent="0.25">
      <c r="A298" t="str" cm="1">
        <f t="array" ref="A298">IFERROR(INDEX(tbNucleo[ESCOLA],ROUNDUP(ROW(A297)/TotalEtapas,0)),"")</f>
        <v>E. E. Prof. Demétrio Costa Pereira</v>
      </c>
      <c r="B298" t="str">
        <f>IFERROR(VLOOKUP(A298,tbNucleo[],2,FALSE),"")</f>
        <v>URBANO</v>
      </c>
      <c r="C298" cm="1">
        <f t="array" ref="C298">IF(A298="","",INDEX(tbEtapas[Nº],MOD(ROW(A297)-1,TotalEtapas)+1))</f>
        <v>9</v>
      </c>
      <c r="D298" t="str">
        <f>IFERROR(VLOOKUP(tbEscolas[[#This Row],[COD ETPA]],tbEtapas[],2,FALSE),"")</f>
        <v>5º ANO</v>
      </c>
      <c r="E298" t="str">
        <f>IFERROR(VLOOKUP(tbEscolas[[#This Row],[COD ETPA]],tbEtapas[],3,FALSE),"")</f>
        <v>FUNDAMENTAL</v>
      </c>
      <c r="F298" t="s">
        <v>125</v>
      </c>
    </row>
    <row r="299" spans="1:6" x14ac:dyDescent="0.25">
      <c r="A299" t="str" cm="1">
        <f t="array" ref="A299">IFERROR(INDEX(tbNucleo[ESCOLA],ROUNDUP(ROW(A298)/TotalEtapas,0)),"")</f>
        <v>E. E. Prof. Demétrio Costa Pereira</v>
      </c>
      <c r="B299" t="str">
        <f>IFERROR(VLOOKUP(A299,tbNucleo[],2,FALSE),"")</f>
        <v>URBANO</v>
      </c>
      <c r="C299" cm="1">
        <f t="array" ref="C299">IF(A299="","",INDEX(tbEtapas[Nº],MOD(ROW(A298)-1,TotalEtapas)+1))</f>
        <v>10</v>
      </c>
      <c r="D299" t="str">
        <f>IFERROR(VLOOKUP(tbEscolas[[#This Row],[COD ETPA]],tbEtapas[],2,FALSE),"")</f>
        <v>6º ANO</v>
      </c>
      <c r="E299" t="str">
        <f>IFERROR(VLOOKUP(tbEscolas[[#This Row],[COD ETPA]],tbEtapas[],3,FALSE),"")</f>
        <v>FUNDAMENTAL</v>
      </c>
      <c r="F299" t="s">
        <v>126</v>
      </c>
    </row>
    <row r="300" spans="1:6" x14ac:dyDescent="0.25">
      <c r="A300" t="str" cm="1">
        <f t="array" ref="A300">IFERROR(INDEX(tbNucleo[ESCOLA],ROUNDUP(ROW(A299)/TotalEtapas,0)),"")</f>
        <v>E. E. Prof. Demétrio Costa Pereira</v>
      </c>
      <c r="B300" t="str">
        <f>IFERROR(VLOOKUP(A300,tbNucleo[],2,FALSE),"")</f>
        <v>URBANO</v>
      </c>
      <c r="C300" cm="1">
        <f t="array" ref="C300">IF(A300="","",INDEX(tbEtapas[Nº],MOD(ROW(A299)-1,TotalEtapas)+1))</f>
        <v>11</v>
      </c>
      <c r="D300" t="str">
        <f>IFERROR(VLOOKUP(tbEscolas[[#This Row],[COD ETPA]],tbEtapas[],2,FALSE),"")</f>
        <v>7º ANO</v>
      </c>
      <c r="E300" t="str">
        <f>IFERROR(VLOOKUP(tbEscolas[[#This Row],[COD ETPA]],tbEtapas[],3,FALSE),"")</f>
        <v>FUNDAMENTAL</v>
      </c>
      <c r="F300" t="s">
        <v>126</v>
      </c>
    </row>
    <row r="301" spans="1:6" x14ac:dyDescent="0.25">
      <c r="A301" t="str" cm="1">
        <f t="array" ref="A301">IFERROR(INDEX(tbNucleo[ESCOLA],ROUNDUP(ROW(A300)/TotalEtapas,0)),"")</f>
        <v>E. E. Prof. Demétrio Costa Pereira</v>
      </c>
      <c r="B301" t="str">
        <f>IFERROR(VLOOKUP(A301,tbNucleo[],2,FALSE),"")</f>
        <v>URBANO</v>
      </c>
      <c r="C301" cm="1">
        <f t="array" ref="C301">IF(A301="","",INDEX(tbEtapas[Nº],MOD(ROW(A300)-1,TotalEtapas)+1))</f>
        <v>12</v>
      </c>
      <c r="D301" t="str">
        <f>IFERROR(VLOOKUP(tbEscolas[[#This Row],[COD ETPA]],tbEtapas[],2,FALSE),"")</f>
        <v>8º ANO</v>
      </c>
      <c r="E301" t="str">
        <f>IFERROR(VLOOKUP(tbEscolas[[#This Row],[COD ETPA]],tbEtapas[],3,FALSE),"")</f>
        <v>FUNDAMENTAL</v>
      </c>
      <c r="F301" t="s">
        <v>126</v>
      </c>
    </row>
    <row r="302" spans="1:6" x14ac:dyDescent="0.25">
      <c r="A302" t="str" cm="1">
        <f t="array" ref="A302">IFERROR(INDEX(tbNucleo[ESCOLA],ROUNDUP(ROW(A301)/TotalEtapas,0)),"")</f>
        <v>E. E. Prof. Demétrio Costa Pereira</v>
      </c>
      <c r="B302" t="str">
        <f>IFERROR(VLOOKUP(A302,tbNucleo[],2,FALSE),"")</f>
        <v>URBANO</v>
      </c>
      <c r="C302" cm="1">
        <f t="array" ref="C302">IF(A302="","",INDEX(tbEtapas[Nº],MOD(ROW(A301)-1,TotalEtapas)+1))</f>
        <v>13</v>
      </c>
      <c r="D302" t="str">
        <f>IFERROR(VLOOKUP(tbEscolas[[#This Row],[COD ETPA]],tbEtapas[],2,FALSE),"")</f>
        <v>9º ANO</v>
      </c>
      <c r="E302" t="str">
        <f>IFERROR(VLOOKUP(tbEscolas[[#This Row],[COD ETPA]],tbEtapas[],3,FALSE),"")</f>
        <v>FUNDAMENTAL</v>
      </c>
      <c r="F302" t="s">
        <v>126</v>
      </c>
    </row>
    <row r="303" spans="1:6" x14ac:dyDescent="0.25">
      <c r="A303" t="str" cm="1">
        <f t="array" ref="A303">IFERROR(INDEX(tbNucleo[ESCOLA],ROUNDUP(ROW(A302)/TotalEtapas,0)),"")</f>
        <v>E. E. Prof. Demétrio Costa Pereira</v>
      </c>
      <c r="B303" t="str">
        <f>IFERROR(VLOOKUP(A303,tbNucleo[],2,FALSE),"")</f>
        <v>URBANO</v>
      </c>
      <c r="C303" cm="1">
        <f t="array" ref="C303">IF(A303="","",INDEX(tbEtapas[Nº],MOD(ROW(A302)-1,TotalEtapas)+1))</f>
        <v>14</v>
      </c>
      <c r="D303" t="str">
        <f>IFERROR(VLOOKUP(tbEscolas[[#This Row],[COD ETPA]],tbEtapas[],2,FALSE),"")</f>
        <v>1º ANO</v>
      </c>
      <c r="E303" t="str">
        <f>IFERROR(VLOOKUP(tbEscolas[[#This Row],[COD ETPA]],tbEtapas[],3,FALSE),"")</f>
        <v>ENSINO MÉDIO</v>
      </c>
      <c r="F303" t="s">
        <v>126</v>
      </c>
    </row>
    <row r="304" spans="1:6" x14ac:dyDescent="0.25">
      <c r="A304" t="str" cm="1">
        <f t="array" ref="A304">IFERROR(INDEX(tbNucleo[ESCOLA],ROUNDUP(ROW(A303)/TotalEtapas,0)),"")</f>
        <v>E. E. Prof. Demétrio Costa Pereira</v>
      </c>
      <c r="B304" t="str">
        <f>IFERROR(VLOOKUP(A304,tbNucleo[],2,FALSE),"")</f>
        <v>URBANO</v>
      </c>
      <c r="C304" cm="1">
        <f t="array" ref="C304">IF(A304="","",INDEX(tbEtapas[Nº],MOD(ROW(A303)-1,TotalEtapas)+1))</f>
        <v>15</v>
      </c>
      <c r="D304" t="str">
        <f>IFERROR(VLOOKUP(tbEscolas[[#This Row],[COD ETPA]],tbEtapas[],2,FALSE),"")</f>
        <v>2º ANO</v>
      </c>
      <c r="E304" t="str">
        <f>IFERROR(VLOOKUP(tbEscolas[[#This Row],[COD ETPA]],tbEtapas[],3,FALSE),"")</f>
        <v>ENSINO MÉDIO</v>
      </c>
      <c r="F304" t="s">
        <v>126</v>
      </c>
    </row>
    <row r="305" spans="1:6" x14ac:dyDescent="0.25">
      <c r="A305" t="str" cm="1">
        <f t="array" ref="A305">IFERROR(INDEX(tbNucleo[ESCOLA],ROUNDUP(ROW(A304)/TotalEtapas,0)),"")</f>
        <v>E. E. Prof. Demétrio Costa Pereira</v>
      </c>
      <c r="B305" t="str">
        <f>IFERROR(VLOOKUP(A305,tbNucleo[],2,FALSE),"")</f>
        <v>URBANO</v>
      </c>
      <c r="C305" cm="1">
        <f t="array" ref="C305">IF(A305="","",INDEX(tbEtapas[Nº],MOD(ROW(A304)-1,TotalEtapas)+1))</f>
        <v>16</v>
      </c>
      <c r="D305" t="str">
        <f>IFERROR(VLOOKUP(tbEscolas[[#This Row],[COD ETPA]],tbEtapas[],2,FALSE),"")</f>
        <v>3º ANO</v>
      </c>
      <c r="E305" t="str">
        <f>IFERROR(VLOOKUP(tbEscolas[[#This Row],[COD ETPA]],tbEtapas[],3,FALSE),"")</f>
        <v>ENSINO MÉDIO</v>
      </c>
      <c r="F305" t="s">
        <v>126</v>
      </c>
    </row>
    <row r="306" spans="1:6" x14ac:dyDescent="0.25">
      <c r="A306" t="str" cm="1">
        <f t="array" ref="A306">IFERROR(INDEX(tbNucleo[ESCOLA],ROUNDUP(ROW(A305)/TotalEtapas,0)),"")</f>
        <v>E. E. Prof. Demétrio Costa Pereira</v>
      </c>
      <c r="B306" t="str">
        <f>IFERROR(VLOOKUP(A306,tbNucleo[],2,FALSE),"")</f>
        <v>URBANO</v>
      </c>
      <c r="C306" cm="1">
        <f t="array" ref="C306">IF(A306="","",INDEX(tbEtapas[Nº],MOD(ROW(A305)-1,TotalEtapas)+1))</f>
        <v>17</v>
      </c>
      <c r="D306" t="str">
        <f>IFERROR(VLOOKUP(tbEscolas[[#This Row],[COD ETPA]],tbEtapas[],2,FALSE),"")</f>
        <v>EJA I</v>
      </c>
      <c r="E306" t="str">
        <f>IFERROR(VLOOKUP(tbEscolas[[#This Row],[COD ETPA]],tbEtapas[],3,FALSE),"")</f>
        <v>FUNDAMENTAL</v>
      </c>
      <c r="F306" t="s">
        <v>125</v>
      </c>
    </row>
    <row r="307" spans="1:6" x14ac:dyDescent="0.25">
      <c r="A307" t="str" cm="1">
        <f t="array" ref="A307">IFERROR(INDEX(tbNucleo[ESCOLA],ROUNDUP(ROW(A306)/TotalEtapas,0)),"")</f>
        <v>E. E. Prof. Demétrio Costa Pereira</v>
      </c>
      <c r="B307" t="str">
        <f>IFERROR(VLOOKUP(A307,tbNucleo[],2,FALSE),"")</f>
        <v>URBANO</v>
      </c>
      <c r="C307" cm="1">
        <f t="array" ref="C307">IF(A307="","",INDEX(tbEtapas[Nº],MOD(ROW(A306)-1,TotalEtapas)+1))</f>
        <v>18</v>
      </c>
      <c r="D307" t="str">
        <f>IFERROR(VLOOKUP(tbEscolas[[#This Row],[COD ETPA]],tbEtapas[],2,FALSE),"")</f>
        <v>EJA II</v>
      </c>
      <c r="E307" t="str">
        <f>IFERROR(VLOOKUP(tbEscolas[[#This Row],[COD ETPA]],tbEtapas[],3,FALSE),"")</f>
        <v>ENSINO MÉDIO</v>
      </c>
      <c r="F307" t="s">
        <v>125</v>
      </c>
    </row>
    <row r="308" spans="1:6" x14ac:dyDescent="0.25">
      <c r="A308" t="str" cm="1">
        <f t="array" ref="A308">IFERROR(INDEX(tbNucleo[ESCOLA],ROUNDUP(ROW(A307)/TotalEtapas,0)),"")</f>
        <v>EM TANCREDO NEVES</v>
      </c>
      <c r="B308" t="str">
        <f>IFERROR(VLOOKUP(A308,tbNucleo[],2,FALSE),"")</f>
        <v>URBANO</v>
      </c>
      <c r="C308" cm="1">
        <f t="array" ref="C308">IF(A308="","",INDEX(tbEtapas[Nº],MOD(ROW(A307)-1,TotalEtapas)+1))</f>
        <v>1</v>
      </c>
      <c r="D308" t="str">
        <f>IFERROR(VLOOKUP(tbEscolas[[#This Row],[COD ETPA]],tbEtapas[],2,FALSE),"")</f>
        <v>CRECHE I</v>
      </c>
      <c r="E308" t="str">
        <f>IFERROR(VLOOKUP(tbEscolas[[#This Row],[COD ETPA]],tbEtapas[],3,FALSE),"")</f>
        <v>EDUCAÇÃO INFANTIL</v>
      </c>
      <c r="F308" t="s">
        <v>125</v>
      </c>
    </row>
    <row r="309" spans="1:6" x14ac:dyDescent="0.25">
      <c r="A309" t="str" cm="1">
        <f t="array" ref="A309">IFERROR(INDEX(tbNucleo[ESCOLA],ROUNDUP(ROW(A308)/TotalEtapas,0)),"")</f>
        <v>EM TANCREDO NEVES</v>
      </c>
      <c r="B309" t="str">
        <f>IFERROR(VLOOKUP(A309,tbNucleo[],2,FALSE),"")</f>
        <v>URBANO</v>
      </c>
      <c r="C309" cm="1">
        <f t="array" ref="C309">IF(A309="","",INDEX(tbEtapas[Nº],MOD(ROW(A308)-1,TotalEtapas)+1))</f>
        <v>2</v>
      </c>
      <c r="D309" t="str">
        <f>IFERROR(VLOOKUP(tbEscolas[[#This Row],[COD ETPA]],tbEtapas[],2,FALSE),"")</f>
        <v>CRECHE II</v>
      </c>
      <c r="E309" t="str">
        <f>IFERROR(VLOOKUP(tbEscolas[[#This Row],[COD ETPA]],tbEtapas[],3,FALSE),"")</f>
        <v>EDUCAÇÃO INFANTIL</v>
      </c>
      <c r="F309" t="s">
        <v>125</v>
      </c>
    </row>
    <row r="310" spans="1:6" x14ac:dyDescent="0.25">
      <c r="A310" t="str" cm="1">
        <f t="array" ref="A310">IFERROR(INDEX(tbNucleo[ESCOLA],ROUNDUP(ROW(A309)/TotalEtapas,0)),"")</f>
        <v>EM TANCREDO NEVES</v>
      </c>
      <c r="B310" t="str">
        <f>IFERROR(VLOOKUP(A310,tbNucleo[],2,FALSE),"")</f>
        <v>URBANO</v>
      </c>
      <c r="C310" cm="1">
        <f t="array" ref="C310">IF(A310="","",INDEX(tbEtapas[Nº],MOD(ROW(A309)-1,TotalEtapas)+1))</f>
        <v>3</v>
      </c>
      <c r="D310" t="str">
        <f>IFERROR(VLOOKUP(tbEscolas[[#This Row],[COD ETPA]],tbEtapas[],2,FALSE),"")</f>
        <v>PRE I</v>
      </c>
      <c r="E310" t="str">
        <f>IFERROR(VLOOKUP(tbEscolas[[#This Row],[COD ETPA]],tbEtapas[],3,FALSE),"")</f>
        <v>EDUCAÇÃO INFANTIL</v>
      </c>
      <c r="F310" t="s">
        <v>125</v>
      </c>
    </row>
    <row r="311" spans="1:6" x14ac:dyDescent="0.25">
      <c r="A311" t="str" cm="1">
        <f t="array" ref="A311">IFERROR(INDEX(tbNucleo[ESCOLA],ROUNDUP(ROW(A310)/TotalEtapas,0)),"")</f>
        <v>EM TANCREDO NEVES</v>
      </c>
      <c r="B311" t="str">
        <f>IFERROR(VLOOKUP(A311,tbNucleo[],2,FALSE),"")</f>
        <v>URBANO</v>
      </c>
      <c r="C311" cm="1">
        <f t="array" ref="C311">IF(A311="","",INDEX(tbEtapas[Nº],MOD(ROW(A310)-1,TotalEtapas)+1))</f>
        <v>4</v>
      </c>
      <c r="D311" t="str">
        <f>IFERROR(VLOOKUP(tbEscolas[[#This Row],[COD ETPA]],tbEtapas[],2,FALSE),"")</f>
        <v>PRE II</v>
      </c>
      <c r="E311" t="str">
        <f>IFERROR(VLOOKUP(tbEscolas[[#This Row],[COD ETPA]],tbEtapas[],3,FALSE),"")</f>
        <v>EDUCAÇÃO INFANTIL</v>
      </c>
      <c r="F311" t="s">
        <v>125</v>
      </c>
    </row>
    <row r="312" spans="1:6" x14ac:dyDescent="0.25">
      <c r="A312" t="str" cm="1">
        <f t="array" ref="A312">IFERROR(INDEX(tbNucleo[ESCOLA],ROUNDUP(ROW(A311)/TotalEtapas,0)),"")</f>
        <v>EM TANCREDO NEVES</v>
      </c>
      <c r="B312" t="str">
        <f>IFERROR(VLOOKUP(A312,tbNucleo[],2,FALSE),"")</f>
        <v>URBANO</v>
      </c>
      <c r="C312" cm="1">
        <f t="array" ref="C312">IF(A312="","",INDEX(tbEtapas[Nº],MOD(ROW(A311)-1,TotalEtapas)+1))</f>
        <v>5</v>
      </c>
      <c r="D312" t="str">
        <f>IFERROR(VLOOKUP(tbEscolas[[#This Row],[COD ETPA]],tbEtapas[],2,FALSE),"")</f>
        <v>1º ANO</v>
      </c>
      <c r="E312" t="str">
        <f>IFERROR(VLOOKUP(tbEscolas[[#This Row],[COD ETPA]],tbEtapas[],3,FALSE),"")</f>
        <v>FUNDAMENTAL</v>
      </c>
      <c r="F312" t="s">
        <v>126</v>
      </c>
    </row>
    <row r="313" spans="1:6" x14ac:dyDescent="0.25">
      <c r="A313" t="str" cm="1">
        <f t="array" ref="A313">IFERROR(INDEX(tbNucleo[ESCOLA],ROUNDUP(ROW(A312)/TotalEtapas,0)),"")</f>
        <v>EM TANCREDO NEVES</v>
      </c>
      <c r="B313" t="str">
        <f>IFERROR(VLOOKUP(A313,tbNucleo[],2,FALSE),"")</f>
        <v>URBANO</v>
      </c>
      <c r="C313" cm="1">
        <f t="array" ref="C313">IF(A313="","",INDEX(tbEtapas[Nº],MOD(ROW(A312)-1,TotalEtapas)+1))</f>
        <v>6</v>
      </c>
      <c r="D313" t="str">
        <f>IFERROR(VLOOKUP(tbEscolas[[#This Row],[COD ETPA]],tbEtapas[],2,FALSE),"")</f>
        <v>2º ANO</v>
      </c>
      <c r="E313" t="str">
        <f>IFERROR(VLOOKUP(tbEscolas[[#This Row],[COD ETPA]],tbEtapas[],3,FALSE),"")</f>
        <v>FUNDAMENTAL</v>
      </c>
      <c r="F313" t="s">
        <v>126</v>
      </c>
    </row>
    <row r="314" spans="1:6" x14ac:dyDescent="0.25">
      <c r="A314" t="str" cm="1">
        <f t="array" ref="A314">IFERROR(INDEX(tbNucleo[ESCOLA],ROUNDUP(ROW(A313)/TotalEtapas,0)),"")</f>
        <v>EM TANCREDO NEVES</v>
      </c>
      <c r="B314" t="str">
        <f>IFERROR(VLOOKUP(A314,tbNucleo[],2,FALSE),"")</f>
        <v>URBANO</v>
      </c>
      <c r="C314" cm="1">
        <f t="array" ref="C314">IF(A314="","",INDEX(tbEtapas[Nº],MOD(ROW(A313)-1,TotalEtapas)+1))</f>
        <v>7</v>
      </c>
      <c r="D314" t="str">
        <f>IFERROR(VLOOKUP(tbEscolas[[#This Row],[COD ETPA]],tbEtapas[],2,FALSE),"")</f>
        <v>3º ANO</v>
      </c>
      <c r="E314" t="str">
        <f>IFERROR(VLOOKUP(tbEscolas[[#This Row],[COD ETPA]],tbEtapas[],3,FALSE),"")</f>
        <v>FUNDAMENTAL</v>
      </c>
      <c r="F314" t="s">
        <v>126</v>
      </c>
    </row>
    <row r="315" spans="1:6" x14ac:dyDescent="0.25">
      <c r="A315" t="str" cm="1">
        <f t="array" ref="A315">IFERROR(INDEX(tbNucleo[ESCOLA],ROUNDUP(ROW(A314)/TotalEtapas,0)),"")</f>
        <v>EM TANCREDO NEVES</v>
      </c>
      <c r="B315" t="str">
        <f>IFERROR(VLOOKUP(A315,tbNucleo[],2,FALSE),"")</f>
        <v>URBANO</v>
      </c>
      <c r="C315" cm="1">
        <f t="array" ref="C315">IF(A315="","",INDEX(tbEtapas[Nº],MOD(ROW(A314)-1,TotalEtapas)+1))</f>
        <v>8</v>
      </c>
      <c r="D315" t="str">
        <f>IFERROR(VLOOKUP(tbEscolas[[#This Row],[COD ETPA]],tbEtapas[],2,FALSE),"")</f>
        <v>4º ANO</v>
      </c>
      <c r="E315" t="str">
        <f>IFERROR(VLOOKUP(tbEscolas[[#This Row],[COD ETPA]],tbEtapas[],3,FALSE),"")</f>
        <v>FUNDAMENTAL</v>
      </c>
      <c r="F315" t="s">
        <v>126</v>
      </c>
    </row>
    <row r="316" spans="1:6" x14ac:dyDescent="0.25">
      <c r="A316" t="str" cm="1">
        <f t="array" ref="A316">IFERROR(INDEX(tbNucleo[ESCOLA],ROUNDUP(ROW(A315)/TotalEtapas,0)),"")</f>
        <v>EM TANCREDO NEVES</v>
      </c>
      <c r="B316" t="str">
        <f>IFERROR(VLOOKUP(A316,tbNucleo[],2,FALSE),"")</f>
        <v>URBANO</v>
      </c>
      <c r="C316" cm="1">
        <f t="array" ref="C316">IF(A316="","",INDEX(tbEtapas[Nº],MOD(ROW(A315)-1,TotalEtapas)+1))</f>
        <v>9</v>
      </c>
      <c r="D316" t="str">
        <f>IFERROR(VLOOKUP(tbEscolas[[#This Row],[COD ETPA]],tbEtapas[],2,FALSE),"")</f>
        <v>5º ANO</v>
      </c>
      <c r="E316" t="str">
        <f>IFERROR(VLOOKUP(tbEscolas[[#This Row],[COD ETPA]],tbEtapas[],3,FALSE),"")</f>
        <v>FUNDAMENTAL</v>
      </c>
      <c r="F316" t="s">
        <v>126</v>
      </c>
    </row>
    <row r="317" spans="1:6" x14ac:dyDescent="0.25">
      <c r="A317" t="str" cm="1">
        <f t="array" ref="A317">IFERROR(INDEX(tbNucleo[ESCOLA],ROUNDUP(ROW(A316)/TotalEtapas,0)),"")</f>
        <v>EM TANCREDO NEVES</v>
      </c>
      <c r="B317" t="str">
        <f>IFERROR(VLOOKUP(A317,tbNucleo[],2,FALSE),"")</f>
        <v>URBANO</v>
      </c>
      <c r="C317" cm="1">
        <f t="array" ref="C317">IF(A317="","",INDEX(tbEtapas[Nº],MOD(ROW(A316)-1,TotalEtapas)+1))</f>
        <v>10</v>
      </c>
      <c r="D317" t="str">
        <f>IFERROR(VLOOKUP(tbEscolas[[#This Row],[COD ETPA]],tbEtapas[],2,FALSE),"")</f>
        <v>6º ANO</v>
      </c>
      <c r="E317" t="str">
        <f>IFERROR(VLOOKUP(tbEscolas[[#This Row],[COD ETPA]],tbEtapas[],3,FALSE),"")</f>
        <v>FUNDAMENTAL</v>
      </c>
      <c r="F317" t="s">
        <v>125</v>
      </c>
    </row>
    <row r="318" spans="1:6" x14ac:dyDescent="0.25">
      <c r="A318" t="str" cm="1">
        <f t="array" ref="A318">IFERROR(INDEX(tbNucleo[ESCOLA],ROUNDUP(ROW(A317)/TotalEtapas,0)),"")</f>
        <v>EM TANCREDO NEVES</v>
      </c>
      <c r="B318" t="str">
        <f>IFERROR(VLOOKUP(A318,tbNucleo[],2,FALSE),"")</f>
        <v>URBANO</v>
      </c>
      <c r="C318" cm="1">
        <f t="array" ref="C318">IF(A318="","",INDEX(tbEtapas[Nº],MOD(ROW(A317)-1,TotalEtapas)+1))</f>
        <v>11</v>
      </c>
      <c r="D318" t="str">
        <f>IFERROR(VLOOKUP(tbEscolas[[#This Row],[COD ETPA]],tbEtapas[],2,FALSE),"")</f>
        <v>7º ANO</v>
      </c>
      <c r="E318" t="str">
        <f>IFERROR(VLOOKUP(tbEscolas[[#This Row],[COD ETPA]],tbEtapas[],3,FALSE),"")</f>
        <v>FUNDAMENTAL</v>
      </c>
      <c r="F318" t="s">
        <v>125</v>
      </c>
    </row>
    <row r="319" spans="1:6" x14ac:dyDescent="0.25">
      <c r="A319" t="str" cm="1">
        <f t="array" ref="A319">IFERROR(INDEX(tbNucleo[ESCOLA],ROUNDUP(ROW(A318)/TotalEtapas,0)),"")</f>
        <v>EM TANCREDO NEVES</v>
      </c>
      <c r="B319" t="str">
        <f>IFERROR(VLOOKUP(A319,tbNucleo[],2,FALSE),"")</f>
        <v>URBANO</v>
      </c>
      <c r="C319" cm="1">
        <f t="array" ref="C319">IF(A319="","",INDEX(tbEtapas[Nº],MOD(ROW(A318)-1,TotalEtapas)+1))</f>
        <v>12</v>
      </c>
      <c r="D319" t="str">
        <f>IFERROR(VLOOKUP(tbEscolas[[#This Row],[COD ETPA]],tbEtapas[],2,FALSE),"")</f>
        <v>8º ANO</v>
      </c>
      <c r="E319" t="str">
        <f>IFERROR(VLOOKUP(tbEscolas[[#This Row],[COD ETPA]],tbEtapas[],3,FALSE),"")</f>
        <v>FUNDAMENTAL</v>
      </c>
      <c r="F319" t="s">
        <v>125</v>
      </c>
    </row>
    <row r="320" spans="1:6" x14ac:dyDescent="0.25">
      <c r="A320" t="str" cm="1">
        <f t="array" ref="A320">IFERROR(INDEX(tbNucleo[ESCOLA],ROUNDUP(ROW(A319)/TotalEtapas,0)),"")</f>
        <v>EM TANCREDO NEVES</v>
      </c>
      <c r="B320" t="str">
        <f>IFERROR(VLOOKUP(A320,tbNucleo[],2,FALSE),"")</f>
        <v>URBANO</v>
      </c>
      <c r="C320" cm="1">
        <f t="array" ref="C320">IF(A320="","",INDEX(tbEtapas[Nº],MOD(ROW(A319)-1,TotalEtapas)+1))</f>
        <v>13</v>
      </c>
      <c r="D320" t="str">
        <f>IFERROR(VLOOKUP(tbEscolas[[#This Row],[COD ETPA]],tbEtapas[],2,FALSE),"")</f>
        <v>9º ANO</v>
      </c>
      <c r="E320" t="str">
        <f>IFERROR(VLOOKUP(tbEscolas[[#This Row],[COD ETPA]],tbEtapas[],3,FALSE),"")</f>
        <v>FUNDAMENTAL</v>
      </c>
      <c r="F320" t="s">
        <v>125</v>
      </c>
    </row>
    <row r="321" spans="1:6" x14ac:dyDescent="0.25">
      <c r="A321" t="str" cm="1">
        <f t="array" ref="A321">IFERROR(INDEX(tbNucleo[ESCOLA],ROUNDUP(ROW(A320)/TotalEtapas,0)),"")</f>
        <v>EM TANCREDO NEVES</v>
      </c>
      <c r="B321" t="str">
        <f>IFERROR(VLOOKUP(A321,tbNucleo[],2,FALSE),"")</f>
        <v>URBANO</v>
      </c>
      <c r="C321" cm="1">
        <f t="array" ref="C321">IF(A321="","",INDEX(tbEtapas[Nº],MOD(ROW(A320)-1,TotalEtapas)+1))</f>
        <v>14</v>
      </c>
      <c r="D321" t="str">
        <f>IFERROR(VLOOKUP(tbEscolas[[#This Row],[COD ETPA]],tbEtapas[],2,FALSE),"")</f>
        <v>1º ANO</v>
      </c>
      <c r="E321" t="str">
        <f>IFERROR(VLOOKUP(tbEscolas[[#This Row],[COD ETPA]],tbEtapas[],3,FALSE),"")</f>
        <v>ENSINO MÉDIO</v>
      </c>
      <c r="F321" t="s">
        <v>125</v>
      </c>
    </row>
    <row r="322" spans="1:6" x14ac:dyDescent="0.25">
      <c r="A322" t="str" cm="1">
        <f t="array" ref="A322">IFERROR(INDEX(tbNucleo[ESCOLA],ROUNDUP(ROW(A321)/TotalEtapas,0)),"")</f>
        <v>EM TANCREDO NEVES</v>
      </c>
      <c r="B322" t="str">
        <f>IFERROR(VLOOKUP(A322,tbNucleo[],2,FALSE),"")</f>
        <v>URBANO</v>
      </c>
      <c r="C322" cm="1">
        <f t="array" ref="C322">IF(A322="","",INDEX(tbEtapas[Nº],MOD(ROW(A321)-1,TotalEtapas)+1))</f>
        <v>15</v>
      </c>
      <c r="D322" t="str">
        <f>IFERROR(VLOOKUP(tbEscolas[[#This Row],[COD ETPA]],tbEtapas[],2,FALSE),"")</f>
        <v>2º ANO</v>
      </c>
      <c r="E322" t="str">
        <f>IFERROR(VLOOKUP(tbEscolas[[#This Row],[COD ETPA]],tbEtapas[],3,FALSE),"")</f>
        <v>ENSINO MÉDIO</v>
      </c>
      <c r="F322" t="s">
        <v>125</v>
      </c>
    </row>
    <row r="323" spans="1:6" x14ac:dyDescent="0.25">
      <c r="A323" t="str" cm="1">
        <f t="array" ref="A323">IFERROR(INDEX(tbNucleo[ESCOLA],ROUNDUP(ROW(A322)/TotalEtapas,0)),"")</f>
        <v>EM TANCREDO NEVES</v>
      </c>
      <c r="B323" t="str">
        <f>IFERROR(VLOOKUP(A323,tbNucleo[],2,FALSE),"")</f>
        <v>URBANO</v>
      </c>
      <c r="C323" cm="1">
        <f t="array" ref="C323">IF(A323="","",INDEX(tbEtapas[Nº],MOD(ROW(A322)-1,TotalEtapas)+1))</f>
        <v>16</v>
      </c>
      <c r="D323" t="str">
        <f>IFERROR(VLOOKUP(tbEscolas[[#This Row],[COD ETPA]],tbEtapas[],2,FALSE),"")</f>
        <v>3º ANO</v>
      </c>
      <c r="E323" t="str">
        <f>IFERROR(VLOOKUP(tbEscolas[[#This Row],[COD ETPA]],tbEtapas[],3,FALSE),"")</f>
        <v>ENSINO MÉDIO</v>
      </c>
      <c r="F323" t="s">
        <v>125</v>
      </c>
    </row>
    <row r="324" spans="1:6" x14ac:dyDescent="0.25">
      <c r="A324" t="str" cm="1">
        <f t="array" ref="A324">IFERROR(INDEX(tbNucleo[ESCOLA],ROUNDUP(ROW(A323)/TotalEtapas,0)),"")</f>
        <v>EM TANCREDO NEVES</v>
      </c>
      <c r="B324" t="str">
        <f>IFERROR(VLOOKUP(A324,tbNucleo[],2,FALSE),"")</f>
        <v>URBANO</v>
      </c>
      <c r="C324" cm="1">
        <f t="array" ref="C324">IF(A324="","",INDEX(tbEtapas[Nº],MOD(ROW(A323)-1,TotalEtapas)+1))</f>
        <v>17</v>
      </c>
      <c r="D324" t="str">
        <f>IFERROR(VLOOKUP(tbEscolas[[#This Row],[COD ETPA]],tbEtapas[],2,FALSE),"")</f>
        <v>EJA I</v>
      </c>
      <c r="E324" t="str">
        <f>IFERROR(VLOOKUP(tbEscolas[[#This Row],[COD ETPA]],tbEtapas[],3,FALSE),"")</f>
        <v>FUNDAMENTAL</v>
      </c>
      <c r="F324" t="s">
        <v>125</v>
      </c>
    </row>
    <row r="325" spans="1:6" x14ac:dyDescent="0.25">
      <c r="A325" t="str" cm="1">
        <f t="array" ref="A325">IFERROR(INDEX(tbNucleo[ESCOLA],ROUNDUP(ROW(A324)/TotalEtapas,0)),"")</f>
        <v>EM TANCREDO NEVES</v>
      </c>
      <c r="B325" t="str">
        <f>IFERROR(VLOOKUP(A325,tbNucleo[],2,FALSE),"")</f>
        <v>URBANO</v>
      </c>
      <c r="C325" cm="1">
        <f t="array" ref="C325">IF(A325="","",INDEX(tbEtapas[Nº],MOD(ROW(A324)-1,TotalEtapas)+1))</f>
        <v>18</v>
      </c>
      <c r="D325" t="str">
        <f>IFERROR(VLOOKUP(tbEscolas[[#This Row],[COD ETPA]],tbEtapas[],2,FALSE),"")</f>
        <v>EJA II</v>
      </c>
      <c r="E325" t="str">
        <f>IFERROR(VLOOKUP(tbEscolas[[#This Row],[COD ETPA]],tbEtapas[],3,FALSE),"")</f>
        <v>ENSINO MÉDIO</v>
      </c>
      <c r="F325" t="s">
        <v>125</v>
      </c>
    </row>
    <row r="326" spans="1:6" x14ac:dyDescent="0.25">
      <c r="A326" t="str" cm="1">
        <f t="array" ref="A326">IFERROR(INDEX(tbNucleo[ESCOLA],ROUNDUP(ROW(A325)/TotalEtapas,0)),"")</f>
        <v>EM PEQUENO SABIO</v>
      </c>
      <c r="B326" t="str">
        <f>IFERROR(VLOOKUP(A326,tbNucleo[],2,FALSE),"")</f>
        <v>URBANO</v>
      </c>
      <c r="C326" cm="1">
        <f t="array" ref="C326">IF(A326="","",INDEX(tbEtapas[Nº],MOD(ROW(A325)-1,TotalEtapas)+1))</f>
        <v>1</v>
      </c>
      <c r="D326" t="str">
        <f>IFERROR(VLOOKUP(tbEscolas[[#This Row],[COD ETPA]],tbEtapas[],2,FALSE),"")</f>
        <v>CRECHE I</v>
      </c>
      <c r="E326" t="str">
        <f>IFERROR(VLOOKUP(tbEscolas[[#This Row],[COD ETPA]],tbEtapas[],3,FALSE),"")</f>
        <v>EDUCAÇÃO INFANTIL</v>
      </c>
      <c r="F326" t="s">
        <v>126</v>
      </c>
    </row>
    <row r="327" spans="1:6" x14ac:dyDescent="0.25">
      <c r="A327" t="str" cm="1">
        <f t="array" ref="A327">IFERROR(INDEX(tbNucleo[ESCOLA],ROUNDUP(ROW(A326)/TotalEtapas,0)),"")</f>
        <v>EM PEQUENO SABIO</v>
      </c>
      <c r="B327" t="str">
        <f>IFERROR(VLOOKUP(A327,tbNucleo[],2,FALSE),"")</f>
        <v>URBANO</v>
      </c>
      <c r="C327" cm="1">
        <f t="array" ref="C327">IF(A327="","",INDEX(tbEtapas[Nº],MOD(ROW(A326)-1,TotalEtapas)+1))</f>
        <v>2</v>
      </c>
      <c r="D327" t="str">
        <f>IFERROR(VLOOKUP(tbEscolas[[#This Row],[COD ETPA]],tbEtapas[],2,FALSE),"")</f>
        <v>CRECHE II</v>
      </c>
      <c r="E327" t="str">
        <f>IFERROR(VLOOKUP(tbEscolas[[#This Row],[COD ETPA]],tbEtapas[],3,FALSE),"")</f>
        <v>EDUCAÇÃO INFANTIL</v>
      </c>
      <c r="F327" t="s">
        <v>126</v>
      </c>
    </row>
    <row r="328" spans="1:6" x14ac:dyDescent="0.25">
      <c r="A328" t="str" cm="1">
        <f t="array" ref="A328">IFERROR(INDEX(tbNucleo[ESCOLA],ROUNDUP(ROW(A327)/TotalEtapas,0)),"")</f>
        <v>EM PEQUENO SABIO</v>
      </c>
      <c r="B328" t="str">
        <f>IFERROR(VLOOKUP(A328,tbNucleo[],2,FALSE),"")</f>
        <v>URBANO</v>
      </c>
      <c r="C328" cm="1">
        <f t="array" ref="C328">IF(A328="","",INDEX(tbEtapas[Nº],MOD(ROW(A327)-1,TotalEtapas)+1))</f>
        <v>3</v>
      </c>
      <c r="D328" t="str">
        <f>IFERROR(VLOOKUP(tbEscolas[[#This Row],[COD ETPA]],tbEtapas[],2,FALSE),"")</f>
        <v>PRE I</v>
      </c>
      <c r="E328" t="str">
        <f>IFERROR(VLOOKUP(tbEscolas[[#This Row],[COD ETPA]],tbEtapas[],3,FALSE),"")</f>
        <v>EDUCAÇÃO INFANTIL</v>
      </c>
      <c r="F328" t="s">
        <v>126</v>
      </c>
    </row>
    <row r="329" spans="1:6" x14ac:dyDescent="0.25">
      <c r="A329" t="str" cm="1">
        <f t="array" ref="A329">IFERROR(INDEX(tbNucleo[ESCOLA],ROUNDUP(ROW(A328)/TotalEtapas,0)),"")</f>
        <v>EM PEQUENO SABIO</v>
      </c>
      <c r="B329" t="str">
        <f>IFERROR(VLOOKUP(A329,tbNucleo[],2,FALSE),"")</f>
        <v>URBANO</v>
      </c>
      <c r="C329" cm="1">
        <f t="array" ref="C329">IF(A329="","",INDEX(tbEtapas[Nº],MOD(ROW(A328)-1,TotalEtapas)+1))</f>
        <v>4</v>
      </c>
      <c r="D329" t="str">
        <f>IFERROR(VLOOKUP(tbEscolas[[#This Row],[COD ETPA]],tbEtapas[],2,FALSE),"")</f>
        <v>PRE II</v>
      </c>
      <c r="E329" t="str">
        <f>IFERROR(VLOOKUP(tbEscolas[[#This Row],[COD ETPA]],tbEtapas[],3,FALSE),"")</f>
        <v>EDUCAÇÃO INFANTIL</v>
      </c>
      <c r="F329" t="s">
        <v>126</v>
      </c>
    </row>
    <row r="330" spans="1:6" x14ac:dyDescent="0.25">
      <c r="A330" t="str" cm="1">
        <f t="array" ref="A330">IFERROR(INDEX(tbNucleo[ESCOLA],ROUNDUP(ROW(A329)/TotalEtapas,0)),"")</f>
        <v>EM PEQUENO SABIO</v>
      </c>
      <c r="B330" t="str">
        <f>IFERROR(VLOOKUP(A330,tbNucleo[],2,FALSE),"")</f>
        <v>URBANO</v>
      </c>
      <c r="C330" cm="1">
        <f t="array" ref="C330">IF(A330="","",INDEX(tbEtapas[Nº],MOD(ROW(A329)-1,TotalEtapas)+1))</f>
        <v>5</v>
      </c>
      <c r="D330" t="str">
        <f>IFERROR(VLOOKUP(tbEscolas[[#This Row],[COD ETPA]],tbEtapas[],2,FALSE),"")</f>
        <v>1º ANO</v>
      </c>
      <c r="E330" t="str">
        <f>IFERROR(VLOOKUP(tbEscolas[[#This Row],[COD ETPA]],tbEtapas[],3,FALSE),"")</f>
        <v>FUNDAMENTAL</v>
      </c>
      <c r="F330" t="s">
        <v>125</v>
      </c>
    </row>
    <row r="331" spans="1:6" x14ac:dyDescent="0.25">
      <c r="A331" t="str" cm="1">
        <f t="array" ref="A331">IFERROR(INDEX(tbNucleo[ESCOLA],ROUNDUP(ROW(A330)/TotalEtapas,0)),"")</f>
        <v>EM PEQUENO SABIO</v>
      </c>
      <c r="B331" t="str">
        <f>IFERROR(VLOOKUP(A331,tbNucleo[],2,FALSE),"")</f>
        <v>URBANO</v>
      </c>
      <c r="C331" cm="1">
        <f t="array" ref="C331">IF(A331="","",INDEX(tbEtapas[Nº],MOD(ROW(A330)-1,TotalEtapas)+1))</f>
        <v>6</v>
      </c>
      <c r="D331" t="str">
        <f>IFERROR(VLOOKUP(tbEscolas[[#This Row],[COD ETPA]],tbEtapas[],2,FALSE),"")</f>
        <v>2º ANO</v>
      </c>
      <c r="E331" t="str">
        <f>IFERROR(VLOOKUP(tbEscolas[[#This Row],[COD ETPA]],tbEtapas[],3,FALSE),"")</f>
        <v>FUNDAMENTAL</v>
      </c>
      <c r="F331" t="s">
        <v>125</v>
      </c>
    </row>
    <row r="332" spans="1:6" x14ac:dyDescent="0.25">
      <c r="A332" t="str" cm="1">
        <f t="array" ref="A332">IFERROR(INDEX(tbNucleo[ESCOLA],ROUNDUP(ROW(A331)/TotalEtapas,0)),"")</f>
        <v>EM PEQUENO SABIO</v>
      </c>
      <c r="B332" t="str">
        <f>IFERROR(VLOOKUP(A332,tbNucleo[],2,FALSE),"")</f>
        <v>URBANO</v>
      </c>
      <c r="C332" cm="1">
        <f t="array" ref="C332">IF(A332="","",INDEX(tbEtapas[Nº],MOD(ROW(A331)-1,TotalEtapas)+1))</f>
        <v>7</v>
      </c>
      <c r="D332" t="str">
        <f>IFERROR(VLOOKUP(tbEscolas[[#This Row],[COD ETPA]],tbEtapas[],2,FALSE),"")</f>
        <v>3º ANO</v>
      </c>
      <c r="E332" t="str">
        <f>IFERROR(VLOOKUP(tbEscolas[[#This Row],[COD ETPA]],tbEtapas[],3,FALSE),"")</f>
        <v>FUNDAMENTAL</v>
      </c>
      <c r="F332" t="s">
        <v>125</v>
      </c>
    </row>
    <row r="333" spans="1:6" x14ac:dyDescent="0.25">
      <c r="A333" t="str" cm="1">
        <f t="array" ref="A333">IFERROR(INDEX(tbNucleo[ESCOLA],ROUNDUP(ROW(A332)/TotalEtapas,0)),"")</f>
        <v>EM PEQUENO SABIO</v>
      </c>
      <c r="B333" t="str">
        <f>IFERROR(VLOOKUP(A333,tbNucleo[],2,FALSE),"")</f>
        <v>URBANO</v>
      </c>
      <c r="C333" cm="1">
        <f t="array" ref="C333">IF(A333="","",INDEX(tbEtapas[Nº],MOD(ROW(A332)-1,TotalEtapas)+1))</f>
        <v>8</v>
      </c>
      <c r="D333" t="str">
        <f>IFERROR(VLOOKUP(tbEscolas[[#This Row],[COD ETPA]],tbEtapas[],2,FALSE),"")</f>
        <v>4º ANO</v>
      </c>
      <c r="E333" t="str">
        <f>IFERROR(VLOOKUP(tbEscolas[[#This Row],[COD ETPA]],tbEtapas[],3,FALSE),"")</f>
        <v>FUNDAMENTAL</v>
      </c>
      <c r="F333" t="s">
        <v>125</v>
      </c>
    </row>
    <row r="334" spans="1:6" x14ac:dyDescent="0.25">
      <c r="A334" t="str" cm="1">
        <f t="array" ref="A334">IFERROR(INDEX(tbNucleo[ESCOLA],ROUNDUP(ROW(A333)/TotalEtapas,0)),"")</f>
        <v>EM PEQUENO SABIO</v>
      </c>
      <c r="B334" t="str">
        <f>IFERROR(VLOOKUP(A334,tbNucleo[],2,FALSE),"")</f>
        <v>URBANO</v>
      </c>
      <c r="C334" cm="1">
        <f t="array" ref="C334">IF(A334="","",INDEX(tbEtapas[Nº],MOD(ROW(A333)-1,TotalEtapas)+1))</f>
        <v>9</v>
      </c>
      <c r="D334" t="str">
        <f>IFERROR(VLOOKUP(tbEscolas[[#This Row],[COD ETPA]],tbEtapas[],2,FALSE),"")</f>
        <v>5º ANO</v>
      </c>
      <c r="E334" t="str">
        <f>IFERROR(VLOOKUP(tbEscolas[[#This Row],[COD ETPA]],tbEtapas[],3,FALSE),"")</f>
        <v>FUNDAMENTAL</v>
      </c>
      <c r="F334" t="s">
        <v>125</v>
      </c>
    </row>
    <row r="335" spans="1:6" x14ac:dyDescent="0.25">
      <c r="A335" t="str" cm="1">
        <f t="array" ref="A335">IFERROR(INDEX(tbNucleo[ESCOLA],ROUNDUP(ROW(A334)/TotalEtapas,0)),"")</f>
        <v>EM PEQUENO SABIO</v>
      </c>
      <c r="B335" t="str">
        <f>IFERROR(VLOOKUP(A335,tbNucleo[],2,FALSE),"")</f>
        <v>URBANO</v>
      </c>
      <c r="C335" cm="1">
        <f t="array" ref="C335">IF(A335="","",INDEX(tbEtapas[Nº],MOD(ROW(A334)-1,TotalEtapas)+1))</f>
        <v>10</v>
      </c>
      <c r="D335" t="str">
        <f>IFERROR(VLOOKUP(tbEscolas[[#This Row],[COD ETPA]],tbEtapas[],2,FALSE),"")</f>
        <v>6º ANO</v>
      </c>
      <c r="E335" t="str">
        <f>IFERROR(VLOOKUP(tbEscolas[[#This Row],[COD ETPA]],tbEtapas[],3,FALSE),"")</f>
        <v>FUNDAMENTAL</v>
      </c>
      <c r="F335" t="s">
        <v>125</v>
      </c>
    </row>
    <row r="336" spans="1:6" x14ac:dyDescent="0.25">
      <c r="A336" t="str" cm="1">
        <f t="array" ref="A336">IFERROR(INDEX(tbNucleo[ESCOLA],ROUNDUP(ROW(A335)/TotalEtapas,0)),"")</f>
        <v>EM PEQUENO SABIO</v>
      </c>
      <c r="B336" t="str">
        <f>IFERROR(VLOOKUP(A336,tbNucleo[],2,FALSE),"")</f>
        <v>URBANO</v>
      </c>
      <c r="C336" cm="1">
        <f t="array" ref="C336">IF(A336="","",INDEX(tbEtapas[Nº],MOD(ROW(A335)-1,TotalEtapas)+1))</f>
        <v>11</v>
      </c>
      <c r="D336" t="str">
        <f>IFERROR(VLOOKUP(tbEscolas[[#This Row],[COD ETPA]],tbEtapas[],2,FALSE),"")</f>
        <v>7º ANO</v>
      </c>
      <c r="E336" t="str">
        <f>IFERROR(VLOOKUP(tbEscolas[[#This Row],[COD ETPA]],tbEtapas[],3,FALSE),"")</f>
        <v>FUNDAMENTAL</v>
      </c>
      <c r="F336" t="s">
        <v>125</v>
      </c>
    </row>
    <row r="337" spans="1:6" x14ac:dyDescent="0.25">
      <c r="A337" t="str" cm="1">
        <f t="array" ref="A337">IFERROR(INDEX(tbNucleo[ESCOLA],ROUNDUP(ROW(A336)/TotalEtapas,0)),"")</f>
        <v>EM PEQUENO SABIO</v>
      </c>
      <c r="B337" t="str">
        <f>IFERROR(VLOOKUP(A337,tbNucleo[],2,FALSE),"")</f>
        <v>URBANO</v>
      </c>
      <c r="C337" cm="1">
        <f t="array" ref="C337">IF(A337="","",INDEX(tbEtapas[Nº],MOD(ROW(A336)-1,TotalEtapas)+1))</f>
        <v>12</v>
      </c>
      <c r="D337" t="str">
        <f>IFERROR(VLOOKUP(tbEscolas[[#This Row],[COD ETPA]],tbEtapas[],2,FALSE),"")</f>
        <v>8º ANO</v>
      </c>
      <c r="E337" t="str">
        <f>IFERROR(VLOOKUP(tbEscolas[[#This Row],[COD ETPA]],tbEtapas[],3,FALSE),"")</f>
        <v>FUNDAMENTAL</v>
      </c>
      <c r="F337" t="s">
        <v>125</v>
      </c>
    </row>
    <row r="338" spans="1:6" x14ac:dyDescent="0.25">
      <c r="A338" t="str" cm="1">
        <f t="array" ref="A338">IFERROR(INDEX(tbNucleo[ESCOLA],ROUNDUP(ROW(A337)/TotalEtapas,0)),"")</f>
        <v>EM PEQUENO SABIO</v>
      </c>
      <c r="B338" t="str">
        <f>IFERROR(VLOOKUP(A338,tbNucleo[],2,FALSE),"")</f>
        <v>URBANO</v>
      </c>
      <c r="C338" cm="1">
        <f t="array" ref="C338">IF(A338="","",INDEX(tbEtapas[Nº],MOD(ROW(A337)-1,TotalEtapas)+1))</f>
        <v>13</v>
      </c>
      <c r="D338" t="str">
        <f>IFERROR(VLOOKUP(tbEscolas[[#This Row],[COD ETPA]],tbEtapas[],2,FALSE),"")</f>
        <v>9º ANO</v>
      </c>
      <c r="E338" t="str">
        <f>IFERROR(VLOOKUP(tbEscolas[[#This Row],[COD ETPA]],tbEtapas[],3,FALSE),"")</f>
        <v>FUNDAMENTAL</v>
      </c>
      <c r="F338" t="s">
        <v>125</v>
      </c>
    </row>
    <row r="339" spans="1:6" x14ac:dyDescent="0.25">
      <c r="A339" t="str" cm="1">
        <f t="array" ref="A339">IFERROR(INDEX(tbNucleo[ESCOLA],ROUNDUP(ROW(A338)/TotalEtapas,0)),"")</f>
        <v>EM PEQUENO SABIO</v>
      </c>
      <c r="B339" t="str">
        <f>IFERROR(VLOOKUP(A339,tbNucleo[],2,FALSE),"")</f>
        <v>URBANO</v>
      </c>
      <c r="C339" cm="1">
        <f t="array" ref="C339">IF(A339="","",INDEX(tbEtapas[Nº],MOD(ROW(A338)-1,TotalEtapas)+1))</f>
        <v>14</v>
      </c>
      <c r="D339" t="str">
        <f>IFERROR(VLOOKUP(tbEscolas[[#This Row],[COD ETPA]],tbEtapas[],2,FALSE),"")</f>
        <v>1º ANO</v>
      </c>
      <c r="E339" t="str">
        <f>IFERROR(VLOOKUP(tbEscolas[[#This Row],[COD ETPA]],tbEtapas[],3,FALSE),"")</f>
        <v>ENSINO MÉDIO</v>
      </c>
      <c r="F339" t="s">
        <v>125</v>
      </c>
    </row>
    <row r="340" spans="1:6" x14ac:dyDescent="0.25">
      <c r="A340" t="str" cm="1">
        <f t="array" ref="A340">IFERROR(INDEX(tbNucleo[ESCOLA],ROUNDUP(ROW(A339)/TotalEtapas,0)),"")</f>
        <v>EM PEQUENO SABIO</v>
      </c>
      <c r="B340" t="str">
        <f>IFERROR(VLOOKUP(A340,tbNucleo[],2,FALSE),"")</f>
        <v>URBANO</v>
      </c>
      <c r="C340" cm="1">
        <f t="array" ref="C340">IF(A340="","",INDEX(tbEtapas[Nº],MOD(ROW(A339)-1,TotalEtapas)+1))</f>
        <v>15</v>
      </c>
      <c r="D340" t="str">
        <f>IFERROR(VLOOKUP(tbEscolas[[#This Row],[COD ETPA]],tbEtapas[],2,FALSE),"")</f>
        <v>2º ANO</v>
      </c>
      <c r="E340" t="str">
        <f>IFERROR(VLOOKUP(tbEscolas[[#This Row],[COD ETPA]],tbEtapas[],3,FALSE),"")</f>
        <v>ENSINO MÉDIO</v>
      </c>
      <c r="F340" t="s">
        <v>125</v>
      </c>
    </row>
    <row r="341" spans="1:6" x14ac:dyDescent="0.25">
      <c r="A341" t="str" cm="1">
        <f t="array" ref="A341">IFERROR(INDEX(tbNucleo[ESCOLA],ROUNDUP(ROW(A340)/TotalEtapas,0)),"")</f>
        <v>EM PEQUENO SABIO</v>
      </c>
      <c r="B341" t="str">
        <f>IFERROR(VLOOKUP(A341,tbNucleo[],2,FALSE),"")</f>
        <v>URBANO</v>
      </c>
      <c r="C341" cm="1">
        <f t="array" ref="C341">IF(A341="","",INDEX(tbEtapas[Nº],MOD(ROW(A340)-1,TotalEtapas)+1))</f>
        <v>16</v>
      </c>
      <c r="D341" t="str">
        <f>IFERROR(VLOOKUP(tbEscolas[[#This Row],[COD ETPA]],tbEtapas[],2,FALSE),"")</f>
        <v>3º ANO</v>
      </c>
      <c r="E341" t="str">
        <f>IFERROR(VLOOKUP(tbEscolas[[#This Row],[COD ETPA]],tbEtapas[],3,FALSE),"")</f>
        <v>ENSINO MÉDIO</v>
      </c>
      <c r="F341" t="s">
        <v>125</v>
      </c>
    </row>
    <row r="342" spans="1:6" x14ac:dyDescent="0.25">
      <c r="A342" t="str" cm="1">
        <f t="array" ref="A342">IFERROR(INDEX(tbNucleo[ESCOLA],ROUNDUP(ROW(A341)/TotalEtapas,0)),"")</f>
        <v>EM PEQUENO SABIO</v>
      </c>
      <c r="B342" t="str">
        <f>IFERROR(VLOOKUP(A342,tbNucleo[],2,FALSE),"")</f>
        <v>URBANO</v>
      </c>
      <c r="C342" cm="1">
        <f t="array" ref="C342">IF(A342="","",INDEX(tbEtapas[Nº],MOD(ROW(A341)-1,TotalEtapas)+1))</f>
        <v>17</v>
      </c>
      <c r="D342" t="str">
        <f>IFERROR(VLOOKUP(tbEscolas[[#This Row],[COD ETPA]],tbEtapas[],2,FALSE),"")</f>
        <v>EJA I</v>
      </c>
      <c r="E342" t="str">
        <f>IFERROR(VLOOKUP(tbEscolas[[#This Row],[COD ETPA]],tbEtapas[],3,FALSE),"")</f>
        <v>FUNDAMENTAL</v>
      </c>
      <c r="F342" t="s">
        <v>125</v>
      </c>
    </row>
    <row r="343" spans="1:6" x14ac:dyDescent="0.25">
      <c r="A343" t="str" cm="1">
        <f t="array" ref="A343">IFERROR(INDEX(tbNucleo[ESCOLA],ROUNDUP(ROW(A342)/TotalEtapas,0)),"")</f>
        <v>EM PEQUENO SABIO</v>
      </c>
      <c r="B343" t="str">
        <f>IFERROR(VLOOKUP(A343,tbNucleo[],2,FALSE),"")</f>
        <v>URBANO</v>
      </c>
      <c r="C343" cm="1">
        <f t="array" ref="C343">IF(A343="","",INDEX(tbEtapas[Nº],MOD(ROW(A342)-1,TotalEtapas)+1))</f>
        <v>18</v>
      </c>
      <c r="D343" t="str">
        <f>IFERROR(VLOOKUP(tbEscolas[[#This Row],[COD ETPA]],tbEtapas[],2,FALSE),"")</f>
        <v>EJA II</v>
      </c>
      <c r="E343" t="str">
        <f>IFERROR(VLOOKUP(tbEscolas[[#This Row],[COD ETPA]],tbEtapas[],3,FALSE),"")</f>
        <v>ENSINO MÉDIO</v>
      </c>
      <c r="F343" t="s">
        <v>125</v>
      </c>
    </row>
    <row r="344" spans="1:6" x14ac:dyDescent="0.25">
      <c r="A344" t="str" cm="1">
        <f t="array" ref="A344">IFERROR(INDEX(tbNucleo[ESCOLA],ROUNDUP(ROW(A343)/TotalEtapas,0)),"")</f>
        <v xml:space="preserve">EM CAIC </v>
      </c>
      <c r="B344" t="str">
        <f>IFERROR(VLOOKUP(A344,tbNucleo[],2,FALSE),"")</f>
        <v>URBANO</v>
      </c>
      <c r="C344" cm="1">
        <f t="array" ref="C344">IF(A344="","",INDEX(tbEtapas[Nº],MOD(ROW(A343)-1,TotalEtapas)+1))</f>
        <v>1</v>
      </c>
      <c r="D344" t="str">
        <f>IFERROR(VLOOKUP(tbEscolas[[#This Row],[COD ETPA]],tbEtapas[],2,FALSE),"")</f>
        <v>CRECHE I</v>
      </c>
      <c r="E344" t="str">
        <f>IFERROR(VLOOKUP(tbEscolas[[#This Row],[COD ETPA]],tbEtapas[],3,FALSE),"")</f>
        <v>EDUCAÇÃO INFANTIL</v>
      </c>
      <c r="F344" t="s">
        <v>126</v>
      </c>
    </row>
    <row r="345" spans="1:6" x14ac:dyDescent="0.25">
      <c r="A345" t="str" cm="1">
        <f t="array" ref="A345">IFERROR(INDEX(tbNucleo[ESCOLA],ROUNDUP(ROW(A344)/TotalEtapas,0)),"")</f>
        <v xml:space="preserve">EM CAIC </v>
      </c>
      <c r="B345" t="str">
        <f>IFERROR(VLOOKUP(A345,tbNucleo[],2,FALSE),"")</f>
        <v>URBANO</v>
      </c>
      <c r="C345" cm="1">
        <f t="array" ref="C345">IF(A345="","",INDEX(tbEtapas[Nº],MOD(ROW(A344)-1,TotalEtapas)+1))</f>
        <v>2</v>
      </c>
      <c r="D345" t="str">
        <f>IFERROR(VLOOKUP(tbEscolas[[#This Row],[COD ETPA]],tbEtapas[],2,FALSE),"")</f>
        <v>CRECHE II</v>
      </c>
      <c r="E345" t="str">
        <f>IFERROR(VLOOKUP(tbEscolas[[#This Row],[COD ETPA]],tbEtapas[],3,FALSE),"")</f>
        <v>EDUCAÇÃO INFANTIL</v>
      </c>
      <c r="F345" t="s">
        <v>126</v>
      </c>
    </row>
    <row r="346" spans="1:6" x14ac:dyDescent="0.25">
      <c r="A346" t="str" cm="1">
        <f t="array" ref="A346">IFERROR(INDEX(tbNucleo[ESCOLA],ROUNDUP(ROW(A345)/TotalEtapas,0)),"")</f>
        <v xml:space="preserve">EM CAIC </v>
      </c>
      <c r="B346" t="str">
        <f>IFERROR(VLOOKUP(A346,tbNucleo[],2,FALSE),"")</f>
        <v>URBANO</v>
      </c>
      <c r="C346" cm="1">
        <f t="array" ref="C346">IF(A346="","",INDEX(tbEtapas[Nº],MOD(ROW(A345)-1,TotalEtapas)+1))</f>
        <v>3</v>
      </c>
      <c r="D346" t="str">
        <f>IFERROR(VLOOKUP(tbEscolas[[#This Row],[COD ETPA]],tbEtapas[],2,FALSE),"")</f>
        <v>PRE I</v>
      </c>
      <c r="E346" t="str">
        <f>IFERROR(VLOOKUP(tbEscolas[[#This Row],[COD ETPA]],tbEtapas[],3,FALSE),"")</f>
        <v>EDUCAÇÃO INFANTIL</v>
      </c>
      <c r="F346" t="s">
        <v>126</v>
      </c>
    </row>
    <row r="347" spans="1:6" x14ac:dyDescent="0.25">
      <c r="A347" t="str" cm="1">
        <f t="array" ref="A347">IFERROR(INDEX(tbNucleo[ESCOLA],ROUNDUP(ROW(A346)/TotalEtapas,0)),"")</f>
        <v xml:space="preserve">EM CAIC </v>
      </c>
      <c r="B347" t="str">
        <f>IFERROR(VLOOKUP(A347,tbNucleo[],2,FALSE),"")</f>
        <v>URBANO</v>
      </c>
      <c r="C347" cm="1">
        <f t="array" ref="C347">IF(A347="","",INDEX(tbEtapas[Nº],MOD(ROW(A346)-1,TotalEtapas)+1))</f>
        <v>4</v>
      </c>
      <c r="D347" t="str">
        <f>IFERROR(VLOOKUP(tbEscolas[[#This Row],[COD ETPA]],tbEtapas[],2,FALSE),"")</f>
        <v>PRE II</v>
      </c>
      <c r="E347" t="str">
        <f>IFERROR(VLOOKUP(tbEscolas[[#This Row],[COD ETPA]],tbEtapas[],3,FALSE),"")</f>
        <v>EDUCAÇÃO INFANTIL</v>
      </c>
      <c r="F347" t="s">
        <v>126</v>
      </c>
    </row>
    <row r="348" spans="1:6" x14ac:dyDescent="0.25">
      <c r="A348" t="str" cm="1">
        <f t="array" ref="A348">IFERROR(INDEX(tbNucleo[ESCOLA],ROUNDUP(ROW(A347)/TotalEtapas,0)),"")</f>
        <v xml:space="preserve">EM CAIC </v>
      </c>
      <c r="B348" t="str">
        <f>IFERROR(VLOOKUP(A348,tbNucleo[],2,FALSE),"")</f>
        <v>URBANO</v>
      </c>
      <c r="C348" cm="1">
        <f t="array" ref="C348">IF(A348="","",INDEX(tbEtapas[Nº],MOD(ROW(A347)-1,TotalEtapas)+1))</f>
        <v>5</v>
      </c>
      <c r="D348" t="str">
        <f>IFERROR(VLOOKUP(tbEscolas[[#This Row],[COD ETPA]],tbEtapas[],2,FALSE),"")</f>
        <v>1º ANO</v>
      </c>
      <c r="E348" t="str">
        <f>IFERROR(VLOOKUP(tbEscolas[[#This Row],[COD ETPA]],tbEtapas[],3,FALSE),"")</f>
        <v>FUNDAMENTAL</v>
      </c>
      <c r="F348" t="s">
        <v>125</v>
      </c>
    </row>
    <row r="349" spans="1:6" x14ac:dyDescent="0.25">
      <c r="A349" t="str" cm="1">
        <f t="array" ref="A349">IFERROR(INDEX(tbNucleo[ESCOLA],ROUNDUP(ROW(A348)/TotalEtapas,0)),"")</f>
        <v xml:space="preserve">EM CAIC </v>
      </c>
      <c r="B349" t="str">
        <f>IFERROR(VLOOKUP(A349,tbNucleo[],2,FALSE),"")</f>
        <v>URBANO</v>
      </c>
      <c r="C349" cm="1">
        <f t="array" ref="C349">IF(A349="","",INDEX(tbEtapas[Nº],MOD(ROW(A348)-1,TotalEtapas)+1))</f>
        <v>6</v>
      </c>
      <c r="D349" t="str">
        <f>IFERROR(VLOOKUP(tbEscolas[[#This Row],[COD ETPA]],tbEtapas[],2,FALSE),"")</f>
        <v>2º ANO</v>
      </c>
      <c r="E349" t="str">
        <f>IFERROR(VLOOKUP(tbEscolas[[#This Row],[COD ETPA]],tbEtapas[],3,FALSE),"")</f>
        <v>FUNDAMENTAL</v>
      </c>
      <c r="F349" t="s">
        <v>125</v>
      </c>
    </row>
    <row r="350" spans="1:6" x14ac:dyDescent="0.25">
      <c r="A350" t="str" cm="1">
        <f t="array" ref="A350">IFERROR(INDEX(tbNucleo[ESCOLA],ROUNDUP(ROW(A349)/TotalEtapas,0)),"")</f>
        <v xml:space="preserve">EM CAIC </v>
      </c>
      <c r="B350" t="str">
        <f>IFERROR(VLOOKUP(A350,tbNucleo[],2,FALSE),"")</f>
        <v>URBANO</v>
      </c>
      <c r="C350" cm="1">
        <f t="array" ref="C350">IF(A350="","",INDEX(tbEtapas[Nº],MOD(ROW(A349)-1,TotalEtapas)+1))</f>
        <v>7</v>
      </c>
      <c r="D350" t="str">
        <f>IFERROR(VLOOKUP(tbEscolas[[#This Row],[COD ETPA]],tbEtapas[],2,FALSE),"")</f>
        <v>3º ANO</v>
      </c>
      <c r="E350" t="str">
        <f>IFERROR(VLOOKUP(tbEscolas[[#This Row],[COD ETPA]],tbEtapas[],3,FALSE),"")</f>
        <v>FUNDAMENTAL</v>
      </c>
      <c r="F350" t="s">
        <v>125</v>
      </c>
    </row>
    <row r="351" spans="1:6" x14ac:dyDescent="0.25">
      <c r="A351" t="str" cm="1">
        <f t="array" ref="A351">IFERROR(INDEX(tbNucleo[ESCOLA],ROUNDUP(ROW(A350)/TotalEtapas,0)),"")</f>
        <v xml:space="preserve">EM CAIC </v>
      </c>
      <c r="B351" t="str">
        <f>IFERROR(VLOOKUP(A351,tbNucleo[],2,FALSE),"")</f>
        <v>URBANO</v>
      </c>
      <c r="C351" cm="1">
        <f t="array" ref="C351">IF(A351="","",INDEX(tbEtapas[Nº],MOD(ROW(A350)-1,TotalEtapas)+1))</f>
        <v>8</v>
      </c>
      <c r="D351" t="str">
        <f>IFERROR(VLOOKUP(tbEscolas[[#This Row],[COD ETPA]],tbEtapas[],2,FALSE),"")</f>
        <v>4º ANO</v>
      </c>
      <c r="E351" t="str">
        <f>IFERROR(VLOOKUP(tbEscolas[[#This Row],[COD ETPA]],tbEtapas[],3,FALSE),"")</f>
        <v>FUNDAMENTAL</v>
      </c>
      <c r="F351" t="s">
        <v>125</v>
      </c>
    </row>
    <row r="352" spans="1:6" x14ac:dyDescent="0.25">
      <c r="A352" t="str" cm="1">
        <f t="array" ref="A352">IFERROR(INDEX(tbNucleo[ESCOLA],ROUNDUP(ROW(A351)/TotalEtapas,0)),"")</f>
        <v xml:space="preserve">EM CAIC </v>
      </c>
      <c r="B352" t="str">
        <f>IFERROR(VLOOKUP(A352,tbNucleo[],2,FALSE),"")</f>
        <v>URBANO</v>
      </c>
      <c r="C352" cm="1">
        <f t="array" ref="C352">IF(A352="","",INDEX(tbEtapas[Nº],MOD(ROW(A351)-1,TotalEtapas)+1))</f>
        <v>9</v>
      </c>
      <c r="D352" t="str">
        <f>IFERROR(VLOOKUP(tbEscolas[[#This Row],[COD ETPA]],tbEtapas[],2,FALSE),"")</f>
        <v>5º ANO</v>
      </c>
      <c r="E352" t="str">
        <f>IFERROR(VLOOKUP(tbEscolas[[#This Row],[COD ETPA]],tbEtapas[],3,FALSE),"")</f>
        <v>FUNDAMENTAL</v>
      </c>
      <c r="F352" t="s">
        <v>125</v>
      </c>
    </row>
    <row r="353" spans="1:6" x14ac:dyDescent="0.25">
      <c r="A353" t="str" cm="1">
        <f t="array" ref="A353">IFERROR(INDEX(tbNucleo[ESCOLA],ROUNDUP(ROW(A352)/TotalEtapas,0)),"")</f>
        <v xml:space="preserve">EM CAIC </v>
      </c>
      <c r="B353" t="str">
        <f>IFERROR(VLOOKUP(A353,tbNucleo[],2,FALSE),"")</f>
        <v>URBANO</v>
      </c>
      <c r="C353" cm="1">
        <f t="array" ref="C353">IF(A353="","",INDEX(tbEtapas[Nº],MOD(ROW(A352)-1,TotalEtapas)+1))</f>
        <v>10</v>
      </c>
      <c r="D353" t="str">
        <f>IFERROR(VLOOKUP(tbEscolas[[#This Row],[COD ETPA]],tbEtapas[],2,FALSE),"")</f>
        <v>6º ANO</v>
      </c>
      <c r="E353" t="str">
        <f>IFERROR(VLOOKUP(tbEscolas[[#This Row],[COD ETPA]],tbEtapas[],3,FALSE),"")</f>
        <v>FUNDAMENTAL</v>
      </c>
      <c r="F353" t="s">
        <v>125</v>
      </c>
    </row>
    <row r="354" spans="1:6" x14ac:dyDescent="0.25">
      <c r="A354" t="str" cm="1">
        <f t="array" ref="A354">IFERROR(INDEX(tbNucleo[ESCOLA],ROUNDUP(ROW(A353)/TotalEtapas,0)),"")</f>
        <v xml:space="preserve">EM CAIC </v>
      </c>
      <c r="B354" t="str">
        <f>IFERROR(VLOOKUP(A354,tbNucleo[],2,FALSE),"")</f>
        <v>URBANO</v>
      </c>
      <c r="C354" cm="1">
        <f t="array" ref="C354">IF(A354="","",INDEX(tbEtapas[Nº],MOD(ROW(A353)-1,TotalEtapas)+1))</f>
        <v>11</v>
      </c>
      <c r="D354" t="str">
        <f>IFERROR(VLOOKUP(tbEscolas[[#This Row],[COD ETPA]],tbEtapas[],2,FALSE),"")</f>
        <v>7º ANO</v>
      </c>
      <c r="E354" t="str">
        <f>IFERROR(VLOOKUP(tbEscolas[[#This Row],[COD ETPA]],tbEtapas[],3,FALSE),"")</f>
        <v>FUNDAMENTAL</v>
      </c>
      <c r="F354" t="s">
        <v>125</v>
      </c>
    </row>
    <row r="355" spans="1:6" x14ac:dyDescent="0.25">
      <c r="A355" t="str" cm="1">
        <f t="array" ref="A355">IFERROR(INDEX(tbNucleo[ESCOLA],ROUNDUP(ROW(A354)/TotalEtapas,0)),"")</f>
        <v xml:space="preserve">EM CAIC </v>
      </c>
      <c r="B355" t="str">
        <f>IFERROR(VLOOKUP(A355,tbNucleo[],2,FALSE),"")</f>
        <v>URBANO</v>
      </c>
      <c r="C355" cm="1">
        <f t="array" ref="C355">IF(A355="","",INDEX(tbEtapas[Nº],MOD(ROW(A354)-1,TotalEtapas)+1))</f>
        <v>12</v>
      </c>
      <c r="D355" t="str">
        <f>IFERROR(VLOOKUP(tbEscolas[[#This Row],[COD ETPA]],tbEtapas[],2,FALSE),"")</f>
        <v>8º ANO</v>
      </c>
      <c r="E355" t="str">
        <f>IFERROR(VLOOKUP(tbEscolas[[#This Row],[COD ETPA]],tbEtapas[],3,FALSE),"")</f>
        <v>FUNDAMENTAL</v>
      </c>
      <c r="F355" t="s">
        <v>125</v>
      </c>
    </row>
    <row r="356" spans="1:6" x14ac:dyDescent="0.25">
      <c r="A356" t="str" cm="1">
        <f t="array" ref="A356">IFERROR(INDEX(tbNucleo[ESCOLA],ROUNDUP(ROW(A355)/TotalEtapas,0)),"")</f>
        <v xml:space="preserve">EM CAIC </v>
      </c>
      <c r="B356" t="str">
        <f>IFERROR(VLOOKUP(A356,tbNucleo[],2,FALSE),"")</f>
        <v>URBANO</v>
      </c>
      <c r="C356" cm="1">
        <f t="array" ref="C356">IF(A356="","",INDEX(tbEtapas[Nº],MOD(ROW(A355)-1,TotalEtapas)+1))</f>
        <v>13</v>
      </c>
      <c r="D356" t="str">
        <f>IFERROR(VLOOKUP(tbEscolas[[#This Row],[COD ETPA]],tbEtapas[],2,FALSE),"")</f>
        <v>9º ANO</v>
      </c>
      <c r="E356" t="str">
        <f>IFERROR(VLOOKUP(tbEscolas[[#This Row],[COD ETPA]],tbEtapas[],3,FALSE),"")</f>
        <v>FUNDAMENTAL</v>
      </c>
      <c r="F356" t="s">
        <v>125</v>
      </c>
    </row>
    <row r="357" spans="1:6" x14ac:dyDescent="0.25">
      <c r="A357" t="str" cm="1">
        <f t="array" ref="A357">IFERROR(INDEX(tbNucleo[ESCOLA],ROUNDUP(ROW(A356)/TotalEtapas,0)),"")</f>
        <v xml:space="preserve">EM CAIC </v>
      </c>
      <c r="B357" t="str">
        <f>IFERROR(VLOOKUP(A357,tbNucleo[],2,FALSE),"")</f>
        <v>URBANO</v>
      </c>
      <c r="C357" cm="1">
        <f t="array" ref="C357">IF(A357="","",INDEX(tbEtapas[Nº],MOD(ROW(A356)-1,TotalEtapas)+1))</f>
        <v>14</v>
      </c>
      <c r="D357" t="str">
        <f>IFERROR(VLOOKUP(tbEscolas[[#This Row],[COD ETPA]],tbEtapas[],2,FALSE),"")</f>
        <v>1º ANO</v>
      </c>
      <c r="E357" t="str">
        <f>IFERROR(VLOOKUP(tbEscolas[[#This Row],[COD ETPA]],tbEtapas[],3,FALSE),"")</f>
        <v>ENSINO MÉDIO</v>
      </c>
      <c r="F357" t="s">
        <v>125</v>
      </c>
    </row>
    <row r="358" spans="1:6" x14ac:dyDescent="0.25">
      <c r="A358" t="str" cm="1">
        <f t="array" ref="A358">IFERROR(INDEX(tbNucleo[ESCOLA],ROUNDUP(ROW(A357)/TotalEtapas,0)),"")</f>
        <v xml:space="preserve">EM CAIC </v>
      </c>
      <c r="B358" t="str">
        <f>IFERROR(VLOOKUP(A358,tbNucleo[],2,FALSE),"")</f>
        <v>URBANO</v>
      </c>
      <c r="C358" cm="1">
        <f t="array" ref="C358">IF(A358="","",INDEX(tbEtapas[Nº],MOD(ROW(A357)-1,TotalEtapas)+1))</f>
        <v>15</v>
      </c>
      <c r="D358" t="str">
        <f>IFERROR(VLOOKUP(tbEscolas[[#This Row],[COD ETPA]],tbEtapas[],2,FALSE),"")</f>
        <v>2º ANO</v>
      </c>
      <c r="E358" t="str">
        <f>IFERROR(VLOOKUP(tbEscolas[[#This Row],[COD ETPA]],tbEtapas[],3,FALSE),"")</f>
        <v>ENSINO MÉDIO</v>
      </c>
      <c r="F358" t="s">
        <v>125</v>
      </c>
    </row>
    <row r="359" spans="1:6" x14ac:dyDescent="0.25">
      <c r="A359" t="str" cm="1">
        <f t="array" ref="A359">IFERROR(INDEX(tbNucleo[ESCOLA],ROUNDUP(ROW(A358)/TotalEtapas,0)),"")</f>
        <v xml:space="preserve">EM CAIC </v>
      </c>
      <c r="B359" t="str">
        <f>IFERROR(VLOOKUP(A359,tbNucleo[],2,FALSE),"")</f>
        <v>URBANO</v>
      </c>
      <c r="C359" cm="1">
        <f t="array" ref="C359">IF(A359="","",INDEX(tbEtapas[Nº],MOD(ROW(A358)-1,TotalEtapas)+1))</f>
        <v>16</v>
      </c>
      <c r="D359" t="str">
        <f>IFERROR(VLOOKUP(tbEscolas[[#This Row],[COD ETPA]],tbEtapas[],2,FALSE),"")</f>
        <v>3º ANO</v>
      </c>
      <c r="E359" t="str">
        <f>IFERROR(VLOOKUP(tbEscolas[[#This Row],[COD ETPA]],tbEtapas[],3,FALSE),"")</f>
        <v>ENSINO MÉDIO</v>
      </c>
      <c r="F359" t="s">
        <v>125</v>
      </c>
    </row>
    <row r="360" spans="1:6" x14ac:dyDescent="0.25">
      <c r="A360" t="str" cm="1">
        <f t="array" ref="A360">IFERROR(INDEX(tbNucleo[ESCOLA],ROUNDUP(ROW(A359)/TotalEtapas,0)),"")</f>
        <v xml:space="preserve">EM CAIC </v>
      </c>
      <c r="B360" t="str">
        <f>IFERROR(VLOOKUP(A360,tbNucleo[],2,FALSE),"")</f>
        <v>URBANO</v>
      </c>
      <c r="C360" cm="1">
        <f t="array" ref="C360">IF(A360="","",INDEX(tbEtapas[Nº],MOD(ROW(A359)-1,TotalEtapas)+1))</f>
        <v>17</v>
      </c>
      <c r="D360" t="str">
        <f>IFERROR(VLOOKUP(tbEscolas[[#This Row],[COD ETPA]],tbEtapas[],2,FALSE),"")</f>
        <v>EJA I</v>
      </c>
      <c r="E360" t="str">
        <f>IFERROR(VLOOKUP(tbEscolas[[#This Row],[COD ETPA]],tbEtapas[],3,FALSE),"")</f>
        <v>FUNDAMENTAL</v>
      </c>
      <c r="F360" t="s">
        <v>125</v>
      </c>
    </row>
    <row r="361" spans="1:6" x14ac:dyDescent="0.25">
      <c r="A361" t="str" cm="1">
        <f t="array" ref="A361">IFERROR(INDEX(tbNucleo[ESCOLA],ROUNDUP(ROW(A360)/TotalEtapas,0)),"")</f>
        <v xml:space="preserve">EM CAIC </v>
      </c>
      <c r="B361" t="str">
        <f>IFERROR(VLOOKUP(A361,tbNucleo[],2,FALSE),"")</f>
        <v>URBANO</v>
      </c>
      <c r="C361" cm="1">
        <f t="array" ref="C361">IF(A361="","",INDEX(tbEtapas[Nº],MOD(ROW(A360)-1,TotalEtapas)+1))</f>
        <v>18</v>
      </c>
      <c r="D361" t="str">
        <f>IFERROR(VLOOKUP(tbEscolas[[#This Row],[COD ETPA]],tbEtapas[],2,FALSE),"")</f>
        <v>EJA II</v>
      </c>
      <c r="E361" t="str">
        <f>IFERROR(VLOOKUP(tbEscolas[[#This Row],[COD ETPA]],tbEtapas[],3,FALSE),"")</f>
        <v>ENSINO MÉDIO</v>
      </c>
      <c r="F361" t="s">
        <v>125</v>
      </c>
    </row>
    <row r="362" spans="1:6" x14ac:dyDescent="0.25">
      <c r="A362" t="str" cm="1">
        <f t="array" ref="A362">IFERROR(INDEX(tbNucleo[ESCOLA],ROUNDUP(ROW(A361)/TotalEtapas,0)),"")</f>
        <v>EM VILA REAL</v>
      </c>
      <c r="B362" t="str">
        <f>IFERROR(VLOOKUP(A362,tbNucleo[],2,FALSE),"")</f>
        <v>URBANO</v>
      </c>
      <c r="C362" cm="1">
        <f t="array" ref="C362">IF(A362="","",INDEX(tbEtapas[Nº],MOD(ROW(A361)-1,TotalEtapas)+1))</f>
        <v>1</v>
      </c>
      <c r="D362" t="str">
        <f>IFERROR(VLOOKUP(tbEscolas[[#This Row],[COD ETPA]],tbEtapas[],2,FALSE),"")</f>
        <v>CRECHE I</v>
      </c>
      <c r="E362" t="str">
        <f>IFERROR(VLOOKUP(tbEscolas[[#This Row],[COD ETPA]],tbEtapas[],3,FALSE),"")</f>
        <v>EDUCAÇÃO INFANTIL</v>
      </c>
      <c r="F362" t="s">
        <v>125</v>
      </c>
    </row>
    <row r="363" spans="1:6" x14ac:dyDescent="0.25">
      <c r="A363" t="str" cm="1">
        <f t="array" ref="A363">IFERROR(INDEX(tbNucleo[ESCOLA],ROUNDUP(ROW(A362)/TotalEtapas,0)),"")</f>
        <v>EM VILA REAL</v>
      </c>
      <c r="B363" t="str">
        <f>IFERROR(VLOOKUP(A363,tbNucleo[],2,FALSE),"")</f>
        <v>URBANO</v>
      </c>
      <c r="C363" cm="1">
        <f t="array" ref="C363">IF(A363="","",INDEX(tbEtapas[Nº],MOD(ROW(A362)-1,TotalEtapas)+1))</f>
        <v>2</v>
      </c>
      <c r="D363" t="str">
        <f>IFERROR(VLOOKUP(tbEscolas[[#This Row],[COD ETPA]],tbEtapas[],2,FALSE),"")</f>
        <v>CRECHE II</v>
      </c>
      <c r="E363" t="str">
        <f>IFERROR(VLOOKUP(tbEscolas[[#This Row],[COD ETPA]],tbEtapas[],3,FALSE),"")</f>
        <v>EDUCAÇÃO INFANTIL</v>
      </c>
      <c r="F363" t="s">
        <v>125</v>
      </c>
    </row>
    <row r="364" spans="1:6" x14ac:dyDescent="0.25">
      <c r="A364" t="str" cm="1">
        <f t="array" ref="A364">IFERROR(INDEX(tbNucleo[ESCOLA],ROUNDUP(ROW(A363)/TotalEtapas,0)),"")</f>
        <v>EM VILA REAL</v>
      </c>
      <c r="B364" t="str">
        <f>IFERROR(VLOOKUP(A364,tbNucleo[],2,FALSE),"")</f>
        <v>URBANO</v>
      </c>
      <c r="C364" cm="1">
        <f t="array" ref="C364">IF(A364="","",INDEX(tbEtapas[Nº],MOD(ROW(A363)-1,TotalEtapas)+1))</f>
        <v>3</v>
      </c>
      <c r="D364" t="str">
        <f>IFERROR(VLOOKUP(tbEscolas[[#This Row],[COD ETPA]],tbEtapas[],2,FALSE),"")</f>
        <v>PRE I</v>
      </c>
      <c r="E364" t="str">
        <f>IFERROR(VLOOKUP(tbEscolas[[#This Row],[COD ETPA]],tbEtapas[],3,FALSE),"")</f>
        <v>EDUCAÇÃO INFANTIL</v>
      </c>
      <c r="F364" t="s">
        <v>126</v>
      </c>
    </row>
    <row r="365" spans="1:6" x14ac:dyDescent="0.25">
      <c r="A365" t="str" cm="1">
        <f t="array" ref="A365">IFERROR(INDEX(tbNucleo[ESCOLA],ROUNDUP(ROW(A364)/TotalEtapas,0)),"")</f>
        <v>EM VILA REAL</v>
      </c>
      <c r="B365" t="str">
        <f>IFERROR(VLOOKUP(A365,tbNucleo[],2,FALSE),"")</f>
        <v>URBANO</v>
      </c>
      <c r="C365" cm="1">
        <f t="array" ref="C365">IF(A365="","",INDEX(tbEtapas[Nº],MOD(ROW(A364)-1,TotalEtapas)+1))</f>
        <v>4</v>
      </c>
      <c r="D365" t="str">
        <f>IFERROR(VLOOKUP(tbEscolas[[#This Row],[COD ETPA]],tbEtapas[],2,FALSE),"")</f>
        <v>PRE II</v>
      </c>
      <c r="E365" t="str">
        <f>IFERROR(VLOOKUP(tbEscolas[[#This Row],[COD ETPA]],tbEtapas[],3,FALSE),"")</f>
        <v>EDUCAÇÃO INFANTIL</v>
      </c>
      <c r="F365" t="s">
        <v>126</v>
      </c>
    </row>
    <row r="366" spans="1:6" x14ac:dyDescent="0.25">
      <c r="A366" t="str" cm="1">
        <f t="array" ref="A366">IFERROR(INDEX(tbNucleo[ESCOLA],ROUNDUP(ROW(A365)/TotalEtapas,0)),"")</f>
        <v>EM VILA REAL</v>
      </c>
      <c r="B366" t="str">
        <f>IFERROR(VLOOKUP(A366,tbNucleo[],2,FALSE),"")</f>
        <v>URBANO</v>
      </c>
      <c r="C366" cm="1">
        <f t="array" ref="C366">IF(A366="","",INDEX(tbEtapas[Nº],MOD(ROW(A365)-1,TotalEtapas)+1))</f>
        <v>5</v>
      </c>
      <c r="D366" t="str">
        <f>IFERROR(VLOOKUP(tbEscolas[[#This Row],[COD ETPA]],tbEtapas[],2,FALSE),"")</f>
        <v>1º ANO</v>
      </c>
      <c r="E366" t="str">
        <f>IFERROR(VLOOKUP(tbEscolas[[#This Row],[COD ETPA]],tbEtapas[],3,FALSE),"")</f>
        <v>FUNDAMENTAL</v>
      </c>
      <c r="F366" t="s">
        <v>126</v>
      </c>
    </row>
    <row r="367" spans="1:6" x14ac:dyDescent="0.25">
      <c r="A367" t="str" cm="1">
        <f t="array" ref="A367">IFERROR(INDEX(tbNucleo[ESCOLA],ROUNDUP(ROW(A366)/TotalEtapas,0)),"")</f>
        <v>EM VILA REAL</v>
      </c>
      <c r="B367" t="str">
        <f>IFERROR(VLOOKUP(A367,tbNucleo[],2,FALSE),"")</f>
        <v>URBANO</v>
      </c>
      <c r="C367" cm="1">
        <f t="array" ref="C367">IF(A367="","",INDEX(tbEtapas[Nº],MOD(ROW(A366)-1,TotalEtapas)+1))</f>
        <v>6</v>
      </c>
      <c r="D367" t="str">
        <f>IFERROR(VLOOKUP(tbEscolas[[#This Row],[COD ETPA]],tbEtapas[],2,FALSE),"")</f>
        <v>2º ANO</v>
      </c>
      <c r="E367" t="str">
        <f>IFERROR(VLOOKUP(tbEscolas[[#This Row],[COD ETPA]],tbEtapas[],3,FALSE),"")</f>
        <v>FUNDAMENTAL</v>
      </c>
      <c r="F367" t="s">
        <v>126</v>
      </c>
    </row>
    <row r="368" spans="1:6" x14ac:dyDescent="0.25">
      <c r="A368" t="str" cm="1">
        <f t="array" ref="A368">IFERROR(INDEX(tbNucleo[ESCOLA],ROUNDUP(ROW(A367)/TotalEtapas,0)),"")</f>
        <v>EM VILA REAL</v>
      </c>
      <c r="B368" t="str">
        <f>IFERROR(VLOOKUP(A368,tbNucleo[],2,FALSE),"")</f>
        <v>URBANO</v>
      </c>
      <c r="C368" cm="1">
        <f t="array" ref="C368">IF(A368="","",INDEX(tbEtapas[Nº],MOD(ROW(A367)-1,TotalEtapas)+1))</f>
        <v>7</v>
      </c>
      <c r="D368" t="str">
        <f>IFERROR(VLOOKUP(tbEscolas[[#This Row],[COD ETPA]],tbEtapas[],2,FALSE),"")</f>
        <v>3º ANO</v>
      </c>
      <c r="E368" t="str">
        <f>IFERROR(VLOOKUP(tbEscolas[[#This Row],[COD ETPA]],tbEtapas[],3,FALSE),"")</f>
        <v>FUNDAMENTAL</v>
      </c>
      <c r="F368" t="s">
        <v>126</v>
      </c>
    </row>
    <row r="369" spans="1:6" x14ac:dyDescent="0.25">
      <c r="A369" t="str" cm="1">
        <f t="array" ref="A369">IFERROR(INDEX(tbNucleo[ESCOLA],ROUNDUP(ROW(A368)/TotalEtapas,0)),"")</f>
        <v>EM VILA REAL</v>
      </c>
      <c r="B369" t="str">
        <f>IFERROR(VLOOKUP(A369,tbNucleo[],2,FALSE),"")</f>
        <v>URBANO</v>
      </c>
      <c r="C369" cm="1">
        <f t="array" ref="C369">IF(A369="","",INDEX(tbEtapas[Nº],MOD(ROW(A368)-1,TotalEtapas)+1))</f>
        <v>8</v>
      </c>
      <c r="D369" t="str">
        <f>IFERROR(VLOOKUP(tbEscolas[[#This Row],[COD ETPA]],tbEtapas[],2,FALSE),"")</f>
        <v>4º ANO</v>
      </c>
      <c r="E369" t="str">
        <f>IFERROR(VLOOKUP(tbEscolas[[#This Row],[COD ETPA]],tbEtapas[],3,FALSE),"")</f>
        <v>FUNDAMENTAL</v>
      </c>
      <c r="F369" t="s">
        <v>126</v>
      </c>
    </row>
    <row r="370" spans="1:6" x14ac:dyDescent="0.25">
      <c r="A370" t="str" cm="1">
        <f t="array" ref="A370">IFERROR(INDEX(tbNucleo[ESCOLA],ROUNDUP(ROW(A369)/TotalEtapas,0)),"")</f>
        <v>EM VILA REAL</v>
      </c>
      <c r="B370" t="str">
        <f>IFERROR(VLOOKUP(A370,tbNucleo[],2,FALSE),"")</f>
        <v>URBANO</v>
      </c>
      <c r="C370" cm="1">
        <f t="array" ref="C370">IF(A370="","",INDEX(tbEtapas[Nº],MOD(ROW(A369)-1,TotalEtapas)+1))</f>
        <v>9</v>
      </c>
      <c r="D370" t="str">
        <f>IFERROR(VLOOKUP(tbEscolas[[#This Row],[COD ETPA]],tbEtapas[],2,FALSE),"")</f>
        <v>5º ANO</v>
      </c>
      <c r="E370" t="str">
        <f>IFERROR(VLOOKUP(tbEscolas[[#This Row],[COD ETPA]],tbEtapas[],3,FALSE),"")</f>
        <v>FUNDAMENTAL</v>
      </c>
      <c r="F370" t="s">
        <v>126</v>
      </c>
    </row>
    <row r="371" spans="1:6" x14ac:dyDescent="0.25">
      <c r="A371" t="str" cm="1">
        <f t="array" ref="A371">IFERROR(INDEX(tbNucleo[ESCOLA],ROUNDUP(ROW(A370)/TotalEtapas,0)),"")</f>
        <v>EM VILA REAL</v>
      </c>
      <c r="B371" t="str">
        <f>IFERROR(VLOOKUP(A371,tbNucleo[],2,FALSE),"")</f>
        <v>URBANO</v>
      </c>
      <c r="C371" cm="1">
        <f t="array" ref="C371">IF(A371="","",INDEX(tbEtapas[Nº],MOD(ROW(A370)-1,TotalEtapas)+1))</f>
        <v>10</v>
      </c>
      <c r="D371" t="str">
        <f>IFERROR(VLOOKUP(tbEscolas[[#This Row],[COD ETPA]],tbEtapas[],2,FALSE),"")</f>
        <v>6º ANO</v>
      </c>
      <c r="E371" t="str">
        <f>IFERROR(VLOOKUP(tbEscolas[[#This Row],[COD ETPA]],tbEtapas[],3,FALSE),"")</f>
        <v>FUNDAMENTAL</v>
      </c>
      <c r="F371" t="s">
        <v>125</v>
      </c>
    </row>
    <row r="372" spans="1:6" x14ac:dyDescent="0.25">
      <c r="A372" t="str" cm="1">
        <f t="array" ref="A372">IFERROR(INDEX(tbNucleo[ESCOLA],ROUNDUP(ROW(A371)/TotalEtapas,0)),"")</f>
        <v>EM VILA REAL</v>
      </c>
      <c r="B372" t="str">
        <f>IFERROR(VLOOKUP(A372,tbNucleo[],2,FALSE),"")</f>
        <v>URBANO</v>
      </c>
      <c r="C372" cm="1">
        <f t="array" ref="C372">IF(A372="","",INDEX(tbEtapas[Nº],MOD(ROW(A371)-1,TotalEtapas)+1))</f>
        <v>11</v>
      </c>
      <c r="D372" t="str">
        <f>IFERROR(VLOOKUP(tbEscolas[[#This Row],[COD ETPA]],tbEtapas[],2,FALSE),"")</f>
        <v>7º ANO</v>
      </c>
      <c r="E372" t="str">
        <f>IFERROR(VLOOKUP(tbEscolas[[#This Row],[COD ETPA]],tbEtapas[],3,FALSE),"")</f>
        <v>FUNDAMENTAL</v>
      </c>
      <c r="F372" t="s">
        <v>125</v>
      </c>
    </row>
    <row r="373" spans="1:6" x14ac:dyDescent="0.25">
      <c r="A373" t="str" cm="1">
        <f t="array" ref="A373">IFERROR(INDEX(tbNucleo[ESCOLA],ROUNDUP(ROW(A372)/TotalEtapas,0)),"")</f>
        <v>EM VILA REAL</v>
      </c>
      <c r="B373" t="str">
        <f>IFERROR(VLOOKUP(A373,tbNucleo[],2,FALSE),"")</f>
        <v>URBANO</v>
      </c>
      <c r="C373" cm="1">
        <f t="array" ref="C373">IF(A373="","",INDEX(tbEtapas[Nº],MOD(ROW(A372)-1,TotalEtapas)+1))</f>
        <v>12</v>
      </c>
      <c r="D373" t="str">
        <f>IFERROR(VLOOKUP(tbEscolas[[#This Row],[COD ETPA]],tbEtapas[],2,FALSE),"")</f>
        <v>8º ANO</v>
      </c>
      <c r="E373" t="str">
        <f>IFERROR(VLOOKUP(tbEscolas[[#This Row],[COD ETPA]],tbEtapas[],3,FALSE),"")</f>
        <v>FUNDAMENTAL</v>
      </c>
      <c r="F373" t="s">
        <v>125</v>
      </c>
    </row>
    <row r="374" spans="1:6" x14ac:dyDescent="0.25">
      <c r="A374" t="str" cm="1">
        <f t="array" ref="A374">IFERROR(INDEX(tbNucleo[ESCOLA],ROUNDUP(ROW(A373)/TotalEtapas,0)),"")</f>
        <v>EM VILA REAL</v>
      </c>
      <c r="B374" t="str">
        <f>IFERROR(VLOOKUP(A374,tbNucleo[],2,FALSE),"")</f>
        <v>URBANO</v>
      </c>
      <c r="C374" cm="1">
        <f t="array" ref="C374">IF(A374="","",INDEX(tbEtapas[Nº],MOD(ROW(A373)-1,TotalEtapas)+1))</f>
        <v>13</v>
      </c>
      <c r="D374" t="str">
        <f>IFERROR(VLOOKUP(tbEscolas[[#This Row],[COD ETPA]],tbEtapas[],2,FALSE),"")</f>
        <v>9º ANO</v>
      </c>
      <c r="E374" t="str">
        <f>IFERROR(VLOOKUP(tbEscolas[[#This Row],[COD ETPA]],tbEtapas[],3,FALSE),"")</f>
        <v>FUNDAMENTAL</v>
      </c>
      <c r="F374" t="s">
        <v>125</v>
      </c>
    </row>
    <row r="375" spans="1:6" x14ac:dyDescent="0.25">
      <c r="A375" t="str" cm="1">
        <f t="array" ref="A375">IFERROR(INDEX(tbNucleo[ESCOLA],ROUNDUP(ROW(A374)/TotalEtapas,0)),"")</f>
        <v>EM VILA REAL</v>
      </c>
      <c r="B375" t="str">
        <f>IFERROR(VLOOKUP(A375,tbNucleo[],2,FALSE),"")</f>
        <v>URBANO</v>
      </c>
      <c r="C375" cm="1">
        <f t="array" ref="C375">IF(A375="","",INDEX(tbEtapas[Nº],MOD(ROW(A374)-1,TotalEtapas)+1))</f>
        <v>14</v>
      </c>
      <c r="D375" t="str">
        <f>IFERROR(VLOOKUP(tbEscolas[[#This Row],[COD ETPA]],tbEtapas[],2,FALSE),"")</f>
        <v>1º ANO</v>
      </c>
      <c r="E375" t="str">
        <f>IFERROR(VLOOKUP(tbEscolas[[#This Row],[COD ETPA]],tbEtapas[],3,FALSE),"")</f>
        <v>ENSINO MÉDIO</v>
      </c>
      <c r="F375" t="s">
        <v>125</v>
      </c>
    </row>
    <row r="376" spans="1:6" x14ac:dyDescent="0.25">
      <c r="A376" t="str" cm="1">
        <f t="array" ref="A376">IFERROR(INDEX(tbNucleo[ESCOLA],ROUNDUP(ROW(A375)/TotalEtapas,0)),"")</f>
        <v>EM VILA REAL</v>
      </c>
      <c r="B376" t="str">
        <f>IFERROR(VLOOKUP(A376,tbNucleo[],2,FALSE),"")</f>
        <v>URBANO</v>
      </c>
      <c r="C376" cm="1">
        <f t="array" ref="C376">IF(A376="","",INDEX(tbEtapas[Nº],MOD(ROW(A375)-1,TotalEtapas)+1))</f>
        <v>15</v>
      </c>
      <c r="D376" t="str">
        <f>IFERROR(VLOOKUP(tbEscolas[[#This Row],[COD ETPA]],tbEtapas[],2,FALSE),"")</f>
        <v>2º ANO</v>
      </c>
      <c r="E376" t="str">
        <f>IFERROR(VLOOKUP(tbEscolas[[#This Row],[COD ETPA]],tbEtapas[],3,FALSE),"")</f>
        <v>ENSINO MÉDIO</v>
      </c>
      <c r="F376" t="s">
        <v>125</v>
      </c>
    </row>
    <row r="377" spans="1:6" x14ac:dyDescent="0.25">
      <c r="A377" t="str" cm="1">
        <f t="array" ref="A377">IFERROR(INDEX(tbNucleo[ESCOLA],ROUNDUP(ROW(A376)/TotalEtapas,0)),"")</f>
        <v>EM VILA REAL</v>
      </c>
      <c r="B377" t="str">
        <f>IFERROR(VLOOKUP(A377,tbNucleo[],2,FALSE),"")</f>
        <v>URBANO</v>
      </c>
      <c r="C377" cm="1">
        <f t="array" ref="C377">IF(A377="","",INDEX(tbEtapas[Nº],MOD(ROW(A376)-1,TotalEtapas)+1))</f>
        <v>16</v>
      </c>
      <c r="D377" t="str">
        <f>IFERROR(VLOOKUP(tbEscolas[[#This Row],[COD ETPA]],tbEtapas[],2,FALSE),"")</f>
        <v>3º ANO</v>
      </c>
      <c r="E377" t="str">
        <f>IFERROR(VLOOKUP(tbEscolas[[#This Row],[COD ETPA]],tbEtapas[],3,FALSE),"")</f>
        <v>ENSINO MÉDIO</v>
      </c>
      <c r="F377" t="s">
        <v>125</v>
      </c>
    </row>
    <row r="378" spans="1:6" x14ac:dyDescent="0.25">
      <c r="A378" t="str" cm="1">
        <f t="array" ref="A378">IFERROR(INDEX(tbNucleo[ESCOLA],ROUNDUP(ROW(A377)/TotalEtapas,0)),"")</f>
        <v>EM VILA REAL</v>
      </c>
      <c r="B378" t="str">
        <f>IFERROR(VLOOKUP(A378,tbNucleo[],2,FALSE),"")</f>
        <v>URBANO</v>
      </c>
      <c r="C378" cm="1">
        <f t="array" ref="C378">IF(A378="","",INDEX(tbEtapas[Nº],MOD(ROW(A377)-1,TotalEtapas)+1))</f>
        <v>17</v>
      </c>
      <c r="D378" t="str">
        <f>IFERROR(VLOOKUP(tbEscolas[[#This Row],[COD ETPA]],tbEtapas[],2,FALSE),"")</f>
        <v>EJA I</v>
      </c>
      <c r="E378" t="str">
        <f>IFERROR(VLOOKUP(tbEscolas[[#This Row],[COD ETPA]],tbEtapas[],3,FALSE),"")</f>
        <v>FUNDAMENTAL</v>
      </c>
      <c r="F378" t="s">
        <v>125</v>
      </c>
    </row>
    <row r="379" spans="1:6" x14ac:dyDescent="0.25">
      <c r="A379" t="str" cm="1">
        <f t="array" ref="A379">IFERROR(INDEX(tbNucleo[ESCOLA],ROUNDUP(ROW(A378)/TotalEtapas,0)),"")</f>
        <v>EM VILA REAL</v>
      </c>
      <c r="B379" t="str">
        <f>IFERROR(VLOOKUP(A379,tbNucleo[],2,FALSE),"")</f>
        <v>URBANO</v>
      </c>
      <c r="C379" cm="1">
        <f t="array" ref="C379">IF(A379="","",INDEX(tbEtapas[Nº],MOD(ROW(A378)-1,TotalEtapas)+1))</f>
        <v>18</v>
      </c>
      <c r="D379" t="str">
        <f>IFERROR(VLOOKUP(tbEscolas[[#This Row],[COD ETPA]],tbEtapas[],2,FALSE),"")</f>
        <v>EJA II</v>
      </c>
      <c r="E379" t="str">
        <f>IFERROR(VLOOKUP(tbEscolas[[#This Row],[COD ETPA]],tbEtapas[],3,FALSE),"")</f>
        <v>ENSINO MÉDIO</v>
      </c>
      <c r="F379" t="s">
        <v>125</v>
      </c>
    </row>
    <row r="380" spans="1:6" x14ac:dyDescent="0.25">
      <c r="A380" t="str" cm="1">
        <f t="array" ref="A380">IFERROR(INDEX(tbNucleo[ESCOLA],ROUNDUP(ROW(A379)/TotalEtapas,0)),"")</f>
        <v>EMEI BRINCANDO E APRENDENDO</v>
      </c>
      <c r="B380" t="str">
        <f>IFERROR(VLOOKUP(A380,tbNucleo[],2,FALSE),"")</f>
        <v>URBANO</v>
      </c>
      <c r="C380" cm="1">
        <f t="array" ref="C380">IF(A380="","",INDEX(tbEtapas[Nº],MOD(ROW(A379)-1,TotalEtapas)+1))</f>
        <v>1</v>
      </c>
      <c r="D380" t="str">
        <f>IFERROR(VLOOKUP(tbEscolas[[#This Row],[COD ETPA]],tbEtapas[],2,FALSE),"")</f>
        <v>CRECHE I</v>
      </c>
      <c r="E380" t="str">
        <f>IFERROR(VLOOKUP(tbEscolas[[#This Row],[COD ETPA]],tbEtapas[],3,FALSE),"")</f>
        <v>EDUCAÇÃO INFANTIL</v>
      </c>
      <c r="F380" t="s">
        <v>126</v>
      </c>
    </row>
    <row r="381" spans="1:6" x14ac:dyDescent="0.25">
      <c r="A381" t="str" cm="1">
        <f t="array" ref="A381">IFERROR(INDEX(tbNucleo[ESCOLA],ROUNDUP(ROW(A380)/TotalEtapas,0)),"")</f>
        <v>EMEI BRINCANDO E APRENDENDO</v>
      </c>
      <c r="B381" t="str">
        <f>IFERROR(VLOOKUP(A381,tbNucleo[],2,FALSE),"")</f>
        <v>URBANO</v>
      </c>
      <c r="C381" cm="1">
        <f t="array" ref="C381">IF(A381="","",INDEX(tbEtapas[Nº],MOD(ROW(A380)-1,TotalEtapas)+1))</f>
        <v>2</v>
      </c>
      <c r="D381" t="str">
        <f>IFERROR(VLOOKUP(tbEscolas[[#This Row],[COD ETPA]],tbEtapas[],2,FALSE),"")</f>
        <v>CRECHE II</v>
      </c>
      <c r="E381" t="str">
        <f>IFERROR(VLOOKUP(tbEscolas[[#This Row],[COD ETPA]],tbEtapas[],3,FALSE),"")</f>
        <v>EDUCAÇÃO INFANTIL</v>
      </c>
      <c r="F381" t="s">
        <v>126</v>
      </c>
    </row>
    <row r="382" spans="1:6" x14ac:dyDescent="0.25">
      <c r="A382" t="str" cm="1">
        <f t="array" ref="A382">IFERROR(INDEX(tbNucleo[ESCOLA],ROUNDUP(ROW(A381)/TotalEtapas,0)),"")</f>
        <v>EMEI BRINCANDO E APRENDENDO</v>
      </c>
      <c r="B382" t="str">
        <f>IFERROR(VLOOKUP(A382,tbNucleo[],2,FALSE),"")</f>
        <v>URBANO</v>
      </c>
      <c r="C382" cm="1">
        <f t="array" ref="C382">IF(A382="","",INDEX(tbEtapas[Nº],MOD(ROW(A381)-1,TotalEtapas)+1))</f>
        <v>3</v>
      </c>
      <c r="D382" t="str">
        <f>IFERROR(VLOOKUP(tbEscolas[[#This Row],[COD ETPA]],tbEtapas[],2,FALSE),"")</f>
        <v>PRE I</v>
      </c>
      <c r="E382" t="str">
        <f>IFERROR(VLOOKUP(tbEscolas[[#This Row],[COD ETPA]],tbEtapas[],3,FALSE),"")</f>
        <v>EDUCAÇÃO INFANTIL</v>
      </c>
      <c r="F382" t="s">
        <v>126</v>
      </c>
    </row>
    <row r="383" spans="1:6" x14ac:dyDescent="0.25">
      <c r="A383" t="str" cm="1">
        <f t="array" ref="A383">IFERROR(INDEX(tbNucleo[ESCOLA],ROUNDUP(ROW(A382)/TotalEtapas,0)),"")</f>
        <v>EMEI BRINCANDO E APRENDENDO</v>
      </c>
      <c r="B383" t="str">
        <f>IFERROR(VLOOKUP(A383,tbNucleo[],2,FALSE),"")</f>
        <v>URBANO</v>
      </c>
      <c r="C383" cm="1">
        <f t="array" ref="C383">IF(A383="","",INDEX(tbEtapas[Nº],MOD(ROW(A382)-1,TotalEtapas)+1))</f>
        <v>4</v>
      </c>
      <c r="D383" t="str">
        <f>IFERROR(VLOOKUP(tbEscolas[[#This Row],[COD ETPA]],tbEtapas[],2,FALSE),"")</f>
        <v>PRE II</v>
      </c>
      <c r="E383" t="str">
        <f>IFERROR(VLOOKUP(tbEscolas[[#This Row],[COD ETPA]],tbEtapas[],3,FALSE),"")</f>
        <v>EDUCAÇÃO INFANTIL</v>
      </c>
      <c r="F383" t="s">
        <v>126</v>
      </c>
    </row>
    <row r="384" spans="1:6" x14ac:dyDescent="0.25">
      <c r="A384" t="str" cm="1">
        <f t="array" ref="A384">IFERROR(INDEX(tbNucleo[ESCOLA],ROUNDUP(ROW(A383)/TotalEtapas,0)),"")</f>
        <v>EMEI BRINCANDO E APRENDENDO</v>
      </c>
      <c r="B384" t="str">
        <f>IFERROR(VLOOKUP(A384,tbNucleo[],2,FALSE),"")</f>
        <v>URBANO</v>
      </c>
      <c r="C384" cm="1">
        <f t="array" ref="C384">IF(A384="","",INDEX(tbEtapas[Nº],MOD(ROW(A383)-1,TotalEtapas)+1))</f>
        <v>5</v>
      </c>
      <c r="D384" t="str">
        <f>IFERROR(VLOOKUP(tbEscolas[[#This Row],[COD ETPA]],tbEtapas[],2,FALSE),"")</f>
        <v>1º ANO</v>
      </c>
      <c r="E384" t="str">
        <f>IFERROR(VLOOKUP(tbEscolas[[#This Row],[COD ETPA]],tbEtapas[],3,FALSE),"")</f>
        <v>FUNDAMENTAL</v>
      </c>
      <c r="F384" t="s">
        <v>125</v>
      </c>
    </row>
    <row r="385" spans="1:6" x14ac:dyDescent="0.25">
      <c r="A385" t="str" cm="1">
        <f t="array" ref="A385">IFERROR(INDEX(tbNucleo[ESCOLA],ROUNDUP(ROW(A384)/TotalEtapas,0)),"")</f>
        <v>EMEI BRINCANDO E APRENDENDO</v>
      </c>
      <c r="B385" t="str">
        <f>IFERROR(VLOOKUP(A385,tbNucleo[],2,FALSE),"")</f>
        <v>URBANO</v>
      </c>
      <c r="C385" cm="1">
        <f t="array" ref="C385">IF(A385="","",INDEX(tbEtapas[Nº],MOD(ROW(A384)-1,TotalEtapas)+1))</f>
        <v>6</v>
      </c>
      <c r="D385" t="str">
        <f>IFERROR(VLOOKUP(tbEscolas[[#This Row],[COD ETPA]],tbEtapas[],2,FALSE),"")</f>
        <v>2º ANO</v>
      </c>
      <c r="E385" t="str">
        <f>IFERROR(VLOOKUP(tbEscolas[[#This Row],[COD ETPA]],tbEtapas[],3,FALSE),"")</f>
        <v>FUNDAMENTAL</v>
      </c>
      <c r="F385" t="s">
        <v>125</v>
      </c>
    </row>
    <row r="386" spans="1:6" x14ac:dyDescent="0.25">
      <c r="A386" t="str" cm="1">
        <f t="array" ref="A386">IFERROR(INDEX(tbNucleo[ESCOLA],ROUNDUP(ROW(A385)/TotalEtapas,0)),"")</f>
        <v>EMEI BRINCANDO E APRENDENDO</v>
      </c>
      <c r="B386" t="str">
        <f>IFERROR(VLOOKUP(A386,tbNucleo[],2,FALSE),"")</f>
        <v>URBANO</v>
      </c>
      <c r="C386" cm="1">
        <f t="array" ref="C386">IF(A386="","",INDEX(tbEtapas[Nº],MOD(ROW(A385)-1,TotalEtapas)+1))</f>
        <v>7</v>
      </c>
      <c r="D386" t="str">
        <f>IFERROR(VLOOKUP(tbEscolas[[#This Row],[COD ETPA]],tbEtapas[],2,FALSE),"")</f>
        <v>3º ANO</v>
      </c>
      <c r="E386" t="str">
        <f>IFERROR(VLOOKUP(tbEscolas[[#This Row],[COD ETPA]],tbEtapas[],3,FALSE),"")</f>
        <v>FUNDAMENTAL</v>
      </c>
      <c r="F386" t="s">
        <v>125</v>
      </c>
    </row>
    <row r="387" spans="1:6" x14ac:dyDescent="0.25">
      <c r="A387" t="str" cm="1">
        <f t="array" ref="A387">IFERROR(INDEX(tbNucleo[ESCOLA],ROUNDUP(ROW(A386)/TotalEtapas,0)),"")</f>
        <v>EMEI BRINCANDO E APRENDENDO</v>
      </c>
      <c r="B387" t="str">
        <f>IFERROR(VLOOKUP(A387,tbNucleo[],2,FALSE),"")</f>
        <v>URBANO</v>
      </c>
      <c r="C387" cm="1">
        <f t="array" ref="C387">IF(A387="","",INDEX(tbEtapas[Nº],MOD(ROW(A386)-1,TotalEtapas)+1))</f>
        <v>8</v>
      </c>
      <c r="D387" t="str">
        <f>IFERROR(VLOOKUP(tbEscolas[[#This Row],[COD ETPA]],tbEtapas[],2,FALSE),"")</f>
        <v>4º ANO</v>
      </c>
      <c r="E387" t="str">
        <f>IFERROR(VLOOKUP(tbEscolas[[#This Row],[COD ETPA]],tbEtapas[],3,FALSE),"")</f>
        <v>FUNDAMENTAL</v>
      </c>
      <c r="F387" t="s">
        <v>125</v>
      </c>
    </row>
    <row r="388" spans="1:6" x14ac:dyDescent="0.25">
      <c r="A388" t="str" cm="1">
        <f t="array" ref="A388">IFERROR(INDEX(tbNucleo[ESCOLA],ROUNDUP(ROW(A387)/TotalEtapas,0)),"")</f>
        <v>EMEI BRINCANDO E APRENDENDO</v>
      </c>
      <c r="B388" t="str">
        <f>IFERROR(VLOOKUP(A388,tbNucleo[],2,FALSE),"")</f>
        <v>URBANO</v>
      </c>
      <c r="C388" cm="1">
        <f t="array" ref="C388">IF(A388="","",INDEX(tbEtapas[Nº],MOD(ROW(A387)-1,TotalEtapas)+1))</f>
        <v>9</v>
      </c>
      <c r="D388" t="str">
        <f>IFERROR(VLOOKUP(tbEscolas[[#This Row],[COD ETPA]],tbEtapas[],2,FALSE),"")</f>
        <v>5º ANO</v>
      </c>
      <c r="E388" t="str">
        <f>IFERROR(VLOOKUP(tbEscolas[[#This Row],[COD ETPA]],tbEtapas[],3,FALSE),"")</f>
        <v>FUNDAMENTAL</v>
      </c>
      <c r="F388" t="s">
        <v>125</v>
      </c>
    </row>
    <row r="389" spans="1:6" x14ac:dyDescent="0.25">
      <c r="A389" t="str" cm="1">
        <f t="array" ref="A389">IFERROR(INDEX(tbNucleo[ESCOLA],ROUNDUP(ROW(A388)/TotalEtapas,0)),"")</f>
        <v>EMEI BRINCANDO E APRENDENDO</v>
      </c>
      <c r="B389" t="str">
        <f>IFERROR(VLOOKUP(A389,tbNucleo[],2,FALSE),"")</f>
        <v>URBANO</v>
      </c>
      <c r="C389" cm="1">
        <f t="array" ref="C389">IF(A389="","",INDEX(tbEtapas[Nº],MOD(ROW(A388)-1,TotalEtapas)+1))</f>
        <v>10</v>
      </c>
      <c r="D389" t="str">
        <f>IFERROR(VLOOKUP(tbEscolas[[#This Row],[COD ETPA]],tbEtapas[],2,FALSE),"")</f>
        <v>6º ANO</v>
      </c>
      <c r="E389" t="str">
        <f>IFERROR(VLOOKUP(tbEscolas[[#This Row],[COD ETPA]],tbEtapas[],3,FALSE),"")</f>
        <v>FUNDAMENTAL</v>
      </c>
      <c r="F389" t="s">
        <v>125</v>
      </c>
    </row>
    <row r="390" spans="1:6" x14ac:dyDescent="0.25">
      <c r="A390" t="str" cm="1">
        <f t="array" ref="A390">IFERROR(INDEX(tbNucleo[ESCOLA],ROUNDUP(ROW(A389)/TotalEtapas,0)),"")</f>
        <v>EMEI BRINCANDO E APRENDENDO</v>
      </c>
      <c r="B390" t="str">
        <f>IFERROR(VLOOKUP(A390,tbNucleo[],2,FALSE),"")</f>
        <v>URBANO</v>
      </c>
      <c r="C390" cm="1">
        <f t="array" ref="C390">IF(A390="","",INDEX(tbEtapas[Nº],MOD(ROW(A389)-1,TotalEtapas)+1))</f>
        <v>11</v>
      </c>
      <c r="D390" t="str">
        <f>IFERROR(VLOOKUP(tbEscolas[[#This Row],[COD ETPA]],tbEtapas[],2,FALSE),"")</f>
        <v>7º ANO</v>
      </c>
      <c r="E390" t="str">
        <f>IFERROR(VLOOKUP(tbEscolas[[#This Row],[COD ETPA]],tbEtapas[],3,FALSE),"")</f>
        <v>FUNDAMENTAL</v>
      </c>
      <c r="F390" t="s">
        <v>125</v>
      </c>
    </row>
    <row r="391" spans="1:6" x14ac:dyDescent="0.25">
      <c r="A391" t="str" cm="1">
        <f t="array" ref="A391">IFERROR(INDEX(tbNucleo[ESCOLA],ROUNDUP(ROW(A390)/TotalEtapas,0)),"")</f>
        <v>EMEI BRINCANDO E APRENDENDO</v>
      </c>
      <c r="B391" t="str">
        <f>IFERROR(VLOOKUP(A391,tbNucleo[],2,FALSE),"")</f>
        <v>URBANO</v>
      </c>
      <c r="C391" cm="1">
        <f t="array" ref="C391">IF(A391="","",INDEX(tbEtapas[Nº],MOD(ROW(A390)-1,TotalEtapas)+1))</f>
        <v>12</v>
      </c>
      <c r="D391" t="str">
        <f>IFERROR(VLOOKUP(tbEscolas[[#This Row],[COD ETPA]],tbEtapas[],2,FALSE),"")</f>
        <v>8º ANO</v>
      </c>
      <c r="E391" t="str">
        <f>IFERROR(VLOOKUP(tbEscolas[[#This Row],[COD ETPA]],tbEtapas[],3,FALSE),"")</f>
        <v>FUNDAMENTAL</v>
      </c>
      <c r="F391" t="s">
        <v>125</v>
      </c>
    </row>
    <row r="392" spans="1:6" x14ac:dyDescent="0.25">
      <c r="A392" t="str" cm="1">
        <f t="array" ref="A392">IFERROR(INDEX(tbNucleo[ESCOLA],ROUNDUP(ROW(A391)/TotalEtapas,0)),"")</f>
        <v>EMEI BRINCANDO E APRENDENDO</v>
      </c>
      <c r="B392" t="str">
        <f>IFERROR(VLOOKUP(A392,tbNucleo[],2,FALSE),"")</f>
        <v>URBANO</v>
      </c>
      <c r="C392" cm="1">
        <f t="array" ref="C392">IF(A392="","",INDEX(tbEtapas[Nº],MOD(ROW(A391)-1,TotalEtapas)+1))</f>
        <v>13</v>
      </c>
      <c r="D392" t="str">
        <f>IFERROR(VLOOKUP(tbEscolas[[#This Row],[COD ETPA]],tbEtapas[],2,FALSE),"")</f>
        <v>9º ANO</v>
      </c>
      <c r="E392" t="str">
        <f>IFERROR(VLOOKUP(tbEscolas[[#This Row],[COD ETPA]],tbEtapas[],3,FALSE),"")</f>
        <v>FUNDAMENTAL</v>
      </c>
      <c r="F392" t="s">
        <v>125</v>
      </c>
    </row>
    <row r="393" spans="1:6" x14ac:dyDescent="0.25">
      <c r="A393" t="str" cm="1">
        <f t="array" ref="A393">IFERROR(INDEX(tbNucleo[ESCOLA],ROUNDUP(ROW(A392)/TotalEtapas,0)),"")</f>
        <v>EMEI BRINCANDO E APRENDENDO</v>
      </c>
      <c r="B393" t="str">
        <f>IFERROR(VLOOKUP(A393,tbNucleo[],2,FALSE),"")</f>
        <v>URBANO</v>
      </c>
      <c r="C393" cm="1">
        <f t="array" ref="C393">IF(A393="","",INDEX(tbEtapas[Nº],MOD(ROW(A392)-1,TotalEtapas)+1))</f>
        <v>14</v>
      </c>
      <c r="D393" t="str">
        <f>IFERROR(VLOOKUP(tbEscolas[[#This Row],[COD ETPA]],tbEtapas[],2,FALSE),"")</f>
        <v>1º ANO</v>
      </c>
      <c r="E393" t="str">
        <f>IFERROR(VLOOKUP(tbEscolas[[#This Row],[COD ETPA]],tbEtapas[],3,FALSE),"")</f>
        <v>ENSINO MÉDIO</v>
      </c>
      <c r="F393" t="s">
        <v>125</v>
      </c>
    </row>
    <row r="394" spans="1:6" x14ac:dyDescent="0.25">
      <c r="A394" t="str" cm="1">
        <f t="array" ref="A394">IFERROR(INDEX(tbNucleo[ESCOLA],ROUNDUP(ROW(A393)/TotalEtapas,0)),"")</f>
        <v>EMEI BRINCANDO E APRENDENDO</v>
      </c>
      <c r="B394" t="str">
        <f>IFERROR(VLOOKUP(A394,tbNucleo[],2,FALSE),"")</f>
        <v>URBANO</v>
      </c>
      <c r="C394" cm="1">
        <f t="array" ref="C394">IF(A394="","",INDEX(tbEtapas[Nº],MOD(ROW(A393)-1,TotalEtapas)+1))</f>
        <v>15</v>
      </c>
      <c r="D394" t="str">
        <f>IFERROR(VLOOKUP(tbEscolas[[#This Row],[COD ETPA]],tbEtapas[],2,FALSE),"")</f>
        <v>2º ANO</v>
      </c>
      <c r="E394" t="str">
        <f>IFERROR(VLOOKUP(tbEscolas[[#This Row],[COD ETPA]],tbEtapas[],3,FALSE),"")</f>
        <v>ENSINO MÉDIO</v>
      </c>
      <c r="F394" t="s">
        <v>125</v>
      </c>
    </row>
    <row r="395" spans="1:6" x14ac:dyDescent="0.25">
      <c r="A395" t="str" cm="1">
        <f t="array" ref="A395">IFERROR(INDEX(tbNucleo[ESCOLA],ROUNDUP(ROW(A394)/TotalEtapas,0)),"")</f>
        <v>EMEI BRINCANDO E APRENDENDO</v>
      </c>
      <c r="B395" t="str">
        <f>IFERROR(VLOOKUP(A395,tbNucleo[],2,FALSE),"")</f>
        <v>URBANO</v>
      </c>
      <c r="C395" cm="1">
        <f t="array" ref="C395">IF(A395="","",INDEX(tbEtapas[Nº],MOD(ROW(A394)-1,TotalEtapas)+1))</f>
        <v>16</v>
      </c>
      <c r="D395" t="str">
        <f>IFERROR(VLOOKUP(tbEscolas[[#This Row],[COD ETPA]],tbEtapas[],2,FALSE),"")</f>
        <v>3º ANO</v>
      </c>
      <c r="E395" t="str">
        <f>IFERROR(VLOOKUP(tbEscolas[[#This Row],[COD ETPA]],tbEtapas[],3,FALSE),"")</f>
        <v>ENSINO MÉDIO</v>
      </c>
      <c r="F395" t="s">
        <v>125</v>
      </c>
    </row>
    <row r="396" spans="1:6" x14ac:dyDescent="0.25">
      <c r="A396" t="str" cm="1">
        <f t="array" ref="A396">IFERROR(INDEX(tbNucleo[ESCOLA],ROUNDUP(ROW(A395)/TotalEtapas,0)),"")</f>
        <v>EMEI BRINCANDO E APRENDENDO</v>
      </c>
      <c r="B396" t="str">
        <f>IFERROR(VLOOKUP(A396,tbNucleo[],2,FALSE),"")</f>
        <v>URBANO</v>
      </c>
      <c r="C396" cm="1">
        <f t="array" ref="C396">IF(A396="","",INDEX(tbEtapas[Nº],MOD(ROW(A395)-1,TotalEtapas)+1))</f>
        <v>17</v>
      </c>
      <c r="D396" t="str">
        <f>IFERROR(VLOOKUP(tbEscolas[[#This Row],[COD ETPA]],tbEtapas[],2,FALSE),"")</f>
        <v>EJA I</v>
      </c>
      <c r="E396" t="str">
        <f>IFERROR(VLOOKUP(tbEscolas[[#This Row],[COD ETPA]],tbEtapas[],3,FALSE),"")</f>
        <v>FUNDAMENTAL</v>
      </c>
      <c r="F396" t="s">
        <v>125</v>
      </c>
    </row>
    <row r="397" spans="1:6" x14ac:dyDescent="0.25">
      <c r="A397" t="str" cm="1">
        <f t="array" ref="A397">IFERROR(INDEX(tbNucleo[ESCOLA],ROUNDUP(ROW(A396)/TotalEtapas,0)),"")</f>
        <v>EMEI BRINCANDO E APRENDENDO</v>
      </c>
      <c r="B397" t="str">
        <f>IFERROR(VLOOKUP(A397,tbNucleo[],2,FALSE),"")</f>
        <v>URBANO</v>
      </c>
      <c r="C397" cm="1">
        <f t="array" ref="C397">IF(A397="","",INDEX(tbEtapas[Nº],MOD(ROW(A396)-1,TotalEtapas)+1))</f>
        <v>18</v>
      </c>
      <c r="D397" t="str">
        <f>IFERROR(VLOOKUP(tbEscolas[[#This Row],[COD ETPA]],tbEtapas[],2,FALSE),"")</f>
        <v>EJA II</v>
      </c>
      <c r="E397" t="str">
        <f>IFERROR(VLOOKUP(tbEscolas[[#This Row],[COD ETPA]],tbEtapas[],3,FALSE),"")</f>
        <v>ENSINO MÉDIO</v>
      </c>
      <c r="F397" t="s">
        <v>125</v>
      </c>
    </row>
    <row r="398" spans="1:6" x14ac:dyDescent="0.25">
      <c r="A398" t="str" cm="1">
        <f t="array" ref="A398">IFERROR(INDEX(tbNucleo[ESCOLA],ROUNDUP(ROW(A397)/TotalEtapas,0)),"")</f>
        <v>EM JARDIM PARAISO</v>
      </c>
      <c r="B398" t="str">
        <f>IFERROR(VLOOKUP(A398,tbNucleo[],2,FALSE),"")</f>
        <v>URBANO</v>
      </c>
      <c r="C398" cm="1">
        <f t="array" ref="C398">IF(A398="","",INDEX(tbEtapas[Nº],MOD(ROW(A397)-1,TotalEtapas)+1))</f>
        <v>1</v>
      </c>
      <c r="D398" t="str">
        <f>IFERROR(VLOOKUP(tbEscolas[[#This Row],[COD ETPA]],tbEtapas[],2,FALSE),"")</f>
        <v>CRECHE I</v>
      </c>
      <c r="E398" t="str">
        <f>IFERROR(VLOOKUP(tbEscolas[[#This Row],[COD ETPA]],tbEtapas[],3,FALSE),"")</f>
        <v>EDUCAÇÃO INFANTIL</v>
      </c>
      <c r="F398" t="s">
        <v>125</v>
      </c>
    </row>
    <row r="399" spans="1:6" x14ac:dyDescent="0.25">
      <c r="A399" t="str" cm="1">
        <f t="array" ref="A399">IFERROR(INDEX(tbNucleo[ESCOLA],ROUNDUP(ROW(A398)/TotalEtapas,0)),"")</f>
        <v>EM JARDIM PARAISO</v>
      </c>
      <c r="B399" t="str">
        <f>IFERROR(VLOOKUP(A399,tbNucleo[],2,FALSE),"")</f>
        <v>URBANO</v>
      </c>
      <c r="C399" cm="1">
        <f t="array" ref="C399">IF(A399="","",INDEX(tbEtapas[Nº],MOD(ROW(A398)-1,TotalEtapas)+1))</f>
        <v>2</v>
      </c>
      <c r="D399" t="str">
        <f>IFERROR(VLOOKUP(tbEscolas[[#This Row],[COD ETPA]],tbEtapas[],2,FALSE),"")</f>
        <v>CRECHE II</v>
      </c>
      <c r="E399" t="str">
        <f>IFERROR(VLOOKUP(tbEscolas[[#This Row],[COD ETPA]],tbEtapas[],3,FALSE),"")</f>
        <v>EDUCAÇÃO INFANTIL</v>
      </c>
      <c r="F399" t="s">
        <v>125</v>
      </c>
    </row>
    <row r="400" spans="1:6" x14ac:dyDescent="0.25">
      <c r="A400" t="str" cm="1">
        <f t="array" ref="A400">IFERROR(INDEX(tbNucleo[ESCOLA],ROUNDUP(ROW(A399)/TotalEtapas,0)),"")</f>
        <v>EM JARDIM PARAISO</v>
      </c>
      <c r="B400" t="str">
        <f>IFERROR(VLOOKUP(A400,tbNucleo[],2,FALSE),"")</f>
        <v>URBANO</v>
      </c>
      <c r="C400" cm="1">
        <f t="array" ref="C400">IF(A400="","",INDEX(tbEtapas[Nº],MOD(ROW(A399)-1,TotalEtapas)+1))</f>
        <v>3</v>
      </c>
      <c r="D400" t="str">
        <f>IFERROR(VLOOKUP(tbEscolas[[#This Row],[COD ETPA]],tbEtapas[],2,FALSE),"")</f>
        <v>PRE I</v>
      </c>
      <c r="E400" t="str">
        <f>IFERROR(VLOOKUP(tbEscolas[[#This Row],[COD ETPA]],tbEtapas[],3,FALSE),"")</f>
        <v>EDUCAÇÃO INFANTIL</v>
      </c>
      <c r="F400" t="s">
        <v>126</v>
      </c>
    </row>
    <row r="401" spans="1:6" x14ac:dyDescent="0.25">
      <c r="A401" t="str" cm="1">
        <f t="array" ref="A401">IFERROR(INDEX(tbNucleo[ESCOLA],ROUNDUP(ROW(A400)/TotalEtapas,0)),"")</f>
        <v>EM JARDIM PARAISO</v>
      </c>
      <c r="B401" t="str">
        <f>IFERROR(VLOOKUP(A401,tbNucleo[],2,FALSE),"")</f>
        <v>URBANO</v>
      </c>
      <c r="C401" cm="1">
        <f t="array" ref="C401">IF(A401="","",INDEX(tbEtapas[Nº],MOD(ROW(A400)-1,TotalEtapas)+1))</f>
        <v>4</v>
      </c>
      <c r="D401" t="str">
        <f>IFERROR(VLOOKUP(tbEscolas[[#This Row],[COD ETPA]],tbEtapas[],2,FALSE),"")</f>
        <v>PRE II</v>
      </c>
      <c r="E401" t="str">
        <f>IFERROR(VLOOKUP(tbEscolas[[#This Row],[COD ETPA]],tbEtapas[],3,FALSE),"")</f>
        <v>EDUCAÇÃO INFANTIL</v>
      </c>
      <c r="F401" t="s">
        <v>126</v>
      </c>
    </row>
    <row r="402" spans="1:6" x14ac:dyDescent="0.25">
      <c r="A402" t="str" cm="1">
        <f t="array" ref="A402">IFERROR(INDEX(tbNucleo[ESCOLA],ROUNDUP(ROW(A401)/TotalEtapas,0)),"")</f>
        <v>EM JARDIM PARAISO</v>
      </c>
      <c r="B402" t="str">
        <f>IFERROR(VLOOKUP(A402,tbNucleo[],2,FALSE),"")</f>
        <v>URBANO</v>
      </c>
      <c r="C402" cm="1">
        <f t="array" ref="C402">IF(A402="","",INDEX(tbEtapas[Nº],MOD(ROW(A401)-1,TotalEtapas)+1))</f>
        <v>5</v>
      </c>
      <c r="D402" t="str">
        <f>IFERROR(VLOOKUP(tbEscolas[[#This Row],[COD ETPA]],tbEtapas[],2,FALSE),"")</f>
        <v>1º ANO</v>
      </c>
      <c r="E402" t="str">
        <f>IFERROR(VLOOKUP(tbEscolas[[#This Row],[COD ETPA]],tbEtapas[],3,FALSE),"")</f>
        <v>FUNDAMENTAL</v>
      </c>
      <c r="F402" t="s">
        <v>126</v>
      </c>
    </row>
    <row r="403" spans="1:6" x14ac:dyDescent="0.25">
      <c r="A403" t="str" cm="1">
        <f t="array" ref="A403">IFERROR(INDEX(tbNucleo[ESCOLA],ROUNDUP(ROW(A402)/TotalEtapas,0)),"")</f>
        <v>EM JARDIM PARAISO</v>
      </c>
      <c r="B403" t="str">
        <f>IFERROR(VLOOKUP(A403,tbNucleo[],2,FALSE),"")</f>
        <v>URBANO</v>
      </c>
      <c r="C403" cm="1">
        <f t="array" ref="C403">IF(A403="","",INDEX(tbEtapas[Nº],MOD(ROW(A402)-1,TotalEtapas)+1))</f>
        <v>6</v>
      </c>
      <c r="D403" t="str">
        <f>IFERROR(VLOOKUP(tbEscolas[[#This Row],[COD ETPA]],tbEtapas[],2,FALSE),"")</f>
        <v>2º ANO</v>
      </c>
      <c r="E403" t="str">
        <f>IFERROR(VLOOKUP(tbEscolas[[#This Row],[COD ETPA]],tbEtapas[],3,FALSE),"")</f>
        <v>FUNDAMENTAL</v>
      </c>
      <c r="F403" t="s">
        <v>126</v>
      </c>
    </row>
    <row r="404" spans="1:6" x14ac:dyDescent="0.25">
      <c r="A404" t="str" cm="1">
        <f t="array" ref="A404">IFERROR(INDEX(tbNucleo[ESCOLA],ROUNDUP(ROW(A403)/TotalEtapas,0)),"")</f>
        <v>EM JARDIM PARAISO</v>
      </c>
      <c r="B404" t="str">
        <f>IFERROR(VLOOKUP(A404,tbNucleo[],2,FALSE),"")</f>
        <v>URBANO</v>
      </c>
      <c r="C404" cm="1">
        <f t="array" ref="C404">IF(A404="","",INDEX(tbEtapas[Nº],MOD(ROW(A403)-1,TotalEtapas)+1))</f>
        <v>7</v>
      </c>
      <c r="D404" t="str">
        <f>IFERROR(VLOOKUP(tbEscolas[[#This Row],[COD ETPA]],tbEtapas[],2,FALSE),"")</f>
        <v>3º ANO</v>
      </c>
      <c r="E404" t="str">
        <f>IFERROR(VLOOKUP(tbEscolas[[#This Row],[COD ETPA]],tbEtapas[],3,FALSE),"")</f>
        <v>FUNDAMENTAL</v>
      </c>
      <c r="F404" t="s">
        <v>126</v>
      </c>
    </row>
    <row r="405" spans="1:6" x14ac:dyDescent="0.25">
      <c r="A405" t="str" cm="1">
        <f t="array" ref="A405">IFERROR(INDEX(tbNucleo[ESCOLA],ROUNDUP(ROW(A404)/TotalEtapas,0)),"")</f>
        <v>EM JARDIM PARAISO</v>
      </c>
      <c r="B405" t="str">
        <f>IFERROR(VLOOKUP(A405,tbNucleo[],2,FALSE),"")</f>
        <v>URBANO</v>
      </c>
      <c r="C405" cm="1">
        <f t="array" ref="C405">IF(A405="","",INDEX(tbEtapas[Nº],MOD(ROW(A404)-1,TotalEtapas)+1))</f>
        <v>8</v>
      </c>
      <c r="D405" t="str">
        <f>IFERROR(VLOOKUP(tbEscolas[[#This Row],[COD ETPA]],tbEtapas[],2,FALSE),"")</f>
        <v>4º ANO</v>
      </c>
      <c r="E405" t="str">
        <f>IFERROR(VLOOKUP(tbEscolas[[#This Row],[COD ETPA]],tbEtapas[],3,FALSE),"")</f>
        <v>FUNDAMENTAL</v>
      </c>
      <c r="F405" t="s">
        <v>126</v>
      </c>
    </row>
    <row r="406" spans="1:6" x14ac:dyDescent="0.25">
      <c r="A406" t="str" cm="1">
        <f t="array" ref="A406">IFERROR(INDEX(tbNucleo[ESCOLA],ROUNDUP(ROW(A405)/TotalEtapas,0)),"")</f>
        <v>EM JARDIM PARAISO</v>
      </c>
      <c r="B406" t="str">
        <f>IFERROR(VLOOKUP(A406,tbNucleo[],2,FALSE),"")</f>
        <v>URBANO</v>
      </c>
      <c r="C406" cm="1">
        <f t="array" ref="C406">IF(A406="","",INDEX(tbEtapas[Nº],MOD(ROW(A405)-1,TotalEtapas)+1))</f>
        <v>9</v>
      </c>
      <c r="D406" t="str">
        <f>IFERROR(VLOOKUP(tbEscolas[[#This Row],[COD ETPA]],tbEtapas[],2,FALSE),"")</f>
        <v>5º ANO</v>
      </c>
      <c r="E406" t="str">
        <f>IFERROR(VLOOKUP(tbEscolas[[#This Row],[COD ETPA]],tbEtapas[],3,FALSE),"")</f>
        <v>FUNDAMENTAL</v>
      </c>
      <c r="F406" t="s">
        <v>126</v>
      </c>
    </row>
    <row r="407" spans="1:6" x14ac:dyDescent="0.25">
      <c r="A407" t="str" cm="1">
        <f t="array" ref="A407">IFERROR(INDEX(tbNucleo[ESCOLA],ROUNDUP(ROW(A406)/TotalEtapas,0)),"")</f>
        <v>EM JARDIM PARAISO</v>
      </c>
      <c r="B407" t="str">
        <f>IFERROR(VLOOKUP(A407,tbNucleo[],2,FALSE),"")</f>
        <v>URBANO</v>
      </c>
      <c r="C407" cm="1">
        <f t="array" ref="C407">IF(A407="","",INDEX(tbEtapas[Nº],MOD(ROW(A406)-1,TotalEtapas)+1))</f>
        <v>10</v>
      </c>
      <c r="D407" t="str">
        <f>IFERROR(VLOOKUP(tbEscolas[[#This Row],[COD ETPA]],tbEtapas[],2,FALSE),"")</f>
        <v>6º ANO</v>
      </c>
      <c r="E407" t="str">
        <f>IFERROR(VLOOKUP(tbEscolas[[#This Row],[COD ETPA]],tbEtapas[],3,FALSE),"")</f>
        <v>FUNDAMENTAL</v>
      </c>
      <c r="F407" t="s">
        <v>125</v>
      </c>
    </row>
    <row r="408" spans="1:6" x14ac:dyDescent="0.25">
      <c r="A408" t="str" cm="1">
        <f t="array" ref="A408">IFERROR(INDEX(tbNucleo[ESCOLA],ROUNDUP(ROW(A407)/TotalEtapas,0)),"")</f>
        <v>EM JARDIM PARAISO</v>
      </c>
      <c r="B408" t="str">
        <f>IFERROR(VLOOKUP(A408,tbNucleo[],2,FALSE),"")</f>
        <v>URBANO</v>
      </c>
      <c r="C408" cm="1">
        <f t="array" ref="C408">IF(A408="","",INDEX(tbEtapas[Nº],MOD(ROW(A407)-1,TotalEtapas)+1))</f>
        <v>11</v>
      </c>
      <c r="D408" t="str">
        <f>IFERROR(VLOOKUP(tbEscolas[[#This Row],[COD ETPA]],tbEtapas[],2,FALSE),"")</f>
        <v>7º ANO</v>
      </c>
      <c r="E408" t="str">
        <f>IFERROR(VLOOKUP(tbEscolas[[#This Row],[COD ETPA]],tbEtapas[],3,FALSE),"")</f>
        <v>FUNDAMENTAL</v>
      </c>
      <c r="F408" t="s">
        <v>125</v>
      </c>
    </row>
    <row r="409" spans="1:6" x14ac:dyDescent="0.25">
      <c r="A409" t="str" cm="1">
        <f t="array" ref="A409">IFERROR(INDEX(tbNucleo[ESCOLA],ROUNDUP(ROW(A408)/TotalEtapas,0)),"")</f>
        <v>EM JARDIM PARAISO</v>
      </c>
      <c r="B409" t="str">
        <f>IFERROR(VLOOKUP(A409,tbNucleo[],2,FALSE),"")</f>
        <v>URBANO</v>
      </c>
      <c r="C409" cm="1">
        <f t="array" ref="C409">IF(A409="","",INDEX(tbEtapas[Nº],MOD(ROW(A408)-1,TotalEtapas)+1))</f>
        <v>12</v>
      </c>
      <c r="D409" t="str">
        <f>IFERROR(VLOOKUP(tbEscolas[[#This Row],[COD ETPA]],tbEtapas[],2,FALSE),"")</f>
        <v>8º ANO</v>
      </c>
      <c r="E409" t="str">
        <f>IFERROR(VLOOKUP(tbEscolas[[#This Row],[COD ETPA]],tbEtapas[],3,FALSE),"")</f>
        <v>FUNDAMENTAL</v>
      </c>
      <c r="F409" t="s">
        <v>125</v>
      </c>
    </row>
    <row r="410" spans="1:6" x14ac:dyDescent="0.25">
      <c r="A410" t="str" cm="1">
        <f t="array" ref="A410">IFERROR(INDEX(tbNucleo[ESCOLA],ROUNDUP(ROW(A409)/TotalEtapas,0)),"")</f>
        <v>EM JARDIM PARAISO</v>
      </c>
      <c r="B410" t="str">
        <f>IFERROR(VLOOKUP(A410,tbNucleo[],2,FALSE),"")</f>
        <v>URBANO</v>
      </c>
      <c r="C410" cm="1">
        <f t="array" ref="C410">IF(A410="","",INDEX(tbEtapas[Nº],MOD(ROW(A409)-1,TotalEtapas)+1))</f>
        <v>13</v>
      </c>
      <c r="D410" t="str">
        <f>IFERROR(VLOOKUP(tbEscolas[[#This Row],[COD ETPA]],tbEtapas[],2,FALSE),"")</f>
        <v>9º ANO</v>
      </c>
      <c r="E410" t="str">
        <f>IFERROR(VLOOKUP(tbEscolas[[#This Row],[COD ETPA]],tbEtapas[],3,FALSE),"")</f>
        <v>FUNDAMENTAL</v>
      </c>
      <c r="F410" t="s">
        <v>125</v>
      </c>
    </row>
    <row r="411" spans="1:6" x14ac:dyDescent="0.25">
      <c r="A411" t="str" cm="1">
        <f t="array" ref="A411">IFERROR(INDEX(tbNucleo[ESCOLA],ROUNDUP(ROW(A410)/TotalEtapas,0)),"")</f>
        <v>EM JARDIM PARAISO</v>
      </c>
      <c r="B411" t="str">
        <f>IFERROR(VLOOKUP(A411,tbNucleo[],2,FALSE),"")</f>
        <v>URBANO</v>
      </c>
      <c r="C411" cm="1">
        <f t="array" ref="C411">IF(A411="","",INDEX(tbEtapas[Nº],MOD(ROW(A410)-1,TotalEtapas)+1))</f>
        <v>14</v>
      </c>
      <c r="D411" t="str">
        <f>IFERROR(VLOOKUP(tbEscolas[[#This Row],[COD ETPA]],tbEtapas[],2,FALSE),"")</f>
        <v>1º ANO</v>
      </c>
      <c r="E411" t="str">
        <f>IFERROR(VLOOKUP(tbEscolas[[#This Row],[COD ETPA]],tbEtapas[],3,FALSE),"")</f>
        <v>ENSINO MÉDIO</v>
      </c>
      <c r="F411" t="s">
        <v>125</v>
      </c>
    </row>
    <row r="412" spans="1:6" x14ac:dyDescent="0.25">
      <c r="A412" t="str" cm="1">
        <f t="array" ref="A412">IFERROR(INDEX(tbNucleo[ESCOLA],ROUNDUP(ROW(A411)/TotalEtapas,0)),"")</f>
        <v>EM JARDIM PARAISO</v>
      </c>
      <c r="B412" t="str">
        <f>IFERROR(VLOOKUP(A412,tbNucleo[],2,FALSE),"")</f>
        <v>URBANO</v>
      </c>
      <c r="C412" cm="1">
        <f t="array" ref="C412">IF(A412="","",INDEX(tbEtapas[Nº],MOD(ROW(A411)-1,TotalEtapas)+1))</f>
        <v>15</v>
      </c>
      <c r="D412" t="str">
        <f>IFERROR(VLOOKUP(tbEscolas[[#This Row],[COD ETPA]],tbEtapas[],2,FALSE),"")</f>
        <v>2º ANO</v>
      </c>
      <c r="E412" t="str">
        <f>IFERROR(VLOOKUP(tbEscolas[[#This Row],[COD ETPA]],tbEtapas[],3,FALSE),"")</f>
        <v>ENSINO MÉDIO</v>
      </c>
      <c r="F412" t="s">
        <v>125</v>
      </c>
    </row>
    <row r="413" spans="1:6" x14ac:dyDescent="0.25">
      <c r="A413" t="str" cm="1">
        <f t="array" ref="A413">IFERROR(INDEX(tbNucleo[ESCOLA],ROUNDUP(ROW(A412)/TotalEtapas,0)),"")</f>
        <v>EM JARDIM PARAISO</v>
      </c>
      <c r="B413" t="str">
        <f>IFERROR(VLOOKUP(A413,tbNucleo[],2,FALSE),"")</f>
        <v>URBANO</v>
      </c>
      <c r="C413" cm="1">
        <f t="array" ref="C413">IF(A413="","",INDEX(tbEtapas[Nº],MOD(ROW(A412)-1,TotalEtapas)+1))</f>
        <v>16</v>
      </c>
      <c r="D413" t="str">
        <f>IFERROR(VLOOKUP(tbEscolas[[#This Row],[COD ETPA]],tbEtapas[],2,FALSE),"")</f>
        <v>3º ANO</v>
      </c>
      <c r="E413" t="str">
        <f>IFERROR(VLOOKUP(tbEscolas[[#This Row],[COD ETPA]],tbEtapas[],3,FALSE),"")</f>
        <v>ENSINO MÉDIO</v>
      </c>
      <c r="F413" t="s">
        <v>125</v>
      </c>
    </row>
    <row r="414" spans="1:6" x14ac:dyDescent="0.25">
      <c r="A414" t="str" cm="1">
        <f t="array" ref="A414">IFERROR(INDEX(tbNucleo[ESCOLA],ROUNDUP(ROW(A413)/TotalEtapas,0)),"")</f>
        <v>EM JARDIM PARAISO</v>
      </c>
      <c r="B414" t="str">
        <f>IFERROR(VLOOKUP(A414,tbNucleo[],2,FALSE),"")</f>
        <v>URBANO</v>
      </c>
      <c r="C414" cm="1">
        <f t="array" ref="C414">IF(A414="","",INDEX(tbEtapas[Nº],MOD(ROW(A413)-1,TotalEtapas)+1))</f>
        <v>17</v>
      </c>
      <c r="D414" t="str">
        <f>IFERROR(VLOOKUP(tbEscolas[[#This Row],[COD ETPA]],tbEtapas[],2,FALSE),"")</f>
        <v>EJA I</v>
      </c>
      <c r="E414" t="str">
        <f>IFERROR(VLOOKUP(tbEscolas[[#This Row],[COD ETPA]],tbEtapas[],3,FALSE),"")</f>
        <v>FUNDAMENTAL</v>
      </c>
      <c r="F414" t="s">
        <v>125</v>
      </c>
    </row>
    <row r="415" spans="1:6" x14ac:dyDescent="0.25">
      <c r="A415" t="str" cm="1">
        <f t="array" ref="A415">IFERROR(INDEX(tbNucleo[ESCOLA],ROUNDUP(ROW(A414)/TotalEtapas,0)),"")</f>
        <v>EM JARDIM PARAISO</v>
      </c>
      <c r="B415" t="str">
        <f>IFERROR(VLOOKUP(A415,tbNucleo[],2,FALSE),"")</f>
        <v>URBANO</v>
      </c>
      <c r="C415" cm="1">
        <f t="array" ref="C415">IF(A415="","",INDEX(tbEtapas[Nº],MOD(ROW(A414)-1,TotalEtapas)+1))</f>
        <v>18</v>
      </c>
      <c r="D415" t="str">
        <f>IFERROR(VLOOKUP(tbEscolas[[#This Row],[COD ETPA]],tbEtapas[],2,FALSE),"")</f>
        <v>EJA II</v>
      </c>
      <c r="E415" t="str">
        <f>IFERROR(VLOOKUP(tbEscolas[[#This Row],[COD ETPA]],tbEtapas[],3,FALSE),"")</f>
        <v>ENSINO MÉDIO</v>
      </c>
      <c r="F415" t="s">
        <v>125</v>
      </c>
    </row>
    <row r="416" spans="1:6" x14ac:dyDescent="0.25">
      <c r="A416" t="str" cm="1">
        <f t="array" ref="A416">IFERROR(INDEX(tbNucleo[ESCOLA],ROUNDUP(ROW(A415)/TotalEtapas,0)),"")</f>
        <v>EM RAQUEL RAMAO DA SILVA</v>
      </c>
      <c r="B416" t="str">
        <f>IFERROR(VLOOKUP(A416,tbNucleo[],2,FALSE),"")</f>
        <v>URBANO</v>
      </c>
      <c r="C416" cm="1">
        <f t="array" ref="C416">IF(A416="","",INDEX(tbEtapas[Nº],MOD(ROW(A415)-1,TotalEtapas)+1))</f>
        <v>1</v>
      </c>
      <c r="D416" t="str">
        <f>IFERROR(VLOOKUP(tbEscolas[[#This Row],[COD ETPA]],tbEtapas[],2,FALSE),"")</f>
        <v>CRECHE I</v>
      </c>
      <c r="E416" t="str">
        <f>IFERROR(VLOOKUP(tbEscolas[[#This Row],[COD ETPA]],tbEtapas[],3,FALSE),"")</f>
        <v>EDUCAÇÃO INFANTIL</v>
      </c>
      <c r="F416" t="s">
        <v>125</v>
      </c>
    </row>
    <row r="417" spans="1:6" x14ac:dyDescent="0.25">
      <c r="A417" t="str" cm="1">
        <f t="array" ref="A417">IFERROR(INDEX(tbNucleo[ESCOLA],ROUNDUP(ROW(A416)/TotalEtapas,0)),"")</f>
        <v>EM RAQUEL RAMAO DA SILVA</v>
      </c>
      <c r="B417" t="str">
        <f>IFERROR(VLOOKUP(A417,tbNucleo[],2,FALSE),"")</f>
        <v>URBANO</v>
      </c>
      <c r="C417" cm="1">
        <f t="array" ref="C417">IF(A417="","",INDEX(tbEtapas[Nº],MOD(ROW(A416)-1,TotalEtapas)+1))</f>
        <v>2</v>
      </c>
      <c r="D417" t="str">
        <f>IFERROR(VLOOKUP(tbEscolas[[#This Row],[COD ETPA]],tbEtapas[],2,FALSE),"")</f>
        <v>CRECHE II</v>
      </c>
      <c r="E417" t="str">
        <f>IFERROR(VLOOKUP(tbEscolas[[#This Row],[COD ETPA]],tbEtapas[],3,FALSE),"")</f>
        <v>EDUCAÇÃO INFANTIL</v>
      </c>
      <c r="F417" t="s">
        <v>125</v>
      </c>
    </row>
    <row r="418" spans="1:6" x14ac:dyDescent="0.25">
      <c r="A418" t="str" cm="1">
        <f t="array" ref="A418">IFERROR(INDEX(tbNucleo[ESCOLA],ROUNDUP(ROW(A417)/TotalEtapas,0)),"")</f>
        <v>EM RAQUEL RAMAO DA SILVA</v>
      </c>
      <c r="B418" t="str">
        <f>IFERROR(VLOOKUP(A418,tbNucleo[],2,FALSE),"")</f>
        <v>URBANO</v>
      </c>
      <c r="C418" cm="1">
        <f t="array" ref="C418">IF(A418="","",INDEX(tbEtapas[Nº],MOD(ROW(A417)-1,TotalEtapas)+1))</f>
        <v>3</v>
      </c>
      <c r="D418" t="str">
        <f>IFERROR(VLOOKUP(tbEscolas[[#This Row],[COD ETPA]],tbEtapas[],2,FALSE),"")</f>
        <v>PRE I</v>
      </c>
      <c r="E418" t="str">
        <f>IFERROR(VLOOKUP(tbEscolas[[#This Row],[COD ETPA]],tbEtapas[],3,FALSE),"")</f>
        <v>EDUCAÇÃO INFANTIL</v>
      </c>
      <c r="F418" t="s">
        <v>125</v>
      </c>
    </row>
    <row r="419" spans="1:6" x14ac:dyDescent="0.25">
      <c r="A419" t="str" cm="1">
        <f t="array" ref="A419">IFERROR(INDEX(tbNucleo[ESCOLA],ROUNDUP(ROW(A418)/TotalEtapas,0)),"")</f>
        <v>EM RAQUEL RAMAO DA SILVA</v>
      </c>
      <c r="B419" t="str">
        <f>IFERROR(VLOOKUP(A419,tbNucleo[],2,FALSE),"")</f>
        <v>URBANO</v>
      </c>
      <c r="C419" cm="1">
        <f t="array" ref="C419">IF(A419="","",INDEX(tbEtapas[Nº],MOD(ROW(A418)-1,TotalEtapas)+1))</f>
        <v>4</v>
      </c>
      <c r="D419" t="str">
        <f>IFERROR(VLOOKUP(tbEscolas[[#This Row],[COD ETPA]],tbEtapas[],2,FALSE),"")</f>
        <v>PRE II</v>
      </c>
      <c r="E419" t="str">
        <f>IFERROR(VLOOKUP(tbEscolas[[#This Row],[COD ETPA]],tbEtapas[],3,FALSE),"")</f>
        <v>EDUCAÇÃO INFANTIL</v>
      </c>
      <c r="F419" t="s">
        <v>125</v>
      </c>
    </row>
    <row r="420" spans="1:6" x14ac:dyDescent="0.25">
      <c r="A420" t="str" cm="1">
        <f t="array" ref="A420">IFERROR(INDEX(tbNucleo[ESCOLA],ROUNDUP(ROW(A419)/TotalEtapas,0)),"")</f>
        <v>EM RAQUEL RAMAO DA SILVA</v>
      </c>
      <c r="B420" t="str">
        <f>IFERROR(VLOOKUP(A420,tbNucleo[],2,FALSE),"")</f>
        <v>URBANO</v>
      </c>
      <c r="C420" cm="1">
        <f t="array" ref="C420">IF(A420="","",INDEX(tbEtapas[Nº],MOD(ROW(A419)-1,TotalEtapas)+1))</f>
        <v>5</v>
      </c>
      <c r="D420" t="str">
        <f>IFERROR(VLOOKUP(tbEscolas[[#This Row],[COD ETPA]],tbEtapas[],2,FALSE),"")</f>
        <v>1º ANO</v>
      </c>
      <c r="E420" t="str">
        <f>IFERROR(VLOOKUP(tbEscolas[[#This Row],[COD ETPA]],tbEtapas[],3,FALSE),"")</f>
        <v>FUNDAMENTAL</v>
      </c>
      <c r="F420" t="s">
        <v>126</v>
      </c>
    </row>
    <row r="421" spans="1:6" x14ac:dyDescent="0.25">
      <c r="A421" t="str" cm="1">
        <f t="array" ref="A421">IFERROR(INDEX(tbNucleo[ESCOLA],ROUNDUP(ROW(A420)/TotalEtapas,0)),"")</f>
        <v>EM RAQUEL RAMAO DA SILVA</v>
      </c>
      <c r="B421" t="str">
        <f>IFERROR(VLOOKUP(A421,tbNucleo[],2,FALSE),"")</f>
        <v>URBANO</v>
      </c>
      <c r="C421" cm="1">
        <f t="array" ref="C421">IF(A421="","",INDEX(tbEtapas[Nº],MOD(ROW(A420)-1,TotalEtapas)+1))</f>
        <v>6</v>
      </c>
      <c r="D421" t="str">
        <f>IFERROR(VLOOKUP(tbEscolas[[#This Row],[COD ETPA]],tbEtapas[],2,FALSE),"")</f>
        <v>2º ANO</v>
      </c>
      <c r="E421" t="str">
        <f>IFERROR(VLOOKUP(tbEscolas[[#This Row],[COD ETPA]],tbEtapas[],3,FALSE),"")</f>
        <v>FUNDAMENTAL</v>
      </c>
      <c r="F421" t="s">
        <v>126</v>
      </c>
    </row>
    <row r="422" spans="1:6" x14ac:dyDescent="0.25">
      <c r="A422" t="str" cm="1">
        <f t="array" ref="A422">IFERROR(INDEX(tbNucleo[ESCOLA],ROUNDUP(ROW(A421)/TotalEtapas,0)),"")</f>
        <v>EM RAQUEL RAMAO DA SILVA</v>
      </c>
      <c r="B422" t="str">
        <f>IFERROR(VLOOKUP(A422,tbNucleo[],2,FALSE),"")</f>
        <v>URBANO</v>
      </c>
      <c r="C422" cm="1">
        <f t="array" ref="C422">IF(A422="","",INDEX(tbEtapas[Nº],MOD(ROW(A421)-1,TotalEtapas)+1))</f>
        <v>7</v>
      </c>
      <c r="D422" t="str">
        <f>IFERROR(VLOOKUP(tbEscolas[[#This Row],[COD ETPA]],tbEtapas[],2,FALSE),"")</f>
        <v>3º ANO</v>
      </c>
      <c r="E422" t="str">
        <f>IFERROR(VLOOKUP(tbEscolas[[#This Row],[COD ETPA]],tbEtapas[],3,FALSE),"")</f>
        <v>FUNDAMENTAL</v>
      </c>
      <c r="F422" t="s">
        <v>126</v>
      </c>
    </row>
    <row r="423" spans="1:6" x14ac:dyDescent="0.25">
      <c r="A423" t="str" cm="1">
        <f t="array" ref="A423">IFERROR(INDEX(tbNucleo[ESCOLA],ROUNDUP(ROW(A422)/TotalEtapas,0)),"")</f>
        <v>EM RAQUEL RAMAO DA SILVA</v>
      </c>
      <c r="B423" t="str">
        <f>IFERROR(VLOOKUP(A423,tbNucleo[],2,FALSE),"")</f>
        <v>URBANO</v>
      </c>
      <c r="C423" cm="1">
        <f t="array" ref="C423">IF(A423="","",INDEX(tbEtapas[Nº],MOD(ROW(A422)-1,TotalEtapas)+1))</f>
        <v>8</v>
      </c>
      <c r="D423" t="str">
        <f>IFERROR(VLOOKUP(tbEscolas[[#This Row],[COD ETPA]],tbEtapas[],2,FALSE),"")</f>
        <v>4º ANO</v>
      </c>
      <c r="E423" t="str">
        <f>IFERROR(VLOOKUP(tbEscolas[[#This Row],[COD ETPA]],tbEtapas[],3,FALSE),"")</f>
        <v>FUNDAMENTAL</v>
      </c>
      <c r="F423" t="s">
        <v>126</v>
      </c>
    </row>
    <row r="424" spans="1:6" x14ac:dyDescent="0.25">
      <c r="A424" t="str" cm="1">
        <f t="array" ref="A424">IFERROR(INDEX(tbNucleo[ESCOLA],ROUNDUP(ROW(A423)/TotalEtapas,0)),"")</f>
        <v>EM RAQUEL RAMAO DA SILVA</v>
      </c>
      <c r="B424" t="str">
        <f>IFERROR(VLOOKUP(A424,tbNucleo[],2,FALSE),"")</f>
        <v>URBANO</v>
      </c>
      <c r="C424" cm="1">
        <f t="array" ref="C424">IF(A424="","",INDEX(tbEtapas[Nº],MOD(ROW(A423)-1,TotalEtapas)+1))</f>
        <v>9</v>
      </c>
      <c r="D424" t="str">
        <f>IFERROR(VLOOKUP(tbEscolas[[#This Row],[COD ETPA]],tbEtapas[],2,FALSE),"")</f>
        <v>5º ANO</v>
      </c>
      <c r="E424" t="str">
        <f>IFERROR(VLOOKUP(tbEscolas[[#This Row],[COD ETPA]],tbEtapas[],3,FALSE),"")</f>
        <v>FUNDAMENTAL</v>
      </c>
      <c r="F424" t="s">
        <v>126</v>
      </c>
    </row>
    <row r="425" spans="1:6" x14ac:dyDescent="0.25">
      <c r="A425" t="str" cm="1">
        <f t="array" ref="A425">IFERROR(INDEX(tbNucleo[ESCOLA],ROUNDUP(ROW(A424)/TotalEtapas,0)),"")</f>
        <v>EM RAQUEL RAMAO DA SILVA</v>
      </c>
      <c r="B425" t="str">
        <f>IFERROR(VLOOKUP(A425,tbNucleo[],2,FALSE),"")</f>
        <v>URBANO</v>
      </c>
      <c r="C425" cm="1">
        <f t="array" ref="C425">IF(A425="","",INDEX(tbEtapas[Nº],MOD(ROW(A424)-1,TotalEtapas)+1))</f>
        <v>10</v>
      </c>
      <c r="D425" t="str">
        <f>IFERROR(VLOOKUP(tbEscolas[[#This Row],[COD ETPA]],tbEtapas[],2,FALSE),"")</f>
        <v>6º ANO</v>
      </c>
      <c r="E425" t="str">
        <f>IFERROR(VLOOKUP(tbEscolas[[#This Row],[COD ETPA]],tbEtapas[],3,FALSE),"")</f>
        <v>FUNDAMENTAL</v>
      </c>
      <c r="F425" t="s">
        <v>125</v>
      </c>
    </row>
    <row r="426" spans="1:6" x14ac:dyDescent="0.25">
      <c r="A426" t="str" cm="1">
        <f t="array" ref="A426">IFERROR(INDEX(tbNucleo[ESCOLA],ROUNDUP(ROW(A425)/TotalEtapas,0)),"")</f>
        <v>EM RAQUEL RAMAO DA SILVA</v>
      </c>
      <c r="B426" t="str">
        <f>IFERROR(VLOOKUP(A426,tbNucleo[],2,FALSE),"")</f>
        <v>URBANO</v>
      </c>
      <c r="C426" cm="1">
        <f t="array" ref="C426">IF(A426="","",INDEX(tbEtapas[Nº],MOD(ROW(A425)-1,TotalEtapas)+1))</f>
        <v>11</v>
      </c>
      <c r="D426" t="str">
        <f>IFERROR(VLOOKUP(tbEscolas[[#This Row],[COD ETPA]],tbEtapas[],2,FALSE),"")</f>
        <v>7º ANO</v>
      </c>
      <c r="E426" t="str">
        <f>IFERROR(VLOOKUP(tbEscolas[[#This Row],[COD ETPA]],tbEtapas[],3,FALSE),"")</f>
        <v>FUNDAMENTAL</v>
      </c>
      <c r="F426" t="s">
        <v>125</v>
      </c>
    </row>
    <row r="427" spans="1:6" x14ac:dyDescent="0.25">
      <c r="A427" t="str" cm="1">
        <f t="array" ref="A427">IFERROR(INDEX(tbNucleo[ESCOLA],ROUNDUP(ROW(A426)/TotalEtapas,0)),"")</f>
        <v>EM RAQUEL RAMAO DA SILVA</v>
      </c>
      <c r="B427" t="str">
        <f>IFERROR(VLOOKUP(A427,tbNucleo[],2,FALSE),"")</f>
        <v>URBANO</v>
      </c>
      <c r="C427" cm="1">
        <f t="array" ref="C427">IF(A427="","",INDEX(tbEtapas[Nº],MOD(ROW(A426)-1,TotalEtapas)+1))</f>
        <v>12</v>
      </c>
      <c r="D427" t="str">
        <f>IFERROR(VLOOKUP(tbEscolas[[#This Row],[COD ETPA]],tbEtapas[],2,FALSE),"")</f>
        <v>8º ANO</v>
      </c>
      <c r="E427" t="str">
        <f>IFERROR(VLOOKUP(tbEscolas[[#This Row],[COD ETPA]],tbEtapas[],3,FALSE),"")</f>
        <v>FUNDAMENTAL</v>
      </c>
      <c r="F427" t="s">
        <v>125</v>
      </c>
    </row>
    <row r="428" spans="1:6" x14ac:dyDescent="0.25">
      <c r="A428" t="str" cm="1">
        <f t="array" ref="A428">IFERROR(INDEX(tbNucleo[ESCOLA],ROUNDUP(ROW(A427)/TotalEtapas,0)),"")</f>
        <v>EM RAQUEL RAMAO DA SILVA</v>
      </c>
      <c r="B428" t="str">
        <f>IFERROR(VLOOKUP(A428,tbNucleo[],2,FALSE),"")</f>
        <v>URBANO</v>
      </c>
      <c r="C428" cm="1">
        <f t="array" ref="C428">IF(A428="","",INDEX(tbEtapas[Nº],MOD(ROW(A427)-1,TotalEtapas)+1))</f>
        <v>13</v>
      </c>
      <c r="D428" t="str">
        <f>IFERROR(VLOOKUP(tbEscolas[[#This Row],[COD ETPA]],tbEtapas[],2,FALSE),"")</f>
        <v>9º ANO</v>
      </c>
      <c r="E428" t="str">
        <f>IFERROR(VLOOKUP(tbEscolas[[#This Row],[COD ETPA]],tbEtapas[],3,FALSE),"")</f>
        <v>FUNDAMENTAL</v>
      </c>
      <c r="F428" t="s">
        <v>125</v>
      </c>
    </row>
    <row r="429" spans="1:6" x14ac:dyDescent="0.25">
      <c r="A429" t="str" cm="1">
        <f t="array" ref="A429">IFERROR(INDEX(tbNucleo[ESCOLA],ROUNDUP(ROW(A428)/TotalEtapas,0)),"")</f>
        <v>EM RAQUEL RAMAO DA SILVA</v>
      </c>
      <c r="B429" t="str">
        <f>IFERROR(VLOOKUP(A429,tbNucleo[],2,FALSE),"")</f>
        <v>URBANO</v>
      </c>
      <c r="C429" cm="1">
        <f t="array" ref="C429">IF(A429="","",INDEX(tbEtapas[Nº],MOD(ROW(A428)-1,TotalEtapas)+1))</f>
        <v>14</v>
      </c>
      <c r="D429" t="str">
        <f>IFERROR(VLOOKUP(tbEscolas[[#This Row],[COD ETPA]],tbEtapas[],2,FALSE),"")</f>
        <v>1º ANO</v>
      </c>
      <c r="E429" t="str">
        <f>IFERROR(VLOOKUP(tbEscolas[[#This Row],[COD ETPA]],tbEtapas[],3,FALSE),"")</f>
        <v>ENSINO MÉDIO</v>
      </c>
      <c r="F429" t="s">
        <v>125</v>
      </c>
    </row>
    <row r="430" spans="1:6" x14ac:dyDescent="0.25">
      <c r="A430" t="str" cm="1">
        <f t="array" ref="A430">IFERROR(INDEX(tbNucleo[ESCOLA],ROUNDUP(ROW(A429)/TotalEtapas,0)),"")</f>
        <v>EM RAQUEL RAMAO DA SILVA</v>
      </c>
      <c r="B430" t="str">
        <f>IFERROR(VLOOKUP(A430,tbNucleo[],2,FALSE),"")</f>
        <v>URBANO</v>
      </c>
      <c r="C430" cm="1">
        <f t="array" ref="C430">IF(A430="","",INDEX(tbEtapas[Nº],MOD(ROW(A429)-1,TotalEtapas)+1))</f>
        <v>15</v>
      </c>
      <c r="D430" t="str">
        <f>IFERROR(VLOOKUP(tbEscolas[[#This Row],[COD ETPA]],tbEtapas[],2,FALSE),"")</f>
        <v>2º ANO</v>
      </c>
      <c r="E430" t="str">
        <f>IFERROR(VLOOKUP(tbEscolas[[#This Row],[COD ETPA]],tbEtapas[],3,FALSE),"")</f>
        <v>ENSINO MÉDIO</v>
      </c>
      <c r="F430" t="s">
        <v>125</v>
      </c>
    </row>
    <row r="431" spans="1:6" x14ac:dyDescent="0.25">
      <c r="A431" t="str" cm="1">
        <f t="array" ref="A431">IFERROR(INDEX(tbNucleo[ESCOLA],ROUNDUP(ROW(A430)/TotalEtapas,0)),"")</f>
        <v>EM RAQUEL RAMAO DA SILVA</v>
      </c>
      <c r="B431" t="str">
        <f>IFERROR(VLOOKUP(A431,tbNucleo[],2,FALSE),"")</f>
        <v>URBANO</v>
      </c>
      <c r="C431" cm="1">
        <f t="array" ref="C431">IF(A431="","",INDEX(tbEtapas[Nº],MOD(ROW(A430)-1,TotalEtapas)+1))</f>
        <v>16</v>
      </c>
      <c r="D431" t="str">
        <f>IFERROR(VLOOKUP(tbEscolas[[#This Row],[COD ETPA]],tbEtapas[],2,FALSE),"")</f>
        <v>3º ANO</v>
      </c>
      <c r="E431" t="str">
        <f>IFERROR(VLOOKUP(tbEscolas[[#This Row],[COD ETPA]],tbEtapas[],3,FALSE),"")</f>
        <v>ENSINO MÉDIO</v>
      </c>
      <c r="F431" t="s">
        <v>125</v>
      </c>
    </row>
    <row r="432" spans="1:6" x14ac:dyDescent="0.25">
      <c r="A432" t="str" cm="1">
        <f t="array" ref="A432">IFERROR(INDEX(tbNucleo[ESCOLA],ROUNDUP(ROW(A431)/TotalEtapas,0)),"")</f>
        <v>EM RAQUEL RAMAO DA SILVA</v>
      </c>
      <c r="B432" t="str">
        <f>IFERROR(VLOOKUP(A432,tbNucleo[],2,FALSE),"")</f>
        <v>URBANO</v>
      </c>
      <c r="C432" cm="1">
        <f t="array" ref="C432">IF(A432="","",INDEX(tbEtapas[Nº],MOD(ROW(A431)-1,TotalEtapas)+1))</f>
        <v>17</v>
      </c>
      <c r="D432" t="str">
        <f>IFERROR(VLOOKUP(tbEscolas[[#This Row],[COD ETPA]],tbEtapas[],2,FALSE),"")</f>
        <v>EJA I</v>
      </c>
      <c r="E432" t="str">
        <f>IFERROR(VLOOKUP(tbEscolas[[#This Row],[COD ETPA]],tbEtapas[],3,FALSE),"")</f>
        <v>FUNDAMENTAL</v>
      </c>
      <c r="F432" t="s">
        <v>125</v>
      </c>
    </row>
    <row r="433" spans="1:6" x14ac:dyDescent="0.25">
      <c r="A433" t="str" cm="1">
        <f t="array" ref="A433">IFERROR(INDEX(tbNucleo[ESCOLA],ROUNDUP(ROW(A432)/TotalEtapas,0)),"")</f>
        <v>EM RAQUEL RAMAO DA SILVA</v>
      </c>
      <c r="B433" t="str">
        <f>IFERROR(VLOOKUP(A433,tbNucleo[],2,FALSE),"")</f>
        <v>URBANO</v>
      </c>
      <c r="C433" cm="1">
        <f t="array" ref="C433">IF(A433="","",INDEX(tbEtapas[Nº],MOD(ROW(A432)-1,TotalEtapas)+1))</f>
        <v>18</v>
      </c>
      <c r="D433" t="str">
        <f>IFERROR(VLOOKUP(tbEscolas[[#This Row],[COD ETPA]],tbEtapas[],2,FALSE),"")</f>
        <v>EJA II</v>
      </c>
      <c r="E433" t="str">
        <f>IFERROR(VLOOKUP(tbEscolas[[#This Row],[COD ETPA]],tbEtapas[],3,FALSE),"")</f>
        <v>ENSINO MÉDIO</v>
      </c>
      <c r="F433" t="s">
        <v>125</v>
      </c>
    </row>
    <row r="434" spans="1:6" x14ac:dyDescent="0.25">
      <c r="A434" t="str" cm="1">
        <f t="array" ref="A434">IFERROR(INDEX(tbNucleo[ESCOLA],ROUNDUP(ROW(A433)/TotalEtapas,0)),"")</f>
        <v>E. E. M. Tiradentes Prof. Natalino F. Mendes</v>
      </c>
      <c r="B434" t="str">
        <f>IFERROR(VLOOKUP(A434,tbNucleo[],2,FALSE),"")</f>
        <v>URBANO</v>
      </c>
      <c r="C434" cm="1">
        <f t="array" ref="C434">IF(A434="","",INDEX(tbEtapas[Nº],MOD(ROW(A433)-1,TotalEtapas)+1))</f>
        <v>1</v>
      </c>
      <c r="D434" t="str">
        <f>IFERROR(VLOOKUP(tbEscolas[[#This Row],[COD ETPA]],tbEtapas[],2,FALSE),"")</f>
        <v>CRECHE I</v>
      </c>
      <c r="E434" t="str">
        <f>IFERROR(VLOOKUP(tbEscolas[[#This Row],[COD ETPA]],tbEtapas[],3,FALSE),"")</f>
        <v>EDUCAÇÃO INFANTIL</v>
      </c>
      <c r="F434" t="s">
        <v>125</v>
      </c>
    </row>
    <row r="435" spans="1:6" x14ac:dyDescent="0.25">
      <c r="A435" t="str" cm="1">
        <f t="array" ref="A435">IFERROR(INDEX(tbNucleo[ESCOLA],ROUNDUP(ROW(A434)/TotalEtapas,0)),"")</f>
        <v>E. E. M. Tiradentes Prof. Natalino F. Mendes</v>
      </c>
      <c r="B435" t="str">
        <f>IFERROR(VLOOKUP(A435,tbNucleo[],2,FALSE),"")</f>
        <v>URBANO</v>
      </c>
      <c r="C435" cm="1">
        <f t="array" ref="C435">IF(A435="","",INDEX(tbEtapas[Nº],MOD(ROW(A434)-1,TotalEtapas)+1))</f>
        <v>2</v>
      </c>
      <c r="D435" t="str">
        <f>IFERROR(VLOOKUP(tbEscolas[[#This Row],[COD ETPA]],tbEtapas[],2,FALSE),"")</f>
        <v>CRECHE II</v>
      </c>
      <c r="E435" t="str">
        <f>IFERROR(VLOOKUP(tbEscolas[[#This Row],[COD ETPA]],tbEtapas[],3,FALSE),"")</f>
        <v>EDUCAÇÃO INFANTIL</v>
      </c>
      <c r="F435" t="s">
        <v>125</v>
      </c>
    </row>
    <row r="436" spans="1:6" x14ac:dyDescent="0.25">
      <c r="A436" t="str" cm="1">
        <f t="array" ref="A436">IFERROR(INDEX(tbNucleo[ESCOLA],ROUNDUP(ROW(A435)/TotalEtapas,0)),"")</f>
        <v>E. E. M. Tiradentes Prof. Natalino F. Mendes</v>
      </c>
      <c r="B436" t="str">
        <f>IFERROR(VLOOKUP(A436,tbNucleo[],2,FALSE),"")</f>
        <v>URBANO</v>
      </c>
      <c r="C436" cm="1">
        <f t="array" ref="C436">IF(A436="","",INDEX(tbEtapas[Nº],MOD(ROW(A435)-1,TotalEtapas)+1))</f>
        <v>3</v>
      </c>
      <c r="D436" t="str">
        <f>IFERROR(VLOOKUP(tbEscolas[[#This Row],[COD ETPA]],tbEtapas[],2,FALSE),"")</f>
        <v>PRE I</v>
      </c>
      <c r="E436" t="str">
        <f>IFERROR(VLOOKUP(tbEscolas[[#This Row],[COD ETPA]],tbEtapas[],3,FALSE),"")</f>
        <v>EDUCAÇÃO INFANTIL</v>
      </c>
      <c r="F436" t="s">
        <v>125</v>
      </c>
    </row>
    <row r="437" spans="1:6" x14ac:dyDescent="0.25">
      <c r="A437" t="str" cm="1">
        <f t="array" ref="A437">IFERROR(INDEX(tbNucleo[ESCOLA],ROUNDUP(ROW(A436)/TotalEtapas,0)),"")</f>
        <v>E. E. M. Tiradentes Prof. Natalino F. Mendes</v>
      </c>
      <c r="B437" t="str">
        <f>IFERROR(VLOOKUP(A437,tbNucleo[],2,FALSE),"")</f>
        <v>URBANO</v>
      </c>
      <c r="C437" cm="1">
        <f t="array" ref="C437">IF(A437="","",INDEX(tbEtapas[Nº],MOD(ROW(A436)-1,TotalEtapas)+1))</f>
        <v>4</v>
      </c>
      <c r="D437" t="str">
        <f>IFERROR(VLOOKUP(tbEscolas[[#This Row],[COD ETPA]],tbEtapas[],2,FALSE),"")</f>
        <v>PRE II</v>
      </c>
      <c r="E437" t="str">
        <f>IFERROR(VLOOKUP(tbEscolas[[#This Row],[COD ETPA]],tbEtapas[],3,FALSE),"")</f>
        <v>EDUCAÇÃO INFANTIL</v>
      </c>
      <c r="F437" t="s">
        <v>125</v>
      </c>
    </row>
    <row r="438" spans="1:6" x14ac:dyDescent="0.25">
      <c r="A438" t="str" cm="1">
        <f t="array" ref="A438">IFERROR(INDEX(tbNucleo[ESCOLA],ROUNDUP(ROW(A437)/TotalEtapas,0)),"")</f>
        <v>E. E. M. Tiradentes Prof. Natalino F. Mendes</v>
      </c>
      <c r="B438" t="str">
        <f>IFERROR(VLOOKUP(A438,tbNucleo[],2,FALSE),"")</f>
        <v>URBANO</v>
      </c>
      <c r="C438" cm="1">
        <f t="array" ref="C438">IF(A438="","",INDEX(tbEtapas[Nº],MOD(ROW(A437)-1,TotalEtapas)+1))</f>
        <v>5</v>
      </c>
      <c r="D438" t="str">
        <f>IFERROR(VLOOKUP(tbEscolas[[#This Row],[COD ETPA]],tbEtapas[],2,FALSE),"")</f>
        <v>1º ANO</v>
      </c>
      <c r="E438" t="str">
        <f>IFERROR(VLOOKUP(tbEscolas[[#This Row],[COD ETPA]],tbEtapas[],3,FALSE),"")</f>
        <v>FUNDAMENTAL</v>
      </c>
      <c r="F438" t="s">
        <v>125</v>
      </c>
    </row>
    <row r="439" spans="1:6" x14ac:dyDescent="0.25">
      <c r="A439" t="str" cm="1">
        <f t="array" ref="A439">IFERROR(INDEX(tbNucleo[ESCOLA],ROUNDUP(ROW(A438)/TotalEtapas,0)),"")</f>
        <v>E. E. M. Tiradentes Prof. Natalino F. Mendes</v>
      </c>
      <c r="B439" t="str">
        <f>IFERROR(VLOOKUP(A439,tbNucleo[],2,FALSE),"")</f>
        <v>URBANO</v>
      </c>
      <c r="C439" cm="1">
        <f t="array" ref="C439">IF(A439="","",INDEX(tbEtapas[Nº],MOD(ROW(A438)-1,TotalEtapas)+1))</f>
        <v>6</v>
      </c>
      <c r="D439" t="str">
        <f>IFERROR(VLOOKUP(tbEscolas[[#This Row],[COD ETPA]],tbEtapas[],2,FALSE),"")</f>
        <v>2º ANO</v>
      </c>
      <c r="E439" t="str">
        <f>IFERROR(VLOOKUP(tbEscolas[[#This Row],[COD ETPA]],tbEtapas[],3,FALSE),"")</f>
        <v>FUNDAMENTAL</v>
      </c>
      <c r="F439" t="s">
        <v>125</v>
      </c>
    </row>
    <row r="440" spans="1:6" x14ac:dyDescent="0.25">
      <c r="A440" t="str" cm="1">
        <f t="array" ref="A440">IFERROR(INDEX(tbNucleo[ESCOLA],ROUNDUP(ROW(A439)/TotalEtapas,0)),"")</f>
        <v>E. E. M. Tiradentes Prof. Natalino F. Mendes</v>
      </c>
      <c r="B440" t="str">
        <f>IFERROR(VLOOKUP(A440,tbNucleo[],2,FALSE),"")</f>
        <v>URBANO</v>
      </c>
      <c r="C440" cm="1">
        <f t="array" ref="C440">IF(A440="","",INDEX(tbEtapas[Nº],MOD(ROW(A439)-1,TotalEtapas)+1))</f>
        <v>7</v>
      </c>
      <c r="D440" t="str">
        <f>IFERROR(VLOOKUP(tbEscolas[[#This Row],[COD ETPA]],tbEtapas[],2,FALSE),"")</f>
        <v>3º ANO</v>
      </c>
      <c r="E440" t="str">
        <f>IFERROR(VLOOKUP(tbEscolas[[#This Row],[COD ETPA]],tbEtapas[],3,FALSE),"")</f>
        <v>FUNDAMENTAL</v>
      </c>
      <c r="F440" t="s">
        <v>125</v>
      </c>
    </row>
    <row r="441" spans="1:6" x14ac:dyDescent="0.25">
      <c r="A441" t="str" cm="1">
        <f t="array" ref="A441">IFERROR(INDEX(tbNucleo[ESCOLA],ROUNDUP(ROW(A440)/TotalEtapas,0)),"")</f>
        <v>E. E. M. Tiradentes Prof. Natalino F. Mendes</v>
      </c>
      <c r="B441" t="str">
        <f>IFERROR(VLOOKUP(A441,tbNucleo[],2,FALSE),"")</f>
        <v>URBANO</v>
      </c>
      <c r="C441" cm="1">
        <f t="array" ref="C441">IF(A441="","",INDEX(tbEtapas[Nº],MOD(ROW(A440)-1,TotalEtapas)+1))</f>
        <v>8</v>
      </c>
      <c r="D441" t="str">
        <f>IFERROR(VLOOKUP(tbEscolas[[#This Row],[COD ETPA]],tbEtapas[],2,FALSE),"")</f>
        <v>4º ANO</v>
      </c>
      <c r="E441" t="str">
        <f>IFERROR(VLOOKUP(tbEscolas[[#This Row],[COD ETPA]],tbEtapas[],3,FALSE),"")</f>
        <v>FUNDAMENTAL</v>
      </c>
      <c r="F441" t="s">
        <v>125</v>
      </c>
    </row>
    <row r="442" spans="1:6" x14ac:dyDescent="0.25">
      <c r="A442" t="str" cm="1">
        <f t="array" ref="A442">IFERROR(INDEX(tbNucleo[ESCOLA],ROUNDUP(ROW(A441)/TotalEtapas,0)),"")</f>
        <v>E. E. M. Tiradentes Prof. Natalino F. Mendes</v>
      </c>
      <c r="B442" t="str">
        <f>IFERROR(VLOOKUP(A442,tbNucleo[],2,FALSE),"")</f>
        <v>URBANO</v>
      </c>
      <c r="C442" cm="1">
        <f t="array" ref="C442">IF(A442="","",INDEX(tbEtapas[Nº],MOD(ROW(A441)-1,TotalEtapas)+1))</f>
        <v>9</v>
      </c>
      <c r="D442" t="str">
        <f>IFERROR(VLOOKUP(tbEscolas[[#This Row],[COD ETPA]],tbEtapas[],2,FALSE),"")</f>
        <v>5º ANO</v>
      </c>
      <c r="E442" t="str">
        <f>IFERROR(VLOOKUP(tbEscolas[[#This Row],[COD ETPA]],tbEtapas[],3,FALSE),"")</f>
        <v>FUNDAMENTAL</v>
      </c>
      <c r="F442" t="s">
        <v>125</v>
      </c>
    </row>
    <row r="443" spans="1:6" x14ac:dyDescent="0.25">
      <c r="A443" t="str" cm="1">
        <f t="array" ref="A443">IFERROR(INDEX(tbNucleo[ESCOLA],ROUNDUP(ROW(A442)/TotalEtapas,0)),"")</f>
        <v>E. E. M. Tiradentes Prof. Natalino F. Mendes</v>
      </c>
      <c r="B443" t="str">
        <f>IFERROR(VLOOKUP(A443,tbNucleo[],2,FALSE),"")</f>
        <v>URBANO</v>
      </c>
      <c r="C443" cm="1">
        <f t="array" ref="C443">IF(A443="","",INDEX(tbEtapas[Nº],MOD(ROW(A442)-1,TotalEtapas)+1))</f>
        <v>10</v>
      </c>
      <c r="D443" t="str">
        <f>IFERROR(VLOOKUP(tbEscolas[[#This Row],[COD ETPA]],tbEtapas[],2,FALSE),"")</f>
        <v>6º ANO</v>
      </c>
      <c r="E443" t="str">
        <f>IFERROR(VLOOKUP(tbEscolas[[#This Row],[COD ETPA]],tbEtapas[],3,FALSE),"")</f>
        <v>FUNDAMENTAL</v>
      </c>
      <c r="F443" t="s">
        <v>126</v>
      </c>
    </row>
    <row r="444" spans="1:6" x14ac:dyDescent="0.25">
      <c r="A444" t="str" cm="1">
        <f t="array" ref="A444">IFERROR(INDEX(tbNucleo[ESCOLA],ROUNDUP(ROW(A443)/TotalEtapas,0)),"")</f>
        <v>E. E. M. Tiradentes Prof. Natalino F. Mendes</v>
      </c>
      <c r="B444" t="str">
        <f>IFERROR(VLOOKUP(A444,tbNucleo[],2,FALSE),"")</f>
        <v>URBANO</v>
      </c>
      <c r="C444" cm="1">
        <f t="array" ref="C444">IF(A444="","",INDEX(tbEtapas[Nº],MOD(ROW(A443)-1,TotalEtapas)+1))</f>
        <v>11</v>
      </c>
      <c r="D444" t="str">
        <f>IFERROR(VLOOKUP(tbEscolas[[#This Row],[COD ETPA]],tbEtapas[],2,FALSE),"")</f>
        <v>7º ANO</v>
      </c>
      <c r="E444" t="str">
        <f>IFERROR(VLOOKUP(tbEscolas[[#This Row],[COD ETPA]],tbEtapas[],3,FALSE),"")</f>
        <v>FUNDAMENTAL</v>
      </c>
      <c r="F444" t="s">
        <v>126</v>
      </c>
    </row>
    <row r="445" spans="1:6" x14ac:dyDescent="0.25">
      <c r="A445" t="str" cm="1">
        <f t="array" ref="A445">IFERROR(INDEX(tbNucleo[ESCOLA],ROUNDUP(ROW(A444)/TotalEtapas,0)),"")</f>
        <v>E. E. M. Tiradentes Prof. Natalino F. Mendes</v>
      </c>
      <c r="B445" t="str">
        <f>IFERROR(VLOOKUP(A445,tbNucleo[],2,FALSE),"")</f>
        <v>URBANO</v>
      </c>
      <c r="C445" cm="1">
        <f t="array" ref="C445">IF(A445="","",INDEX(tbEtapas[Nº],MOD(ROW(A444)-1,TotalEtapas)+1))</f>
        <v>12</v>
      </c>
      <c r="D445" t="str">
        <f>IFERROR(VLOOKUP(tbEscolas[[#This Row],[COD ETPA]],tbEtapas[],2,FALSE),"")</f>
        <v>8º ANO</v>
      </c>
      <c r="E445" t="str">
        <f>IFERROR(VLOOKUP(tbEscolas[[#This Row],[COD ETPA]],tbEtapas[],3,FALSE),"")</f>
        <v>FUNDAMENTAL</v>
      </c>
      <c r="F445" t="s">
        <v>126</v>
      </c>
    </row>
    <row r="446" spans="1:6" x14ac:dyDescent="0.25">
      <c r="A446" t="str" cm="1">
        <f t="array" ref="A446">IFERROR(INDEX(tbNucleo[ESCOLA],ROUNDUP(ROW(A445)/TotalEtapas,0)),"")</f>
        <v>E. E. M. Tiradentes Prof. Natalino F. Mendes</v>
      </c>
      <c r="B446" t="str">
        <f>IFERROR(VLOOKUP(A446,tbNucleo[],2,FALSE),"")</f>
        <v>URBANO</v>
      </c>
      <c r="C446" cm="1">
        <f t="array" ref="C446">IF(A446="","",INDEX(tbEtapas[Nº],MOD(ROW(A445)-1,TotalEtapas)+1))</f>
        <v>13</v>
      </c>
      <c r="D446" t="str">
        <f>IFERROR(VLOOKUP(tbEscolas[[#This Row],[COD ETPA]],tbEtapas[],2,FALSE),"")</f>
        <v>9º ANO</v>
      </c>
      <c r="E446" t="str">
        <f>IFERROR(VLOOKUP(tbEscolas[[#This Row],[COD ETPA]],tbEtapas[],3,FALSE),"")</f>
        <v>FUNDAMENTAL</v>
      </c>
      <c r="F446" t="s">
        <v>126</v>
      </c>
    </row>
    <row r="447" spans="1:6" x14ac:dyDescent="0.25">
      <c r="A447" t="str" cm="1">
        <f t="array" ref="A447">IFERROR(INDEX(tbNucleo[ESCOLA],ROUNDUP(ROW(A446)/TotalEtapas,0)),"")</f>
        <v>E. E. M. Tiradentes Prof. Natalino F. Mendes</v>
      </c>
      <c r="B447" t="str">
        <f>IFERROR(VLOOKUP(A447,tbNucleo[],2,FALSE),"")</f>
        <v>URBANO</v>
      </c>
      <c r="C447" cm="1">
        <f t="array" ref="C447">IF(A447="","",INDEX(tbEtapas[Nº],MOD(ROW(A446)-1,TotalEtapas)+1))</f>
        <v>14</v>
      </c>
      <c r="D447" t="str">
        <f>IFERROR(VLOOKUP(tbEscolas[[#This Row],[COD ETPA]],tbEtapas[],2,FALSE),"")</f>
        <v>1º ANO</v>
      </c>
      <c r="E447" t="str">
        <f>IFERROR(VLOOKUP(tbEscolas[[#This Row],[COD ETPA]],tbEtapas[],3,FALSE),"")</f>
        <v>ENSINO MÉDIO</v>
      </c>
      <c r="F447" t="s">
        <v>126</v>
      </c>
    </row>
    <row r="448" spans="1:6" x14ac:dyDescent="0.25">
      <c r="A448" t="str" cm="1">
        <f t="array" ref="A448">IFERROR(INDEX(tbNucleo[ESCOLA],ROUNDUP(ROW(A447)/TotalEtapas,0)),"")</f>
        <v>E. E. M. Tiradentes Prof. Natalino F. Mendes</v>
      </c>
      <c r="B448" t="str">
        <f>IFERROR(VLOOKUP(A448,tbNucleo[],2,FALSE),"")</f>
        <v>URBANO</v>
      </c>
      <c r="C448" cm="1">
        <f t="array" ref="C448">IF(A448="","",INDEX(tbEtapas[Nº],MOD(ROW(A447)-1,TotalEtapas)+1))</f>
        <v>15</v>
      </c>
      <c r="D448" t="str">
        <f>IFERROR(VLOOKUP(tbEscolas[[#This Row],[COD ETPA]],tbEtapas[],2,FALSE),"")</f>
        <v>2º ANO</v>
      </c>
      <c r="E448" t="str">
        <f>IFERROR(VLOOKUP(tbEscolas[[#This Row],[COD ETPA]],tbEtapas[],3,FALSE),"")</f>
        <v>ENSINO MÉDIO</v>
      </c>
      <c r="F448" t="s">
        <v>126</v>
      </c>
    </row>
    <row r="449" spans="1:6" x14ac:dyDescent="0.25">
      <c r="A449" t="str" cm="1">
        <f t="array" ref="A449">IFERROR(INDEX(tbNucleo[ESCOLA],ROUNDUP(ROW(A448)/TotalEtapas,0)),"")</f>
        <v>E. E. M. Tiradentes Prof. Natalino F. Mendes</v>
      </c>
      <c r="B449" t="str">
        <f>IFERROR(VLOOKUP(A449,tbNucleo[],2,FALSE),"")</f>
        <v>URBANO</v>
      </c>
      <c r="C449" cm="1">
        <f t="array" ref="C449">IF(A449="","",INDEX(tbEtapas[Nº],MOD(ROW(A448)-1,TotalEtapas)+1))</f>
        <v>16</v>
      </c>
      <c r="D449" t="str">
        <f>IFERROR(VLOOKUP(tbEscolas[[#This Row],[COD ETPA]],tbEtapas[],2,FALSE),"")</f>
        <v>3º ANO</v>
      </c>
      <c r="E449" t="str">
        <f>IFERROR(VLOOKUP(tbEscolas[[#This Row],[COD ETPA]],tbEtapas[],3,FALSE),"")</f>
        <v>ENSINO MÉDIO</v>
      </c>
      <c r="F449" t="s">
        <v>126</v>
      </c>
    </row>
    <row r="450" spans="1:6" x14ac:dyDescent="0.25">
      <c r="A450" t="str" cm="1">
        <f t="array" ref="A450">IFERROR(INDEX(tbNucleo[ESCOLA],ROUNDUP(ROW(A449)/TotalEtapas,0)),"")</f>
        <v>E. E. M. Tiradentes Prof. Natalino F. Mendes</v>
      </c>
      <c r="B450" t="str">
        <f>IFERROR(VLOOKUP(A450,tbNucleo[],2,FALSE),"")</f>
        <v>URBANO</v>
      </c>
      <c r="C450" cm="1">
        <f t="array" ref="C450">IF(A450="","",INDEX(tbEtapas[Nº],MOD(ROW(A449)-1,TotalEtapas)+1))</f>
        <v>17</v>
      </c>
      <c r="D450" t="str">
        <f>IFERROR(VLOOKUP(tbEscolas[[#This Row],[COD ETPA]],tbEtapas[],2,FALSE),"")</f>
        <v>EJA I</v>
      </c>
      <c r="E450" t="str">
        <f>IFERROR(VLOOKUP(tbEscolas[[#This Row],[COD ETPA]],tbEtapas[],3,FALSE),"")</f>
        <v>FUNDAMENTAL</v>
      </c>
      <c r="F450" t="s">
        <v>125</v>
      </c>
    </row>
    <row r="451" spans="1:6" x14ac:dyDescent="0.25">
      <c r="A451" t="str" cm="1">
        <f t="array" ref="A451">IFERROR(INDEX(tbNucleo[ESCOLA],ROUNDUP(ROW(A450)/TotalEtapas,0)),"")</f>
        <v>E. E. M. Tiradentes Prof. Natalino F. Mendes</v>
      </c>
      <c r="B451" t="str">
        <f>IFERROR(VLOOKUP(A451,tbNucleo[],2,FALSE),"")</f>
        <v>URBANO</v>
      </c>
      <c r="C451" cm="1">
        <f t="array" ref="C451">IF(A451="","",INDEX(tbEtapas[Nº],MOD(ROW(A450)-1,TotalEtapas)+1))</f>
        <v>18</v>
      </c>
      <c r="D451" t="str">
        <f>IFERROR(VLOOKUP(tbEscolas[[#This Row],[COD ETPA]],tbEtapas[],2,FALSE),"")</f>
        <v>EJA II</v>
      </c>
      <c r="E451" t="str">
        <f>IFERROR(VLOOKUP(tbEscolas[[#This Row],[COD ETPA]],tbEtapas[],3,FALSE),"")</f>
        <v>ENSINO MÉDIO</v>
      </c>
      <c r="F451" t="s">
        <v>125</v>
      </c>
    </row>
    <row r="452" spans="1:6" x14ac:dyDescent="0.25">
      <c r="A452" s="1" t="str" cm="1">
        <f t="array" ref="A452">IFERROR(INDEX(tbNucleo[ESCOLA],ROUNDUP(ROW(A451)/TotalEtapas,0)),"")</f>
        <v>EM ROCA VELHA</v>
      </c>
      <c r="B452" s="1" t="str">
        <f>IFERROR(VLOOKUP(A452,tbNucleo[],2,FALSE),"")</f>
        <v>ROÇA VELHA</v>
      </c>
      <c r="C452" s="1" cm="1">
        <f t="array" ref="C452">IF(A452="","",INDEX(tbEtapas[Nº],MOD(ROW(A451)-1,TotalEtapas)+1))</f>
        <v>1</v>
      </c>
      <c r="D452" s="1" t="str">
        <f>IFERROR(VLOOKUP(tbEscolas[[#This Row],[COD ETPA]],tbEtapas[],2,FALSE),"")</f>
        <v>CRECHE I</v>
      </c>
      <c r="E452" s="1" t="str">
        <f>IFERROR(VLOOKUP(tbEscolas[[#This Row],[COD ETPA]],tbEtapas[],3,FALSE),"")</f>
        <v>EDUCAÇÃO INFANTIL</v>
      </c>
      <c r="F452" s="1" t="s">
        <v>125</v>
      </c>
    </row>
    <row r="453" spans="1:6" x14ac:dyDescent="0.25">
      <c r="A453" s="1" t="str" cm="1">
        <f t="array" ref="A453">IFERROR(INDEX(tbNucleo[ESCOLA],ROUNDUP(ROW(A452)/TotalEtapas,0)),"")</f>
        <v>EM ROCA VELHA</v>
      </c>
      <c r="B453" s="1" t="str">
        <f>IFERROR(VLOOKUP(A453,tbNucleo[],2,FALSE),"")</f>
        <v>ROÇA VELHA</v>
      </c>
      <c r="C453" s="1" cm="1">
        <f t="array" ref="C453">IF(A453="","",INDEX(tbEtapas[Nº],MOD(ROW(A452)-1,TotalEtapas)+1))</f>
        <v>2</v>
      </c>
      <c r="D453" s="1" t="str">
        <f>IFERROR(VLOOKUP(tbEscolas[[#This Row],[COD ETPA]],tbEtapas[],2,FALSE),"")</f>
        <v>CRECHE II</v>
      </c>
      <c r="E453" s="1" t="str">
        <f>IFERROR(VLOOKUP(tbEscolas[[#This Row],[COD ETPA]],tbEtapas[],3,FALSE),"")</f>
        <v>EDUCAÇÃO INFANTIL</v>
      </c>
      <c r="F453" s="1" t="s">
        <v>125</v>
      </c>
    </row>
    <row r="454" spans="1:6" x14ac:dyDescent="0.25">
      <c r="A454" s="1" t="str" cm="1">
        <f t="array" ref="A454">IFERROR(INDEX(tbNucleo[ESCOLA],ROUNDUP(ROW(A453)/TotalEtapas,0)),"")</f>
        <v>EM ROCA VELHA</v>
      </c>
      <c r="B454" s="1" t="str">
        <f>IFERROR(VLOOKUP(A454,tbNucleo[],2,FALSE),"")</f>
        <v>ROÇA VELHA</v>
      </c>
      <c r="C454" s="1" cm="1">
        <f t="array" ref="C454">IF(A454="","",INDEX(tbEtapas[Nº],MOD(ROW(A453)-1,TotalEtapas)+1))</f>
        <v>3</v>
      </c>
      <c r="D454" s="1" t="str">
        <f>IFERROR(VLOOKUP(tbEscolas[[#This Row],[COD ETPA]],tbEtapas[],2,FALSE),"")</f>
        <v>PRE I</v>
      </c>
      <c r="E454" s="1" t="str">
        <f>IFERROR(VLOOKUP(tbEscolas[[#This Row],[COD ETPA]],tbEtapas[],3,FALSE),"")</f>
        <v>EDUCAÇÃO INFANTIL</v>
      </c>
      <c r="F454" s="1" t="s">
        <v>126</v>
      </c>
    </row>
    <row r="455" spans="1:6" x14ac:dyDescent="0.25">
      <c r="A455" s="1" t="str" cm="1">
        <f t="array" ref="A455">IFERROR(INDEX(tbNucleo[ESCOLA],ROUNDUP(ROW(A454)/TotalEtapas,0)),"")</f>
        <v>EM ROCA VELHA</v>
      </c>
      <c r="B455" s="1" t="str">
        <f>IFERROR(VLOOKUP(A455,tbNucleo[],2,FALSE),"")</f>
        <v>ROÇA VELHA</v>
      </c>
      <c r="C455" s="1" cm="1">
        <f t="array" ref="C455">IF(A455="","",INDEX(tbEtapas[Nº],MOD(ROW(A454)-1,TotalEtapas)+1))</f>
        <v>4</v>
      </c>
      <c r="D455" s="1" t="str">
        <f>IFERROR(VLOOKUP(tbEscolas[[#This Row],[COD ETPA]],tbEtapas[],2,FALSE),"")</f>
        <v>PRE II</v>
      </c>
      <c r="E455" s="1" t="str">
        <f>IFERROR(VLOOKUP(tbEscolas[[#This Row],[COD ETPA]],tbEtapas[],3,FALSE),"")</f>
        <v>EDUCAÇÃO INFANTIL</v>
      </c>
      <c r="F455" s="1" t="s">
        <v>126</v>
      </c>
    </row>
    <row r="456" spans="1:6" x14ac:dyDescent="0.25">
      <c r="A456" s="1" t="str" cm="1">
        <f t="array" ref="A456">IFERROR(INDEX(tbNucleo[ESCOLA],ROUNDUP(ROW(A455)/TotalEtapas,0)),"")</f>
        <v>EM ROCA VELHA</v>
      </c>
      <c r="B456" s="1" t="str">
        <f>IFERROR(VLOOKUP(A456,tbNucleo[],2,FALSE),"")</f>
        <v>ROÇA VELHA</v>
      </c>
      <c r="C456" s="1" cm="1">
        <f t="array" ref="C456">IF(A456="","",INDEX(tbEtapas[Nº],MOD(ROW(A455)-1,TotalEtapas)+1))</f>
        <v>5</v>
      </c>
      <c r="D456" s="1" t="str">
        <f>IFERROR(VLOOKUP(tbEscolas[[#This Row],[COD ETPA]],tbEtapas[],2,FALSE),"")</f>
        <v>1º ANO</v>
      </c>
      <c r="E456" s="1" t="str">
        <f>IFERROR(VLOOKUP(tbEscolas[[#This Row],[COD ETPA]],tbEtapas[],3,FALSE),"")</f>
        <v>FUNDAMENTAL</v>
      </c>
      <c r="F456" s="1" t="s">
        <v>126</v>
      </c>
    </row>
    <row r="457" spans="1:6" x14ac:dyDescent="0.25">
      <c r="A457" s="1" t="str" cm="1">
        <f t="array" ref="A457">IFERROR(INDEX(tbNucleo[ESCOLA],ROUNDUP(ROW(A456)/TotalEtapas,0)),"")</f>
        <v>EM ROCA VELHA</v>
      </c>
      <c r="B457" s="1" t="str">
        <f>IFERROR(VLOOKUP(A457,tbNucleo[],2,FALSE),"")</f>
        <v>ROÇA VELHA</v>
      </c>
      <c r="C457" s="1" cm="1">
        <f t="array" ref="C457">IF(A457="","",INDEX(tbEtapas[Nº],MOD(ROW(A456)-1,TotalEtapas)+1))</f>
        <v>6</v>
      </c>
      <c r="D457" s="1" t="str">
        <f>IFERROR(VLOOKUP(tbEscolas[[#This Row],[COD ETPA]],tbEtapas[],2,FALSE),"")</f>
        <v>2º ANO</v>
      </c>
      <c r="E457" s="1" t="str">
        <f>IFERROR(VLOOKUP(tbEscolas[[#This Row],[COD ETPA]],tbEtapas[],3,FALSE),"")</f>
        <v>FUNDAMENTAL</v>
      </c>
      <c r="F457" s="1" t="s">
        <v>126</v>
      </c>
    </row>
    <row r="458" spans="1:6" x14ac:dyDescent="0.25">
      <c r="A458" s="1" t="str" cm="1">
        <f t="array" ref="A458">IFERROR(INDEX(tbNucleo[ESCOLA],ROUNDUP(ROW(A457)/TotalEtapas,0)),"")</f>
        <v>EM ROCA VELHA</v>
      </c>
      <c r="B458" s="1" t="str">
        <f>IFERROR(VLOOKUP(A458,tbNucleo[],2,FALSE),"")</f>
        <v>ROÇA VELHA</v>
      </c>
      <c r="C458" s="1" cm="1">
        <f t="array" ref="C458">IF(A458="","",INDEX(tbEtapas[Nº],MOD(ROW(A457)-1,TotalEtapas)+1))</f>
        <v>7</v>
      </c>
      <c r="D458" s="1" t="str">
        <f>IFERROR(VLOOKUP(tbEscolas[[#This Row],[COD ETPA]],tbEtapas[],2,FALSE),"")</f>
        <v>3º ANO</v>
      </c>
      <c r="E458" s="1" t="str">
        <f>IFERROR(VLOOKUP(tbEscolas[[#This Row],[COD ETPA]],tbEtapas[],3,FALSE),"")</f>
        <v>FUNDAMENTAL</v>
      </c>
      <c r="F458" s="1" t="s">
        <v>126</v>
      </c>
    </row>
    <row r="459" spans="1:6" x14ac:dyDescent="0.25">
      <c r="A459" s="1" t="str" cm="1">
        <f t="array" ref="A459">IFERROR(INDEX(tbNucleo[ESCOLA],ROUNDUP(ROW(A458)/TotalEtapas,0)),"")</f>
        <v>EM ROCA VELHA</v>
      </c>
      <c r="B459" s="1" t="str">
        <f>IFERROR(VLOOKUP(A459,tbNucleo[],2,FALSE),"")</f>
        <v>ROÇA VELHA</v>
      </c>
      <c r="C459" s="1" cm="1">
        <f t="array" ref="C459">IF(A459="","",INDEX(tbEtapas[Nº],MOD(ROW(A458)-1,TotalEtapas)+1))</f>
        <v>8</v>
      </c>
      <c r="D459" s="1" t="str">
        <f>IFERROR(VLOOKUP(tbEscolas[[#This Row],[COD ETPA]],tbEtapas[],2,FALSE),"")</f>
        <v>4º ANO</v>
      </c>
      <c r="E459" s="1" t="str">
        <f>IFERROR(VLOOKUP(tbEscolas[[#This Row],[COD ETPA]],tbEtapas[],3,FALSE),"")</f>
        <v>FUNDAMENTAL</v>
      </c>
      <c r="F459" s="1" t="s">
        <v>126</v>
      </c>
    </row>
    <row r="460" spans="1:6" x14ac:dyDescent="0.25">
      <c r="A460" s="1" t="str" cm="1">
        <f t="array" ref="A460">IFERROR(INDEX(tbNucleo[ESCOLA],ROUNDUP(ROW(A459)/TotalEtapas,0)),"")</f>
        <v>EM ROCA VELHA</v>
      </c>
      <c r="B460" s="1" t="str">
        <f>IFERROR(VLOOKUP(A460,tbNucleo[],2,FALSE),"")</f>
        <v>ROÇA VELHA</v>
      </c>
      <c r="C460" s="1" cm="1">
        <f t="array" ref="C460">IF(A460="","",INDEX(tbEtapas[Nº],MOD(ROW(A459)-1,TotalEtapas)+1))</f>
        <v>9</v>
      </c>
      <c r="D460" s="1" t="str">
        <f>IFERROR(VLOOKUP(tbEscolas[[#This Row],[COD ETPA]],tbEtapas[],2,FALSE),"")</f>
        <v>5º ANO</v>
      </c>
      <c r="E460" s="1" t="str">
        <f>IFERROR(VLOOKUP(tbEscolas[[#This Row],[COD ETPA]],tbEtapas[],3,FALSE),"")</f>
        <v>FUNDAMENTAL</v>
      </c>
      <c r="F460" s="1" t="s">
        <v>126</v>
      </c>
    </row>
    <row r="461" spans="1:6" x14ac:dyDescent="0.25">
      <c r="A461" s="1" t="str" cm="1">
        <f t="array" ref="A461">IFERROR(INDEX(tbNucleo[ESCOLA],ROUNDUP(ROW(A460)/TotalEtapas,0)),"")</f>
        <v>EM ROCA VELHA</v>
      </c>
      <c r="B461" s="1" t="str">
        <f>IFERROR(VLOOKUP(A461,tbNucleo[],2,FALSE),"")</f>
        <v>ROÇA VELHA</v>
      </c>
      <c r="C461" s="1" cm="1">
        <f t="array" ref="C461">IF(A461="","",INDEX(tbEtapas[Nº],MOD(ROW(A460)-1,TotalEtapas)+1))</f>
        <v>10</v>
      </c>
      <c r="D461" s="1" t="str">
        <f>IFERROR(VLOOKUP(tbEscolas[[#This Row],[COD ETPA]],tbEtapas[],2,FALSE),"")</f>
        <v>6º ANO</v>
      </c>
      <c r="E461" s="1" t="str">
        <f>IFERROR(VLOOKUP(tbEscolas[[#This Row],[COD ETPA]],tbEtapas[],3,FALSE),"")</f>
        <v>FUNDAMENTAL</v>
      </c>
      <c r="F461" s="1" t="s">
        <v>125</v>
      </c>
    </row>
    <row r="462" spans="1:6" x14ac:dyDescent="0.25">
      <c r="A462" s="1" t="str" cm="1">
        <f t="array" ref="A462">IFERROR(INDEX(tbNucleo[ESCOLA],ROUNDUP(ROW(A461)/TotalEtapas,0)),"")</f>
        <v>EM ROCA VELHA</v>
      </c>
      <c r="B462" s="1" t="str">
        <f>IFERROR(VLOOKUP(A462,tbNucleo[],2,FALSE),"")</f>
        <v>ROÇA VELHA</v>
      </c>
      <c r="C462" s="1" cm="1">
        <f t="array" ref="C462">IF(A462="","",INDEX(tbEtapas[Nº],MOD(ROW(A461)-1,TotalEtapas)+1))</f>
        <v>11</v>
      </c>
      <c r="D462" s="1" t="str">
        <f>IFERROR(VLOOKUP(tbEscolas[[#This Row],[COD ETPA]],tbEtapas[],2,FALSE),"")</f>
        <v>7º ANO</v>
      </c>
      <c r="E462" s="1" t="str">
        <f>IFERROR(VLOOKUP(tbEscolas[[#This Row],[COD ETPA]],tbEtapas[],3,FALSE),"")</f>
        <v>FUNDAMENTAL</v>
      </c>
      <c r="F462" s="1" t="s">
        <v>125</v>
      </c>
    </row>
    <row r="463" spans="1:6" x14ac:dyDescent="0.25">
      <c r="A463" s="1" t="str" cm="1">
        <f t="array" ref="A463">IFERROR(INDEX(tbNucleo[ESCOLA],ROUNDUP(ROW(A462)/TotalEtapas,0)),"")</f>
        <v>EM ROCA VELHA</v>
      </c>
      <c r="B463" s="1" t="str">
        <f>IFERROR(VLOOKUP(A463,tbNucleo[],2,FALSE),"")</f>
        <v>ROÇA VELHA</v>
      </c>
      <c r="C463" s="1" cm="1">
        <f t="array" ref="C463">IF(A463="","",INDEX(tbEtapas[Nº],MOD(ROW(A462)-1,TotalEtapas)+1))</f>
        <v>12</v>
      </c>
      <c r="D463" s="1" t="str">
        <f>IFERROR(VLOOKUP(tbEscolas[[#This Row],[COD ETPA]],tbEtapas[],2,FALSE),"")</f>
        <v>8º ANO</v>
      </c>
      <c r="E463" s="1" t="str">
        <f>IFERROR(VLOOKUP(tbEscolas[[#This Row],[COD ETPA]],tbEtapas[],3,FALSE),"")</f>
        <v>FUNDAMENTAL</v>
      </c>
      <c r="F463" s="1" t="s">
        <v>125</v>
      </c>
    </row>
    <row r="464" spans="1:6" x14ac:dyDescent="0.25">
      <c r="A464" s="1" t="str" cm="1">
        <f t="array" ref="A464">IFERROR(INDEX(tbNucleo[ESCOLA],ROUNDUP(ROW(A463)/TotalEtapas,0)),"")</f>
        <v>EM ROCA VELHA</v>
      </c>
      <c r="B464" s="1" t="str">
        <f>IFERROR(VLOOKUP(A464,tbNucleo[],2,FALSE),"")</f>
        <v>ROÇA VELHA</v>
      </c>
      <c r="C464" s="1" cm="1">
        <f t="array" ref="C464">IF(A464="","",INDEX(tbEtapas[Nº],MOD(ROW(A463)-1,TotalEtapas)+1))</f>
        <v>13</v>
      </c>
      <c r="D464" s="1" t="str">
        <f>IFERROR(VLOOKUP(tbEscolas[[#This Row],[COD ETPA]],tbEtapas[],2,FALSE),"")</f>
        <v>9º ANO</v>
      </c>
      <c r="E464" s="1" t="str">
        <f>IFERROR(VLOOKUP(tbEscolas[[#This Row],[COD ETPA]],tbEtapas[],3,FALSE),"")</f>
        <v>FUNDAMENTAL</v>
      </c>
      <c r="F464" s="1" t="s">
        <v>125</v>
      </c>
    </row>
    <row r="465" spans="1:6" x14ac:dyDescent="0.25">
      <c r="A465" s="1" t="str" cm="1">
        <f t="array" ref="A465">IFERROR(INDEX(tbNucleo[ESCOLA],ROUNDUP(ROW(A464)/TotalEtapas,0)),"")</f>
        <v>EM ROCA VELHA</v>
      </c>
      <c r="B465" s="1" t="str">
        <f>IFERROR(VLOOKUP(A465,tbNucleo[],2,FALSE),"")</f>
        <v>ROÇA VELHA</v>
      </c>
      <c r="C465" s="1" cm="1">
        <f t="array" ref="C465">IF(A465="","",INDEX(tbEtapas[Nº],MOD(ROW(A464)-1,TotalEtapas)+1))</f>
        <v>14</v>
      </c>
      <c r="D465" s="1" t="str">
        <f>IFERROR(VLOOKUP(tbEscolas[[#This Row],[COD ETPA]],tbEtapas[],2,FALSE),"")</f>
        <v>1º ANO</v>
      </c>
      <c r="E465" s="1" t="str">
        <f>IFERROR(VLOOKUP(tbEscolas[[#This Row],[COD ETPA]],tbEtapas[],3,FALSE),"")</f>
        <v>ENSINO MÉDIO</v>
      </c>
      <c r="F465" s="1" t="s">
        <v>125</v>
      </c>
    </row>
    <row r="466" spans="1:6" x14ac:dyDescent="0.25">
      <c r="A466" s="1" t="str" cm="1">
        <f t="array" ref="A466">IFERROR(INDEX(tbNucleo[ESCOLA],ROUNDUP(ROW(A465)/TotalEtapas,0)),"")</f>
        <v>EM ROCA VELHA</v>
      </c>
      <c r="B466" s="1" t="str">
        <f>IFERROR(VLOOKUP(A466,tbNucleo[],2,FALSE),"")</f>
        <v>ROÇA VELHA</v>
      </c>
      <c r="C466" s="1" cm="1">
        <f t="array" ref="C466">IF(A466="","",INDEX(tbEtapas[Nº],MOD(ROW(A465)-1,TotalEtapas)+1))</f>
        <v>15</v>
      </c>
      <c r="D466" s="1" t="str">
        <f>IFERROR(VLOOKUP(tbEscolas[[#This Row],[COD ETPA]],tbEtapas[],2,FALSE),"")</f>
        <v>2º ANO</v>
      </c>
      <c r="E466" s="1" t="str">
        <f>IFERROR(VLOOKUP(tbEscolas[[#This Row],[COD ETPA]],tbEtapas[],3,FALSE),"")</f>
        <v>ENSINO MÉDIO</v>
      </c>
      <c r="F466" s="1" t="s">
        <v>125</v>
      </c>
    </row>
    <row r="467" spans="1:6" x14ac:dyDescent="0.25">
      <c r="A467" s="1" t="str" cm="1">
        <f t="array" ref="A467">IFERROR(INDEX(tbNucleo[ESCOLA],ROUNDUP(ROW(A466)/TotalEtapas,0)),"")</f>
        <v>EM ROCA VELHA</v>
      </c>
      <c r="B467" s="1" t="str">
        <f>IFERROR(VLOOKUP(A467,tbNucleo[],2,FALSE),"")</f>
        <v>ROÇA VELHA</v>
      </c>
      <c r="C467" s="1" cm="1">
        <f t="array" ref="C467">IF(A467="","",INDEX(tbEtapas[Nº],MOD(ROW(A466)-1,TotalEtapas)+1))</f>
        <v>16</v>
      </c>
      <c r="D467" s="1" t="str">
        <f>IFERROR(VLOOKUP(tbEscolas[[#This Row],[COD ETPA]],tbEtapas[],2,FALSE),"")</f>
        <v>3º ANO</v>
      </c>
      <c r="E467" s="1" t="str">
        <f>IFERROR(VLOOKUP(tbEscolas[[#This Row],[COD ETPA]],tbEtapas[],3,FALSE),"")</f>
        <v>ENSINO MÉDIO</v>
      </c>
      <c r="F467" s="1" t="s">
        <v>125</v>
      </c>
    </row>
    <row r="468" spans="1:6" x14ac:dyDescent="0.25">
      <c r="A468" s="1" t="str" cm="1">
        <f t="array" ref="A468">IFERROR(INDEX(tbNucleo[ESCOLA],ROUNDUP(ROW(A467)/TotalEtapas,0)),"")</f>
        <v>EM ROCA VELHA</v>
      </c>
      <c r="B468" s="1" t="str">
        <f>IFERROR(VLOOKUP(A468,tbNucleo[],2,FALSE),"")</f>
        <v>ROÇA VELHA</v>
      </c>
      <c r="C468" s="1" cm="1">
        <f t="array" ref="C468">IF(A468="","",INDEX(tbEtapas[Nº],MOD(ROW(A467)-1,TotalEtapas)+1))</f>
        <v>17</v>
      </c>
      <c r="D468" s="1" t="str">
        <f>IFERROR(VLOOKUP(tbEscolas[[#This Row],[COD ETPA]],tbEtapas[],2,FALSE),"")</f>
        <v>EJA I</v>
      </c>
      <c r="E468" s="1" t="str">
        <f>IFERROR(VLOOKUP(tbEscolas[[#This Row],[COD ETPA]],tbEtapas[],3,FALSE),"")</f>
        <v>FUNDAMENTAL</v>
      </c>
      <c r="F468" s="1" t="s">
        <v>125</v>
      </c>
    </row>
    <row r="469" spans="1:6" x14ac:dyDescent="0.25">
      <c r="A469" s="1" t="str" cm="1">
        <f t="array" ref="A469">IFERROR(INDEX(tbNucleo[ESCOLA],ROUNDUP(ROW(A468)/TotalEtapas,0)),"")</f>
        <v>EM ROCA VELHA</v>
      </c>
      <c r="B469" s="1" t="str">
        <f>IFERROR(VLOOKUP(A469,tbNucleo[],2,FALSE),"")</f>
        <v>ROÇA VELHA</v>
      </c>
      <c r="C469" s="1" cm="1">
        <f t="array" ref="C469">IF(A469="","",INDEX(tbEtapas[Nº],MOD(ROW(A468)-1,TotalEtapas)+1))</f>
        <v>18</v>
      </c>
      <c r="D469" s="1" t="str">
        <f>IFERROR(VLOOKUP(tbEscolas[[#This Row],[COD ETPA]],tbEtapas[],2,FALSE),"")</f>
        <v>EJA II</v>
      </c>
      <c r="E469" s="1" t="str">
        <f>IFERROR(VLOOKUP(tbEscolas[[#This Row],[COD ETPA]],tbEtapas[],3,FALSE),"")</f>
        <v>ENSINO MÉDIO</v>
      </c>
      <c r="F469" s="1" t="s">
        <v>125</v>
      </c>
    </row>
    <row r="470" spans="1:6" x14ac:dyDescent="0.25">
      <c r="A470" s="2" t="str" cm="1">
        <f t="array" ref="A470">IFERROR(INDEX(tbNucleo[ESCOLA],ROUNDUP(ROW(A469)/TotalEtapas,0)),"")</f>
        <v>EM SANTA CATARINA</v>
      </c>
      <c r="B470" s="2" t="s">
        <v>111</v>
      </c>
      <c r="C470" s="2" cm="1">
        <f t="array" ref="C470">IF(A470="","",INDEX(tbEtapas[Nº],MOD(ROW(A469)-1,TotalEtapas)+1))</f>
        <v>1</v>
      </c>
      <c r="D470" s="2" t="str">
        <f>IFERROR(VLOOKUP(tbEscolas[[#This Row],[COD ETPA]],tbEtapas[],2,FALSE),"")</f>
        <v>CRECHE I</v>
      </c>
      <c r="E470" s="2" t="str">
        <f>IFERROR(VLOOKUP(tbEscolas[[#This Row],[COD ETPA]],tbEtapas[],3,FALSE),"")</f>
        <v>EDUCAÇÃO INFANTIL</v>
      </c>
      <c r="F470" s="2" t="s">
        <v>125</v>
      </c>
    </row>
    <row r="471" spans="1:6" x14ac:dyDescent="0.25">
      <c r="A471" s="2" t="str" cm="1">
        <f t="array" ref="A471">IFERROR(INDEX(tbNucleo[ESCOLA],ROUNDUP(ROW(A470)/TotalEtapas,0)),"")</f>
        <v>EM SANTA CATARINA</v>
      </c>
      <c r="B471" s="2" t="s">
        <v>111</v>
      </c>
      <c r="C471" s="2" cm="1">
        <f t="array" ref="C471">IF(A471="","",INDEX(tbEtapas[Nº],MOD(ROW(A470)-1,TotalEtapas)+1))</f>
        <v>2</v>
      </c>
      <c r="D471" s="2" t="str">
        <f>IFERROR(VLOOKUP(tbEscolas[[#This Row],[COD ETPA]],tbEtapas[],2,FALSE),"")</f>
        <v>CRECHE II</v>
      </c>
      <c r="E471" s="2" t="str">
        <f>IFERROR(VLOOKUP(tbEscolas[[#This Row],[COD ETPA]],tbEtapas[],3,FALSE),"")</f>
        <v>EDUCAÇÃO INFANTIL</v>
      </c>
      <c r="F471" s="2" t="s">
        <v>125</v>
      </c>
    </row>
    <row r="472" spans="1:6" x14ac:dyDescent="0.25">
      <c r="A472" s="2" t="str" cm="1">
        <f t="array" ref="A472">IFERROR(INDEX(tbNucleo[ESCOLA],ROUNDUP(ROW(A471)/TotalEtapas,0)),"")</f>
        <v>EM SANTA CATARINA</v>
      </c>
      <c r="B472" s="2" t="s">
        <v>111</v>
      </c>
      <c r="C472" s="2" cm="1">
        <f t="array" ref="C472">IF(A472="","",INDEX(tbEtapas[Nº],MOD(ROW(A471)-1,TotalEtapas)+1))</f>
        <v>3</v>
      </c>
      <c r="D472" s="2" t="str">
        <f>IFERROR(VLOOKUP(tbEscolas[[#This Row],[COD ETPA]],tbEtapas[],2,FALSE),"")</f>
        <v>PRE I</v>
      </c>
      <c r="E472" s="2" t="str">
        <f>IFERROR(VLOOKUP(tbEscolas[[#This Row],[COD ETPA]],tbEtapas[],3,FALSE),"")</f>
        <v>EDUCAÇÃO INFANTIL</v>
      </c>
      <c r="F472" s="2" t="s">
        <v>126</v>
      </c>
    </row>
    <row r="473" spans="1:6" x14ac:dyDescent="0.25">
      <c r="A473" s="2" t="str" cm="1">
        <f t="array" ref="A473">IFERROR(INDEX(tbNucleo[ESCOLA],ROUNDUP(ROW(A472)/TotalEtapas,0)),"")</f>
        <v>EM SANTA CATARINA</v>
      </c>
      <c r="B473" s="2" t="s">
        <v>111</v>
      </c>
      <c r="C473" s="2" cm="1">
        <f t="array" ref="C473">IF(A473="","",INDEX(tbEtapas[Nº],MOD(ROW(A472)-1,TotalEtapas)+1))</f>
        <v>4</v>
      </c>
      <c r="D473" s="2" t="str">
        <f>IFERROR(VLOOKUP(tbEscolas[[#This Row],[COD ETPA]],tbEtapas[],2,FALSE),"")</f>
        <v>PRE II</v>
      </c>
      <c r="E473" s="2" t="str">
        <f>IFERROR(VLOOKUP(tbEscolas[[#This Row],[COD ETPA]],tbEtapas[],3,FALSE),"")</f>
        <v>EDUCAÇÃO INFANTIL</v>
      </c>
      <c r="F473" s="2" t="s">
        <v>126</v>
      </c>
    </row>
    <row r="474" spans="1:6" x14ac:dyDescent="0.25">
      <c r="A474" s="2" t="str" cm="1">
        <f t="array" ref="A474">IFERROR(INDEX(tbNucleo[ESCOLA],ROUNDUP(ROW(A473)/TotalEtapas,0)),"")</f>
        <v>EM SANTA CATARINA</v>
      </c>
      <c r="B474" s="2" t="s">
        <v>111</v>
      </c>
      <c r="C474" s="2" cm="1">
        <f t="array" ref="C474">IF(A474="","",INDEX(tbEtapas[Nº],MOD(ROW(A473)-1,TotalEtapas)+1))</f>
        <v>5</v>
      </c>
      <c r="D474" s="2" t="str">
        <f>IFERROR(VLOOKUP(tbEscolas[[#This Row],[COD ETPA]],tbEtapas[],2,FALSE),"")</f>
        <v>1º ANO</v>
      </c>
      <c r="E474" s="2" t="str">
        <f>IFERROR(VLOOKUP(tbEscolas[[#This Row],[COD ETPA]],tbEtapas[],3,FALSE),"")</f>
        <v>FUNDAMENTAL</v>
      </c>
      <c r="F474" s="2" t="s">
        <v>126</v>
      </c>
    </row>
    <row r="475" spans="1:6" x14ac:dyDescent="0.25">
      <c r="A475" s="2" t="str" cm="1">
        <f t="array" ref="A475">IFERROR(INDEX(tbNucleo[ESCOLA],ROUNDUP(ROW(A474)/TotalEtapas,0)),"")</f>
        <v>EM SANTA CATARINA</v>
      </c>
      <c r="B475" s="2" t="s">
        <v>111</v>
      </c>
      <c r="C475" s="2" cm="1">
        <f t="array" ref="C475">IF(A475="","",INDEX(tbEtapas[Nº],MOD(ROW(A474)-1,TotalEtapas)+1))</f>
        <v>6</v>
      </c>
      <c r="D475" s="2" t="str">
        <f>IFERROR(VLOOKUP(tbEscolas[[#This Row],[COD ETPA]],tbEtapas[],2,FALSE),"")</f>
        <v>2º ANO</v>
      </c>
      <c r="E475" s="2" t="str">
        <f>IFERROR(VLOOKUP(tbEscolas[[#This Row],[COD ETPA]],tbEtapas[],3,FALSE),"")</f>
        <v>FUNDAMENTAL</v>
      </c>
      <c r="F475" s="2" t="s">
        <v>126</v>
      </c>
    </row>
    <row r="476" spans="1:6" x14ac:dyDescent="0.25">
      <c r="A476" s="2" t="str" cm="1">
        <f t="array" ref="A476">IFERROR(INDEX(tbNucleo[ESCOLA],ROUNDUP(ROW(A475)/TotalEtapas,0)),"")</f>
        <v>EM SANTA CATARINA</v>
      </c>
      <c r="B476" s="2" t="s">
        <v>111</v>
      </c>
      <c r="C476" s="2" cm="1">
        <f t="array" ref="C476">IF(A476="","",INDEX(tbEtapas[Nº],MOD(ROW(A475)-1,TotalEtapas)+1))</f>
        <v>7</v>
      </c>
      <c r="D476" s="2" t="str">
        <f>IFERROR(VLOOKUP(tbEscolas[[#This Row],[COD ETPA]],tbEtapas[],2,FALSE),"")</f>
        <v>3º ANO</v>
      </c>
      <c r="E476" s="2" t="str">
        <f>IFERROR(VLOOKUP(tbEscolas[[#This Row],[COD ETPA]],tbEtapas[],3,FALSE),"")</f>
        <v>FUNDAMENTAL</v>
      </c>
      <c r="F476" s="2" t="s">
        <v>126</v>
      </c>
    </row>
    <row r="477" spans="1:6" x14ac:dyDescent="0.25">
      <c r="A477" s="2" t="str" cm="1">
        <f t="array" ref="A477">IFERROR(INDEX(tbNucleo[ESCOLA],ROUNDUP(ROW(A476)/TotalEtapas,0)),"")</f>
        <v>EM SANTA CATARINA</v>
      </c>
      <c r="B477" s="2" t="s">
        <v>111</v>
      </c>
      <c r="C477" s="2" cm="1">
        <f t="array" ref="C477">IF(A477="","",INDEX(tbEtapas[Nº],MOD(ROW(A476)-1,TotalEtapas)+1))</f>
        <v>8</v>
      </c>
      <c r="D477" s="2" t="str">
        <f>IFERROR(VLOOKUP(tbEscolas[[#This Row],[COD ETPA]],tbEtapas[],2,FALSE),"")</f>
        <v>4º ANO</v>
      </c>
      <c r="E477" s="2" t="str">
        <f>IFERROR(VLOOKUP(tbEscolas[[#This Row],[COD ETPA]],tbEtapas[],3,FALSE),"")</f>
        <v>FUNDAMENTAL</v>
      </c>
      <c r="F477" s="2" t="s">
        <v>126</v>
      </c>
    </row>
    <row r="478" spans="1:6" x14ac:dyDescent="0.25">
      <c r="A478" s="2" t="str" cm="1">
        <f t="array" ref="A478">IFERROR(INDEX(tbNucleo[ESCOLA],ROUNDUP(ROW(A477)/TotalEtapas,0)),"")</f>
        <v>EM SANTA CATARINA</v>
      </c>
      <c r="B478" s="2" t="s">
        <v>111</v>
      </c>
      <c r="C478" s="2" cm="1">
        <f t="array" ref="C478">IF(A478="","",INDEX(tbEtapas[Nº],MOD(ROW(A477)-1,TotalEtapas)+1))</f>
        <v>9</v>
      </c>
      <c r="D478" s="2" t="str">
        <f>IFERROR(VLOOKUP(tbEscolas[[#This Row],[COD ETPA]],tbEtapas[],2,FALSE),"")</f>
        <v>5º ANO</v>
      </c>
      <c r="E478" s="2" t="str">
        <f>IFERROR(VLOOKUP(tbEscolas[[#This Row],[COD ETPA]],tbEtapas[],3,FALSE),"")</f>
        <v>FUNDAMENTAL</v>
      </c>
      <c r="F478" s="2" t="s">
        <v>126</v>
      </c>
    </row>
    <row r="479" spans="1:6" x14ac:dyDescent="0.25">
      <c r="A479" s="2" t="str" cm="1">
        <f t="array" ref="A479">IFERROR(INDEX(tbNucleo[ESCOLA],ROUNDUP(ROW(A478)/TotalEtapas,0)),"")</f>
        <v>EM SANTA CATARINA</v>
      </c>
      <c r="B479" s="2" t="s">
        <v>111</v>
      </c>
      <c r="C479" s="2" cm="1">
        <f t="array" ref="C479">IF(A479="","",INDEX(tbEtapas[Nº],MOD(ROW(A478)-1,TotalEtapas)+1))</f>
        <v>10</v>
      </c>
      <c r="D479" s="2" t="str">
        <f>IFERROR(VLOOKUP(tbEscolas[[#This Row],[COD ETPA]],tbEtapas[],2,FALSE),"")</f>
        <v>6º ANO</v>
      </c>
      <c r="E479" s="2" t="str">
        <f>IFERROR(VLOOKUP(tbEscolas[[#This Row],[COD ETPA]],tbEtapas[],3,FALSE),"")</f>
        <v>FUNDAMENTAL</v>
      </c>
      <c r="F479" s="2" t="s">
        <v>125</v>
      </c>
    </row>
    <row r="480" spans="1:6" x14ac:dyDescent="0.25">
      <c r="A480" s="2" t="str" cm="1">
        <f t="array" ref="A480">IFERROR(INDEX(tbNucleo[ESCOLA],ROUNDUP(ROW(A479)/TotalEtapas,0)),"")</f>
        <v>EM SANTA CATARINA</v>
      </c>
      <c r="B480" s="2" t="s">
        <v>111</v>
      </c>
      <c r="C480" s="2" cm="1">
        <f t="array" ref="C480">IF(A480="","",INDEX(tbEtapas[Nº],MOD(ROW(A479)-1,TotalEtapas)+1))</f>
        <v>11</v>
      </c>
      <c r="D480" s="2" t="str">
        <f>IFERROR(VLOOKUP(tbEscolas[[#This Row],[COD ETPA]],tbEtapas[],2,FALSE),"")</f>
        <v>7º ANO</v>
      </c>
      <c r="E480" s="2" t="str">
        <f>IFERROR(VLOOKUP(tbEscolas[[#This Row],[COD ETPA]],tbEtapas[],3,FALSE),"")</f>
        <v>FUNDAMENTAL</v>
      </c>
      <c r="F480" s="2" t="s">
        <v>125</v>
      </c>
    </row>
    <row r="481" spans="1:6" x14ac:dyDescent="0.25">
      <c r="A481" s="2" t="str" cm="1">
        <f t="array" ref="A481">IFERROR(INDEX(tbNucleo[ESCOLA],ROUNDUP(ROW(A480)/TotalEtapas,0)),"")</f>
        <v>EM SANTA CATARINA</v>
      </c>
      <c r="B481" s="2" t="s">
        <v>111</v>
      </c>
      <c r="C481" s="2" cm="1">
        <f t="array" ref="C481">IF(A481="","",INDEX(tbEtapas[Nº],MOD(ROW(A480)-1,TotalEtapas)+1))</f>
        <v>12</v>
      </c>
      <c r="D481" s="2" t="str">
        <f>IFERROR(VLOOKUP(tbEscolas[[#This Row],[COD ETPA]],tbEtapas[],2,FALSE),"")</f>
        <v>8º ANO</v>
      </c>
      <c r="E481" s="2" t="str">
        <f>IFERROR(VLOOKUP(tbEscolas[[#This Row],[COD ETPA]],tbEtapas[],3,FALSE),"")</f>
        <v>FUNDAMENTAL</v>
      </c>
      <c r="F481" s="2" t="s">
        <v>125</v>
      </c>
    </row>
    <row r="482" spans="1:6" x14ac:dyDescent="0.25">
      <c r="A482" s="2" t="str" cm="1">
        <f t="array" ref="A482">IFERROR(INDEX(tbNucleo[ESCOLA],ROUNDUP(ROW(A481)/TotalEtapas,0)),"")</f>
        <v>EM SANTA CATARINA</v>
      </c>
      <c r="B482" s="2" t="s">
        <v>111</v>
      </c>
      <c r="C482" s="2" cm="1">
        <f t="array" ref="C482">IF(A482="","",INDEX(tbEtapas[Nº],MOD(ROW(A481)-1,TotalEtapas)+1))</f>
        <v>13</v>
      </c>
      <c r="D482" s="2" t="str">
        <f>IFERROR(VLOOKUP(tbEscolas[[#This Row],[COD ETPA]],tbEtapas[],2,FALSE),"")</f>
        <v>9º ANO</v>
      </c>
      <c r="E482" s="2" t="str">
        <f>IFERROR(VLOOKUP(tbEscolas[[#This Row],[COD ETPA]],tbEtapas[],3,FALSE),"")</f>
        <v>FUNDAMENTAL</v>
      </c>
      <c r="F482" s="2" t="s">
        <v>125</v>
      </c>
    </row>
    <row r="483" spans="1:6" x14ac:dyDescent="0.25">
      <c r="A483" s="2" t="str" cm="1">
        <f t="array" ref="A483">IFERROR(INDEX(tbNucleo[ESCOLA],ROUNDUP(ROW(A482)/TotalEtapas,0)),"")</f>
        <v>EM SANTA CATARINA</v>
      </c>
      <c r="B483" s="2" t="s">
        <v>111</v>
      </c>
      <c r="C483" s="2" cm="1">
        <f t="array" ref="C483">IF(A483="","",INDEX(tbEtapas[Nº],MOD(ROW(A482)-1,TotalEtapas)+1))</f>
        <v>14</v>
      </c>
      <c r="D483" s="2" t="str">
        <f>IFERROR(VLOOKUP(tbEscolas[[#This Row],[COD ETPA]],tbEtapas[],2,FALSE),"")</f>
        <v>1º ANO</v>
      </c>
      <c r="E483" s="2" t="str">
        <f>IFERROR(VLOOKUP(tbEscolas[[#This Row],[COD ETPA]],tbEtapas[],3,FALSE),"")</f>
        <v>ENSINO MÉDIO</v>
      </c>
      <c r="F483" s="2" t="s">
        <v>125</v>
      </c>
    </row>
    <row r="484" spans="1:6" x14ac:dyDescent="0.25">
      <c r="A484" s="2" t="str" cm="1">
        <f t="array" ref="A484">IFERROR(INDEX(tbNucleo[ESCOLA],ROUNDUP(ROW(A483)/TotalEtapas,0)),"")</f>
        <v>EM SANTA CATARINA</v>
      </c>
      <c r="B484" s="2" t="s">
        <v>111</v>
      </c>
      <c r="C484" s="2" cm="1">
        <f t="array" ref="C484">IF(A484="","",INDEX(tbEtapas[Nº],MOD(ROW(A483)-1,TotalEtapas)+1))</f>
        <v>15</v>
      </c>
      <c r="D484" s="2" t="str">
        <f>IFERROR(VLOOKUP(tbEscolas[[#This Row],[COD ETPA]],tbEtapas[],2,FALSE),"")</f>
        <v>2º ANO</v>
      </c>
      <c r="E484" s="2" t="str">
        <f>IFERROR(VLOOKUP(tbEscolas[[#This Row],[COD ETPA]],tbEtapas[],3,FALSE),"")</f>
        <v>ENSINO MÉDIO</v>
      </c>
      <c r="F484" s="2" t="s">
        <v>125</v>
      </c>
    </row>
    <row r="485" spans="1:6" x14ac:dyDescent="0.25">
      <c r="A485" s="2" t="str" cm="1">
        <f t="array" ref="A485">IFERROR(INDEX(tbNucleo[ESCOLA],ROUNDUP(ROW(A484)/TotalEtapas,0)),"")</f>
        <v>EM SANTA CATARINA</v>
      </c>
      <c r="B485" s="2" t="s">
        <v>111</v>
      </c>
      <c r="C485" s="2" cm="1">
        <f t="array" ref="C485">IF(A485="","",INDEX(tbEtapas[Nº],MOD(ROW(A484)-1,TotalEtapas)+1))</f>
        <v>16</v>
      </c>
      <c r="D485" s="2" t="str">
        <f>IFERROR(VLOOKUP(tbEscolas[[#This Row],[COD ETPA]],tbEtapas[],2,FALSE),"")</f>
        <v>3º ANO</v>
      </c>
      <c r="E485" s="2" t="str">
        <f>IFERROR(VLOOKUP(tbEscolas[[#This Row],[COD ETPA]],tbEtapas[],3,FALSE),"")</f>
        <v>ENSINO MÉDIO</v>
      </c>
      <c r="F485" s="2" t="s">
        <v>125</v>
      </c>
    </row>
    <row r="486" spans="1:6" x14ac:dyDescent="0.25">
      <c r="A486" s="2" t="str" cm="1">
        <f t="array" ref="A486">IFERROR(INDEX(tbNucleo[ESCOLA],ROUNDUP(ROW(A485)/TotalEtapas,0)),"")</f>
        <v>EM SANTA CATARINA</v>
      </c>
      <c r="B486" s="2" t="s">
        <v>111</v>
      </c>
      <c r="C486" s="2" cm="1">
        <f t="array" ref="C486">IF(A486="","",INDEX(tbEtapas[Nº],MOD(ROW(A485)-1,TotalEtapas)+1))</f>
        <v>17</v>
      </c>
      <c r="D486" s="2" t="str">
        <f>IFERROR(VLOOKUP(tbEscolas[[#This Row],[COD ETPA]],tbEtapas[],2,FALSE),"")</f>
        <v>EJA I</v>
      </c>
      <c r="E486" s="2" t="str">
        <f>IFERROR(VLOOKUP(tbEscolas[[#This Row],[COD ETPA]],tbEtapas[],3,FALSE),"")</f>
        <v>FUNDAMENTAL</v>
      </c>
      <c r="F486" s="2" t="s">
        <v>125</v>
      </c>
    </row>
    <row r="487" spans="1:6" x14ac:dyDescent="0.25">
      <c r="A487" s="2" t="str" cm="1">
        <f t="array" ref="A487">IFERROR(INDEX(tbNucleo[ESCOLA],ROUNDUP(ROW(A486)/TotalEtapas,0)),"")</f>
        <v>EM SANTA CATARINA</v>
      </c>
      <c r="B487" s="2" t="s">
        <v>111</v>
      </c>
      <c r="C487" s="2" cm="1">
        <f t="array" ref="C487">IF(A487="","",INDEX(tbEtapas[Nº],MOD(ROW(A486)-1,TotalEtapas)+1))</f>
        <v>18</v>
      </c>
      <c r="D487" s="2" t="str">
        <f>IFERROR(VLOOKUP(tbEscolas[[#This Row],[COD ETPA]],tbEtapas[],2,FALSE),"")</f>
        <v>EJA II</v>
      </c>
      <c r="E487" s="2" t="str">
        <f>IFERROR(VLOOKUP(tbEscolas[[#This Row],[COD ETPA]],tbEtapas[],3,FALSE),"")</f>
        <v>ENSINO MÉDIO</v>
      </c>
      <c r="F487" s="2" t="s">
        <v>125</v>
      </c>
    </row>
    <row r="488" spans="1:6" x14ac:dyDescent="0.25">
      <c r="A488" s="3" t="str" cm="1">
        <f t="array" ref="A488">IFERROR(INDEX(tbNucleo[ESCOLA],ROUNDUP(ROW(A487)/TotalEtapas,0)),"")</f>
        <v>EM SOTECO</v>
      </c>
      <c r="B488" s="3" t="s">
        <v>110</v>
      </c>
      <c r="C488" s="3" cm="1">
        <f t="array" ref="C488">IF(A488="","",INDEX(tbEtapas[Nº],MOD(ROW(A487)-1,TotalEtapas)+1))</f>
        <v>1</v>
      </c>
      <c r="D488" s="3" t="str">
        <f>IFERROR(VLOOKUP(tbEscolas[[#This Row],[COD ETPA]],tbEtapas[],2,FALSE),"")</f>
        <v>CRECHE I</v>
      </c>
      <c r="E488" s="3" t="str">
        <f>IFERROR(VLOOKUP(tbEscolas[[#This Row],[COD ETPA]],tbEtapas[],3,FALSE),"")</f>
        <v>EDUCAÇÃO INFANTIL</v>
      </c>
      <c r="F488" s="3" t="s">
        <v>125</v>
      </c>
    </row>
    <row r="489" spans="1:6" x14ac:dyDescent="0.25">
      <c r="A489" s="3" t="str" cm="1">
        <f t="array" ref="A489">IFERROR(INDEX(tbNucleo[ESCOLA],ROUNDUP(ROW(A488)/TotalEtapas,0)),"")</f>
        <v>EM SOTECO</v>
      </c>
      <c r="B489" s="3" t="s">
        <v>110</v>
      </c>
      <c r="C489" s="3" cm="1">
        <f t="array" ref="C489">IF(A489="","",INDEX(tbEtapas[Nº],MOD(ROW(A488)-1,TotalEtapas)+1))</f>
        <v>2</v>
      </c>
      <c r="D489" s="3" t="str">
        <f>IFERROR(VLOOKUP(tbEscolas[[#This Row],[COD ETPA]],tbEtapas[],2,FALSE),"")</f>
        <v>CRECHE II</v>
      </c>
      <c r="E489" s="3" t="str">
        <f>IFERROR(VLOOKUP(tbEscolas[[#This Row],[COD ETPA]],tbEtapas[],3,FALSE),"")</f>
        <v>EDUCAÇÃO INFANTIL</v>
      </c>
      <c r="F489" s="3" t="s">
        <v>125</v>
      </c>
    </row>
    <row r="490" spans="1:6" x14ac:dyDescent="0.25">
      <c r="A490" s="3" t="str" cm="1">
        <f t="array" ref="A490">IFERROR(INDEX(tbNucleo[ESCOLA],ROUNDUP(ROW(A489)/TotalEtapas,0)),"")</f>
        <v>EM SOTECO</v>
      </c>
      <c r="B490" s="3" t="s">
        <v>110</v>
      </c>
      <c r="C490" s="3" cm="1">
        <f t="array" ref="C490">IF(A490="","",INDEX(tbEtapas[Nº],MOD(ROW(A489)-1,TotalEtapas)+1))</f>
        <v>3</v>
      </c>
      <c r="D490" s="3" t="str">
        <f>IFERROR(VLOOKUP(tbEscolas[[#This Row],[COD ETPA]],tbEtapas[],2,FALSE),"")</f>
        <v>PRE I</v>
      </c>
      <c r="E490" s="3" t="str">
        <f>IFERROR(VLOOKUP(tbEscolas[[#This Row],[COD ETPA]],tbEtapas[],3,FALSE),"")</f>
        <v>EDUCAÇÃO INFANTIL</v>
      </c>
      <c r="F490" s="3" t="s">
        <v>126</v>
      </c>
    </row>
    <row r="491" spans="1:6" x14ac:dyDescent="0.25">
      <c r="A491" s="3" t="str" cm="1">
        <f t="array" ref="A491">IFERROR(INDEX(tbNucleo[ESCOLA],ROUNDUP(ROW(A490)/TotalEtapas,0)),"")</f>
        <v>EM SOTECO</v>
      </c>
      <c r="B491" s="3" t="s">
        <v>110</v>
      </c>
      <c r="C491" s="3" cm="1">
        <f t="array" ref="C491">IF(A491="","",INDEX(tbEtapas[Nº],MOD(ROW(A490)-1,TotalEtapas)+1))</f>
        <v>4</v>
      </c>
      <c r="D491" s="3" t="str">
        <f>IFERROR(VLOOKUP(tbEscolas[[#This Row],[COD ETPA]],tbEtapas[],2,FALSE),"")</f>
        <v>PRE II</v>
      </c>
      <c r="E491" s="3" t="str">
        <f>IFERROR(VLOOKUP(tbEscolas[[#This Row],[COD ETPA]],tbEtapas[],3,FALSE),"")</f>
        <v>EDUCAÇÃO INFANTIL</v>
      </c>
      <c r="F491" s="3" t="s">
        <v>126</v>
      </c>
    </row>
    <row r="492" spans="1:6" x14ac:dyDescent="0.25">
      <c r="A492" s="3" t="str" cm="1">
        <f t="array" ref="A492">IFERROR(INDEX(tbNucleo[ESCOLA],ROUNDUP(ROW(A491)/TotalEtapas,0)),"")</f>
        <v>EM SOTECO</v>
      </c>
      <c r="B492" s="3" t="s">
        <v>110</v>
      </c>
      <c r="C492" s="3" cm="1">
        <f t="array" ref="C492">IF(A492="","",INDEX(tbEtapas[Nº],MOD(ROW(A491)-1,TotalEtapas)+1))</f>
        <v>5</v>
      </c>
      <c r="D492" s="3" t="str">
        <f>IFERROR(VLOOKUP(tbEscolas[[#This Row],[COD ETPA]],tbEtapas[],2,FALSE),"")</f>
        <v>1º ANO</v>
      </c>
      <c r="E492" s="3" t="str">
        <f>IFERROR(VLOOKUP(tbEscolas[[#This Row],[COD ETPA]],tbEtapas[],3,FALSE),"")</f>
        <v>FUNDAMENTAL</v>
      </c>
      <c r="F492" s="3" t="s">
        <v>126</v>
      </c>
    </row>
    <row r="493" spans="1:6" x14ac:dyDescent="0.25">
      <c r="A493" s="3" t="str" cm="1">
        <f t="array" ref="A493">IFERROR(INDEX(tbNucleo[ESCOLA],ROUNDUP(ROW(A492)/TotalEtapas,0)),"")</f>
        <v>EM SOTECO</v>
      </c>
      <c r="B493" s="3" t="s">
        <v>110</v>
      </c>
      <c r="C493" s="3" cm="1">
        <f t="array" ref="C493">IF(A493="","",INDEX(tbEtapas[Nº],MOD(ROW(A492)-1,TotalEtapas)+1))</f>
        <v>6</v>
      </c>
      <c r="D493" s="3" t="str">
        <f>IFERROR(VLOOKUP(tbEscolas[[#This Row],[COD ETPA]],tbEtapas[],2,FALSE),"")</f>
        <v>2º ANO</v>
      </c>
      <c r="E493" s="3" t="str">
        <f>IFERROR(VLOOKUP(tbEscolas[[#This Row],[COD ETPA]],tbEtapas[],3,FALSE),"")</f>
        <v>FUNDAMENTAL</v>
      </c>
      <c r="F493" s="3" t="s">
        <v>126</v>
      </c>
    </row>
    <row r="494" spans="1:6" x14ac:dyDescent="0.25">
      <c r="A494" s="3" t="str" cm="1">
        <f t="array" ref="A494">IFERROR(INDEX(tbNucleo[ESCOLA],ROUNDUP(ROW(A493)/TotalEtapas,0)),"")</f>
        <v>EM SOTECO</v>
      </c>
      <c r="B494" s="3" t="s">
        <v>110</v>
      </c>
      <c r="C494" s="3" cm="1">
        <f t="array" ref="C494">IF(A494="","",INDEX(tbEtapas[Nº],MOD(ROW(A493)-1,TotalEtapas)+1))</f>
        <v>7</v>
      </c>
      <c r="D494" s="3" t="str">
        <f>IFERROR(VLOOKUP(tbEscolas[[#This Row],[COD ETPA]],tbEtapas[],2,FALSE),"")</f>
        <v>3º ANO</v>
      </c>
      <c r="E494" s="3" t="str">
        <f>IFERROR(VLOOKUP(tbEscolas[[#This Row],[COD ETPA]],tbEtapas[],3,FALSE),"")</f>
        <v>FUNDAMENTAL</v>
      </c>
      <c r="F494" s="3" t="s">
        <v>126</v>
      </c>
    </row>
    <row r="495" spans="1:6" x14ac:dyDescent="0.25">
      <c r="A495" s="3" t="str" cm="1">
        <f t="array" ref="A495">IFERROR(INDEX(tbNucleo[ESCOLA],ROUNDUP(ROW(A494)/TotalEtapas,0)),"")</f>
        <v>EM SOTECO</v>
      </c>
      <c r="B495" s="3" t="s">
        <v>110</v>
      </c>
      <c r="C495" s="3" cm="1">
        <f t="array" ref="C495">IF(A495="","",INDEX(tbEtapas[Nº],MOD(ROW(A494)-1,TotalEtapas)+1))</f>
        <v>8</v>
      </c>
      <c r="D495" s="3" t="str">
        <f>IFERROR(VLOOKUP(tbEscolas[[#This Row],[COD ETPA]],tbEtapas[],2,FALSE),"")</f>
        <v>4º ANO</v>
      </c>
      <c r="E495" s="3" t="str">
        <f>IFERROR(VLOOKUP(tbEscolas[[#This Row],[COD ETPA]],tbEtapas[],3,FALSE),"")</f>
        <v>FUNDAMENTAL</v>
      </c>
      <c r="F495" s="3" t="s">
        <v>126</v>
      </c>
    </row>
    <row r="496" spans="1:6" x14ac:dyDescent="0.25">
      <c r="A496" s="3" t="str" cm="1">
        <f t="array" ref="A496">IFERROR(INDEX(tbNucleo[ESCOLA],ROUNDUP(ROW(A495)/TotalEtapas,0)),"")</f>
        <v>EM SOTECO</v>
      </c>
      <c r="B496" s="3" t="s">
        <v>110</v>
      </c>
      <c r="C496" s="3" cm="1">
        <f t="array" ref="C496">IF(A496="","",INDEX(tbEtapas[Nº],MOD(ROW(A495)-1,TotalEtapas)+1))</f>
        <v>9</v>
      </c>
      <c r="D496" s="3" t="str">
        <f>IFERROR(VLOOKUP(tbEscolas[[#This Row],[COD ETPA]],tbEtapas[],2,FALSE),"")</f>
        <v>5º ANO</v>
      </c>
      <c r="E496" s="3" t="str">
        <f>IFERROR(VLOOKUP(tbEscolas[[#This Row],[COD ETPA]],tbEtapas[],3,FALSE),"")</f>
        <v>FUNDAMENTAL</v>
      </c>
      <c r="F496" s="3" t="s">
        <v>126</v>
      </c>
    </row>
    <row r="497" spans="1:6" x14ac:dyDescent="0.25">
      <c r="A497" s="3" t="str" cm="1">
        <f t="array" ref="A497">IFERROR(INDEX(tbNucleo[ESCOLA],ROUNDUP(ROW(A496)/TotalEtapas,0)),"")</f>
        <v>EM SOTECO</v>
      </c>
      <c r="B497" s="3" t="s">
        <v>110</v>
      </c>
      <c r="C497" s="3" cm="1">
        <f t="array" ref="C497">IF(A497="","",INDEX(tbEtapas[Nº],MOD(ROW(A496)-1,TotalEtapas)+1))</f>
        <v>10</v>
      </c>
      <c r="D497" s="3" t="str">
        <f>IFERROR(VLOOKUP(tbEscolas[[#This Row],[COD ETPA]],tbEtapas[],2,FALSE),"")</f>
        <v>6º ANO</v>
      </c>
      <c r="E497" s="3" t="str">
        <f>IFERROR(VLOOKUP(tbEscolas[[#This Row],[COD ETPA]],tbEtapas[],3,FALSE),"")</f>
        <v>FUNDAMENTAL</v>
      </c>
      <c r="F497" s="3" t="s">
        <v>125</v>
      </c>
    </row>
    <row r="498" spans="1:6" x14ac:dyDescent="0.25">
      <c r="A498" s="3" t="str" cm="1">
        <f t="array" ref="A498">IFERROR(INDEX(tbNucleo[ESCOLA],ROUNDUP(ROW(A497)/TotalEtapas,0)),"")</f>
        <v>EM SOTECO</v>
      </c>
      <c r="B498" s="3" t="s">
        <v>110</v>
      </c>
      <c r="C498" s="3" cm="1">
        <f t="array" ref="C498">IF(A498="","",INDEX(tbEtapas[Nº],MOD(ROW(A497)-1,TotalEtapas)+1))</f>
        <v>11</v>
      </c>
      <c r="D498" s="3" t="str">
        <f>IFERROR(VLOOKUP(tbEscolas[[#This Row],[COD ETPA]],tbEtapas[],2,FALSE),"")</f>
        <v>7º ANO</v>
      </c>
      <c r="E498" s="3" t="str">
        <f>IFERROR(VLOOKUP(tbEscolas[[#This Row],[COD ETPA]],tbEtapas[],3,FALSE),"")</f>
        <v>FUNDAMENTAL</v>
      </c>
      <c r="F498" s="3" t="s">
        <v>125</v>
      </c>
    </row>
    <row r="499" spans="1:6" x14ac:dyDescent="0.25">
      <c r="A499" s="3" t="str" cm="1">
        <f t="array" ref="A499">IFERROR(INDEX(tbNucleo[ESCOLA],ROUNDUP(ROW(A498)/TotalEtapas,0)),"")</f>
        <v>EM SOTECO</v>
      </c>
      <c r="B499" s="3" t="s">
        <v>110</v>
      </c>
      <c r="C499" s="3" cm="1">
        <f t="array" ref="C499">IF(A499="","",INDEX(tbEtapas[Nº],MOD(ROW(A498)-1,TotalEtapas)+1))</f>
        <v>12</v>
      </c>
      <c r="D499" s="3" t="str">
        <f>IFERROR(VLOOKUP(tbEscolas[[#This Row],[COD ETPA]],tbEtapas[],2,FALSE),"")</f>
        <v>8º ANO</v>
      </c>
      <c r="E499" s="3" t="str">
        <f>IFERROR(VLOOKUP(tbEscolas[[#This Row],[COD ETPA]],tbEtapas[],3,FALSE),"")</f>
        <v>FUNDAMENTAL</v>
      </c>
      <c r="F499" s="3" t="s">
        <v>125</v>
      </c>
    </row>
    <row r="500" spans="1:6" x14ac:dyDescent="0.25">
      <c r="A500" s="3" t="str" cm="1">
        <f t="array" ref="A500">IFERROR(INDEX(tbNucleo[ESCOLA],ROUNDUP(ROW(A499)/TotalEtapas,0)),"")</f>
        <v>EM SOTECO</v>
      </c>
      <c r="B500" s="3" t="s">
        <v>110</v>
      </c>
      <c r="C500" s="3" cm="1">
        <f t="array" ref="C500">IF(A500="","",INDEX(tbEtapas[Nº],MOD(ROW(A499)-1,TotalEtapas)+1))</f>
        <v>13</v>
      </c>
      <c r="D500" s="3" t="str">
        <f>IFERROR(VLOOKUP(tbEscolas[[#This Row],[COD ETPA]],tbEtapas[],2,FALSE),"")</f>
        <v>9º ANO</v>
      </c>
      <c r="E500" s="3" t="str">
        <f>IFERROR(VLOOKUP(tbEscolas[[#This Row],[COD ETPA]],tbEtapas[],3,FALSE),"")</f>
        <v>FUNDAMENTAL</v>
      </c>
      <c r="F500" s="3" t="s">
        <v>125</v>
      </c>
    </row>
    <row r="501" spans="1:6" x14ac:dyDescent="0.25">
      <c r="A501" s="3" t="str" cm="1">
        <f t="array" ref="A501">IFERROR(INDEX(tbNucleo[ESCOLA],ROUNDUP(ROW(A500)/TotalEtapas,0)),"")</f>
        <v>EM SOTECO</v>
      </c>
      <c r="B501" s="3" t="s">
        <v>110</v>
      </c>
      <c r="C501" s="3">
        <v>14</v>
      </c>
      <c r="D501" s="3" t="str">
        <f>IFERROR(VLOOKUP(tbEscolas[[#This Row],[COD ETPA]],tbEtapas[],2,FALSE),"")</f>
        <v>1º ANO</v>
      </c>
      <c r="E501" s="3" t="str">
        <f>IFERROR(VLOOKUP(tbEscolas[[#This Row],[COD ETPA]],tbEtapas[],3,FALSE),"")</f>
        <v>ENSINO MÉDIO</v>
      </c>
      <c r="F501" s="3" t="s">
        <v>125</v>
      </c>
    </row>
    <row r="502" spans="1:6" x14ac:dyDescent="0.25">
      <c r="A502" s="3" t="str" cm="1">
        <f t="array" ref="A502">IFERROR(INDEX(tbNucleo[ESCOLA],ROUNDUP(ROW(A501)/TotalEtapas,0)),"")</f>
        <v>EM SOTECO</v>
      </c>
      <c r="B502" s="3" t="s">
        <v>110</v>
      </c>
      <c r="C502" s="3">
        <v>15</v>
      </c>
      <c r="D502" s="3" t="str">
        <f>IFERROR(VLOOKUP(tbEscolas[[#This Row],[COD ETPA]],tbEtapas[],2,FALSE),"")</f>
        <v>2º ANO</v>
      </c>
      <c r="E502" s="3" t="str">
        <f>IFERROR(VLOOKUP(tbEscolas[[#This Row],[COD ETPA]],tbEtapas[],3,FALSE),"")</f>
        <v>ENSINO MÉDIO</v>
      </c>
      <c r="F502" s="3" t="s">
        <v>125</v>
      </c>
    </row>
    <row r="503" spans="1:6" x14ac:dyDescent="0.25">
      <c r="A503" s="3" t="str" cm="1">
        <f t="array" ref="A503">IFERROR(INDEX(tbNucleo[ESCOLA],ROUNDUP(ROW(A502)/TotalEtapas,0)),"")</f>
        <v>EM SOTECO</v>
      </c>
      <c r="B503" s="3" t="s">
        <v>110</v>
      </c>
      <c r="C503" s="3">
        <v>16</v>
      </c>
      <c r="D503" s="3" t="str">
        <f>IFERROR(VLOOKUP(tbEscolas[[#This Row],[COD ETPA]],tbEtapas[],2,FALSE),"")</f>
        <v>3º ANO</v>
      </c>
      <c r="E503" s="3" t="str">
        <f>IFERROR(VLOOKUP(tbEscolas[[#This Row],[COD ETPA]],tbEtapas[],3,FALSE),"")</f>
        <v>ENSINO MÉDIO</v>
      </c>
      <c r="F503" s="3" t="s">
        <v>125</v>
      </c>
    </row>
    <row r="504" spans="1:6" x14ac:dyDescent="0.25">
      <c r="A504" s="3" t="str" cm="1">
        <f t="array" ref="A504">IFERROR(INDEX(tbNucleo[ESCOLA],ROUNDUP(ROW(A503)/TotalEtapas,0)),"")</f>
        <v>EM SOTECO</v>
      </c>
      <c r="B504" s="3" t="s">
        <v>110</v>
      </c>
      <c r="C504" s="3">
        <v>17</v>
      </c>
      <c r="D504" s="3" t="str">
        <f>IFERROR(VLOOKUP(tbEscolas[[#This Row],[COD ETPA]],tbEtapas[],2,FALSE),"")</f>
        <v>EJA I</v>
      </c>
      <c r="E504" s="3" t="str">
        <f>IFERROR(VLOOKUP(tbEscolas[[#This Row],[COD ETPA]],tbEtapas[],3,FALSE),"")</f>
        <v>FUNDAMENTAL</v>
      </c>
      <c r="F504" s="3" t="s">
        <v>125</v>
      </c>
    </row>
    <row r="505" spans="1:6" x14ac:dyDescent="0.25">
      <c r="A505" s="3" t="str" cm="1">
        <f t="array" ref="A505">IFERROR(INDEX(tbNucleo[ESCOLA],ROUNDUP(ROW(A504)/TotalEtapas,0)),"")</f>
        <v>EM SOTECO</v>
      </c>
      <c r="B505" s="3" t="s">
        <v>110</v>
      </c>
      <c r="C505" s="3">
        <v>18</v>
      </c>
      <c r="D505" s="3" t="str">
        <f>IFERROR(VLOOKUP(tbEscolas[[#This Row],[COD ETPA]],tbEtapas[],2,FALSE),"")</f>
        <v>EJA II</v>
      </c>
      <c r="E505" s="3" t="str">
        <f>IFERROR(VLOOKUP(tbEscolas[[#This Row],[COD ETPA]],tbEtapas[],3,FALSE),"")</f>
        <v>ENSINO MÉDIO</v>
      </c>
      <c r="F505" s="3" t="s">
        <v>125</v>
      </c>
    </row>
    <row r="506" spans="1:6" x14ac:dyDescent="0.25">
      <c r="A506" t="str" cm="1">
        <f t="array" ref="A506">IFERROR(INDEX(tbNucleo[ESCOLA],ROUNDUP(ROW(A505)/TotalEtapas,0)),"")</f>
        <v>EM GARCES</v>
      </c>
      <c r="B506" t="s">
        <v>31</v>
      </c>
      <c r="C506" cm="1">
        <f t="array" ref="C506">IF(A506="","",INDEX(tbEtapas[Nº],MOD(ROW(A505)-1,TotalEtapas)+1))</f>
        <v>1</v>
      </c>
      <c r="D506" t="str">
        <f>IFERROR(VLOOKUP(tbEscolas[[#This Row],[COD ETPA]],tbEtapas[],2,FALSE),"")</f>
        <v>CRECHE I</v>
      </c>
      <c r="E506" t="str">
        <f>IFERROR(VLOOKUP(tbEscolas[[#This Row],[COD ETPA]],tbEtapas[],3,FALSE),"")</f>
        <v>EDUCAÇÃO INFANTIL</v>
      </c>
      <c r="F506" t="s">
        <v>126</v>
      </c>
    </row>
    <row r="507" spans="1:6" x14ac:dyDescent="0.25">
      <c r="A507" t="str" cm="1">
        <f t="array" ref="A507">IFERROR(INDEX(tbNucleo[ESCOLA],ROUNDUP(ROW(A506)/TotalEtapas,0)),"")</f>
        <v>EM GARCES</v>
      </c>
      <c r="B507" t="s">
        <v>31</v>
      </c>
      <c r="C507" cm="1">
        <f t="array" ref="C507">IF(A507="","",INDEX(tbEtapas[Nº],MOD(ROW(A506)-1,TotalEtapas)+1))</f>
        <v>2</v>
      </c>
      <c r="D507" t="str">
        <f>IFERROR(VLOOKUP(tbEscolas[[#This Row],[COD ETPA]],tbEtapas[],2,FALSE),"")</f>
        <v>CRECHE II</v>
      </c>
      <c r="E507" t="str">
        <f>IFERROR(VLOOKUP(tbEscolas[[#This Row],[COD ETPA]],tbEtapas[],3,FALSE),"")</f>
        <v>EDUCAÇÃO INFANTIL</v>
      </c>
      <c r="F507" t="s">
        <v>126</v>
      </c>
    </row>
    <row r="508" spans="1:6" x14ac:dyDescent="0.25">
      <c r="A508" t="str" cm="1">
        <f t="array" ref="A508">IFERROR(INDEX(tbNucleo[ESCOLA],ROUNDUP(ROW(A507)/TotalEtapas,0)),"")</f>
        <v>EM GARCES</v>
      </c>
      <c r="B508" t="s">
        <v>31</v>
      </c>
      <c r="C508" cm="1">
        <f t="array" ref="C508">IF(A508="","",INDEX(tbEtapas[Nº],MOD(ROW(A507)-1,TotalEtapas)+1))</f>
        <v>3</v>
      </c>
      <c r="D508" t="str">
        <f>IFERROR(VLOOKUP(tbEscolas[[#This Row],[COD ETPA]],tbEtapas[],2,FALSE),"")</f>
        <v>PRE I</v>
      </c>
      <c r="E508" t="str">
        <f>IFERROR(VLOOKUP(tbEscolas[[#This Row],[COD ETPA]],tbEtapas[],3,FALSE),"")</f>
        <v>EDUCAÇÃO INFANTIL</v>
      </c>
      <c r="F508" t="s">
        <v>126</v>
      </c>
    </row>
    <row r="509" spans="1:6" x14ac:dyDescent="0.25">
      <c r="A509" t="str" cm="1">
        <f t="array" ref="A509">IFERROR(INDEX(tbNucleo[ESCOLA],ROUNDUP(ROW(A508)/TotalEtapas,0)),"")</f>
        <v>EM GARCES</v>
      </c>
      <c r="B509" t="s">
        <v>31</v>
      </c>
      <c r="C509" cm="1">
        <f t="array" ref="C509">IF(A509="","",INDEX(tbEtapas[Nº],MOD(ROW(A508)-1,TotalEtapas)+1))</f>
        <v>4</v>
      </c>
      <c r="D509" t="str">
        <f>IFERROR(VLOOKUP(tbEscolas[[#This Row],[COD ETPA]],tbEtapas[],2,FALSE),"")</f>
        <v>PRE II</v>
      </c>
      <c r="E509" t="str">
        <f>IFERROR(VLOOKUP(tbEscolas[[#This Row],[COD ETPA]],tbEtapas[],3,FALSE),"")</f>
        <v>EDUCAÇÃO INFANTIL</v>
      </c>
      <c r="F509" t="s">
        <v>126</v>
      </c>
    </row>
    <row r="510" spans="1:6" x14ac:dyDescent="0.25">
      <c r="A510" t="str" cm="1">
        <f t="array" ref="A510">IFERROR(INDEX(tbNucleo[ESCOLA],ROUNDUP(ROW(A509)/TotalEtapas,0)),"")</f>
        <v>EM GARCES</v>
      </c>
      <c r="B510" t="s">
        <v>31</v>
      </c>
      <c r="C510" cm="1">
        <f t="array" ref="C510">IF(A510="","",INDEX(tbEtapas[Nº],MOD(ROW(A509)-1,TotalEtapas)+1))</f>
        <v>5</v>
      </c>
      <c r="D510" t="str">
        <f>IFERROR(VLOOKUP(tbEscolas[[#This Row],[COD ETPA]],tbEtapas[],2,FALSE),"")</f>
        <v>1º ANO</v>
      </c>
      <c r="E510" t="str">
        <f>IFERROR(VLOOKUP(tbEscolas[[#This Row],[COD ETPA]],tbEtapas[],3,FALSE),"")</f>
        <v>FUNDAMENTAL</v>
      </c>
      <c r="F510" t="s">
        <v>125</v>
      </c>
    </row>
    <row r="511" spans="1:6" x14ac:dyDescent="0.25">
      <c r="A511" t="str" cm="1">
        <f t="array" ref="A511">IFERROR(INDEX(tbNucleo[ESCOLA],ROUNDUP(ROW(A510)/TotalEtapas,0)),"")</f>
        <v>EM GARCES</v>
      </c>
      <c r="B511" t="s">
        <v>31</v>
      </c>
      <c r="C511" cm="1">
        <f t="array" ref="C511">IF(A511="","",INDEX(tbEtapas[Nº],MOD(ROW(A510)-1,TotalEtapas)+1))</f>
        <v>6</v>
      </c>
      <c r="D511" t="str">
        <f>IFERROR(VLOOKUP(tbEscolas[[#This Row],[COD ETPA]],tbEtapas[],2,FALSE),"")</f>
        <v>2º ANO</v>
      </c>
      <c r="E511" t="str">
        <f>IFERROR(VLOOKUP(tbEscolas[[#This Row],[COD ETPA]],tbEtapas[],3,FALSE),"")</f>
        <v>FUNDAMENTAL</v>
      </c>
      <c r="F511" t="s">
        <v>125</v>
      </c>
    </row>
    <row r="512" spans="1:6" x14ac:dyDescent="0.25">
      <c r="A512" t="str" cm="1">
        <f t="array" ref="A512">IFERROR(INDEX(tbNucleo[ESCOLA],ROUNDUP(ROW(A511)/TotalEtapas,0)),"")</f>
        <v>EM GARCES</v>
      </c>
      <c r="B512" t="s">
        <v>31</v>
      </c>
      <c r="C512" cm="1">
        <f t="array" ref="C512">IF(A512="","",INDEX(tbEtapas[Nº],MOD(ROW(A511)-1,TotalEtapas)+1))</f>
        <v>7</v>
      </c>
      <c r="D512" t="str">
        <f>IFERROR(VLOOKUP(tbEscolas[[#This Row],[COD ETPA]],tbEtapas[],2,FALSE),"")</f>
        <v>3º ANO</v>
      </c>
      <c r="E512" t="str">
        <f>IFERROR(VLOOKUP(tbEscolas[[#This Row],[COD ETPA]],tbEtapas[],3,FALSE),"")</f>
        <v>FUNDAMENTAL</v>
      </c>
      <c r="F512" t="s">
        <v>125</v>
      </c>
    </row>
    <row r="513" spans="1:6" x14ac:dyDescent="0.25">
      <c r="A513" t="str" cm="1">
        <f t="array" ref="A513">IFERROR(INDEX(tbNucleo[ESCOLA],ROUNDUP(ROW(A512)/TotalEtapas,0)),"")</f>
        <v>EM GARCES</v>
      </c>
      <c r="B513" t="s">
        <v>31</v>
      </c>
      <c r="C513" cm="1">
        <f t="array" ref="C513">IF(A513="","",INDEX(tbEtapas[Nº],MOD(ROW(A512)-1,TotalEtapas)+1))</f>
        <v>8</v>
      </c>
      <c r="D513" t="str">
        <f>IFERROR(VLOOKUP(tbEscolas[[#This Row],[COD ETPA]],tbEtapas[],2,FALSE),"")</f>
        <v>4º ANO</v>
      </c>
      <c r="E513" t="str">
        <f>IFERROR(VLOOKUP(tbEscolas[[#This Row],[COD ETPA]],tbEtapas[],3,FALSE),"")</f>
        <v>FUNDAMENTAL</v>
      </c>
      <c r="F513" t="s">
        <v>125</v>
      </c>
    </row>
    <row r="514" spans="1:6" x14ac:dyDescent="0.25">
      <c r="A514" t="str" cm="1">
        <f t="array" ref="A514">IFERROR(INDEX(tbNucleo[ESCOLA],ROUNDUP(ROW(A513)/TotalEtapas,0)),"")</f>
        <v>EM GARCES</v>
      </c>
      <c r="B514" t="s">
        <v>31</v>
      </c>
      <c r="C514" cm="1">
        <f t="array" ref="C514">IF(A514="","",INDEX(tbEtapas[Nº],MOD(ROW(A513)-1,TotalEtapas)+1))</f>
        <v>9</v>
      </c>
      <c r="D514" t="str">
        <f>IFERROR(VLOOKUP(tbEscolas[[#This Row],[COD ETPA]],tbEtapas[],2,FALSE),"")</f>
        <v>5º ANO</v>
      </c>
      <c r="E514" t="str">
        <f>IFERROR(VLOOKUP(tbEscolas[[#This Row],[COD ETPA]],tbEtapas[],3,FALSE),"")</f>
        <v>FUNDAMENTAL</v>
      </c>
      <c r="F514" t="s">
        <v>125</v>
      </c>
    </row>
    <row r="515" spans="1:6" x14ac:dyDescent="0.25">
      <c r="A515" t="str" cm="1">
        <f t="array" ref="A515">IFERROR(INDEX(tbNucleo[ESCOLA],ROUNDUP(ROW(A514)/TotalEtapas,0)),"")</f>
        <v>EM GARCES</v>
      </c>
      <c r="B515" t="s">
        <v>31</v>
      </c>
      <c r="C515" cm="1">
        <f t="array" ref="C515">IF(A515="","",INDEX(tbEtapas[Nº],MOD(ROW(A514)-1,TotalEtapas)+1))</f>
        <v>10</v>
      </c>
      <c r="D515" t="str">
        <f>IFERROR(VLOOKUP(tbEscolas[[#This Row],[COD ETPA]],tbEtapas[],2,FALSE),"")</f>
        <v>6º ANO</v>
      </c>
      <c r="E515" t="str">
        <f>IFERROR(VLOOKUP(tbEscolas[[#This Row],[COD ETPA]],tbEtapas[],3,FALSE),"")</f>
        <v>FUNDAMENTAL</v>
      </c>
      <c r="F515" t="s">
        <v>125</v>
      </c>
    </row>
    <row r="516" spans="1:6" x14ac:dyDescent="0.25">
      <c r="A516" t="str" cm="1">
        <f t="array" ref="A516">IFERROR(INDEX(tbNucleo[ESCOLA],ROUNDUP(ROW(A515)/TotalEtapas,0)),"")</f>
        <v>EM GARCES</v>
      </c>
      <c r="B516" t="s">
        <v>31</v>
      </c>
      <c r="C516" cm="1">
        <f t="array" ref="C516">IF(A516="","",INDEX(tbEtapas[Nº],MOD(ROW(A515)-1,TotalEtapas)+1))</f>
        <v>11</v>
      </c>
      <c r="D516" t="str">
        <f>IFERROR(VLOOKUP(tbEscolas[[#This Row],[COD ETPA]],tbEtapas[],2,FALSE),"")</f>
        <v>7º ANO</v>
      </c>
      <c r="E516" t="str">
        <f>IFERROR(VLOOKUP(tbEscolas[[#This Row],[COD ETPA]],tbEtapas[],3,FALSE),"")</f>
        <v>FUNDAMENTAL</v>
      </c>
      <c r="F516" t="s">
        <v>125</v>
      </c>
    </row>
    <row r="517" spans="1:6" x14ac:dyDescent="0.25">
      <c r="A517" t="str" cm="1">
        <f t="array" ref="A517">IFERROR(INDEX(tbNucleo[ESCOLA],ROUNDUP(ROW(A516)/TotalEtapas,0)),"")</f>
        <v>EM GARCES</v>
      </c>
      <c r="B517" t="s">
        <v>31</v>
      </c>
      <c r="C517" cm="1">
        <f t="array" ref="C517">IF(A517="","",INDEX(tbEtapas[Nº],MOD(ROW(A516)-1,TotalEtapas)+1))</f>
        <v>12</v>
      </c>
      <c r="D517" t="str">
        <f>IFERROR(VLOOKUP(tbEscolas[[#This Row],[COD ETPA]],tbEtapas[],2,FALSE),"")</f>
        <v>8º ANO</v>
      </c>
      <c r="E517" t="str">
        <f>IFERROR(VLOOKUP(tbEscolas[[#This Row],[COD ETPA]],tbEtapas[],3,FALSE),"")</f>
        <v>FUNDAMENTAL</v>
      </c>
      <c r="F517" t="s">
        <v>125</v>
      </c>
    </row>
    <row r="518" spans="1:6" x14ac:dyDescent="0.25">
      <c r="A518" t="str" cm="1">
        <f t="array" ref="A518">IFERROR(INDEX(tbNucleo[ESCOLA],ROUNDUP(ROW(A517)/TotalEtapas,0)),"")</f>
        <v>EM GARCES</v>
      </c>
      <c r="B518" t="s">
        <v>31</v>
      </c>
      <c r="C518" cm="1">
        <f t="array" ref="C518">IF(A518="","",INDEX(tbEtapas[Nº],MOD(ROW(A517)-1,TotalEtapas)+1))</f>
        <v>13</v>
      </c>
      <c r="D518" t="str">
        <f>IFERROR(VLOOKUP(tbEscolas[[#This Row],[COD ETPA]],tbEtapas[],2,FALSE),"")</f>
        <v>9º ANO</v>
      </c>
      <c r="E518" t="str">
        <f>IFERROR(VLOOKUP(tbEscolas[[#This Row],[COD ETPA]],tbEtapas[],3,FALSE),"")</f>
        <v>FUNDAMENTAL</v>
      </c>
      <c r="F518" t="s">
        <v>125</v>
      </c>
    </row>
    <row r="519" spans="1:6" x14ac:dyDescent="0.25">
      <c r="A519" t="str" cm="1">
        <f t="array" ref="A519">IFERROR(INDEX(tbNucleo[ESCOLA],ROUNDUP(ROW(A518)/TotalEtapas,0)),"")</f>
        <v>EM GARCES</v>
      </c>
      <c r="B519" t="s">
        <v>31</v>
      </c>
      <c r="C519">
        <v>14</v>
      </c>
      <c r="D519" t="str">
        <f>IFERROR(VLOOKUP(tbEscolas[[#This Row],[COD ETPA]],tbEtapas[],2,FALSE),"")</f>
        <v>1º ANO</v>
      </c>
      <c r="E519" t="str">
        <f>IFERROR(VLOOKUP(tbEscolas[[#This Row],[COD ETPA]],tbEtapas[],3,FALSE),"")</f>
        <v>ENSINO MÉDIO</v>
      </c>
      <c r="F519" t="s">
        <v>125</v>
      </c>
    </row>
    <row r="520" spans="1:6" x14ac:dyDescent="0.25">
      <c r="A520" t="str" cm="1">
        <f t="array" ref="A520">IFERROR(INDEX(tbNucleo[ESCOLA],ROUNDUP(ROW(A519)/TotalEtapas,0)),"")</f>
        <v>EM GARCES</v>
      </c>
      <c r="B520" t="s">
        <v>31</v>
      </c>
      <c r="C520">
        <v>15</v>
      </c>
      <c r="D520" t="str">
        <f>IFERROR(VLOOKUP(tbEscolas[[#This Row],[COD ETPA]],tbEtapas[],2,FALSE),"")</f>
        <v>2º ANO</v>
      </c>
      <c r="E520" t="str">
        <f>IFERROR(VLOOKUP(tbEscolas[[#This Row],[COD ETPA]],tbEtapas[],3,FALSE),"")</f>
        <v>ENSINO MÉDIO</v>
      </c>
      <c r="F520" t="s">
        <v>125</v>
      </c>
    </row>
    <row r="521" spans="1:6" x14ac:dyDescent="0.25">
      <c r="A521" t="str" cm="1">
        <f t="array" ref="A521">IFERROR(INDEX(tbNucleo[ESCOLA],ROUNDUP(ROW(A520)/TotalEtapas,0)),"")</f>
        <v>EM GARCES</v>
      </c>
      <c r="B521" t="s">
        <v>31</v>
      </c>
      <c r="C521">
        <v>16</v>
      </c>
      <c r="D521" t="str">
        <f>IFERROR(VLOOKUP(tbEscolas[[#This Row],[COD ETPA]],tbEtapas[],2,FALSE),"")</f>
        <v>3º ANO</v>
      </c>
      <c r="E521" t="str">
        <f>IFERROR(VLOOKUP(tbEscolas[[#This Row],[COD ETPA]],tbEtapas[],3,FALSE),"")</f>
        <v>ENSINO MÉDIO</v>
      </c>
      <c r="F521" t="s">
        <v>125</v>
      </c>
    </row>
    <row r="522" spans="1:6" x14ac:dyDescent="0.25">
      <c r="A522" t="str" cm="1">
        <f t="array" ref="A522">IFERROR(INDEX(tbNucleo[ESCOLA],ROUNDUP(ROW(A521)/TotalEtapas,0)),"")</f>
        <v>EM GARCES</v>
      </c>
      <c r="B522" t="s">
        <v>31</v>
      </c>
      <c r="C522">
        <v>17</v>
      </c>
      <c r="D522" t="str">
        <f>IFERROR(VLOOKUP(tbEscolas[[#This Row],[COD ETPA]],tbEtapas[],2,FALSE),"")</f>
        <v>EJA I</v>
      </c>
      <c r="E522" t="str">
        <f>IFERROR(VLOOKUP(tbEscolas[[#This Row],[COD ETPA]],tbEtapas[],3,FALSE),"")</f>
        <v>FUNDAMENTAL</v>
      </c>
      <c r="F522" t="s">
        <v>125</v>
      </c>
    </row>
    <row r="523" spans="1:6" x14ac:dyDescent="0.25">
      <c r="A523" t="str" cm="1">
        <f t="array" ref="A523">IFERROR(INDEX(tbNucleo[ESCOLA],ROUNDUP(ROW(A522)/TotalEtapas,0)),"")</f>
        <v>EM GARCES</v>
      </c>
      <c r="B523" t="s">
        <v>31</v>
      </c>
      <c r="C523">
        <v>18</v>
      </c>
      <c r="D523" t="str">
        <f>IFERROR(VLOOKUP(tbEscolas[[#This Row],[COD ETPA]],tbEtapas[],2,FALSE),"")</f>
        <v>EJA II</v>
      </c>
      <c r="E523" t="str">
        <f>IFERROR(VLOOKUP(tbEscolas[[#This Row],[COD ETPA]],tbEtapas[],3,FALSE),"")</f>
        <v>ENSINO MÉDIO</v>
      </c>
      <c r="F523" t="s">
        <v>125</v>
      </c>
    </row>
    <row r="524" spans="1:6" x14ac:dyDescent="0.25">
      <c r="A524" s="4" t="str" cm="1">
        <f t="array" ref="A524">IFERROR(INDEX(tbNucleo[ESCOLA],ROUNDUP(ROW(A523)/TotalEtapas,0)),"")</f>
        <v>EM BURITI</v>
      </c>
      <c r="B524" s="4" t="s">
        <v>117</v>
      </c>
      <c r="C524" s="4" cm="1">
        <f t="array" ref="C524">IF(A524="","",INDEX(tbEtapas[Nº],MOD(ROW(A523)-1,TotalEtapas)+1))</f>
        <v>1</v>
      </c>
      <c r="D524" s="4" t="str">
        <f>IFERROR(VLOOKUP(tbEscolas[[#This Row],[COD ETPA]],tbEtapas[],2,FALSE),"")</f>
        <v>CRECHE I</v>
      </c>
      <c r="E524" s="4" t="str">
        <f>IFERROR(VLOOKUP(tbEscolas[[#This Row],[COD ETPA]],tbEtapas[],3,FALSE),"")</f>
        <v>EDUCAÇÃO INFANTIL</v>
      </c>
      <c r="F524" s="4" t="s">
        <v>125</v>
      </c>
    </row>
    <row r="525" spans="1:6" x14ac:dyDescent="0.25">
      <c r="A525" s="4" t="str" cm="1">
        <f t="array" ref="A525">IFERROR(INDEX(tbNucleo[ESCOLA],ROUNDUP(ROW(A524)/TotalEtapas,0)),"")</f>
        <v>EM BURITI</v>
      </c>
      <c r="B525" s="4" t="s">
        <v>117</v>
      </c>
      <c r="C525" s="4" cm="1">
        <f t="array" ref="C525">IF(A525="","",INDEX(tbEtapas[Nº],MOD(ROW(A524)-1,TotalEtapas)+1))</f>
        <v>2</v>
      </c>
      <c r="D525" s="4" t="str">
        <f>IFERROR(VLOOKUP(tbEscolas[[#This Row],[COD ETPA]],tbEtapas[],2,FALSE),"")</f>
        <v>CRECHE II</v>
      </c>
      <c r="E525" s="4" t="str">
        <f>IFERROR(VLOOKUP(tbEscolas[[#This Row],[COD ETPA]],tbEtapas[],3,FALSE),"")</f>
        <v>EDUCAÇÃO INFANTIL</v>
      </c>
      <c r="F525" s="4" t="s">
        <v>125</v>
      </c>
    </row>
    <row r="526" spans="1:6" x14ac:dyDescent="0.25">
      <c r="A526" s="4" t="str" cm="1">
        <f t="array" ref="A526">IFERROR(INDEX(tbNucleo[ESCOLA],ROUNDUP(ROW(A525)/TotalEtapas,0)),"")</f>
        <v>EM BURITI</v>
      </c>
      <c r="B526" s="4" t="s">
        <v>117</v>
      </c>
      <c r="C526" s="4" cm="1">
        <f t="array" ref="C526">IF(A526="","",INDEX(tbEtapas[Nº],MOD(ROW(A525)-1,TotalEtapas)+1))</f>
        <v>3</v>
      </c>
      <c r="D526" s="4" t="str">
        <f>IFERROR(VLOOKUP(tbEscolas[[#This Row],[COD ETPA]],tbEtapas[],2,FALSE),"")</f>
        <v>PRE I</v>
      </c>
      <c r="E526" s="4" t="str">
        <f>IFERROR(VLOOKUP(tbEscolas[[#This Row],[COD ETPA]],tbEtapas[],3,FALSE),"")</f>
        <v>EDUCAÇÃO INFANTIL</v>
      </c>
      <c r="F526" s="4" t="s">
        <v>126</v>
      </c>
    </row>
    <row r="527" spans="1:6" x14ac:dyDescent="0.25">
      <c r="A527" s="4" t="str" cm="1">
        <f t="array" ref="A527">IFERROR(INDEX(tbNucleo[ESCOLA],ROUNDUP(ROW(A526)/TotalEtapas,0)),"")</f>
        <v>EM BURITI</v>
      </c>
      <c r="B527" s="4" t="s">
        <v>117</v>
      </c>
      <c r="C527" s="4" cm="1">
        <f t="array" ref="C527">IF(A527="","",INDEX(tbEtapas[Nº],MOD(ROW(A526)-1,TotalEtapas)+1))</f>
        <v>4</v>
      </c>
      <c r="D527" s="4" t="str">
        <f>IFERROR(VLOOKUP(tbEscolas[[#This Row],[COD ETPA]],tbEtapas[],2,FALSE),"")</f>
        <v>PRE II</v>
      </c>
      <c r="E527" s="4" t="str">
        <f>IFERROR(VLOOKUP(tbEscolas[[#This Row],[COD ETPA]],tbEtapas[],3,FALSE),"")</f>
        <v>EDUCAÇÃO INFANTIL</v>
      </c>
      <c r="F527" s="4" t="s">
        <v>126</v>
      </c>
    </row>
    <row r="528" spans="1:6" x14ac:dyDescent="0.25">
      <c r="A528" s="4" t="str" cm="1">
        <f t="array" ref="A528">IFERROR(INDEX(tbNucleo[ESCOLA],ROUNDUP(ROW(A527)/TotalEtapas,0)),"")</f>
        <v>EM BURITI</v>
      </c>
      <c r="B528" s="4" t="s">
        <v>117</v>
      </c>
      <c r="C528" s="4" cm="1">
        <f t="array" ref="C528">IF(A528="","",INDEX(tbEtapas[Nº],MOD(ROW(A527)-1,TotalEtapas)+1))</f>
        <v>5</v>
      </c>
      <c r="D528" s="4" t="str">
        <f>IFERROR(VLOOKUP(tbEscolas[[#This Row],[COD ETPA]],tbEtapas[],2,FALSE),"")</f>
        <v>1º ANO</v>
      </c>
      <c r="E528" s="4" t="str">
        <f>IFERROR(VLOOKUP(tbEscolas[[#This Row],[COD ETPA]],tbEtapas[],3,FALSE),"")</f>
        <v>FUNDAMENTAL</v>
      </c>
      <c r="F528" s="4" t="s">
        <v>126</v>
      </c>
    </row>
    <row r="529" spans="1:6" x14ac:dyDescent="0.25">
      <c r="A529" s="4" t="str" cm="1">
        <f t="array" ref="A529">IFERROR(INDEX(tbNucleo[ESCOLA],ROUNDUP(ROW(A528)/TotalEtapas,0)),"")</f>
        <v>EM BURITI</v>
      </c>
      <c r="B529" s="4" t="s">
        <v>117</v>
      </c>
      <c r="C529" s="4" cm="1">
        <f t="array" ref="C529">IF(A529="","",INDEX(tbEtapas[Nº],MOD(ROW(A528)-1,TotalEtapas)+1))</f>
        <v>6</v>
      </c>
      <c r="D529" s="4" t="str">
        <f>IFERROR(VLOOKUP(tbEscolas[[#This Row],[COD ETPA]],tbEtapas[],2,FALSE),"")</f>
        <v>2º ANO</v>
      </c>
      <c r="E529" s="4" t="str">
        <f>IFERROR(VLOOKUP(tbEscolas[[#This Row],[COD ETPA]],tbEtapas[],3,FALSE),"")</f>
        <v>FUNDAMENTAL</v>
      </c>
      <c r="F529" s="4" t="s">
        <v>126</v>
      </c>
    </row>
    <row r="530" spans="1:6" x14ac:dyDescent="0.25">
      <c r="A530" s="4" t="str" cm="1">
        <f t="array" ref="A530">IFERROR(INDEX(tbNucleo[ESCOLA],ROUNDUP(ROW(A529)/TotalEtapas,0)),"")</f>
        <v>EM BURITI</v>
      </c>
      <c r="B530" s="4" t="s">
        <v>117</v>
      </c>
      <c r="C530" s="4" cm="1">
        <f t="array" ref="C530">IF(A530="","",INDEX(tbEtapas[Nº],MOD(ROW(A529)-1,TotalEtapas)+1))</f>
        <v>7</v>
      </c>
      <c r="D530" s="4" t="str">
        <f>IFERROR(VLOOKUP(tbEscolas[[#This Row],[COD ETPA]],tbEtapas[],2,FALSE),"")</f>
        <v>3º ANO</v>
      </c>
      <c r="E530" s="4" t="str">
        <f>IFERROR(VLOOKUP(tbEscolas[[#This Row],[COD ETPA]],tbEtapas[],3,FALSE),"")</f>
        <v>FUNDAMENTAL</v>
      </c>
      <c r="F530" s="4" t="s">
        <v>126</v>
      </c>
    </row>
    <row r="531" spans="1:6" x14ac:dyDescent="0.25">
      <c r="A531" s="4" t="str" cm="1">
        <f t="array" ref="A531">IFERROR(INDEX(tbNucleo[ESCOLA],ROUNDUP(ROW(A530)/TotalEtapas,0)),"")</f>
        <v>EM BURITI</v>
      </c>
      <c r="B531" s="4" t="s">
        <v>117</v>
      </c>
      <c r="C531" s="4" cm="1">
        <f t="array" ref="C531">IF(A531="","",INDEX(tbEtapas[Nº],MOD(ROW(A530)-1,TotalEtapas)+1))</f>
        <v>8</v>
      </c>
      <c r="D531" s="4" t="str">
        <f>IFERROR(VLOOKUP(tbEscolas[[#This Row],[COD ETPA]],tbEtapas[],2,FALSE),"")</f>
        <v>4º ANO</v>
      </c>
      <c r="E531" s="4" t="str">
        <f>IFERROR(VLOOKUP(tbEscolas[[#This Row],[COD ETPA]],tbEtapas[],3,FALSE),"")</f>
        <v>FUNDAMENTAL</v>
      </c>
      <c r="F531" s="4" t="s">
        <v>126</v>
      </c>
    </row>
    <row r="532" spans="1:6" x14ac:dyDescent="0.25">
      <c r="A532" s="4" t="str" cm="1">
        <f t="array" ref="A532">IFERROR(INDEX(tbNucleo[ESCOLA],ROUNDUP(ROW(A531)/TotalEtapas,0)),"")</f>
        <v>EM BURITI</v>
      </c>
      <c r="B532" s="4" t="s">
        <v>117</v>
      </c>
      <c r="C532" s="4" cm="1">
        <f t="array" ref="C532">IF(A532="","",INDEX(tbEtapas[Nº],MOD(ROW(A531)-1,TotalEtapas)+1))</f>
        <v>9</v>
      </c>
      <c r="D532" s="4" t="str">
        <f>IFERROR(VLOOKUP(tbEscolas[[#This Row],[COD ETPA]],tbEtapas[],2,FALSE),"")</f>
        <v>5º ANO</v>
      </c>
      <c r="E532" s="4" t="str">
        <f>IFERROR(VLOOKUP(tbEscolas[[#This Row],[COD ETPA]],tbEtapas[],3,FALSE),"")</f>
        <v>FUNDAMENTAL</v>
      </c>
      <c r="F532" s="4" t="s">
        <v>126</v>
      </c>
    </row>
    <row r="533" spans="1:6" x14ac:dyDescent="0.25">
      <c r="A533" s="4" t="str" cm="1">
        <f t="array" ref="A533">IFERROR(INDEX(tbNucleo[ESCOLA],ROUNDUP(ROW(A532)/TotalEtapas,0)),"")</f>
        <v>EM BURITI</v>
      </c>
      <c r="B533" s="4" t="s">
        <v>117</v>
      </c>
      <c r="C533" s="4" cm="1">
        <f t="array" ref="C533">IF(A533="","",INDEX(tbEtapas[Nº],MOD(ROW(A532)-1,TotalEtapas)+1))</f>
        <v>10</v>
      </c>
      <c r="D533" s="4" t="str">
        <f>IFERROR(VLOOKUP(tbEscolas[[#This Row],[COD ETPA]],tbEtapas[],2,FALSE),"")</f>
        <v>6º ANO</v>
      </c>
      <c r="E533" s="4" t="str">
        <f>IFERROR(VLOOKUP(tbEscolas[[#This Row],[COD ETPA]],tbEtapas[],3,FALSE),"")</f>
        <v>FUNDAMENTAL</v>
      </c>
      <c r="F533" s="4" t="s">
        <v>125</v>
      </c>
    </row>
    <row r="534" spans="1:6" x14ac:dyDescent="0.25">
      <c r="A534" s="4" t="str" cm="1">
        <f t="array" ref="A534">IFERROR(INDEX(tbNucleo[ESCOLA],ROUNDUP(ROW(A533)/TotalEtapas,0)),"")</f>
        <v>EM BURITI</v>
      </c>
      <c r="B534" s="4" t="s">
        <v>117</v>
      </c>
      <c r="C534" s="4" cm="1">
        <f t="array" ref="C534">IF(A534="","",INDEX(tbEtapas[Nº],MOD(ROW(A533)-1,TotalEtapas)+1))</f>
        <v>11</v>
      </c>
      <c r="D534" s="4" t="str">
        <f>IFERROR(VLOOKUP(tbEscolas[[#This Row],[COD ETPA]],tbEtapas[],2,FALSE),"")</f>
        <v>7º ANO</v>
      </c>
      <c r="E534" s="4" t="str">
        <f>IFERROR(VLOOKUP(tbEscolas[[#This Row],[COD ETPA]],tbEtapas[],3,FALSE),"")</f>
        <v>FUNDAMENTAL</v>
      </c>
      <c r="F534" s="4" t="s">
        <v>125</v>
      </c>
    </row>
    <row r="535" spans="1:6" x14ac:dyDescent="0.25">
      <c r="A535" s="4" t="str" cm="1">
        <f t="array" ref="A535">IFERROR(INDEX(tbNucleo[ESCOLA],ROUNDUP(ROW(A534)/TotalEtapas,0)),"")</f>
        <v>EM BURITI</v>
      </c>
      <c r="B535" s="4" t="s">
        <v>117</v>
      </c>
      <c r="C535" s="4" cm="1">
        <f t="array" ref="C535">IF(A535="","",INDEX(tbEtapas[Nº],MOD(ROW(A534)-1,TotalEtapas)+1))</f>
        <v>12</v>
      </c>
      <c r="D535" s="4" t="str">
        <f>IFERROR(VLOOKUP(tbEscolas[[#This Row],[COD ETPA]],tbEtapas[],2,FALSE),"")</f>
        <v>8º ANO</v>
      </c>
      <c r="E535" s="4" t="str">
        <f>IFERROR(VLOOKUP(tbEscolas[[#This Row],[COD ETPA]],tbEtapas[],3,FALSE),"")</f>
        <v>FUNDAMENTAL</v>
      </c>
      <c r="F535" s="4" t="s">
        <v>125</v>
      </c>
    </row>
    <row r="536" spans="1:6" x14ac:dyDescent="0.25">
      <c r="A536" s="4" t="str" cm="1">
        <f t="array" ref="A536">IFERROR(INDEX(tbNucleo[ESCOLA],ROUNDUP(ROW(A535)/TotalEtapas,0)),"")</f>
        <v>EM BURITI</v>
      </c>
      <c r="B536" s="4" t="s">
        <v>117</v>
      </c>
      <c r="C536" s="4" cm="1">
        <f t="array" ref="C536">IF(A536="","",INDEX(tbEtapas[Nº],MOD(ROW(A535)-1,TotalEtapas)+1))</f>
        <v>13</v>
      </c>
      <c r="D536" s="4" t="str">
        <f>IFERROR(VLOOKUP(tbEscolas[[#This Row],[COD ETPA]],tbEtapas[],2,FALSE),"")</f>
        <v>9º ANO</v>
      </c>
      <c r="E536" s="4" t="str">
        <f>IFERROR(VLOOKUP(tbEscolas[[#This Row],[COD ETPA]],tbEtapas[],3,FALSE),"")</f>
        <v>FUNDAMENTAL</v>
      </c>
      <c r="F536" s="4" t="s">
        <v>125</v>
      </c>
    </row>
    <row r="537" spans="1:6" x14ac:dyDescent="0.25">
      <c r="A537" s="4" t="str" cm="1">
        <f t="array" ref="A537">IFERROR(INDEX(tbNucleo[ESCOLA],ROUNDUP(ROW(A536)/TotalEtapas,0)),"")</f>
        <v>EM BURITI</v>
      </c>
      <c r="B537" s="4" t="s">
        <v>117</v>
      </c>
      <c r="C537" s="4">
        <v>14</v>
      </c>
      <c r="D537" s="4" t="str">
        <f>IFERROR(VLOOKUP(tbEscolas[[#This Row],[COD ETPA]],tbEtapas[],2,FALSE),"")</f>
        <v>1º ANO</v>
      </c>
      <c r="E537" s="4" t="str">
        <f>IFERROR(VLOOKUP(tbEscolas[[#This Row],[COD ETPA]],tbEtapas[],3,FALSE),"")</f>
        <v>ENSINO MÉDIO</v>
      </c>
      <c r="F537" s="4" t="s">
        <v>125</v>
      </c>
    </row>
    <row r="538" spans="1:6" x14ac:dyDescent="0.25">
      <c r="A538" s="4" t="str" cm="1">
        <f t="array" ref="A538">IFERROR(INDEX(tbNucleo[ESCOLA],ROUNDUP(ROW(A537)/TotalEtapas,0)),"")</f>
        <v>EM BURITI</v>
      </c>
      <c r="B538" s="4" t="s">
        <v>117</v>
      </c>
      <c r="C538" s="4">
        <v>15</v>
      </c>
      <c r="D538" s="4" t="str">
        <f>IFERROR(VLOOKUP(tbEscolas[[#This Row],[COD ETPA]],tbEtapas[],2,FALSE),"")</f>
        <v>2º ANO</v>
      </c>
      <c r="E538" s="4" t="str">
        <f>IFERROR(VLOOKUP(tbEscolas[[#This Row],[COD ETPA]],tbEtapas[],3,FALSE),"")</f>
        <v>ENSINO MÉDIO</v>
      </c>
      <c r="F538" s="4" t="s">
        <v>125</v>
      </c>
    </row>
    <row r="539" spans="1:6" x14ac:dyDescent="0.25">
      <c r="A539" s="4" t="str" cm="1">
        <f t="array" ref="A539">IFERROR(INDEX(tbNucleo[ESCOLA],ROUNDUP(ROW(A538)/TotalEtapas,0)),"")</f>
        <v>EM BURITI</v>
      </c>
      <c r="B539" s="4" t="s">
        <v>117</v>
      </c>
      <c r="C539" s="4">
        <v>16</v>
      </c>
      <c r="D539" s="4" t="str">
        <f>IFERROR(VLOOKUP(tbEscolas[[#This Row],[COD ETPA]],tbEtapas[],2,FALSE),"")</f>
        <v>3º ANO</v>
      </c>
      <c r="E539" s="4" t="str">
        <f>IFERROR(VLOOKUP(tbEscolas[[#This Row],[COD ETPA]],tbEtapas[],3,FALSE),"")</f>
        <v>ENSINO MÉDIO</v>
      </c>
      <c r="F539" s="4" t="s">
        <v>125</v>
      </c>
    </row>
    <row r="540" spans="1:6" x14ac:dyDescent="0.25">
      <c r="A540" s="4" t="str" cm="1">
        <f t="array" ref="A540">IFERROR(INDEX(tbNucleo[ESCOLA],ROUNDUP(ROW(A539)/TotalEtapas,0)),"")</f>
        <v>EM BURITI</v>
      </c>
      <c r="B540" s="4" t="s">
        <v>117</v>
      </c>
      <c r="C540" s="4">
        <v>17</v>
      </c>
      <c r="D540" s="4" t="str">
        <f>IFERROR(VLOOKUP(tbEscolas[[#This Row],[COD ETPA]],tbEtapas[],2,FALSE),"")</f>
        <v>EJA I</v>
      </c>
      <c r="E540" s="4" t="str">
        <f>IFERROR(VLOOKUP(tbEscolas[[#This Row],[COD ETPA]],tbEtapas[],3,FALSE),"")</f>
        <v>FUNDAMENTAL</v>
      </c>
      <c r="F540" s="4" t="s">
        <v>125</v>
      </c>
    </row>
    <row r="541" spans="1:6" x14ac:dyDescent="0.25">
      <c r="A541" s="4" t="str" cm="1">
        <f t="array" ref="A541">IFERROR(INDEX(tbNucleo[ESCOLA],ROUNDUP(ROW(A540)/TotalEtapas,0)),"")</f>
        <v>EM BURITI</v>
      </c>
      <c r="B541" s="4" t="s">
        <v>117</v>
      </c>
      <c r="C541" s="4">
        <v>18</v>
      </c>
      <c r="D541" s="4" t="str">
        <f>IFERROR(VLOOKUP(tbEscolas[[#This Row],[COD ETPA]],tbEtapas[],2,FALSE),"")</f>
        <v>EJA II</v>
      </c>
      <c r="E541" s="4" t="str">
        <f>IFERROR(VLOOKUP(tbEscolas[[#This Row],[COD ETPA]],tbEtapas[],3,FALSE),"")</f>
        <v>ENSINO MÉDIO</v>
      </c>
      <c r="F541" s="4" t="s">
        <v>125</v>
      </c>
    </row>
    <row r="542" spans="1:6" x14ac:dyDescent="0.25">
      <c r="A542" t="str" cm="1">
        <f t="array" ref="A542">IFERROR(INDEX(tbNucleo[ESCOLA],ROUNDUP(ROW(A541)/TotalEtapas,0)),"")</f>
        <v>EM VILA IRENE</v>
      </c>
      <c r="B542" t="s">
        <v>31</v>
      </c>
      <c r="C542" cm="1">
        <f t="array" ref="C542">IF(A542="","",INDEX(tbEtapas[Nº],MOD(ROW(A541)-1,TotalEtapas)+1))</f>
        <v>1</v>
      </c>
      <c r="D542" t="str">
        <f>IFERROR(VLOOKUP(tbEscolas[[#This Row],[COD ETPA]],tbEtapas[],2,FALSE),"")</f>
        <v>CRECHE I</v>
      </c>
      <c r="E542" t="str">
        <f>IFERROR(VLOOKUP(tbEscolas[[#This Row],[COD ETPA]],tbEtapas[],3,FALSE),"")</f>
        <v>EDUCAÇÃO INFANTIL</v>
      </c>
      <c r="F542" t="s">
        <v>125</v>
      </c>
    </row>
    <row r="543" spans="1:6" x14ac:dyDescent="0.25">
      <c r="A543" t="str" cm="1">
        <f t="array" ref="A543">IFERROR(INDEX(tbNucleo[ESCOLA],ROUNDUP(ROW(A542)/TotalEtapas,0)),"")</f>
        <v>EM VILA IRENE</v>
      </c>
      <c r="B543" t="s">
        <v>31</v>
      </c>
      <c r="C543" cm="1">
        <f t="array" ref="C543">IF(A543="","",INDEX(tbEtapas[Nº],MOD(ROW(A542)-1,TotalEtapas)+1))</f>
        <v>2</v>
      </c>
      <c r="D543" t="str">
        <f>IFERROR(VLOOKUP(tbEscolas[[#This Row],[COD ETPA]],tbEtapas[],2,FALSE),"")</f>
        <v>CRECHE II</v>
      </c>
      <c r="E543" t="str">
        <f>IFERROR(VLOOKUP(tbEscolas[[#This Row],[COD ETPA]],tbEtapas[],3,FALSE),"")</f>
        <v>EDUCAÇÃO INFANTIL</v>
      </c>
      <c r="F543" t="s">
        <v>125</v>
      </c>
    </row>
    <row r="544" spans="1:6" x14ac:dyDescent="0.25">
      <c r="A544" t="str" cm="1">
        <f t="array" ref="A544">IFERROR(INDEX(tbNucleo[ESCOLA],ROUNDUP(ROW(A543)/TotalEtapas,0)),"")</f>
        <v>EM VILA IRENE</v>
      </c>
      <c r="B544" t="s">
        <v>31</v>
      </c>
      <c r="C544" cm="1">
        <f t="array" ref="C544">IF(A544="","",INDEX(tbEtapas[Nº],MOD(ROW(A543)-1,TotalEtapas)+1))</f>
        <v>3</v>
      </c>
      <c r="D544" t="str">
        <f>IFERROR(VLOOKUP(tbEscolas[[#This Row],[COD ETPA]],tbEtapas[],2,FALSE),"")</f>
        <v>PRE I</v>
      </c>
      <c r="E544" t="str">
        <f>IFERROR(VLOOKUP(tbEscolas[[#This Row],[COD ETPA]],tbEtapas[],3,FALSE),"")</f>
        <v>EDUCAÇÃO INFANTIL</v>
      </c>
      <c r="F544" t="s">
        <v>126</v>
      </c>
    </row>
    <row r="545" spans="1:6" x14ac:dyDescent="0.25">
      <c r="A545" t="str" cm="1">
        <f t="array" ref="A545">IFERROR(INDEX(tbNucleo[ESCOLA],ROUNDUP(ROW(A544)/TotalEtapas,0)),"")</f>
        <v>EM VILA IRENE</v>
      </c>
      <c r="B545" t="s">
        <v>31</v>
      </c>
      <c r="C545" cm="1">
        <f t="array" ref="C545">IF(A545="","",INDEX(tbEtapas[Nº],MOD(ROW(A544)-1,TotalEtapas)+1))</f>
        <v>4</v>
      </c>
      <c r="D545" t="str">
        <f>IFERROR(VLOOKUP(tbEscolas[[#This Row],[COD ETPA]],tbEtapas[],2,FALSE),"")</f>
        <v>PRE II</v>
      </c>
      <c r="E545" t="str">
        <f>IFERROR(VLOOKUP(tbEscolas[[#This Row],[COD ETPA]],tbEtapas[],3,FALSE),"")</f>
        <v>EDUCAÇÃO INFANTIL</v>
      </c>
      <c r="F545" t="s">
        <v>126</v>
      </c>
    </row>
    <row r="546" spans="1:6" x14ac:dyDescent="0.25">
      <c r="A546" t="str" cm="1">
        <f t="array" ref="A546">IFERROR(INDEX(tbNucleo[ESCOLA],ROUNDUP(ROW(A545)/TotalEtapas,0)),"")</f>
        <v>EM VILA IRENE</v>
      </c>
      <c r="B546" t="s">
        <v>31</v>
      </c>
      <c r="C546" cm="1">
        <f t="array" ref="C546">IF(A546="","",INDEX(tbEtapas[Nº],MOD(ROW(A545)-1,TotalEtapas)+1))</f>
        <v>5</v>
      </c>
      <c r="D546" t="str">
        <f>IFERROR(VLOOKUP(tbEscolas[[#This Row],[COD ETPA]],tbEtapas[],2,FALSE),"")</f>
        <v>1º ANO</v>
      </c>
      <c r="E546" t="str">
        <f>IFERROR(VLOOKUP(tbEscolas[[#This Row],[COD ETPA]],tbEtapas[],3,FALSE),"")</f>
        <v>FUNDAMENTAL</v>
      </c>
      <c r="F546" t="s">
        <v>126</v>
      </c>
    </row>
    <row r="547" spans="1:6" x14ac:dyDescent="0.25">
      <c r="A547" t="str" cm="1">
        <f t="array" ref="A547">IFERROR(INDEX(tbNucleo[ESCOLA],ROUNDUP(ROW(A546)/TotalEtapas,0)),"")</f>
        <v>EM VILA IRENE</v>
      </c>
      <c r="B547" t="s">
        <v>31</v>
      </c>
      <c r="C547" cm="1">
        <f t="array" ref="C547">IF(A547="","",INDEX(tbEtapas[Nº],MOD(ROW(A546)-1,TotalEtapas)+1))</f>
        <v>6</v>
      </c>
      <c r="D547" t="str">
        <f>IFERROR(VLOOKUP(tbEscolas[[#This Row],[COD ETPA]],tbEtapas[],2,FALSE),"")</f>
        <v>2º ANO</v>
      </c>
      <c r="E547" t="str">
        <f>IFERROR(VLOOKUP(tbEscolas[[#This Row],[COD ETPA]],tbEtapas[],3,FALSE),"")</f>
        <v>FUNDAMENTAL</v>
      </c>
      <c r="F547" t="s">
        <v>126</v>
      </c>
    </row>
    <row r="548" spans="1:6" x14ac:dyDescent="0.25">
      <c r="A548" t="str" cm="1">
        <f t="array" ref="A548">IFERROR(INDEX(tbNucleo[ESCOLA],ROUNDUP(ROW(A547)/TotalEtapas,0)),"")</f>
        <v>EM VILA IRENE</v>
      </c>
      <c r="B548" t="s">
        <v>31</v>
      </c>
      <c r="C548" cm="1">
        <f t="array" ref="C548">IF(A548="","",INDEX(tbEtapas[Nº],MOD(ROW(A547)-1,TotalEtapas)+1))</f>
        <v>7</v>
      </c>
      <c r="D548" t="str">
        <f>IFERROR(VLOOKUP(tbEscolas[[#This Row],[COD ETPA]],tbEtapas[],2,FALSE),"")</f>
        <v>3º ANO</v>
      </c>
      <c r="E548" t="str">
        <f>IFERROR(VLOOKUP(tbEscolas[[#This Row],[COD ETPA]],tbEtapas[],3,FALSE),"")</f>
        <v>FUNDAMENTAL</v>
      </c>
      <c r="F548" t="s">
        <v>126</v>
      </c>
    </row>
    <row r="549" spans="1:6" x14ac:dyDescent="0.25">
      <c r="A549" t="str" cm="1">
        <f t="array" ref="A549">IFERROR(INDEX(tbNucleo[ESCOLA],ROUNDUP(ROW(A548)/TotalEtapas,0)),"")</f>
        <v>EM VILA IRENE</v>
      </c>
      <c r="B549" t="s">
        <v>31</v>
      </c>
      <c r="C549" cm="1">
        <f t="array" ref="C549">IF(A549="","",INDEX(tbEtapas[Nº],MOD(ROW(A548)-1,TotalEtapas)+1))</f>
        <v>8</v>
      </c>
      <c r="D549" t="str">
        <f>IFERROR(VLOOKUP(tbEscolas[[#This Row],[COD ETPA]],tbEtapas[],2,FALSE),"")</f>
        <v>4º ANO</v>
      </c>
      <c r="E549" t="str">
        <f>IFERROR(VLOOKUP(tbEscolas[[#This Row],[COD ETPA]],tbEtapas[],3,FALSE),"")</f>
        <v>FUNDAMENTAL</v>
      </c>
      <c r="F549" t="s">
        <v>126</v>
      </c>
    </row>
    <row r="550" spans="1:6" x14ac:dyDescent="0.25">
      <c r="A550" t="str" cm="1">
        <f t="array" ref="A550">IFERROR(INDEX(tbNucleo[ESCOLA],ROUNDUP(ROW(A549)/TotalEtapas,0)),"")</f>
        <v>EM VILA IRENE</v>
      </c>
      <c r="B550" t="s">
        <v>31</v>
      </c>
      <c r="C550" cm="1">
        <f t="array" ref="C550">IF(A550="","",INDEX(tbEtapas[Nº],MOD(ROW(A549)-1,TotalEtapas)+1))</f>
        <v>9</v>
      </c>
      <c r="D550" t="str">
        <f>IFERROR(VLOOKUP(tbEscolas[[#This Row],[COD ETPA]],tbEtapas[],2,FALSE),"")</f>
        <v>5º ANO</v>
      </c>
      <c r="E550" t="str">
        <f>IFERROR(VLOOKUP(tbEscolas[[#This Row],[COD ETPA]],tbEtapas[],3,FALSE),"")</f>
        <v>FUNDAMENTAL</v>
      </c>
      <c r="F550" t="s">
        <v>126</v>
      </c>
    </row>
    <row r="551" spans="1:6" x14ac:dyDescent="0.25">
      <c r="A551" t="str" cm="1">
        <f t="array" ref="A551">IFERROR(INDEX(tbNucleo[ESCOLA],ROUNDUP(ROW(A550)/TotalEtapas,0)),"")</f>
        <v>EM VILA IRENE</v>
      </c>
      <c r="B551" t="s">
        <v>31</v>
      </c>
      <c r="C551" cm="1">
        <f t="array" ref="C551">IF(A551="","",INDEX(tbEtapas[Nº],MOD(ROW(A550)-1,TotalEtapas)+1))</f>
        <v>10</v>
      </c>
      <c r="D551" t="str">
        <f>IFERROR(VLOOKUP(tbEscolas[[#This Row],[COD ETPA]],tbEtapas[],2,FALSE),"")</f>
        <v>6º ANO</v>
      </c>
      <c r="E551" t="str">
        <f>IFERROR(VLOOKUP(tbEscolas[[#This Row],[COD ETPA]],tbEtapas[],3,FALSE),"")</f>
        <v>FUNDAMENTAL</v>
      </c>
      <c r="F551" t="s">
        <v>125</v>
      </c>
    </row>
    <row r="552" spans="1:6" x14ac:dyDescent="0.25">
      <c r="A552" t="str" cm="1">
        <f t="array" ref="A552">IFERROR(INDEX(tbNucleo[ESCOLA],ROUNDUP(ROW(A551)/TotalEtapas,0)),"")</f>
        <v>EM VILA IRENE</v>
      </c>
      <c r="B552" t="s">
        <v>31</v>
      </c>
      <c r="C552" cm="1">
        <f t="array" ref="C552">IF(A552="","",INDEX(tbEtapas[Nº],MOD(ROW(A551)-1,TotalEtapas)+1))</f>
        <v>11</v>
      </c>
      <c r="D552" t="str">
        <f>IFERROR(VLOOKUP(tbEscolas[[#This Row],[COD ETPA]],tbEtapas[],2,FALSE),"")</f>
        <v>7º ANO</v>
      </c>
      <c r="E552" t="str">
        <f>IFERROR(VLOOKUP(tbEscolas[[#This Row],[COD ETPA]],tbEtapas[],3,FALSE),"")</f>
        <v>FUNDAMENTAL</v>
      </c>
      <c r="F552" t="s">
        <v>125</v>
      </c>
    </row>
    <row r="553" spans="1:6" x14ac:dyDescent="0.25">
      <c r="A553" t="str" cm="1">
        <f t="array" ref="A553">IFERROR(INDEX(tbNucleo[ESCOLA],ROUNDUP(ROW(A552)/TotalEtapas,0)),"")</f>
        <v>EM VILA IRENE</v>
      </c>
      <c r="B553" t="s">
        <v>31</v>
      </c>
      <c r="C553" cm="1">
        <f t="array" ref="C553">IF(A553="","",INDEX(tbEtapas[Nº],MOD(ROW(A552)-1,TotalEtapas)+1))</f>
        <v>12</v>
      </c>
      <c r="D553" t="str">
        <f>IFERROR(VLOOKUP(tbEscolas[[#This Row],[COD ETPA]],tbEtapas[],2,FALSE),"")</f>
        <v>8º ANO</v>
      </c>
      <c r="E553" t="str">
        <f>IFERROR(VLOOKUP(tbEscolas[[#This Row],[COD ETPA]],tbEtapas[],3,FALSE),"")</f>
        <v>FUNDAMENTAL</v>
      </c>
      <c r="F553" t="s">
        <v>125</v>
      </c>
    </row>
    <row r="554" spans="1:6" x14ac:dyDescent="0.25">
      <c r="A554" t="str" cm="1">
        <f t="array" ref="A554">IFERROR(INDEX(tbNucleo[ESCOLA],ROUNDUP(ROW(A553)/TotalEtapas,0)),"")</f>
        <v>EM VILA IRENE</v>
      </c>
      <c r="B554" t="s">
        <v>31</v>
      </c>
      <c r="C554" cm="1">
        <f t="array" ref="C554">IF(A554="","",INDEX(tbEtapas[Nº],MOD(ROW(A553)-1,TotalEtapas)+1))</f>
        <v>13</v>
      </c>
      <c r="D554" t="str">
        <f>IFERROR(VLOOKUP(tbEscolas[[#This Row],[COD ETPA]],tbEtapas[],2,FALSE),"")</f>
        <v>9º ANO</v>
      </c>
      <c r="E554" t="str">
        <f>IFERROR(VLOOKUP(tbEscolas[[#This Row],[COD ETPA]],tbEtapas[],3,FALSE),"")</f>
        <v>FUNDAMENTAL</v>
      </c>
      <c r="F554" t="s">
        <v>125</v>
      </c>
    </row>
    <row r="555" spans="1:6" x14ac:dyDescent="0.25">
      <c r="A555" t="str" cm="1">
        <f t="array" ref="A555">IFERROR(INDEX(tbNucleo[ESCOLA],ROUNDUP(ROW(A554)/TotalEtapas,0)),"")</f>
        <v>EM VILA IRENE</v>
      </c>
      <c r="B555" t="s">
        <v>31</v>
      </c>
      <c r="C555">
        <v>14</v>
      </c>
      <c r="D555" t="str">
        <f>IFERROR(VLOOKUP(tbEscolas[[#This Row],[COD ETPA]],tbEtapas[],2,FALSE),"")</f>
        <v>1º ANO</v>
      </c>
      <c r="E555" t="str">
        <f>IFERROR(VLOOKUP(tbEscolas[[#This Row],[COD ETPA]],tbEtapas[],3,FALSE),"")</f>
        <v>ENSINO MÉDIO</v>
      </c>
      <c r="F555" t="s">
        <v>125</v>
      </c>
    </row>
    <row r="556" spans="1:6" x14ac:dyDescent="0.25">
      <c r="A556" t="str" cm="1">
        <f t="array" ref="A556">IFERROR(INDEX(tbNucleo[ESCOLA],ROUNDUP(ROW(A555)/TotalEtapas,0)),"")</f>
        <v>EM VILA IRENE</v>
      </c>
      <c r="B556" t="s">
        <v>31</v>
      </c>
      <c r="C556">
        <v>15</v>
      </c>
      <c r="D556" t="str">
        <f>IFERROR(VLOOKUP(tbEscolas[[#This Row],[COD ETPA]],tbEtapas[],2,FALSE),"")</f>
        <v>2º ANO</v>
      </c>
      <c r="E556" t="str">
        <f>IFERROR(VLOOKUP(tbEscolas[[#This Row],[COD ETPA]],tbEtapas[],3,FALSE),"")</f>
        <v>ENSINO MÉDIO</v>
      </c>
      <c r="F556" t="s">
        <v>125</v>
      </c>
    </row>
    <row r="557" spans="1:6" x14ac:dyDescent="0.25">
      <c r="A557" t="str" cm="1">
        <f t="array" ref="A557">IFERROR(INDEX(tbNucleo[ESCOLA],ROUNDUP(ROW(A556)/TotalEtapas,0)),"")</f>
        <v>EM VILA IRENE</v>
      </c>
      <c r="B557" t="s">
        <v>31</v>
      </c>
      <c r="C557">
        <v>16</v>
      </c>
      <c r="D557" t="str">
        <f>IFERROR(VLOOKUP(tbEscolas[[#This Row],[COD ETPA]],tbEtapas[],2,FALSE),"")</f>
        <v>3º ANO</v>
      </c>
      <c r="E557" t="str">
        <f>IFERROR(VLOOKUP(tbEscolas[[#This Row],[COD ETPA]],tbEtapas[],3,FALSE),"")</f>
        <v>ENSINO MÉDIO</v>
      </c>
      <c r="F557" t="s">
        <v>125</v>
      </c>
    </row>
    <row r="558" spans="1:6" x14ac:dyDescent="0.25">
      <c r="A558" t="str" cm="1">
        <f t="array" ref="A558">IFERROR(INDEX(tbNucleo[ESCOLA],ROUNDUP(ROW(A557)/TotalEtapas,0)),"")</f>
        <v>EM VILA IRENE</v>
      </c>
      <c r="B558" t="s">
        <v>31</v>
      </c>
      <c r="C558">
        <v>17</v>
      </c>
      <c r="D558" t="str">
        <f>IFERROR(VLOOKUP(tbEscolas[[#This Row],[COD ETPA]],tbEtapas[],2,FALSE),"")</f>
        <v>EJA I</v>
      </c>
      <c r="E558" t="str">
        <f>IFERROR(VLOOKUP(tbEscolas[[#This Row],[COD ETPA]],tbEtapas[],3,FALSE),"")</f>
        <v>FUNDAMENTAL</v>
      </c>
      <c r="F558" t="s">
        <v>125</v>
      </c>
    </row>
    <row r="559" spans="1:6" x14ac:dyDescent="0.25">
      <c r="A559" t="str" cm="1">
        <f t="array" ref="A559">IFERROR(INDEX(tbNucleo[ESCOLA],ROUNDUP(ROW(A558)/TotalEtapas,0)),"")</f>
        <v>EM VILA IRENE</v>
      </c>
      <c r="B559" t="s">
        <v>31</v>
      </c>
      <c r="C559">
        <v>18</v>
      </c>
      <c r="D559" t="str">
        <f>IFERROR(VLOOKUP(tbEscolas[[#This Row],[COD ETPA]],tbEtapas[],2,FALSE),"")</f>
        <v>EJA II</v>
      </c>
      <c r="E559" t="str">
        <f>IFERROR(VLOOKUP(tbEscolas[[#This Row],[COD ETPA]],tbEtapas[],3,FALSE),"")</f>
        <v>ENSINO MÉDIO</v>
      </c>
      <c r="F559" t="s">
        <v>125</v>
      </c>
    </row>
    <row r="560" spans="1:6" x14ac:dyDescent="0.25">
      <c r="A560" s="5" t="str" cm="1">
        <f t="array" ref="A560">IFERROR(INDEX(tbNucleo[ESCOLA],ROUNDUP(ROW(A559)/TotalEtapas,0)),"")</f>
        <v>EM SANTO ANTONIO DO CARAMUJO</v>
      </c>
      <c r="B560" s="5" t="s">
        <v>116</v>
      </c>
      <c r="C560" s="5" cm="1">
        <f t="array" ref="C560">IF(A560="","",INDEX(tbEtapas[Nº],MOD(ROW(A559)-1,TotalEtapas)+1))</f>
        <v>1</v>
      </c>
      <c r="D560" s="5" t="str">
        <f>IFERROR(VLOOKUP(tbEscolas[[#This Row],[COD ETPA]],tbEtapas[],2,FALSE),"")</f>
        <v>CRECHE I</v>
      </c>
      <c r="E560" s="5" t="str">
        <f>IFERROR(VLOOKUP(tbEscolas[[#This Row],[COD ETPA]],tbEtapas[],3,FALSE),"")</f>
        <v>EDUCAÇÃO INFANTIL</v>
      </c>
      <c r="F560" s="5" t="s">
        <v>126</v>
      </c>
    </row>
    <row r="561" spans="1:6" x14ac:dyDescent="0.25">
      <c r="A561" s="5" t="str" cm="1">
        <f t="array" ref="A561">IFERROR(INDEX(tbNucleo[ESCOLA],ROUNDUP(ROW(A560)/TotalEtapas,0)),"")</f>
        <v>EM SANTO ANTONIO DO CARAMUJO</v>
      </c>
      <c r="B561" s="5" t="s">
        <v>116</v>
      </c>
      <c r="C561" s="5" cm="1">
        <f t="array" ref="C561">IF(A561="","",INDEX(tbEtapas[Nº],MOD(ROW(A560)-1,TotalEtapas)+1))</f>
        <v>2</v>
      </c>
      <c r="D561" s="5" t="str">
        <f>IFERROR(VLOOKUP(tbEscolas[[#This Row],[COD ETPA]],tbEtapas[],2,FALSE),"")</f>
        <v>CRECHE II</v>
      </c>
      <c r="E561" s="5" t="str">
        <f>IFERROR(VLOOKUP(tbEscolas[[#This Row],[COD ETPA]],tbEtapas[],3,FALSE),"")</f>
        <v>EDUCAÇÃO INFANTIL</v>
      </c>
      <c r="F561" s="5" t="s">
        <v>126</v>
      </c>
    </row>
    <row r="562" spans="1:6" x14ac:dyDescent="0.25">
      <c r="A562" s="5" t="str" cm="1">
        <f t="array" ref="A562">IFERROR(INDEX(tbNucleo[ESCOLA],ROUNDUP(ROW(A561)/TotalEtapas,0)),"")</f>
        <v>EM SANTO ANTONIO DO CARAMUJO</v>
      </c>
      <c r="B562" s="5" t="s">
        <v>116</v>
      </c>
      <c r="C562" s="5" cm="1">
        <f t="array" ref="C562">IF(A562="","",INDEX(tbEtapas[Nº],MOD(ROW(A561)-1,TotalEtapas)+1))</f>
        <v>3</v>
      </c>
      <c r="D562" s="5" t="str">
        <f>IFERROR(VLOOKUP(tbEscolas[[#This Row],[COD ETPA]],tbEtapas[],2,FALSE),"")</f>
        <v>PRE I</v>
      </c>
      <c r="E562" s="5" t="str">
        <f>IFERROR(VLOOKUP(tbEscolas[[#This Row],[COD ETPA]],tbEtapas[],3,FALSE),"")</f>
        <v>EDUCAÇÃO INFANTIL</v>
      </c>
      <c r="F562" s="5" t="s">
        <v>126</v>
      </c>
    </row>
    <row r="563" spans="1:6" x14ac:dyDescent="0.25">
      <c r="A563" s="5" t="str" cm="1">
        <f t="array" ref="A563">IFERROR(INDEX(tbNucleo[ESCOLA],ROUNDUP(ROW(A562)/TotalEtapas,0)),"")</f>
        <v>EM SANTO ANTONIO DO CARAMUJO</v>
      </c>
      <c r="B563" s="5" t="s">
        <v>116</v>
      </c>
      <c r="C563" s="5" cm="1">
        <f t="array" ref="C563">IF(A563="","",INDEX(tbEtapas[Nº],MOD(ROW(A562)-1,TotalEtapas)+1))</f>
        <v>4</v>
      </c>
      <c r="D563" s="5" t="str">
        <f>IFERROR(VLOOKUP(tbEscolas[[#This Row],[COD ETPA]],tbEtapas[],2,FALSE),"")</f>
        <v>PRE II</v>
      </c>
      <c r="E563" s="5" t="str">
        <f>IFERROR(VLOOKUP(tbEscolas[[#This Row],[COD ETPA]],tbEtapas[],3,FALSE),"")</f>
        <v>EDUCAÇÃO INFANTIL</v>
      </c>
      <c r="F563" s="5" t="s">
        <v>126</v>
      </c>
    </row>
    <row r="564" spans="1:6" x14ac:dyDescent="0.25">
      <c r="A564" s="5" t="str" cm="1">
        <f t="array" ref="A564">IFERROR(INDEX(tbNucleo[ESCOLA],ROUNDUP(ROW(A563)/TotalEtapas,0)),"")</f>
        <v>EM SANTO ANTONIO DO CARAMUJO</v>
      </c>
      <c r="B564" s="5" t="s">
        <v>116</v>
      </c>
      <c r="C564" s="5" cm="1">
        <f t="array" ref="C564">IF(A564="","",INDEX(tbEtapas[Nº],MOD(ROW(A563)-1,TotalEtapas)+1))</f>
        <v>5</v>
      </c>
      <c r="D564" s="5" t="str">
        <f>IFERROR(VLOOKUP(tbEscolas[[#This Row],[COD ETPA]],tbEtapas[],2,FALSE),"")</f>
        <v>1º ANO</v>
      </c>
      <c r="E564" s="5" t="str">
        <f>IFERROR(VLOOKUP(tbEscolas[[#This Row],[COD ETPA]],tbEtapas[],3,FALSE),"")</f>
        <v>FUNDAMENTAL</v>
      </c>
      <c r="F564" s="5" t="s">
        <v>126</v>
      </c>
    </row>
    <row r="565" spans="1:6" x14ac:dyDescent="0.25">
      <c r="A565" s="5" t="str" cm="1">
        <f t="array" ref="A565">IFERROR(INDEX(tbNucleo[ESCOLA],ROUNDUP(ROW(A564)/TotalEtapas,0)),"")</f>
        <v>EM SANTO ANTONIO DO CARAMUJO</v>
      </c>
      <c r="B565" s="5" t="s">
        <v>116</v>
      </c>
      <c r="C565" s="5" cm="1">
        <f t="array" ref="C565">IF(A565="","",INDEX(tbEtapas[Nº],MOD(ROW(A564)-1,TotalEtapas)+1))</f>
        <v>6</v>
      </c>
      <c r="D565" s="5" t="str">
        <f>IFERROR(VLOOKUP(tbEscolas[[#This Row],[COD ETPA]],tbEtapas[],2,FALSE),"")</f>
        <v>2º ANO</v>
      </c>
      <c r="E565" s="5" t="str">
        <f>IFERROR(VLOOKUP(tbEscolas[[#This Row],[COD ETPA]],tbEtapas[],3,FALSE),"")</f>
        <v>FUNDAMENTAL</v>
      </c>
      <c r="F565" s="5" t="s">
        <v>126</v>
      </c>
    </row>
    <row r="566" spans="1:6" x14ac:dyDescent="0.25">
      <c r="A566" s="5" t="str" cm="1">
        <f t="array" ref="A566">IFERROR(INDEX(tbNucleo[ESCOLA],ROUNDUP(ROW(A565)/TotalEtapas,0)),"")</f>
        <v>EM SANTO ANTONIO DO CARAMUJO</v>
      </c>
      <c r="B566" s="5" t="s">
        <v>116</v>
      </c>
      <c r="C566" s="5" cm="1">
        <f t="array" ref="C566">IF(A566="","",INDEX(tbEtapas[Nº],MOD(ROW(A565)-1,TotalEtapas)+1))</f>
        <v>7</v>
      </c>
      <c r="D566" s="5" t="str">
        <f>IFERROR(VLOOKUP(tbEscolas[[#This Row],[COD ETPA]],tbEtapas[],2,FALSE),"")</f>
        <v>3º ANO</v>
      </c>
      <c r="E566" s="5" t="str">
        <f>IFERROR(VLOOKUP(tbEscolas[[#This Row],[COD ETPA]],tbEtapas[],3,FALSE),"")</f>
        <v>FUNDAMENTAL</v>
      </c>
      <c r="F566" s="5" t="s">
        <v>126</v>
      </c>
    </row>
    <row r="567" spans="1:6" x14ac:dyDescent="0.25">
      <c r="A567" s="5" t="str" cm="1">
        <f t="array" ref="A567">IFERROR(INDEX(tbNucleo[ESCOLA],ROUNDUP(ROW(A566)/TotalEtapas,0)),"")</f>
        <v>EM SANTO ANTONIO DO CARAMUJO</v>
      </c>
      <c r="B567" s="5" t="s">
        <v>116</v>
      </c>
      <c r="C567" s="5" cm="1">
        <f t="array" ref="C567">IF(A567="","",INDEX(tbEtapas[Nº],MOD(ROW(A566)-1,TotalEtapas)+1))</f>
        <v>8</v>
      </c>
      <c r="D567" s="5" t="str">
        <f>IFERROR(VLOOKUP(tbEscolas[[#This Row],[COD ETPA]],tbEtapas[],2,FALSE),"")</f>
        <v>4º ANO</v>
      </c>
      <c r="E567" s="5" t="str">
        <f>IFERROR(VLOOKUP(tbEscolas[[#This Row],[COD ETPA]],tbEtapas[],3,FALSE),"")</f>
        <v>FUNDAMENTAL</v>
      </c>
      <c r="F567" s="5" t="s">
        <v>126</v>
      </c>
    </row>
    <row r="568" spans="1:6" x14ac:dyDescent="0.25">
      <c r="A568" s="5" t="str" cm="1">
        <f t="array" ref="A568">IFERROR(INDEX(tbNucleo[ESCOLA],ROUNDUP(ROW(A567)/TotalEtapas,0)),"")</f>
        <v>EM SANTO ANTONIO DO CARAMUJO</v>
      </c>
      <c r="B568" s="5" t="s">
        <v>116</v>
      </c>
      <c r="C568" s="5" cm="1">
        <f t="array" ref="C568">IF(A568="","",INDEX(tbEtapas[Nº],MOD(ROW(A567)-1,TotalEtapas)+1))</f>
        <v>9</v>
      </c>
      <c r="D568" s="5" t="str">
        <f>IFERROR(VLOOKUP(tbEscolas[[#This Row],[COD ETPA]],tbEtapas[],2,FALSE),"")</f>
        <v>5º ANO</v>
      </c>
      <c r="E568" s="5" t="str">
        <f>IFERROR(VLOOKUP(tbEscolas[[#This Row],[COD ETPA]],tbEtapas[],3,FALSE),"")</f>
        <v>FUNDAMENTAL</v>
      </c>
      <c r="F568" s="5" t="s">
        <v>126</v>
      </c>
    </row>
    <row r="569" spans="1:6" x14ac:dyDescent="0.25">
      <c r="A569" s="5" t="str" cm="1">
        <f t="array" ref="A569">IFERROR(INDEX(tbNucleo[ESCOLA],ROUNDUP(ROW(A568)/TotalEtapas,0)),"")</f>
        <v>EM SANTO ANTONIO DO CARAMUJO</v>
      </c>
      <c r="B569" s="5" t="s">
        <v>116</v>
      </c>
      <c r="C569" s="5" cm="1">
        <f t="array" ref="C569">IF(A569="","",INDEX(tbEtapas[Nº],MOD(ROW(A568)-1,TotalEtapas)+1))</f>
        <v>10</v>
      </c>
      <c r="D569" s="5" t="str">
        <f>IFERROR(VLOOKUP(tbEscolas[[#This Row],[COD ETPA]],tbEtapas[],2,FALSE),"")</f>
        <v>6º ANO</v>
      </c>
      <c r="E569" s="5" t="str">
        <f>IFERROR(VLOOKUP(tbEscolas[[#This Row],[COD ETPA]],tbEtapas[],3,FALSE),"")</f>
        <v>FUNDAMENTAL</v>
      </c>
      <c r="F569" s="5" t="s">
        <v>125</v>
      </c>
    </row>
    <row r="570" spans="1:6" x14ac:dyDescent="0.25">
      <c r="A570" s="5" t="str" cm="1">
        <f t="array" ref="A570">IFERROR(INDEX(tbNucleo[ESCOLA],ROUNDUP(ROW(A569)/TotalEtapas,0)),"")</f>
        <v>EM SANTO ANTONIO DO CARAMUJO</v>
      </c>
      <c r="B570" s="5" t="s">
        <v>116</v>
      </c>
      <c r="C570" s="5" cm="1">
        <f t="array" ref="C570">IF(A570="","",INDEX(tbEtapas[Nº],MOD(ROW(A569)-1,TotalEtapas)+1))</f>
        <v>11</v>
      </c>
      <c r="D570" s="5" t="str">
        <f>IFERROR(VLOOKUP(tbEscolas[[#This Row],[COD ETPA]],tbEtapas[],2,FALSE),"")</f>
        <v>7º ANO</v>
      </c>
      <c r="E570" s="5" t="str">
        <f>IFERROR(VLOOKUP(tbEscolas[[#This Row],[COD ETPA]],tbEtapas[],3,FALSE),"")</f>
        <v>FUNDAMENTAL</v>
      </c>
      <c r="F570" s="5" t="s">
        <v>125</v>
      </c>
    </row>
    <row r="571" spans="1:6" x14ac:dyDescent="0.25">
      <c r="A571" s="5" t="str" cm="1">
        <f t="array" ref="A571">IFERROR(INDEX(tbNucleo[ESCOLA],ROUNDUP(ROW(A570)/TotalEtapas,0)),"")</f>
        <v>EM SANTO ANTONIO DO CARAMUJO</v>
      </c>
      <c r="B571" s="5" t="s">
        <v>116</v>
      </c>
      <c r="C571" s="5" cm="1">
        <f t="array" ref="C571">IF(A571="","",INDEX(tbEtapas[Nº],MOD(ROW(A570)-1,TotalEtapas)+1))</f>
        <v>12</v>
      </c>
      <c r="D571" s="5" t="str">
        <f>IFERROR(VLOOKUP(tbEscolas[[#This Row],[COD ETPA]],tbEtapas[],2,FALSE),"")</f>
        <v>8º ANO</v>
      </c>
      <c r="E571" s="5" t="str">
        <f>IFERROR(VLOOKUP(tbEscolas[[#This Row],[COD ETPA]],tbEtapas[],3,FALSE),"")</f>
        <v>FUNDAMENTAL</v>
      </c>
      <c r="F571" s="5" t="s">
        <v>125</v>
      </c>
    </row>
    <row r="572" spans="1:6" x14ac:dyDescent="0.25">
      <c r="A572" s="5" t="str" cm="1">
        <f t="array" ref="A572">IFERROR(INDEX(tbNucleo[ESCOLA],ROUNDUP(ROW(A571)/TotalEtapas,0)),"")</f>
        <v>EM SANTO ANTONIO DO CARAMUJO</v>
      </c>
      <c r="B572" s="5" t="s">
        <v>116</v>
      </c>
      <c r="C572" s="5" cm="1">
        <f t="array" ref="C572">IF(A572="","",INDEX(tbEtapas[Nº],MOD(ROW(A571)-1,TotalEtapas)+1))</f>
        <v>13</v>
      </c>
      <c r="D572" s="5" t="str">
        <f>IFERROR(VLOOKUP(tbEscolas[[#This Row],[COD ETPA]],tbEtapas[],2,FALSE),"")</f>
        <v>9º ANO</v>
      </c>
      <c r="E572" s="5" t="str">
        <f>IFERROR(VLOOKUP(tbEscolas[[#This Row],[COD ETPA]],tbEtapas[],3,FALSE),"")</f>
        <v>FUNDAMENTAL</v>
      </c>
      <c r="F572" s="5" t="s">
        <v>125</v>
      </c>
    </row>
    <row r="573" spans="1:6" x14ac:dyDescent="0.25">
      <c r="A573" s="5" t="str" cm="1">
        <f t="array" ref="A573">IFERROR(INDEX(tbNucleo[ESCOLA],ROUNDUP(ROW(A572)/TotalEtapas,0)),"")</f>
        <v>EM SANTO ANTONIO DO CARAMUJO</v>
      </c>
      <c r="B573" s="5" t="s">
        <v>116</v>
      </c>
      <c r="C573" s="5">
        <v>14</v>
      </c>
      <c r="D573" s="5" t="str">
        <f>IFERROR(VLOOKUP(tbEscolas[[#This Row],[COD ETPA]],tbEtapas[],2,FALSE),"")</f>
        <v>1º ANO</v>
      </c>
      <c r="E573" s="5" t="str">
        <f>IFERROR(VLOOKUP(tbEscolas[[#This Row],[COD ETPA]],tbEtapas[],3,FALSE),"")</f>
        <v>ENSINO MÉDIO</v>
      </c>
      <c r="F573" s="5" t="s">
        <v>125</v>
      </c>
    </row>
    <row r="574" spans="1:6" x14ac:dyDescent="0.25">
      <c r="A574" s="5" t="str" cm="1">
        <f t="array" ref="A574">IFERROR(INDEX(tbNucleo[ESCOLA],ROUNDUP(ROW(A573)/TotalEtapas,0)),"")</f>
        <v>EM SANTO ANTONIO DO CARAMUJO</v>
      </c>
      <c r="B574" s="5" t="s">
        <v>116</v>
      </c>
      <c r="C574" s="5">
        <v>15</v>
      </c>
      <c r="D574" s="5" t="str">
        <f>IFERROR(VLOOKUP(tbEscolas[[#This Row],[COD ETPA]],tbEtapas[],2,FALSE),"")</f>
        <v>2º ANO</v>
      </c>
      <c r="E574" s="5" t="str">
        <f>IFERROR(VLOOKUP(tbEscolas[[#This Row],[COD ETPA]],tbEtapas[],3,FALSE),"")</f>
        <v>ENSINO MÉDIO</v>
      </c>
      <c r="F574" s="5" t="s">
        <v>125</v>
      </c>
    </row>
    <row r="575" spans="1:6" x14ac:dyDescent="0.25">
      <c r="A575" s="5" t="str" cm="1">
        <f t="array" ref="A575">IFERROR(INDEX(tbNucleo[ESCOLA],ROUNDUP(ROW(A574)/TotalEtapas,0)),"")</f>
        <v>EM SANTO ANTONIO DO CARAMUJO</v>
      </c>
      <c r="B575" s="5" t="s">
        <v>116</v>
      </c>
      <c r="C575" s="5">
        <v>16</v>
      </c>
      <c r="D575" s="5" t="str">
        <f>IFERROR(VLOOKUP(tbEscolas[[#This Row],[COD ETPA]],tbEtapas[],2,FALSE),"")</f>
        <v>3º ANO</v>
      </c>
      <c r="E575" s="5" t="str">
        <f>IFERROR(VLOOKUP(tbEscolas[[#This Row],[COD ETPA]],tbEtapas[],3,FALSE),"")</f>
        <v>ENSINO MÉDIO</v>
      </c>
      <c r="F575" s="5" t="s">
        <v>125</v>
      </c>
    </row>
    <row r="576" spans="1:6" x14ac:dyDescent="0.25">
      <c r="A576" s="5" t="str" cm="1">
        <f t="array" ref="A576">IFERROR(INDEX(tbNucleo[ESCOLA],ROUNDUP(ROW(A575)/TotalEtapas,0)),"")</f>
        <v>EM SANTO ANTONIO DO CARAMUJO</v>
      </c>
      <c r="B576" s="5" t="s">
        <v>116</v>
      </c>
      <c r="C576" s="5">
        <v>17</v>
      </c>
      <c r="D576" s="5" t="str">
        <f>IFERROR(VLOOKUP(tbEscolas[[#This Row],[COD ETPA]],tbEtapas[],2,FALSE),"")</f>
        <v>EJA I</v>
      </c>
      <c r="E576" s="5" t="str">
        <f>IFERROR(VLOOKUP(tbEscolas[[#This Row],[COD ETPA]],tbEtapas[],3,FALSE),"")</f>
        <v>FUNDAMENTAL</v>
      </c>
      <c r="F576" s="5" t="s">
        <v>125</v>
      </c>
    </row>
    <row r="577" spans="1:6" x14ac:dyDescent="0.25">
      <c r="A577" s="5" t="str" cm="1">
        <f t="array" ref="A577">IFERROR(INDEX(tbNucleo[ESCOLA],ROUNDUP(ROW(A576)/TotalEtapas,0)),"")</f>
        <v>EM SANTO ANTONIO DO CARAMUJO</v>
      </c>
      <c r="B577" s="5" t="s">
        <v>116</v>
      </c>
      <c r="C577" s="5">
        <v>18</v>
      </c>
      <c r="D577" s="5" t="str">
        <f>IFERROR(VLOOKUP(tbEscolas[[#This Row],[COD ETPA]],tbEtapas[],2,FALSE),"")</f>
        <v>EJA II</v>
      </c>
      <c r="E577" s="5" t="str">
        <f>IFERROR(VLOOKUP(tbEscolas[[#This Row],[COD ETPA]],tbEtapas[],3,FALSE),"")</f>
        <v>ENSINO MÉDIO</v>
      </c>
      <c r="F577" s="5" t="s">
        <v>125</v>
      </c>
    </row>
    <row r="578" spans="1:6" x14ac:dyDescent="0.25">
      <c r="A578" s="6" t="str" cm="1">
        <f t="array" ref="A578">IFERROR(INDEX(tbNucleo[ESCOLA],ROUNDUP(ROW(A577)/TotalEtapas,0)),"")</f>
        <v>EM UNIAO</v>
      </c>
      <c r="B578" s="6" t="s">
        <v>135</v>
      </c>
      <c r="C578" s="6" cm="1">
        <f t="array" ref="C578">IF(A578="","",INDEX(tbEtapas[Nº],MOD(ROW(A577)-1,TotalEtapas)+1))</f>
        <v>1</v>
      </c>
      <c r="D578" s="6" t="str">
        <f>IFERROR(VLOOKUP(tbEscolas[[#This Row],[COD ETPA]],tbEtapas[],2,FALSE),"")</f>
        <v>CRECHE I</v>
      </c>
      <c r="E578" s="6" t="str">
        <f>IFERROR(VLOOKUP(tbEscolas[[#This Row],[COD ETPA]],tbEtapas[],3,FALSE),"")</f>
        <v>EDUCAÇÃO INFANTIL</v>
      </c>
      <c r="F578" s="6" t="s">
        <v>125</v>
      </c>
    </row>
    <row r="579" spans="1:6" x14ac:dyDescent="0.25">
      <c r="A579" s="6" t="str" cm="1">
        <f t="array" ref="A579">IFERROR(INDEX(tbNucleo[ESCOLA],ROUNDUP(ROW(A578)/TotalEtapas,0)),"")</f>
        <v>EM UNIAO</v>
      </c>
      <c r="B579" s="6" t="s">
        <v>135</v>
      </c>
      <c r="C579" s="6" cm="1">
        <f t="array" ref="C579">IF(A579="","",INDEX(tbEtapas[Nº],MOD(ROW(A578)-1,TotalEtapas)+1))</f>
        <v>2</v>
      </c>
      <c r="D579" s="6" t="str">
        <f>IFERROR(VLOOKUP(tbEscolas[[#This Row],[COD ETPA]],tbEtapas[],2,FALSE),"")</f>
        <v>CRECHE II</v>
      </c>
      <c r="E579" s="6" t="str">
        <f>IFERROR(VLOOKUP(tbEscolas[[#This Row],[COD ETPA]],tbEtapas[],3,FALSE),"")</f>
        <v>EDUCAÇÃO INFANTIL</v>
      </c>
      <c r="F579" s="6" t="s">
        <v>125</v>
      </c>
    </row>
    <row r="580" spans="1:6" x14ac:dyDescent="0.25">
      <c r="A580" s="6" t="str" cm="1">
        <f t="array" ref="A580">IFERROR(INDEX(tbNucleo[ESCOLA],ROUNDUP(ROW(A579)/TotalEtapas,0)),"")</f>
        <v>EM UNIAO</v>
      </c>
      <c r="B580" s="6" t="s">
        <v>135</v>
      </c>
      <c r="C580" s="6" cm="1">
        <f t="array" ref="C580">IF(A580="","",INDEX(tbEtapas[Nº],MOD(ROW(A579)-1,TotalEtapas)+1))</f>
        <v>3</v>
      </c>
      <c r="D580" s="6" t="str">
        <f>IFERROR(VLOOKUP(tbEscolas[[#This Row],[COD ETPA]],tbEtapas[],2,FALSE),"")</f>
        <v>PRE I</v>
      </c>
      <c r="E580" s="6" t="str">
        <f>IFERROR(VLOOKUP(tbEscolas[[#This Row],[COD ETPA]],tbEtapas[],3,FALSE),"")</f>
        <v>EDUCAÇÃO INFANTIL</v>
      </c>
      <c r="F580" s="6" t="s">
        <v>126</v>
      </c>
    </row>
    <row r="581" spans="1:6" x14ac:dyDescent="0.25">
      <c r="A581" s="6" t="str" cm="1">
        <f t="array" ref="A581">IFERROR(INDEX(tbNucleo[ESCOLA],ROUNDUP(ROW(A580)/TotalEtapas,0)),"")</f>
        <v>EM UNIAO</v>
      </c>
      <c r="B581" s="6" t="s">
        <v>135</v>
      </c>
      <c r="C581" s="6" cm="1">
        <f t="array" ref="C581">IF(A581="","",INDEX(tbEtapas[Nº],MOD(ROW(A580)-1,TotalEtapas)+1))</f>
        <v>4</v>
      </c>
      <c r="D581" s="6" t="str">
        <f>IFERROR(VLOOKUP(tbEscolas[[#This Row],[COD ETPA]],tbEtapas[],2,FALSE),"")</f>
        <v>PRE II</v>
      </c>
      <c r="E581" s="6" t="str">
        <f>IFERROR(VLOOKUP(tbEscolas[[#This Row],[COD ETPA]],tbEtapas[],3,FALSE),"")</f>
        <v>EDUCAÇÃO INFANTIL</v>
      </c>
      <c r="F581" s="6" t="s">
        <v>126</v>
      </c>
    </row>
    <row r="582" spans="1:6" x14ac:dyDescent="0.25">
      <c r="A582" s="6" t="str" cm="1">
        <f t="array" ref="A582">IFERROR(INDEX(tbNucleo[ESCOLA],ROUNDUP(ROW(A581)/TotalEtapas,0)),"")</f>
        <v>EM UNIAO</v>
      </c>
      <c r="B582" s="6" t="s">
        <v>135</v>
      </c>
      <c r="C582" s="6" cm="1">
        <f t="array" ref="C582">IF(A582="","",INDEX(tbEtapas[Nº],MOD(ROW(A581)-1,TotalEtapas)+1))</f>
        <v>5</v>
      </c>
      <c r="D582" s="6" t="str">
        <f>IFERROR(VLOOKUP(tbEscolas[[#This Row],[COD ETPA]],tbEtapas[],2,FALSE),"")</f>
        <v>1º ANO</v>
      </c>
      <c r="E582" s="6" t="str">
        <f>IFERROR(VLOOKUP(tbEscolas[[#This Row],[COD ETPA]],tbEtapas[],3,FALSE),"")</f>
        <v>FUNDAMENTAL</v>
      </c>
      <c r="F582" s="6" t="s">
        <v>126</v>
      </c>
    </row>
    <row r="583" spans="1:6" x14ac:dyDescent="0.25">
      <c r="A583" s="6" t="str" cm="1">
        <f t="array" ref="A583">IFERROR(INDEX(tbNucleo[ESCOLA],ROUNDUP(ROW(A582)/TotalEtapas,0)),"")</f>
        <v>EM UNIAO</v>
      </c>
      <c r="B583" s="6" t="s">
        <v>135</v>
      </c>
      <c r="C583" s="6" cm="1">
        <f t="array" ref="C583">IF(A583="","",INDEX(tbEtapas[Nº],MOD(ROW(A582)-1,TotalEtapas)+1))</f>
        <v>6</v>
      </c>
      <c r="D583" s="6" t="str">
        <f>IFERROR(VLOOKUP(tbEscolas[[#This Row],[COD ETPA]],tbEtapas[],2,FALSE),"")</f>
        <v>2º ANO</v>
      </c>
      <c r="E583" s="6" t="str">
        <f>IFERROR(VLOOKUP(tbEscolas[[#This Row],[COD ETPA]],tbEtapas[],3,FALSE),"")</f>
        <v>FUNDAMENTAL</v>
      </c>
      <c r="F583" s="6" t="s">
        <v>126</v>
      </c>
    </row>
    <row r="584" spans="1:6" x14ac:dyDescent="0.25">
      <c r="A584" s="6" t="str" cm="1">
        <f t="array" ref="A584">IFERROR(INDEX(tbNucleo[ESCOLA],ROUNDUP(ROW(A583)/TotalEtapas,0)),"")</f>
        <v>EM UNIAO</v>
      </c>
      <c r="B584" s="6" t="s">
        <v>135</v>
      </c>
      <c r="C584" s="6" cm="1">
        <f t="array" ref="C584">IF(A584="","",INDEX(tbEtapas[Nº],MOD(ROW(A583)-1,TotalEtapas)+1))</f>
        <v>7</v>
      </c>
      <c r="D584" s="6" t="str">
        <f>IFERROR(VLOOKUP(tbEscolas[[#This Row],[COD ETPA]],tbEtapas[],2,FALSE),"")</f>
        <v>3º ANO</v>
      </c>
      <c r="E584" s="6" t="str">
        <f>IFERROR(VLOOKUP(tbEscolas[[#This Row],[COD ETPA]],tbEtapas[],3,FALSE),"")</f>
        <v>FUNDAMENTAL</v>
      </c>
      <c r="F584" s="6" t="s">
        <v>126</v>
      </c>
    </row>
    <row r="585" spans="1:6" x14ac:dyDescent="0.25">
      <c r="A585" s="6" t="str" cm="1">
        <f t="array" ref="A585">IFERROR(INDEX(tbNucleo[ESCOLA],ROUNDUP(ROW(A584)/TotalEtapas,0)),"")</f>
        <v>EM UNIAO</v>
      </c>
      <c r="B585" s="6" t="s">
        <v>135</v>
      </c>
      <c r="C585" s="6" cm="1">
        <f t="array" ref="C585">IF(A585="","",INDEX(tbEtapas[Nº],MOD(ROW(A584)-1,TotalEtapas)+1))</f>
        <v>8</v>
      </c>
      <c r="D585" s="6" t="str">
        <f>IFERROR(VLOOKUP(tbEscolas[[#This Row],[COD ETPA]],tbEtapas[],2,FALSE),"")</f>
        <v>4º ANO</v>
      </c>
      <c r="E585" s="6" t="str">
        <f>IFERROR(VLOOKUP(tbEscolas[[#This Row],[COD ETPA]],tbEtapas[],3,FALSE),"")</f>
        <v>FUNDAMENTAL</v>
      </c>
      <c r="F585" s="6" t="s">
        <v>126</v>
      </c>
    </row>
    <row r="586" spans="1:6" x14ac:dyDescent="0.25">
      <c r="A586" s="6" t="str" cm="1">
        <f t="array" ref="A586">IFERROR(INDEX(tbNucleo[ESCOLA],ROUNDUP(ROW(A585)/TotalEtapas,0)),"")</f>
        <v>EM UNIAO</v>
      </c>
      <c r="B586" s="6" t="s">
        <v>135</v>
      </c>
      <c r="C586" s="6" cm="1">
        <f t="array" ref="C586">IF(A586="","",INDEX(tbEtapas[Nº],MOD(ROW(A585)-1,TotalEtapas)+1))</f>
        <v>9</v>
      </c>
      <c r="D586" s="6" t="str">
        <f>IFERROR(VLOOKUP(tbEscolas[[#This Row],[COD ETPA]],tbEtapas[],2,FALSE),"")</f>
        <v>5º ANO</v>
      </c>
      <c r="E586" s="6" t="str">
        <f>IFERROR(VLOOKUP(tbEscolas[[#This Row],[COD ETPA]],tbEtapas[],3,FALSE),"")</f>
        <v>FUNDAMENTAL</v>
      </c>
      <c r="F586" s="6" t="s">
        <v>126</v>
      </c>
    </row>
    <row r="587" spans="1:6" x14ac:dyDescent="0.25">
      <c r="A587" s="6" t="str" cm="1">
        <f t="array" ref="A587">IFERROR(INDEX(tbNucleo[ESCOLA],ROUNDUP(ROW(A586)/TotalEtapas,0)),"")</f>
        <v>EM UNIAO</v>
      </c>
      <c r="B587" s="6" t="s">
        <v>135</v>
      </c>
      <c r="C587" s="6" cm="1">
        <f t="array" ref="C587">IF(A587="","",INDEX(tbEtapas[Nº],MOD(ROW(A586)-1,TotalEtapas)+1))</f>
        <v>10</v>
      </c>
      <c r="D587" s="6" t="str">
        <f>IFERROR(VLOOKUP(tbEscolas[[#This Row],[COD ETPA]],tbEtapas[],2,FALSE),"")</f>
        <v>6º ANO</v>
      </c>
      <c r="E587" s="6" t="str">
        <f>IFERROR(VLOOKUP(tbEscolas[[#This Row],[COD ETPA]],tbEtapas[],3,FALSE),"")</f>
        <v>FUNDAMENTAL</v>
      </c>
      <c r="F587" s="6" t="s">
        <v>125</v>
      </c>
    </row>
    <row r="588" spans="1:6" x14ac:dyDescent="0.25">
      <c r="A588" s="6" t="str" cm="1">
        <f t="array" ref="A588">IFERROR(INDEX(tbNucleo[ESCOLA],ROUNDUP(ROW(A587)/TotalEtapas,0)),"")</f>
        <v>EM UNIAO</v>
      </c>
      <c r="B588" s="6" t="s">
        <v>135</v>
      </c>
      <c r="C588" s="6" cm="1">
        <f t="array" ref="C588">IF(A588="","",INDEX(tbEtapas[Nº],MOD(ROW(A587)-1,TotalEtapas)+1))</f>
        <v>11</v>
      </c>
      <c r="D588" s="6" t="str">
        <f>IFERROR(VLOOKUP(tbEscolas[[#This Row],[COD ETPA]],tbEtapas[],2,FALSE),"")</f>
        <v>7º ANO</v>
      </c>
      <c r="E588" s="6" t="str">
        <f>IFERROR(VLOOKUP(tbEscolas[[#This Row],[COD ETPA]],tbEtapas[],3,FALSE),"")</f>
        <v>FUNDAMENTAL</v>
      </c>
      <c r="F588" s="6" t="s">
        <v>125</v>
      </c>
    </row>
    <row r="589" spans="1:6" x14ac:dyDescent="0.25">
      <c r="A589" s="6" t="str" cm="1">
        <f t="array" ref="A589">IFERROR(INDEX(tbNucleo[ESCOLA],ROUNDUP(ROW(A588)/TotalEtapas,0)),"")</f>
        <v>EM UNIAO</v>
      </c>
      <c r="B589" s="6" t="s">
        <v>135</v>
      </c>
      <c r="C589" s="6" cm="1">
        <f t="array" ref="C589">IF(A589="","",INDEX(tbEtapas[Nº],MOD(ROW(A588)-1,TotalEtapas)+1))</f>
        <v>12</v>
      </c>
      <c r="D589" s="6" t="str">
        <f>IFERROR(VLOOKUP(tbEscolas[[#This Row],[COD ETPA]],tbEtapas[],2,FALSE),"")</f>
        <v>8º ANO</v>
      </c>
      <c r="E589" s="6" t="str">
        <f>IFERROR(VLOOKUP(tbEscolas[[#This Row],[COD ETPA]],tbEtapas[],3,FALSE),"")</f>
        <v>FUNDAMENTAL</v>
      </c>
      <c r="F589" s="6" t="s">
        <v>125</v>
      </c>
    </row>
    <row r="590" spans="1:6" x14ac:dyDescent="0.25">
      <c r="A590" s="6" t="str" cm="1">
        <f t="array" ref="A590">IFERROR(INDEX(tbNucleo[ESCOLA],ROUNDUP(ROW(A589)/TotalEtapas,0)),"")</f>
        <v>EM UNIAO</v>
      </c>
      <c r="B590" s="6" t="s">
        <v>135</v>
      </c>
      <c r="C590" s="6" cm="1">
        <f t="array" ref="C590">IF(A590="","",INDEX(tbEtapas[Nº],MOD(ROW(A589)-1,TotalEtapas)+1))</f>
        <v>13</v>
      </c>
      <c r="D590" s="6" t="str">
        <f>IFERROR(VLOOKUP(tbEscolas[[#This Row],[COD ETPA]],tbEtapas[],2,FALSE),"")</f>
        <v>9º ANO</v>
      </c>
      <c r="E590" s="6" t="str">
        <f>IFERROR(VLOOKUP(tbEscolas[[#This Row],[COD ETPA]],tbEtapas[],3,FALSE),"")</f>
        <v>FUNDAMENTAL</v>
      </c>
      <c r="F590" s="6" t="s">
        <v>125</v>
      </c>
    </row>
    <row r="591" spans="1:6" x14ac:dyDescent="0.25">
      <c r="A591" s="6" t="str" cm="1">
        <f t="array" ref="A591">IFERROR(INDEX(tbNucleo[ESCOLA],ROUNDUP(ROW(A590)/TotalEtapas,0)),"")</f>
        <v>EM UNIAO</v>
      </c>
      <c r="B591" s="6" t="s">
        <v>135</v>
      </c>
      <c r="C591" s="6">
        <v>14</v>
      </c>
      <c r="D591" s="6" t="str">
        <f>IFERROR(VLOOKUP(tbEscolas[[#This Row],[COD ETPA]],tbEtapas[],2,FALSE),"")</f>
        <v>1º ANO</v>
      </c>
      <c r="E591" s="6" t="str">
        <f>IFERROR(VLOOKUP(tbEscolas[[#This Row],[COD ETPA]],tbEtapas[],3,FALSE),"")</f>
        <v>ENSINO MÉDIO</v>
      </c>
      <c r="F591" s="6" t="s">
        <v>125</v>
      </c>
    </row>
    <row r="592" spans="1:6" x14ac:dyDescent="0.25">
      <c r="A592" s="6" t="str" cm="1">
        <f t="array" ref="A592">IFERROR(INDEX(tbNucleo[ESCOLA],ROUNDUP(ROW(A591)/TotalEtapas,0)),"")</f>
        <v>EM UNIAO</v>
      </c>
      <c r="B592" s="6" t="s">
        <v>135</v>
      </c>
      <c r="C592" s="6">
        <v>15</v>
      </c>
      <c r="D592" s="6" t="str">
        <f>IFERROR(VLOOKUP(tbEscolas[[#This Row],[COD ETPA]],tbEtapas[],2,FALSE),"")</f>
        <v>2º ANO</v>
      </c>
      <c r="E592" s="6" t="str">
        <f>IFERROR(VLOOKUP(tbEscolas[[#This Row],[COD ETPA]],tbEtapas[],3,FALSE),"")</f>
        <v>ENSINO MÉDIO</v>
      </c>
      <c r="F592" s="6" t="s">
        <v>125</v>
      </c>
    </row>
    <row r="593" spans="1:6" x14ac:dyDescent="0.25">
      <c r="A593" s="6" t="str" cm="1">
        <f t="array" ref="A593">IFERROR(INDEX(tbNucleo[ESCOLA],ROUNDUP(ROW(A592)/TotalEtapas,0)),"")</f>
        <v>EM UNIAO</v>
      </c>
      <c r="B593" s="6" t="s">
        <v>135</v>
      </c>
      <c r="C593" s="6">
        <v>16</v>
      </c>
      <c r="D593" s="6" t="str">
        <f>IFERROR(VLOOKUP(tbEscolas[[#This Row],[COD ETPA]],tbEtapas[],2,FALSE),"")</f>
        <v>3º ANO</v>
      </c>
      <c r="E593" s="6" t="str">
        <f>IFERROR(VLOOKUP(tbEscolas[[#This Row],[COD ETPA]],tbEtapas[],3,FALSE),"")</f>
        <v>ENSINO MÉDIO</v>
      </c>
      <c r="F593" s="6" t="s">
        <v>125</v>
      </c>
    </row>
    <row r="594" spans="1:6" x14ac:dyDescent="0.25">
      <c r="A594" s="6" t="str" cm="1">
        <f t="array" ref="A594">IFERROR(INDEX(tbNucleo[ESCOLA],ROUNDUP(ROW(A593)/TotalEtapas,0)),"")</f>
        <v>EM UNIAO</v>
      </c>
      <c r="B594" s="6" t="s">
        <v>135</v>
      </c>
      <c r="C594" s="6">
        <v>17</v>
      </c>
      <c r="D594" s="6" t="str">
        <f>IFERROR(VLOOKUP(tbEscolas[[#This Row],[COD ETPA]],tbEtapas[],2,FALSE),"")</f>
        <v>EJA I</v>
      </c>
      <c r="E594" s="6" t="str">
        <f>IFERROR(VLOOKUP(tbEscolas[[#This Row],[COD ETPA]],tbEtapas[],3,FALSE),"")</f>
        <v>FUNDAMENTAL</v>
      </c>
      <c r="F594" s="6" t="s">
        <v>125</v>
      </c>
    </row>
    <row r="595" spans="1:6" x14ac:dyDescent="0.25">
      <c r="A595" s="6" t="str" cm="1">
        <f t="array" ref="A595">IFERROR(INDEX(tbNucleo[ESCOLA],ROUNDUP(ROW(A594)/TotalEtapas,0)),"")</f>
        <v>EM UNIAO</v>
      </c>
      <c r="B595" s="6" t="s">
        <v>135</v>
      </c>
      <c r="C595" s="6">
        <v>18</v>
      </c>
      <c r="D595" s="6" t="str">
        <f>IFERROR(VLOOKUP(tbEscolas[[#This Row],[COD ETPA]],tbEtapas[],2,FALSE),"")</f>
        <v>EJA II</v>
      </c>
      <c r="E595" s="6" t="str">
        <f>IFERROR(VLOOKUP(tbEscolas[[#This Row],[COD ETPA]],tbEtapas[],3,FALSE),"")</f>
        <v>ENSINO MÉDIO</v>
      </c>
      <c r="F595" s="6" t="s">
        <v>125</v>
      </c>
    </row>
    <row r="596" spans="1:6" x14ac:dyDescent="0.25">
      <c r="A596" s="7" t="str" cm="1">
        <f t="array" ref="A596">IFERROR(INDEX(tbNucleo[ESCOLA],ROUNDUP(ROW(A595)/TotalEtapas,0)),"")</f>
        <v xml:space="preserve">EM CLARINÓPOLIS </v>
      </c>
      <c r="B596" s="7" t="s">
        <v>115</v>
      </c>
      <c r="C596" s="7" cm="1">
        <f t="array" ref="C596">IF(A596="","",INDEX(tbEtapas[Nº],MOD(ROW(A595)-1,TotalEtapas)+1))</f>
        <v>1</v>
      </c>
      <c r="D596" s="7" t="str">
        <f>IFERROR(VLOOKUP(tbEscolas[[#This Row],[COD ETPA]],tbEtapas[],2,FALSE),"")</f>
        <v>CRECHE I</v>
      </c>
      <c r="E596" s="7" t="str">
        <f>IFERROR(VLOOKUP(tbEscolas[[#This Row],[COD ETPA]],tbEtapas[],3,FALSE),"")</f>
        <v>EDUCAÇÃO INFANTIL</v>
      </c>
      <c r="F596" s="7" t="s">
        <v>125</v>
      </c>
    </row>
    <row r="597" spans="1:6" x14ac:dyDescent="0.25">
      <c r="A597" s="7" t="str" cm="1">
        <f t="array" ref="A597">IFERROR(INDEX(tbNucleo[ESCOLA],ROUNDUP(ROW(A596)/TotalEtapas,0)),"")</f>
        <v xml:space="preserve">EM CLARINÓPOLIS </v>
      </c>
      <c r="B597" s="7" t="s">
        <v>115</v>
      </c>
      <c r="C597" s="7" cm="1">
        <f t="array" ref="C597">IF(A597="","",INDEX(tbEtapas[Nº],MOD(ROW(A596)-1,TotalEtapas)+1))</f>
        <v>2</v>
      </c>
      <c r="D597" s="7" t="str">
        <f>IFERROR(VLOOKUP(tbEscolas[[#This Row],[COD ETPA]],tbEtapas[],2,FALSE),"")</f>
        <v>CRECHE II</v>
      </c>
      <c r="E597" s="7" t="str">
        <f>IFERROR(VLOOKUP(tbEscolas[[#This Row],[COD ETPA]],tbEtapas[],3,FALSE),"")</f>
        <v>EDUCAÇÃO INFANTIL</v>
      </c>
      <c r="F597" s="7" t="s">
        <v>125</v>
      </c>
    </row>
    <row r="598" spans="1:6" x14ac:dyDescent="0.25">
      <c r="A598" s="7" t="str" cm="1">
        <f t="array" ref="A598">IFERROR(INDEX(tbNucleo[ESCOLA],ROUNDUP(ROW(A597)/TotalEtapas,0)),"")</f>
        <v xml:space="preserve">EM CLARINÓPOLIS </v>
      </c>
      <c r="B598" s="7" t="s">
        <v>115</v>
      </c>
      <c r="C598" s="7" cm="1">
        <f t="array" ref="C598">IF(A598="","",INDEX(tbEtapas[Nº],MOD(ROW(A597)-1,TotalEtapas)+1))</f>
        <v>3</v>
      </c>
      <c r="D598" s="7" t="str">
        <f>IFERROR(VLOOKUP(tbEscolas[[#This Row],[COD ETPA]],tbEtapas[],2,FALSE),"")</f>
        <v>PRE I</v>
      </c>
      <c r="E598" s="7" t="str">
        <f>IFERROR(VLOOKUP(tbEscolas[[#This Row],[COD ETPA]],tbEtapas[],3,FALSE),"")</f>
        <v>EDUCAÇÃO INFANTIL</v>
      </c>
      <c r="F598" s="7" t="s">
        <v>126</v>
      </c>
    </row>
    <row r="599" spans="1:6" x14ac:dyDescent="0.25">
      <c r="A599" s="7" t="str" cm="1">
        <f t="array" ref="A599">IFERROR(INDEX(tbNucleo[ESCOLA],ROUNDUP(ROW(A598)/TotalEtapas,0)),"")</f>
        <v xml:space="preserve">EM CLARINÓPOLIS </v>
      </c>
      <c r="B599" s="7" t="s">
        <v>115</v>
      </c>
      <c r="C599" s="7" cm="1">
        <f t="array" ref="C599">IF(A599="","",INDEX(tbEtapas[Nº],MOD(ROW(A598)-1,TotalEtapas)+1))</f>
        <v>4</v>
      </c>
      <c r="D599" s="7" t="str">
        <f>IFERROR(VLOOKUP(tbEscolas[[#This Row],[COD ETPA]],tbEtapas[],2,FALSE),"")</f>
        <v>PRE II</v>
      </c>
      <c r="E599" s="7" t="str">
        <f>IFERROR(VLOOKUP(tbEscolas[[#This Row],[COD ETPA]],tbEtapas[],3,FALSE),"")</f>
        <v>EDUCAÇÃO INFANTIL</v>
      </c>
      <c r="F599" s="7" t="s">
        <v>126</v>
      </c>
    </row>
    <row r="600" spans="1:6" x14ac:dyDescent="0.25">
      <c r="A600" s="7" t="str" cm="1">
        <f t="array" ref="A600">IFERROR(INDEX(tbNucleo[ESCOLA],ROUNDUP(ROW(A599)/TotalEtapas,0)),"")</f>
        <v xml:space="preserve">EM CLARINÓPOLIS </v>
      </c>
      <c r="B600" s="7" t="s">
        <v>115</v>
      </c>
      <c r="C600" s="7" cm="1">
        <f t="array" ref="C600">IF(A600="","",INDEX(tbEtapas[Nº],MOD(ROW(A599)-1,TotalEtapas)+1))</f>
        <v>5</v>
      </c>
      <c r="D600" s="7" t="str">
        <f>IFERROR(VLOOKUP(tbEscolas[[#This Row],[COD ETPA]],tbEtapas[],2,FALSE),"")</f>
        <v>1º ANO</v>
      </c>
      <c r="E600" s="7" t="str">
        <f>IFERROR(VLOOKUP(tbEscolas[[#This Row],[COD ETPA]],tbEtapas[],3,FALSE),"")</f>
        <v>FUNDAMENTAL</v>
      </c>
      <c r="F600" s="7" t="s">
        <v>126</v>
      </c>
    </row>
    <row r="601" spans="1:6" x14ac:dyDescent="0.25">
      <c r="A601" s="7" t="str" cm="1">
        <f t="array" ref="A601">IFERROR(INDEX(tbNucleo[ESCOLA],ROUNDUP(ROW(A600)/TotalEtapas,0)),"")</f>
        <v xml:space="preserve">EM CLARINÓPOLIS </v>
      </c>
      <c r="B601" s="7" t="s">
        <v>115</v>
      </c>
      <c r="C601" s="7" cm="1">
        <f t="array" ref="C601">IF(A601="","",INDEX(tbEtapas[Nº],MOD(ROW(A600)-1,TotalEtapas)+1))</f>
        <v>6</v>
      </c>
      <c r="D601" s="7" t="str">
        <f>IFERROR(VLOOKUP(tbEscolas[[#This Row],[COD ETPA]],tbEtapas[],2,FALSE),"")</f>
        <v>2º ANO</v>
      </c>
      <c r="E601" s="7" t="str">
        <f>IFERROR(VLOOKUP(tbEscolas[[#This Row],[COD ETPA]],tbEtapas[],3,FALSE),"")</f>
        <v>FUNDAMENTAL</v>
      </c>
      <c r="F601" s="7" t="s">
        <v>126</v>
      </c>
    </row>
    <row r="602" spans="1:6" x14ac:dyDescent="0.25">
      <c r="A602" s="7" t="str" cm="1">
        <f t="array" ref="A602">IFERROR(INDEX(tbNucleo[ESCOLA],ROUNDUP(ROW(A601)/TotalEtapas,0)),"")</f>
        <v xml:space="preserve">EM CLARINÓPOLIS </v>
      </c>
      <c r="B602" s="7" t="s">
        <v>115</v>
      </c>
      <c r="C602" s="7" cm="1">
        <f t="array" ref="C602">IF(A602="","",INDEX(tbEtapas[Nº],MOD(ROW(A601)-1,TotalEtapas)+1))</f>
        <v>7</v>
      </c>
      <c r="D602" s="7" t="str">
        <f>IFERROR(VLOOKUP(tbEscolas[[#This Row],[COD ETPA]],tbEtapas[],2,FALSE),"")</f>
        <v>3º ANO</v>
      </c>
      <c r="E602" s="7" t="str">
        <f>IFERROR(VLOOKUP(tbEscolas[[#This Row],[COD ETPA]],tbEtapas[],3,FALSE),"")</f>
        <v>FUNDAMENTAL</v>
      </c>
      <c r="F602" s="7" t="s">
        <v>126</v>
      </c>
    </row>
    <row r="603" spans="1:6" x14ac:dyDescent="0.25">
      <c r="A603" s="7" t="str" cm="1">
        <f t="array" ref="A603">IFERROR(INDEX(tbNucleo[ESCOLA],ROUNDUP(ROW(A602)/TotalEtapas,0)),"")</f>
        <v xml:space="preserve">EM CLARINÓPOLIS </v>
      </c>
      <c r="B603" s="7" t="s">
        <v>115</v>
      </c>
      <c r="C603" s="7" cm="1">
        <f t="array" ref="C603">IF(A603="","",INDEX(tbEtapas[Nº],MOD(ROW(A602)-1,TotalEtapas)+1))</f>
        <v>8</v>
      </c>
      <c r="D603" s="7" t="str">
        <f>IFERROR(VLOOKUP(tbEscolas[[#This Row],[COD ETPA]],tbEtapas[],2,FALSE),"")</f>
        <v>4º ANO</v>
      </c>
      <c r="E603" s="7" t="str">
        <f>IFERROR(VLOOKUP(tbEscolas[[#This Row],[COD ETPA]],tbEtapas[],3,FALSE),"")</f>
        <v>FUNDAMENTAL</v>
      </c>
      <c r="F603" s="7" t="s">
        <v>126</v>
      </c>
    </row>
    <row r="604" spans="1:6" x14ac:dyDescent="0.25">
      <c r="A604" s="7" t="str" cm="1">
        <f t="array" ref="A604">IFERROR(INDEX(tbNucleo[ESCOLA],ROUNDUP(ROW(A603)/TotalEtapas,0)),"")</f>
        <v xml:space="preserve">EM CLARINÓPOLIS </v>
      </c>
      <c r="B604" s="7" t="s">
        <v>115</v>
      </c>
      <c r="C604" s="7" cm="1">
        <f t="array" ref="C604">IF(A604="","",INDEX(tbEtapas[Nº],MOD(ROW(A603)-1,TotalEtapas)+1))</f>
        <v>9</v>
      </c>
      <c r="D604" s="7" t="str">
        <f>IFERROR(VLOOKUP(tbEscolas[[#This Row],[COD ETPA]],tbEtapas[],2,FALSE),"")</f>
        <v>5º ANO</v>
      </c>
      <c r="E604" s="7" t="str">
        <f>IFERROR(VLOOKUP(tbEscolas[[#This Row],[COD ETPA]],tbEtapas[],3,FALSE),"")</f>
        <v>FUNDAMENTAL</v>
      </c>
      <c r="F604" s="7" t="s">
        <v>126</v>
      </c>
    </row>
    <row r="605" spans="1:6" x14ac:dyDescent="0.25">
      <c r="A605" s="7" t="str" cm="1">
        <f t="array" ref="A605">IFERROR(INDEX(tbNucleo[ESCOLA],ROUNDUP(ROW(A604)/TotalEtapas,0)),"")</f>
        <v xml:space="preserve">EM CLARINÓPOLIS </v>
      </c>
      <c r="B605" s="7" t="s">
        <v>115</v>
      </c>
      <c r="C605" s="7" cm="1">
        <f t="array" ref="C605">IF(A605="","",INDEX(tbEtapas[Nº],MOD(ROW(A604)-1,TotalEtapas)+1))</f>
        <v>10</v>
      </c>
      <c r="D605" s="7" t="str">
        <f>IFERROR(VLOOKUP(tbEscolas[[#This Row],[COD ETPA]],tbEtapas[],2,FALSE),"")</f>
        <v>6º ANO</v>
      </c>
      <c r="E605" s="7" t="str">
        <f>IFERROR(VLOOKUP(tbEscolas[[#This Row],[COD ETPA]],tbEtapas[],3,FALSE),"")</f>
        <v>FUNDAMENTAL</v>
      </c>
      <c r="F605" s="7" t="s">
        <v>125</v>
      </c>
    </row>
    <row r="606" spans="1:6" x14ac:dyDescent="0.25">
      <c r="A606" s="7" t="str" cm="1">
        <f t="array" ref="A606">IFERROR(INDEX(tbNucleo[ESCOLA],ROUNDUP(ROW(A605)/TotalEtapas,0)),"")</f>
        <v xml:space="preserve">EM CLARINÓPOLIS </v>
      </c>
      <c r="B606" s="7" t="s">
        <v>115</v>
      </c>
      <c r="C606" s="7" cm="1">
        <f t="array" ref="C606">IF(A606="","",INDEX(tbEtapas[Nº],MOD(ROW(A605)-1,TotalEtapas)+1))</f>
        <v>11</v>
      </c>
      <c r="D606" s="7" t="str">
        <f>IFERROR(VLOOKUP(tbEscolas[[#This Row],[COD ETPA]],tbEtapas[],2,FALSE),"")</f>
        <v>7º ANO</v>
      </c>
      <c r="E606" s="7" t="str">
        <f>IFERROR(VLOOKUP(tbEscolas[[#This Row],[COD ETPA]],tbEtapas[],3,FALSE),"")</f>
        <v>FUNDAMENTAL</v>
      </c>
      <c r="F606" s="7" t="s">
        <v>125</v>
      </c>
    </row>
    <row r="607" spans="1:6" x14ac:dyDescent="0.25">
      <c r="A607" s="7" t="str" cm="1">
        <f t="array" ref="A607">IFERROR(INDEX(tbNucleo[ESCOLA],ROUNDUP(ROW(A606)/TotalEtapas,0)),"")</f>
        <v xml:space="preserve">EM CLARINÓPOLIS </v>
      </c>
      <c r="B607" s="7" t="s">
        <v>115</v>
      </c>
      <c r="C607" s="7" cm="1">
        <f t="array" ref="C607">IF(A607="","",INDEX(tbEtapas[Nº],MOD(ROW(A606)-1,TotalEtapas)+1))</f>
        <v>12</v>
      </c>
      <c r="D607" s="7" t="str">
        <f>IFERROR(VLOOKUP(tbEscolas[[#This Row],[COD ETPA]],tbEtapas[],2,FALSE),"")</f>
        <v>8º ANO</v>
      </c>
      <c r="E607" s="7" t="str">
        <f>IFERROR(VLOOKUP(tbEscolas[[#This Row],[COD ETPA]],tbEtapas[],3,FALSE),"")</f>
        <v>FUNDAMENTAL</v>
      </c>
      <c r="F607" s="7" t="s">
        <v>125</v>
      </c>
    </row>
    <row r="608" spans="1:6" x14ac:dyDescent="0.25">
      <c r="A608" s="7" t="str" cm="1">
        <f t="array" ref="A608">IFERROR(INDEX(tbNucleo[ESCOLA],ROUNDUP(ROW(A607)/TotalEtapas,0)),"")</f>
        <v xml:space="preserve">EM CLARINÓPOLIS </v>
      </c>
      <c r="B608" s="7" t="s">
        <v>115</v>
      </c>
      <c r="C608" s="7" cm="1">
        <f t="array" ref="C608">IF(A608="","",INDEX(tbEtapas[Nº],MOD(ROW(A607)-1,TotalEtapas)+1))</f>
        <v>13</v>
      </c>
      <c r="D608" s="7" t="str">
        <f>IFERROR(VLOOKUP(tbEscolas[[#This Row],[COD ETPA]],tbEtapas[],2,FALSE),"")</f>
        <v>9º ANO</v>
      </c>
      <c r="E608" s="7" t="str">
        <f>IFERROR(VLOOKUP(tbEscolas[[#This Row],[COD ETPA]],tbEtapas[],3,FALSE),"")</f>
        <v>FUNDAMENTAL</v>
      </c>
      <c r="F608" s="7" t="s">
        <v>125</v>
      </c>
    </row>
    <row r="609" spans="1:6" x14ac:dyDescent="0.25">
      <c r="A609" s="7" t="str" cm="1">
        <f t="array" ref="A609">IFERROR(INDEX(tbNucleo[ESCOLA],ROUNDUP(ROW(A608)/TotalEtapas,0)),"")</f>
        <v xml:space="preserve">EM CLARINÓPOLIS </v>
      </c>
      <c r="B609" s="7" t="s">
        <v>115</v>
      </c>
      <c r="C609" s="7">
        <v>14</v>
      </c>
      <c r="D609" s="7" t="str">
        <f>IFERROR(VLOOKUP(tbEscolas[[#This Row],[COD ETPA]],tbEtapas[],2,FALSE),"")</f>
        <v>1º ANO</v>
      </c>
      <c r="E609" s="7" t="str">
        <f>IFERROR(VLOOKUP(tbEscolas[[#This Row],[COD ETPA]],tbEtapas[],3,FALSE),"")</f>
        <v>ENSINO MÉDIO</v>
      </c>
      <c r="F609" s="7" t="s">
        <v>125</v>
      </c>
    </row>
    <row r="610" spans="1:6" x14ac:dyDescent="0.25">
      <c r="A610" s="7" t="str" cm="1">
        <f t="array" ref="A610">IFERROR(INDEX(tbNucleo[ESCOLA],ROUNDUP(ROW(A609)/TotalEtapas,0)),"")</f>
        <v xml:space="preserve">EM CLARINÓPOLIS </v>
      </c>
      <c r="B610" s="7" t="s">
        <v>115</v>
      </c>
      <c r="C610" s="7">
        <v>15</v>
      </c>
      <c r="D610" s="7" t="str">
        <f>IFERROR(VLOOKUP(tbEscolas[[#This Row],[COD ETPA]],tbEtapas[],2,FALSE),"")</f>
        <v>2º ANO</v>
      </c>
      <c r="E610" s="7" t="str">
        <f>IFERROR(VLOOKUP(tbEscolas[[#This Row],[COD ETPA]],tbEtapas[],3,FALSE),"")</f>
        <v>ENSINO MÉDIO</v>
      </c>
      <c r="F610" s="7" t="s">
        <v>125</v>
      </c>
    </row>
    <row r="611" spans="1:6" x14ac:dyDescent="0.25">
      <c r="A611" s="7" t="str" cm="1">
        <f t="array" ref="A611">IFERROR(INDEX(tbNucleo[ESCOLA],ROUNDUP(ROW(A610)/TotalEtapas,0)),"")</f>
        <v xml:space="preserve">EM CLARINÓPOLIS </v>
      </c>
      <c r="B611" s="7" t="s">
        <v>115</v>
      </c>
      <c r="C611" s="7">
        <v>16</v>
      </c>
      <c r="D611" s="7" t="str">
        <f>IFERROR(VLOOKUP(tbEscolas[[#This Row],[COD ETPA]],tbEtapas[],2,FALSE),"")</f>
        <v>3º ANO</v>
      </c>
      <c r="E611" s="7" t="str">
        <f>IFERROR(VLOOKUP(tbEscolas[[#This Row],[COD ETPA]],tbEtapas[],3,FALSE),"")</f>
        <v>ENSINO MÉDIO</v>
      </c>
      <c r="F611" s="7" t="s">
        <v>125</v>
      </c>
    </row>
    <row r="612" spans="1:6" x14ac:dyDescent="0.25">
      <c r="A612" s="7" t="str" cm="1">
        <f t="array" ref="A612">IFERROR(INDEX(tbNucleo[ESCOLA],ROUNDUP(ROW(A611)/TotalEtapas,0)),"")</f>
        <v xml:space="preserve">EM CLARINÓPOLIS </v>
      </c>
      <c r="B612" s="7" t="s">
        <v>115</v>
      </c>
      <c r="C612" s="7">
        <v>17</v>
      </c>
      <c r="D612" s="7" t="str">
        <f>IFERROR(VLOOKUP(tbEscolas[[#This Row],[COD ETPA]],tbEtapas[],2,FALSE),"")</f>
        <v>EJA I</v>
      </c>
      <c r="E612" s="7" t="str">
        <f>IFERROR(VLOOKUP(tbEscolas[[#This Row],[COD ETPA]],tbEtapas[],3,FALSE),"")</f>
        <v>FUNDAMENTAL</v>
      </c>
      <c r="F612" s="7" t="s">
        <v>125</v>
      </c>
    </row>
    <row r="613" spans="1:6" x14ac:dyDescent="0.25">
      <c r="A613" s="7" t="str" cm="1">
        <f t="array" ref="A613">IFERROR(INDEX(tbNucleo[ESCOLA],ROUNDUP(ROW(A612)/TotalEtapas,0)),"")</f>
        <v xml:space="preserve">EM CLARINÓPOLIS </v>
      </c>
      <c r="B613" s="7" t="s">
        <v>115</v>
      </c>
      <c r="C613" s="7">
        <v>18</v>
      </c>
      <c r="D613" s="7" t="str">
        <f>IFERROR(VLOOKUP(tbEscolas[[#This Row],[COD ETPA]],tbEtapas[],2,FALSE),"")</f>
        <v>EJA II</v>
      </c>
      <c r="E613" s="7" t="str">
        <f>IFERROR(VLOOKUP(tbEscolas[[#This Row],[COD ETPA]],tbEtapas[],3,FALSE),"")</f>
        <v>ENSINO MÉDIO</v>
      </c>
      <c r="F613" s="7" t="s">
        <v>125</v>
      </c>
    </row>
    <row r="614" spans="1:6" x14ac:dyDescent="0.25">
      <c r="A614" s="8" t="str" cm="1">
        <f t="array" ref="A614">IFERROR(INDEX(tbNucleo[ESCOLA],ROUNDUP(ROW(A613)/TotalEtapas,0)),"")</f>
        <v xml:space="preserve"> EM LARANJEIRA I </v>
      </c>
      <c r="B614" s="8" t="s">
        <v>112</v>
      </c>
      <c r="C614" s="8" cm="1">
        <f t="array" ref="C614">IF(A614="","",INDEX(tbEtapas[Nº],MOD(ROW(A613)-1,TotalEtapas)+1))</f>
        <v>1</v>
      </c>
      <c r="D614" s="8" t="str">
        <f>IFERROR(VLOOKUP(tbEscolas[[#This Row],[COD ETPA]],tbEtapas[],2,FALSE),"")</f>
        <v>CRECHE I</v>
      </c>
      <c r="E614" s="8" t="str">
        <f>IFERROR(VLOOKUP(tbEscolas[[#This Row],[COD ETPA]],tbEtapas[],3,FALSE),"")</f>
        <v>EDUCAÇÃO INFANTIL</v>
      </c>
      <c r="F614" s="8" t="s">
        <v>125</v>
      </c>
    </row>
    <row r="615" spans="1:6" x14ac:dyDescent="0.25">
      <c r="A615" s="8" t="str" cm="1">
        <f t="array" ref="A615">IFERROR(INDEX(tbNucleo[ESCOLA],ROUNDUP(ROW(A614)/TotalEtapas,0)),"")</f>
        <v xml:space="preserve"> EM LARANJEIRA I </v>
      </c>
      <c r="B615" s="8" t="s">
        <v>112</v>
      </c>
      <c r="C615" s="8" cm="1">
        <f t="array" ref="C615">IF(A615="","",INDEX(tbEtapas[Nº],MOD(ROW(A614)-1,TotalEtapas)+1))</f>
        <v>2</v>
      </c>
      <c r="D615" s="8" t="str">
        <f>IFERROR(VLOOKUP(tbEscolas[[#This Row],[COD ETPA]],tbEtapas[],2,FALSE),"")</f>
        <v>CRECHE II</v>
      </c>
      <c r="E615" s="8" t="str">
        <f>IFERROR(VLOOKUP(tbEscolas[[#This Row],[COD ETPA]],tbEtapas[],3,FALSE),"")</f>
        <v>EDUCAÇÃO INFANTIL</v>
      </c>
      <c r="F615" s="8" t="s">
        <v>125</v>
      </c>
    </row>
    <row r="616" spans="1:6" x14ac:dyDescent="0.25">
      <c r="A616" s="8" t="str" cm="1">
        <f t="array" ref="A616">IFERROR(INDEX(tbNucleo[ESCOLA],ROUNDUP(ROW(A615)/TotalEtapas,0)),"")</f>
        <v xml:space="preserve"> EM LARANJEIRA I </v>
      </c>
      <c r="B616" s="8" t="s">
        <v>112</v>
      </c>
      <c r="C616" s="8" cm="1">
        <f t="array" ref="C616">IF(A616="","",INDEX(tbEtapas[Nº],MOD(ROW(A615)-1,TotalEtapas)+1))</f>
        <v>3</v>
      </c>
      <c r="D616" s="8" t="str">
        <f>IFERROR(VLOOKUP(tbEscolas[[#This Row],[COD ETPA]],tbEtapas[],2,FALSE),"")</f>
        <v>PRE I</v>
      </c>
      <c r="E616" s="8" t="str">
        <f>IFERROR(VLOOKUP(tbEscolas[[#This Row],[COD ETPA]],tbEtapas[],3,FALSE),"")</f>
        <v>EDUCAÇÃO INFANTIL</v>
      </c>
      <c r="F616" s="8" t="s">
        <v>126</v>
      </c>
    </row>
    <row r="617" spans="1:6" x14ac:dyDescent="0.25">
      <c r="A617" s="8" t="str" cm="1">
        <f t="array" ref="A617">IFERROR(INDEX(tbNucleo[ESCOLA],ROUNDUP(ROW(A616)/TotalEtapas,0)),"")</f>
        <v xml:space="preserve"> EM LARANJEIRA I </v>
      </c>
      <c r="B617" s="8" t="s">
        <v>112</v>
      </c>
      <c r="C617" s="8" cm="1">
        <f t="array" ref="C617">IF(A617="","",INDEX(tbEtapas[Nº],MOD(ROW(A616)-1,TotalEtapas)+1))</f>
        <v>4</v>
      </c>
      <c r="D617" s="8" t="str">
        <f>IFERROR(VLOOKUP(tbEscolas[[#This Row],[COD ETPA]],tbEtapas[],2,FALSE),"")</f>
        <v>PRE II</v>
      </c>
      <c r="E617" s="8" t="str">
        <f>IFERROR(VLOOKUP(tbEscolas[[#This Row],[COD ETPA]],tbEtapas[],3,FALSE),"")</f>
        <v>EDUCAÇÃO INFANTIL</v>
      </c>
      <c r="F617" s="8" t="s">
        <v>126</v>
      </c>
    </row>
    <row r="618" spans="1:6" x14ac:dyDescent="0.25">
      <c r="A618" s="8" t="str" cm="1">
        <f t="array" ref="A618">IFERROR(INDEX(tbNucleo[ESCOLA],ROUNDUP(ROW(A617)/TotalEtapas,0)),"")</f>
        <v xml:space="preserve"> EM LARANJEIRA I </v>
      </c>
      <c r="B618" s="8" t="s">
        <v>112</v>
      </c>
      <c r="C618" s="8" cm="1">
        <f t="array" ref="C618">IF(A618="","",INDEX(tbEtapas[Nº],MOD(ROW(A617)-1,TotalEtapas)+1))</f>
        <v>5</v>
      </c>
      <c r="D618" s="8" t="str">
        <f>IFERROR(VLOOKUP(tbEscolas[[#This Row],[COD ETPA]],tbEtapas[],2,FALSE),"")</f>
        <v>1º ANO</v>
      </c>
      <c r="E618" s="8" t="str">
        <f>IFERROR(VLOOKUP(tbEscolas[[#This Row],[COD ETPA]],tbEtapas[],3,FALSE),"")</f>
        <v>FUNDAMENTAL</v>
      </c>
      <c r="F618" s="8" t="s">
        <v>126</v>
      </c>
    </row>
    <row r="619" spans="1:6" x14ac:dyDescent="0.25">
      <c r="A619" s="8" t="str" cm="1">
        <f t="array" ref="A619">IFERROR(INDEX(tbNucleo[ESCOLA],ROUNDUP(ROW(A618)/TotalEtapas,0)),"")</f>
        <v xml:space="preserve"> EM LARANJEIRA I </v>
      </c>
      <c r="B619" s="8" t="s">
        <v>112</v>
      </c>
      <c r="C619" s="8" cm="1">
        <f t="array" ref="C619">IF(A619="","",INDEX(tbEtapas[Nº],MOD(ROW(A618)-1,TotalEtapas)+1))</f>
        <v>6</v>
      </c>
      <c r="D619" s="8" t="str">
        <f>IFERROR(VLOOKUP(tbEscolas[[#This Row],[COD ETPA]],tbEtapas[],2,FALSE),"")</f>
        <v>2º ANO</v>
      </c>
      <c r="E619" s="8" t="str">
        <f>IFERROR(VLOOKUP(tbEscolas[[#This Row],[COD ETPA]],tbEtapas[],3,FALSE),"")</f>
        <v>FUNDAMENTAL</v>
      </c>
      <c r="F619" s="8" t="s">
        <v>126</v>
      </c>
    </row>
    <row r="620" spans="1:6" x14ac:dyDescent="0.25">
      <c r="A620" s="8" t="str" cm="1">
        <f t="array" ref="A620">IFERROR(INDEX(tbNucleo[ESCOLA],ROUNDUP(ROW(A619)/TotalEtapas,0)),"")</f>
        <v xml:space="preserve"> EM LARANJEIRA I </v>
      </c>
      <c r="B620" s="8" t="s">
        <v>112</v>
      </c>
      <c r="C620" s="8" cm="1">
        <f t="array" ref="C620">IF(A620="","",INDEX(tbEtapas[Nº],MOD(ROW(A619)-1,TotalEtapas)+1))</f>
        <v>7</v>
      </c>
      <c r="D620" s="8" t="str">
        <f>IFERROR(VLOOKUP(tbEscolas[[#This Row],[COD ETPA]],tbEtapas[],2,FALSE),"")</f>
        <v>3º ANO</v>
      </c>
      <c r="E620" s="8" t="str">
        <f>IFERROR(VLOOKUP(tbEscolas[[#This Row],[COD ETPA]],tbEtapas[],3,FALSE),"")</f>
        <v>FUNDAMENTAL</v>
      </c>
      <c r="F620" s="8" t="s">
        <v>126</v>
      </c>
    </row>
    <row r="621" spans="1:6" x14ac:dyDescent="0.25">
      <c r="A621" s="8" t="str" cm="1">
        <f t="array" ref="A621">IFERROR(INDEX(tbNucleo[ESCOLA],ROUNDUP(ROW(A620)/TotalEtapas,0)),"")</f>
        <v xml:space="preserve"> EM LARANJEIRA I </v>
      </c>
      <c r="B621" s="8" t="s">
        <v>112</v>
      </c>
      <c r="C621" s="8" cm="1">
        <f t="array" ref="C621">IF(A621="","",INDEX(tbEtapas[Nº],MOD(ROW(A620)-1,TotalEtapas)+1))</f>
        <v>8</v>
      </c>
      <c r="D621" s="8" t="str">
        <f>IFERROR(VLOOKUP(tbEscolas[[#This Row],[COD ETPA]],tbEtapas[],2,FALSE),"")</f>
        <v>4º ANO</v>
      </c>
      <c r="E621" s="8" t="str">
        <f>IFERROR(VLOOKUP(tbEscolas[[#This Row],[COD ETPA]],tbEtapas[],3,FALSE),"")</f>
        <v>FUNDAMENTAL</v>
      </c>
      <c r="F621" s="8" t="s">
        <v>126</v>
      </c>
    </row>
    <row r="622" spans="1:6" x14ac:dyDescent="0.25">
      <c r="A622" s="8" t="str" cm="1">
        <f t="array" ref="A622">IFERROR(INDEX(tbNucleo[ESCOLA],ROUNDUP(ROW(A621)/TotalEtapas,0)),"")</f>
        <v xml:space="preserve"> EM LARANJEIRA I </v>
      </c>
      <c r="B622" s="8" t="s">
        <v>112</v>
      </c>
      <c r="C622" s="8" cm="1">
        <f t="array" ref="C622">IF(A622="","",INDEX(tbEtapas[Nº],MOD(ROW(A621)-1,TotalEtapas)+1))</f>
        <v>9</v>
      </c>
      <c r="D622" s="8" t="str">
        <f>IFERROR(VLOOKUP(tbEscolas[[#This Row],[COD ETPA]],tbEtapas[],2,FALSE),"")</f>
        <v>5º ANO</v>
      </c>
      <c r="E622" s="8" t="str">
        <f>IFERROR(VLOOKUP(tbEscolas[[#This Row],[COD ETPA]],tbEtapas[],3,FALSE),"")</f>
        <v>FUNDAMENTAL</v>
      </c>
      <c r="F622" s="8" t="s">
        <v>126</v>
      </c>
    </row>
    <row r="623" spans="1:6" x14ac:dyDescent="0.25">
      <c r="A623" s="8" t="str" cm="1">
        <f t="array" ref="A623">IFERROR(INDEX(tbNucleo[ESCOLA],ROUNDUP(ROW(A622)/TotalEtapas,0)),"")</f>
        <v xml:space="preserve"> EM LARANJEIRA I </v>
      </c>
      <c r="B623" s="8" t="s">
        <v>112</v>
      </c>
      <c r="C623" s="8" cm="1">
        <f t="array" ref="C623">IF(A623="","",INDEX(tbEtapas[Nº],MOD(ROW(A622)-1,TotalEtapas)+1))</f>
        <v>10</v>
      </c>
      <c r="D623" s="8" t="str">
        <f>IFERROR(VLOOKUP(tbEscolas[[#This Row],[COD ETPA]],tbEtapas[],2,FALSE),"")</f>
        <v>6º ANO</v>
      </c>
      <c r="E623" s="8" t="str">
        <f>IFERROR(VLOOKUP(tbEscolas[[#This Row],[COD ETPA]],tbEtapas[],3,FALSE),"")</f>
        <v>FUNDAMENTAL</v>
      </c>
      <c r="F623" s="8" t="s">
        <v>125</v>
      </c>
    </row>
    <row r="624" spans="1:6" x14ac:dyDescent="0.25">
      <c r="A624" s="8" t="str" cm="1">
        <f t="array" ref="A624">IFERROR(INDEX(tbNucleo[ESCOLA],ROUNDUP(ROW(A623)/TotalEtapas,0)),"")</f>
        <v xml:space="preserve"> EM LARANJEIRA I </v>
      </c>
      <c r="B624" s="8" t="s">
        <v>112</v>
      </c>
      <c r="C624" s="8" cm="1">
        <f t="array" ref="C624">IF(A624="","",INDEX(tbEtapas[Nº],MOD(ROW(A623)-1,TotalEtapas)+1))</f>
        <v>11</v>
      </c>
      <c r="D624" s="8" t="str">
        <f>IFERROR(VLOOKUP(tbEscolas[[#This Row],[COD ETPA]],tbEtapas[],2,FALSE),"")</f>
        <v>7º ANO</v>
      </c>
      <c r="E624" s="8" t="str">
        <f>IFERROR(VLOOKUP(tbEscolas[[#This Row],[COD ETPA]],tbEtapas[],3,FALSE),"")</f>
        <v>FUNDAMENTAL</v>
      </c>
      <c r="F624" s="8" t="s">
        <v>125</v>
      </c>
    </row>
    <row r="625" spans="1:6" x14ac:dyDescent="0.25">
      <c r="A625" s="8" t="str" cm="1">
        <f t="array" ref="A625">IFERROR(INDEX(tbNucleo[ESCOLA],ROUNDUP(ROW(A624)/TotalEtapas,0)),"")</f>
        <v xml:space="preserve"> EM LARANJEIRA I </v>
      </c>
      <c r="B625" s="8" t="s">
        <v>112</v>
      </c>
      <c r="C625" s="8" cm="1">
        <f t="array" ref="C625">IF(A625="","",INDEX(tbEtapas[Nº],MOD(ROW(A624)-1,TotalEtapas)+1))</f>
        <v>12</v>
      </c>
      <c r="D625" s="8" t="str">
        <f>IFERROR(VLOOKUP(tbEscolas[[#This Row],[COD ETPA]],tbEtapas[],2,FALSE),"")</f>
        <v>8º ANO</v>
      </c>
      <c r="E625" s="8" t="str">
        <f>IFERROR(VLOOKUP(tbEscolas[[#This Row],[COD ETPA]],tbEtapas[],3,FALSE),"")</f>
        <v>FUNDAMENTAL</v>
      </c>
      <c r="F625" s="8" t="s">
        <v>125</v>
      </c>
    </row>
    <row r="626" spans="1:6" x14ac:dyDescent="0.25">
      <c r="A626" s="8" t="str" cm="1">
        <f t="array" ref="A626">IFERROR(INDEX(tbNucleo[ESCOLA],ROUNDUP(ROW(A625)/TotalEtapas,0)),"")</f>
        <v xml:space="preserve"> EM LARANJEIRA I </v>
      </c>
      <c r="B626" s="8" t="s">
        <v>112</v>
      </c>
      <c r="C626" s="8" cm="1">
        <f t="array" ref="C626">IF(A626="","",INDEX(tbEtapas[Nº],MOD(ROW(A625)-1,TotalEtapas)+1))</f>
        <v>13</v>
      </c>
      <c r="D626" s="8" t="str">
        <f>IFERROR(VLOOKUP(tbEscolas[[#This Row],[COD ETPA]],tbEtapas[],2,FALSE),"")</f>
        <v>9º ANO</v>
      </c>
      <c r="E626" s="8" t="str">
        <f>IFERROR(VLOOKUP(tbEscolas[[#This Row],[COD ETPA]],tbEtapas[],3,FALSE),"")</f>
        <v>FUNDAMENTAL</v>
      </c>
      <c r="F626" s="8" t="s">
        <v>125</v>
      </c>
    </row>
    <row r="627" spans="1:6" x14ac:dyDescent="0.25">
      <c r="A627" s="8" t="str" cm="1">
        <f t="array" ref="A627">IFERROR(INDEX(tbNucleo[ESCOLA],ROUNDUP(ROW(A626)/TotalEtapas,0)),"")</f>
        <v xml:space="preserve"> EM LARANJEIRA I </v>
      </c>
      <c r="B627" s="8" t="s">
        <v>112</v>
      </c>
      <c r="C627" s="8">
        <v>14</v>
      </c>
      <c r="D627" s="8" t="str">
        <f>IFERROR(VLOOKUP(tbEscolas[[#This Row],[COD ETPA]],tbEtapas[],2,FALSE),"")</f>
        <v>1º ANO</v>
      </c>
      <c r="E627" s="8" t="str">
        <f>IFERROR(VLOOKUP(tbEscolas[[#This Row],[COD ETPA]],tbEtapas[],3,FALSE),"")</f>
        <v>ENSINO MÉDIO</v>
      </c>
      <c r="F627" s="8" t="s">
        <v>125</v>
      </c>
    </row>
    <row r="628" spans="1:6" x14ac:dyDescent="0.25">
      <c r="A628" s="8" t="str" cm="1">
        <f t="array" ref="A628">IFERROR(INDEX(tbNucleo[ESCOLA],ROUNDUP(ROW(A627)/TotalEtapas,0)),"")</f>
        <v xml:space="preserve"> EM LARANJEIRA I </v>
      </c>
      <c r="B628" s="8" t="s">
        <v>112</v>
      </c>
      <c r="C628" s="8">
        <v>15</v>
      </c>
      <c r="D628" s="8" t="str">
        <f>IFERROR(VLOOKUP(tbEscolas[[#This Row],[COD ETPA]],tbEtapas[],2,FALSE),"")</f>
        <v>2º ANO</v>
      </c>
      <c r="E628" s="8" t="str">
        <f>IFERROR(VLOOKUP(tbEscolas[[#This Row],[COD ETPA]],tbEtapas[],3,FALSE),"")</f>
        <v>ENSINO MÉDIO</v>
      </c>
      <c r="F628" s="8" t="s">
        <v>125</v>
      </c>
    </row>
    <row r="629" spans="1:6" x14ac:dyDescent="0.25">
      <c r="A629" s="8" t="str" cm="1">
        <f t="array" ref="A629">IFERROR(INDEX(tbNucleo[ESCOLA],ROUNDUP(ROW(A628)/TotalEtapas,0)),"")</f>
        <v xml:space="preserve"> EM LARANJEIRA I </v>
      </c>
      <c r="B629" s="8" t="s">
        <v>112</v>
      </c>
      <c r="C629" s="8">
        <v>16</v>
      </c>
      <c r="D629" s="8" t="str">
        <f>IFERROR(VLOOKUP(tbEscolas[[#This Row],[COD ETPA]],tbEtapas[],2,FALSE),"")</f>
        <v>3º ANO</v>
      </c>
      <c r="E629" s="8" t="str">
        <f>IFERROR(VLOOKUP(tbEscolas[[#This Row],[COD ETPA]],tbEtapas[],3,FALSE),"")</f>
        <v>ENSINO MÉDIO</v>
      </c>
      <c r="F629" s="8" t="s">
        <v>125</v>
      </c>
    </row>
    <row r="630" spans="1:6" x14ac:dyDescent="0.25">
      <c r="A630" s="8" t="str" cm="1">
        <f t="array" ref="A630">IFERROR(INDEX(tbNucleo[ESCOLA],ROUNDUP(ROW(A629)/TotalEtapas,0)),"")</f>
        <v xml:space="preserve"> EM LARANJEIRA I </v>
      </c>
      <c r="B630" s="8" t="s">
        <v>112</v>
      </c>
      <c r="C630" s="8">
        <v>17</v>
      </c>
      <c r="D630" s="8" t="str">
        <f>IFERROR(VLOOKUP(tbEscolas[[#This Row],[COD ETPA]],tbEtapas[],2,FALSE),"")</f>
        <v>EJA I</v>
      </c>
      <c r="E630" s="8" t="str">
        <f>IFERROR(VLOOKUP(tbEscolas[[#This Row],[COD ETPA]],tbEtapas[],3,FALSE),"")</f>
        <v>FUNDAMENTAL</v>
      </c>
      <c r="F630" s="8" t="s">
        <v>125</v>
      </c>
    </row>
    <row r="631" spans="1:6" x14ac:dyDescent="0.25">
      <c r="A631" s="8" t="str" cm="1">
        <f t="array" ref="A631">IFERROR(INDEX(tbNucleo[ESCOLA],ROUNDUP(ROW(A630)/TotalEtapas,0)),"")</f>
        <v xml:space="preserve"> EM LARANJEIRA I </v>
      </c>
      <c r="B631" s="8" t="s">
        <v>112</v>
      </c>
      <c r="C631" s="8">
        <v>18</v>
      </c>
      <c r="D631" s="8" t="str">
        <f>IFERROR(VLOOKUP(tbEscolas[[#This Row],[COD ETPA]],tbEtapas[],2,FALSE),"")</f>
        <v>EJA II</v>
      </c>
      <c r="E631" s="8" t="str">
        <f>IFERROR(VLOOKUP(tbEscolas[[#This Row],[COD ETPA]],tbEtapas[],3,FALSE),"")</f>
        <v>ENSINO MÉDIO</v>
      </c>
      <c r="F631" s="8" t="s">
        <v>125</v>
      </c>
    </row>
    <row r="632" spans="1:6" x14ac:dyDescent="0.25">
      <c r="A632" s="9" t="str" cm="1">
        <f t="array" ref="A632">IFERROR(INDEX(tbNucleo[ESCOLA],ROUNDUP(ROW(A631)/TotalEtapas,0)),"")</f>
        <v>EM 16 DE MARÇO</v>
      </c>
      <c r="B632" s="9" t="s">
        <v>119</v>
      </c>
      <c r="C632" s="9" cm="1">
        <f t="array" ref="C632">IF(A632="","",INDEX(tbEtapas[Nº],MOD(ROW(A631)-1,TotalEtapas)+1))</f>
        <v>1</v>
      </c>
      <c r="D632" s="9" t="str">
        <f>IFERROR(VLOOKUP(tbEscolas[[#This Row],[COD ETPA]],tbEtapas[],2,FALSE),"")</f>
        <v>CRECHE I</v>
      </c>
      <c r="E632" s="9" t="str">
        <f>IFERROR(VLOOKUP(tbEscolas[[#This Row],[COD ETPA]],tbEtapas[],3,FALSE),"")</f>
        <v>EDUCAÇÃO INFANTIL</v>
      </c>
      <c r="F632" s="9" t="s">
        <v>125</v>
      </c>
    </row>
    <row r="633" spans="1:6" x14ac:dyDescent="0.25">
      <c r="A633" s="9" t="str" cm="1">
        <f t="array" ref="A633">IFERROR(INDEX(tbNucleo[ESCOLA],ROUNDUP(ROW(A632)/TotalEtapas,0)),"")</f>
        <v>EM 16 DE MARÇO</v>
      </c>
      <c r="B633" s="9" t="s">
        <v>119</v>
      </c>
      <c r="C633" s="9" cm="1">
        <f t="array" ref="C633">IF(A633="","",INDEX(tbEtapas[Nº],MOD(ROW(A632)-1,TotalEtapas)+1))</f>
        <v>2</v>
      </c>
      <c r="D633" s="9" t="str">
        <f>IFERROR(VLOOKUP(tbEscolas[[#This Row],[COD ETPA]],tbEtapas[],2,FALSE),"")</f>
        <v>CRECHE II</v>
      </c>
      <c r="E633" s="9" t="str">
        <f>IFERROR(VLOOKUP(tbEscolas[[#This Row],[COD ETPA]],tbEtapas[],3,FALSE),"")</f>
        <v>EDUCAÇÃO INFANTIL</v>
      </c>
      <c r="F633" s="9" t="s">
        <v>125</v>
      </c>
    </row>
    <row r="634" spans="1:6" x14ac:dyDescent="0.25">
      <c r="A634" s="9" t="str" cm="1">
        <f t="array" ref="A634">IFERROR(INDEX(tbNucleo[ESCOLA],ROUNDUP(ROW(A633)/TotalEtapas,0)),"")</f>
        <v>EM 16 DE MARÇO</v>
      </c>
      <c r="B634" s="9" t="s">
        <v>119</v>
      </c>
      <c r="C634" s="9" cm="1">
        <f t="array" ref="C634">IF(A634="","",INDEX(tbEtapas[Nº],MOD(ROW(A633)-1,TotalEtapas)+1))</f>
        <v>3</v>
      </c>
      <c r="D634" s="9" t="str">
        <f>IFERROR(VLOOKUP(tbEscolas[[#This Row],[COD ETPA]],tbEtapas[],2,FALSE),"")</f>
        <v>PRE I</v>
      </c>
      <c r="E634" s="9" t="str">
        <f>IFERROR(VLOOKUP(tbEscolas[[#This Row],[COD ETPA]],tbEtapas[],3,FALSE),"")</f>
        <v>EDUCAÇÃO INFANTIL</v>
      </c>
      <c r="F634" s="9" t="s">
        <v>126</v>
      </c>
    </row>
    <row r="635" spans="1:6" x14ac:dyDescent="0.25">
      <c r="A635" s="9" t="str" cm="1">
        <f t="array" ref="A635">IFERROR(INDEX(tbNucleo[ESCOLA],ROUNDUP(ROW(A634)/TotalEtapas,0)),"")</f>
        <v>EM 16 DE MARÇO</v>
      </c>
      <c r="B635" s="9" t="s">
        <v>119</v>
      </c>
      <c r="C635" s="9" cm="1">
        <f t="array" ref="C635">IF(A635="","",INDEX(tbEtapas[Nº],MOD(ROW(A634)-1,TotalEtapas)+1))</f>
        <v>4</v>
      </c>
      <c r="D635" s="9" t="str">
        <f>IFERROR(VLOOKUP(tbEscolas[[#This Row],[COD ETPA]],tbEtapas[],2,FALSE),"")</f>
        <v>PRE II</v>
      </c>
      <c r="E635" s="9" t="str">
        <f>IFERROR(VLOOKUP(tbEscolas[[#This Row],[COD ETPA]],tbEtapas[],3,FALSE),"")</f>
        <v>EDUCAÇÃO INFANTIL</v>
      </c>
      <c r="F635" s="9" t="s">
        <v>126</v>
      </c>
    </row>
    <row r="636" spans="1:6" x14ac:dyDescent="0.25">
      <c r="A636" s="9" t="str" cm="1">
        <f t="array" ref="A636">IFERROR(INDEX(tbNucleo[ESCOLA],ROUNDUP(ROW(A635)/TotalEtapas,0)),"")</f>
        <v>EM 16 DE MARÇO</v>
      </c>
      <c r="B636" s="9" t="s">
        <v>119</v>
      </c>
      <c r="C636" s="9" cm="1">
        <f t="array" ref="C636">IF(A636="","",INDEX(tbEtapas[Nº],MOD(ROW(A635)-1,TotalEtapas)+1))</f>
        <v>5</v>
      </c>
      <c r="D636" s="9" t="str">
        <f>IFERROR(VLOOKUP(tbEscolas[[#This Row],[COD ETPA]],tbEtapas[],2,FALSE),"")</f>
        <v>1º ANO</v>
      </c>
      <c r="E636" s="9" t="str">
        <f>IFERROR(VLOOKUP(tbEscolas[[#This Row],[COD ETPA]],tbEtapas[],3,FALSE),"")</f>
        <v>FUNDAMENTAL</v>
      </c>
      <c r="F636" s="9" t="s">
        <v>126</v>
      </c>
    </row>
    <row r="637" spans="1:6" x14ac:dyDescent="0.25">
      <c r="A637" s="9" t="str" cm="1">
        <f t="array" ref="A637">IFERROR(INDEX(tbNucleo[ESCOLA],ROUNDUP(ROW(A636)/TotalEtapas,0)),"")</f>
        <v>EM 16 DE MARÇO</v>
      </c>
      <c r="B637" s="9" t="s">
        <v>119</v>
      </c>
      <c r="C637" s="9" cm="1">
        <f t="array" ref="C637">IF(A637="","",INDEX(tbEtapas[Nº],MOD(ROW(A636)-1,TotalEtapas)+1))</f>
        <v>6</v>
      </c>
      <c r="D637" s="9" t="str">
        <f>IFERROR(VLOOKUP(tbEscolas[[#This Row],[COD ETPA]],tbEtapas[],2,FALSE),"")</f>
        <v>2º ANO</v>
      </c>
      <c r="E637" s="9" t="str">
        <f>IFERROR(VLOOKUP(tbEscolas[[#This Row],[COD ETPA]],tbEtapas[],3,FALSE),"")</f>
        <v>FUNDAMENTAL</v>
      </c>
      <c r="F637" s="9" t="s">
        <v>126</v>
      </c>
    </row>
    <row r="638" spans="1:6" x14ac:dyDescent="0.25">
      <c r="A638" s="9" t="str" cm="1">
        <f t="array" ref="A638">IFERROR(INDEX(tbNucleo[ESCOLA],ROUNDUP(ROW(A637)/TotalEtapas,0)),"")</f>
        <v>EM 16 DE MARÇO</v>
      </c>
      <c r="B638" s="9" t="s">
        <v>119</v>
      </c>
      <c r="C638" s="9" cm="1">
        <f t="array" ref="C638">IF(A638="","",INDEX(tbEtapas[Nº],MOD(ROW(A637)-1,TotalEtapas)+1))</f>
        <v>7</v>
      </c>
      <c r="D638" s="9" t="str">
        <f>IFERROR(VLOOKUP(tbEscolas[[#This Row],[COD ETPA]],tbEtapas[],2,FALSE),"")</f>
        <v>3º ANO</v>
      </c>
      <c r="E638" s="9" t="str">
        <f>IFERROR(VLOOKUP(tbEscolas[[#This Row],[COD ETPA]],tbEtapas[],3,FALSE),"")</f>
        <v>FUNDAMENTAL</v>
      </c>
      <c r="F638" s="9" t="s">
        <v>126</v>
      </c>
    </row>
    <row r="639" spans="1:6" x14ac:dyDescent="0.25">
      <c r="A639" s="9" t="str" cm="1">
        <f t="array" ref="A639">IFERROR(INDEX(tbNucleo[ESCOLA],ROUNDUP(ROW(A638)/TotalEtapas,0)),"")</f>
        <v>EM 16 DE MARÇO</v>
      </c>
      <c r="B639" s="9" t="s">
        <v>119</v>
      </c>
      <c r="C639" s="9" cm="1">
        <f t="array" ref="C639">IF(A639="","",INDEX(tbEtapas[Nº],MOD(ROW(A638)-1,TotalEtapas)+1))</f>
        <v>8</v>
      </c>
      <c r="D639" s="9" t="str">
        <f>IFERROR(VLOOKUP(tbEscolas[[#This Row],[COD ETPA]],tbEtapas[],2,FALSE),"")</f>
        <v>4º ANO</v>
      </c>
      <c r="E639" s="9" t="str">
        <f>IFERROR(VLOOKUP(tbEscolas[[#This Row],[COD ETPA]],tbEtapas[],3,FALSE),"")</f>
        <v>FUNDAMENTAL</v>
      </c>
      <c r="F639" s="9" t="s">
        <v>126</v>
      </c>
    </row>
    <row r="640" spans="1:6" x14ac:dyDescent="0.25">
      <c r="A640" s="9" t="str" cm="1">
        <f t="array" ref="A640">IFERROR(INDEX(tbNucleo[ESCOLA],ROUNDUP(ROW(A639)/TotalEtapas,0)),"")</f>
        <v>EM 16 DE MARÇO</v>
      </c>
      <c r="B640" s="9" t="s">
        <v>119</v>
      </c>
      <c r="C640" s="9" cm="1">
        <f t="array" ref="C640">IF(A640="","",INDEX(tbEtapas[Nº],MOD(ROW(A639)-1,TotalEtapas)+1))</f>
        <v>9</v>
      </c>
      <c r="D640" s="9" t="str">
        <f>IFERROR(VLOOKUP(tbEscolas[[#This Row],[COD ETPA]],tbEtapas[],2,FALSE),"")</f>
        <v>5º ANO</v>
      </c>
      <c r="E640" s="9" t="str">
        <f>IFERROR(VLOOKUP(tbEscolas[[#This Row],[COD ETPA]],tbEtapas[],3,FALSE),"")</f>
        <v>FUNDAMENTAL</v>
      </c>
      <c r="F640" s="9" t="s">
        <v>126</v>
      </c>
    </row>
    <row r="641" spans="1:6" x14ac:dyDescent="0.25">
      <c r="A641" s="9" t="str" cm="1">
        <f t="array" ref="A641">IFERROR(INDEX(tbNucleo[ESCOLA],ROUNDUP(ROW(A640)/TotalEtapas,0)),"")</f>
        <v>EM 16 DE MARÇO</v>
      </c>
      <c r="B641" s="9" t="s">
        <v>119</v>
      </c>
      <c r="C641" s="9" cm="1">
        <f t="array" ref="C641">IF(A641="","",INDEX(tbEtapas[Nº],MOD(ROW(A640)-1,TotalEtapas)+1))</f>
        <v>10</v>
      </c>
      <c r="D641" s="9" t="str">
        <f>IFERROR(VLOOKUP(tbEscolas[[#This Row],[COD ETPA]],tbEtapas[],2,FALSE),"")</f>
        <v>6º ANO</v>
      </c>
      <c r="E641" s="9" t="str">
        <f>IFERROR(VLOOKUP(tbEscolas[[#This Row],[COD ETPA]],tbEtapas[],3,FALSE),"")</f>
        <v>FUNDAMENTAL</v>
      </c>
      <c r="F641" s="9" t="s">
        <v>125</v>
      </c>
    </row>
    <row r="642" spans="1:6" x14ac:dyDescent="0.25">
      <c r="A642" s="9" t="str" cm="1">
        <f t="array" ref="A642">IFERROR(INDEX(tbNucleo[ESCOLA],ROUNDUP(ROW(A641)/TotalEtapas,0)),"")</f>
        <v>EM 16 DE MARÇO</v>
      </c>
      <c r="B642" s="9" t="s">
        <v>119</v>
      </c>
      <c r="C642" s="9" cm="1">
        <f t="array" ref="C642">IF(A642="","",INDEX(tbEtapas[Nº],MOD(ROW(A641)-1,TotalEtapas)+1))</f>
        <v>11</v>
      </c>
      <c r="D642" s="9" t="str">
        <f>IFERROR(VLOOKUP(tbEscolas[[#This Row],[COD ETPA]],tbEtapas[],2,FALSE),"")</f>
        <v>7º ANO</v>
      </c>
      <c r="E642" s="9" t="str">
        <f>IFERROR(VLOOKUP(tbEscolas[[#This Row],[COD ETPA]],tbEtapas[],3,FALSE),"")</f>
        <v>FUNDAMENTAL</v>
      </c>
      <c r="F642" s="9" t="s">
        <v>125</v>
      </c>
    </row>
    <row r="643" spans="1:6" x14ac:dyDescent="0.25">
      <c r="A643" s="9" t="str" cm="1">
        <f t="array" ref="A643">IFERROR(INDEX(tbNucleo[ESCOLA],ROUNDUP(ROW(A642)/TotalEtapas,0)),"")</f>
        <v>EM 16 DE MARÇO</v>
      </c>
      <c r="B643" s="9" t="s">
        <v>119</v>
      </c>
      <c r="C643" s="9" cm="1">
        <f t="array" ref="C643">IF(A643="","",INDEX(tbEtapas[Nº],MOD(ROW(A642)-1,TotalEtapas)+1))</f>
        <v>12</v>
      </c>
      <c r="D643" s="9" t="str">
        <f>IFERROR(VLOOKUP(tbEscolas[[#This Row],[COD ETPA]],tbEtapas[],2,FALSE),"")</f>
        <v>8º ANO</v>
      </c>
      <c r="E643" s="9" t="str">
        <f>IFERROR(VLOOKUP(tbEscolas[[#This Row],[COD ETPA]],tbEtapas[],3,FALSE),"")</f>
        <v>FUNDAMENTAL</v>
      </c>
      <c r="F643" s="9" t="s">
        <v>125</v>
      </c>
    </row>
    <row r="644" spans="1:6" x14ac:dyDescent="0.25">
      <c r="A644" s="9" t="str" cm="1">
        <f t="array" ref="A644">IFERROR(INDEX(tbNucleo[ESCOLA],ROUNDUP(ROW(A643)/TotalEtapas,0)),"")</f>
        <v>EM 16 DE MARÇO</v>
      </c>
      <c r="B644" s="9" t="s">
        <v>119</v>
      </c>
      <c r="C644" s="9" cm="1">
        <f t="array" ref="C644">IF(A644="","",INDEX(tbEtapas[Nº],MOD(ROW(A643)-1,TotalEtapas)+1))</f>
        <v>13</v>
      </c>
      <c r="D644" s="9" t="str">
        <f>IFERROR(VLOOKUP(tbEscolas[[#This Row],[COD ETPA]],tbEtapas[],2,FALSE),"")</f>
        <v>9º ANO</v>
      </c>
      <c r="E644" s="9" t="str">
        <f>IFERROR(VLOOKUP(tbEscolas[[#This Row],[COD ETPA]],tbEtapas[],3,FALSE),"")</f>
        <v>FUNDAMENTAL</v>
      </c>
      <c r="F644" s="9" t="s">
        <v>125</v>
      </c>
    </row>
    <row r="645" spans="1:6" x14ac:dyDescent="0.25">
      <c r="A645" s="9" t="str" cm="1">
        <f t="array" ref="A645">IFERROR(INDEX(tbNucleo[ESCOLA],ROUNDUP(ROW(A644)/TotalEtapas,0)),"")</f>
        <v>EM 16 DE MARÇO</v>
      </c>
      <c r="B645" s="9" t="s">
        <v>119</v>
      </c>
      <c r="C645" s="9">
        <v>14</v>
      </c>
      <c r="D645" s="9" t="str">
        <f>IFERROR(VLOOKUP(tbEscolas[[#This Row],[COD ETPA]],tbEtapas[],2,FALSE),"")</f>
        <v>1º ANO</v>
      </c>
      <c r="E645" s="9" t="str">
        <f>IFERROR(VLOOKUP(tbEscolas[[#This Row],[COD ETPA]],tbEtapas[],3,FALSE),"")</f>
        <v>ENSINO MÉDIO</v>
      </c>
      <c r="F645" s="9" t="s">
        <v>125</v>
      </c>
    </row>
    <row r="646" spans="1:6" x14ac:dyDescent="0.25">
      <c r="A646" s="9" t="str" cm="1">
        <f t="array" ref="A646">IFERROR(INDEX(tbNucleo[ESCOLA],ROUNDUP(ROW(A645)/TotalEtapas,0)),"")</f>
        <v>EM 16 DE MARÇO</v>
      </c>
      <c r="B646" s="9" t="s">
        <v>119</v>
      </c>
      <c r="C646" s="9">
        <v>15</v>
      </c>
      <c r="D646" s="9" t="str">
        <f>IFERROR(VLOOKUP(tbEscolas[[#This Row],[COD ETPA]],tbEtapas[],2,FALSE),"")</f>
        <v>2º ANO</v>
      </c>
      <c r="E646" s="9" t="str">
        <f>IFERROR(VLOOKUP(tbEscolas[[#This Row],[COD ETPA]],tbEtapas[],3,FALSE),"")</f>
        <v>ENSINO MÉDIO</v>
      </c>
      <c r="F646" s="9" t="s">
        <v>125</v>
      </c>
    </row>
    <row r="647" spans="1:6" x14ac:dyDescent="0.25">
      <c r="A647" s="9" t="str" cm="1">
        <f t="array" ref="A647">IFERROR(INDEX(tbNucleo[ESCOLA],ROUNDUP(ROW(A646)/TotalEtapas,0)),"")</f>
        <v>EM 16 DE MARÇO</v>
      </c>
      <c r="B647" s="9" t="s">
        <v>119</v>
      </c>
      <c r="C647" s="9">
        <v>16</v>
      </c>
      <c r="D647" s="9" t="str">
        <f>IFERROR(VLOOKUP(tbEscolas[[#This Row],[COD ETPA]],tbEtapas[],2,FALSE),"")</f>
        <v>3º ANO</v>
      </c>
      <c r="E647" s="9" t="str">
        <f>IFERROR(VLOOKUP(tbEscolas[[#This Row],[COD ETPA]],tbEtapas[],3,FALSE),"")</f>
        <v>ENSINO MÉDIO</v>
      </c>
      <c r="F647" s="9" t="s">
        <v>125</v>
      </c>
    </row>
    <row r="648" spans="1:6" x14ac:dyDescent="0.25">
      <c r="A648" s="9" t="str" cm="1">
        <f t="array" ref="A648">IFERROR(INDEX(tbNucleo[ESCOLA],ROUNDUP(ROW(A647)/TotalEtapas,0)),"")</f>
        <v>EM 16 DE MARÇO</v>
      </c>
      <c r="B648" s="9" t="s">
        <v>119</v>
      </c>
      <c r="C648" s="9">
        <v>17</v>
      </c>
      <c r="D648" s="9" t="str">
        <f>IFERROR(VLOOKUP(tbEscolas[[#This Row],[COD ETPA]],tbEtapas[],2,FALSE),"")</f>
        <v>EJA I</v>
      </c>
      <c r="E648" s="9" t="str">
        <f>IFERROR(VLOOKUP(tbEscolas[[#This Row],[COD ETPA]],tbEtapas[],3,FALSE),"")</f>
        <v>FUNDAMENTAL</v>
      </c>
      <c r="F648" s="9" t="s">
        <v>125</v>
      </c>
    </row>
    <row r="649" spans="1:6" x14ac:dyDescent="0.25">
      <c r="A649" s="9" t="str" cm="1">
        <f t="array" ref="A649">IFERROR(INDEX(tbNucleo[ESCOLA],ROUNDUP(ROW(A648)/TotalEtapas,0)),"")</f>
        <v>EM 16 DE MARÇO</v>
      </c>
      <c r="B649" s="9" t="s">
        <v>119</v>
      </c>
      <c r="C649" s="9">
        <v>18</v>
      </c>
      <c r="D649" s="9" t="str">
        <f>IFERROR(VLOOKUP(tbEscolas[[#This Row],[COD ETPA]],tbEtapas[],2,FALSE),"")</f>
        <v>EJA II</v>
      </c>
      <c r="E649" s="9" t="str">
        <f>IFERROR(VLOOKUP(tbEscolas[[#This Row],[COD ETPA]],tbEtapas[],3,FALSE),"")</f>
        <v>ENSINO MÉDIO</v>
      </c>
      <c r="F649" s="9" t="s">
        <v>125</v>
      </c>
    </row>
    <row r="650" spans="1:6" x14ac:dyDescent="0.25">
      <c r="A650" s="10" t="str" cm="1">
        <f t="array" ref="A650">IFERROR(INDEX(tbNucleo[ESCOLA],ROUNDUP(ROW(A649)/TotalEtapas,0)),"")</f>
        <v>EM PAULO FREIRE</v>
      </c>
      <c r="B650" s="10" t="s">
        <v>114</v>
      </c>
      <c r="C650" s="10" cm="1">
        <f t="array" ref="C650">IF(A650="","",INDEX(tbEtapas[Nº],MOD(ROW(A649)-1,TotalEtapas)+1))</f>
        <v>1</v>
      </c>
      <c r="D650" s="10" t="str">
        <f>IFERROR(VLOOKUP(tbEscolas[[#This Row],[COD ETPA]],tbEtapas[],2,FALSE),"")</f>
        <v>CRECHE I</v>
      </c>
      <c r="E650" s="10" t="str">
        <f>IFERROR(VLOOKUP(tbEscolas[[#This Row],[COD ETPA]],tbEtapas[],3,FALSE),"")</f>
        <v>EDUCAÇÃO INFANTIL</v>
      </c>
      <c r="F650" s="10" t="s">
        <v>125</v>
      </c>
    </row>
    <row r="651" spans="1:6" x14ac:dyDescent="0.25">
      <c r="A651" s="10" t="str" cm="1">
        <f t="array" ref="A651">IFERROR(INDEX(tbNucleo[ESCOLA],ROUNDUP(ROW(A650)/TotalEtapas,0)),"")</f>
        <v>EM PAULO FREIRE</v>
      </c>
      <c r="B651" s="10" t="s">
        <v>114</v>
      </c>
      <c r="C651" s="10" cm="1">
        <f t="array" ref="C651">IF(A651="","",INDEX(tbEtapas[Nº],MOD(ROW(A650)-1,TotalEtapas)+1))</f>
        <v>2</v>
      </c>
      <c r="D651" s="10" t="str">
        <f>IFERROR(VLOOKUP(tbEscolas[[#This Row],[COD ETPA]],tbEtapas[],2,FALSE),"")</f>
        <v>CRECHE II</v>
      </c>
      <c r="E651" s="10" t="str">
        <f>IFERROR(VLOOKUP(tbEscolas[[#This Row],[COD ETPA]],tbEtapas[],3,FALSE),"")</f>
        <v>EDUCAÇÃO INFANTIL</v>
      </c>
      <c r="F651" s="10" t="s">
        <v>125</v>
      </c>
    </row>
    <row r="652" spans="1:6" x14ac:dyDescent="0.25">
      <c r="A652" s="10" t="str" cm="1">
        <f t="array" ref="A652">IFERROR(INDEX(tbNucleo[ESCOLA],ROUNDUP(ROW(A651)/TotalEtapas,0)),"")</f>
        <v>EM PAULO FREIRE</v>
      </c>
      <c r="B652" s="10" t="s">
        <v>114</v>
      </c>
      <c r="C652" s="10" cm="1">
        <f t="array" ref="C652">IF(A652="","",INDEX(tbEtapas[Nº],MOD(ROW(A651)-1,TotalEtapas)+1))</f>
        <v>3</v>
      </c>
      <c r="D652" s="10" t="str">
        <f>IFERROR(VLOOKUP(tbEscolas[[#This Row],[COD ETPA]],tbEtapas[],2,FALSE),"")</f>
        <v>PRE I</v>
      </c>
      <c r="E652" s="10" t="str">
        <f>IFERROR(VLOOKUP(tbEscolas[[#This Row],[COD ETPA]],tbEtapas[],3,FALSE),"")</f>
        <v>EDUCAÇÃO INFANTIL</v>
      </c>
      <c r="F652" s="10" t="s">
        <v>126</v>
      </c>
    </row>
    <row r="653" spans="1:6" x14ac:dyDescent="0.25">
      <c r="A653" s="10" t="str" cm="1">
        <f t="array" ref="A653">IFERROR(INDEX(tbNucleo[ESCOLA],ROUNDUP(ROW(A652)/TotalEtapas,0)),"")</f>
        <v>EM PAULO FREIRE</v>
      </c>
      <c r="B653" s="10" t="s">
        <v>114</v>
      </c>
      <c r="C653" s="10" cm="1">
        <f t="array" ref="C653">IF(A653="","",INDEX(tbEtapas[Nº],MOD(ROW(A652)-1,TotalEtapas)+1))</f>
        <v>4</v>
      </c>
      <c r="D653" s="10" t="str">
        <f>IFERROR(VLOOKUP(tbEscolas[[#This Row],[COD ETPA]],tbEtapas[],2,FALSE),"")</f>
        <v>PRE II</v>
      </c>
      <c r="E653" s="10" t="str">
        <f>IFERROR(VLOOKUP(tbEscolas[[#This Row],[COD ETPA]],tbEtapas[],3,FALSE),"")</f>
        <v>EDUCAÇÃO INFANTIL</v>
      </c>
      <c r="F653" s="10" t="s">
        <v>126</v>
      </c>
    </row>
    <row r="654" spans="1:6" x14ac:dyDescent="0.25">
      <c r="A654" s="10" t="str" cm="1">
        <f t="array" ref="A654">IFERROR(INDEX(tbNucleo[ESCOLA],ROUNDUP(ROW(A653)/TotalEtapas,0)),"")</f>
        <v>EM PAULO FREIRE</v>
      </c>
      <c r="B654" s="10" t="s">
        <v>114</v>
      </c>
      <c r="C654" s="10" cm="1">
        <f t="array" ref="C654">IF(A654="","",INDEX(tbEtapas[Nº],MOD(ROW(A653)-1,TotalEtapas)+1))</f>
        <v>5</v>
      </c>
      <c r="D654" s="10" t="str">
        <f>IFERROR(VLOOKUP(tbEscolas[[#This Row],[COD ETPA]],tbEtapas[],2,FALSE),"")</f>
        <v>1º ANO</v>
      </c>
      <c r="E654" s="10" t="str">
        <f>IFERROR(VLOOKUP(tbEscolas[[#This Row],[COD ETPA]],tbEtapas[],3,FALSE),"")</f>
        <v>FUNDAMENTAL</v>
      </c>
      <c r="F654" s="10" t="s">
        <v>126</v>
      </c>
    </row>
    <row r="655" spans="1:6" x14ac:dyDescent="0.25">
      <c r="A655" s="10" t="str" cm="1">
        <f t="array" ref="A655">IFERROR(INDEX(tbNucleo[ESCOLA],ROUNDUP(ROW(A654)/TotalEtapas,0)),"")</f>
        <v>EM PAULO FREIRE</v>
      </c>
      <c r="B655" s="10" t="s">
        <v>114</v>
      </c>
      <c r="C655" s="10" cm="1">
        <f t="array" ref="C655">IF(A655="","",INDEX(tbEtapas[Nº],MOD(ROW(A654)-1,TotalEtapas)+1))</f>
        <v>6</v>
      </c>
      <c r="D655" s="10" t="str">
        <f>IFERROR(VLOOKUP(tbEscolas[[#This Row],[COD ETPA]],tbEtapas[],2,FALSE),"")</f>
        <v>2º ANO</v>
      </c>
      <c r="E655" s="10" t="str">
        <f>IFERROR(VLOOKUP(tbEscolas[[#This Row],[COD ETPA]],tbEtapas[],3,FALSE),"")</f>
        <v>FUNDAMENTAL</v>
      </c>
      <c r="F655" s="10" t="s">
        <v>126</v>
      </c>
    </row>
    <row r="656" spans="1:6" x14ac:dyDescent="0.25">
      <c r="A656" s="10" t="str" cm="1">
        <f t="array" ref="A656">IFERROR(INDEX(tbNucleo[ESCOLA],ROUNDUP(ROW(A655)/TotalEtapas,0)),"")</f>
        <v>EM PAULO FREIRE</v>
      </c>
      <c r="B656" s="10" t="s">
        <v>114</v>
      </c>
      <c r="C656" s="10" cm="1">
        <f t="array" ref="C656">IF(A656="","",INDEX(tbEtapas[Nº],MOD(ROW(A655)-1,TotalEtapas)+1))</f>
        <v>7</v>
      </c>
      <c r="D656" s="10" t="str">
        <f>IFERROR(VLOOKUP(tbEscolas[[#This Row],[COD ETPA]],tbEtapas[],2,FALSE),"")</f>
        <v>3º ANO</v>
      </c>
      <c r="E656" s="10" t="str">
        <f>IFERROR(VLOOKUP(tbEscolas[[#This Row],[COD ETPA]],tbEtapas[],3,FALSE),"")</f>
        <v>FUNDAMENTAL</v>
      </c>
      <c r="F656" s="10" t="s">
        <v>126</v>
      </c>
    </row>
    <row r="657" spans="1:6" x14ac:dyDescent="0.25">
      <c r="A657" s="10" t="str" cm="1">
        <f t="array" ref="A657">IFERROR(INDEX(tbNucleo[ESCOLA],ROUNDUP(ROW(A656)/TotalEtapas,0)),"")</f>
        <v>EM PAULO FREIRE</v>
      </c>
      <c r="B657" s="10" t="s">
        <v>114</v>
      </c>
      <c r="C657" s="10" cm="1">
        <f t="array" ref="C657">IF(A657="","",INDEX(tbEtapas[Nº],MOD(ROW(A656)-1,TotalEtapas)+1))</f>
        <v>8</v>
      </c>
      <c r="D657" s="10" t="str">
        <f>IFERROR(VLOOKUP(tbEscolas[[#This Row],[COD ETPA]],tbEtapas[],2,FALSE),"")</f>
        <v>4º ANO</v>
      </c>
      <c r="E657" s="10" t="str">
        <f>IFERROR(VLOOKUP(tbEscolas[[#This Row],[COD ETPA]],tbEtapas[],3,FALSE),"")</f>
        <v>FUNDAMENTAL</v>
      </c>
      <c r="F657" s="10" t="s">
        <v>126</v>
      </c>
    </row>
    <row r="658" spans="1:6" x14ac:dyDescent="0.25">
      <c r="A658" s="10" t="str" cm="1">
        <f t="array" ref="A658">IFERROR(INDEX(tbNucleo[ESCOLA],ROUNDUP(ROW(A657)/TotalEtapas,0)),"")</f>
        <v>EM PAULO FREIRE</v>
      </c>
      <c r="B658" s="10" t="s">
        <v>114</v>
      </c>
      <c r="C658" s="10" cm="1">
        <f t="array" ref="C658">IF(A658="","",INDEX(tbEtapas[Nº],MOD(ROW(A657)-1,TotalEtapas)+1))</f>
        <v>9</v>
      </c>
      <c r="D658" s="10" t="str">
        <f>IFERROR(VLOOKUP(tbEscolas[[#This Row],[COD ETPA]],tbEtapas[],2,FALSE),"")</f>
        <v>5º ANO</v>
      </c>
      <c r="E658" s="10" t="str">
        <f>IFERROR(VLOOKUP(tbEscolas[[#This Row],[COD ETPA]],tbEtapas[],3,FALSE),"")</f>
        <v>FUNDAMENTAL</v>
      </c>
      <c r="F658" s="10" t="s">
        <v>126</v>
      </c>
    </row>
    <row r="659" spans="1:6" x14ac:dyDescent="0.25">
      <c r="A659" s="10" t="str" cm="1">
        <f t="array" ref="A659">IFERROR(INDEX(tbNucleo[ESCOLA],ROUNDUP(ROW(A658)/TotalEtapas,0)),"")</f>
        <v>EM PAULO FREIRE</v>
      </c>
      <c r="B659" s="10" t="s">
        <v>114</v>
      </c>
      <c r="C659" s="10" cm="1">
        <f t="array" ref="C659">IF(A659="","",INDEX(tbEtapas[Nº],MOD(ROW(A658)-1,TotalEtapas)+1))</f>
        <v>10</v>
      </c>
      <c r="D659" s="10" t="str">
        <f>IFERROR(VLOOKUP(tbEscolas[[#This Row],[COD ETPA]],tbEtapas[],2,FALSE),"")</f>
        <v>6º ANO</v>
      </c>
      <c r="E659" s="10" t="str">
        <f>IFERROR(VLOOKUP(tbEscolas[[#This Row],[COD ETPA]],tbEtapas[],3,FALSE),"")</f>
        <v>FUNDAMENTAL</v>
      </c>
      <c r="F659" s="10" t="s">
        <v>125</v>
      </c>
    </row>
    <row r="660" spans="1:6" x14ac:dyDescent="0.25">
      <c r="A660" s="10" t="str" cm="1">
        <f t="array" ref="A660">IFERROR(INDEX(tbNucleo[ESCOLA],ROUNDUP(ROW(A659)/TotalEtapas,0)),"")</f>
        <v>EM PAULO FREIRE</v>
      </c>
      <c r="B660" s="10" t="s">
        <v>114</v>
      </c>
      <c r="C660" s="10" cm="1">
        <f t="array" ref="C660">IF(A660="","",INDEX(tbEtapas[Nº],MOD(ROW(A659)-1,TotalEtapas)+1))</f>
        <v>11</v>
      </c>
      <c r="D660" s="10" t="str">
        <f>IFERROR(VLOOKUP(tbEscolas[[#This Row],[COD ETPA]],tbEtapas[],2,FALSE),"")</f>
        <v>7º ANO</v>
      </c>
      <c r="E660" s="10" t="str">
        <f>IFERROR(VLOOKUP(tbEscolas[[#This Row],[COD ETPA]],tbEtapas[],3,FALSE),"")</f>
        <v>FUNDAMENTAL</v>
      </c>
      <c r="F660" s="10" t="s">
        <v>125</v>
      </c>
    </row>
    <row r="661" spans="1:6" x14ac:dyDescent="0.25">
      <c r="A661" s="10" t="str" cm="1">
        <f t="array" ref="A661">IFERROR(INDEX(tbNucleo[ESCOLA],ROUNDUP(ROW(A660)/TotalEtapas,0)),"")</f>
        <v>EM PAULO FREIRE</v>
      </c>
      <c r="B661" s="10" t="s">
        <v>114</v>
      </c>
      <c r="C661" s="10" cm="1">
        <f t="array" ref="C661">IF(A661="","",INDEX(tbEtapas[Nº],MOD(ROW(A660)-1,TotalEtapas)+1))</f>
        <v>12</v>
      </c>
      <c r="D661" s="10" t="str">
        <f>IFERROR(VLOOKUP(tbEscolas[[#This Row],[COD ETPA]],tbEtapas[],2,FALSE),"")</f>
        <v>8º ANO</v>
      </c>
      <c r="E661" s="10" t="str">
        <f>IFERROR(VLOOKUP(tbEscolas[[#This Row],[COD ETPA]],tbEtapas[],3,FALSE),"")</f>
        <v>FUNDAMENTAL</v>
      </c>
      <c r="F661" s="10" t="s">
        <v>125</v>
      </c>
    </row>
    <row r="662" spans="1:6" x14ac:dyDescent="0.25">
      <c r="A662" s="10" t="str" cm="1">
        <f t="array" ref="A662">IFERROR(INDEX(tbNucleo[ESCOLA],ROUNDUP(ROW(A661)/TotalEtapas,0)),"")</f>
        <v>EM PAULO FREIRE</v>
      </c>
      <c r="B662" s="10" t="s">
        <v>114</v>
      </c>
      <c r="C662" s="10" cm="1">
        <f t="array" ref="C662">IF(A662="","",INDEX(tbEtapas[Nº],MOD(ROW(A661)-1,TotalEtapas)+1))</f>
        <v>13</v>
      </c>
      <c r="D662" s="10" t="str">
        <f>IFERROR(VLOOKUP(tbEscolas[[#This Row],[COD ETPA]],tbEtapas[],2,FALSE),"")</f>
        <v>9º ANO</v>
      </c>
      <c r="E662" s="10" t="str">
        <f>IFERROR(VLOOKUP(tbEscolas[[#This Row],[COD ETPA]],tbEtapas[],3,FALSE),"")</f>
        <v>FUNDAMENTAL</v>
      </c>
      <c r="F662" s="10" t="s">
        <v>125</v>
      </c>
    </row>
    <row r="663" spans="1:6" x14ac:dyDescent="0.25">
      <c r="A663" s="10" t="str" cm="1">
        <f t="array" ref="A663">IFERROR(INDEX(tbNucleo[ESCOLA],ROUNDUP(ROW(A662)/TotalEtapas,0)),"")</f>
        <v>EM PAULO FREIRE</v>
      </c>
      <c r="B663" s="10" t="s">
        <v>114</v>
      </c>
      <c r="C663" s="10">
        <v>14</v>
      </c>
      <c r="D663" s="10" t="str">
        <f>IFERROR(VLOOKUP(tbEscolas[[#This Row],[COD ETPA]],tbEtapas[],2,FALSE),"")</f>
        <v>1º ANO</v>
      </c>
      <c r="E663" s="10" t="str">
        <f>IFERROR(VLOOKUP(tbEscolas[[#This Row],[COD ETPA]],tbEtapas[],3,FALSE),"")</f>
        <v>ENSINO MÉDIO</v>
      </c>
      <c r="F663" s="10" t="s">
        <v>125</v>
      </c>
    </row>
    <row r="664" spans="1:6" x14ac:dyDescent="0.25">
      <c r="A664" s="10" t="str" cm="1">
        <f t="array" ref="A664">IFERROR(INDEX(tbNucleo[ESCOLA],ROUNDUP(ROW(A663)/TotalEtapas,0)),"")</f>
        <v>EM PAULO FREIRE</v>
      </c>
      <c r="B664" s="10" t="s">
        <v>114</v>
      </c>
      <c r="C664" s="10">
        <v>15</v>
      </c>
      <c r="D664" s="10" t="str">
        <f>IFERROR(VLOOKUP(tbEscolas[[#This Row],[COD ETPA]],tbEtapas[],2,FALSE),"")</f>
        <v>2º ANO</v>
      </c>
      <c r="E664" s="10" t="str">
        <f>IFERROR(VLOOKUP(tbEscolas[[#This Row],[COD ETPA]],tbEtapas[],3,FALSE),"")</f>
        <v>ENSINO MÉDIO</v>
      </c>
      <c r="F664" s="10" t="s">
        <v>125</v>
      </c>
    </row>
    <row r="665" spans="1:6" x14ac:dyDescent="0.25">
      <c r="A665" s="10" t="str" cm="1">
        <f t="array" ref="A665">IFERROR(INDEX(tbNucleo[ESCOLA],ROUNDUP(ROW(A664)/TotalEtapas,0)),"")</f>
        <v>EM PAULO FREIRE</v>
      </c>
      <c r="B665" s="10" t="s">
        <v>114</v>
      </c>
      <c r="C665" s="10">
        <v>16</v>
      </c>
      <c r="D665" s="10" t="str">
        <f>IFERROR(VLOOKUP(tbEscolas[[#This Row],[COD ETPA]],tbEtapas[],2,FALSE),"")</f>
        <v>3º ANO</v>
      </c>
      <c r="E665" s="10" t="str">
        <f>IFERROR(VLOOKUP(tbEscolas[[#This Row],[COD ETPA]],tbEtapas[],3,FALSE),"")</f>
        <v>ENSINO MÉDIO</v>
      </c>
      <c r="F665" s="10" t="s">
        <v>125</v>
      </c>
    </row>
    <row r="666" spans="1:6" x14ac:dyDescent="0.25">
      <c r="A666" s="10" t="str" cm="1">
        <f t="array" ref="A666">IFERROR(INDEX(tbNucleo[ESCOLA],ROUNDUP(ROW(A665)/TotalEtapas,0)),"")</f>
        <v>EM PAULO FREIRE</v>
      </c>
      <c r="B666" s="10" t="s">
        <v>114</v>
      </c>
      <c r="C666" s="10">
        <v>17</v>
      </c>
      <c r="D666" s="10" t="str">
        <f>IFERROR(VLOOKUP(tbEscolas[[#This Row],[COD ETPA]],tbEtapas[],2,FALSE),"")</f>
        <v>EJA I</v>
      </c>
      <c r="E666" s="10" t="str">
        <f>IFERROR(VLOOKUP(tbEscolas[[#This Row],[COD ETPA]],tbEtapas[],3,FALSE),"")</f>
        <v>FUNDAMENTAL</v>
      </c>
      <c r="F666" s="10" t="s">
        <v>125</v>
      </c>
    </row>
    <row r="667" spans="1:6" x14ac:dyDescent="0.25">
      <c r="A667" s="10" t="str" cm="1">
        <f t="array" ref="A667">IFERROR(INDEX(tbNucleo[ESCOLA],ROUNDUP(ROW(A666)/TotalEtapas,0)),"")</f>
        <v>EM PAULO FREIRE</v>
      </c>
      <c r="B667" s="10" t="s">
        <v>114</v>
      </c>
      <c r="C667" s="10">
        <v>18</v>
      </c>
      <c r="D667" s="10" t="str">
        <f>IFERROR(VLOOKUP(tbEscolas[[#This Row],[COD ETPA]],tbEtapas[],2,FALSE),"")</f>
        <v>EJA II</v>
      </c>
      <c r="E667" s="10" t="str">
        <f>IFERROR(VLOOKUP(tbEscolas[[#This Row],[COD ETPA]],tbEtapas[],3,FALSE),"")</f>
        <v>ENSINO MÉDIO</v>
      </c>
      <c r="F667" s="10" t="s">
        <v>125</v>
      </c>
    </row>
    <row r="668" spans="1:6" x14ac:dyDescent="0.25">
      <c r="A668" s="11" t="str" cm="1">
        <f t="array" ref="A668">IFERROR(INDEX(tbNucleo[ESCOLA],ROUNDUP(ROW(A667)/TotalEtapas,0)),"")</f>
        <v xml:space="preserve">EM NOSSA SENHORA APARECIDA </v>
      </c>
      <c r="B668" s="11" t="s">
        <v>120</v>
      </c>
      <c r="C668" s="11" cm="1">
        <f t="array" ref="C668">IF(A668="","",INDEX(tbEtapas[Nº],MOD(ROW(A667)-1,TotalEtapas)+1))</f>
        <v>1</v>
      </c>
      <c r="D668" s="11" t="str">
        <f>IFERROR(VLOOKUP(tbEscolas[[#This Row],[COD ETPA]],tbEtapas[],2,FALSE),"")</f>
        <v>CRECHE I</v>
      </c>
      <c r="E668" s="11" t="str">
        <f>IFERROR(VLOOKUP(tbEscolas[[#This Row],[COD ETPA]],tbEtapas[],3,FALSE),"")</f>
        <v>EDUCAÇÃO INFANTIL</v>
      </c>
      <c r="F668" s="11" t="s">
        <v>125</v>
      </c>
    </row>
    <row r="669" spans="1:6" x14ac:dyDescent="0.25">
      <c r="A669" s="11" t="str" cm="1">
        <f t="array" ref="A669">IFERROR(INDEX(tbNucleo[ESCOLA],ROUNDUP(ROW(A668)/TotalEtapas,0)),"")</f>
        <v xml:space="preserve">EM NOSSA SENHORA APARECIDA </v>
      </c>
      <c r="B669" s="11" t="s">
        <v>120</v>
      </c>
      <c r="C669" s="11" cm="1">
        <f t="array" ref="C669">IF(A669="","",INDEX(tbEtapas[Nº],MOD(ROW(A668)-1,TotalEtapas)+1))</f>
        <v>2</v>
      </c>
      <c r="D669" s="11" t="str">
        <f>IFERROR(VLOOKUP(tbEscolas[[#This Row],[COD ETPA]],tbEtapas[],2,FALSE),"")</f>
        <v>CRECHE II</v>
      </c>
      <c r="E669" s="11" t="str">
        <f>IFERROR(VLOOKUP(tbEscolas[[#This Row],[COD ETPA]],tbEtapas[],3,FALSE),"")</f>
        <v>EDUCAÇÃO INFANTIL</v>
      </c>
      <c r="F669" s="11" t="s">
        <v>125</v>
      </c>
    </row>
    <row r="670" spans="1:6" x14ac:dyDescent="0.25">
      <c r="A670" s="11" t="str" cm="1">
        <f t="array" ref="A670">IFERROR(INDEX(tbNucleo[ESCOLA],ROUNDUP(ROW(A669)/TotalEtapas,0)),"")</f>
        <v xml:space="preserve">EM NOSSA SENHORA APARECIDA </v>
      </c>
      <c r="B670" s="11" t="s">
        <v>120</v>
      </c>
      <c r="C670" s="11" cm="1">
        <f t="array" ref="C670">IF(A670="","",INDEX(tbEtapas[Nº],MOD(ROW(A669)-1,TotalEtapas)+1))</f>
        <v>3</v>
      </c>
      <c r="D670" s="11" t="str">
        <f>IFERROR(VLOOKUP(tbEscolas[[#This Row],[COD ETPA]],tbEtapas[],2,FALSE),"")</f>
        <v>PRE I</v>
      </c>
      <c r="E670" s="11" t="str">
        <f>IFERROR(VLOOKUP(tbEscolas[[#This Row],[COD ETPA]],tbEtapas[],3,FALSE),"")</f>
        <v>EDUCAÇÃO INFANTIL</v>
      </c>
      <c r="F670" s="11" t="s">
        <v>126</v>
      </c>
    </row>
    <row r="671" spans="1:6" x14ac:dyDescent="0.25">
      <c r="A671" s="11" t="str" cm="1">
        <f t="array" ref="A671">IFERROR(INDEX(tbNucleo[ESCOLA],ROUNDUP(ROW(A670)/TotalEtapas,0)),"")</f>
        <v xml:space="preserve">EM NOSSA SENHORA APARECIDA </v>
      </c>
      <c r="B671" s="11" t="s">
        <v>120</v>
      </c>
      <c r="C671" s="11" cm="1">
        <f t="array" ref="C671">IF(A671="","",INDEX(tbEtapas[Nº],MOD(ROW(A670)-1,TotalEtapas)+1))</f>
        <v>4</v>
      </c>
      <c r="D671" s="11" t="str">
        <f>IFERROR(VLOOKUP(tbEscolas[[#This Row],[COD ETPA]],tbEtapas[],2,FALSE),"")</f>
        <v>PRE II</v>
      </c>
      <c r="E671" s="11" t="str">
        <f>IFERROR(VLOOKUP(tbEscolas[[#This Row],[COD ETPA]],tbEtapas[],3,FALSE),"")</f>
        <v>EDUCAÇÃO INFANTIL</v>
      </c>
      <c r="F671" s="11" t="s">
        <v>126</v>
      </c>
    </row>
    <row r="672" spans="1:6" x14ac:dyDescent="0.25">
      <c r="A672" s="11" t="str" cm="1">
        <f t="array" ref="A672">IFERROR(INDEX(tbNucleo[ESCOLA],ROUNDUP(ROW(A671)/TotalEtapas,0)),"")</f>
        <v xml:space="preserve">EM NOSSA SENHORA APARECIDA </v>
      </c>
      <c r="B672" s="11" t="s">
        <v>120</v>
      </c>
      <c r="C672" s="11" cm="1">
        <f t="array" ref="C672">IF(A672="","",INDEX(tbEtapas[Nº],MOD(ROW(A671)-1,TotalEtapas)+1))</f>
        <v>5</v>
      </c>
      <c r="D672" s="11" t="str">
        <f>IFERROR(VLOOKUP(tbEscolas[[#This Row],[COD ETPA]],tbEtapas[],2,FALSE),"")</f>
        <v>1º ANO</v>
      </c>
      <c r="E672" s="11" t="str">
        <f>IFERROR(VLOOKUP(tbEscolas[[#This Row],[COD ETPA]],tbEtapas[],3,FALSE),"")</f>
        <v>FUNDAMENTAL</v>
      </c>
      <c r="F672" s="11" t="s">
        <v>126</v>
      </c>
    </row>
    <row r="673" spans="1:6" x14ac:dyDescent="0.25">
      <c r="A673" s="11" t="str" cm="1">
        <f t="array" ref="A673">IFERROR(INDEX(tbNucleo[ESCOLA],ROUNDUP(ROW(A672)/TotalEtapas,0)),"")</f>
        <v xml:space="preserve">EM NOSSA SENHORA APARECIDA </v>
      </c>
      <c r="B673" s="11" t="s">
        <v>120</v>
      </c>
      <c r="C673" s="11" cm="1">
        <f t="array" ref="C673">IF(A673="","",INDEX(tbEtapas[Nº],MOD(ROW(A672)-1,TotalEtapas)+1))</f>
        <v>6</v>
      </c>
      <c r="D673" s="11" t="str">
        <f>IFERROR(VLOOKUP(tbEscolas[[#This Row],[COD ETPA]],tbEtapas[],2,FALSE),"")</f>
        <v>2º ANO</v>
      </c>
      <c r="E673" s="11" t="str">
        <f>IFERROR(VLOOKUP(tbEscolas[[#This Row],[COD ETPA]],tbEtapas[],3,FALSE),"")</f>
        <v>FUNDAMENTAL</v>
      </c>
      <c r="F673" s="11" t="s">
        <v>126</v>
      </c>
    </row>
    <row r="674" spans="1:6" x14ac:dyDescent="0.25">
      <c r="A674" s="11" t="str" cm="1">
        <f t="array" ref="A674">IFERROR(INDEX(tbNucleo[ESCOLA],ROUNDUP(ROW(A673)/TotalEtapas,0)),"")</f>
        <v xml:space="preserve">EM NOSSA SENHORA APARECIDA </v>
      </c>
      <c r="B674" s="11" t="s">
        <v>120</v>
      </c>
      <c r="C674" s="11" cm="1">
        <f t="array" ref="C674">IF(A674="","",INDEX(tbEtapas[Nº],MOD(ROW(A673)-1,TotalEtapas)+1))</f>
        <v>7</v>
      </c>
      <c r="D674" s="11" t="str">
        <f>IFERROR(VLOOKUP(tbEscolas[[#This Row],[COD ETPA]],tbEtapas[],2,FALSE),"")</f>
        <v>3º ANO</v>
      </c>
      <c r="E674" s="11" t="str">
        <f>IFERROR(VLOOKUP(tbEscolas[[#This Row],[COD ETPA]],tbEtapas[],3,FALSE),"")</f>
        <v>FUNDAMENTAL</v>
      </c>
      <c r="F674" s="11" t="s">
        <v>126</v>
      </c>
    </row>
    <row r="675" spans="1:6" x14ac:dyDescent="0.25">
      <c r="A675" s="11" t="str" cm="1">
        <f t="array" ref="A675">IFERROR(INDEX(tbNucleo[ESCOLA],ROUNDUP(ROW(A674)/TotalEtapas,0)),"")</f>
        <v xml:space="preserve">EM NOSSA SENHORA APARECIDA </v>
      </c>
      <c r="B675" s="11" t="s">
        <v>120</v>
      </c>
      <c r="C675" s="11" cm="1">
        <f t="array" ref="C675">IF(A675="","",INDEX(tbEtapas[Nº],MOD(ROW(A674)-1,TotalEtapas)+1))</f>
        <v>8</v>
      </c>
      <c r="D675" s="11" t="str">
        <f>IFERROR(VLOOKUP(tbEscolas[[#This Row],[COD ETPA]],tbEtapas[],2,FALSE),"")</f>
        <v>4º ANO</v>
      </c>
      <c r="E675" s="11" t="str">
        <f>IFERROR(VLOOKUP(tbEscolas[[#This Row],[COD ETPA]],tbEtapas[],3,FALSE),"")</f>
        <v>FUNDAMENTAL</v>
      </c>
      <c r="F675" s="11" t="s">
        <v>126</v>
      </c>
    </row>
    <row r="676" spans="1:6" x14ac:dyDescent="0.25">
      <c r="A676" s="11" t="str" cm="1">
        <f t="array" ref="A676">IFERROR(INDEX(tbNucleo[ESCOLA],ROUNDUP(ROW(A675)/TotalEtapas,0)),"")</f>
        <v xml:space="preserve">EM NOSSA SENHORA APARECIDA </v>
      </c>
      <c r="B676" s="11" t="s">
        <v>120</v>
      </c>
      <c r="C676" s="11" cm="1">
        <f t="array" ref="C676">IF(A676="","",INDEX(tbEtapas[Nº],MOD(ROW(A675)-1,TotalEtapas)+1))</f>
        <v>9</v>
      </c>
      <c r="D676" s="11" t="str">
        <f>IFERROR(VLOOKUP(tbEscolas[[#This Row],[COD ETPA]],tbEtapas[],2,FALSE),"")</f>
        <v>5º ANO</v>
      </c>
      <c r="E676" s="11" t="str">
        <f>IFERROR(VLOOKUP(tbEscolas[[#This Row],[COD ETPA]],tbEtapas[],3,FALSE),"")</f>
        <v>FUNDAMENTAL</v>
      </c>
      <c r="F676" s="11" t="s">
        <v>126</v>
      </c>
    </row>
    <row r="677" spans="1:6" x14ac:dyDescent="0.25">
      <c r="A677" s="11" t="str" cm="1">
        <f t="array" ref="A677">IFERROR(INDEX(tbNucleo[ESCOLA],ROUNDUP(ROW(A676)/TotalEtapas,0)),"")</f>
        <v xml:space="preserve">EM NOSSA SENHORA APARECIDA </v>
      </c>
      <c r="B677" s="11" t="s">
        <v>120</v>
      </c>
      <c r="C677" s="11" cm="1">
        <f t="array" ref="C677">IF(A677="","",INDEX(tbEtapas[Nº],MOD(ROW(A676)-1,TotalEtapas)+1))</f>
        <v>10</v>
      </c>
      <c r="D677" s="11" t="str">
        <f>IFERROR(VLOOKUP(tbEscolas[[#This Row],[COD ETPA]],tbEtapas[],2,FALSE),"")</f>
        <v>6º ANO</v>
      </c>
      <c r="E677" s="11" t="str">
        <f>IFERROR(VLOOKUP(tbEscolas[[#This Row],[COD ETPA]],tbEtapas[],3,FALSE),"")</f>
        <v>FUNDAMENTAL</v>
      </c>
      <c r="F677" s="11" t="s">
        <v>125</v>
      </c>
    </row>
    <row r="678" spans="1:6" x14ac:dyDescent="0.25">
      <c r="A678" s="11" t="str" cm="1">
        <f t="array" ref="A678">IFERROR(INDEX(tbNucleo[ESCOLA],ROUNDUP(ROW(A677)/TotalEtapas,0)),"")</f>
        <v xml:space="preserve">EM NOSSA SENHORA APARECIDA </v>
      </c>
      <c r="B678" s="11" t="s">
        <v>120</v>
      </c>
      <c r="C678" s="11" cm="1">
        <f t="array" ref="C678">IF(A678="","",INDEX(tbEtapas[Nº],MOD(ROW(A677)-1,TotalEtapas)+1))</f>
        <v>11</v>
      </c>
      <c r="D678" s="11" t="str">
        <f>IFERROR(VLOOKUP(tbEscolas[[#This Row],[COD ETPA]],tbEtapas[],2,FALSE),"")</f>
        <v>7º ANO</v>
      </c>
      <c r="E678" s="11" t="str">
        <f>IFERROR(VLOOKUP(tbEscolas[[#This Row],[COD ETPA]],tbEtapas[],3,FALSE),"")</f>
        <v>FUNDAMENTAL</v>
      </c>
      <c r="F678" s="11" t="s">
        <v>125</v>
      </c>
    </row>
    <row r="679" spans="1:6" x14ac:dyDescent="0.25">
      <c r="A679" s="11" t="str" cm="1">
        <f t="array" ref="A679">IFERROR(INDEX(tbNucleo[ESCOLA],ROUNDUP(ROW(A678)/TotalEtapas,0)),"")</f>
        <v xml:space="preserve">EM NOSSA SENHORA APARECIDA </v>
      </c>
      <c r="B679" s="11" t="s">
        <v>120</v>
      </c>
      <c r="C679" s="11" cm="1">
        <f t="array" ref="C679">IF(A679="","",INDEX(tbEtapas[Nº],MOD(ROW(A678)-1,TotalEtapas)+1))</f>
        <v>12</v>
      </c>
      <c r="D679" s="11" t="str">
        <f>IFERROR(VLOOKUP(tbEscolas[[#This Row],[COD ETPA]],tbEtapas[],2,FALSE),"")</f>
        <v>8º ANO</v>
      </c>
      <c r="E679" s="11" t="str">
        <f>IFERROR(VLOOKUP(tbEscolas[[#This Row],[COD ETPA]],tbEtapas[],3,FALSE),"")</f>
        <v>FUNDAMENTAL</v>
      </c>
      <c r="F679" s="11" t="s">
        <v>125</v>
      </c>
    </row>
    <row r="680" spans="1:6" x14ac:dyDescent="0.25">
      <c r="A680" s="11" t="str" cm="1">
        <f t="array" ref="A680">IFERROR(INDEX(tbNucleo[ESCOLA],ROUNDUP(ROW(A679)/TotalEtapas,0)),"")</f>
        <v xml:space="preserve">EM NOSSA SENHORA APARECIDA </v>
      </c>
      <c r="B680" s="11" t="s">
        <v>120</v>
      </c>
      <c r="C680" s="11" cm="1">
        <f t="array" ref="C680">IF(A680="","",INDEX(tbEtapas[Nº],MOD(ROW(A679)-1,TotalEtapas)+1))</f>
        <v>13</v>
      </c>
      <c r="D680" s="11" t="str">
        <f>IFERROR(VLOOKUP(tbEscolas[[#This Row],[COD ETPA]],tbEtapas[],2,FALSE),"")</f>
        <v>9º ANO</v>
      </c>
      <c r="E680" s="11" t="str">
        <f>IFERROR(VLOOKUP(tbEscolas[[#This Row],[COD ETPA]],tbEtapas[],3,FALSE),"")</f>
        <v>FUNDAMENTAL</v>
      </c>
      <c r="F680" s="11" t="s">
        <v>125</v>
      </c>
    </row>
    <row r="681" spans="1:6" x14ac:dyDescent="0.25">
      <c r="A681" s="11" t="str" cm="1">
        <f t="array" ref="A681">IFERROR(INDEX(tbNucleo[ESCOLA],ROUNDUP(ROW(A680)/TotalEtapas,0)),"")</f>
        <v xml:space="preserve">EM NOSSA SENHORA APARECIDA </v>
      </c>
      <c r="B681" s="11" t="s">
        <v>120</v>
      </c>
      <c r="C681" s="11">
        <v>14</v>
      </c>
      <c r="D681" s="11" t="str">
        <f>IFERROR(VLOOKUP(tbEscolas[[#This Row],[COD ETPA]],tbEtapas[],2,FALSE),"")</f>
        <v>1º ANO</v>
      </c>
      <c r="E681" s="11" t="str">
        <f>IFERROR(VLOOKUP(tbEscolas[[#This Row],[COD ETPA]],tbEtapas[],3,FALSE),"")</f>
        <v>ENSINO MÉDIO</v>
      </c>
      <c r="F681" s="11" t="s">
        <v>125</v>
      </c>
    </row>
    <row r="682" spans="1:6" x14ac:dyDescent="0.25">
      <c r="A682" s="11" t="str" cm="1">
        <f t="array" ref="A682">IFERROR(INDEX(tbNucleo[ESCOLA],ROUNDUP(ROW(A681)/TotalEtapas,0)),"")</f>
        <v xml:space="preserve">EM NOSSA SENHORA APARECIDA </v>
      </c>
      <c r="B682" s="11" t="s">
        <v>120</v>
      </c>
      <c r="C682" s="11">
        <v>15</v>
      </c>
      <c r="D682" s="11" t="str">
        <f>IFERROR(VLOOKUP(tbEscolas[[#This Row],[COD ETPA]],tbEtapas[],2,FALSE),"")</f>
        <v>2º ANO</v>
      </c>
      <c r="E682" s="11" t="str">
        <f>IFERROR(VLOOKUP(tbEscolas[[#This Row],[COD ETPA]],tbEtapas[],3,FALSE),"")</f>
        <v>ENSINO MÉDIO</v>
      </c>
      <c r="F682" s="11" t="s">
        <v>125</v>
      </c>
    </row>
    <row r="683" spans="1:6" x14ac:dyDescent="0.25">
      <c r="A683" s="11" t="str" cm="1">
        <f t="array" ref="A683">IFERROR(INDEX(tbNucleo[ESCOLA],ROUNDUP(ROW(A682)/TotalEtapas,0)),"")</f>
        <v xml:space="preserve">EM NOSSA SENHORA APARECIDA </v>
      </c>
      <c r="B683" s="11" t="s">
        <v>120</v>
      </c>
      <c r="C683" s="11">
        <v>16</v>
      </c>
      <c r="D683" s="11" t="str">
        <f>IFERROR(VLOOKUP(tbEscolas[[#This Row],[COD ETPA]],tbEtapas[],2,FALSE),"")</f>
        <v>3º ANO</v>
      </c>
      <c r="E683" s="11" t="str">
        <f>IFERROR(VLOOKUP(tbEscolas[[#This Row],[COD ETPA]],tbEtapas[],3,FALSE),"")</f>
        <v>ENSINO MÉDIO</v>
      </c>
      <c r="F683" s="11" t="s">
        <v>125</v>
      </c>
    </row>
    <row r="684" spans="1:6" x14ac:dyDescent="0.25">
      <c r="A684" s="11" t="str" cm="1">
        <f t="array" ref="A684">IFERROR(INDEX(tbNucleo[ESCOLA],ROUNDUP(ROW(A683)/TotalEtapas,0)),"")</f>
        <v xml:space="preserve">EM NOSSA SENHORA APARECIDA </v>
      </c>
      <c r="B684" s="11" t="s">
        <v>120</v>
      </c>
      <c r="C684" s="11">
        <v>17</v>
      </c>
      <c r="D684" s="11" t="str">
        <f>IFERROR(VLOOKUP(tbEscolas[[#This Row],[COD ETPA]],tbEtapas[],2,FALSE),"")</f>
        <v>EJA I</v>
      </c>
      <c r="E684" s="11" t="str">
        <f>IFERROR(VLOOKUP(tbEscolas[[#This Row],[COD ETPA]],tbEtapas[],3,FALSE),"")</f>
        <v>FUNDAMENTAL</v>
      </c>
      <c r="F684" s="11" t="s">
        <v>125</v>
      </c>
    </row>
    <row r="685" spans="1:6" x14ac:dyDescent="0.25">
      <c r="A685" s="11" t="str" cm="1">
        <f t="array" ref="A685">IFERROR(INDEX(tbNucleo[ESCOLA],ROUNDUP(ROW(A684)/TotalEtapas,0)),"")</f>
        <v xml:space="preserve">EM NOSSA SENHORA APARECIDA </v>
      </c>
      <c r="B685" s="11" t="s">
        <v>120</v>
      </c>
      <c r="C685" s="11">
        <v>18</v>
      </c>
      <c r="D685" s="11" t="str">
        <f>IFERROR(VLOOKUP(tbEscolas[[#This Row],[COD ETPA]],tbEtapas[],2,FALSE),"")</f>
        <v>EJA II</v>
      </c>
      <c r="E685" s="11" t="str">
        <f>IFERROR(VLOOKUP(tbEscolas[[#This Row],[COD ETPA]],tbEtapas[],3,FALSE),"")</f>
        <v>ENSINO MÉDIO</v>
      </c>
      <c r="F685" s="11" t="s">
        <v>125</v>
      </c>
    </row>
    <row r="686" spans="1:6" x14ac:dyDescent="0.25">
      <c r="A686" t="str" cm="1">
        <f t="array" ref="A686">IFERROR(INDEX(tbNucleo[ESCOLA],ROUNDUP(ROW(A685)/TotalEtapas,0)),"")</f>
        <v>EM DUQUE DE CAXIAS</v>
      </c>
      <c r="B686" t="s">
        <v>31</v>
      </c>
      <c r="C686" cm="1">
        <f t="array" ref="C686">IF(A686="","",INDEX(tbEtapas[Nº],MOD(ROW(A685)-1,TotalEtapas)+1))</f>
        <v>1</v>
      </c>
      <c r="D686" t="str">
        <f>IFERROR(VLOOKUP(tbEscolas[[#This Row],[COD ETPA]],tbEtapas[],2,FALSE),"")</f>
        <v>CRECHE I</v>
      </c>
      <c r="E686" t="str">
        <f>IFERROR(VLOOKUP(tbEscolas[[#This Row],[COD ETPA]],tbEtapas[],3,FALSE),"")</f>
        <v>EDUCAÇÃO INFANTIL</v>
      </c>
      <c r="F686" t="s">
        <v>125</v>
      </c>
    </row>
    <row r="687" spans="1:6" x14ac:dyDescent="0.25">
      <c r="A687" t="str" cm="1">
        <f t="array" ref="A687">IFERROR(INDEX(tbNucleo[ESCOLA],ROUNDUP(ROW(A686)/TotalEtapas,0)),"")</f>
        <v>EM DUQUE DE CAXIAS</v>
      </c>
      <c r="B687" t="s">
        <v>31</v>
      </c>
      <c r="C687" cm="1">
        <f t="array" ref="C687">IF(A687="","",INDEX(tbEtapas[Nº],MOD(ROW(A686)-1,TotalEtapas)+1))</f>
        <v>2</v>
      </c>
      <c r="D687" t="str">
        <f>IFERROR(VLOOKUP(tbEscolas[[#This Row],[COD ETPA]],tbEtapas[],2,FALSE),"")</f>
        <v>CRECHE II</v>
      </c>
      <c r="E687" t="str">
        <f>IFERROR(VLOOKUP(tbEscolas[[#This Row],[COD ETPA]],tbEtapas[],3,FALSE),"")</f>
        <v>EDUCAÇÃO INFANTIL</v>
      </c>
      <c r="F687" t="s">
        <v>125</v>
      </c>
    </row>
    <row r="688" spans="1:6" x14ac:dyDescent="0.25">
      <c r="A688" t="str" cm="1">
        <f t="array" ref="A688">IFERROR(INDEX(tbNucleo[ESCOLA],ROUNDUP(ROW(A687)/TotalEtapas,0)),"")</f>
        <v>EM DUQUE DE CAXIAS</v>
      </c>
      <c r="B688" t="s">
        <v>31</v>
      </c>
      <c r="C688" cm="1">
        <f t="array" ref="C688">IF(A688="","",INDEX(tbEtapas[Nº],MOD(ROW(A687)-1,TotalEtapas)+1))</f>
        <v>3</v>
      </c>
      <c r="D688" t="str">
        <f>IFERROR(VLOOKUP(tbEscolas[[#This Row],[COD ETPA]],tbEtapas[],2,FALSE),"")</f>
        <v>PRE I</v>
      </c>
      <c r="E688" t="str">
        <f>IFERROR(VLOOKUP(tbEscolas[[#This Row],[COD ETPA]],tbEtapas[],3,FALSE),"")</f>
        <v>EDUCAÇÃO INFANTIL</v>
      </c>
      <c r="F688" t="s">
        <v>126</v>
      </c>
    </row>
    <row r="689" spans="1:6" x14ac:dyDescent="0.25">
      <c r="A689" t="str" cm="1">
        <f t="array" ref="A689">IFERROR(INDEX(tbNucleo[ESCOLA],ROUNDUP(ROW(A688)/TotalEtapas,0)),"")</f>
        <v>EM DUQUE DE CAXIAS</v>
      </c>
      <c r="B689" t="s">
        <v>31</v>
      </c>
      <c r="C689" cm="1">
        <f t="array" ref="C689">IF(A689="","",INDEX(tbEtapas[Nº],MOD(ROW(A688)-1,TotalEtapas)+1))</f>
        <v>4</v>
      </c>
      <c r="D689" t="str">
        <f>IFERROR(VLOOKUP(tbEscolas[[#This Row],[COD ETPA]],tbEtapas[],2,FALSE),"")</f>
        <v>PRE II</v>
      </c>
      <c r="E689" t="str">
        <f>IFERROR(VLOOKUP(tbEscolas[[#This Row],[COD ETPA]],tbEtapas[],3,FALSE),"")</f>
        <v>EDUCAÇÃO INFANTIL</v>
      </c>
      <c r="F689" t="s">
        <v>126</v>
      </c>
    </row>
    <row r="690" spans="1:6" x14ac:dyDescent="0.25">
      <c r="A690" t="str" cm="1">
        <f t="array" ref="A690">IFERROR(INDEX(tbNucleo[ESCOLA],ROUNDUP(ROW(A689)/TotalEtapas,0)),"")</f>
        <v>EM DUQUE DE CAXIAS</v>
      </c>
      <c r="B690" t="s">
        <v>31</v>
      </c>
      <c r="C690" cm="1">
        <f t="array" ref="C690">IF(A690="","",INDEX(tbEtapas[Nº],MOD(ROW(A689)-1,TotalEtapas)+1))</f>
        <v>5</v>
      </c>
      <c r="D690" t="str">
        <f>IFERROR(VLOOKUP(tbEscolas[[#This Row],[COD ETPA]],tbEtapas[],2,FALSE),"")</f>
        <v>1º ANO</v>
      </c>
      <c r="E690" t="str">
        <f>IFERROR(VLOOKUP(tbEscolas[[#This Row],[COD ETPA]],tbEtapas[],3,FALSE),"")</f>
        <v>FUNDAMENTAL</v>
      </c>
      <c r="F690" t="s">
        <v>126</v>
      </c>
    </row>
    <row r="691" spans="1:6" x14ac:dyDescent="0.25">
      <c r="A691" t="str" cm="1">
        <f t="array" ref="A691">IFERROR(INDEX(tbNucleo[ESCOLA],ROUNDUP(ROW(A690)/TotalEtapas,0)),"")</f>
        <v>EM DUQUE DE CAXIAS</v>
      </c>
      <c r="B691" t="s">
        <v>31</v>
      </c>
      <c r="C691" cm="1">
        <f t="array" ref="C691">IF(A691="","",INDEX(tbEtapas[Nº],MOD(ROW(A690)-1,TotalEtapas)+1))</f>
        <v>6</v>
      </c>
      <c r="D691" t="str">
        <f>IFERROR(VLOOKUP(tbEscolas[[#This Row],[COD ETPA]],tbEtapas[],2,FALSE),"")</f>
        <v>2º ANO</v>
      </c>
      <c r="E691" t="str">
        <f>IFERROR(VLOOKUP(tbEscolas[[#This Row],[COD ETPA]],tbEtapas[],3,FALSE),"")</f>
        <v>FUNDAMENTAL</v>
      </c>
      <c r="F691" t="s">
        <v>126</v>
      </c>
    </row>
    <row r="692" spans="1:6" x14ac:dyDescent="0.25">
      <c r="A692" t="str" cm="1">
        <f t="array" ref="A692">IFERROR(INDEX(tbNucleo[ESCOLA],ROUNDUP(ROW(A691)/TotalEtapas,0)),"")</f>
        <v>EM DUQUE DE CAXIAS</v>
      </c>
      <c r="B692" t="s">
        <v>31</v>
      </c>
      <c r="C692" cm="1">
        <f t="array" ref="C692">IF(A692="","",INDEX(tbEtapas[Nº],MOD(ROW(A691)-1,TotalEtapas)+1))</f>
        <v>7</v>
      </c>
      <c r="D692" t="str">
        <f>IFERROR(VLOOKUP(tbEscolas[[#This Row],[COD ETPA]],tbEtapas[],2,FALSE),"")</f>
        <v>3º ANO</v>
      </c>
      <c r="E692" t="str">
        <f>IFERROR(VLOOKUP(tbEscolas[[#This Row],[COD ETPA]],tbEtapas[],3,FALSE),"")</f>
        <v>FUNDAMENTAL</v>
      </c>
      <c r="F692" t="s">
        <v>126</v>
      </c>
    </row>
    <row r="693" spans="1:6" x14ac:dyDescent="0.25">
      <c r="A693" t="str" cm="1">
        <f t="array" ref="A693">IFERROR(INDEX(tbNucleo[ESCOLA],ROUNDUP(ROW(A692)/TotalEtapas,0)),"")</f>
        <v>EM DUQUE DE CAXIAS</v>
      </c>
      <c r="B693" t="s">
        <v>31</v>
      </c>
      <c r="C693" cm="1">
        <f t="array" ref="C693">IF(A693="","",INDEX(tbEtapas[Nº],MOD(ROW(A692)-1,TotalEtapas)+1))</f>
        <v>8</v>
      </c>
      <c r="D693" t="str">
        <f>IFERROR(VLOOKUP(tbEscolas[[#This Row],[COD ETPA]],tbEtapas[],2,FALSE),"")</f>
        <v>4º ANO</v>
      </c>
      <c r="E693" t="str">
        <f>IFERROR(VLOOKUP(tbEscolas[[#This Row],[COD ETPA]],tbEtapas[],3,FALSE),"")</f>
        <v>FUNDAMENTAL</v>
      </c>
      <c r="F693" t="s">
        <v>126</v>
      </c>
    </row>
    <row r="694" spans="1:6" x14ac:dyDescent="0.25">
      <c r="A694" t="str" cm="1">
        <f t="array" ref="A694">IFERROR(INDEX(tbNucleo[ESCOLA],ROUNDUP(ROW(A693)/TotalEtapas,0)),"")</f>
        <v>EM DUQUE DE CAXIAS</v>
      </c>
      <c r="B694" t="s">
        <v>31</v>
      </c>
      <c r="C694" cm="1">
        <f t="array" ref="C694">IF(A694="","",INDEX(tbEtapas[Nº],MOD(ROW(A693)-1,TotalEtapas)+1))</f>
        <v>9</v>
      </c>
      <c r="D694" t="str">
        <f>IFERROR(VLOOKUP(tbEscolas[[#This Row],[COD ETPA]],tbEtapas[],2,FALSE),"")</f>
        <v>5º ANO</v>
      </c>
      <c r="E694" t="str">
        <f>IFERROR(VLOOKUP(tbEscolas[[#This Row],[COD ETPA]],tbEtapas[],3,FALSE),"")</f>
        <v>FUNDAMENTAL</v>
      </c>
      <c r="F694" t="s">
        <v>126</v>
      </c>
    </row>
    <row r="695" spans="1:6" x14ac:dyDescent="0.25">
      <c r="A695" t="str" cm="1">
        <f t="array" ref="A695">IFERROR(INDEX(tbNucleo[ESCOLA],ROUNDUP(ROW(A694)/TotalEtapas,0)),"")</f>
        <v>EM DUQUE DE CAXIAS</v>
      </c>
      <c r="B695" t="s">
        <v>31</v>
      </c>
      <c r="C695" cm="1">
        <f t="array" ref="C695">IF(A695="","",INDEX(tbEtapas[Nº],MOD(ROW(A694)-1,TotalEtapas)+1))</f>
        <v>10</v>
      </c>
      <c r="D695" t="str">
        <f>IFERROR(VLOOKUP(tbEscolas[[#This Row],[COD ETPA]],tbEtapas[],2,FALSE),"")</f>
        <v>6º ANO</v>
      </c>
      <c r="E695" t="str">
        <f>IFERROR(VLOOKUP(tbEscolas[[#This Row],[COD ETPA]],tbEtapas[],3,FALSE),"")</f>
        <v>FUNDAMENTAL</v>
      </c>
      <c r="F695" t="s">
        <v>125</v>
      </c>
    </row>
    <row r="696" spans="1:6" x14ac:dyDescent="0.25">
      <c r="A696" t="str" cm="1">
        <f t="array" ref="A696">IFERROR(INDEX(tbNucleo[ESCOLA],ROUNDUP(ROW(A695)/TotalEtapas,0)),"")</f>
        <v>EM DUQUE DE CAXIAS</v>
      </c>
      <c r="B696" t="s">
        <v>31</v>
      </c>
      <c r="C696" cm="1">
        <f t="array" ref="C696">IF(A696="","",INDEX(tbEtapas[Nº],MOD(ROW(A695)-1,TotalEtapas)+1))</f>
        <v>11</v>
      </c>
      <c r="D696" t="str">
        <f>IFERROR(VLOOKUP(tbEscolas[[#This Row],[COD ETPA]],tbEtapas[],2,FALSE),"")</f>
        <v>7º ANO</v>
      </c>
      <c r="E696" t="str">
        <f>IFERROR(VLOOKUP(tbEscolas[[#This Row],[COD ETPA]],tbEtapas[],3,FALSE),"")</f>
        <v>FUNDAMENTAL</v>
      </c>
      <c r="F696" t="s">
        <v>125</v>
      </c>
    </row>
    <row r="697" spans="1:6" x14ac:dyDescent="0.25">
      <c r="A697" t="str" cm="1">
        <f t="array" ref="A697">IFERROR(INDEX(tbNucleo[ESCOLA],ROUNDUP(ROW(A696)/TotalEtapas,0)),"")</f>
        <v>EM DUQUE DE CAXIAS</v>
      </c>
      <c r="B697" t="s">
        <v>31</v>
      </c>
      <c r="C697" cm="1">
        <f t="array" ref="C697">IF(A697="","",INDEX(tbEtapas[Nº],MOD(ROW(A696)-1,TotalEtapas)+1))</f>
        <v>12</v>
      </c>
      <c r="D697" t="str">
        <f>IFERROR(VLOOKUP(tbEscolas[[#This Row],[COD ETPA]],tbEtapas[],2,FALSE),"")</f>
        <v>8º ANO</v>
      </c>
      <c r="E697" t="str">
        <f>IFERROR(VLOOKUP(tbEscolas[[#This Row],[COD ETPA]],tbEtapas[],3,FALSE),"")</f>
        <v>FUNDAMENTAL</v>
      </c>
      <c r="F697" t="s">
        <v>125</v>
      </c>
    </row>
    <row r="698" spans="1:6" x14ac:dyDescent="0.25">
      <c r="A698" t="str" cm="1">
        <f t="array" ref="A698">IFERROR(INDEX(tbNucleo[ESCOLA],ROUNDUP(ROW(A697)/TotalEtapas,0)),"")</f>
        <v>EM DUQUE DE CAXIAS</v>
      </c>
      <c r="B698" t="s">
        <v>31</v>
      </c>
      <c r="C698" cm="1">
        <f t="array" ref="C698">IF(A698="","",INDEX(tbEtapas[Nº],MOD(ROW(A697)-1,TotalEtapas)+1))</f>
        <v>13</v>
      </c>
      <c r="D698" t="str">
        <f>IFERROR(VLOOKUP(tbEscolas[[#This Row],[COD ETPA]],tbEtapas[],2,FALSE),"")</f>
        <v>9º ANO</v>
      </c>
      <c r="E698" t="str">
        <f>IFERROR(VLOOKUP(tbEscolas[[#This Row],[COD ETPA]],tbEtapas[],3,FALSE),"")</f>
        <v>FUNDAMENTAL</v>
      </c>
      <c r="F698" t="s">
        <v>125</v>
      </c>
    </row>
    <row r="699" spans="1:6" x14ac:dyDescent="0.25">
      <c r="A699" t="str" cm="1">
        <f t="array" ref="A699">IFERROR(INDEX(tbNucleo[ESCOLA],ROUNDUP(ROW(A698)/TotalEtapas,0)),"")</f>
        <v>EM DUQUE DE CAXIAS</v>
      </c>
      <c r="B699" t="s">
        <v>31</v>
      </c>
      <c r="C699">
        <v>14</v>
      </c>
      <c r="D699" t="str">
        <f>IFERROR(VLOOKUP(tbEscolas[[#This Row],[COD ETPA]],tbEtapas[],2,FALSE),"")</f>
        <v>1º ANO</v>
      </c>
      <c r="E699" t="str">
        <f>IFERROR(VLOOKUP(tbEscolas[[#This Row],[COD ETPA]],tbEtapas[],3,FALSE),"")</f>
        <v>ENSINO MÉDIO</v>
      </c>
      <c r="F699" t="s">
        <v>125</v>
      </c>
    </row>
    <row r="700" spans="1:6" x14ac:dyDescent="0.25">
      <c r="A700" t="str" cm="1">
        <f t="array" ref="A700">IFERROR(INDEX(tbNucleo[ESCOLA],ROUNDUP(ROW(A699)/TotalEtapas,0)),"")</f>
        <v>EM DUQUE DE CAXIAS</v>
      </c>
      <c r="B700" t="s">
        <v>31</v>
      </c>
      <c r="C700">
        <v>15</v>
      </c>
      <c r="D700" t="str">
        <f>IFERROR(VLOOKUP(tbEscolas[[#This Row],[COD ETPA]],tbEtapas[],2,FALSE),"")</f>
        <v>2º ANO</v>
      </c>
      <c r="E700" t="str">
        <f>IFERROR(VLOOKUP(tbEscolas[[#This Row],[COD ETPA]],tbEtapas[],3,FALSE),"")</f>
        <v>ENSINO MÉDIO</v>
      </c>
      <c r="F700" t="s">
        <v>125</v>
      </c>
    </row>
    <row r="701" spans="1:6" x14ac:dyDescent="0.25">
      <c r="A701" t="str" cm="1">
        <f t="array" ref="A701">IFERROR(INDEX(tbNucleo[ESCOLA],ROUNDUP(ROW(A700)/TotalEtapas,0)),"")</f>
        <v>EM DUQUE DE CAXIAS</v>
      </c>
      <c r="B701" t="s">
        <v>31</v>
      </c>
      <c r="C701">
        <v>16</v>
      </c>
      <c r="D701" t="str">
        <f>IFERROR(VLOOKUP(tbEscolas[[#This Row],[COD ETPA]],tbEtapas[],2,FALSE),"")</f>
        <v>3º ANO</v>
      </c>
      <c r="E701" t="str">
        <f>IFERROR(VLOOKUP(tbEscolas[[#This Row],[COD ETPA]],tbEtapas[],3,FALSE),"")</f>
        <v>ENSINO MÉDIO</v>
      </c>
      <c r="F701" t="s">
        <v>125</v>
      </c>
    </row>
    <row r="702" spans="1:6" x14ac:dyDescent="0.25">
      <c r="A702" t="str" cm="1">
        <f t="array" ref="A702">IFERROR(INDEX(tbNucleo[ESCOLA],ROUNDUP(ROW(A701)/TotalEtapas,0)),"")</f>
        <v>EM DUQUE DE CAXIAS</v>
      </c>
      <c r="B702" t="s">
        <v>31</v>
      </c>
      <c r="C702">
        <v>17</v>
      </c>
      <c r="D702" t="str">
        <f>IFERROR(VLOOKUP(tbEscolas[[#This Row],[COD ETPA]],tbEtapas[],2,FALSE),"")</f>
        <v>EJA I</v>
      </c>
      <c r="E702" t="str">
        <f>IFERROR(VLOOKUP(tbEscolas[[#This Row],[COD ETPA]],tbEtapas[],3,FALSE),"")</f>
        <v>FUNDAMENTAL</v>
      </c>
      <c r="F702" t="s">
        <v>125</v>
      </c>
    </row>
    <row r="703" spans="1:6" x14ac:dyDescent="0.25">
      <c r="A703" t="str" cm="1">
        <f t="array" ref="A703">IFERROR(INDEX(tbNucleo[ESCOLA],ROUNDUP(ROW(A702)/TotalEtapas,0)),"")</f>
        <v>EM DUQUE DE CAXIAS</v>
      </c>
      <c r="B703" t="s">
        <v>31</v>
      </c>
      <c r="C703">
        <v>18</v>
      </c>
      <c r="D703" t="str">
        <f>IFERROR(VLOOKUP(tbEscolas[[#This Row],[COD ETPA]],tbEtapas[],2,FALSE),"")</f>
        <v>EJA II</v>
      </c>
      <c r="E703" t="str">
        <f>IFERROR(VLOOKUP(tbEscolas[[#This Row],[COD ETPA]],tbEtapas[],3,FALSE),"")</f>
        <v>ENSINO MÉDIO</v>
      </c>
      <c r="F703" t="s">
        <v>125</v>
      </c>
    </row>
    <row r="704" spans="1:6" x14ac:dyDescent="0.25">
      <c r="A704" s="12" t="str" cm="1">
        <f t="array" ref="A704">IFERROR(INDEX(tbNucleo[ESCOLA],ROUNDUP(ROW(A703)/TotalEtapas,0)),"")</f>
        <v>EM LIMOEIRO</v>
      </c>
      <c r="B704" s="12" t="s">
        <v>113</v>
      </c>
      <c r="C704" s="12" cm="1">
        <f t="array" ref="C704">IF(A704="","",INDEX(tbEtapas[Nº],MOD(ROW(A703)-1,TotalEtapas)+1))</f>
        <v>1</v>
      </c>
      <c r="D704" s="12" t="str">
        <f>IFERROR(VLOOKUP(tbEscolas[[#This Row],[COD ETPA]],tbEtapas[],2,FALSE),"")</f>
        <v>CRECHE I</v>
      </c>
      <c r="E704" s="12" t="str">
        <f>IFERROR(VLOOKUP(tbEscolas[[#This Row],[COD ETPA]],tbEtapas[],3,FALSE),"")</f>
        <v>EDUCAÇÃO INFANTIL</v>
      </c>
      <c r="F704" s="12" t="s">
        <v>125</v>
      </c>
    </row>
    <row r="705" spans="1:6" x14ac:dyDescent="0.25">
      <c r="A705" s="12" t="str" cm="1">
        <f t="array" ref="A705">IFERROR(INDEX(tbNucleo[ESCOLA],ROUNDUP(ROW(A704)/TotalEtapas,0)),"")</f>
        <v>EM LIMOEIRO</v>
      </c>
      <c r="B705" s="12" t="s">
        <v>113</v>
      </c>
      <c r="C705" s="12" cm="1">
        <f t="array" ref="C705">IF(A705="","",INDEX(tbEtapas[Nº],MOD(ROW(A704)-1,TotalEtapas)+1))</f>
        <v>2</v>
      </c>
      <c r="D705" s="12" t="str">
        <f>IFERROR(VLOOKUP(tbEscolas[[#This Row],[COD ETPA]],tbEtapas[],2,FALSE),"")</f>
        <v>CRECHE II</v>
      </c>
      <c r="E705" s="12" t="str">
        <f>IFERROR(VLOOKUP(tbEscolas[[#This Row],[COD ETPA]],tbEtapas[],3,FALSE),"")</f>
        <v>EDUCAÇÃO INFANTIL</v>
      </c>
      <c r="F705" s="12" t="s">
        <v>125</v>
      </c>
    </row>
    <row r="706" spans="1:6" x14ac:dyDescent="0.25">
      <c r="A706" s="12" t="str" cm="1">
        <f t="array" ref="A706">IFERROR(INDEX(tbNucleo[ESCOLA],ROUNDUP(ROW(A705)/TotalEtapas,0)),"")</f>
        <v>EM LIMOEIRO</v>
      </c>
      <c r="B706" s="12" t="s">
        <v>113</v>
      </c>
      <c r="C706" s="12" cm="1">
        <f t="array" ref="C706">IF(A706="","",INDEX(tbEtapas[Nº],MOD(ROW(A705)-1,TotalEtapas)+1))</f>
        <v>3</v>
      </c>
      <c r="D706" s="12" t="str">
        <f>IFERROR(VLOOKUP(tbEscolas[[#This Row],[COD ETPA]],tbEtapas[],2,FALSE),"")</f>
        <v>PRE I</v>
      </c>
      <c r="E706" s="12" t="str">
        <f>IFERROR(VLOOKUP(tbEscolas[[#This Row],[COD ETPA]],tbEtapas[],3,FALSE),"")</f>
        <v>EDUCAÇÃO INFANTIL</v>
      </c>
      <c r="F706" s="12" t="s">
        <v>126</v>
      </c>
    </row>
    <row r="707" spans="1:6" x14ac:dyDescent="0.25">
      <c r="A707" s="12" t="str" cm="1">
        <f t="array" ref="A707">IFERROR(INDEX(tbNucleo[ESCOLA],ROUNDUP(ROW(A706)/TotalEtapas,0)),"")</f>
        <v>EM LIMOEIRO</v>
      </c>
      <c r="B707" s="12" t="s">
        <v>113</v>
      </c>
      <c r="C707" s="12" cm="1">
        <f t="array" ref="C707">IF(A707="","",INDEX(tbEtapas[Nº],MOD(ROW(A706)-1,TotalEtapas)+1))</f>
        <v>4</v>
      </c>
      <c r="D707" s="12" t="str">
        <f>IFERROR(VLOOKUP(tbEscolas[[#This Row],[COD ETPA]],tbEtapas[],2,FALSE),"")</f>
        <v>PRE II</v>
      </c>
      <c r="E707" s="12" t="str">
        <f>IFERROR(VLOOKUP(tbEscolas[[#This Row],[COD ETPA]],tbEtapas[],3,FALSE),"")</f>
        <v>EDUCAÇÃO INFANTIL</v>
      </c>
      <c r="F707" s="12" t="s">
        <v>126</v>
      </c>
    </row>
    <row r="708" spans="1:6" x14ac:dyDescent="0.25">
      <c r="A708" s="12" t="str" cm="1">
        <f t="array" ref="A708">IFERROR(INDEX(tbNucleo[ESCOLA],ROUNDUP(ROW(A707)/TotalEtapas,0)),"")</f>
        <v>EM LIMOEIRO</v>
      </c>
      <c r="B708" s="12" t="s">
        <v>113</v>
      </c>
      <c r="C708" s="12" cm="1">
        <f t="array" ref="C708">IF(A708="","",INDEX(tbEtapas[Nº],MOD(ROW(A707)-1,TotalEtapas)+1))</f>
        <v>5</v>
      </c>
      <c r="D708" s="12" t="str">
        <f>IFERROR(VLOOKUP(tbEscolas[[#This Row],[COD ETPA]],tbEtapas[],2,FALSE),"")</f>
        <v>1º ANO</v>
      </c>
      <c r="E708" s="12" t="str">
        <f>IFERROR(VLOOKUP(tbEscolas[[#This Row],[COD ETPA]],tbEtapas[],3,FALSE),"")</f>
        <v>FUNDAMENTAL</v>
      </c>
      <c r="F708" s="12" t="s">
        <v>126</v>
      </c>
    </row>
    <row r="709" spans="1:6" x14ac:dyDescent="0.25">
      <c r="A709" s="12" t="str" cm="1">
        <f t="array" ref="A709">IFERROR(INDEX(tbNucleo[ESCOLA],ROUNDUP(ROW(A708)/TotalEtapas,0)),"")</f>
        <v>EM LIMOEIRO</v>
      </c>
      <c r="B709" s="12" t="s">
        <v>113</v>
      </c>
      <c r="C709" s="12" cm="1">
        <f t="array" ref="C709">IF(A709="","",INDEX(tbEtapas[Nº],MOD(ROW(A708)-1,TotalEtapas)+1))</f>
        <v>6</v>
      </c>
      <c r="D709" s="12" t="str">
        <f>IFERROR(VLOOKUP(tbEscolas[[#This Row],[COD ETPA]],tbEtapas[],2,FALSE),"")</f>
        <v>2º ANO</v>
      </c>
      <c r="E709" s="12" t="str">
        <f>IFERROR(VLOOKUP(tbEscolas[[#This Row],[COD ETPA]],tbEtapas[],3,FALSE),"")</f>
        <v>FUNDAMENTAL</v>
      </c>
      <c r="F709" s="12" t="s">
        <v>126</v>
      </c>
    </row>
    <row r="710" spans="1:6" x14ac:dyDescent="0.25">
      <c r="A710" s="12" t="str" cm="1">
        <f t="array" ref="A710">IFERROR(INDEX(tbNucleo[ESCOLA],ROUNDUP(ROW(A709)/TotalEtapas,0)),"")</f>
        <v>EM LIMOEIRO</v>
      </c>
      <c r="B710" s="12" t="s">
        <v>113</v>
      </c>
      <c r="C710" s="12" cm="1">
        <f t="array" ref="C710">IF(A710="","",INDEX(tbEtapas[Nº],MOD(ROW(A709)-1,TotalEtapas)+1))</f>
        <v>7</v>
      </c>
      <c r="D710" s="12" t="str">
        <f>IFERROR(VLOOKUP(tbEscolas[[#This Row],[COD ETPA]],tbEtapas[],2,FALSE),"")</f>
        <v>3º ANO</v>
      </c>
      <c r="E710" s="12" t="str">
        <f>IFERROR(VLOOKUP(tbEscolas[[#This Row],[COD ETPA]],tbEtapas[],3,FALSE),"")</f>
        <v>FUNDAMENTAL</v>
      </c>
      <c r="F710" s="12" t="s">
        <v>126</v>
      </c>
    </row>
    <row r="711" spans="1:6" x14ac:dyDescent="0.25">
      <c r="A711" s="12" t="str" cm="1">
        <f t="array" ref="A711">IFERROR(INDEX(tbNucleo[ESCOLA],ROUNDUP(ROW(A710)/TotalEtapas,0)),"")</f>
        <v>EM LIMOEIRO</v>
      </c>
      <c r="B711" s="12" t="s">
        <v>113</v>
      </c>
      <c r="C711" s="12" cm="1">
        <f t="array" ref="C711">IF(A711="","",INDEX(tbEtapas[Nº],MOD(ROW(A710)-1,TotalEtapas)+1))</f>
        <v>8</v>
      </c>
      <c r="D711" s="12" t="str">
        <f>IFERROR(VLOOKUP(tbEscolas[[#This Row],[COD ETPA]],tbEtapas[],2,FALSE),"")</f>
        <v>4º ANO</v>
      </c>
      <c r="E711" s="12" t="str">
        <f>IFERROR(VLOOKUP(tbEscolas[[#This Row],[COD ETPA]],tbEtapas[],3,FALSE),"")</f>
        <v>FUNDAMENTAL</v>
      </c>
      <c r="F711" s="12" t="s">
        <v>126</v>
      </c>
    </row>
    <row r="712" spans="1:6" x14ac:dyDescent="0.25">
      <c r="A712" s="12" t="str" cm="1">
        <f t="array" ref="A712">IFERROR(INDEX(tbNucleo[ESCOLA],ROUNDUP(ROW(A711)/TotalEtapas,0)),"")</f>
        <v>EM LIMOEIRO</v>
      </c>
      <c r="B712" s="12" t="s">
        <v>113</v>
      </c>
      <c r="C712" s="12" cm="1">
        <f t="array" ref="C712">IF(A712="","",INDEX(tbEtapas[Nº],MOD(ROW(A711)-1,TotalEtapas)+1))</f>
        <v>9</v>
      </c>
      <c r="D712" s="12" t="str">
        <f>IFERROR(VLOOKUP(tbEscolas[[#This Row],[COD ETPA]],tbEtapas[],2,FALSE),"")</f>
        <v>5º ANO</v>
      </c>
      <c r="E712" s="12" t="str">
        <f>IFERROR(VLOOKUP(tbEscolas[[#This Row],[COD ETPA]],tbEtapas[],3,FALSE),"")</f>
        <v>FUNDAMENTAL</v>
      </c>
      <c r="F712" s="12" t="s">
        <v>126</v>
      </c>
    </row>
    <row r="713" spans="1:6" x14ac:dyDescent="0.25">
      <c r="A713" s="12" t="str" cm="1">
        <f t="array" ref="A713">IFERROR(INDEX(tbNucleo[ESCOLA],ROUNDUP(ROW(A712)/TotalEtapas,0)),"")</f>
        <v>EM LIMOEIRO</v>
      </c>
      <c r="B713" s="12" t="s">
        <v>113</v>
      </c>
      <c r="C713" s="12" cm="1">
        <f t="array" ref="C713">IF(A713="","",INDEX(tbEtapas[Nº],MOD(ROW(A712)-1,TotalEtapas)+1))</f>
        <v>10</v>
      </c>
      <c r="D713" s="12" t="str">
        <f>IFERROR(VLOOKUP(tbEscolas[[#This Row],[COD ETPA]],tbEtapas[],2,FALSE),"")</f>
        <v>6º ANO</v>
      </c>
      <c r="E713" s="12" t="str">
        <f>IFERROR(VLOOKUP(tbEscolas[[#This Row],[COD ETPA]],tbEtapas[],3,FALSE),"")</f>
        <v>FUNDAMENTAL</v>
      </c>
      <c r="F713" s="12" t="s">
        <v>125</v>
      </c>
    </row>
    <row r="714" spans="1:6" x14ac:dyDescent="0.25">
      <c r="A714" s="12" t="str" cm="1">
        <f t="array" ref="A714">IFERROR(INDEX(tbNucleo[ESCOLA],ROUNDUP(ROW(A713)/TotalEtapas,0)),"")</f>
        <v>EM LIMOEIRO</v>
      </c>
      <c r="B714" s="12" t="s">
        <v>113</v>
      </c>
      <c r="C714" s="12" cm="1">
        <f t="array" ref="C714">IF(A714="","",INDEX(tbEtapas[Nº],MOD(ROW(A713)-1,TotalEtapas)+1))</f>
        <v>11</v>
      </c>
      <c r="D714" s="12" t="str">
        <f>IFERROR(VLOOKUP(tbEscolas[[#This Row],[COD ETPA]],tbEtapas[],2,FALSE),"")</f>
        <v>7º ANO</v>
      </c>
      <c r="E714" s="12" t="str">
        <f>IFERROR(VLOOKUP(tbEscolas[[#This Row],[COD ETPA]],tbEtapas[],3,FALSE),"")</f>
        <v>FUNDAMENTAL</v>
      </c>
      <c r="F714" s="12" t="s">
        <v>125</v>
      </c>
    </row>
    <row r="715" spans="1:6" x14ac:dyDescent="0.25">
      <c r="A715" s="12" t="str" cm="1">
        <f t="array" ref="A715">IFERROR(INDEX(tbNucleo[ESCOLA],ROUNDUP(ROW(A714)/TotalEtapas,0)),"")</f>
        <v>EM LIMOEIRO</v>
      </c>
      <c r="B715" s="12" t="s">
        <v>113</v>
      </c>
      <c r="C715" s="12" cm="1">
        <f t="array" ref="C715">IF(A715="","",INDEX(tbEtapas[Nº],MOD(ROW(A714)-1,TotalEtapas)+1))</f>
        <v>12</v>
      </c>
      <c r="D715" s="12" t="str">
        <f>IFERROR(VLOOKUP(tbEscolas[[#This Row],[COD ETPA]],tbEtapas[],2,FALSE),"")</f>
        <v>8º ANO</v>
      </c>
      <c r="E715" s="12" t="str">
        <f>IFERROR(VLOOKUP(tbEscolas[[#This Row],[COD ETPA]],tbEtapas[],3,FALSE),"")</f>
        <v>FUNDAMENTAL</v>
      </c>
      <c r="F715" s="12" t="s">
        <v>125</v>
      </c>
    </row>
    <row r="716" spans="1:6" x14ac:dyDescent="0.25">
      <c r="A716" s="12" t="str" cm="1">
        <f t="array" ref="A716">IFERROR(INDEX(tbNucleo[ESCOLA],ROUNDUP(ROW(A715)/TotalEtapas,0)),"")</f>
        <v>EM LIMOEIRO</v>
      </c>
      <c r="B716" s="12" t="s">
        <v>113</v>
      </c>
      <c r="C716" s="12" cm="1">
        <f t="array" ref="C716">IF(A716="","",INDEX(tbEtapas[Nº],MOD(ROW(A715)-1,TotalEtapas)+1))</f>
        <v>13</v>
      </c>
      <c r="D716" s="12" t="str">
        <f>IFERROR(VLOOKUP(tbEscolas[[#This Row],[COD ETPA]],tbEtapas[],2,FALSE),"")</f>
        <v>9º ANO</v>
      </c>
      <c r="E716" s="12" t="str">
        <f>IFERROR(VLOOKUP(tbEscolas[[#This Row],[COD ETPA]],tbEtapas[],3,FALSE),"")</f>
        <v>FUNDAMENTAL</v>
      </c>
      <c r="F716" s="12" t="s">
        <v>125</v>
      </c>
    </row>
    <row r="717" spans="1:6" x14ac:dyDescent="0.25">
      <c r="A717" s="12" t="str" cm="1">
        <f t="array" ref="A717">IFERROR(INDEX(tbNucleo[ESCOLA],ROUNDUP(ROW(A716)/TotalEtapas,0)),"")</f>
        <v>EM LIMOEIRO</v>
      </c>
      <c r="B717" s="12" t="s">
        <v>113</v>
      </c>
      <c r="C717" s="12">
        <v>14</v>
      </c>
      <c r="D717" s="12" t="str">
        <f>IFERROR(VLOOKUP(tbEscolas[[#This Row],[COD ETPA]],tbEtapas[],2,FALSE),"")</f>
        <v>1º ANO</v>
      </c>
      <c r="E717" s="12" t="str">
        <f>IFERROR(VLOOKUP(tbEscolas[[#This Row],[COD ETPA]],tbEtapas[],3,FALSE),"")</f>
        <v>ENSINO MÉDIO</v>
      </c>
      <c r="F717" s="12" t="s">
        <v>125</v>
      </c>
    </row>
    <row r="718" spans="1:6" x14ac:dyDescent="0.25">
      <c r="A718" s="12" t="str" cm="1">
        <f t="array" ref="A718">IFERROR(INDEX(tbNucleo[ESCOLA],ROUNDUP(ROW(A717)/TotalEtapas,0)),"")</f>
        <v>EM LIMOEIRO</v>
      </c>
      <c r="B718" s="12" t="s">
        <v>113</v>
      </c>
      <c r="C718" s="12">
        <v>15</v>
      </c>
      <c r="D718" s="12" t="str">
        <f>IFERROR(VLOOKUP(tbEscolas[[#This Row],[COD ETPA]],tbEtapas[],2,FALSE),"")</f>
        <v>2º ANO</v>
      </c>
      <c r="E718" s="12" t="str">
        <f>IFERROR(VLOOKUP(tbEscolas[[#This Row],[COD ETPA]],tbEtapas[],3,FALSE),"")</f>
        <v>ENSINO MÉDIO</v>
      </c>
      <c r="F718" s="12" t="s">
        <v>125</v>
      </c>
    </row>
    <row r="719" spans="1:6" x14ac:dyDescent="0.25">
      <c r="A719" s="12" t="str" cm="1">
        <f t="array" ref="A719">IFERROR(INDEX(tbNucleo[ESCOLA],ROUNDUP(ROW(A718)/TotalEtapas,0)),"")</f>
        <v>EM LIMOEIRO</v>
      </c>
      <c r="B719" s="12" t="s">
        <v>113</v>
      </c>
      <c r="C719" s="12">
        <v>16</v>
      </c>
      <c r="D719" s="12" t="str">
        <f>IFERROR(VLOOKUP(tbEscolas[[#This Row],[COD ETPA]],tbEtapas[],2,FALSE),"")</f>
        <v>3º ANO</v>
      </c>
      <c r="E719" s="12" t="str">
        <f>IFERROR(VLOOKUP(tbEscolas[[#This Row],[COD ETPA]],tbEtapas[],3,FALSE),"")</f>
        <v>ENSINO MÉDIO</v>
      </c>
      <c r="F719" s="12" t="s">
        <v>125</v>
      </c>
    </row>
    <row r="720" spans="1:6" x14ac:dyDescent="0.25">
      <c r="A720" s="12" t="str" cm="1">
        <f t="array" ref="A720">IFERROR(INDEX(tbNucleo[ESCOLA],ROUNDUP(ROW(A719)/TotalEtapas,0)),"")</f>
        <v>EM LIMOEIRO</v>
      </c>
      <c r="B720" s="12" t="s">
        <v>113</v>
      </c>
      <c r="C720" s="12">
        <v>17</v>
      </c>
      <c r="D720" s="12" t="str">
        <f>IFERROR(VLOOKUP(tbEscolas[[#This Row],[COD ETPA]],tbEtapas[],2,FALSE),"")</f>
        <v>EJA I</v>
      </c>
      <c r="E720" s="12" t="str">
        <f>IFERROR(VLOOKUP(tbEscolas[[#This Row],[COD ETPA]],tbEtapas[],3,FALSE),"")</f>
        <v>FUNDAMENTAL</v>
      </c>
      <c r="F720" s="12" t="s">
        <v>125</v>
      </c>
    </row>
    <row r="721" spans="1:6" x14ac:dyDescent="0.25">
      <c r="A721" s="12" t="str" cm="1">
        <f t="array" ref="A721">IFERROR(INDEX(tbNucleo[ESCOLA],ROUNDUP(ROW(A720)/TotalEtapas,0)),"")</f>
        <v>EM LIMOEIRO</v>
      </c>
      <c r="B721" s="12" t="s">
        <v>113</v>
      </c>
      <c r="C721" s="12">
        <v>18</v>
      </c>
      <c r="D721" s="12" t="str">
        <f>IFERROR(VLOOKUP(tbEscolas[[#This Row],[COD ETPA]],tbEtapas[],2,FALSE),"")</f>
        <v>EJA II</v>
      </c>
      <c r="E721" s="12" t="str">
        <f>IFERROR(VLOOKUP(tbEscolas[[#This Row],[COD ETPA]],tbEtapas[],3,FALSE),"")</f>
        <v>ENSINO MÉDIO</v>
      </c>
      <c r="F721" s="12" t="s">
        <v>125</v>
      </c>
    </row>
    <row r="722" spans="1:6" x14ac:dyDescent="0.25">
      <c r="A722" s="2" t="str" cm="1">
        <f t="array" ref="A722">IFERROR(INDEX(tbNucleo[ESCOLA],ROUNDUP(ROW(A721)/TotalEtapas,0)),"")</f>
        <v>E.E 12 DE OUTUBRO LIMÃO</v>
      </c>
      <c r="B722" s="2" t="s">
        <v>111</v>
      </c>
      <c r="C722" s="2" cm="1">
        <f t="array" ref="C722">IF(A722="","",INDEX(tbEtapas[Nº],MOD(ROW(A721)-1,TotalEtapas)+1))</f>
        <v>1</v>
      </c>
      <c r="D722" s="2" t="str">
        <f>IFERROR(VLOOKUP(tbEscolas[[#This Row],[COD ETPA]],tbEtapas[],2,FALSE),"")</f>
        <v>CRECHE I</v>
      </c>
      <c r="E722" s="2" t="str">
        <f>IFERROR(VLOOKUP(tbEscolas[[#This Row],[COD ETPA]],tbEtapas[],3,FALSE),"")</f>
        <v>EDUCAÇÃO INFANTIL</v>
      </c>
      <c r="F722" s="2" t="s">
        <v>125</v>
      </c>
    </row>
    <row r="723" spans="1:6" x14ac:dyDescent="0.25">
      <c r="A723" s="2" t="str" cm="1">
        <f t="array" ref="A723">IFERROR(INDEX(tbNucleo[ESCOLA],ROUNDUP(ROW(A722)/TotalEtapas,0)),"")</f>
        <v>E.E 12 DE OUTUBRO LIMÃO</v>
      </c>
      <c r="B723" s="2" t="s">
        <v>111</v>
      </c>
      <c r="C723" s="2" cm="1">
        <f t="array" ref="C723">IF(A723="","",INDEX(tbEtapas[Nº],MOD(ROW(A722)-1,TotalEtapas)+1))</f>
        <v>2</v>
      </c>
      <c r="D723" s="2" t="str">
        <f>IFERROR(VLOOKUP(tbEscolas[[#This Row],[COD ETPA]],tbEtapas[],2,FALSE),"")</f>
        <v>CRECHE II</v>
      </c>
      <c r="E723" s="2" t="str">
        <f>IFERROR(VLOOKUP(tbEscolas[[#This Row],[COD ETPA]],tbEtapas[],3,FALSE),"")</f>
        <v>EDUCAÇÃO INFANTIL</v>
      </c>
      <c r="F723" s="2" t="s">
        <v>125</v>
      </c>
    </row>
    <row r="724" spans="1:6" x14ac:dyDescent="0.25">
      <c r="A724" s="2" t="str" cm="1">
        <f t="array" ref="A724">IFERROR(INDEX(tbNucleo[ESCOLA],ROUNDUP(ROW(A723)/TotalEtapas,0)),"")</f>
        <v>E.E 12 DE OUTUBRO LIMÃO</v>
      </c>
      <c r="B724" s="2" t="s">
        <v>111</v>
      </c>
      <c r="C724" s="2" cm="1">
        <f t="array" ref="C724">IF(A724="","",INDEX(tbEtapas[Nº],MOD(ROW(A723)-1,TotalEtapas)+1))</f>
        <v>3</v>
      </c>
      <c r="D724" s="2" t="str">
        <f>IFERROR(VLOOKUP(tbEscolas[[#This Row],[COD ETPA]],tbEtapas[],2,FALSE),"")</f>
        <v>PRE I</v>
      </c>
      <c r="E724" s="2" t="str">
        <f>IFERROR(VLOOKUP(tbEscolas[[#This Row],[COD ETPA]],tbEtapas[],3,FALSE),"")</f>
        <v>EDUCAÇÃO INFANTIL</v>
      </c>
      <c r="F724" s="2" t="s">
        <v>125</v>
      </c>
    </row>
    <row r="725" spans="1:6" x14ac:dyDescent="0.25">
      <c r="A725" s="2" t="str" cm="1">
        <f t="array" ref="A725">IFERROR(INDEX(tbNucleo[ESCOLA],ROUNDUP(ROW(A724)/TotalEtapas,0)),"")</f>
        <v>E.E 12 DE OUTUBRO LIMÃO</v>
      </c>
      <c r="B725" s="2" t="s">
        <v>111</v>
      </c>
      <c r="C725" s="2" cm="1">
        <f t="array" ref="C725">IF(A725="","",INDEX(tbEtapas[Nº],MOD(ROW(A724)-1,TotalEtapas)+1))</f>
        <v>4</v>
      </c>
      <c r="D725" s="2" t="str">
        <f>IFERROR(VLOOKUP(tbEscolas[[#This Row],[COD ETPA]],tbEtapas[],2,FALSE),"")</f>
        <v>PRE II</v>
      </c>
      <c r="E725" s="2" t="str">
        <f>IFERROR(VLOOKUP(tbEscolas[[#This Row],[COD ETPA]],tbEtapas[],3,FALSE),"")</f>
        <v>EDUCAÇÃO INFANTIL</v>
      </c>
      <c r="F725" s="2" t="s">
        <v>125</v>
      </c>
    </row>
    <row r="726" spans="1:6" x14ac:dyDescent="0.25">
      <c r="A726" s="2" t="str" cm="1">
        <f t="array" ref="A726">IFERROR(INDEX(tbNucleo[ESCOLA],ROUNDUP(ROW(A725)/TotalEtapas,0)),"")</f>
        <v>E.E 12 DE OUTUBRO LIMÃO</v>
      </c>
      <c r="B726" s="2" t="s">
        <v>111</v>
      </c>
      <c r="C726" s="2" cm="1">
        <f t="array" ref="C726">IF(A726="","",INDEX(tbEtapas[Nº],MOD(ROW(A725)-1,TotalEtapas)+1))</f>
        <v>5</v>
      </c>
      <c r="D726" s="2" t="str">
        <f>IFERROR(VLOOKUP(tbEscolas[[#This Row],[COD ETPA]],tbEtapas[],2,FALSE),"")</f>
        <v>1º ANO</v>
      </c>
      <c r="E726" s="2" t="str">
        <f>IFERROR(VLOOKUP(tbEscolas[[#This Row],[COD ETPA]],tbEtapas[],3,FALSE),"")</f>
        <v>FUNDAMENTAL</v>
      </c>
      <c r="F726" s="2" t="s">
        <v>125</v>
      </c>
    </row>
    <row r="727" spans="1:6" x14ac:dyDescent="0.25">
      <c r="A727" s="2" t="str" cm="1">
        <f t="array" ref="A727">IFERROR(INDEX(tbNucleo[ESCOLA],ROUNDUP(ROW(A726)/TotalEtapas,0)),"")</f>
        <v>E.E 12 DE OUTUBRO LIMÃO</v>
      </c>
      <c r="B727" s="2" t="s">
        <v>111</v>
      </c>
      <c r="C727" s="2" cm="1">
        <f t="array" ref="C727">IF(A727="","",INDEX(tbEtapas[Nº],MOD(ROW(A726)-1,TotalEtapas)+1))</f>
        <v>6</v>
      </c>
      <c r="D727" s="2" t="str">
        <f>IFERROR(VLOOKUP(tbEscolas[[#This Row],[COD ETPA]],tbEtapas[],2,FALSE),"")</f>
        <v>2º ANO</v>
      </c>
      <c r="E727" s="2" t="str">
        <f>IFERROR(VLOOKUP(tbEscolas[[#This Row],[COD ETPA]],tbEtapas[],3,FALSE),"")</f>
        <v>FUNDAMENTAL</v>
      </c>
      <c r="F727" s="2" t="s">
        <v>125</v>
      </c>
    </row>
    <row r="728" spans="1:6" x14ac:dyDescent="0.25">
      <c r="A728" s="2" t="str" cm="1">
        <f t="array" ref="A728">IFERROR(INDEX(tbNucleo[ESCOLA],ROUNDUP(ROW(A727)/TotalEtapas,0)),"")</f>
        <v>E.E 12 DE OUTUBRO LIMÃO</v>
      </c>
      <c r="B728" s="2" t="s">
        <v>111</v>
      </c>
      <c r="C728" s="2" cm="1">
        <f t="array" ref="C728">IF(A728="","",INDEX(tbEtapas[Nº],MOD(ROW(A727)-1,TotalEtapas)+1))</f>
        <v>7</v>
      </c>
      <c r="D728" s="2" t="str">
        <f>IFERROR(VLOOKUP(tbEscolas[[#This Row],[COD ETPA]],tbEtapas[],2,FALSE),"")</f>
        <v>3º ANO</v>
      </c>
      <c r="E728" s="2" t="str">
        <f>IFERROR(VLOOKUP(tbEscolas[[#This Row],[COD ETPA]],tbEtapas[],3,FALSE),"")</f>
        <v>FUNDAMENTAL</v>
      </c>
      <c r="F728" s="2" t="s">
        <v>125</v>
      </c>
    </row>
    <row r="729" spans="1:6" x14ac:dyDescent="0.25">
      <c r="A729" s="2" t="str" cm="1">
        <f t="array" ref="A729">IFERROR(INDEX(tbNucleo[ESCOLA],ROUNDUP(ROW(A728)/TotalEtapas,0)),"")</f>
        <v>E.E 12 DE OUTUBRO LIMÃO</v>
      </c>
      <c r="B729" s="2" t="s">
        <v>111</v>
      </c>
      <c r="C729" s="2" cm="1">
        <f t="array" ref="C729">IF(A729="","",INDEX(tbEtapas[Nº],MOD(ROW(A728)-1,TotalEtapas)+1))</f>
        <v>8</v>
      </c>
      <c r="D729" s="2" t="str">
        <f>IFERROR(VLOOKUP(tbEscolas[[#This Row],[COD ETPA]],tbEtapas[],2,FALSE),"")</f>
        <v>4º ANO</v>
      </c>
      <c r="E729" s="2" t="str">
        <f>IFERROR(VLOOKUP(tbEscolas[[#This Row],[COD ETPA]],tbEtapas[],3,FALSE),"")</f>
        <v>FUNDAMENTAL</v>
      </c>
      <c r="F729" s="2" t="s">
        <v>125</v>
      </c>
    </row>
    <row r="730" spans="1:6" x14ac:dyDescent="0.25">
      <c r="A730" s="2" t="str" cm="1">
        <f t="array" ref="A730">IFERROR(INDEX(tbNucleo[ESCOLA],ROUNDUP(ROW(A729)/TotalEtapas,0)),"")</f>
        <v>E.E 12 DE OUTUBRO LIMÃO</v>
      </c>
      <c r="B730" s="2" t="s">
        <v>111</v>
      </c>
      <c r="C730" s="2" cm="1">
        <f t="array" ref="C730">IF(A730="","",INDEX(tbEtapas[Nº],MOD(ROW(A729)-1,TotalEtapas)+1))</f>
        <v>9</v>
      </c>
      <c r="D730" s="2" t="str">
        <f>IFERROR(VLOOKUP(tbEscolas[[#This Row],[COD ETPA]],tbEtapas[],2,FALSE),"")</f>
        <v>5º ANO</v>
      </c>
      <c r="E730" s="2" t="str">
        <f>IFERROR(VLOOKUP(tbEscolas[[#This Row],[COD ETPA]],tbEtapas[],3,FALSE),"")</f>
        <v>FUNDAMENTAL</v>
      </c>
      <c r="F730" s="2" t="s">
        <v>125</v>
      </c>
    </row>
    <row r="731" spans="1:6" x14ac:dyDescent="0.25">
      <c r="A731" s="2" t="str" cm="1">
        <f t="array" ref="A731">IFERROR(INDEX(tbNucleo[ESCOLA],ROUNDUP(ROW(A730)/TotalEtapas,0)),"")</f>
        <v>E.E 12 DE OUTUBRO LIMÃO</v>
      </c>
      <c r="B731" s="2" t="s">
        <v>111</v>
      </c>
      <c r="C731" s="2" cm="1">
        <f t="array" ref="C731">IF(A731="","",INDEX(tbEtapas[Nº],MOD(ROW(A730)-1,TotalEtapas)+1))</f>
        <v>10</v>
      </c>
      <c r="D731" s="2" t="str">
        <f>IFERROR(VLOOKUP(tbEscolas[[#This Row],[COD ETPA]],tbEtapas[],2,FALSE),"")</f>
        <v>6º ANO</v>
      </c>
      <c r="E731" s="2" t="str">
        <f>IFERROR(VLOOKUP(tbEscolas[[#This Row],[COD ETPA]],tbEtapas[],3,FALSE),"")</f>
        <v>FUNDAMENTAL</v>
      </c>
      <c r="F731" s="2" t="s">
        <v>126</v>
      </c>
    </row>
    <row r="732" spans="1:6" x14ac:dyDescent="0.25">
      <c r="A732" s="2" t="str" cm="1">
        <f t="array" ref="A732">IFERROR(INDEX(tbNucleo[ESCOLA],ROUNDUP(ROW(A731)/TotalEtapas,0)),"")</f>
        <v>E.E 12 DE OUTUBRO LIMÃO</v>
      </c>
      <c r="B732" s="2" t="s">
        <v>111</v>
      </c>
      <c r="C732" s="2" cm="1">
        <f t="array" ref="C732">IF(A732="","",INDEX(tbEtapas[Nº],MOD(ROW(A731)-1,TotalEtapas)+1))</f>
        <v>11</v>
      </c>
      <c r="D732" s="2" t="str">
        <f>IFERROR(VLOOKUP(tbEscolas[[#This Row],[COD ETPA]],tbEtapas[],2,FALSE),"")</f>
        <v>7º ANO</v>
      </c>
      <c r="E732" s="2" t="str">
        <f>IFERROR(VLOOKUP(tbEscolas[[#This Row],[COD ETPA]],tbEtapas[],3,FALSE),"")</f>
        <v>FUNDAMENTAL</v>
      </c>
      <c r="F732" s="2" t="s">
        <v>126</v>
      </c>
    </row>
    <row r="733" spans="1:6" x14ac:dyDescent="0.25">
      <c r="A733" s="2" t="str" cm="1">
        <f t="array" ref="A733">IFERROR(INDEX(tbNucleo[ESCOLA],ROUNDUP(ROW(A732)/TotalEtapas,0)),"")</f>
        <v>E.E 12 DE OUTUBRO LIMÃO</v>
      </c>
      <c r="B733" s="2" t="s">
        <v>111</v>
      </c>
      <c r="C733" s="2" cm="1">
        <f t="array" ref="C733">IF(A733="","",INDEX(tbEtapas[Nº],MOD(ROW(A732)-1,TotalEtapas)+1))</f>
        <v>12</v>
      </c>
      <c r="D733" s="2" t="str">
        <f>IFERROR(VLOOKUP(tbEscolas[[#This Row],[COD ETPA]],tbEtapas[],2,FALSE),"")</f>
        <v>8º ANO</v>
      </c>
      <c r="E733" s="2" t="str">
        <f>IFERROR(VLOOKUP(tbEscolas[[#This Row],[COD ETPA]],tbEtapas[],3,FALSE),"")</f>
        <v>FUNDAMENTAL</v>
      </c>
      <c r="F733" s="2" t="s">
        <v>126</v>
      </c>
    </row>
    <row r="734" spans="1:6" x14ac:dyDescent="0.25">
      <c r="A734" s="2" t="str" cm="1">
        <f t="array" ref="A734">IFERROR(INDEX(tbNucleo[ESCOLA],ROUNDUP(ROW(A733)/TotalEtapas,0)),"")</f>
        <v>E.E 12 DE OUTUBRO LIMÃO</v>
      </c>
      <c r="B734" s="2" t="s">
        <v>111</v>
      </c>
      <c r="C734" s="2" cm="1">
        <f t="array" ref="C734">IF(A734="","",INDEX(tbEtapas[Nº],MOD(ROW(A733)-1,TotalEtapas)+1))</f>
        <v>13</v>
      </c>
      <c r="D734" s="2" t="str">
        <f>IFERROR(VLOOKUP(tbEscolas[[#This Row],[COD ETPA]],tbEtapas[],2,FALSE),"")</f>
        <v>9º ANO</v>
      </c>
      <c r="E734" s="2" t="str">
        <f>IFERROR(VLOOKUP(tbEscolas[[#This Row],[COD ETPA]],tbEtapas[],3,FALSE),"")</f>
        <v>FUNDAMENTAL</v>
      </c>
      <c r="F734" s="2" t="s">
        <v>126</v>
      </c>
    </row>
    <row r="735" spans="1:6" x14ac:dyDescent="0.25">
      <c r="A735" s="2" t="str" cm="1">
        <f t="array" ref="A735">IFERROR(INDEX(tbNucleo[ESCOLA],ROUNDUP(ROW(A734)/TotalEtapas,0)),"")</f>
        <v>E.E 12 DE OUTUBRO LIMÃO</v>
      </c>
      <c r="B735" s="2" t="s">
        <v>111</v>
      </c>
      <c r="C735" s="2">
        <v>14</v>
      </c>
      <c r="D735" s="2" t="str">
        <f>IFERROR(VLOOKUP(tbEscolas[[#This Row],[COD ETPA]],tbEtapas[],2,FALSE),"")</f>
        <v>1º ANO</v>
      </c>
      <c r="E735" s="2" t="str">
        <f>IFERROR(VLOOKUP(tbEscolas[[#This Row],[COD ETPA]],tbEtapas[],3,FALSE),"")</f>
        <v>ENSINO MÉDIO</v>
      </c>
      <c r="F735" s="2" t="s">
        <v>126</v>
      </c>
    </row>
    <row r="736" spans="1:6" x14ac:dyDescent="0.25">
      <c r="A736" s="2" t="str" cm="1">
        <f t="array" ref="A736">IFERROR(INDEX(tbNucleo[ESCOLA],ROUNDUP(ROW(A735)/TotalEtapas,0)),"")</f>
        <v>E.E 12 DE OUTUBRO LIMÃO</v>
      </c>
      <c r="B736" s="2" t="s">
        <v>111</v>
      </c>
      <c r="C736" s="2">
        <v>15</v>
      </c>
      <c r="D736" s="2" t="str">
        <f>IFERROR(VLOOKUP(tbEscolas[[#This Row],[COD ETPA]],tbEtapas[],2,FALSE),"")</f>
        <v>2º ANO</v>
      </c>
      <c r="E736" s="2" t="str">
        <f>IFERROR(VLOOKUP(tbEscolas[[#This Row],[COD ETPA]],tbEtapas[],3,FALSE),"")</f>
        <v>ENSINO MÉDIO</v>
      </c>
      <c r="F736" s="2" t="s">
        <v>126</v>
      </c>
    </row>
    <row r="737" spans="1:6" x14ac:dyDescent="0.25">
      <c r="A737" s="2" t="str" cm="1">
        <f t="array" ref="A737">IFERROR(INDEX(tbNucleo[ESCOLA],ROUNDUP(ROW(A736)/TotalEtapas,0)),"")</f>
        <v>E.E 12 DE OUTUBRO LIMÃO</v>
      </c>
      <c r="B737" s="2" t="s">
        <v>111</v>
      </c>
      <c r="C737" s="2">
        <v>16</v>
      </c>
      <c r="D737" s="2" t="str">
        <f>IFERROR(VLOOKUP(tbEscolas[[#This Row],[COD ETPA]],tbEtapas[],2,FALSE),"")</f>
        <v>3º ANO</v>
      </c>
      <c r="E737" s="2" t="str">
        <f>IFERROR(VLOOKUP(tbEscolas[[#This Row],[COD ETPA]],tbEtapas[],3,FALSE),"")</f>
        <v>ENSINO MÉDIO</v>
      </c>
      <c r="F737" s="2" t="s">
        <v>126</v>
      </c>
    </row>
    <row r="738" spans="1:6" x14ac:dyDescent="0.25">
      <c r="A738" s="2" t="str" cm="1">
        <f t="array" ref="A738">IFERROR(INDEX(tbNucleo[ESCOLA],ROUNDUP(ROW(A737)/TotalEtapas,0)),"")</f>
        <v>E.E 12 DE OUTUBRO LIMÃO</v>
      </c>
      <c r="B738" s="2" t="s">
        <v>111</v>
      </c>
      <c r="C738" s="2">
        <v>17</v>
      </c>
      <c r="D738" s="2" t="str">
        <f>IFERROR(VLOOKUP(tbEscolas[[#This Row],[COD ETPA]],tbEtapas[],2,FALSE),"")</f>
        <v>EJA I</v>
      </c>
      <c r="E738" s="2" t="str">
        <f>IFERROR(VLOOKUP(tbEscolas[[#This Row],[COD ETPA]],tbEtapas[],3,FALSE),"")</f>
        <v>FUNDAMENTAL</v>
      </c>
      <c r="F738" s="2" t="s">
        <v>125</v>
      </c>
    </row>
    <row r="739" spans="1:6" x14ac:dyDescent="0.25">
      <c r="A739" s="2" t="str" cm="1">
        <f t="array" ref="A739">IFERROR(INDEX(tbNucleo[ESCOLA],ROUNDUP(ROW(A738)/TotalEtapas,0)),"")</f>
        <v>E.E 12 DE OUTUBRO LIMÃO</v>
      </c>
      <c r="B739" s="2" t="s">
        <v>111</v>
      </c>
      <c r="C739" s="2">
        <v>18</v>
      </c>
      <c r="D739" s="2" t="str">
        <f>IFERROR(VLOOKUP(tbEscolas[[#This Row],[COD ETPA]],tbEtapas[],2,FALSE),"")</f>
        <v>EJA II</v>
      </c>
      <c r="E739" s="2" t="str">
        <f>IFERROR(VLOOKUP(tbEscolas[[#This Row],[COD ETPA]],tbEtapas[],3,FALSE),"")</f>
        <v>ENSINO MÉDIO</v>
      </c>
      <c r="F739" s="2" t="s">
        <v>125</v>
      </c>
    </row>
    <row r="740" spans="1:6" x14ac:dyDescent="0.25">
      <c r="A740" s="11" t="str" cm="1">
        <f t="array" ref="A740">IFERROR(INDEX(tbNucleo[ESCOLA],ROUNDUP(ROW(A739)/TotalEtapas,0)),"")</f>
        <v>E.E 12 DE OUTUBRO ANEXA SAPIQUÁ</v>
      </c>
      <c r="B740" s="11" t="s">
        <v>120</v>
      </c>
      <c r="C740" s="11" cm="1">
        <f t="array" ref="C740">IF(A740="","",INDEX(tbEtapas[Nº],MOD(ROW(A739)-1,TotalEtapas)+1))</f>
        <v>1</v>
      </c>
      <c r="D740" s="11" t="str">
        <f>IFERROR(VLOOKUP(tbEscolas[[#This Row],[COD ETPA]],tbEtapas[],2,FALSE),"")</f>
        <v>CRECHE I</v>
      </c>
      <c r="E740" s="11" t="str">
        <f>IFERROR(VLOOKUP(tbEscolas[[#This Row],[COD ETPA]],tbEtapas[],3,FALSE),"")</f>
        <v>EDUCAÇÃO INFANTIL</v>
      </c>
      <c r="F740" s="11" t="s">
        <v>125</v>
      </c>
    </row>
    <row r="741" spans="1:6" x14ac:dyDescent="0.25">
      <c r="A741" s="11" t="str" cm="1">
        <f t="array" ref="A741">IFERROR(INDEX(tbNucleo[ESCOLA],ROUNDUP(ROW(A740)/TotalEtapas,0)),"")</f>
        <v>E.E 12 DE OUTUBRO ANEXA SAPIQUÁ</v>
      </c>
      <c r="B741" s="11" t="s">
        <v>120</v>
      </c>
      <c r="C741" s="11" cm="1">
        <f t="array" ref="C741">IF(A741="","",INDEX(tbEtapas[Nº],MOD(ROW(A740)-1,TotalEtapas)+1))</f>
        <v>2</v>
      </c>
      <c r="D741" s="11" t="str">
        <f>IFERROR(VLOOKUP(tbEscolas[[#This Row],[COD ETPA]],tbEtapas[],2,FALSE),"")</f>
        <v>CRECHE II</v>
      </c>
      <c r="E741" s="11" t="str">
        <f>IFERROR(VLOOKUP(tbEscolas[[#This Row],[COD ETPA]],tbEtapas[],3,FALSE),"")</f>
        <v>EDUCAÇÃO INFANTIL</v>
      </c>
      <c r="F741" s="11" t="s">
        <v>125</v>
      </c>
    </row>
    <row r="742" spans="1:6" x14ac:dyDescent="0.25">
      <c r="A742" s="11" t="str" cm="1">
        <f t="array" ref="A742">IFERROR(INDEX(tbNucleo[ESCOLA],ROUNDUP(ROW(A741)/TotalEtapas,0)),"")</f>
        <v>E.E 12 DE OUTUBRO ANEXA SAPIQUÁ</v>
      </c>
      <c r="B742" s="11" t="s">
        <v>120</v>
      </c>
      <c r="C742" s="11" cm="1">
        <f t="array" ref="C742">IF(A742="","",INDEX(tbEtapas[Nº],MOD(ROW(A741)-1,TotalEtapas)+1))</f>
        <v>3</v>
      </c>
      <c r="D742" s="11" t="str">
        <f>IFERROR(VLOOKUP(tbEscolas[[#This Row],[COD ETPA]],tbEtapas[],2,FALSE),"")</f>
        <v>PRE I</v>
      </c>
      <c r="E742" s="11" t="str">
        <f>IFERROR(VLOOKUP(tbEscolas[[#This Row],[COD ETPA]],tbEtapas[],3,FALSE),"")</f>
        <v>EDUCAÇÃO INFANTIL</v>
      </c>
      <c r="F742" s="11" t="s">
        <v>125</v>
      </c>
    </row>
    <row r="743" spans="1:6" x14ac:dyDescent="0.25">
      <c r="A743" s="11" t="str" cm="1">
        <f t="array" ref="A743">IFERROR(INDEX(tbNucleo[ESCOLA],ROUNDUP(ROW(A742)/TotalEtapas,0)),"")</f>
        <v>E.E 12 DE OUTUBRO ANEXA SAPIQUÁ</v>
      </c>
      <c r="B743" s="11" t="s">
        <v>120</v>
      </c>
      <c r="C743" s="11" cm="1">
        <f t="array" ref="C743">IF(A743="","",INDEX(tbEtapas[Nº],MOD(ROW(A742)-1,TotalEtapas)+1))</f>
        <v>4</v>
      </c>
      <c r="D743" s="11" t="str">
        <f>IFERROR(VLOOKUP(tbEscolas[[#This Row],[COD ETPA]],tbEtapas[],2,FALSE),"")</f>
        <v>PRE II</v>
      </c>
      <c r="E743" s="11" t="str">
        <f>IFERROR(VLOOKUP(tbEscolas[[#This Row],[COD ETPA]],tbEtapas[],3,FALSE),"")</f>
        <v>EDUCAÇÃO INFANTIL</v>
      </c>
      <c r="F743" s="11" t="s">
        <v>125</v>
      </c>
    </row>
    <row r="744" spans="1:6" x14ac:dyDescent="0.25">
      <c r="A744" s="11" t="str" cm="1">
        <f t="array" ref="A744">IFERROR(INDEX(tbNucleo[ESCOLA],ROUNDUP(ROW(A743)/TotalEtapas,0)),"")</f>
        <v>E.E 12 DE OUTUBRO ANEXA SAPIQUÁ</v>
      </c>
      <c r="B744" s="11" t="s">
        <v>120</v>
      </c>
      <c r="C744" s="11" cm="1">
        <f t="array" ref="C744">IF(A744="","",INDEX(tbEtapas[Nº],MOD(ROW(A743)-1,TotalEtapas)+1))</f>
        <v>5</v>
      </c>
      <c r="D744" s="11" t="str">
        <f>IFERROR(VLOOKUP(tbEscolas[[#This Row],[COD ETPA]],tbEtapas[],2,FALSE),"")</f>
        <v>1º ANO</v>
      </c>
      <c r="E744" s="11" t="str">
        <f>IFERROR(VLOOKUP(tbEscolas[[#This Row],[COD ETPA]],tbEtapas[],3,FALSE),"")</f>
        <v>FUNDAMENTAL</v>
      </c>
      <c r="F744" s="11" t="s">
        <v>125</v>
      </c>
    </row>
    <row r="745" spans="1:6" x14ac:dyDescent="0.25">
      <c r="A745" s="11" t="str" cm="1">
        <f t="array" ref="A745">IFERROR(INDEX(tbNucleo[ESCOLA],ROUNDUP(ROW(A744)/TotalEtapas,0)),"")</f>
        <v>E.E 12 DE OUTUBRO ANEXA SAPIQUÁ</v>
      </c>
      <c r="B745" s="11" t="s">
        <v>120</v>
      </c>
      <c r="C745" s="11" cm="1">
        <f t="array" ref="C745">IF(A745="","",INDEX(tbEtapas[Nº],MOD(ROW(A744)-1,TotalEtapas)+1))</f>
        <v>6</v>
      </c>
      <c r="D745" s="11" t="str">
        <f>IFERROR(VLOOKUP(tbEscolas[[#This Row],[COD ETPA]],tbEtapas[],2,FALSE),"")</f>
        <v>2º ANO</v>
      </c>
      <c r="E745" s="11" t="str">
        <f>IFERROR(VLOOKUP(tbEscolas[[#This Row],[COD ETPA]],tbEtapas[],3,FALSE),"")</f>
        <v>FUNDAMENTAL</v>
      </c>
      <c r="F745" s="11" t="s">
        <v>125</v>
      </c>
    </row>
    <row r="746" spans="1:6" x14ac:dyDescent="0.25">
      <c r="A746" s="11" t="str" cm="1">
        <f t="array" ref="A746">IFERROR(INDEX(tbNucleo[ESCOLA],ROUNDUP(ROW(A745)/TotalEtapas,0)),"")</f>
        <v>E.E 12 DE OUTUBRO ANEXA SAPIQUÁ</v>
      </c>
      <c r="B746" s="11" t="s">
        <v>120</v>
      </c>
      <c r="C746" s="11" cm="1">
        <f t="array" ref="C746">IF(A746="","",INDEX(tbEtapas[Nº],MOD(ROW(A745)-1,TotalEtapas)+1))</f>
        <v>7</v>
      </c>
      <c r="D746" s="11" t="str">
        <f>IFERROR(VLOOKUP(tbEscolas[[#This Row],[COD ETPA]],tbEtapas[],2,FALSE),"")</f>
        <v>3º ANO</v>
      </c>
      <c r="E746" s="11" t="str">
        <f>IFERROR(VLOOKUP(tbEscolas[[#This Row],[COD ETPA]],tbEtapas[],3,FALSE),"")</f>
        <v>FUNDAMENTAL</v>
      </c>
      <c r="F746" s="11" t="s">
        <v>125</v>
      </c>
    </row>
    <row r="747" spans="1:6" x14ac:dyDescent="0.25">
      <c r="A747" s="11" t="str" cm="1">
        <f t="array" ref="A747">IFERROR(INDEX(tbNucleo[ESCOLA],ROUNDUP(ROW(A746)/TotalEtapas,0)),"")</f>
        <v>E.E 12 DE OUTUBRO ANEXA SAPIQUÁ</v>
      </c>
      <c r="B747" s="11" t="s">
        <v>120</v>
      </c>
      <c r="C747" s="11" cm="1">
        <f t="array" ref="C747">IF(A747="","",INDEX(tbEtapas[Nº],MOD(ROW(A746)-1,TotalEtapas)+1))</f>
        <v>8</v>
      </c>
      <c r="D747" s="11" t="str">
        <f>IFERROR(VLOOKUP(tbEscolas[[#This Row],[COD ETPA]],tbEtapas[],2,FALSE),"")</f>
        <v>4º ANO</v>
      </c>
      <c r="E747" s="11" t="str">
        <f>IFERROR(VLOOKUP(tbEscolas[[#This Row],[COD ETPA]],tbEtapas[],3,FALSE),"")</f>
        <v>FUNDAMENTAL</v>
      </c>
      <c r="F747" s="11" t="s">
        <v>125</v>
      </c>
    </row>
    <row r="748" spans="1:6" x14ac:dyDescent="0.25">
      <c r="A748" s="11" t="str" cm="1">
        <f t="array" ref="A748">IFERROR(INDEX(tbNucleo[ESCOLA],ROUNDUP(ROW(A747)/TotalEtapas,0)),"")</f>
        <v>E.E 12 DE OUTUBRO ANEXA SAPIQUÁ</v>
      </c>
      <c r="B748" s="11" t="s">
        <v>120</v>
      </c>
      <c r="C748" s="11" cm="1">
        <f t="array" ref="C748">IF(A748="","",INDEX(tbEtapas[Nº],MOD(ROW(A747)-1,TotalEtapas)+1))</f>
        <v>9</v>
      </c>
      <c r="D748" s="11" t="str">
        <f>IFERROR(VLOOKUP(tbEscolas[[#This Row],[COD ETPA]],tbEtapas[],2,FALSE),"")</f>
        <v>5º ANO</v>
      </c>
      <c r="E748" s="11" t="str">
        <f>IFERROR(VLOOKUP(tbEscolas[[#This Row],[COD ETPA]],tbEtapas[],3,FALSE),"")</f>
        <v>FUNDAMENTAL</v>
      </c>
      <c r="F748" s="11" t="s">
        <v>125</v>
      </c>
    </row>
    <row r="749" spans="1:6" x14ac:dyDescent="0.25">
      <c r="A749" s="11" t="str" cm="1">
        <f t="array" ref="A749">IFERROR(INDEX(tbNucleo[ESCOLA],ROUNDUP(ROW(A748)/TotalEtapas,0)),"")</f>
        <v>E.E 12 DE OUTUBRO ANEXA SAPIQUÁ</v>
      </c>
      <c r="B749" s="11" t="s">
        <v>120</v>
      </c>
      <c r="C749" s="11" cm="1">
        <f t="array" ref="C749">IF(A749="","",INDEX(tbEtapas[Nº],MOD(ROW(A748)-1,TotalEtapas)+1))</f>
        <v>10</v>
      </c>
      <c r="D749" s="11" t="str">
        <f>IFERROR(VLOOKUP(tbEscolas[[#This Row],[COD ETPA]],tbEtapas[],2,FALSE),"")</f>
        <v>6º ANO</v>
      </c>
      <c r="E749" s="11" t="str">
        <f>IFERROR(VLOOKUP(tbEscolas[[#This Row],[COD ETPA]],tbEtapas[],3,FALSE),"")</f>
        <v>FUNDAMENTAL</v>
      </c>
      <c r="F749" s="11" t="s">
        <v>126</v>
      </c>
    </row>
    <row r="750" spans="1:6" x14ac:dyDescent="0.25">
      <c r="A750" s="11" t="str" cm="1">
        <f t="array" ref="A750">IFERROR(INDEX(tbNucleo[ESCOLA],ROUNDUP(ROW(A749)/TotalEtapas,0)),"")</f>
        <v>E.E 12 DE OUTUBRO ANEXA SAPIQUÁ</v>
      </c>
      <c r="B750" s="11" t="s">
        <v>120</v>
      </c>
      <c r="C750" s="11" cm="1">
        <f t="array" ref="C750">IF(A750="","",INDEX(tbEtapas[Nº],MOD(ROW(A749)-1,TotalEtapas)+1))</f>
        <v>11</v>
      </c>
      <c r="D750" s="11" t="str">
        <f>IFERROR(VLOOKUP(tbEscolas[[#This Row],[COD ETPA]],tbEtapas[],2,FALSE),"")</f>
        <v>7º ANO</v>
      </c>
      <c r="E750" s="11" t="str">
        <f>IFERROR(VLOOKUP(tbEscolas[[#This Row],[COD ETPA]],tbEtapas[],3,FALSE),"")</f>
        <v>FUNDAMENTAL</v>
      </c>
      <c r="F750" s="11" t="s">
        <v>126</v>
      </c>
    </row>
    <row r="751" spans="1:6" x14ac:dyDescent="0.25">
      <c r="A751" s="11" t="str" cm="1">
        <f t="array" ref="A751">IFERROR(INDEX(tbNucleo[ESCOLA],ROUNDUP(ROW(A750)/TotalEtapas,0)),"")</f>
        <v>E.E 12 DE OUTUBRO ANEXA SAPIQUÁ</v>
      </c>
      <c r="B751" s="11" t="s">
        <v>120</v>
      </c>
      <c r="C751" s="11" cm="1">
        <f t="array" ref="C751">IF(A751="","",INDEX(tbEtapas[Nº],MOD(ROW(A750)-1,TotalEtapas)+1))</f>
        <v>12</v>
      </c>
      <c r="D751" s="11" t="str">
        <f>IFERROR(VLOOKUP(tbEscolas[[#This Row],[COD ETPA]],tbEtapas[],2,FALSE),"")</f>
        <v>8º ANO</v>
      </c>
      <c r="E751" s="11" t="str">
        <f>IFERROR(VLOOKUP(tbEscolas[[#This Row],[COD ETPA]],tbEtapas[],3,FALSE),"")</f>
        <v>FUNDAMENTAL</v>
      </c>
      <c r="F751" s="11" t="s">
        <v>126</v>
      </c>
    </row>
    <row r="752" spans="1:6" x14ac:dyDescent="0.25">
      <c r="A752" s="11" t="str" cm="1">
        <f t="array" ref="A752">IFERROR(INDEX(tbNucleo[ESCOLA],ROUNDUP(ROW(A751)/TotalEtapas,0)),"")</f>
        <v>E.E 12 DE OUTUBRO ANEXA SAPIQUÁ</v>
      </c>
      <c r="B752" s="11" t="s">
        <v>120</v>
      </c>
      <c r="C752" s="11" cm="1">
        <f t="array" ref="C752">IF(A752="","",INDEX(tbEtapas[Nº],MOD(ROW(A751)-1,TotalEtapas)+1))</f>
        <v>13</v>
      </c>
      <c r="D752" s="11" t="str">
        <f>IFERROR(VLOOKUP(tbEscolas[[#This Row],[COD ETPA]],tbEtapas[],2,FALSE),"")</f>
        <v>9º ANO</v>
      </c>
      <c r="E752" s="11" t="str">
        <f>IFERROR(VLOOKUP(tbEscolas[[#This Row],[COD ETPA]],tbEtapas[],3,FALSE),"")</f>
        <v>FUNDAMENTAL</v>
      </c>
      <c r="F752" s="11" t="s">
        <v>126</v>
      </c>
    </row>
    <row r="753" spans="1:6" x14ac:dyDescent="0.25">
      <c r="A753" s="11" t="str" cm="1">
        <f t="array" ref="A753">IFERROR(INDEX(tbNucleo[ESCOLA],ROUNDUP(ROW(A752)/TotalEtapas,0)),"")</f>
        <v>E.E 12 DE OUTUBRO ANEXA SAPIQUÁ</v>
      </c>
      <c r="B753" s="11" t="s">
        <v>120</v>
      </c>
      <c r="C753" s="11">
        <v>14</v>
      </c>
      <c r="D753" s="11" t="str">
        <f>IFERROR(VLOOKUP(tbEscolas[[#This Row],[COD ETPA]],tbEtapas[],2,FALSE),"")</f>
        <v>1º ANO</v>
      </c>
      <c r="E753" s="11" t="str">
        <f>IFERROR(VLOOKUP(tbEscolas[[#This Row],[COD ETPA]],tbEtapas[],3,FALSE),"")</f>
        <v>ENSINO MÉDIO</v>
      </c>
      <c r="F753" s="11" t="s">
        <v>126</v>
      </c>
    </row>
    <row r="754" spans="1:6" x14ac:dyDescent="0.25">
      <c r="A754" s="11" t="str" cm="1">
        <f t="array" ref="A754">IFERROR(INDEX(tbNucleo[ESCOLA],ROUNDUP(ROW(A753)/TotalEtapas,0)),"")</f>
        <v>E.E 12 DE OUTUBRO ANEXA SAPIQUÁ</v>
      </c>
      <c r="B754" s="11" t="s">
        <v>120</v>
      </c>
      <c r="C754" s="11">
        <v>15</v>
      </c>
      <c r="D754" s="11" t="str">
        <f>IFERROR(VLOOKUP(tbEscolas[[#This Row],[COD ETPA]],tbEtapas[],2,FALSE),"")</f>
        <v>2º ANO</v>
      </c>
      <c r="E754" s="11" t="str">
        <f>IFERROR(VLOOKUP(tbEscolas[[#This Row],[COD ETPA]],tbEtapas[],3,FALSE),"")</f>
        <v>ENSINO MÉDIO</v>
      </c>
      <c r="F754" s="11" t="s">
        <v>126</v>
      </c>
    </row>
    <row r="755" spans="1:6" x14ac:dyDescent="0.25">
      <c r="A755" s="11" t="str" cm="1">
        <f t="array" ref="A755">IFERROR(INDEX(tbNucleo[ESCOLA],ROUNDUP(ROW(A754)/TotalEtapas,0)),"")</f>
        <v>E.E 12 DE OUTUBRO ANEXA SAPIQUÁ</v>
      </c>
      <c r="B755" s="11" t="s">
        <v>120</v>
      </c>
      <c r="C755" s="11">
        <v>16</v>
      </c>
      <c r="D755" s="11" t="str">
        <f>IFERROR(VLOOKUP(tbEscolas[[#This Row],[COD ETPA]],tbEtapas[],2,FALSE),"")</f>
        <v>3º ANO</v>
      </c>
      <c r="E755" s="11" t="str">
        <f>IFERROR(VLOOKUP(tbEscolas[[#This Row],[COD ETPA]],tbEtapas[],3,FALSE),"")</f>
        <v>ENSINO MÉDIO</v>
      </c>
      <c r="F755" s="11" t="s">
        <v>126</v>
      </c>
    </row>
    <row r="756" spans="1:6" x14ac:dyDescent="0.25">
      <c r="A756" s="11" t="str" cm="1">
        <f t="array" ref="A756">IFERROR(INDEX(tbNucleo[ESCOLA],ROUNDUP(ROW(A755)/TotalEtapas,0)),"")</f>
        <v>E.E 12 DE OUTUBRO ANEXA SAPIQUÁ</v>
      </c>
      <c r="B756" s="11" t="s">
        <v>120</v>
      </c>
      <c r="C756" s="11">
        <v>17</v>
      </c>
      <c r="D756" s="11" t="str">
        <f>IFERROR(VLOOKUP(tbEscolas[[#This Row],[COD ETPA]],tbEtapas[],2,FALSE),"")</f>
        <v>EJA I</v>
      </c>
      <c r="E756" s="11" t="str">
        <f>IFERROR(VLOOKUP(tbEscolas[[#This Row],[COD ETPA]],tbEtapas[],3,FALSE),"")</f>
        <v>FUNDAMENTAL</v>
      </c>
      <c r="F756" s="11" t="s">
        <v>125</v>
      </c>
    </row>
    <row r="757" spans="1:6" x14ac:dyDescent="0.25">
      <c r="A757" s="11" t="str" cm="1">
        <f t="array" ref="A757">IFERROR(INDEX(tbNucleo[ESCOLA],ROUNDUP(ROW(A756)/TotalEtapas,0)),"")</f>
        <v>E.E 12 DE OUTUBRO ANEXA SAPIQUÁ</v>
      </c>
      <c r="B757" s="11" t="s">
        <v>120</v>
      </c>
      <c r="C757" s="11">
        <v>18</v>
      </c>
      <c r="D757" s="11" t="str">
        <f>IFERROR(VLOOKUP(tbEscolas[[#This Row],[COD ETPA]],tbEtapas[],2,FALSE),"")</f>
        <v>EJA II</v>
      </c>
      <c r="E757" s="11" t="str">
        <f>IFERROR(VLOOKUP(tbEscolas[[#This Row],[COD ETPA]],tbEtapas[],3,FALSE),"")</f>
        <v>ENSINO MÉDIO</v>
      </c>
      <c r="F757" s="11" t="s">
        <v>125</v>
      </c>
    </row>
    <row r="758" spans="1:6" x14ac:dyDescent="0.25">
      <c r="A758" s="7" t="str" cm="1">
        <f t="array" ref="A758">IFERROR(INDEX(tbNucleo[ESCOLA],ROUNDUP(ROW(A757)/TotalEtapas,0)),"")</f>
        <v>E.E 12 DE OUTUBRO ANEXA CLARINOPOLIS</v>
      </c>
      <c r="B758" s="7" t="s">
        <v>115</v>
      </c>
      <c r="C758" s="7" cm="1">
        <f t="array" ref="C758">IF(A758="","",INDEX(tbEtapas[Nº],MOD(ROW(A757)-1,TotalEtapas)+1))</f>
        <v>1</v>
      </c>
      <c r="D758" s="7" t="str">
        <f>IFERROR(VLOOKUP(tbEscolas[[#This Row],[COD ETPA]],tbEtapas[],2,FALSE),"")</f>
        <v>CRECHE I</v>
      </c>
      <c r="E758" s="7" t="str">
        <f>IFERROR(VLOOKUP(tbEscolas[[#This Row],[COD ETPA]],tbEtapas[],3,FALSE),"")</f>
        <v>EDUCAÇÃO INFANTIL</v>
      </c>
      <c r="F758" s="7" t="s">
        <v>125</v>
      </c>
    </row>
    <row r="759" spans="1:6" x14ac:dyDescent="0.25">
      <c r="A759" s="7" t="str" cm="1">
        <f t="array" ref="A759">IFERROR(INDEX(tbNucleo[ESCOLA],ROUNDUP(ROW(A758)/TotalEtapas,0)),"")</f>
        <v>E.E 12 DE OUTUBRO ANEXA CLARINOPOLIS</v>
      </c>
      <c r="B759" s="7" t="s">
        <v>115</v>
      </c>
      <c r="C759" s="7" cm="1">
        <f t="array" ref="C759">IF(A759="","",INDEX(tbEtapas[Nº],MOD(ROW(A758)-1,TotalEtapas)+1))</f>
        <v>2</v>
      </c>
      <c r="D759" s="7" t="str">
        <f>IFERROR(VLOOKUP(tbEscolas[[#This Row],[COD ETPA]],tbEtapas[],2,FALSE),"")</f>
        <v>CRECHE II</v>
      </c>
      <c r="E759" s="7" t="str">
        <f>IFERROR(VLOOKUP(tbEscolas[[#This Row],[COD ETPA]],tbEtapas[],3,FALSE),"")</f>
        <v>EDUCAÇÃO INFANTIL</v>
      </c>
      <c r="F759" s="7" t="s">
        <v>125</v>
      </c>
    </row>
    <row r="760" spans="1:6" x14ac:dyDescent="0.25">
      <c r="A760" s="7" t="str" cm="1">
        <f t="array" ref="A760">IFERROR(INDEX(tbNucleo[ESCOLA],ROUNDUP(ROW(A759)/TotalEtapas,0)),"")</f>
        <v>E.E 12 DE OUTUBRO ANEXA CLARINOPOLIS</v>
      </c>
      <c r="B760" s="7" t="s">
        <v>115</v>
      </c>
      <c r="C760" s="7" cm="1">
        <f t="array" ref="C760">IF(A760="","",INDEX(tbEtapas[Nº],MOD(ROW(A759)-1,TotalEtapas)+1))</f>
        <v>3</v>
      </c>
      <c r="D760" s="7" t="str">
        <f>IFERROR(VLOOKUP(tbEscolas[[#This Row],[COD ETPA]],tbEtapas[],2,FALSE),"")</f>
        <v>PRE I</v>
      </c>
      <c r="E760" s="7" t="str">
        <f>IFERROR(VLOOKUP(tbEscolas[[#This Row],[COD ETPA]],tbEtapas[],3,FALSE),"")</f>
        <v>EDUCAÇÃO INFANTIL</v>
      </c>
      <c r="F760" s="7" t="s">
        <v>125</v>
      </c>
    </row>
    <row r="761" spans="1:6" x14ac:dyDescent="0.25">
      <c r="A761" s="7" t="str" cm="1">
        <f t="array" ref="A761">IFERROR(INDEX(tbNucleo[ESCOLA],ROUNDUP(ROW(A760)/TotalEtapas,0)),"")</f>
        <v>E.E 12 DE OUTUBRO ANEXA CLARINOPOLIS</v>
      </c>
      <c r="B761" s="7" t="s">
        <v>115</v>
      </c>
      <c r="C761" s="7" cm="1">
        <f t="array" ref="C761">IF(A761="","",INDEX(tbEtapas[Nº],MOD(ROW(A760)-1,TotalEtapas)+1))</f>
        <v>4</v>
      </c>
      <c r="D761" s="7" t="str">
        <f>IFERROR(VLOOKUP(tbEscolas[[#This Row],[COD ETPA]],tbEtapas[],2,FALSE),"")</f>
        <v>PRE II</v>
      </c>
      <c r="E761" s="7" t="str">
        <f>IFERROR(VLOOKUP(tbEscolas[[#This Row],[COD ETPA]],tbEtapas[],3,FALSE),"")</f>
        <v>EDUCAÇÃO INFANTIL</v>
      </c>
      <c r="F761" s="7" t="s">
        <v>125</v>
      </c>
    </row>
    <row r="762" spans="1:6" x14ac:dyDescent="0.25">
      <c r="A762" s="7" t="str" cm="1">
        <f t="array" ref="A762">IFERROR(INDEX(tbNucleo[ESCOLA],ROUNDUP(ROW(A761)/TotalEtapas,0)),"")</f>
        <v>E.E 12 DE OUTUBRO ANEXA CLARINOPOLIS</v>
      </c>
      <c r="B762" s="7" t="s">
        <v>115</v>
      </c>
      <c r="C762" s="7" cm="1">
        <f t="array" ref="C762">IF(A762="","",INDEX(tbEtapas[Nº],MOD(ROW(A761)-1,TotalEtapas)+1))</f>
        <v>5</v>
      </c>
      <c r="D762" s="7" t="str">
        <f>IFERROR(VLOOKUP(tbEscolas[[#This Row],[COD ETPA]],tbEtapas[],2,FALSE),"")</f>
        <v>1º ANO</v>
      </c>
      <c r="E762" s="7" t="str">
        <f>IFERROR(VLOOKUP(tbEscolas[[#This Row],[COD ETPA]],tbEtapas[],3,FALSE),"")</f>
        <v>FUNDAMENTAL</v>
      </c>
      <c r="F762" s="7" t="s">
        <v>125</v>
      </c>
    </row>
    <row r="763" spans="1:6" x14ac:dyDescent="0.25">
      <c r="A763" s="7" t="str" cm="1">
        <f t="array" ref="A763">IFERROR(INDEX(tbNucleo[ESCOLA],ROUNDUP(ROW(A762)/TotalEtapas,0)),"")</f>
        <v>E.E 12 DE OUTUBRO ANEXA CLARINOPOLIS</v>
      </c>
      <c r="B763" s="7" t="s">
        <v>115</v>
      </c>
      <c r="C763" s="7" cm="1">
        <f t="array" ref="C763">IF(A763="","",INDEX(tbEtapas[Nº],MOD(ROW(A762)-1,TotalEtapas)+1))</f>
        <v>6</v>
      </c>
      <c r="D763" s="7" t="str">
        <f>IFERROR(VLOOKUP(tbEscolas[[#This Row],[COD ETPA]],tbEtapas[],2,FALSE),"")</f>
        <v>2º ANO</v>
      </c>
      <c r="E763" s="7" t="str">
        <f>IFERROR(VLOOKUP(tbEscolas[[#This Row],[COD ETPA]],tbEtapas[],3,FALSE),"")</f>
        <v>FUNDAMENTAL</v>
      </c>
      <c r="F763" s="7" t="s">
        <v>125</v>
      </c>
    </row>
    <row r="764" spans="1:6" x14ac:dyDescent="0.25">
      <c r="A764" s="7" t="str" cm="1">
        <f t="array" ref="A764">IFERROR(INDEX(tbNucleo[ESCOLA],ROUNDUP(ROW(A763)/TotalEtapas,0)),"")</f>
        <v>E.E 12 DE OUTUBRO ANEXA CLARINOPOLIS</v>
      </c>
      <c r="B764" s="7" t="s">
        <v>115</v>
      </c>
      <c r="C764" s="7" cm="1">
        <f t="array" ref="C764">IF(A764="","",INDEX(tbEtapas[Nº],MOD(ROW(A763)-1,TotalEtapas)+1))</f>
        <v>7</v>
      </c>
      <c r="D764" s="7" t="str">
        <f>IFERROR(VLOOKUP(tbEscolas[[#This Row],[COD ETPA]],tbEtapas[],2,FALSE),"")</f>
        <v>3º ANO</v>
      </c>
      <c r="E764" s="7" t="str">
        <f>IFERROR(VLOOKUP(tbEscolas[[#This Row],[COD ETPA]],tbEtapas[],3,FALSE),"")</f>
        <v>FUNDAMENTAL</v>
      </c>
      <c r="F764" s="7" t="s">
        <v>125</v>
      </c>
    </row>
    <row r="765" spans="1:6" x14ac:dyDescent="0.25">
      <c r="A765" s="7" t="str" cm="1">
        <f t="array" ref="A765">IFERROR(INDEX(tbNucleo[ESCOLA],ROUNDUP(ROW(A764)/TotalEtapas,0)),"")</f>
        <v>E.E 12 DE OUTUBRO ANEXA CLARINOPOLIS</v>
      </c>
      <c r="B765" s="7" t="s">
        <v>115</v>
      </c>
      <c r="C765" s="7" cm="1">
        <f t="array" ref="C765">IF(A765="","",INDEX(tbEtapas[Nº],MOD(ROW(A764)-1,TotalEtapas)+1))</f>
        <v>8</v>
      </c>
      <c r="D765" s="7" t="str">
        <f>IFERROR(VLOOKUP(tbEscolas[[#This Row],[COD ETPA]],tbEtapas[],2,FALSE),"")</f>
        <v>4º ANO</v>
      </c>
      <c r="E765" s="7" t="str">
        <f>IFERROR(VLOOKUP(tbEscolas[[#This Row],[COD ETPA]],tbEtapas[],3,FALSE),"")</f>
        <v>FUNDAMENTAL</v>
      </c>
      <c r="F765" s="7" t="s">
        <v>125</v>
      </c>
    </row>
    <row r="766" spans="1:6" x14ac:dyDescent="0.25">
      <c r="A766" s="7" t="str" cm="1">
        <f t="array" ref="A766">IFERROR(INDEX(tbNucleo[ESCOLA],ROUNDUP(ROW(A765)/TotalEtapas,0)),"")</f>
        <v>E.E 12 DE OUTUBRO ANEXA CLARINOPOLIS</v>
      </c>
      <c r="B766" s="7" t="s">
        <v>115</v>
      </c>
      <c r="C766" s="7" cm="1">
        <f t="array" ref="C766">IF(A766="","",INDEX(tbEtapas[Nº],MOD(ROW(A765)-1,TotalEtapas)+1))</f>
        <v>9</v>
      </c>
      <c r="D766" s="7" t="str">
        <f>IFERROR(VLOOKUP(tbEscolas[[#This Row],[COD ETPA]],tbEtapas[],2,FALSE),"")</f>
        <v>5º ANO</v>
      </c>
      <c r="E766" s="7" t="str">
        <f>IFERROR(VLOOKUP(tbEscolas[[#This Row],[COD ETPA]],tbEtapas[],3,FALSE),"")</f>
        <v>FUNDAMENTAL</v>
      </c>
      <c r="F766" s="7" t="s">
        <v>125</v>
      </c>
    </row>
    <row r="767" spans="1:6" x14ac:dyDescent="0.25">
      <c r="A767" s="7" t="str" cm="1">
        <f t="array" ref="A767">IFERROR(INDEX(tbNucleo[ESCOLA],ROUNDUP(ROW(A766)/TotalEtapas,0)),"")</f>
        <v>E.E 12 DE OUTUBRO ANEXA CLARINOPOLIS</v>
      </c>
      <c r="B767" s="7" t="s">
        <v>115</v>
      </c>
      <c r="C767" s="7" cm="1">
        <f t="array" ref="C767">IF(A767="","",INDEX(tbEtapas[Nº],MOD(ROW(A766)-1,TotalEtapas)+1))</f>
        <v>10</v>
      </c>
      <c r="D767" s="7" t="str">
        <f>IFERROR(VLOOKUP(tbEscolas[[#This Row],[COD ETPA]],tbEtapas[],2,FALSE),"")</f>
        <v>6º ANO</v>
      </c>
      <c r="E767" s="7" t="str">
        <f>IFERROR(VLOOKUP(tbEscolas[[#This Row],[COD ETPA]],tbEtapas[],3,FALSE),"")</f>
        <v>FUNDAMENTAL</v>
      </c>
      <c r="F767" s="7" t="s">
        <v>126</v>
      </c>
    </row>
    <row r="768" spans="1:6" x14ac:dyDescent="0.25">
      <c r="A768" s="7" t="str" cm="1">
        <f t="array" ref="A768">IFERROR(INDEX(tbNucleo[ESCOLA],ROUNDUP(ROW(A767)/TotalEtapas,0)),"")</f>
        <v>E.E 12 DE OUTUBRO ANEXA CLARINOPOLIS</v>
      </c>
      <c r="B768" s="7" t="s">
        <v>115</v>
      </c>
      <c r="C768" s="7" cm="1">
        <f t="array" ref="C768">IF(A768="","",INDEX(tbEtapas[Nº],MOD(ROW(A767)-1,TotalEtapas)+1))</f>
        <v>11</v>
      </c>
      <c r="D768" s="7" t="str">
        <f>IFERROR(VLOOKUP(tbEscolas[[#This Row],[COD ETPA]],tbEtapas[],2,FALSE),"")</f>
        <v>7º ANO</v>
      </c>
      <c r="E768" s="7" t="str">
        <f>IFERROR(VLOOKUP(tbEscolas[[#This Row],[COD ETPA]],tbEtapas[],3,FALSE),"")</f>
        <v>FUNDAMENTAL</v>
      </c>
      <c r="F768" s="7" t="s">
        <v>126</v>
      </c>
    </row>
    <row r="769" spans="1:6" x14ac:dyDescent="0.25">
      <c r="A769" s="7" t="str" cm="1">
        <f t="array" ref="A769">IFERROR(INDEX(tbNucleo[ESCOLA],ROUNDUP(ROW(A768)/TotalEtapas,0)),"")</f>
        <v>E.E 12 DE OUTUBRO ANEXA CLARINOPOLIS</v>
      </c>
      <c r="B769" s="7" t="s">
        <v>115</v>
      </c>
      <c r="C769" s="7" cm="1">
        <f t="array" ref="C769">IF(A769="","",INDEX(tbEtapas[Nº],MOD(ROW(A768)-1,TotalEtapas)+1))</f>
        <v>12</v>
      </c>
      <c r="D769" s="7" t="str">
        <f>IFERROR(VLOOKUP(tbEscolas[[#This Row],[COD ETPA]],tbEtapas[],2,FALSE),"")</f>
        <v>8º ANO</v>
      </c>
      <c r="E769" s="7" t="str">
        <f>IFERROR(VLOOKUP(tbEscolas[[#This Row],[COD ETPA]],tbEtapas[],3,FALSE),"")</f>
        <v>FUNDAMENTAL</v>
      </c>
      <c r="F769" s="7" t="s">
        <v>126</v>
      </c>
    </row>
    <row r="770" spans="1:6" x14ac:dyDescent="0.25">
      <c r="A770" s="7" t="str" cm="1">
        <f t="array" ref="A770">IFERROR(INDEX(tbNucleo[ESCOLA],ROUNDUP(ROW(A769)/TotalEtapas,0)),"")</f>
        <v>E.E 12 DE OUTUBRO ANEXA CLARINOPOLIS</v>
      </c>
      <c r="B770" s="7" t="s">
        <v>115</v>
      </c>
      <c r="C770" s="7" cm="1">
        <f t="array" ref="C770">IF(A770="","",INDEX(tbEtapas[Nº],MOD(ROW(A769)-1,TotalEtapas)+1))</f>
        <v>13</v>
      </c>
      <c r="D770" s="7" t="str">
        <f>IFERROR(VLOOKUP(tbEscolas[[#This Row],[COD ETPA]],tbEtapas[],2,FALSE),"")</f>
        <v>9º ANO</v>
      </c>
      <c r="E770" s="7" t="str">
        <f>IFERROR(VLOOKUP(tbEscolas[[#This Row],[COD ETPA]],tbEtapas[],3,FALSE),"")</f>
        <v>FUNDAMENTAL</v>
      </c>
      <c r="F770" s="7" t="s">
        <v>126</v>
      </c>
    </row>
    <row r="771" spans="1:6" x14ac:dyDescent="0.25">
      <c r="A771" s="7" t="str" cm="1">
        <f t="array" ref="A771">IFERROR(INDEX(tbNucleo[ESCOLA],ROUNDUP(ROW(A770)/TotalEtapas,0)),"")</f>
        <v>E.E 12 DE OUTUBRO ANEXA CLARINOPOLIS</v>
      </c>
      <c r="B771" s="7" t="s">
        <v>115</v>
      </c>
      <c r="C771" s="7">
        <v>14</v>
      </c>
      <c r="D771" s="7" t="str">
        <f>IFERROR(VLOOKUP(tbEscolas[[#This Row],[COD ETPA]],tbEtapas[],2,FALSE),"")</f>
        <v>1º ANO</v>
      </c>
      <c r="E771" s="7" t="str">
        <f>IFERROR(VLOOKUP(tbEscolas[[#This Row],[COD ETPA]],tbEtapas[],3,FALSE),"")</f>
        <v>ENSINO MÉDIO</v>
      </c>
      <c r="F771" s="7" t="s">
        <v>126</v>
      </c>
    </row>
    <row r="772" spans="1:6" x14ac:dyDescent="0.25">
      <c r="A772" s="7" t="str" cm="1">
        <f t="array" ref="A772">IFERROR(INDEX(tbNucleo[ESCOLA],ROUNDUP(ROW(A771)/TotalEtapas,0)),"")</f>
        <v>E.E 12 DE OUTUBRO ANEXA CLARINOPOLIS</v>
      </c>
      <c r="B772" s="7" t="s">
        <v>115</v>
      </c>
      <c r="C772" s="7">
        <v>15</v>
      </c>
      <c r="D772" s="7" t="str">
        <f>IFERROR(VLOOKUP(tbEscolas[[#This Row],[COD ETPA]],tbEtapas[],2,FALSE),"")</f>
        <v>2º ANO</v>
      </c>
      <c r="E772" s="7" t="str">
        <f>IFERROR(VLOOKUP(tbEscolas[[#This Row],[COD ETPA]],tbEtapas[],3,FALSE),"")</f>
        <v>ENSINO MÉDIO</v>
      </c>
      <c r="F772" s="7" t="s">
        <v>126</v>
      </c>
    </row>
    <row r="773" spans="1:6" x14ac:dyDescent="0.25">
      <c r="A773" s="7" t="str" cm="1">
        <f t="array" ref="A773">IFERROR(INDEX(tbNucleo[ESCOLA],ROUNDUP(ROW(A772)/TotalEtapas,0)),"")</f>
        <v>E.E 12 DE OUTUBRO ANEXA CLARINOPOLIS</v>
      </c>
      <c r="B773" s="7" t="s">
        <v>115</v>
      </c>
      <c r="C773" s="7">
        <v>16</v>
      </c>
      <c r="D773" s="7" t="str">
        <f>IFERROR(VLOOKUP(tbEscolas[[#This Row],[COD ETPA]],tbEtapas[],2,FALSE),"")</f>
        <v>3º ANO</v>
      </c>
      <c r="E773" s="7" t="str">
        <f>IFERROR(VLOOKUP(tbEscolas[[#This Row],[COD ETPA]],tbEtapas[],3,FALSE),"")</f>
        <v>ENSINO MÉDIO</v>
      </c>
      <c r="F773" s="7" t="s">
        <v>126</v>
      </c>
    </row>
    <row r="774" spans="1:6" x14ac:dyDescent="0.25">
      <c r="A774" s="7" t="str" cm="1">
        <f t="array" ref="A774">IFERROR(INDEX(tbNucleo[ESCOLA],ROUNDUP(ROW(A773)/TotalEtapas,0)),"")</f>
        <v>E.E 12 DE OUTUBRO ANEXA CLARINOPOLIS</v>
      </c>
      <c r="B774" s="7" t="s">
        <v>115</v>
      </c>
      <c r="C774" s="7">
        <v>17</v>
      </c>
      <c r="D774" s="7" t="str">
        <f>IFERROR(VLOOKUP(tbEscolas[[#This Row],[COD ETPA]],tbEtapas[],2,FALSE),"")</f>
        <v>EJA I</v>
      </c>
      <c r="E774" s="7" t="str">
        <f>IFERROR(VLOOKUP(tbEscolas[[#This Row],[COD ETPA]],tbEtapas[],3,FALSE),"")</f>
        <v>FUNDAMENTAL</v>
      </c>
      <c r="F774" s="7" t="s">
        <v>125</v>
      </c>
    </row>
    <row r="775" spans="1:6" x14ac:dyDescent="0.25">
      <c r="A775" s="7" t="str" cm="1">
        <f t="array" ref="A775">IFERROR(INDEX(tbNucleo[ESCOLA],ROUNDUP(ROW(A774)/TotalEtapas,0)),"")</f>
        <v>E.E 12 DE OUTUBRO ANEXA CLARINOPOLIS</v>
      </c>
      <c r="B775" s="7" t="s">
        <v>115</v>
      </c>
      <c r="C775" s="7">
        <v>18</v>
      </c>
      <c r="D775" s="7" t="str">
        <f>IFERROR(VLOOKUP(tbEscolas[[#This Row],[COD ETPA]],tbEtapas[],2,FALSE),"")</f>
        <v>EJA II</v>
      </c>
      <c r="E775" s="7" t="str">
        <f>IFERROR(VLOOKUP(tbEscolas[[#This Row],[COD ETPA]],tbEtapas[],3,FALSE),"")</f>
        <v>ENSINO MÉDIO</v>
      </c>
      <c r="F775" s="7" t="s">
        <v>125</v>
      </c>
    </row>
    <row r="776" spans="1:6" x14ac:dyDescent="0.25">
      <c r="A776" s="3" t="str" cm="1">
        <f t="array" ref="A776">IFERROR(INDEX(tbNucleo[ESCOLA],ROUNDUP(ROW(A775)/TotalEtapas,0)),"")</f>
        <v>E.E 12 DE OUTUBRO ANEXA SOTECO</v>
      </c>
      <c r="B776" s="3" t="s">
        <v>110</v>
      </c>
      <c r="C776" s="3" cm="1">
        <f t="array" ref="C776">IF(A776="","",INDEX(tbEtapas[Nº],MOD(ROW(A775)-1,TotalEtapas)+1))</f>
        <v>1</v>
      </c>
      <c r="D776" s="3" t="str">
        <f>IFERROR(VLOOKUP(tbEscolas[[#This Row],[COD ETPA]],tbEtapas[],2,FALSE),"")</f>
        <v>CRECHE I</v>
      </c>
      <c r="E776" s="3" t="str">
        <f>IFERROR(VLOOKUP(tbEscolas[[#This Row],[COD ETPA]],tbEtapas[],3,FALSE),"")</f>
        <v>EDUCAÇÃO INFANTIL</v>
      </c>
      <c r="F776" s="3" t="s">
        <v>125</v>
      </c>
    </row>
    <row r="777" spans="1:6" x14ac:dyDescent="0.25">
      <c r="A777" s="3" t="str" cm="1">
        <f t="array" ref="A777">IFERROR(INDEX(tbNucleo[ESCOLA],ROUNDUP(ROW(A776)/TotalEtapas,0)),"")</f>
        <v>E.E 12 DE OUTUBRO ANEXA SOTECO</v>
      </c>
      <c r="B777" s="3" t="s">
        <v>110</v>
      </c>
      <c r="C777" s="3" cm="1">
        <f t="array" ref="C777">IF(A777="","",INDEX(tbEtapas[Nº],MOD(ROW(A776)-1,TotalEtapas)+1))</f>
        <v>2</v>
      </c>
      <c r="D777" s="3" t="str">
        <f>IFERROR(VLOOKUP(tbEscolas[[#This Row],[COD ETPA]],tbEtapas[],2,FALSE),"")</f>
        <v>CRECHE II</v>
      </c>
      <c r="E777" s="3" t="str">
        <f>IFERROR(VLOOKUP(tbEscolas[[#This Row],[COD ETPA]],tbEtapas[],3,FALSE),"")</f>
        <v>EDUCAÇÃO INFANTIL</v>
      </c>
      <c r="F777" s="3" t="s">
        <v>125</v>
      </c>
    </row>
    <row r="778" spans="1:6" x14ac:dyDescent="0.25">
      <c r="A778" s="3" t="str" cm="1">
        <f t="array" ref="A778">IFERROR(INDEX(tbNucleo[ESCOLA],ROUNDUP(ROW(A777)/TotalEtapas,0)),"")</f>
        <v>E.E 12 DE OUTUBRO ANEXA SOTECO</v>
      </c>
      <c r="B778" s="3" t="s">
        <v>110</v>
      </c>
      <c r="C778" s="3" cm="1">
        <f t="array" ref="C778">IF(A778="","",INDEX(tbEtapas[Nº],MOD(ROW(A777)-1,TotalEtapas)+1))</f>
        <v>3</v>
      </c>
      <c r="D778" s="3" t="str">
        <f>IFERROR(VLOOKUP(tbEscolas[[#This Row],[COD ETPA]],tbEtapas[],2,FALSE),"")</f>
        <v>PRE I</v>
      </c>
      <c r="E778" s="3" t="str">
        <f>IFERROR(VLOOKUP(tbEscolas[[#This Row],[COD ETPA]],tbEtapas[],3,FALSE),"")</f>
        <v>EDUCAÇÃO INFANTIL</v>
      </c>
      <c r="F778" s="3" t="s">
        <v>125</v>
      </c>
    </row>
    <row r="779" spans="1:6" x14ac:dyDescent="0.25">
      <c r="A779" s="3" t="str" cm="1">
        <f t="array" ref="A779">IFERROR(INDEX(tbNucleo[ESCOLA],ROUNDUP(ROW(A778)/TotalEtapas,0)),"")</f>
        <v>E.E 12 DE OUTUBRO ANEXA SOTECO</v>
      </c>
      <c r="B779" s="3" t="s">
        <v>110</v>
      </c>
      <c r="C779" s="3" cm="1">
        <f t="array" ref="C779">IF(A779="","",INDEX(tbEtapas[Nº],MOD(ROW(A778)-1,TotalEtapas)+1))</f>
        <v>4</v>
      </c>
      <c r="D779" s="3" t="str">
        <f>IFERROR(VLOOKUP(tbEscolas[[#This Row],[COD ETPA]],tbEtapas[],2,FALSE),"")</f>
        <v>PRE II</v>
      </c>
      <c r="E779" s="3" t="str">
        <f>IFERROR(VLOOKUP(tbEscolas[[#This Row],[COD ETPA]],tbEtapas[],3,FALSE),"")</f>
        <v>EDUCAÇÃO INFANTIL</v>
      </c>
      <c r="F779" s="3" t="s">
        <v>125</v>
      </c>
    </row>
    <row r="780" spans="1:6" x14ac:dyDescent="0.25">
      <c r="A780" s="3" t="str" cm="1">
        <f t="array" ref="A780">IFERROR(INDEX(tbNucleo[ESCOLA],ROUNDUP(ROW(A779)/TotalEtapas,0)),"")</f>
        <v>E.E 12 DE OUTUBRO ANEXA SOTECO</v>
      </c>
      <c r="B780" s="3" t="s">
        <v>110</v>
      </c>
      <c r="C780" s="3" cm="1">
        <f t="array" ref="C780">IF(A780="","",INDEX(tbEtapas[Nº],MOD(ROW(A779)-1,TotalEtapas)+1))</f>
        <v>5</v>
      </c>
      <c r="D780" s="3" t="str">
        <f>IFERROR(VLOOKUP(tbEscolas[[#This Row],[COD ETPA]],tbEtapas[],2,FALSE),"")</f>
        <v>1º ANO</v>
      </c>
      <c r="E780" s="3" t="str">
        <f>IFERROR(VLOOKUP(tbEscolas[[#This Row],[COD ETPA]],tbEtapas[],3,FALSE),"")</f>
        <v>FUNDAMENTAL</v>
      </c>
      <c r="F780" s="3" t="s">
        <v>125</v>
      </c>
    </row>
    <row r="781" spans="1:6" x14ac:dyDescent="0.25">
      <c r="A781" s="3" t="str" cm="1">
        <f t="array" ref="A781">IFERROR(INDEX(tbNucleo[ESCOLA],ROUNDUP(ROW(A780)/TotalEtapas,0)),"")</f>
        <v>E.E 12 DE OUTUBRO ANEXA SOTECO</v>
      </c>
      <c r="B781" s="3" t="s">
        <v>110</v>
      </c>
      <c r="C781" s="3" cm="1">
        <f t="array" ref="C781">IF(A781="","",INDEX(tbEtapas[Nº],MOD(ROW(A780)-1,TotalEtapas)+1))</f>
        <v>6</v>
      </c>
      <c r="D781" s="3" t="str">
        <f>IFERROR(VLOOKUP(tbEscolas[[#This Row],[COD ETPA]],tbEtapas[],2,FALSE),"")</f>
        <v>2º ANO</v>
      </c>
      <c r="E781" s="3" t="str">
        <f>IFERROR(VLOOKUP(tbEscolas[[#This Row],[COD ETPA]],tbEtapas[],3,FALSE),"")</f>
        <v>FUNDAMENTAL</v>
      </c>
      <c r="F781" s="3" t="s">
        <v>125</v>
      </c>
    </row>
    <row r="782" spans="1:6" x14ac:dyDescent="0.25">
      <c r="A782" s="3" t="str" cm="1">
        <f t="array" ref="A782">IFERROR(INDEX(tbNucleo[ESCOLA],ROUNDUP(ROW(A781)/TotalEtapas,0)),"")</f>
        <v>E.E 12 DE OUTUBRO ANEXA SOTECO</v>
      </c>
      <c r="B782" s="3" t="s">
        <v>110</v>
      </c>
      <c r="C782" s="3" cm="1">
        <f t="array" ref="C782">IF(A782="","",INDEX(tbEtapas[Nº],MOD(ROW(A781)-1,TotalEtapas)+1))</f>
        <v>7</v>
      </c>
      <c r="D782" s="3" t="str">
        <f>IFERROR(VLOOKUP(tbEscolas[[#This Row],[COD ETPA]],tbEtapas[],2,FALSE),"")</f>
        <v>3º ANO</v>
      </c>
      <c r="E782" s="3" t="str">
        <f>IFERROR(VLOOKUP(tbEscolas[[#This Row],[COD ETPA]],tbEtapas[],3,FALSE),"")</f>
        <v>FUNDAMENTAL</v>
      </c>
      <c r="F782" s="3" t="s">
        <v>125</v>
      </c>
    </row>
    <row r="783" spans="1:6" x14ac:dyDescent="0.25">
      <c r="A783" s="3" t="str" cm="1">
        <f t="array" ref="A783">IFERROR(INDEX(tbNucleo[ESCOLA],ROUNDUP(ROW(A782)/TotalEtapas,0)),"")</f>
        <v>E.E 12 DE OUTUBRO ANEXA SOTECO</v>
      </c>
      <c r="B783" s="3" t="s">
        <v>110</v>
      </c>
      <c r="C783" s="3" cm="1">
        <f t="array" ref="C783">IF(A783="","",INDEX(tbEtapas[Nº],MOD(ROW(A782)-1,TotalEtapas)+1))</f>
        <v>8</v>
      </c>
      <c r="D783" s="3" t="str">
        <f>IFERROR(VLOOKUP(tbEscolas[[#This Row],[COD ETPA]],tbEtapas[],2,FALSE),"")</f>
        <v>4º ANO</v>
      </c>
      <c r="E783" s="3" t="str">
        <f>IFERROR(VLOOKUP(tbEscolas[[#This Row],[COD ETPA]],tbEtapas[],3,FALSE),"")</f>
        <v>FUNDAMENTAL</v>
      </c>
      <c r="F783" s="3" t="s">
        <v>125</v>
      </c>
    </row>
    <row r="784" spans="1:6" x14ac:dyDescent="0.25">
      <c r="A784" s="3" t="str" cm="1">
        <f t="array" ref="A784">IFERROR(INDEX(tbNucleo[ESCOLA],ROUNDUP(ROW(A783)/TotalEtapas,0)),"")</f>
        <v>E.E 12 DE OUTUBRO ANEXA SOTECO</v>
      </c>
      <c r="B784" s="3" t="s">
        <v>110</v>
      </c>
      <c r="C784" s="3" cm="1">
        <f t="array" ref="C784">IF(A784="","",INDEX(tbEtapas[Nº],MOD(ROW(A783)-1,TotalEtapas)+1))</f>
        <v>9</v>
      </c>
      <c r="D784" s="3" t="str">
        <f>IFERROR(VLOOKUP(tbEscolas[[#This Row],[COD ETPA]],tbEtapas[],2,FALSE),"")</f>
        <v>5º ANO</v>
      </c>
      <c r="E784" s="3" t="str">
        <f>IFERROR(VLOOKUP(tbEscolas[[#This Row],[COD ETPA]],tbEtapas[],3,FALSE),"")</f>
        <v>FUNDAMENTAL</v>
      </c>
      <c r="F784" s="3" t="s">
        <v>125</v>
      </c>
    </row>
    <row r="785" spans="1:6" x14ac:dyDescent="0.25">
      <c r="A785" s="3" t="str" cm="1">
        <f t="array" ref="A785">IFERROR(INDEX(tbNucleo[ESCOLA],ROUNDUP(ROW(A784)/TotalEtapas,0)),"")</f>
        <v>E.E 12 DE OUTUBRO ANEXA SOTECO</v>
      </c>
      <c r="B785" s="3" t="s">
        <v>110</v>
      </c>
      <c r="C785" s="3" cm="1">
        <f t="array" ref="C785">IF(A785="","",INDEX(tbEtapas[Nº],MOD(ROW(A784)-1,TotalEtapas)+1))</f>
        <v>10</v>
      </c>
      <c r="D785" s="3" t="str">
        <f>IFERROR(VLOOKUP(tbEscolas[[#This Row],[COD ETPA]],tbEtapas[],2,FALSE),"")</f>
        <v>6º ANO</v>
      </c>
      <c r="E785" s="3" t="str">
        <f>IFERROR(VLOOKUP(tbEscolas[[#This Row],[COD ETPA]],tbEtapas[],3,FALSE),"")</f>
        <v>FUNDAMENTAL</v>
      </c>
      <c r="F785" s="3" t="s">
        <v>126</v>
      </c>
    </row>
    <row r="786" spans="1:6" x14ac:dyDescent="0.25">
      <c r="A786" s="3" t="str" cm="1">
        <f t="array" ref="A786">IFERROR(INDEX(tbNucleo[ESCOLA],ROUNDUP(ROW(A785)/TotalEtapas,0)),"")</f>
        <v>E.E 12 DE OUTUBRO ANEXA SOTECO</v>
      </c>
      <c r="B786" s="3" t="s">
        <v>110</v>
      </c>
      <c r="C786" s="3" cm="1">
        <f t="array" ref="C786">IF(A786="","",INDEX(tbEtapas[Nº],MOD(ROW(A785)-1,TotalEtapas)+1))</f>
        <v>11</v>
      </c>
      <c r="D786" s="3" t="str">
        <f>IFERROR(VLOOKUP(tbEscolas[[#This Row],[COD ETPA]],tbEtapas[],2,FALSE),"")</f>
        <v>7º ANO</v>
      </c>
      <c r="E786" s="3" t="str">
        <f>IFERROR(VLOOKUP(tbEscolas[[#This Row],[COD ETPA]],tbEtapas[],3,FALSE),"")</f>
        <v>FUNDAMENTAL</v>
      </c>
      <c r="F786" s="3" t="s">
        <v>126</v>
      </c>
    </row>
    <row r="787" spans="1:6" x14ac:dyDescent="0.25">
      <c r="A787" s="3" t="str" cm="1">
        <f t="array" ref="A787">IFERROR(INDEX(tbNucleo[ESCOLA],ROUNDUP(ROW(A786)/TotalEtapas,0)),"")</f>
        <v>E.E 12 DE OUTUBRO ANEXA SOTECO</v>
      </c>
      <c r="B787" s="3" t="s">
        <v>110</v>
      </c>
      <c r="C787" s="3" cm="1">
        <f t="array" ref="C787">IF(A787="","",INDEX(tbEtapas[Nº],MOD(ROW(A786)-1,TotalEtapas)+1))</f>
        <v>12</v>
      </c>
      <c r="D787" s="3" t="str">
        <f>IFERROR(VLOOKUP(tbEscolas[[#This Row],[COD ETPA]],tbEtapas[],2,FALSE),"")</f>
        <v>8º ANO</v>
      </c>
      <c r="E787" s="3" t="str">
        <f>IFERROR(VLOOKUP(tbEscolas[[#This Row],[COD ETPA]],tbEtapas[],3,FALSE),"")</f>
        <v>FUNDAMENTAL</v>
      </c>
      <c r="F787" s="3" t="s">
        <v>126</v>
      </c>
    </row>
    <row r="788" spans="1:6" x14ac:dyDescent="0.25">
      <c r="A788" s="3" t="str" cm="1">
        <f t="array" ref="A788">IFERROR(INDEX(tbNucleo[ESCOLA],ROUNDUP(ROW(A787)/TotalEtapas,0)),"")</f>
        <v>E.E 12 DE OUTUBRO ANEXA SOTECO</v>
      </c>
      <c r="B788" s="3" t="s">
        <v>110</v>
      </c>
      <c r="C788" s="3" cm="1">
        <f t="array" ref="C788">IF(A788="","",INDEX(tbEtapas[Nº],MOD(ROW(A787)-1,TotalEtapas)+1))</f>
        <v>13</v>
      </c>
      <c r="D788" s="3" t="str">
        <f>IFERROR(VLOOKUP(tbEscolas[[#This Row],[COD ETPA]],tbEtapas[],2,FALSE),"")</f>
        <v>9º ANO</v>
      </c>
      <c r="E788" s="3" t="str">
        <f>IFERROR(VLOOKUP(tbEscolas[[#This Row],[COD ETPA]],tbEtapas[],3,FALSE),"")</f>
        <v>FUNDAMENTAL</v>
      </c>
      <c r="F788" s="3" t="s">
        <v>126</v>
      </c>
    </row>
    <row r="789" spans="1:6" x14ac:dyDescent="0.25">
      <c r="A789" s="3" t="str" cm="1">
        <f t="array" ref="A789">IFERROR(INDEX(tbNucleo[ESCOLA],ROUNDUP(ROW(A788)/TotalEtapas,0)),"")</f>
        <v>E.E 12 DE OUTUBRO ANEXA SOTECO</v>
      </c>
      <c r="B789" s="3" t="s">
        <v>110</v>
      </c>
      <c r="C789" s="3">
        <v>14</v>
      </c>
      <c r="D789" s="3" t="str">
        <f>IFERROR(VLOOKUP(tbEscolas[[#This Row],[COD ETPA]],tbEtapas[],2,FALSE),"")</f>
        <v>1º ANO</v>
      </c>
      <c r="E789" s="3" t="str">
        <f>IFERROR(VLOOKUP(tbEscolas[[#This Row],[COD ETPA]],tbEtapas[],3,FALSE),"")</f>
        <v>ENSINO MÉDIO</v>
      </c>
      <c r="F789" s="3" t="s">
        <v>126</v>
      </c>
    </row>
    <row r="790" spans="1:6" x14ac:dyDescent="0.25">
      <c r="A790" s="3" t="str" cm="1">
        <f t="array" ref="A790">IFERROR(INDEX(tbNucleo[ESCOLA],ROUNDUP(ROW(A789)/TotalEtapas,0)),"")</f>
        <v>E.E 12 DE OUTUBRO ANEXA SOTECO</v>
      </c>
      <c r="B790" s="3" t="s">
        <v>110</v>
      </c>
      <c r="C790" s="3">
        <v>15</v>
      </c>
      <c r="D790" s="3" t="str">
        <f>IFERROR(VLOOKUP(tbEscolas[[#This Row],[COD ETPA]],tbEtapas[],2,FALSE),"")</f>
        <v>2º ANO</v>
      </c>
      <c r="E790" s="3" t="str">
        <f>IFERROR(VLOOKUP(tbEscolas[[#This Row],[COD ETPA]],tbEtapas[],3,FALSE),"")</f>
        <v>ENSINO MÉDIO</v>
      </c>
      <c r="F790" s="3" t="s">
        <v>126</v>
      </c>
    </row>
    <row r="791" spans="1:6" x14ac:dyDescent="0.25">
      <c r="A791" s="3" t="str" cm="1">
        <f t="array" ref="A791">IFERROR(INDEX(tbNucleo[ESCOLA],ROUNDUP(ROW(A790)/TotalEtapas,0)),"")</f>
        <v>E.E 12 DE OUTUBRO ANEXA SOTECO</v>
      </c>
      <c r="B791" s="3" t="s">
        <v>110</v>
      </c>
      <c r="C791" s="3">
        <v>16</v>
      </c>
      <c r="D791" s="3" t="str">
        <f>IFERROR(VLOOKUP(tbEscolas[[#This Row],[COD ETPA]],tbEtapas[],2,FALSE),"")</f>
        <v>3º ANO</v>
      </c>
      <c r="E791" s="3" t="str">
        <f>IFERROR(VLOOKUP(tbEscolas[[#This Row],[COD ETPA]],tbEtapas[],3,FALSE),"")</f>
        <v>ENSINO MÉDIO</v>
      </c>
      <c r="F791" s="3" t="s">
        <v>126</v>
      </c>
    </row>
    <row r="792" spans="1:6" x14ac:dyDescent="0.25">
      <c r="A792" s="3" t="str" cm="1">
        <f t="array" ref="A792">IFERROR(INDEX(tbNucleo[ESCOLA],ROUNDUP(ROW(A791)/TotalEtapas,0)),"")</f>
        <v>E.E 12 DE OUTUBRO ANEXA SOTECO</v>
      </c>
      <c r="B792" s="3" t="s">
        <v>110</v>
      </c>
      <c r="C792" s="3">
        <v>17</v>
      </c>
      <c r="D792" s="3" t="str">
        <f>IFERROR(VLOOKUP(tbEscolas[[#This Row],[COD ETPA]],tbEtapas[],2,FALSE),"")</f>
        <v>EJA I</v>
      </c>
      <c r="E792" s="3" t="str">
        <f>IFERROR(VLOOKUP(tbEscolas[[#This Row],[COD ETPA]],tbEtapas[],3,FALSE),"")</f>
        <v>FUNDAMENTAL</v>
      </c>
      <c r="F792" s="3" t="s">
        <v>125</v>
      </c>
    </row>
    <row r="793" spans="1:6" x14ac:dyDescent="0.25">
      <c r="A793" s="3" t="str" cm="1">
        <f t="array" ref="A793">IFERROR(INDEX(tbNucleo[ESCOLA],ROUNDUP(ROW(A792)/TotalEtapas,0)),"")</f>
        <v>E.E 12 DE OUTUBRO ANEXA SOTECO</v>
      </c>
      <c r="B793" s="3" t="s">
        <v>110</v>
      </c>
      <c r="C793" s="3">
        <v>18</v>
      </c>
      <c r="D793" s="3" t="str">
        <f>IFERROR(VLOOKUP(tbEscolas[[#This Row],[COD ETPA]],tbEtapas[],2,FALSE),"")</f>
        <v>EJA II</v>
      </c>
      <c r="E793" s="3" t="str">
        <f>IFERROR(VLOOKUP(tbEscolas[[#This Row],[COD ETPA]],tbEtapas[],3,FALSE),"")</f>
        <v>ENSINO MÉDIO</v>
      </c>
      <c r="F793" s="3" t="s">
        <v>125</v>
      </c>
    </row>
    <row r="794" spans="1:6" x14ac:dyDescent="0.25">
      <c r="A794" s="5" t="str" cm="1">
        <f t="array" ref="A794">IFERROR(INDEX(tbNucleo[ESCOLA],ROUNDUP(ROW(A793)/TotalEtapas,0)),"")</f>
        <v>E.E JOÃO FLORENTINO SILVA NETO CARAMUJO</v>
      </c>
      <c r="B794" s="5" t="s">
        <v>116</v>
      </c>
      <c r="C794" s="5" cm="1">
        <f t="array" ref="C794">IF(A794="","",INDEX(tbEtapas[Nº],MOD(ROW(A793)-1,TotalEtapas)+1))</f>
        <v>1</v>
      </c>
      <c r="D794" s="5" t="str">
        <f>IFERROR(VLOOKUP(tbEscolas[[#This Row],[COD ETPA]],tbEtapas[],2,FALSE),"")</f>
        <v>CRECHE I</v>
      </c>
      <c r="E794" s="5" t="str">
        <f>IFERROR(VLOOKUP(tbEscolas[[#This Row],[COD ETPA]],tbEtapas[],3,FALSE),"")</f>
        <v>EDUCAÇÃO INFANTIL</v>
      </c>
      <c r="F794" s="5" t="s">
        <v>125</v>
      </c>
    </row>
    <row r="795" spans="1:6" x14ac:dyDescent="0.25">
      <c r="A795" s="5" t="str" cm="1">
        <f t="array" ref="A795">IFERROR(INDEX(tbNucleo[ESCOLA],ROUNDUP(ROW(A794)/TotalEtapas,0)),"")</f>
        <v>E.E JOÃO FLORENTINO SILVA NETO CARAMUJO</v>
      </c>
      <c r="B795" s="5" t="s">
        <v>116</v>
      </c>
      <c r="C795" s="5" cm="1">
        <f t="array" ref="C795">IF(A795="","",INDEX(tbEtapas[Nº],MOD(ROW(A794)-1,TotalEtapas)+1))</f>
        <v>2</v>
      </c>
      <c r="D795" s="5" t="str">
        <f>IFERROR(VLOOKUP(tbEscolas[[#This Row],[COD ETPA]],tbEtapas[],2,FALSE),"")</f>
        <v>CRECHE II</v>
      </c>
      <c r="E795" s="5" t="str">
        <f>IFERROR(VLOOKUP(tbEscolas[[#This Row],[COD ETPA]],tbEtapas[],3,FALSE),"")</f>
        <v>EDUCAÇÃO INFANTIL</v>
      </c>
      <c r="F795" s="5" t="s">
        <v>125</v>
      </c>
    </row>
    <row r="796" spans="1:6" x14ac:dyDescent="0.25">
      <c r="A796" s="5" t="str" cm="1">
        <f t="array" ref="A796">IFERROR(INDEX(tbNucleo[ESCOLA],ROUNDUP(ROW(A795)/TotalEtapas,0)),"")</f>
        <v>E.E JOÃO FLORENTINO SILVA NETO CARAMUJO</v>
      </c>
      <c r="B796" s="5" t="s">
        <v>116</v>
      </c>
      <c r="C796" s="5" cm="1">
        <f t="array" ref="C796">IF(A796="","",INDEX(tbEtapas[Nº],MOD(ROW(A795)-1,TotalEtapas)+1))</f>
        <v>3</v>
      </c>
      <c r="D796" s="5" t="str">
        <f>IFERROR(VLOOKUP(tbEscolas[[#This Row],[COD ETPA]],tbEtapas[],2,FALSE),"")</f>
        <v>PRE I</v>
      </c>
      <c r="E796" s="5" t="str">
        <f>IFERROR(VLOOKUP(tbEscolas[[#This Row],[COD ETPA]],tbEtapas[],3,FALSE),"")</f>
        <v>EDUCAÇÃO INFANTIL</v>
      </c>
      <c r="F796" s="5" t="s">
        <v>125</v>
      </c>
    </row>
    <row r="797" spans="1:6" x14ac:dyDescent="0.25">
      <c r="A797" s="5" t="str" cm="1">
        <f t="array" ref="A797">IFERROR(INDEX(tbNucleo[ESCOLA],ROUNDUP(ROW(A796)/TotalEtapas,0)),"")</f>
        <v>E.E JOÃO FLORENTINO SILVA NETO CARAMUJO</v>
      </c>
      <c r="B797" s="5" t="s">
        <v>116</v>
      </c>
      <c r="C797" s="5" cm="1">
        <f t="array" ref="C797">IF(A797="","",INDEX(tbEtapas[Nº],MOD(ROW(A796)-1,TotalEtapas)+1))</f>
        <v>4</v>
      </c>
      <c r="D797" s="5" t="str">
        <f>IFERROR(VLOOKUP(tbEscolas[[#This Row],[COD ETPA]],tbEtapas[],2,FALSE),"")</f>
        <v>PRE II</v>
      </c>
      <c r="E797" s="5" t="str">
        <f>IFERROR(VLOOKUP(tbEscolas[[#This Row],[COD ETPA]],tbEtapas[],3,FALSE),"")</f>
        <v>EDUCAÇÃO INFANTIL</v>
      </c>
      <c r="F797" s="5" t="s">
        <v>125</v>
      </c>
    </row>
    <row r="798" spans="1:6" x14ac:dyDescent="0.25">
      <c r="A798" s="5" t="str" cm="1">
        <f t="array" ref="A798">IFERROR(INDEX(tbNucleo[ESCOLA],ROUNDUP(ROW(A797)/TotalEtapas,0)),"")</f>
        <v>E.E JOÃO FLORENTINO SILVA NETO CARAMUJO</v>
      </c>
      <c r="B798" s="5" t="s">
        <v>116</v>
      </c>
      <c r="C798" s="5" cm="1">
        <f t="array" ref="C798">IF(A798="","",INDEX(tbEtapas[Nº],MOD(ROW(A797)-1,TotalEtapas)+1))</f>
        <v>5</v>
      </c>
      <c r="D798" s="5" t="str">
        <f>IFERROR(VLOOKUP(tbEscolas[[#This Row],[COD ETPA]],tbEtapas[],2,FALSE),"")</f>
        <v>1º ANO</v>
      </c>
      <c r="E798" s="5" t="str">
        <f>IFERROR(VLOOKUP(tbEscolas[[#This Row],[COD ETPA]],tbEtapas[],3,FALSE),"")</f>
        <v>FUNDAMENTAL</v>
      </c>
      <c r="F798" s="5" t="s">
        <v>125</v>
      </c>
    </row>
    <row r="799" spans="1:6" x14ac:dyDescent="0.25">
      <c r="A799" s="5" t="str" cm="1">
        <f t="array" ref="A799">IFERROR(INDEX(tbNucleo[ESCOLA],ROUNDUP(ROW(A798)/TotalEtapas,0)),"")</f>
        <v>E.E JOÃO FLORENTINO SILVA NETO CARAMUJO</v>
      </c>
      <c r="B799" s="5" t="s">
        <v>116</v>
      </c>
      <c r="C799" s="5" cm="1">
        <f t="array" ref="C799">IF(A799="","",INDEX(tbEtapas[Nº],MOD(ROW(A798)-1,TotalEtapas)+1))</f>
        <v>6</v>
      </c>
      <c r="D799" s="5" t="str">
        <f>IFERROR(VLOOKUP(tbEscolas[[#This Row],[COD ETPA]],tbEtapas[],2,FALSE),"")</f>
        <v>2º ANO</v>
      </c>
      <c r="E799" s="5" t="str">
        <f>IFERROR(VLOOKUP(tbEscolas[[#This Row],[COD ETPA]],tbEtapas[],3,FALSE),"")</f>
        <v>FUNDAMENTAL</v>
      </c>
      <c r="F799" s="5" t="s">
        <v>125</v>
      </c>
    </row>
    <row r="800" spans="1:6" x14ac:dyDescent="0.25">
      <c r="A800" s="5" t="str" cm="1">
        <f t="array" ref="A800">IFERROR(INDEX(tbNucleo[ESCOLA],ROUNDUP(ROW(A799)/TotalEtapas,0)),"")</f>
        <v>E.E JOÃO FLORENTINO SILVA NETO CARAMUJO</v>
      </c>
      <c r="B800" s="5" t="s">
        <v>116</v>
      </c>
      <c r="C800" s="5" cm="1">
        <f t="array" ref="C800">IF(A800="","",INDEX(tbEtapas[Nº],MOD(ROW(A799)-1,TotalEtapas)+1))</f>
        <v>7</v>
      </c>
      <c r="D800" s="5" t="str">
        <f>IFERROR(VLOOKUP(tbEscolas[[#This Row],[COD ETPA]],tbEtapas[],2,FALSE),"")</f>
        <v>3º ANO</v>
      </c>
      <c r="E800" s="5" t="str">
        <f>IFERROR(VLOOKUP(tbEscolas[[#This Row],[COD ETPA]],tbEtapas[],3,FALSE),"")</f>
        <v>FUNDAMENTAL</v>
      </c>
      <c r="F800" s="5" t="s">
        <v>125</v>
      </c>
    </row>
    <row r="801" spans="1:6" x14ac:dyDescent="0.25">
      <c r="A801" s="5" t="str" cm="1">
        <f t="array" ref="A801">IFERROR(INDEX(tbNucleo[ESCOLA],ROUNDUP(ROW(A800)/TotalEtapas,0)),"")</f>
        <v>E.E JOÃO FLORENTINO SILVA NETO CARAMUJO</v>
      </c>
      <c r="B801" s="5" t="s">
        <v>116</v>
      </c>
      <c r="C801" s="5" cm="1">
        <f t="array" ref="C801">IF(A801="","",INDEX(tbEtapas[Nº],MOD(ROW(A800)-1,TotalEtapas)+1))</f>
        <v>8</v>
      </c>
      <c r="D801" s="5" t="str">
        <f>IFERROR(VLOOKUP(tbEscolas[[#This Row],[COD ETPA]],tbEtapas[],2,FALSE),"")</f>
        <v>4º ANO</v>
      </c>
      <c r="E801" s="5" t="str">
        <f>IFERROR(VLOOKUP(tbEscolas[[#This Row],[COD ETPA]],tbEtapas[],3,FALSE),"")</f>
        <v>FUNDAMENTAL</v>
      </c>
      <c r="F801" s="5" t="s">
        <v>125</v>
      </c>
    </row>
    <row r="802" spans="1:6" x14ac:dyDescent="0.25">
      <c r="A802" s="5" t="str" cm="1">
        <f t="array" ref="A802">IFERROR(INDEX(tbNucleo[ESCOLA],ROUNDUP(ROW(A801)/TotalEtapas,0)),"")</f>
        <v>E.E JOÃO FLORENTINO SILVA NETO CARAMUJO</v>
      </c>
      <c r="B802" s="5" t="s">
        <v>116</v>
      </c>
      <c r="C802" s="5" cm="1">
        <f t="array" ref="C802">IF(A802="","",INDEX(tbEtapas[Nº],MOD(ROW(A801)-1,TotalEtapas)+1))</f>
        <v>9</v>
      </c>
      <c r="D802" s="5" t="str">
        <f>IFERROR(VLOOKUP(tbEscolas[[#This Row],[COD ETPA]],tbEtapas[],2,FALSE),"")</f>
        <v>5º ANO</v>
      </c>
      <c r="E802" s="5" t="str">
        <f>IFERROR(VLOOKUP(tbEscolas[[#This Row],[COD ETPA]],tbEtapas[],3,FALSE),"")</f>
        <v>FUNDAMENTAL</v>
      </c>
      <c r="F802" s="5" t="s">
        <v>125</v>
      </c>
    </row>
    <row r="803" spans="1:6" x14ac:dyDescent="0.25">
      <c r="A803" s="5" t="str" cm="1">
        <f t="array" ref="A803">IFERROR(INDEX(tbNucleo[ESCOLA],ROUNDUP(ROW(A802)/TotalEtapas,0)),"")</f>
        <v>E.E JOÃO FLORENTINO SILVA NETO CARAMUJO</v>
      </c>
      <c r="B803" s="5" t="s">
        <v>116</v>
      </c>
      <c r="C803" s="5" cm="1">
        <f t="array" ref="C803">IF(A803="","",INDEX(tbEtapas[Nº],MOD(ROW(A802)-1,TotalEtapas)+1))</f>
        <v>10</v>
      </c>
      <c r="D803" s="5" t="str">
        <f>IFERROR(VLOOKUP(tbEscolas[[#This Row],[COD ETPA]],tbEtapas[],2,FALSE),"")</f>
        <v>6º ANO</v>
      </c>
      <c r="E803" s="5" t="str">
        <f>IFERROR(VLOOKUP(tbEscolas[[#This Row],[COD ETPA]],tbEtapas[],3,FALSE),"")</f>
        <v>FUNDAMENTAL</v>
      </c>
      <c r="F803" s="5" t="s">
        <v>126</v>
      </c>
    </row>
    <row r="804" spans="1:6" x14ac:dyDescent="0.25">
      <c r="A804" s="5" t="str" cm="1">
        <f t="array" ref="A804">IFERROR(INDEX(tbNucleo[ESCOLA],ROUNDUP(ROW(A803)/TotalEtapas,0)),"")</f>
        <v>E.E JOÃO FLORENTINO SILVA NETO CARAMUJO</v>
      </c>
      <c r="B804" s="5" t="s">
        <v>116</v>
      </c>
      <c r="C804" s="5" cm="1">
        <f t="array" ref="C804">IF(A804="","",INDEX(tbEtapas[Nº],MOD(ROW(A803)-1,TotalEtapas)+1))</f>
        <v>11</v>
      </c>
      <c r="D804" s="5" t="str">
        <f>IFERROR(VLOOKUP(tbEscolas[[#This Row],[COD ETPA]],tbEtapas[],2,FALSE),"")</f>
        <v>7º ANO</v>
      </c>
      <c r="E804" s="5" t="str">
        <f>IFERROR(VLOOKUP(tbEscolas[[#This Row],[COD ETPA]],tbEtapas[],3,FALSE),"")</f>
        <v>FUNDAMENTAL</v>
      </c>
      <c r="F804" s="5" t="s">
        <v>126</v>
      </c>
    </row>
    <row r="805" spans="1:6" x14ac:dyDescent="0.25">
      <c r="A805" s="5" t="str" cm="1">
        <f t="array" ref="A805">IFERROR(INDEX(tbNucleo[ESCOLA],ROUNDUP(ROW(A804)/TotalEtapas,0)),"")</f>
        <v>E.E JOÃO FLORENTINO SILVA NETO CARAMUJO</v>
      </c>
      <c r="B805" s="5" t="s">
        <v>116</v>
      </c>
      <c r="C805" s="5" cm="1">
        <f t="array" ref="C805">IF(A805="","",INDEX(tbEtapas[Nº],MOD(ROW(A804)-1,TotalEtapas)+1))</f>
        <v>12</v>
      </c>
      <c r="D805" s="5" t="str">
        <f>IFERROR(VLOOKUP(tbEscolas[[#This Row],[COD ETPA]],tbEtapas[],2,FALSE),"")</f>
        <v>8º ANO</v>
      </c>
      <c r="E805" s="5" t="str">
        <f>IFERROR(VLOOKUP(tbEscolas[[#This Row],[COD ETPA]],tbEtapas[],3,FALSE),"")</f>
        <v>FUNDAMENTAL</v>
      </c>
      <c r="F805" s="5" t="s">
        <v>126</v>
      </c>
    </row>
    <row r="806" spans="1:6" x14ac:dyDescent="0.25">
      <c r="A806" s="5" t="str" cm="1">
        <f t="array" ref="A806">IFERROR(INDEX(tbNucleo[ESCOLA],ROUNDUP(ROW(A805)/TotalEtapas,0)),"")</f>
        <v>E.E JOÃO FLORENTINO SILVA NETO CARAMUJO</v>
      </c>
      <c r="B806" s="5" t="s">
        <v>116</v>
      </c>
      <c r="C806" s="5" cm="1">
        <f t="array" ref="C806">IF(A806="","",INDEX(tbEtapas[Nº],MOD(ROW(A805)-1,TotalEtapas)+1))</f>
        <v>13</v>
      </c>
      <c r="D806" s="5" t="str">
        <f>IFERROR(VLOOKUP(tbEscolas[[#This Row],[COD ETPA]],tbEtapas[],2,FALSE),"")</f>
        <v>9º ANO</v>
      </c>
      <c r="E806" s="5" t="str">
        <f>IFERROR(VLOOKUP(tbEscolas[[#This Row],[COD ETPA]],tbEtapas[],3,FALSE),"")</f>
        <v>FUNDAMENTAL</v>
      </c>
      <c r="F806" s="5" t="s">
        <v>126</v>
      </c>
    </row>
    <row r="807" spans="1:6" x14ac:dyDescent="0.25">
      <c r="A807" s="5" t="str" cm="1">
        <f t="array" ref="A807">IFERROR(INDEX(tbNucleo[ESCOLA],ROUNDUP(ROW(A806)/TotalEtapas,0)),"")</f>
        <v>E.E JOÃO FLORENTINO SILVA NETO CARAMUJO</v>
      </c>
      <c r="B807" s="5" t="s">
        <v>116</v>
      </c>
      <c r="C807" s="5">
        <v>14</v>
      </c>
      <c r="D807" s="5" t="str">
        <f>IFERROR(VLOOKUP(tbEscolas[[#This Row],[COD ETPA]],tbEtapas[],2,FALSE),"")</f>
        <v>1º ANO</v>
      </c>
      <c r="E807" s="5" t="str">
        <f>IFERROR(VLOOKUP(tbEscolas[[#This Row],[COD ETPA]],tbEtapas[],3,FALSE),"")</f>
        <v>ENSINO MÉDIO</v>
      </c>
      <c r="F807" s="5" t="s">
        <v>126</v>
      </c>
    </row>
    <row r="808" spans="1:6" x14ac:dyDescent="0.25">
      <c r="A808" s="5" t="str" cm="1">
        <f t="array" ref="A808">IFERROR(INDEX(tbNucleo[ESCOLA],ROUNDUP(ROW(A807)/TotalEtapas,0)),"")</f>
        <v>E.E JOÃO FLORENTINO SILVA NETO CARAMUJO</v>
      </c>
      <c r="B808" s="5" t="s">
        <v>116</v>
      </c>
      <c r="C808" s="5">
        <v>15</v>
      </c>
      <c r="D808" s="5" t="str">
        <f>IFERROR(VLOOKUP(tbEscolas[[#This Row],[COD ETPA]],tbEtapas[],2,FALSE),"")</f>
        <v>2º ANO</v>
      </c>
      <c r="E808" s="5" t="str">
        <f>IFERROR(VLOOKUP(tbEscolas[[#This Row],[COD ETPA]],tbEtapas[],3,FALSE),"")</f>
        <v>ENSINO MÉDIO</v>
      </c>
      <c r="F808" s="5" t="s">
        <v>126</v>
      </c>
    </row>
    <row r="809" spans="1:6" x14ac:dyDescent="0.25">
      <c r="A809" s="5" t="str" cm="1">
        <f t="array" ref="A809">IFERROR(INDEX(tbNucleo[ESCOLA],ROUNDUP(ROW(A808)/TotalEtapas,0)),"")</f>
        <v>E.E JOÃO FLORENTINO SILVA NETO CARAMUJO</v>
      </c>
      <c r="B809" s="5" t="s">
        <v>116</v>
      </c>
      <c r="C809" s="5">
        <v>16</v>
      </c>
      <c r="D809" s="5" t="str">
        <f>IFERROR(VLOOKUP(tbEscolas[[#This Row],[COD ETPA]],tbEtapas[],2,FALSE),"")</f>
        <v>3º ANO</v>
      </c>
      <c r="E809" s="5" t="str">
        <f>IFERROR(VLOOKUP(tbEscolas[[#This Row],[COD ETPA]],tbEtapas[],3,FALSE),"")</f>
        <v>ENSINO MÉDIO</v>
      </c>
      <c r="F809" s="5" t="s">
        <v>126</v>
      </c>
    </row>
    <row r="810" spans="1:6" x14ac:dyDescent="0.25">
      <c r="A810" s="5" t="str" cm="1">
        <f t="array" ref="A810">IFERROR(INDEX(tbNucleo[ESCOLA],ROUNDUP(ROW(A809)/TotalEtapas,0)),"")</f>
        <v>E.E JOÃO FLORENTINO SILVA NETO CARAMUJO</v>
      </c>
      <c r="B810" s="5" t="s">
        <v>116</v>
      </c>
      <c r="C810" s="5">
        <v>17</v>
      </c>
      <c r="D810" s="5" t="str">
        <f>IFERROR(VLOOKUP(tbEscolas[[#This Row],[COD ETPA]],tbEtapas[],2,FALSE),"")</f>
        <v>EJA I</v>
      </c>
      <c r="E810" s="5" t="str">
        <f>IFERROR(VLOOKUP(tbEscolas[[#This Row],[COD ETPA]],tbEtapas[],3,FALSE),"")</f>
        <v>FUNDAMENTAL</v>
      </c>
      <c r="F810" s="5" t="s">
        <v>125</v>
      </c>
    </row>
    <row r="811" spans="1:6" x14ac:dyDescent="0.25">
      <c r="A811" s="5" t="str" cm="1">
        <f t="array" ref="A811">IFERROR(INDEX(tbNucleo[ESCOLA],ROUNDUP(ROW(A810)/TotalEtapas,0)),"")</f>
        <v>E.E JOÃO FLORENTINO SILVA NETO CARAMUJO</v>
      </c>
      <c r="B811" s="5" t="s">
        <v>116</v>
      </c>
      <c r="C811" s="5">
        <v>18</v>
      </c>
      <c r="D811" s="5" t="str">
        <f>IFERROR(VLOOKUP(tbEscolas[[#This Row],[COD ETPA]],tbEtapas[],2,FALSE),"")</f>
        <v>EJA II</v>
      </c>
      <c r="E811" s="5" t="str">
        <f>IFERROR(VLOOKUP(tbEscolas[[#This Row],[COD ETPA]],tbEtapas[],3,FALSE),"")</f>
        <v>ENSINO MÉDIO</v>
      </c>
      <c r="F811" s="5" t="s">
        <v>125</v>
      </c>
    </row>
    <row r="812" spans="1:6" x14ac:dyDescent="0.25">
      <c r="A812" s="4" t="str" cm="1">
        <f t="array" ref="A812">IFERROR(INDEX(tbNucleo[ESCOLA],ROUNDUP(ROW(A811)/TotalEtapas,0)),"")</f>
        <v>E.E JOÃO FLORENTINO SILVA NETO ANEXA BURITI</v>
      </c>
      <c r="B812" s="4" t="s">
        <v>117</v>
      </c>
      <c r="C812" s="4" cm="1">
        <f t="array" ref="C812">IF(A812="","",INDEX(tbEtapas[Nº],MOD(ROW(A811)-1,TotalEtapas)+1))</f>
        <v>1</v>
      </c>
      <c r="D812" s="4" t="str">
        <f>IFERROR(VLOOKUP(tbEscolas[[#This Row],[COD ETPA]],tbEtapas[],2,FALSE),"")</f>
        <v>CRECHE I</v>
      </c>
      <c r="E812" s="4" t="str">
        <f>IFERROR(VLOOKUP(tbEscolas[[#This Row],[COD ETPA]],tbEtapas[],3,FALSE),"")</f>
        <v>EDUCAÇÃO INFANTIL</v>
      </c>
      <c r="F812" s="4" t="s">
        <v>125</v>
      </c>
    </row>
    <row r="813" spans="1:6" x14ac:dyDescent="0.25">
      <c r="A813" s="4" t="str" cm="1">
        <f t="array" ref="A813">IFERROR(INDEX(tbNucleo[ESCOLA],ROUNDUP(ROW(A812)/TotalEtapas,0)),"")</f>
        <v>E.E JOÃO FLORENTINO SILVA NETO ANEXA BURITI</v>
      </c>
      <c r="B813" s="4" t="s">
        <v>117</v>
      </c>
      <c r="C813" s="4" cm="1">
        <f t="array" ref="C813">IF(A813="","",INDEX(tbEtapas[Nº],MOD(ROW(A812)-1,TotalEtapas)+1))</f>
        <v>2</v>
      </c>
      <c r="D813" s="4" t="str">
        <f>IFERROR(VLOOKUP(tbEscolas[[#This Row],[COD ETPA]],tbEtapas[],2,FALSE),"")</f>
        <v>CRECHE II</v>
      </c>
      <c r="E813" s="4" t="str">
        <f>IFERROR(VLOOKUP(tbEscolas[[#This Row],[COD ETPA]],tbEtapas[],3,FALSE),"")</f>
        <v>EDUCAÇÃO INFANTIL</v>
      </c>
      <c r="F813" s="4" t="s">
        <v>125</v>
      </c>
    </row>
    <row r="814" spans="1:6" x14ac:dyDescent="0.25">
      <c r="A814" s="4" t="str" cm="1">
        <f t="array" ref="A814">IFERROR(INDEX(tbNucleo[ESCOLA],ROUNDUP(ROW(A813)/TotalEtapas,0)),"")</f>
        <v>E.E JOÃO FLORENTINO SILVA NETO ANEXA BURITI</v>
      </c>
      <c r="B814" s="4" t="s">
        <v>117</v>
      </c>
      <c r="C814" s="4" cm="1">
        <f t="array" ref="C814">IF(A814="","",INDEX(tbEtapas[Nº],MOD(ROW(A813)-1,TotalEtapas)+1))</f>
        <v>3</v>
      </c>
      <c r="D814" s="4" t="str">
        <f>IFERROR(VLOOKUP(tbEscolas[[#This Row],[COD ETPA]],tbEtapas[],2,FALSE),"")</f>
        <v>PRE I</v>
      </c>
      <c r="E814" s="4" t="str">
        <f>IFERROR(VLOOKUP(tbEscolas[[#This Row],[COD ETPA]],tbEtapas[],3,FALSE),"")</f>
        <v>EDUCAÇÃO INFANTIL</v>
      </c>
      <c r="F814" s="4" t="s">
        <v>125</v>
      </c>
    </row>
    <row r="815" spans="1:6" x14ac:dyDescent="0.25">
      <c r="A815" s="4" t="str" cm="1">
        <f t="array" ref="A815">IFERROR(INDEX(tbNucleo[ESCOLA],ROUNDUP(ROW(A814)/TotalEtapas,0)),"")</f>
        <v>E.E JOÃO FLORENTINO SILVA NETO ANEXA BURITI</v>
      </c>
      <c r="B815" s="4" t="s">
        <v>117</v>
      </c>
      <c r="C815" s="4" cm="1">
        <f t="array" ref="C815">IF(A815="","",INDEX(tbEtapas[Nº],MOD(ROW(A814)-1,TotalEtapas)+1))</f>
        <v>4</v>
      </c>
      <c r="D815" s="4" t="str">
        <f>IFERROR(VLOOKUP(tbEscolas[[#This Row],[COD ETPA]],tbEtapas[],2,FALSE),"")</f>
        <v>PRE II</v>
      </c>
      <c r="E815" s="4" t="str">
        <f>IFERROR(VLOOKUP(tbEscolas[[#This Row],[COD ETPA]],tbEtapas[],3,FALSE),"")</f>
        <v>EDUCAÇÃO INFANTIL</v>
      </c>
      <c r="F815" s="4" t="s">
        <v>125</v>
      </c>
    </row>
    <row r="816" spans="1:6" x14ac:dyDescent="0.25">
      <c r="A816" s="4" t="str" cm="1">
        <f t="array" ref="A816">IFERROR(INDEX(tbNucleo[ESCOLA],ROUNDUP(ROW(A815)/TotalEtapas,0)),"")</f>
        <v>E.E JOÃO FLORENTINO SILVA NETO ANEXA BURITI</v>
      </c>
      <c r="B816" s="4" t="s">
        <v>117</v>
      </c>
      <c r="C816" s="4" cm="1">
        <f t="array" ref="C816">IF(A816="","",INDEX(tbEtapas[Nº],MOD(ROW(A815)-1,TotalEtapas)+1))</f>
        <v>5</v>
      </c>
      <c r="D816" s="4" t="str">
        <f>IFERROR(VLOOKUP(tbEscolas[[#This Row],[COD ETPA]],tbEtapas[],2,FALSE),"")</f>
        <v>1º ANO</v>
      </c>
      <c r="E816" s="4" t="str">
        <f>IFERROR(VLOOKUP(tbEscolas[[#This Row],[COD ETPA]],tbEtapas[],3,FALSE),"")</f>
        <v>FUNDAMENTAL</v>
      </c>
      <c r="F816" s="4" t="s">
        <v>125</v>
      </c>
    </row>
    <row r="817" spans="1:6" x14ac:dyDescent="0.25">
      <c r="A817" s="4" t="str" cm="1">
        <f t="array" ref="A817">IFERROR(INDEX(tbNucleo[ESCOLA],ROUNDUP(ROW(A816)/TotalEtapas,0)),"")</f>
        <v>E.E JOÃO FLORENTINO SILVA NETO ANEXA BURITI</v>
      </c>
      <c r="B817" s="4" t="s">
        <v>117</v>
      </c>
      <c r="C817" s="4" cm="1">
        <f t="array" ref="C817">IF(A817="","",INDEX(tbEtapas[Nº],MOD(ROW(A816)-1,TotalEtapas)+1))</f>
        <v>6</v>
      </c>
      <c r="D817" s="4" t="str">
        <f>IFERROR(VLOOKUP(tbEscolas[[#This Row],[COD ETPA]],tbEtapas[],2,FALSE),"")</f>
        <v>2º ANO</v>
      </c>
      <c r="E817" s="4" t="str">
        <f>IFERROR(VLOOKUP(tbEscolas[[#This Row],[COD ETPA]],tbEtapas[],3,FALSE),"")</f>
        <v>FUNDAMENTAL</v>
      </c>
      <c r="F817" s="4" t="s">
        <v>125</v>
      </c>
    </row>
    <row r="818" spans="1:6" x14ac:dyDescent="0.25">
      <c r="A818" s="4" t="str" cm="1">
        <f t="array" ref="A818">IFERROR(INDEX(tbNucleo[ESCOLA],ROUNDUP(ROW(A817)/TotalEtapas,0)),"")</f>
        <v>E.E JOÃO FLORENTINO SILVA NETO ANEXA BURITI</v>
      </c>
      <c r="B818" s="4" t="s">
        <v>117</v>
      </c>
      <c r="C818" s="4" cm="1">
        <f t="array" ref="C818">IF(A818="","",INDEX(tbEtapas[Nº],MOD(ROW(A817)-1,TotalEtapas)+1))</f>
        <v>7</v>
      </c>
      <c r="D818" s="4" t="str">
        <f>IFERROR(VLOOKUP(tbEscolas[[#This Row],[COD ETPA]],tbEtapas[],2,FALSE),"")</f>
        <v>3º ANO</v>
      </c>
      <c r="E818" s="4" t="str">
        <f>IFERROR(VLOOKUP(tbEscolas[[#This Row],[COD ETPA]],tbEtapas[],3,FALSE),"")</f>
        <v>FUNDAMENTAL</v>
      </c>
      <c r="F818" s="4" t="s">
        <v>125</v>
      </c>
    </row>
    <row r="819" spans="1:6" x14ac:dyDescent="0.25">
      <c r="A819" s="4" t="str" cm="1">
        <f t="array" ref="A819">IFERROR(INDEX(tbNucleo[ESCOLA],ROUNDUP(ROW(A818)/TotalEtapas,0)),"")</f>
        <v>E.E JOÃO FLORENTINO SILVA NETO ANEXA BURITI</v>
      </c>
      <c r="B819" s="4" t="s">
        <v>117</v>
      </c>
      <c r="C819" s="4" cm="1">
        <f t="array" ref="C819">IF(A819="","",INDEX(tbEtapas[Nº],MOD(ROW(A818)-1,TotalEtapas)+1))</f>
        <v>8</v>
      </c>
      <c r="D819" s="4" t="str">
        <f>IFERROR(VLOOKUP(tbEscolas[[#This Row],[COD ETPA]],tbEtapas[],2,FALSE),"")</f>
        <v>4º ANO</v>
      </c>
      <c r="E819" s="4" t="str">
        <f>IFERROR(VLOOKUP(tbEscolas[[#This Row],[COD ETPA]],tbEtapas[],3,FALSE),"")</f>
        <v>FUNDAMENTAL</v>
      </c>
      <c r="F819" s="4" t="s">
        <v>125</v>
      </c>
    </row>
    <row r="820" spans="1:6" x14ac:dyDescent="0.25">
      <c r="A820" s="4" t="str" cm="1">
        <f t="array" ref="A820">IFERROR(INDEX(tbNucleo[ESCOLA],ROUNDUP(ROW(A819)/TotalEtapas,0)),"")</f>
        <v>E.E JOÃO FLORENTINO SILVA NETO ANEXA BURITI</v>
      </c>
      <c r="B820" s="4" t="s">
        <v>117</v>
      </c>
      <c r="C820" s="4" cm="1">
        <f t="array" ref="C820">IF(A820="","",INDEX(tbEtapas[Nº],MOD(ROW(A819)-1,TotalEtapas)+1))</f>
        <v>9</v>
      </c>
      <c r="D820" s="4" t="str">
        <f>IFERROR(VLOOKUP(tbEscolas[[#This Row],[COD ETPA]],tbEtapas[],2,FALSE),"")</f>
        <v>5º ANO</v>
      </c>
      <c r="E820" s="4" t="str">
        <f>IFERROR(VLOOKUP(tbEscolas[[#This Row],[COD ETPA]],tbEtapas[],3,FALSE),"")</f>
        <v>FUNDAMENTAL</v>
      </c>
      <c r="F820" s="4" t="s">
        <v>125</v>
      </c>
    </row>
    <row r="821" spans="1:6" x14ac:dyDescent="0.25">
      <c r="A821" s="4" t="str" cm="1">
        <f t="array" ref="A821">IFERROR(INDEX(tbNucleo[ESCOLA],ROUNDUP(ROW(A820)/TotalEtapas,0)),"")</f>
        <v>E.E JOÃO FLORENTINO SILVA NETO ANEXA BURITI</v>
      </c>
      <c r="B821" s="4" t="s">
        <v>117</v>
      </c>
      <c r="C821" s="4" cm="1">
        <f t="array" ref="C821">IF(A821="","",INDEX(tbEtapas[Nº],MOD(ROW(A820)-1,TotalEtapas)+1))</f>
        <v>10</v>
      </c>
      <c r="D821" s="4" t="str">
        <f>IFERROR(VLOOKUP(tbEscolas[[#This Row],[COD ETPA]],tbEtapas[],2,FALSE),"")</f>
        <v>6º ANO</v>
      </c>
      <c r="E821" s="4" t="str">
        <f>IFERROR(VLOOKUP(tbEscolas[[#This Row],[COD ETPA]],tbEtapas[],3,FALSE),"")</f>
        <v>FUNDAMENTAL</v>
      </c>
      <c r="F821" s="4" t="s">
        <v>126</v>
      </c>
    </row>
    <row r="822" spans="1:6" x14ac:dyDescent="0.25">
      <c r="A822" s="4" t="str" cm="1">
        <f t="array" ref="A822">IFERROR(INDEX(tbNucleo[ESCOLA],ROUNDUP(ROW(A821)/TotalEtapas,0)),"")</f>
        <v>E.E JOÃO FLORENTINO SILVA NETO ANEXA BURITI</v>
      </c>
      <c r="B822" s="4" t="s">
        <v>117</v>
      </c>
      <c r="C822" s="4" cm="1">
        <f t="array" ref="C822">IF(A822="","",INDEX(tbEtapas[Nº],MOD(ROW(A821)-1,TotalEtapas)+1))</f>
        <v>11</v>
      </c>
      <c r="D822" s="4" t="str">
        <f>IFERROR(VLOOKUP(tbEscolas[[#This Row],[COD ETPA]],tbEtapas[],2,FALSE),"")</f>
        <v>7º ANO</v>
      </c>
      <c r="E822" s="4" t="str">
        <f>IFERROR(VLOOKUP(tbEscolas[[#This Row],[COD ETPA]],tbEtapas[],3,FALSE),"")</f>
        <v>FUNDAMENTAL</v>
      </c>
      <c r="F822" s="4" t="s">
        <v>126</v>
      </c>
    </row>
    <row r="823" spans="1:6" x14ac:dyDescent="0.25">
      <c r="A823" s="4" t="str" cm="1">
        <f t="array" ref="A823">IFERROR(INDEX(tbNucleo[ESCOLA],ROUNDUP(ROW(A822)/TotalEtapas,0)),"")</f>
        <v>E.E JOÃO FLORENTINO SILVA NETO ANEXA BURITI</v>
      </c>
      <c r="B823" s="4" t="s">
        <v>117</v>
      </c>
      <c r="C823" s="4" cm="1">
        <f t="array" ref="C823">IF(A823="","",INDEX(tbEtapas[Nº],MOD(ROW(A822)-1,TotalEtapas)+1))</f>
        <v>12</v>
      </c>
      <c r="D823" s="4" t="str">
        <f>IFERROR(VLOOKUP(tbEscolas[[#This Row],[COD ETPA]],tbEtapas[],2,FALSE),"")</f>
        <v>8º ANO</v>
      </c>
      <c r="E823" s="4" t="str">
        <f>IFERROR(VLOOKUP(tbEscolas[[#This Row],[COD ETPA]],tbEtapas[],3,FALSE),"")</f>
        <v>FUNDAMENTAL</v>
      </c>
      <c r="F823" s="4" t="s">
        <v>126</v>
      </c>
    </row>
    <row r="824" spans="1:6" x14ac:dyDescent="0.25">
      <c r="A824" s="4" t="str" cm="1">
        <f t="array" ref="A824">IFERROR(INDEX(tbNucleo[ESCOLA],ROUNDUP(ROW(A823)/TotalEtapas,0)),"")</f>
        <v>E.E JOÃO FLORENTINO SILVA NETO ANEXA BURITI</v>
      </c>
      <c r="B824" s="4" t="s">
        <v>117</v>
      </c>
      <c r="C824" s="4" cm="1">
        <f t="array" ref="C824">IF(A824="","",INDEX(tbEtapas[Nº],MOD(ROW(A823)-1,TotalEtapas)+1))</f>
        <v>13</v>
      </c>
      <c r="D824" s="4" t="str">
        <f>IFERROR(VLOOKUP(tbEscolas[[#This Row],[COD ETPA]],tbEtapas[],2,FALSE),"")</f>
        <v>9º ANO</v>
      </c>
      <c r="E824" s="4" t="str">
        <f>IFERROR(VLOOKUP(tbEscolas[[#This Row],[COD ETPA]],tbEtapas[],3,FALSE),"")</f>
        <v>FUNDAMENTAL</v>
      </c>
      <c r="F824" s="4" t="s">
        <v>126</v>
      </c>
    </row>
    <row r="825" spans="1:6" x14ac:dyDescent="0.25">
      <c r="A825" s="4" t="str" cm="1">
        <f t="array" ref="A825">IFERROR(INDEX(tbNucleo[ESCOLA],ROUNDUP(ROW(A824)/TotalEtapas,0)),"")</f>
        <v>E.E JOÃO FLORENTINO SILVA NETO ANEXA BURITI</v>
      </c>
      <c r="B825" s="4" t="s">
        <v>117</v>
      </c>
      <c r="C825" s="4">
        <v>14</v>
      </c>
      <c r="D825" s="4" t="str">
        <f>IFERROR(VLOOKUP(tbEscolas[[#This Row],[COD ETPA]],tbEtapas[],2,FALSE),"")</f>
        <v>1º ANO</v>
      </c>
      <c r="E825" s="4" t="str">
        <f>IFERROR(VLOOKUP(tbEscolas[[#This Row],[COD ETPA]],tbEtapas[],3,FALSE),"")</f>
        <v>ENSINO MÉDIO</v>
      </c>
      <c r="F825" s="4" t="s">
        <v>126</v>
      </c>
    </row>
    <row r="826" spans="1:6" x14ac:dyDescent="0.25">
      <c r="A826" s="4" t="str" cm="1">
        <f t="array" ref="A826">IFERROR(INDEX(tbNucleo[ESCOLA],ROUNDUP(ROW(A825)/TotalEtapas,0)),"")</f>
        <v>E.E JOÃO FLORENTINO SILVA NETO ANEXA BURITI</v>
      </c>
      <c r="B826" s="4" t="s">
        <v>117</v>
      </c>
      <c r="C826" s="4">
        <v>15</v>
      </c>
      <c r="D826" s="4" t="str">
        <f>IFERROR(VLOOKUP(tbEscolas[[#This Row],[COD ETPA]],tbEtapas[],2,FALSE),"")</f>
        <v>2º ANO</v>
      </c>
      <c r="E826" s="4" t="str">
        <f>IFERROR(VLOOKUP(tbEscolas[[#This Row],[COD ETPA]],tbEtapas[],3,FALSE),"")</f>
        <v>ENSINO MÉDIO</v>
      </c>
      <c r="F826" s="4" t="s">
        <v>126</v>
      </c>
    </row>
    <row r="827" spans="1:6" x14ac:dyDescent="0.25">
      <c r="A827" s="4" t="str" cm="1">
        <f t="array" ref="A827">IFERROR(INDEX(tbNucleo[ESCOLA],ROUNDUP(ROW(A826)/TotalEtapas,0)),"")</f>
        <v>E.E JOÃO FLORENTINO SILVA NETO ANEXA BURITI</v>
      </c>
      <c r="B827" s="4" t="s">
        <v>117</v>
      </c>
      <c r="C827" s="4">
        <v>16</v>
      </c>
      <c r="D827" s="4" t="str">
        <f>IFERROR(VLOOKUP(tbEscolas[[#This Row],[COD ETPA]],tbEtapas[],2,FALSE),"")</f>
        <v>3º ANO</v>
      </c>
      <c r="E827" s="4" t="str">
        <f>IFERROR(VLOOKUP(tbEscolas[[#This Row],[COD ETPA]],tbEtapas[],3,FALSE),"")</f>
        <v>ENSINO MÉDIO</v>
      </c>
      <c r="F827" s="4" t="s">
        <v>126</v>
      </c>
    </row>
    <row r="828" spans="1:6" x14ac:dyDescent="0.25">
      <c r="A828" s="4" t="str" cm="1">
        <f t="array" ref="A828">IFERROR(INDEX(tbNucleo[ESCOLA],ROUNDUP(ROW(A827)/TotalEtapas,0)),"")</f>
        <v>E.E JOÃO FLORENTINO SILVA NETO ANEXA BURITI</v>
      </c>
      <c r="B828" s="4" t="s">
        <v>117</v>
      </c>
      <c r="C828" s="4">
        <v>17</v>
      </c>
      <c r="D828" s="4" t="str">
        <f>IFERROR(VLOOKUP(tbEscolas[[#This Row],[COD ETPA]],tbEtapas[],2,FALSE),"")</f>
        <v>EJA I</v>
      </c>
      <c r="E828" s="4" t="str">
        <f>IFERROR(VLOOKUP(tbEscolas[[#This Row],[COD ETPA]],tbEtapas[],3,FALSE),"")</f>
        <v>FUNDAMENTAL</v>
      </c>
      <c r="F828" s="4" t="s">
        <v>125</v>
      </c>
    </row>
    <row r="829" spans="1:6" x14ac:dyDescent="0.25">
      <c r="A829" s="4" t="str" cm="1">
        <f t="array" ref="A829">IFERROR(INDEX(tbNucleo[ESCOLA],ROUNDUP(ROW(A828)/TotalEtapas,0)),"")</f>
        <v>E.E JOÃO FLORENTINO SILVA NETO ANEXA BURITI</v>
      </c>
      <c r="B829" s="4" t="s">
        <v>117</v>
      </c>
      <c r="C829" s="4">
        <v>18</v>
      </c>
      <c r="D829" s="4" t="str">
        <f>IFERROR(VLOOKUP(tbEscolas[[#This Row],[COD ETPA]],tbEtapas[],2,FALSE),"")</f>
        <v>EJA II</v>
      </c>
      <c r="E829" s="4" t="str">
        <f>IFERROR(VLOOKUP(tbEscolas[[#This Row],[COD ETPA]],tbEtapas[],3,FALSE),"")</f>
        <v>ENSINO MÉDIO</v>
      </c>
      <c r="F829" s="4" t="s">
        <v>125</v>
      </c>
    </row>
    <row r="830" spans="1:6" x14ac:dyDescent="0.25">
      <c r="A830" s="9" t="str" cm="1">
        <f t="array" ref="A830">IFERROR(INDEX(tbNucleo[ESCOLA],ROUNDUP(ROW(A829)/TotalEtapas,0)),"")</f>
        <v>E.E JOÃO FLORENTINO SILVA NETO ANEXA SADIA</v>
      </c>
      <c r="B830" s="9" t="s">
        <v>119</v>
      </c>
      <c r="C830" s="9">
        <v>1</v>
      </c>
      <c r="D830" s="9" t="s">
        <v>7</v>
      </c>
      <c r="E830" s="9" t="s">
        <v>23</v>
      </c>
      <c r="F830" s="9" t="s">
        <v>125</v>
      </c>
    </row>
    <row r="831" spans="1:6" x14ac:dyDescent="0.25">
      <c r="A831" s="9" t="str" cm="1">
        <f t="array" ref="A831">IFERROR(INDEX(tbNucleo[ESCOLA],ROUNDUP(ROW(A830)/TotalEtapas,0)),"")</f>
        <v>E.E JOÃO FLORENTINO SILVA NETO ANEXA SADIA</v>
      </c>
      <c r="B831" s="9" t="s">
        <v>119</v>
      </c>
      <c r="C831" s="9">
        <v>2</v>
      </c>
      <c r="D831" s="9" t="s">
        <v>8</v>
      </c>
      <c r="E831" s="9" t="s">
        <v>23</v>
      </c>
      <c r="F831" s="9" t="s">
        <v>125</v>
      </c>
    </row>
    <row r="832" spans="1:6" x14ac:dyDescent="0.25">
      <c r="A832" s="9" t="str" cm="1">
        <f t="array" ref="A832">IFERROR(INDEX(tbNucleo[ESCOLA],ROUNDUP(ROW(A831)/TotalEtapas,0)),"")</f>
        <v>E.E JOÃO FLORENTINO SILVA NETO ANEXA SADIA</v>
      </c>
      <c r="B832" s="9" t="s">
        <v>119</v>
      </c>
      <c r="C832" s="9">
        <v>3</v>
      </c>
      <c r="D832" s="9" t="s">
        <v>9</v>
      </c>
      <c r="E832" s="9" t="s">
        <v>23</v>
      </c>
      <c r="F832" s="9" t="s">
        <v>125</v>
      </c>
    </row>
    <row r="833" spans="1:6" x14ac:dyDescent="0.25">
      <c r="A833" s="9" t="str" cm="1">
        <f t="array" ref="A833">IFERROR(INDEX(tbNucleo[ESCOLA],ROUNDUP(ROW(A832)/TotalEtapas,0)),"")</f>
        <v>E.E JOÃO FLORENTINO SILVA NETO ANEXA SADIA</v>
      </c>
      <c r="B833" s="9" t="s">
        <v>119</v>
      </c>
      <c r="C833" s="9">
        <v>4</v>
      </c>
      <c r="D833" s="9" t="s">
        <v>10</v>
      </c>
      <c r="E833" s="9" t="s">
        <v>23</v>
      </c>
      <c r="F833" s="9" t="s">
        <v>125</v>
      </c>
    </row>
    <row r="834" spans="1:6" x14ac:dyDescent="0.25">
      <c r="A834" s="9" t="str" cm="1">
        <f t="array" ref="A834">IFERROR(INDEX(tbNucleo[ESCOLA],ROUNDUP(ROW(A833)/TotalEtapas,0)),"")</f>
        <v>E.E JOÃO FLORENTINO SILVA NETO ANEXA SADIA</v>
      </c>
      <c r="B834" s="9" t="s">
        <v>119</v>
      </c>
      <c r="C834" s="9">
        <v>5</v>
      </c>
      <c r="D834" s="9" t="s">
        <v>11</v>
      </c>
      <c r="E834" s="9" t="s">
        <v>20</v>
      </c>
      <c r="F834" s="9" t="s">
        <v>125</v>
      </c>
    </row>
    <row r="835" spans="1:6" x14ac:dyDescent="0.25">
      <c r="A835" s="9" t="str" cm="1">
        <f t="array" ref="A835">IFERROR(INDEX(tbNucleo[ESCOLA],ROUNDUP(ROW(A834)/TotalEtapas,0)),"")</f>
        <v>E.E JOÃO FLORENTINO SILVA NETO ANEXA SADIA</v>
      </c>
      <c r="B835" s="9" t="s">
        <v>119</v>
      </c>
      <c r="C835" s="9">
        <v>6</v>
      </c>
      <c r="D835" s="9" t="s">
        <v>12</v>
      </c>
      <c r="E835" s="9" t="s">
        <v>20</v>
      </c>
      <c r="F835" s="9" t="s">
        <v>125</v>
      </c>
    </row>
    <row r="836" spans="1:6" x14ac:dyDescent="0.25">
      <c r="A836" s="9" t="str" cm="1">
        <f t="array" ref="A836">IFERROR(INDEX(tbNucleo[ESCOLA],ROUNDUP(ROW(A835)/TotalEtapas,0)),"")</f>
        <v>E.E JOÃO FLORENTINO SILVA NETO ANEXA SADIA</v>
      </c>
      <c r="B836" s="9" t="s">
        <v>119</v>
      </c>
      <c r="C836" s="9">
        <v>7</v>
      </c>
      <c r="D836" s="9" t="s">
        <v>13</v>
      </c>
      <c r="E836" s="9" t="s">
        <v>20</v>
      </c>
      <c r="F836" s="9" t="s">
        <v>125</v>
      </c>
    </row>
    <row r="837" spans="1:6" x14ac:dyDescent="0.25">
      <c r="A837" s="9" t="str" cm="1">
        <f t="array" ref="A837">IFERROR(INDEX(tbNucleo[ESCOLA],ROUNDUP(ROW(A836)/TotalEtapas,0)),"")</f>
        <v>E.E JOÃO FLORENTINO SILVA NETO ANEXA SADIA</v>
      </c>
      <c r="B837" s="9" t="s">
        <v>119</v>
      </c>
      <c r="C837" s="9">
        <v>8</v>
      </c>
      <c r="D837" s="9" t="s">
        <v>14</v>
      </c>
      <c r="E837" s="9" t="s">
        <v>20</v>
      </c>
      <c r="F837" s="9" t="s">
        <v>125</v>
      </c>
    </row>
    <row r="838" spans="1:6" x14ac:dyDescent="0.25">
      <c r="A838" s="9" t="str" cm="1">
        <f t="array" ref="A838">IFERROR(INDEX(tbNucleo[ESCOLA],ROUNDUP(ROW(A837)/TotalEtapas,0)),"")</f>
        <v>E.E JOÃO FLORENTINO SILVA NETO ANEXA SADIA</v>
      </c>
      <c r="B838" s="9" t="s">
        <v>119</v>
      </c>
      <c r="C838" s="9">
        <v>9</v>
      </c>
      <c r="D838" s="9" t="s">
        <v>15</v>
      </c>
      <c r="E838" s="9" t="s">
        <v>20</v>
      </c>
      <c r="F838" s="9" t="s">
        <v>125</v>
      </c>
    </row>
    <row r="839" spans="1:6" x14ac:dyDescent="0.25">
      <c r="A839" s="9" t="str" cm="1">
        <f t="array" ref="A839">IFERROR(INDEX(tbNucleo[ESCOLA],ROUNDUP(ROW(A838)/TotalEtapas,0)),"")</f>
        <v>E.E JOÃO FLORENTINO SILVA NETO ANEXA SADIA</v>
      </c>
      <c r="B839" s="9" t="s">
        <v>119</v>
      </c>
      <c r="C839" s="9">
        <v>10</v>
      </c>
      <c r="D839" s="9" t="s">
        <v>16</v>
      </c>
      <c r="E839" s="9" t="s">
        <v>20</v>
      </c>
      <c r="F839" s="9" t="s">
        <v>126</v>
      </c>
    </row>
    <row r="840" spans="1:6" x14ac:dyDescent="0.25">
      <c r="A840" s="9" t="str" cm="1">
        <f t="array" ref="A840">IFERROR(INDEX(tbNucleo[ESCOLA],ROUNDUP(ROW(A839)/TotalEtapas,0)),"")</f>
        <v>E.E JOÃO FLORENTINO SILVA NETO ANEXA SADIA</v>
      </c>
      <c r="B840" s="9" t="s">
        <v>119</v>
      </c>
      <c r="C840" s="9">
        <v>11</v>
      </c>
      <c r="D840" s="9" t="s">
        <v>17</v>
      </c>
      <c r="E840" s="9" t="s">
        <v>20</v>
      </c>
      <c r="F840" s="9" t="s">
        <v>126</v>
      </c>
    </row>
    <row r="841" spans="1:6" x14ac:dyDescent="0.25">
      <c r="A841" s="9" t="str" cm="1">
        <f t="array" ref="A841">IFERROR(INDEX(tbNucleo[ESCOLA],ROUNDUP(ROW(A840)/TotalEtapas,0)),"")</f>
        <v>E.E JOÃO FLORENTINO SILVA NETO ANEXA SADIA</v>
      </c>
      <c r="B841" s="9" t="s">
        <v>119</v>
      </c>
      <c r="C841" s="9">
        <v>12</v>
      </c>
      <c r="D841" s="9" t="s">
        <v>18</v>
      </c>
      <c r="E841" s="9" t="s">
        <v>20</v>
      </c>
      <c r="F841" s="9" t="s">
        <v>126</v>
      </c>
    </row>
    <row r="842" spans="1:6" x14ac:dyDescent="0.25">
      <c r="A842" s="9" t="str" cm="1">
        <f t="array" ref="A842">IFERROR(INDEX(tbNucleo[ESCOLA],ROUNDUP(ROW(A841)/TotalEtapas,0)),"")</f>
        <v>E.E JOÃO FLORENTINO SILVA NETO ANEXA SADIA</v>
      </c>
      <c r="B842" s="9" t="s">
        <v>119</v>
      </c>
      <c r="C842" s="9">
        <v>13</v>
      </c>
      <c r="D842" s="9" t="s">
        <v>19</v>
      </c>
      <c r="E842" s="9" t="s">
        <v>20</v>
      </c>
      <c r="F842" s="9" t="s">
        <v>126</v>
      </c>
    </row>
    <row r="843" spans="1:6" x14ac:dyDescent="0.25">
      <c r="A843" s="9" t="str" cm="1">
        <f t="array" ref="A843">IFERROR(INDEX(tbNucleo[ESCOLA],ROUNDUP(ROW(A842)/TotalEtapas,0)),"")</f>
        <v>E.E JOÃO FLORENTINO SILVA NETO ANEXA SADIA</v>
      </c>
      <c r="B843" s="9" t="s">
        <v>119</v>
      </c>
      <c r="C843" s="9">
        <v>14</v>
      </c>
      <c r="D843" s="9" t="s">
        <v>11</v>
      </c>
      <c r="E843" s="9" t="s">
        <v>24</v>
      </c>
      <c r="F843" s="9" t="s">
        <v>126</v>
      </c>
    </row>
    <row r="844" spans="1:6" x14ac:dyDescent="0.25">
      <c r="A844" s="9" t="str" cm="1">
        <f t="array" ref="A844">IFERROR(INDEX(tbNucleo[ESCOLA],ROUNDUP(ROW(A843)/TotalEtapas,0)),"")</f>
        <v>E.E JOÃO FLORENTINO SILVA NETO ANEXA SADIA</v>
      </c>
      <c r="B844" s="9" t="s">
        <v>119</v>
      </c>
      <c r="C844" s="9">
        <v>15</v>
      </c>
      <c r="D844" s="9" t="s">
        <v>12</v>
      </c>
      <c r="E844" s="9" t="s">
        <v>24</v>
      </c>
      <c r="F844" s="9" t="s">
        <v>126</v>
      </c>
    </row>
    <row r="845" spans="1:6" x14ac:dyDescent="0.25">
      <c r="A845" s="9" t="str" cm="1">
        <f t="array" ref="A845">IFERROR(INDEX(tbNucleo[ESCOLA],ROUNDUP(ROW(A844)/TotalEtapas,0)),"")</f>
        <v>E.E JOÃO FLORENTINO SILVA NETO ANEXA SADIA</v>
      </c>
      <c r="B845" s="9" t="s">
        <v>119</v>
      </c>
      <c r="C845" s="9">
        <v>16</v>
      </c>
      <c r="D845" s="9" t="s">
        <v>13</v>
      </c>
      <c r="E845" s="9" t="s">
        <v>24</v>
      </c>
      <c r="F845" s="9" t="s">
        <v>126</v>
      </c>
    </row>
    <row r="846" spans="1:6" x14ac:dyDescent="0.25">
      <c r="A846" s="9" t="str" cm="1">
        <f t="array" ref="A846">IFERROR(INDEX(tbNucleo[ESCOLA],ROUNDUP(ROW(A845)/TotalEtapas,0)),"")</f>
        <v>E.E JOÃO FLORENTINO SILVA NETO ANEXA SADIA</v>
      </c>
      <c r="B846" s="9" t="s">
        <v>119</v>
      </c>
      <c r="C846" s="9">
        <v>17</v>
      </c>
      <c r="D846" s="9" t="s">
        <v>21</v>
      </c>
      <c r="E846" s="9" t="s">
        <v>20</v>
      </c>
      <c r="F846" s="9" t="s">
        <v>125</v>
      </c>
    </row>
    <row r="847" spans="1:6" x14ac:dyDescent="0.25">
      <c r="A847" s="9" t="str" cm="1">
        <f t="array" ref="A847">IFERROR(INDEX(tbNucleo[ESCOLA],ROUNDUP(ROW(A846)/TotalEtapas,0)),"")</f>
        <v>E.E JOÃO FLORENTINO SILVA NETO ANEXA SADIA</v>
      </c>
      <c r="B847" s="9" t="s">
        <v>119</v>
      </c>
      <c r="C847" s="9">
        <v>18</v>
      </c>
      <c r="D847" s="9" t="s">
        <v>22</v>
      </c>
      <c r="E847" s="9" t="s">
        <v>24</v>
      </c>
      <c r="F847" s="9" t="s">
        <v>125</v>
      </c>
    </row>
    <row r="848" spans="1:6" x14ac:dyDescent="0.25">
      <c r="A848" s="10" t="str" cm="1">
        <f t="array" ref="A848">IFERROR(INDEX(tbNucleo[ESCOLA],ROUNDUP(ROW(A847)/TotalEtapas,0)),"")</f>
        <v>E.E JOÃO FLORENTINO SILVA NETO ANEXA PAIOL</v>
      </c>
      <c r="B848" s="10" t="s">
        <v>114</v>
      </c>
      <c r="C848" s="10" cm="1">
        <f t="array" ref="C848">IF(A848="","",INDEX(tbEtapas[Nº],MOD(ROW(A847)-1,TotalEtapas)+1))</f>
        <v>1</v>
      </c>
      <c r="D848" s="10" t="str">
        <f>IFERROR(VLOOKUP(tbEscolas[[#This Row],[COD ETPA]],tbEtapas[],2,FALSE),"")</f>
        <v>CRECHE I</v>
      </c>
      <c r="E848" s="10" t="str">
        <f>IFERROR(VLOOKUP(tbEscolas[[#This Row],[COD ETPA]],tbEtapas[],3,FALSE),"")</f>
        <v>EDUCAÇÃO INFANTIL</v>
      </c>
      <c r="F848" s="10" t="s">
        <v>125</v>
      </c>
    </row>
    <row r="849" spans="1:6" x14ac:dyDescent="0.25">
      <c r="A849" s="10" t="str" cm="1">
        <f t="array" ref="A849">IFERROR(INDEX(tbNucleo[ESCOLA],ROUNDUP(ROW(A848)/TotalEtapas,0)),"")</f>
        <v>E.E JOÃO FLORENTINO SILVA NETO ANEXA PAIOL</v>
      </c>
      <c r="B849" s="10" t="s">
        <v>114</v>
      </c>
      <c r="C849" s="10" cm="1">
        <f t="array" ref="C849">IF(A849="","",INDEX(tbEtapas[Nº],MOD(ROW(A848)-1,TotalEtapas)+1))</f>
        <v>2</v>
      </c>
      <c r="D849" s="10" t="str">
        <f>IFERROR(VLOOKUP(tbEscolas[[#This Row],[COD ETPA]],tbEtapas[],2,FALSE),"")</f>
        <v>CRECHE II</v>
      </c>
      <c r="E849" s="10" t="str">
        <f>IFERROR(VLOOKUP(tbEscolas[[#This Row],[COD ETPA]],tbEtapas[],3,FALSE),"")</f>
        <v>EDUCAÇÃO INFANTIL</v>
      </c>
      <c r="F849" s="10" t="s">
        <v>125</v>
      </c>
    </row>
    <row r="850" spans="1:6" x14ac:dyDescent="0.25">
      <c r="A850" s="10" t="str" cm="1">
        <f t="array" ref="A850">IFERROR(INDEX(tbNucleo[ESCOLA],ROUNDUP(ROW(A849)/TotalEtapas,0)),"")</f>
        <v>E.E JOÃO FLORENTINO SILVA NETO ANEXA PAIOL</v>
      </c>
      <c r="B850" s="10" t="s">
        <v>114</v>
      </c>
      <c r="C850" s="10" cm="1">
        <f t="array" ref="C850">IF(A850="","",INDEX(tbEtapas[Nº],MOD(ROW(A849)-1,TotalEtapas)+1))</f>
        <v>3</v>
      </c>
      <c r="D850" s="10" t="str">
        <f>IFERROR(VLOOKUP(tbEscolas[[#This Row],[COD ETPA]],tbEtapas[],2,FALSE),"")</f>
        <v>PRE I</v>
      </c>
      <c r="E850" s="10" t="str">
        <f>IFERROR(VLOOKUP(tbEscolas[[#This Row],[COD ETPA]],tbEtapas[],3,FALSE),"")</f>
        <v>EDUCAÇÃO INFANTIL</v>
      </c>
      <c r="F850" s="10" t="s">
        <v>125</v>
      </c>
    </row>
    <row r="851" spans="1:6" x14ac:dyDescent="0.25">
      <c r="A851" s="10" t="str" cm="1">
        <f t="array" ref="A851">IFERROR(INDEX(tbNucleo[ESCOLA],ROUNDUP(ROW(A850)/TotalEtapas,0)),"")</f>
        <v>E.E JOÃO FLORENTINO SILVA NETO ANEXA PAIOL</v>
      </c>
      <c r="B851" s="10" t="s">
        <v>114</v>
      </c>
      <c r="C851" s="10" cm="1">
        <f t="array" ref="C851">IF(A851="","",INDEX(tbEtapas[Nº],MOD(ROW(A850)-1,TotalEtapas)+1))</f>
        <v>4</v>
      </c>
      <c r="D851" s="10" t="str">
        <f>IFERROR(VLOOKUP(tbEscolas[[#This Row],[COD ETPA]],tbEtapas[],2,FALSE),"")</f>
        <v>PRE II</v>
      </c>
      <c r="E851" s="10" t="str">
        <f>IFERROR(VLOOKUP(tbEscolas[[#This Row],[COD ETPA]],tbEtapas[],3,FALSE),"")</f>
        <v>EDUCAÇÃO INFANTIL</v>
      </c>
      <c r="F851" s="10" t="s">
        <v>125</v>
      </c>
    </row>
    <row r="852" spans="1:6" x14ac:dyDescent="0.25">
      <c r="A852" s="10" t="str" cm="1">
        <f t="array" ref="A852">IFERROR(INDEX(tbNucleo[ESCOLA],ROUNDUP(ROW(A851)/TotalEtapas,0)),"")</f>
        <v>E.E JOÃO FLORENTINO SILVA NETO ANEXA PAIOL</v>
      </c>
      <c r="B852" s="10" t="s">
        <v>114</v>
      </c>
      <c r="C852" s="10" cm="1">
        <f t="array" ref="C852">IF(A852="","",INDEX(tbEtapas[Nº],MOD(ROW(A851)-1,TotalEtapas)+1))</f>
        <v>5</v>
      </c>
      <c r="D852" s="10" t="str">
        <f>IFERROR(VLOOKUP(tbEscolas[[#This Row],[COD ETPA]],tbEtapas[],2,FALSE),"")</f>
        <v>1º ANO</v>
      </c>
      <c r="E852" s="10" t="str">
        <f>IFERROR(VLOOKUP(tbEscolas[[#This Row],[COD ETPA]],tbEtapas[],3,FALSE),"")</f>
        <v>FUNDAMENTAL</v>
      </c>
      <c r="F852" s="10" t="s">
        <v>125</v>
      </c>
    </row>
    <row r="853" spans="1:6" x14ac:dyDescent="0.25">
      <c r="A853" s="10" t="str" cm="1">
        <f t="array" ref="A853">IFERROR(INDEX(tbNucleo[ESCOLA],ROUNDUP(ROW(A852)/TotalEtapas,0)),"")</f>
        <v>E.E JOÃO FLORENTINO SILVA NETO ANEXA PAIOL</v>
      </c>
      <c r="B853" s="10" t="s">
        <v>114</v>
      </c>
      <c r="C853" s="10" cm="1">
        <f t="array" ref="C853">IF(A853="","",INDEX(tbEtapas[Nº],MOD(ROW(A852)-1,TotalEtapas)+1))</f>
        <v>6</v>
      </c>
      <c r="D853" s="10" t="str">
        <f>IFERROR(VLOOKUP(tbEscolas[[#This Row],[COD ETPA]],tbEtapas[],2,FALSE),"")</f>
        <v>2º ANO</v>
      </c>
      <c r="E853" s="10" t="str">
        <f>IFERROR(VLOOKUP(tbEscolas[[#This Row],[COD ETPA]],tbEtapas[],3,FALSE),"")</f>
        <v>FUNDAMENTAL</v>
      </c>
      <c r="F853" s="10" t="s">
        <v>125</v>
      </c>
    </row>
    <row r="854" spans="1:6" x14ac:dyDescent="0.25">
      <c r="A854" s="10" t="str" cm="1">
        <f t="array" ref="A854">IFERROR(INDEX(tbNucleo[ESCOLA],ROUNDUP(ROW(A853)/TotalEtapas,0)),"")</f>
        <v>E.E JOÃO FLORENTINO SILVA NETO ANEXA PAIOL</v>
      </c>
      <c r="B854" s="10" t="s">
        <v>114</v>
      </c>
      <c r="C854" s="10" cm="1">
        <f t="array" ref="C854">IF(A854="","",INDEX(tbEtapas[Nº],MOD(ROW(A853)-1,TotalEtapas)+1))</f>
        <v>7</v>
      </c>
      <c r="D854" s="10" t="str">
        <f>IFERROR(VLOOKUP(tbEscolas[[#This Row],[COD ETPA]],tbEtapas[],2,FALSE),"")</f>
        <v>3º ANO</v>
      </c>
      <c r="E854" s="10" t="str">
        <f>IFERROR(VLOOKUP(tbEscolas[[#This Row],[COD ETPA]],tbEtapas[],3,FALSE),"")</f>
        <v>FUNDAMENTAL</v>
      </c>
      <c r="F854" s="10" t="s">
        <v>125</v>
      </c>
    </row>
    <row r="855" spans="1:6" x14ac:dyDescent="0.25">
      <c r="A855" s="10" t="str" cm="1">
        <f t="array" ref="A855">IFERROR(INDEX(tbNucleo[ESCOLA],ROUNDUP(ROW(A854)/TotalEtapas,0)),"")</f>
        <v>E.E JOÃO FLORENTINO SILVA NETO ANEXA PAIOL</v>
      </c>
      <c r="B855" s="10" t="s">
        <v>114</v>
      </c>
      <c r="C855" s="10" cm="1">
        <f t="array" ref="C855">IF(A855="","",INDEX(tbEtapas[Nº],MOD(ROW(A854)-1,TotalEtapas)+1))</f>
        <v>8</v>
      </c>
      <c r="D855" s="10" t="str">
        <f>IFERROR(VLOOKUP(tbEscolas[[#This Row],[COD ETPA]],tbEtapas[],2,FALSE),"")</f>
        <v>4º ANO</v>
      </c>
      <c r="E855" s="10" t="str">
        <f>IFERROR(VLOOKUP(tbEscolas[[#This Row],[COD ETPA]],tbEtapas[],3,FALSE),"")</f>
        <v>FUNDAMENTAL</v>
      </c>
      <c r="F855" s="10" t="s">
        <v>125</v>
      </c>
    </row>
    <row r="856" spans="1:6" x14ac:dyDescent="0.25">
      <c r="A856" s="10" t="str" cm="1">
        <f t="array" ref="A856">IFERROR(INDEX(tbNucleo[ESCOLA],ROUNDUP(ROW(A855)/TotalEtapas,0)),"")</f>
        <v>E.E JOÃO FLORENTINO SILVA NETO ANEXA PAIOL</v>
      </c>
      <c r="B856" s="10" t="s">
        <v>114</v>
      </c>
      <c r="C856" s="10" cm="1">
        <f t="array" ref="C856">IF(A856="","",INDEX(tbEtapas[Nº],MOD(ROW(A855)-1,TotalEtapas)+1))</f>
        <v>9</v>
      </c>
      <c r="D856" s="10" t="str">
        <f>IFERROR(VLOOKUP(tbEscolas[[#This Row],[COD ETPA]],tbEtapas[],2,FALSE),"")</f>
        <v>5º ANO</v>
      </c>
      <c r="E856" s="10" t="str">
        <f>IFERROR(VLOOKUP(tbEscolas[[#This Row],[COD ETPA]],tbEtapas[],3,FALSE),"")</f>
        <v>FUNDAMENTAL</v>
      </c>
      <c r="F856" s="10" t="s">
        <v>125</v>
      </c>
    </row>
    <row r="857" spans="1:6" x14ac:dyDescent="0.25">
      <c r="A857" s="10" t="str" cm="1">
        <f t="array" ref="A857">IFERROR(INDEX(tbNucleo[ESCOLA],ROUNDUP(ROW(A856)/TotalEtapas,0)),"")</f>
        <v>E.E JOÃO FLORENTINO SILVA NETO ANEXA PAIOL</v>
      </c>
      <c r="B857" s="10" t="s">
        <v>114</v>
      </c>
      <c r="C857" s="10" cm="1">
        <f t="array" ref="C857">IF(A857="","",INDEX(tbEtapas[Nº],MOD(ROW(A856)-1,TotalEtapas)+1))</f>
        <v>10</v>
      </c>
      <c r="D857" s="10" t="str">
        <f>IFERROR(VLOOKUP(tbEscolas[[#This Row],[COD ETPA]],tbEtapas[],2,FALSE),"")</f>
        <v>6º ANO</v>
      </c>
      <c r="E857" s="10" t="str">
        <f>IFERROR(VLOOKUP(tbEscolas[[#This Row],[COD ETPA]],tbEtapas[],3,FALSE),"")</f>
        <v>FUNDAMENTAL</v>
      </c>
      <c r="F857" s="10" t="s">
        <v>126</v>
      </c>
    </row>
    <row r="858" spans="1:6" x14ac:dyDescent="0.25">
      <c r="A858" s="10" t="str" cm="1">
        <f t="array" ref="A858">IFERROR(INDEX(tbNucleo[ESCOLA],ROUNDUP(ROW(A857)/TotalEtapas,0)),"")</f>
        <v>E.E JOÃO FLORENTINO SILVA NETO ANEXA PAIOL</v>
      </c>
      <c r="B858" s="10" t="s">
        <v>114</v>
      </c>
      <c r="C858" s="10" cm="1">
        <f t="array" ref="C858">IF(A858="","",INDEX(tbEtapas[Nº],MOD(ROW(A857)-1,TotalEtapas)+1))</f>
        <v>11</v>
      </c>
      <c r="D858" s="10" t="str">
        <f>IFERROR(VLOOKUP(tbEscolas[[#This Row],[COD ETPA]],tbEtapas[],2,FALSE),"")</f>
        <v>7º ANO</v>
      </c>
      <c r="E858" s="10" t="str">
        <f>IFERROR(VLOOKUP(tbEscolas[[#This Row],[COD ETPA]],tbEtapas[],3,FALSE),"")</f>
        <v>FUNDAMENTAL</v>
      </c>
      <c r="F858" s="10" t="s">
        <v>126</v>
      </c>
    </row>
    <row r="859" spans="1:6" x14ac:dyDescent="0.25">
      <c r="A859" s="10" t="str" cm="1">
        <f t="array" ref="A859">IFERROR(INDEX(tbNucleo[ESCOLA],ROUNDUP(ROW(A858)/TotalEtapas,0)),"")</f>
        <v>E.E JOÃO FLORENTINO SILVA NETO ANEXA PAIOL</v>
      </c>
      <c r="B859" s="10" t="s">
        <v>114</v>
      </c>
      <c r="C859" s="10" cm="1">
        <f t="array" ref="C859">IF(A859="","",INDEX(tbEtapas[Nº],MOD(ROW(A858)-1,TotalEtapas)+1))</f>
        <v>12</v>
      </c>
      <c r="D859" s="10" t="str">
        <f>IFERROR(VLOOKUP(tbEscolas[[#This Row],[COD ETPA]],tbEtapas[],2,FALSE),"")</f>
        <v>8º ANO</v>
      </c>
      <c r="E859" s="10" t="str">
        <f>IFERROR(VLOOKUP(tbEscolas[[#This Row],[COD ETPA]],tbEtapas[],3,FALSE),"")</f>
        <v>FUNDAMENTAL</v>
      </c>
      <c r="F859" s="10" t="s">
        <v>126</v>
      </c>
    </row>
    <row r="860" spans="1:6" x14ac:dyDescent="0.25">
      <c r="A860" s="10" t="str" cm="1">
        <f t="array" ref="A860">IFERROR(INDEX(tbNucleo[ESCOLA],ROUNDUP(ROW(A859)/TotalEtapas,0)),"")</f>
        <v>E.E JOÃO FLORENTINO SILVA NETO ANEXA PAIOL</v>
      </c>
      <c r="B860" s="10" t="s">
        <v>114</v>
      </c>
      <c r="C860" s="10" cm="1">
        <f t="array" ref="C860">IF(A860="","",INDEX(tbEtapas[Nº],MOD(ROW(A859)-1,TotalEtapas)+1))</f>
        <v>13</v>
      </c>
      <c r="D860" s="10" t="str">
        <f>IFERROR(VLOOKUP(tbEscolas[[#This Row],[COD ETPA]],tbEtapas[],2,FALSE),"")</f>
        <v>9º ANO</v>
      </c>
      <c r="E860" s="10" t="str">
        <f>IFERROR(VLOOKUP(tbEscolas[[#This Row],[COD ETPA]],tbEtapas[],3,FALSE),"")</f>
        <v>FUNDAMENTAL</v>
      </c>
      <c r="F860" s="10" t="s">
        <v>126</v>
      </c>
    </row>
    <row r="861" spans="1:6" x14ac:dyDescent="0.25">
      <c r="A861" s="10" t="str" cm="1">
        <f t="array" ref="A861">IFERROR(INDEX(tbNucleo[ESCOLA],ROUNDUP(ROW(A860)/TotalEtapas,0)),"")</f>
        <v>E.E JOÃO FLORENTINO SILVA NETO ANEXA PAIOL</v>
      </c>
      <c r="B861" s="10" t="s">
        <v>114</v>
      </c>
      <c r="C861" s="10">
        <v>14</v>
      </c>
      <c r="D861" s="10" t="str">
        <f>IFERROR(VLOOKUP(tbEscolas[[#This Row],[COD ETPA]],tbEtapas[],2,FALSE),"")</f>
        <v>1º ANO</v>
      </c>
      <c r="E861" s="10" t="str">
        <f>IFERROR(VLOOKUP(tbEscolas[[#This Row],[COD ETPA]],tbEtapas[],3,FALSE),"")</f>
        <v>ENSINO MÉDIO</v>
      </c>
      <c r="F861" s="10" t="s">
        <v>126</v>
      </c>
    </row>
    <row r="862" spans="1:6" x14ac:dyDescent="0.25">
      <c r="A862" s="10" t="str" cm="1">
        <f t="array" ref="A862">IFERROR(INDEX(tbNucleo[ESCOLA],ROUNDUP(ROW(A861)/TotalEtapas,0)),"")</f>
        <v>E.E JOÃO FLORENTINO SILVA NETO ANEXA PAIOL</v>
      </c>
      <c r="B862" s="10" t="s">
        <v>114</v>
      </c>
      <c r="C862" s="10">
        <v>15</v>
      </c>
      <c r="D862" s="10" t="str">
        <f>IFERROR(VLOOKUP(tbEscolas[[#This Row],[COD ETPA]],tbEtapas[],2,FALSE),"")</f>
        <v>2º ANO</v>
      </c>
      <c r="E862" s="10" t="str">
        <f>IFERROR(VLOOKUP(tbEscolas[[#This Row],[COD ETPA]],tbEtapas[],3,FALSE),"")</f>
        <v>ENSINO MÉDIO</v>
      </c>
      <c r="F862" s="10" t="s">
        <v>126</v>
      </c>
    </row>
    <row r="863" spans="1:6" x14ac:dyDescent="0.25">
      <c r="A863" s="10" t="str" cm="1">
        <f t="array" ref="A863">IFERROR(INDEX(tbNucleo[ESCOLA],ROUNDUP(ROW(A862)/TotalEtapas,0)),"")</f>
        <v>E.E JOÃO FLORENTINO SILVA NETO ANEXA PAIOL</v>
      </c>
      <c r="B863" s="10" t="s">
        <v>114</v>
      </c>
      <c r="C863" s="10">
        <v>16</v>
      </c>
      <c r="D863" s="10" t="str">
        <f>IFERROR(VLOOKUP(tbEscolas[[#This Row],[COD ETPA]],tbEtapas[],2,FALSE),"")</f>
        <v>3º ANO</v>
      </c>
      <c r="E863" s="10" t="str">
        <f>IFERROR(VLOOKUP(tbEscolas[[#This Row],[COD ETPA]],tbEtapas[],3,FALSE),"")</f>
        <v>ENSINO MÉDIO</v>
      </c>
      <c r="F863" s="10" t="s">
        <v>126</v>
      </c>
    </row>
    <row r="864" spans="1:6" x14ac:dyDescent="0.25">
      <c r="A864" s="10" t="str" cm="1">
        <f t="array" ref="A864">IFERROR(INDEX(tbNucleo[ESCOLA],ROUNDUP(ROW(A863)/TotalEtapas,0)),"")</f>
        <v>E.E JOÃO FLORENTINO SILVA NETO ANEXA PAIOL</v>
      </c>
      <c r="B864" s="10" t="s">
        <v>114</v>
      </c>
      <c r="C864" s="10">
        <v>17</v>
      </c>
      <c r="D864" s="10" t="str">
        <f>IFERROR(VLOOKUP(tbEscolas[[#This Row],[COD ETPA]],tbEtapas[],2,FALSE),"")</f>
        <v>EJA I</v>
      </c>
      <c r="E864" s="10" t="str">
        <f>IFERROR(VLOOKUP(tbEscolas[[#This Row],[COD ETPA]],tbEtapas[],3,FALSE),"")</f>
        <v>FUNDAMENTAL</v>
      </c>
      <c r="F864" s="10" t="s">
        <v>125</v>
      </c>
    </row>
    <row r="865" spans="1:6" x14ac:dyDescent="0.25">
      <c r="A865" s="10" t="str" cm="1">
        <f t="array" ref="A865">IFERROR(INDEX(tbNucleo[ESCOLA],ROUNDUP(ROW(A864)/TotalEtapas,0)),"")</f>
        <v>E.E JOÃO FLORENTINO SILVA NETO ANEXA PAIOL</v>
      </c>
      <c r="B865" s="10" t="s">
        <v>114</v>
      </c>
      <c r="C865" s="10">
        <v>18</v>
      </c>
      <c r="D865" s="10" t="str">
        <f>IFERROR(VLOOKUP(tbEscolas[[#This Row],[COD ETPA]],tbEtapas[],2,FALSE),"")</f>
        <v>EJA II</v>
      </c>
      <c r="E865" s="10" t="str">
        <f>IFERROR(VLOOKUP(tbEscolas[[#This Row],[COD ETPA]],tbEtapas[],3,FALSE),"")</f>
        <v>ENSINO MÉDIO</v>
      </c>
      <c r="F865" s="10" t="s">
        <v>125</v>
      </c>
    </row>
    <row r="866" spans="1:6" x14ac:dyDescent="0.25">
      <c r="A866" s="8" t="str" cm="1">
        <f t="array" ref="A866">IFERROR(INDEX(tbNucleo[ESCOLA],ROUNDUP(ROW(A865)/TotalEtapas,0)),"")</f>
        <v>E.E JOÃO FLORENTINO SILVA NETO ANEXA LARANJEIRA</v>
      </c>
      <c r="B866" s="8" t="s">
        <v>112</v>
      </c>
      <c r="C866" s="8">
        <v>1</v>
      </c>
      <c r="D866" s="8" t="s">
        <v>7</v>
      </c>
      <c r="E866" s="8" t="s">
        <v>23</v>
      </c>
      <c r="F866" s="8" t="s">
        <v>125</v>
      </c>
    </row>
    <row r="867" spans="1:6" x14ac:dyDescent="0.25">
      <c r="A867" s="8" t="str" cm="1">
        <f t="array" ref="A867">IFERROR(INDEX(tbNucleo[ESCOLA],ROUNDUP(ROW(A866)/TotalEtapas,0)),"")</f>
        <v>E.E JOÃO FLORENTINO SILVA NETO ANEXA LARANJEIRA</v>
      </c>
      <c r="B867" s="8" t="s">
        <v>112</v>
      </c>
      <c r="C867" s="8">
        <v>2</v>
      </c>
      <c r="D867" s="8" t="s">
        <v>8</v>
      </c>
      <c r="E867" s="8" t="s">
        <v>23</v>
      </c>
      <c r="F867" s="8" t="s">
        <v>125</v>
      </c>
    </row>
    <row r="868" spans="1:6" x14ac:dyDescent="0.25">
      <c r="A868" s="8" t="str" cm="1">
        <f t="array" ref="A868">IFERROR(INDEX(tbNucleo[ESCOLA],ROUNDUP(ROW(A867)/TotalEtapas,0)),"")</f>
        <v>E.E JOÃO FLORENTINO SILVA NETO ANEXA LARANJEIRA</v>
      </c>
      <c r="B868" s="8" t="s">
        <v>112</v>
      </c>
      <c r="C868" s="8">
        <v>3</v>
      </c>
      <c r="D868" s="8" t="s">
        <v>9</v>
      </c>
      <c r="E868" s="8" t="s">
        <v>23</v>
      </c>
      <c r="F868" s="8" t="s">
        <v>125</v>
      </c>
    </row>
    <row r="869" spans="1:6" x14ac:dyDescent="0.25">
      <c r="A869" s="8" t="str" cm="1">
        <f t="array" ref="A869">IFERROR(INDEX(tbNucleo[ESCOLA],ROUNDUP(ROW(A868)/TotalEtapas,0)),"")</f>
        <v>E.E JOÃO FLORENTINO SILVA NETO ANEXA LARANJEIRA</v>
      </c>
      <c r="B869" s="8" t="s">
        <v>112</v>
      </c>
      <c r="C869" s="8">
        <v>4</v>
      </c>
      <c r="D869" s="8" t="s">
        <v>10</v>
      </c>
      <c r="E869" s="8" t="s">
        <v>23</v>
      </c>
      <c r="F869" s="8" t="s">
        <v>125</v>
      </c>
    </row>
    <row r="870" spans="1:6" x14ac:dyDescent="0.25">
      <c r="A870" s="8" t="str" cm="1">
        <f t="array" ref="A870">IFERROR(INDEX(tbNucleo[ESCOLA],ROUNDUP(ROW(A869)/TotalEtapas,0)),"")</f>
        <v>E.E JOÃO FLORENTINO SILVA NETO ANEXA LARANJEIRA</v>
      </c>
      <c r="B870" s="8" t="s">
        <v>112</v>
      </c>
      <c r="C870" s="8">
        <v>5</v>
      </c>
      <c r="D870" s="8" t="s">
        <v>11</v>
      </c>
      <c r="E870" s="8" t="s">
        <v>20</v>
      </c>
      <c r="F870" s="8" t="s">
        <v>125</v>
      </c>
    </row>
    <row r="871" spans="1:6" x14ac:dyDescent="0.25">
      <c r="A871" s="8" t="str" cm="1">
        <f t="array" ref="A871">IFERROR(INDEX(tbNucleo[ESCOLA],ROUNDUP(ROW(A870)/TotalEtapas,0)),"")</f>
        <v>E.E JOÃO FLORENTINO SILVA NETO ANEXA LARANJEIRA</v>
      </c>
      <c r="B871" s="8" t="s">
        <v>112</v>
      </c>
      <c r="C871" s="8">
        <v>6</v>
      </c>
      <c r="D871" s="8" t="s">
        <v>12</v>
      </c>
      <c r="E871" s="8" t="s">
        <v>20</v>
      </c>
      <c r="F871" s="8" t="s">
        <v>125</v>
      </c>
    </row>
    <row r="872" spans="1:6" x14ac:dyDescent="0.25">
      <c r="A872" s="8" t="str" cm="1">
        <f t="array" ref="A872">IFERROR(INDEX(tbNucleo[ESCOLA],ROUNDUP(ROW(A871)/TotalEtapas,0)),"")</f>
        <v>E.E JOÃO FLORENTINO SILVA NETO ANEXA LARANJEIRA</v>
      </c>
      <c r="B872" s="8" t="s">
        <v>112</v>
      </c>
      <c r="C872" s="8">
        <v>7</v>
      </c>
      <c r="D872" s="8" t="s">
        <v>13</v>
      </c>
      <c r="E872" s="8" t="s">
        <v>20</v>
      </c>
      <c r="F872" s="8" t="s">
        <v>125</v>
      </c>
    </row>
    <row r="873" spans="1:6" x14ac:dyDescent="0.25">
      <c r="A873" s="8" t="str" cm="1">
        <f t="array" ref="A873">IFERROR(INDEX(tbNucleo[ESCOLA],ROUNDUP(ROW(A872)/TotalEtapas,0)),"")</f>
        <v>E.E JOÃO FLORENTINO SILVA NETO ANEXA LARANJEIRA</v>
      </c>
      <c r="B873" s="8" t="s">
        <v>112</v>
      </c>
      <c r="C873" s="8">
        <v>8</v>
      </c>
      <c r="D873" s="8" t="s">
        <v>14</v>
      </c>
      <c r="E873" s="8" t="s">
        <v>20</v>
      </c>
      <c r="F873" s="8" t="s">
        <v>125</v>
      </c>
    </row>
    <row r="874" spans="1:6" x14ac:dyDescent="0.25">
      <c r="A874" s="8" t="str" cm="1">
        <f t="array" ref="A874">IFERROR(INDEX(tbNucleo[ESCOLA],ROUNDUP(ROW(A873)/TotalEtapas,0)),"")</f>
        <v>E.E JOÃO FLORENTINO SILVA NETO ANEXA LARANJEIRA</v>
      </c>
      <c r="B874" s="8" t="s">
        <v>112</v>
      </c>
      <c r="C874" s="8">
        <v>9</v>
      </c>
      <c r="D874" s="8" t="s">
        <v>15</v>
      </c>
      <c r="E874" s="8" t="s">
        <v>20</v>
      </c>
      <c r="F874" s="8" t="s">
        <v>125</v>
      </c>
    </row>
    <row r="875" spans="1:6" x14ac:dyDescent="0.25">
      <c r="A875" s="8" t="str" cm="1">
        <f t="array" ref="A875">IFERROR(INDEX(tbNucleo[ESCOLA],ROUNDUP(ROW(A874)/TotalEtapas,0)),"")</f>
        <v>E.E JOÃO FLORENTINO SILVA NETO ANEXA LARANJEIRA</v>
      </c>
      <c r="B875" s="8" t="s">
        <v>112</v>
      </c>
      <c r="C875" s="8">
        <v>10</v>
      </c>
      <c r="D875" s="8" t="s">
        <v>16</v>
      </c>
      <c r="E875" s="8" t="s">
        <v>20</v>
      </c>
      <c r="F875" s="8" t="s">
        <v>126</v>
      </c>
    </row>
    <row r="876" spans="1:6" x14ac:dyDescent="0.25">
      <c r="A876" s="8" t="str" cm="1">
        <f t="array" ref="A876">IFERROR(INDEX(tbNucleo[ESCOLA],ROUNDUP(ROW(A875)/TotalEtapas,0)),"")</f>
        <v>E.E JOÃO FLORENTINO SILVA NETO ANEXA LARANJEIRA</v>
      </c>
      <c r="B876" s="8" t="s">
        <v>112</v>
      </c>
      <c r="C876" s="8">
        <v>11</v>
      </c>
      <c r="D876" s="8" t="s">
        <v>17</v>
      </c>
      <c r="E876" s="8" t="s">
        <v>20</v>
      </c>
      <c r="F876" s="8" t="s">
        <v>126</v>
      </c>
    </row>
    <row r="877" spans="1:6" x14ac:dyDescent="0.25">
      <c r="A877" s="8" t="str" cm="1">
        <f t="array" ref="A877">IFERROR(INDEX(tbNucleo[ESCOLA],ROUNDUP(ROW(A876)/TotalEtapas,0)),"")</f>
        <v>E.E JOÃO FLORENTINO SILVA NETO ANEXA LARANJEIRA</v>
      </c>
      <c r="B877" s="8" t="s">
        <v>112</v>
      </c>
      <c r="C877" s="8">
        <v>12</v>
      </c>
      <c r="D877" s="8" t="s">
        <v>18</v>
      </c>
      <c r="E877" s="8" t="s">
        <v>20</v>
      </c>
      <c r="F877" s="8" t="s">
        <v>126</v>
      </c>
    </row>
    <row r="878" spans="1:6" x14ac:dyDescent="0.25">
      <c r="A878" s="8" t="str" cm="1">
        <f t="array" ref="A878">IFERROR(INDEX(tbNucleo[ESCOLA],ROUNDUP(ROW(A877)/TotalEtapas,0)),"")</f>
        <v>E.E JOÃO FLORENTINO SILVA NETO ANEXA LARANJEIRA</v>
      </c>
      <c r="B878" s="8" t="s">
        <v>112</v>
      </c>
      <c r="C878" s="8">
        <v>13</v>
      </c>
      <c r="D878" s="8" t="s">
        <v>19</v>
      </c>
      <c r="E878" s="8" t="s">
        <v>20</v>
      </c>
      <c r="F878" s="8" t="s">
        <v>126</v>
      </c>
    </row>
    <row r="879" spans="1:6" x14ac:dyDescent="0.25">
      <c r="A879" s="8" t="str" cm="1">
        <f t="array" ref="A879">IFERROR(INDEX(tbNucleo[ESCOLA],ROUNDUP(ROW(A878)/TotalEtapas,0)),"")</f>
        <v>E.E JOÃO FLORENTINO SILVA NETO ANEXA LARANJEIRA</v>
      </c>
      <c r="B879" s="8" t="s">
        <v>112</v>
      </c>
      <c r="C879" s="8">
        <v>14</v>
      </c>
      <c r="D879" s="8" t="s">
        <v>11</v>
      </c>
      <c r="E879" s="8" t="s">
        <v>24</v>
      </c>
      <c r="F879" s="8" t="s">
        <v>126</v>
      </c>
    </row>
    <row r="880" spans="1:6" x14ac:dyDescent="0.25">
      <c r="A880" s="8" t="str" cm="1">
        <f t="array" ref="A880">IFERROR(INDEX(tbNucleo[ESCOLA],ROUNDUP(ROW(A879)/TotalEtapas,0)),"")</f>
        <v>E.E JOÃO FLORENTINO SILVA NETO ANEXA LARANJEIRA</v>
      </c>
      <c r="B880" s="8" t="s">
        <v>112</v>
      </c>
      <c r="C880" s="8">
        <v>15</v>
      </c>
      <c r="D880" s="8" t="s">
        <v>12</v>
      </c>
      <c r="E880" s="8" t="s">
        <v>24</v>
      </c>
      <c r="F880" s="8" t="s">
        <v>126</v>
      </c>
    </row>
    <row r="881" spans="1:6" x14ac:dyDescent="0.25">
      <c r="A881" s="8" t="str" cm="1">
        <f t="array" ref="A881">IFERROR(INDEX(tbNucleo[ESCOLA],ROUNDUP(ROW(A880)/TotalEtapas,0)),"")</f>
        <v>E.E JOÃO FLORENTINO SILVA NETO ANEXA LARANJEIRA</v>
      </c>
      <c r="B881" s="8" t="s">
        <v>112</v>
      </c>
      <c r="C881" s="8">
        <v>16</v>
      </c>
      <c r="D881" s="8" t="s">
        <v>13</v>
      </c>
      <c r="E881" s="8" t="s">
        <v>24</v>
      </c>
      <c r="F881" s="8" t="s">
        <v>126</v>
      </c>
    </row>
    <row r="882" spans="1:6" x14ac:dyDescent="0.25">
      <c r="A882" s="8" t="str" cm="1">
        <f t="array" ref="A882">IFERROR(INDEX(tbNucleo[ESCOLA],ROUNDUP(ROW(A881)/TotalEtapas,0)),"")</f>
        <v>E.E JOÃO FLORENTINO SILVA NETO ANEXA LARANJEIRA</v>
      </c>
      <c r="B882" s="8" t="s">
        <v>112</v>
      </c>
      <c r="C882" s="8">
        <v>17</v>
      </c>
      <c r="D882" s="8" t="s">
        <v>21</v>
      </c>
      <c r="E882" s="8" t="s">
        <v>20</v>
      </c>
      <c r="F882" s="8" t="s">
        <v>125</v>
      </c>
    </row>
    <row r="883" spans="1:6" x14ac:dyDescent="0.25">
      <c r="A883" s="8" t="str" cm="1">
        <f t="array" ref="A883">IFERROR(INDEX(tbNucleo[ESCOLA],ROUNDUP(ROW(A882)/TotalEtapas,0)),"")</f>
        <v>E.E JOÃO FLORENTINO SILVA NETO ANEXA LARANJEIRA</v>
      </c>
      <c r="B883" s="8" t="s">
        <v>112</v>
      </c>
      <c r="C883" s="8">
        <v>18</v>
      </c>
      <c r="D883" s="8" t="s">
        <v>22</v>
      </c>
      <c r="E883" s="8" t="s">
        <v>24</v>
      </c>
      <c r="F883" s="8" t="s">
        <v>125</v>
      </c>
    </row>
    <row r="884" spans="1:6" x14ac:dyDescent="0.25">
      <c r="A884" s="6" t="str" cm="1">
        <f t="array" ref="A884">IFERROR(INDEX(tbNucleo[ESCOLA],ROUNDUP(ROW(A883)/TotalEtapas,0)),"")</f>
        <v>E.E JOÃO FLORENTINO SILVA NETO ANEXA HORIZONTE D'OESTE</v>
      </c>
      <c r="B884" s="6" t="s">
        <v>135</v>
      </c>
      <c r="C884" s="6">
        <v>1</v>
      </c>
      <c r="D884" s="6" t="s">
        <v>7</v>
      </c>
      <c r="E884" s="6" t="s">
        <v>23</v>
      </c>
      <c r="F884" s="6" t="s">
        <v>125</v>
      </c>
    </row>
    <row r="885" spans="1:6" x14ac:dyDescent="0.25">
      <c r="A885" s="6" t="str" cm="1">
        <f t="array" ref="A885">IFERROR(INDEX(tbNucleo[ESCOLA],ROUNDUP(ROW(A884)/TotalEtapas,0)),"")</f>
        <v>E.E JOÃO FLORENTINO SILVA NETO ANEXA HORIZONTE D'OESTE</v>
      </c>
      <c r="B885" s="6" t="s">
        <v>135</v>
      </c>
      <c r="C885" s="6">
        <v>2</v>
      </c>
      <c r="D885" s="6" t="s">
        <v>8</v>
      </c>
      <c r="E885" s="6" t="s">
        <v>23</v>
      </c>
      <c r="F885" s="6" t="s">
        <v>125</v>
      </c>
    </row>
    <row r="886" spans="1:6" x14ac:dyDescent="0.25">
      <c r="A886" s="6" t="str" cm="1">
        <f t="array" ref="A886">IFERROR(INDEX(tbNucleo[ESCOLA],ROUNDUP(ROW(A885)/TotalEtapas,0)),"")</f>
        <v>E.E JOÃO FLORENTINO SILVA NETO ANEXA HORIZONTE D'OESTE</v>
      </c>
      <c r="B886" s="6" t="s">
        <v>135</v>
      </c>
      <c r="C886" s="6">
        <v>3</v>
      </c>
      <c r="D886" s="6" t="s">
        <v>9</v>
      </c>
      <c r="E886" s="6" t="s">
        <v>23</v>
      </c>
      <c r="F886" s="6" t="s">
        <v>125</v>
      </c>
    </row>
    <row r="887" spans="1:6" x14ac:dyDescent="0.25">
      <c r="A887" s="6" t="str" cm="1">
        <f t="array" ref="A887">IFERROR(INDEX(tbNucleo[ESCOLA],ROUNDUP(ROW(A886)/TotalEtapas,0)),"")</f>
        <v>E.E JOÃO FLORENTINO SILVA NETO ANEXA HORIZONTE D'OESTE</v>
      </c>
      <c r="B887" s="6" t="s">
        <v>135</v>
      </c>
      <c r="C887" s="6">
        <v>4</v>
      </c>
      <c r="D887" s="6" t="s">
        <v>10</v>
      </c>
      <c r="E887" s="6" t="s">
        <v>23</v>
      </c>
      <c r="F887" s="6" t="s">
        <v>125</v>
      </c>
    </row>
    <row r="888" spans="1:6" x14ac:dyDescent="0.25">
      <c r="A888" s="6" t="str" cm="1">
        <f t="array" ref="A888">IFERROR(INDEX(tbNucleo[ESCOLA],ROUNDUP(ROW(A887)/TotalEtapas,0)),"")</f>
        <v>E.E JOÃO FLORENTINO SILVA NETO ANEXA HORIZONTE D'OESTE</v>
      </c>
      <c r="B888" s="6" t="s">
        <v>135</v>
      </c>
      <c r="C888" s="6">
        <v>5</v>
      </c>
      <c r="D888" s="6" t="s">
        <v>11</v>
      </c>
      <c r="E888" s="6" t="s">
        <v>20</v>
      </c>
      <c r="F888" s="6" t="s">
        <v>125</v>
      </c>
    </row>
    <row r="889" spans="1:6" x14ac:dyDescent="0.25">
      <c r="A889" s="6" t="str" cm="1">
        <f t="array" ref="A889">IFERROR(INDEX(tbNucleo[ESCOLA],ROUNDUP(ROW(A888)/TotalEtapas,0)),"")</f>
        <v>E.E JOÃO FLORENTINO SILVA NETO ANEXA HORIZONTE D'OESTE</v>
      </c>
      <c r="B889" s="6" t="s">
        <v>135</v>
      </c>
      <c r="C889" s="6">
        <v>6</v>
      </c>
      <c r="D889" s="6" t="s">
        <v>12</v>
      </c>
      <c r="E889" s="6" t="s">
        <v>20</v>
      </c>
      <c r="F889" s="6" t="s">
        <v>125</v>
      </c>
    </row>
    <row r="890" spans="1:6" x14ac:dyDescent="0.25">
      <c r="A890" s="6" t="str" cm="1">
        <f t="array" ref="A890">IFERROR(INDEX(tbNucleo[ESCOLA],ROUNDUP(ROW(A889)/TotalEtapas,0)),"")</f>
        <v>E.E JOÃO FLORENTINO SILVA NETO ANEXA HORIZONTE D'OESTE</v>
      </c>
      <c r="B890" s="6" t="s">
        <v>135</v>
      </c>
      <c r="C890" s="6">
        <v>7</v>
      </c>
      <c r="D890" s="6" t="s">
        <v>13</v>
      </c>
      <c r="E890" s="6" t="s">
        <v>20</v>
      </c>
      <c r="F890" s="6" t="s">
        <v>125</v>
      </c>
    </row>
    <row r="891" spans="1:6" x14ac:dyDescent="0.25">
      <c r="A891" s="6" t="str" cm="1">
        <f t="array" ref="A891">IFERROR(INDEX(tbNucleo[ESCOLA],ROUNDUP(ROW(A890)/TotalEtapas,0)),"")</f>
        <v>E.E JOÃO FLORENTINO SILVA NETO ANEXA HORIZONTE D'OESTE</v>
      </c>
      <c r="B891" s="6" t="s">
        <v>135</v>
      </c>
      <c r="C891" s="6">
        <v>8</v>
      </c>
      <c r="D891" s="6" t="s">
        <v>14</v>
      </c>
      <c r="E891" s="6" t="s">
        <v>20</v>
      </c>
      <c r="F891" s="6" t="s">
        <v>125</v>
      </c>
    </row>
    <row r="892" spans="1:6" x14ac:dyDescent="0.25">
      <c r="A892" s="6" t="str" cm="1">
        <f t="array" ref="A892">IFERROR(INDEX(tbNucleo[ESCOLA],ROUNDUP(ROW(A891)/TotalEtapas,0)),"")</f>
        <v>E.E JOÃO FLORENTINO SILVA NETO ANEXA HORIZONTE D'OESTE</v>
      </c>
      <c r="B892" s="6" t="s">
        <v>135</v>
      </c>
      <c r="C892" s="6">
        <v>9</v>
      </c>
      <c r="D892" s="6" t="s">
        <v>15</v>
      </c>
      <c r="E892" s="6" t="s">
        <v>20</v>
      </c>
      <c r="F892" s="6" t="s">
        <v>125</v>
      </c>
    </row>
    <row r="893" spans="1:6" x14ac:dyDescent="0.25">
      <c r="A893" s="6" t="str" cm="1">
        <f t="array" ref="A893">IFERROR(INDEX(tbNucleo[ESCOLA],ROUNDUP(ROW(A892)/TotalEtapas,0)),"")</f>
        <v>E.E JOÃO FLORENTINO SILVA NETO ANEXA HORIZONTE D'OESTE</v>
      </c>
      <c r="B893" s="6" t="s">
        <v>135</v>
      </c>
      <c r="C893" s="6">
        <v>10</v>
      </c>
      <c r="D893" s="6" t="s">
        <v>16</v>
      </c>
      <c r="E893" s="6" t="s">
        <v>20</v>
      </c>
      <c r="F893" s="6" t="s">
        <v>126</v>
      </c>
    </row>
    <row r="894" spans="1:6" x14ac:dyDescent="0.25">
      <c r="A894" s="6" t="str" cm="1">
        <f t="array" ref="A894">IFERROR(INDEX(tbNucleo[ESCOLA],ROUNDUP(ROW(A893)/TotalEtapas,0)),"")</f>
        <v>E.E JOÃO FLORENTINO SILVA NETO ANEXA HORIZONTE D'OESTE</v>
      </c>
      <c r="B894" s="6" t="s">
        <v>135</v>
      </c>
      <c r="C894" s="6">
        <v>11</v>
      </c>
      <c r="D894" s="6" t="s">
        <v>17</v>
      </c>
      <c r="E894" s="6" t="s">
        <v>20</v>
      </c>
      <c r="F894" s="6" t="s">
        <v>126</v>
      </c>
    </row>
    <row r="895" spans="1:6" x14ac:dyDescent="0.25">
      <c r="A895" s="6" t="str" cm="1">
        <f t="array" ref="A895">IFERROR(INDEX(tbNucleo[ESCOLA],ROUNDUP(ROW(A894)/TotalEtapas,0)),"")</f>
        <v>E.E JOÃO FLORENTINO SILVA NETO ANEXA HORIZONTE D'OESTE</v>
      </c>
      <c r="B895" s="6" t="s">
        <v>135</v>
      </c>
      <c r="C895" s="6">
        <v>12</v>
      </c>
      <c r="D895" s="6" t="s">
        <v>18</v>
      </c>
      <c r="E895" s="6" t="s">
        <v>20</v>
      </c>
      <c r="F895" s="6" t="s">
        <v>126</v>
      </c>
    </row>
    <row r="896" spans="1:6" x14ac:dyDescent="0.25">
      <c r="A896" s="6" t="str" cm="1">
        <f t="array" ref="A896">IFERROR(INDEX(tbNucleo[ESCOLA],ROUNDUP(ROW(A895)/TotalEtapas,0)),"")</f>
        <v>E.E JOÃO FLORENTINO SILVA NETO ANEXA HORIZONTE D'OESTE</v>
      </c>
      <c r="B896" s="6" t="s">
        <v>135</v>
      </c>
      <c r="C896" s="6">
        <v>13</v>
      </c>
      <c r="D896" s="6" t="s">
        <v>19</v>
      </c>
      <c r="E896" s="6" t="s">
        <v>20</v>
      </c>
      <c r="F896" s="6" t="s">
        <v>126</v>
      </c>
    </row>
    <row r="897" spans="1:6" x14ac:dyDescent="0.25">
      <c r="A897" s="6" t="str" cm="1">
        <f t="array" ref="A897">IFERROR(INDEX(tbNucleo[ESCOLA],ROUNDUP(ROW(A896)/TotalEtapas,0)),"")</f>
        <v>E.E JOÃO FLORENTINO SILVA NETO ANEXA HORIZONTE D'OESTE</v>
      </c>
      <c r="B897" s="6" t="s">
        <v>135</v>
      </c>
      <c r="C897" s="6">
        <v>14</v>
      </c>
      <c r="D897" s="6" t="s">
        <v>11</v>
      </c>
      <c r="E897" s="6" t="s">
        <v>24</v>
      </c>
      <c r="F897" s="6" t="s">
        <v>126</v>
      </c>
    </row>
    <row r="898" spans="1:6" x14ac:dyDescent="0.25">
      <c r="A898" s="6" t="str" cm="1">
        <f t="array" ref="A898">IFERROR(INDEX(tbNucleo[ESCOLA],ROUNDUP(ROW(A897)/TotalEtapas,0)),"")</f>
        <v>E.E JOÃO FLORENTINO SILVA NETO ANEXA HORIZONTE D'OESTE</v>
      </c>
      <c r="B898" s="6" t="s">
        <v>135</v>
      </c>
      <c r="C898" s="6">
        <v>15</v>
      </c>
      <c r="D898" s="6" t="s">
        <v>12</v>
      </c>
      <c r="E898" s="6" t="s">
        <v>24</v>
      </c>
      <c r="F898" s="6" t="s">
        <v>126</v>
      </c>
    </row>
    <row r="899" spans="1:6" x14ac:dyDescent="0.25">
      <c r="A899" s="6" t="str" cm="1">
        <f t="array" ref="A899">IFERROR(INDEX(tbNucleo[ESCOLA],ROUNDUP(ROW(A898)/TotalEtapas,0)),"")</f>
        <v>E.E JOÃO FLORENTINO SILVA NETO ANEXA HORIZONTE D'OESTE</v>
      </c>
      <c r="B899" s="6" t="s">
        <v>135</v>
      </c>
      <c r="C899" s="6">
        <v>16</v>
      </c>
      <c r="D899" s="6" t="s">
        <v>13</v>
      </c>
      <c r="E899" s="6" t="s">
        <v>24</v>
      </c>
      <c r="F899" s="6" t="s">
        <v>126</v>
      </c>
    </row>
    <row r="900" spans="1:6" x14ac:dyDescent="0.25">
      <c r="A900" s="6" t="str" cm="1">
        <f t="array" ref="A900">IFERROR(INDEX(tbNucleo[ESCOLA],ROUNDUP(ROW(A899)/TotalEtapas,0)),"")</f>
        <v>E.E JOÃO FLORENTINO SILVA NETO ANEXA HORIZONTE D'OESTE</v>
      </c>
      <c r="B900" s="6" t="s">
        <v>135</v>
      </c>
      <c r="C900" s="6">
        <v>17</v>
      </c>
      <c r="D900" s="6" t="s">
        <v>21</v>
      </c>
      <c r="E900" s="6" t="s">
        <v>20</v>
      </c>
      <c r="F900" s="6" t="s">
        <v>125</v>
      </c>
    </row>
    <row r="901" spans="1:6" x14ac:dyDescent="0.25">
      <c r="A901" s="6" t="str" cm="1">
        <f t="array" ref="A901">IFERROR(INDEX(tbNucleo[ESCOLA],ROUNDUP(ROW(A900)/TotalEtapas,0)),"")</f>
        <v>E.E JOÃO FLORENTINO SILVA NETO ANEXA HORIZONTE D'OESTE</v>
      </c>
      <c r="B901" s="6" t="s">
        <v>135</v>
      </c>
      <c r="C901" s="6">
        <v>18</v>
      </c>
      <c r="D901" s="6" t="s">
        <v>22</v>
      </c>
      <c r="E901" s="6" t="s">
        <v>24</v>
      </c>
      <c r="F901" s="6" t="s">
        <v>125</v>
      </c>
    </row>
    <row r="902" spans="1:6" x14ac:dyDescent="0.25">
      <c r="A902" t="str" cm="1">
        <f t="array" ref="A902">IFERROR(INDEX(tbNucleo[ESCOLA],ROUNDUP(ROW(A901)/TotalEtapas,0)),"")</f>
        <v/>
      </c>
    </row>
    <row r="903" spans="1:6" x14ac:dyDescent="0.25">
      <c r="A903" t="str" cm="1">
        <f t="array" ref="A903">IFERROR(INDEX(tbNucleo[ESCOLA],ROUNDUP(ROW(A902)/TotalEtapas,0)),"")</f>
        <v/>
      </c>
    </row>
    <row r="904" spans="1:6" x14ac:dyDescent="0.25">
      <c r="A904" t="str" cm="1">
        <f t="array" ref="A904">IFERROR(INDEX(tbNucleo[ESCOLA],ROUNDUP(ROW(A903)/TotalEtapas,0)),"")</f>
        <v/>
      </c>
    </row>
    <row r="905" spans="1:6" x14ac:dyDescent="0.25">
      <c r="A905" t="str" cm="1">
        <f t="array" ref="A905">IFERROR(INDEX(tbNucleo[ESCOLA],ROUNDUP(ROW(A904)/TotalEtapas,0)),"")</f>
        <v/>
      </c>
    </row>
    <row r="906" spans="1:6" x14ac:dyDescent="0.25">
      <c r="A906" t="str" cm="1">
        <f t="array" ref="A906">IFERROR(INDEX(tbNucleo[ESCOLA],ROUNDUP(ROW(A905)/TotalEtapas,0)),"")</f>
        <v/>
      </c>
    </row>
    <row r="907" spans="1:6" x14ac:dyDescent="0.25">
      <c r="A907" t="str" cm="1">
        <f t="array" ref="A907">IFERROR(INDEX(tbNucleo[ESCOLA],ROUNDUP(ROW(A906)/TotalEtapas,0)),"")</f>
        <v/>
      </c>
    </row>
    <row r="908" spans="1:6" x14ac:dyDescent="0.25">
      <c r="A908" t="str" cm="1">
        <f t="array" ref="A908">IFERROR(INDEX(tbNucleo[ESCOLA],ROUNDUP(ROW(A907)/TotalEtapas,0)),"")</f>
        <v/>
      </c>
    </row>
    <row r="909" spans="1:6" x14ac:dyDescent="0.25">
      <c r="A909" t="str" cm="1">
        <f t="array" ref="A909">IFERROR(INDEX(tbNucleo[ESCOLA],ROUNDUP(ROW(A908)/TotalEtapas,0)),"")</f>
        <v/>
      </c>
    </row>
    <row r="910" spans="1:6" x14ac:dyDescent="0.25">
      <c r="A910" t="str" cm="1">
        <f t="array" ref="A910">IFERROR(INDEX(tbNucleo[ESCOLA],ROUNDUP(ROW(A909)/TotalEtapas,0)),"")</f>
        <v/>
      </c>
    </row>
    <row r="911" spans="1:6" x14ac:dyDescent="0.25">
      <c r="A911" t="str" cm="1">
        <f t="array" ref="A911">IFERROR(INDEX(tbNucleo[ESCOLA],ROUNDUP(ROW(A910)/TotalEtapas,0)),"")</f>
        <v/>
      </c>
    </row>
    <row r="912" spans="1:6" x14ac:dyDescent="0.25">
      <c r="A912" t="str" cm="1">
        <f t="array" ref="A912">IFERROR(INDEX(tbNucleo[ESCOLA],ROUNDUP(ROW(A911)/TotalEtapas,0)),"")</f>
        <v/>
      </c>
    </row>
    <row r="913" spans="1:1" x14ac:dyDescent="0.25">
      <c r="A913" t="str" cm="1">
        <f t="array" ref="A913">IFERROR(INDEX(tbNucleo[ESCOLA],ROUNDUP(ROW(A912)/TotalEtapas,0)),"")</f>
        <v/>
      </c>
    </row>
    <row r="914" spans="1:1" x14ac:dyDescent="0.25">
      <c r="A914" t="str" cm="1">
        <f t="array" ref="A914">IFERROR(INDEX(tbNucleo[ESCOLA],ROUNDUP(ROW(A913)/TotalEtapas,0)),"")</f>
        <v/>
      </c>
    </row>
    <row r="915" spans="1:1" x14ac:dyDescent="0.25">
      <c r="A915" t="str" cm="1">
        <f t="array" ref="A915">IFERROR(INDEX(tbNucleo[ESCOLA],ROUNDUP(ROW(A914)/TotalEtapas,0)),"")</f>
        <v/>
      </c>
    </row>
    <row r="916" spans="1:1" x14ac:dyDescent="0.25">
      <c r="A916" t="str" cm="1">
        <f t="array" ref="A916">IFERROR(INDEX(tbNucleo[ESCOLA],ROUNDUP(ROW(A915)/TotalEtapas,0)),"")</f>
        <v/>
      </c>
    </row>
    <row r="917" spans="1:1" x14ac:dyDescent="0.25">
      <c r="A917" t="str" cm="1">
        <f t="array" ref="A917">IFERROR(INDEX(tbNucleo[ESCOLA],ROUNDUP(ROW(A916)/TotalEtapas,0)),"")</f>
        <v/>
      </c>
    </row>
    <row r="918" spans="1:1" x14ac:dyDescent="0.25">
      <c r="A918" t="str" cm="1">
        <f t="array" ref="A918">IFERROR(INDEX(tbNucleo[ESCOLA],ROUNDUP(ROW(A917)/TotalEtapas,0)),"")</f>
        <v/>
      </c>
    </row>
    <row r="919" spans="1:1" x14ac:dyDescent="0.25">
      <c r="A919" t="str" cm="1">
        <f t="array" ref="A919">IFERROR(INDEX(tbNucleo[ESCOLA],ROUNDUP(ROW(A918)/TotalEtapas,0)),"")</f>
        <v/>
      </c>
    </row>
    <row r="920" spans="1:1" x14ac:dyDescent="0.25">
      <c r="A920" t="str" cm="1">
        <f t="array" ref="A920">IFERROR(INDEX(tbNucleo[ESCOLA],ROUNDUP(ROW(A919)/TotalEtapas,0)),"")</f>
        <v/>
      </c>
    </row>
    <row r="921" spans="1:1" x14ac:dyDescent="0.25">
      <c r="A921" t="str" cm="1">
        <f t="array" ref="A921">IFERROR(INDEX(tbNucleo[ESCOLA],ROUNDUP(ROW(A920)/TotalEtapas,0)),"")</f>
        <v/>
      </c>
    </row>
    <row r="922" spans="1:1" x14ac:dyDescent="0.25">
      <c r="A922" t="str" cm="1">
        <f t="array" ref="A922">IFERROR(INDEX(tbNucleo[ESCOLA],ROUNDUP(ROW(A921)/TotalEtapas,0)),"")</f>
        <v/>
      </c>
    </row>
    <row r="923" spans="1:1" x14ac:dyDescent="0.25">
      <c r="A923" t="str" cm="1">
        <f t="array" ref="A923">IFERROR(INDEX(tbNucleo[ESCOLA],ROUNDUP(ROW(A922)/TotalEtapas,0)),"")</f>
        <v/>
      </c>
    </row>
    <row r="924" spans="1:1" x14ac:dyDescent="0.25">
      <c r="A924" t="str" cm="1">
        <f t="array" ref="A924">IFERROR(INDEX(tbNucleo[ESCOLA],ROUNDUP(ROW(A923)/TotalEtapas,0)),"")</f>
        <v/>
      </c>
    </row>
    <row r="925" spans="1:1" x14ac:dyDescent="0.25">
      <c r="A925" t="str" cm="1">
        <f t="array" ref="A925">IFERROR(INDEX(tbNucleo[ESCOLA],ROUNDUP(ROW(A924)/TotalEtapas,0)),"")</f>
        <v/>
      </c>
    </row>
    <row r="926" spans="1:1" x14ac:dyDescent="0.25">
      <c r="A926" t="str" cm="1">
        <f t="array" ref="A926">IFERROR(INDEX(tbNucleo[ESCOLA],ROUNDUP(ROW(A925)/TotalEtapas,0)),"")</f>
        <v/>
      </c>
    </row>
    <row r="927" spans="1:1" x14ac:dyDescent="0.25">
      <c r="A927" t="str" cm="1">
        <f t="array" ref="A927">IFERROR(INDEX(tbNucleo[ESCOLA],ROUNDUP(ROW(A926)/TotalEtapas,0)),"")</f>
        <v/>
      </c>
    </row>
    <row r="928" spans="1:1" x14ac:dyDescent="0.25">
      <c r="A928" t="str" cm="1">
        <f t="array" ref="A928">IFERROR(INDEX(tbNucleo[ESCOLA],ROUNDUP(ROW(A927)/TotalEtapas,0)),"")</f>
        <v/>
      </c>
    </row>
    <row r="929" spans="1:1" x14ac:dyDescent="0.25">
      <c r="A929" t="str" cm="1">
        <f t="array" ref="A929">IFERROR(INDEX(tbNucleo[ESCOLA],ROUNDUP(ROW(A928)/TotalEtapas,0)),"")</f>
        <v/>
      </c>
    </row>
    <row r="930" spans="1:1" x14ac:dyDescent="0.25">
      <c r="A930" t="str" cm="1">
        <f t="array" ref="A930">IFERROR(INDEX(tbNucleo[ESCOLA],ROUNDUP(ROW(A929)/TotalEtapas,0)),"")</f>
        <v/>
      </c>
    </row>
    <row r="931" spans="1:1" x14ac:dyDescent="0.25">
      <c r="A931" t="str" cm="1">
        <f t="array" ref="A931">IFERROR(INDEX(tbNucleo[ESCOLA],ROUNDUP(ROW(A930)/TotalEtapas,0)),"")</f>
        <v/>
      </c>
    </row>
    <row r="932" spans="1:1" x14ac:dyDescent="0.25">
      <c r="A932" t="str" cm="1">
        <f t="array" ref="A932">IFERROR(INDEX(tbNucleo[ESCOLA],ROUNDUP(ROW(A931)/TotalEtapas,0)),"")</f>
        <v/>
      </c>
    </row>
    <row r="933" spans="1:1" x14ac:dyDescent="0.25">
      <c r="A933" t="str" cm="1">
        <f t="array" ref="A933">IFERROR(INDEX(tbNucleo[ESCOLA],ROUNDUP(ROW(A932)/TotalEtapas,0)),"")</f>
        <v/>
      </c>
    </row>
    <row r="934" spans="1:1" x14ac:dyDescent="0.25">
      <c r="A934" t="str" cm="1">
        <f t="array" ref="A934">IFERROR(INDEX(tbNucleo[ESCOLA],ROUNDUP(ROW(A933)/TotalEtapas,0)),"")</f>
        <v/>
      </c>
    </row>
    <row r="935" spans="1:1" x14ac:dyDescent="0.25">
      <c r="A935" t="str" cm="1">
        <f t="array" ref="A935">IFERROR(INDEX(tbNucleo[ESCOLA],ROUNDUP(ROW(A934)/TotalEtapas,0)),"")</f>
        <v/>
      </c>
    </row>
    <row r="936" spans="1:1" x14ac:dyDescent="0.25">
      <c r="A936" t="str" cm="1">
        <f t="array" ref="A936">IFERROR(INDEX(tbNucleo[ESCOLA],ROUNDUP(ROW(A935)/TotalEtapas,0)),"")</f>
        <v/>
      </c>
    </row>
    <row r="937" spans="1:1" x14ac:dyDescent="0.25">
      <c r="A937" t="str" cm="1">
        <f t="array" ref="A937">IFERROR(INDEX(tbNucleo[ESCOLA],ROUNDUP(ROW(A936)/TotalEtapas,0)),"")</f>
        <v/>
      </c>
    </row>
    <row r="938" spans="1:1" x14ac:dyDescent="0.25">
      <c r="A938" t="str" cm="1">
        <f t="array" ref="A938">IFERROR(INDEX(tbNucleo[ESCOLA],ROUNDUP(ROW(A937)/TotalEtapas,0)),"")</f>
        <v/>
      </c>
    </row>
    <row r="939" spans="1:1" x14ac:dyDescent="0.25">
      <c r="A939" t="str" cm="1">
        <f t="array" ref="A939">IFERROR(INDEX(tbNucleo[ESCOLA],ROUNDUP(ROW(A938)/TotalEtapas,0)),"")</f>
        <v/>
      </c>
    </row>
    <row r="940" spans="1:1" x14ac:dyDescent="0.25">
      <c r="A940" t="str" cm="1">
        <f t="array" ref="A940">IFERROR(INDEX(tbNucleo[ESCOLA],ROUNDUP(ROW(A939)/TotalEtapas,0)),"")</f>
        <v/>
      </c>
    </row>
    <row r="941" spans="1:1" x14ac:dyDescent="0.25">
      <c r="A941" t="str" cm="1">
        <f t="array" ref="A941">IFERROR(INDEX(tbNucleo[ESCOLA],ROUNDUP(ROW(A940)/TotalEtapas,0)),"")</f>
        <v/>
      </c>
    </row>
    <row r="942" spans="1:1" x14ac:dyDescent="0.25">
      <c r="A942" t="str" cm="1">
        <f t="array" ref="A942">IFERROR(INDEX(tbNucleo[ESCOLA],ROUNDUP(ROW(A941)/TotalEtapas,0)),"")</f>
        <v/>
      </c>
    </row>
    <row r="943" spans="1:1" x14ac:dyDescent="0.25">
      <c r="A943" t="str" cm="1">
        <f t="array" ref="A943">IFERROR(INDEX(tbNucleo[ESCOLA],ROUNDUP(ROW(A942)/TotalEtapas,0)),"")</f>
        <v/>
      </c>
    </row>
    <row r="944" spans="1:1" x14ac:dyDescent="0.25">
      <c r="A944" t="str" cm="1">
        <f t="array" ref="A944">IFERROR(INDEX(tbNucleo[ESCOLA],ROUNDUP(ROW(A943)/TotalEtapas,0)),"")</f>
        <v/>
      </c>
    </row>
    <row r="945" spans="1:1" x14ac:dyDescent="0.25">
      <c r="A945" t="str" cm="1">
        <f t="array" ref="A945">IFERROR(INDEX(tbNucleo[ESCOLA],ROUNDUP(ROW(A944)/TotalEtapas,0)),"")</f>
        <v/>
      </c>
    </row>
    <row r="946" spans="1:1" x14ac:dyDescent="0.25">
      <c r="A946" t="str" cm="1">
        <f t="array" ref="A946">IFERROR(INDEX(tbNucleo[ESCOLA],ROUNDUP(ROW(A945)/TotalEtapas,0)),"")</f>
        <v/>
      </c>
    </row>
    <row r="947" spans="1:1" x14ac:dyDescent="0.25">
      <c r="A947" t="str" cm="1">
        <f t="array" ref="A947">IFERROR(INDEX(tbNucleo[ESCOLA],ROUNDUP(ROW(A946)/TotalEtapas,0)),"")</f>
        <v/>
      </c>
    </row>
    <row r="948" spans="1:1" x14ac:dyDescent="0.25">
      <c r="A948" t="str" cm="1">
        <f t="array" ref="A948">IFERROR(INDEX(tbNucleo[ESCOLA],ROUNDUP(ROW(A947)/TotalEtapas,0)),"")</f>
        <v/>
      </c>
    </row>
    <row r="949" spans="1:1" x14ac:dyDescent="0.25">
      <c r="A949" t="str" cm="1">
        <f t="array" ref="A949">IFERROR(INDEX(tbNucleo[ESCOLA],ROUNDUP(ROW(A948)/TotalEtapas,0)),"")</f>
        <v/>
      </c>
    </row>
    <row r="950" spans="1:1" x14ac:dyDescent="0.25">
      <c r="A950" t="str" cm="1">
        <f t="array" ref="A950">IFERROR(INDEX(tbNucleo[ESCOLA],ROUNDUP(ROW(A949)/TotalEtapas,0)),"")</f>
        <v/>
      </c>
    </row>
    <row r="951" spans="1:1" x14ac:dyDescent="0.25">
      <c r="A951" t="str" cm="1">
        <f t="array" ref="A951">IFERROR(INDEX(tbNucleo[ESCOLA],ROUNDUP(ROW(A950)/TotalEtapas,0)),"")</f>
        <v/>
      </c>
    </row>
    <row r="952" spans="1:1" x14ac:dyDescent="0.25">
      <c r="A952" t="str" cm="1">
        <f t="array" ref="A952">IFERROR(INDEX(tbNucleo[ESCOLA],ROUNDUP(ROW(A951)/TotalEtapas,0)),"")</f>
        <v/>
      </c>
    </row>
    <row r="953" spans="1:1" x14ac:dyDescent="0.25">
      <c r="A953" t="str" cm="1">
        <f t="array" ref="A953">IFERROR(INDEX(tbNucleo[ESCOLA],ROUNDUP(ROW(A952)/TotalEtapas,0)),"")</f>
        <v/>
      </c>
    </row>
    <row r="954" spans="1:1" x14ac:dyDescent="0.25">
      <c r="A954" t="str" cm="1">
        <f t="array" ref="A954">IFERROR(INDEX(tbNucleo[ESCOLA],ROUNDUP(ROW(A953)/TotalEtapas,0)),"")</f>
        <v/>
      </c>
    </row>
    <row r="955" spans="1:1" x14ac:dyDescent="0.25">
      <c r="A955" t="str" cm="1">
        <f t="array" ref="A955">IFERROR(INDEX(tbNucleo[ESCOLA],ROUNDUP(ROW(A954)/TotalEtapas,0)),"")</f>
        <v/>
      </c>
    </row>
    <row r="956" spans="1:1" x14ac:dyDescent="0.25">
      <c r="A956" t="str" cm="1">
        <f t="array" ref="A956">IFERROR(INDEX(tbNucleo[ESCOLA],ROUNDUP(ROW(A955)/TotalEtapas,0)),"")</f>
        <v/>
      </c>
    </row>
    <row r="957" spans="1:1" x14ac:dyDescent="0.25">
      <c r="A957" t="str" cm="1">
        <f t="array" ref="A957">IFERROR(INDEX(tbNucleo[ESCOLA],ROUNDUP(ROW(A956)/TotalEtapas,0)),"")</f>
        <v/>
      </c>
    </row>
    <row r="958" spans="1:1" x14ac:dyDescent="0.25">
      <c r="A958" t="str" cm="1">
        <f t="array" ref="A958">IFERROR(INDEX(tbNucleo[ESCOLA],ROUNDUP(ROW(A957)/TotalEtapas,0)),"")</f>
        <v/>
      </c>
    </row>
    <row r="959" spans="1:1" x14ac:dyDescent="0.25">
      <c r="A959" t="str" cm="1">
        <f t="array" ref="A959">IFERROR(INDEX(tbNucleo[ESCOLA],ROUNDUP(ROW(A958)/TotalEtapas,0)),"")</f>
        <v/>
      </c>
    </row>
    <row r="960" spans="1:1" x14ac:dyDescent="0.25">
      <c r="A960" t="str" cm="1">
        <f t="array" ref="A960">IFERROR(INDEX(tbNucleo[ESCOLA],ROUNDUP(ROW(A959)/TotalEtapas,0)),"")</f>
        <v/>
      </c>
    </row>
    <row r="961" spans="1:1" x14ac:dyDescent="0.25">
      <c r="A961" t="str" cm="1">
        <f t="array" ref="A961">IFERROR(INDEX(tbNucleo[ESCOLA],ROUNDUP(ROW(A960)/TotalEtapas,0)),"")</f>
        <v/>
      </c>
    </row>
    <row r="962" spans="1:1" x14ac:dyDescent="0.25">
      <c r="A962" t="str" cm="1">
        <f t="array" ref="A962">IFERROR(INDEX(tbNucleo[ESCOLA],ROUNDUP(ROW(A961)/TotalEtapas,0)),"")</f>
        <v/>
      </c>
    </row>
    <row r="963" spans="1:1" x14ac:dyDescent="0.25">
      <c r="A963" t="str" cm="1">
        <f t="array" ref="A963">IFERROR(INDEX(tbNucleo[ESCOLA],ROUNDUP(ROW(A962)/TotalEtapas,0)),"")</f>
        <v/>
      </c>
    </row>
    <row r="964" spans="1:1" x14ac:dyDescent="0.25">
      <c r="A964" t="str" cm="1">
        <f t="array" ref="A964">IFERROR(INDEX(tbNucleo[ESCOLA],ROUNDUP(ROW(A963)/TotalEtapas,0)),"")</f>
        <v/>
      </c>
    </row>
    <row r="965" spans="1:1" x14ac:dyDescent="0.25">
      <c r="A965" t="str" cm="1">
        <f t="array" ref="A965">IFERROR(INDEX(tbNucleo[ESCOLA],ROUNDUP(ROW(A964)/TotalEtapas,0)),"")</f>
        <v/>
      </c>
    </row>
    <row r="966" spans="1:1" x14ac:dyDescent="0.25">
      <c r="A966" t="str" cm="1">
        <f t="array" ref="A966">IFERROR(INDEX(tbNucleo[ESCOLA],ROUNDUP(ROW(A965)/TotalEtapas,0)),"")</f>
        <v/>
      </c>
    </row>
    <row r="967" spans="1:1" x14ac:dyDescent="0.25">
      <c r="A967" t="str" cm="1">
        <f t="array" ref="A967">IFERROR(INDEX(tbNucleo[ESCOLA],ROUNDUP(ROW(A966)/TotalEtapas,0)),"")</f>
        <v/>
      </c>
    </row>
    <row r="968" spans="1:1" x14ac:dyDescent="0.25">
      <c r="A968" t="str" cm="1">
        <f t="array" ref="A968">IFERROR(INDEX(tbNucleo[ESCOLA],ROUNDUP(ROW(A967)/TotalEtapas,0)),"")</f>
        <v/>
      </c>
    </row>
    <row r="969" spans="1:1" x14ac:dyDescent="0.25">
      <c r="A969" t="str" cm="1">
        <f t="array" ref="A969">IFERROR(INDEX(tbNucleo[ESCOLA],ROUNDUP(ROW(A968)/TotalEtapas,0)),"")</f>
        <v/>
      </c>
    </row>
    <row r="970" spans="1:1" x14ac:dyDescent="0.25">
      <c r="A970" t="str" cm="1">
        <f t="array" ref="A970">IFERROR(INDEX(tbNucleo[ESCOLA],ROUNDUP(ROW(A969)/TotalEtapas,0)),"")</f>
        <v/>
      </c>
    </row>
    <row r="971" spans="1:1" x14ac:dyDescent="0.25">
      <c r="A971" t="str" cm="1">
        <f t="array" ref="A971">IFERROR(INDEX(tbNucleo[ESCOLA],ROUNDUP(ROW(A970)/TotalEtapas,0)),"")</f>
        <v/>
      </c>
    </row>
    <row r="972" spans="1:1" x14ac:dyDescent="0.25">
      <c r="A972" t="str" cm="1">
        <f t="array" ref="A972">IFERROR(INDEX(tbNucleo[ESCOLA],ROUNDUP(ROW(A971)/TotalEtapas,0)),"")</f>
        <v/>
      </c>
    </row>
    <row r="973" spans="1:1" x14ac:dyDescent="0.25">
      <c r="A973" t="str" cm="1">
        <f t="array" ref="A973">IFERROR(INDEX(tbNucleo[ESCOLA],ROUNDUP(ROW(A972)/TotalEtapas,0)),"")</f>
        <v/>
      </c>
    </row>
    <row r="974" spans="1:1" x14ac:dyDescent="0.25">
      <c r="A974" t="str" cm="1">
        <f t="array" ref="A974">IFERROR(INDEX(tbNucleo[ESCOLA],ROUNDUP(ROW(A973)/TotalEtapas,0)),"")</f>
        <v/>
      </c>
    </row>
    <row r="975" spans="1:1" x14ac:dyDescent="0.25">
      <c r="A975" t="str" cm="1">
        <f t="array" ref="A975">IFERROR(INDEX(tbNucleo[ESCOLA],ROUNDUP(ROW(A974)/TotalEtapas,0)),"")</f>
        <v/>
      </c>
    </row>
    <row r="976" spans="1:1" x14ac:dyDescent="0.25">
      <c r="A976" t="str" cm="1">
        <f t="array" ref="A976">IFERROR(INDEX(tbNucleo[ESCOLA],ROUNDUP(ROW(A975)/TotalEtapas,0)),"")</f>
        <v/>
      </c>
    </row>
    <row r="977" spans="1:1" x14ac:dyDescent="0.25">
      <c r="A977" t="str" cm="1">
        <f t="array" ref="A977">IFERROR(INDEX(tbNucleo[ESCOLA],ROUNDUP(ROW(A976)/TotalEtapas,0)),"")</f>
        <v/>
      </c>
    </row>
    <row r="978" spans="1:1" x14ac:dyDescent="0.25">
      <c r="A978" t="str" cm="1">
        <f t="array" ref="A978">IFERROR(INDEX(tbNucleo[ESCOLA],ROUNDUP(ROW(A977)/TotalEtapas,0)),"")</f>
        <v/>
      </c>
    </row>
    <row r="979" spans="1:1" x14ac:dyDescent="0.25">
      <c r="A979" t="str" cm="1">
        <f t="array" ref="A979">IFERROR(INDEX(tbNucleo[ESCOLA],ROUNDUP(ROW(A978)/TotalEtapas,0)),"")</f>
        <v/>
      </c>
    </row>
    <row r="980" spans="1:1" x14ac:dyDescent="0.25">
      <c r="A980" t="str" cm="1">
        <f t="array" ref="A980">IFERROR(INDEX(tbNucleo[ESCOLA],ROUNDUP(ROW(A979)/TotalEtapas,0)),"")</f>
        <v/>
      </c>
    </row>
    <row r="981" spans="1:1" x14ac:dyDescent="0.25">
      <c r="A981" t="str" cm="1">
        <f t="array" ref="A981">IFERROR(INDEX(tbNucleo[ESCOLA],ROUNDUP(ROW(A980)/TotalEtapas,0)),"")</f>
        <v/>
      </c>
    </row>
    <row r="982" spans="1:1" x14ac:dyDescent="0.25">
      <c r="A982" t="str" cm="1">
        <f t="array" ref="A982">IFERROR(INDEX(tbNucleo[ESCOLA],ROUNDUP(ROW(A981)/TotalEtapas,0)),"")</f>
        <v/>
      </c>
    </row>
    <row r="983" spans="1:1" x14ac:dyDescent="0.25">
      <c r="A983" t="str" cm="1">
        <f t="array" ref="A983">IFERROR(INDEX(tbNucleo[ESCOLA],ROUNDUP(ROW(A982)/TotalEtapas,0)),"")</f>
        <v/>
      </c>
    </row>
    <row r="984" spans="1:1" x14ac:dyDescent="0.25">
      <c r="A984" t="str" cm="1">
        <f t="array" ref="A984">IFERROR(INDEX(tbNucleo[ESCOLA],ROUNDUP(ROW(A983)/TotalEtapas,0)),"")</f>
        <v/>
      </c>
    </row>
    <row r="985" spans="1:1" x14ac:dyDescent="0.25">
      <c r="A985" t="str" cm="1">
        <f t="array" ref="A985">IFERROR(INDEX(tbNucleo[ESCOLA],ROUNDUP(ROW(A984)/TotalEtapas,0)),"")</f>
        <v/>
      </c>
    </row>
    <row r="986" spans="1:1" x14ac:dyDescent="0.25">
      <c r="A986" t="str" cm="1">
        <f t="array" ref="A986">IFERROR(INDEX(tbNucleo[ESCOLA],ROUNDUP(ROW(A985)/TotalEtapas,0)),"")</f>
        <v/>
      </c>
    </row>
    <row r="987" spans="1:1" x14ac:dyDescent="0.25">
      <c r="A987" t="str" cm="1">
        <f t="array" ref="A987">IFERROR(INDEX(tbNucleo[ESCOLA],ROUNDUP(ROW(A986)/TotalEtapas,0)),"")</f>
        <v/>
      </c>
    </row>
    <row r="988" spans="1:1" x14ac:dyDescent="0.25">
      <c r="A988" t="str" cm="1">
        <f t="array" ref="A988">IFERROR(INDEX(tbNucleo[ESCOLA],ROUNDUP(ROW(A987)/TotalEtapas,0)),"")</f>
        <v/>
      </c>
    </row>
    <row r="989" spans="1:1" x14ac:dyDescent="0.25">
      <c r="A989" t="str" cm="1">
        <f t="array" ref="A989">IFERROR(INDEX(tbNucleo[ESCOLA],ROUNDUP(ROW(A988)/TotalEtapas,0)),"")</f>
        <v/>
      </c>
    </row>
    <row r="990" spans="1:1" x14ac:dyDescent="0.25">
      <c r="A990" t="str" cm="1">
        <f t="array" ref="A990">IFERROR(INDEX(tbNucleo[ESCOLA],ROUNDUP(ROW(A989)/TotalEtapas,0)),"")</f>
        <v/>
      </c>
    </row>
    <row r="991" spans="1:1" x14ac:dyDescent="0.25">
      <c r="A991" t="str" cm="1">
        <f t="array" ref="A991">IFERROR(INDEX(tbNucleo[ESCOLA],ROUNDUP(ROW(A990)/TotalEtapas,0)),"")</f>
        <v/>
      </c>
    </row>
    <row r="992" spans="1:1" x14ac:dyDescent="0.25">
      <c r="A992" t="str" cm="1">
        <f t="array" ref="A992">IFERROR(INDEX(tbNucleo[ESCOLA],ROUNDUP(ROW(A991)/TotalEtapas,0)),"")</f>
        <v/>
      </c>
    </row>
    <row r="993" spans="1:1" x14ac:dyDescent="0.25">
      <c r="A993" t="str" cm="1">
        <f t="array" ref="A993">IFERROR(INDEX(tbNucleo[ESCOLA],ROUNDUP(ROW(A992)/TotalEtapas,0)),"")</f>
        <v/>
      </c>
    </row>
    <row r="994" spans="1:1" x14ac:dyDescent="0.25">
      <c r="A994" t="str" cm="1">
        <f t="array" ref="A994">IFERROR(INDEX(tbNucleo[ESCOLA],ROUNDUP(ROW(A993)/TotalEtapas,0)),"")</f>
        <v/>
      </c>
    </row>
    <row r="995" spans="1:1" x14ac:dyDescent="0.25">
      <c r="A995" t="str" cm="1">
        <f t="array" ref="A995">IFERROR(INDEX(tbNucleo[ESCOLA],ROUNDUP(ROW(A994)/TotalEtapas,0)),"")</f>
        <v/>
      </c>
    </row>
    <row r="996" spans="1:1" x14ac:dyDescent="0.25">
      <c r="A996" t="str" cm="1">
        <f t="array" ref="A996">IFERROR(INDEX(tbNucleo[ESCOLA],ROUNDUP(ROW(A995)/TotalEtapas,0)),"")</f>
        <v/>
      </c>
    </row>
    <row r="997" spans="1:1" x14ac:dyDescent="0.25">
      <c r="A997" t="str" cm="1">
        <f t="array" ref="A997">IFERROR(INDEX(tbNucleo[ESCOLA],ROUNDUP(ROW(A996)/TotalEtapas,0)),"")</f>
        <v/>
      </c>
    </row>
    <row r="998" spans="1:1" x14ac:dyDescent="0.25">
      <c r="A998" t="str" cm="1">
        <f t="array" ref="A998">IFERROR(INDEX(tbNucleo[ESCOLA],ROUNDUP(ROW(A997)/TotalEtapas,0)),"")</f>
        <v/>
      </c>
    </row>
    <row r="999" spans="1:1" x14ac:dyDescent="0.25">
      <c r="A999" t="str" cm="1">
        <f t="array" ref="A999">IFERROR(INDEX(tbNucleo[ESCOLA],ROUNDUP(ROW(A998)/TotalEtapas,0)),"")</f>
        <v/>
      </c>
    </row>
    <row r="1000" spans="1:1" x14ac:dyDescent="0.25">
      <c r="A1000" t="str" cm="1">
        <f t="array" ref="A1000">IFERROR(INDEX(tbNucleo[ESCOLA],ROUNDUP(ROW(A999)/TotalEtapas,0)),"")</f>
        <v/>
      </c>
    </row>
    <row r="1001" spans="1:1" x14ac:dyDescent="0.25">
      <c r="A1001" t="str" cm="1">
        <f t="array" ref="A1001">IFERROR(INDEX(tbNucleo[ESCOLA],ROUNDUP(ROW(A1000)/TotalEtapas,0)),"")</f>
        <v/>
      </c>
    </row>
    <row r="1002" spans="1:1" x14ac:dyDescent="0.25">
      <c r="A1002" t="str" cm="1">
        <f t="array" ref="A1002">IFERROR(INDEX(tbNucleo[ESCOLA],ROUNDUP(ROW(A1001)/TotalEtapas,0)),"")</f>
        <v/>
      </c>
    </row>
    <row r="1003" spans="1:1" x14ac:dyDescent="0.25">
      <c r="A1003" t="str" cm="1">
        <f t="array" ref="A1003">IFERROR(INDEX(tbNucleo[ESCOLA],ROUNDUP(ROW(A1002)/TotalEtapas,0)),"")</f>
        <v/>
      </c>
    </row>
    <row r="1004" spans="1:1" x14ac:dyDescent="0.25">
      <c r="A1004" t="str" cm="1">
        <f t="array" ref="A1004">IFERROR(INDEX(tbNucleo[ESCOLA],ROUNDUP(ROW(A1003)/TotalEtapas,0)),"")</f>
        <v/>
      </c>
    </row>
    <row r="1005" spans="1:1" x14ac:dyDescent="0.25">
      <c r="A1005" t="str" cm="1">
        <f t="array" ref="A1005">IFERROR(INDEX(tbNucleo[ESCOLA],ROUNDUP(ROW(A1004)/TotalEtapas,0)),"")</f>
        <v/>
      </c>
    </row>
    <row r="1006" spans="1:1" x14ac:dyDescent="0.25">
      <c r="A1006" t="str" cm="1">
        <f t="array" ref="A1006">IFERROR(INDEX(tbNucleo[ESCOLA],ROUNDUP(ROW(A1005)/TotalEtapas,0)),"")</f>
        <v/>
      </c>
    </row>
    <row r="1007" spans="1:1" x14ac:dyDescent="0.25">
      <c r="A1007" t="str" cm="1">
        <f t="array" ref="A1007">IFERROR(INDEX(tbNucleo[ESCOLA],ROUNDUP(ROW(A1006)/TotalEtapas,0)),"")</f>
        <v/>
      </c>
    </row>
    <row r="1008" spans="1:1" x14ac:dyDescent="0.25">
      <c r="A1008" t="str" cm="1">
        <f t="array" ref="A1008">IFERROR(INDEX(tbNucleo[ESCOLA],ROUNDUP(ROW(A1007)/TotalEtapas,0)),"")</f>
        <v/>
      </c>
    </row>
    <row r="1009" spans="1:1" x14ac:dyDescent="0.25">
      <c r="A1009" t="str" cm="1">
        <f t="array" ref="A1009">IFERROR(INDEX(tbNucleo[ESCOLA],ROUNDUP(ROW(A1008)/TotalEtapas,0)),"")</f>
        <v/>
      </c>
    </row>
    <row r="1010" spans="1:1" x14ac:dyDescent="0.25">
      <c r="A1010" t="str" cm="1">
        <f t="array" ref="A1010">IFERROR(INDEX(tbNucleo[ESCOLA],ROUNDUP(ROW(A1009)/TotalEtapas,0)),"")</f>
        <v/>
      </c>
    </row>
    <row r="1011" spans="1:1" x14ac:dyDescent="0.25">
      <c r="A1011" t="str" cm="1">
        <f t="array" ref="A1011">IFERROR(INDEX(tbNucleo[ESCOLA],ROUNDUP(ROW(A1010)/TotalEtapas,0)),"")</f>
        <v/>
      </c>
    </row>
    <row r="1012" spans="1:1" x14ac:dyDescent="0.25">
      <c r="A1012" t="str" cm="1">
        <f t="array" ref="A1012">IFERROR(INDEX(tbNucleo[ESCOLA],ROUNDUP(ROW(A1011)/TotalEtapas,0)),"")</f>
        <v/>
      </c>
    </row>
    <row r="1013" spans="1:1" x14ac:dyDescent="0.25">
      <c r="A1013" t="str" cm="1">
        <f t="array" ref="A1013">IFERROR(INDEX(tbNucleo[ESCOLA],ROUNDUP(ROW(A1012)/TotalEtapas,0)),"")</f>
        <v/>
      </c>
    </row>
    <row r="1014" spans="1:1" x14ac:dyDescent="0.25">
      <c r="A1014" t="str" cm="1">
        <f t="array" ref="A1014">IFERROR(INDEX(tbNucleo[ESCOLA],ROUNDUP(ROW(A1013)/TotalEtapas,0)),"")</f>
        <v/>
      </c>
    </row>
    <row r="1015" spans="1:1" x14ac:dyDescent="0.25">
      <c r="A1015" t="str" cm="1">
        <f t="array" ref="A1015">IFERROR(INDEX(tbNucleo[ESCOLA],ROUNDUP(ROW(A1014)/TotalEtapas,0)),"")</f>
        <v/>
      </c>
    </row>
    <row r="1016" spans="1:1" x14ac:dyDescent="0.25">
      <c r="A1016" t="str" cm="1">
        <f t="array" ref="A1016">IFERROR(INDEX(tbNucleo[ESCOLA],ROUNDUP(ROW(A1015)/TotalEtapas,0)),"")</f>
        <v/>
      </c>
    </row>
    <row r="1017" spans="1:1" x14ac:dyDescent="0.25">
      <c r="A1017" t="str" cm="1">
        <f t="array" ref="A1017">IFERROR(INDEX(tbNucleo[ESCOLA],ROUNDUP(ROW(A1016)/TotalEtapas,0)),"")</f>
        <v/>
      </c>
    </row>
    <row r="1018" spans="1:1" x14ac:dyDescent="0.25">
      <c r="A1018" t="str" cm="1">
        <f t="array" ref="A1018">IFERROR(INDEX(tbNucleo[ESCOLA],ROUNDUP(ROW(A1017)/TotalEtapas,0)),"")</f>
        <v/>
      </c>
    </row>
    <row r="1019" spans="1:1" x14ac:dyDescent="0.25">
      <c r="A1019" t="str" cm="1">
        <f t="array" ref="A1019">IFERROR(INDEX(tbNucleo[ESCOLA],ROUNDUP(ROW(A1018)/TotalEtapas,0)),"")</f>
        <v/>
      </c>
    </row>
    <row r="1020" spans="1:1" x14ac:dyDescent="0.25">
      <c r="A1020" t="str" cm="1">
        <f t="array" ref="A1020">IFERROR(INDEX(tbNucleo[ESCOLA],ROUNDUP(ROW(A1019)/TotalEtapas,0)),"")</f>
        <v/>
      </c>
    </row>
    <row r="1021" spans="1:1" x14ac:dyDescent="0.25">
      <c r="A1021" t="str" cm="1">
        <f t="array" ref="A1021">IFERROR(INDEX(tbNucleo[ESCOLA],ROUNDUP(ROW(A1020)/TotalEtapas,0)),"")</f>
        <v/>
      </c>
    </row>
    <row r="1022" spans="1:1" x14ac:dyDescent="0.25">
      <c r="A1022" t="str" cm="1">
        <f t="array" ref="A1022">IFERROR(INDEX(tbNucleo[ESCOLA],ROUNDUP(ROW(A1021)/TotalEtapas,0)),"")</f>
        <v/>
      </c>
    </row>
    <row r="1023" spans="1:1" x14ac:dyDescent="0.25">
      <c r="A1023" t="str" cm="1">
        <f t="array" ref="A1023">IFERROR(INDEX(tbNucleo[ESCOLA],ROUNDUP(ROW(A1022)/TotalEtapas,0)),"")</f>
        <v/>
      </c>
    </row>
    <row r="1024" spans="1:1" x14ac:dyDescent="0.25">
      <c r="A1024" t="str" cm="1">
        <f t="array" ref="A1024">IFERROR(INDEX(tbNucleo[ESCOLA],ROUNDUP(ROW(A1023)/TotalEtapas,0)),"")</f>
        <v/>
      </c>
    </row>
    <row r="1025" spans="1:1" x14ac:dyDescent="0.25">
      <c r="A1025" t="str" cm="1">
        <f t="array" ref="A1025">IFERROR(INDEX(tbNucleo[ESCOLA],ROUNDUP(ROW(A1024)/TotalEtapas,0)),"")</f>
        <v/>
      </c>
    </row>
    <row r="1026" spans="1:1" x14ac:dyDescent="0.25">
      <c r="A1026" t="str" cm="1">
        <f t="array" ref="A1026">IFERROR(INDEX(tbNucleo[ESCOLA],ROUNDUP(ROW(A1025)/TotalEtapas,0)),"")</f>
        <v/>
      </c>
    </row>
    <row r="1027" spans="1:1" x14ac:dyDescent="0.25">
      <c r="A1027" t="str" cm="1">
        <f t="array" ref="A1027">IFERROR(INDEX(tbNucleo[ESCOLA],ROUNDUP(ROW(A1026)/TotalEtapas,0)),"")</f>
        <v/>
      </c>
    </row>
    <row r="1028" spans="1:1" x14ac:dyDescent="0.25">
      <c r="A1028" t="str" cm="1">
        <f t="array" ref="A1028">IFERROR(INDEX(tbNucleo[ESCOLA],ROUNDUP(ROW(A1027)/TotalEtapas,0)),"")</f>
        <v/>
      </c>
    </row>
    <row r="1029" spans="1:1" x14ac:dyDescent="0.25">
      <c r="A1029" t="str" cm="1">
        <f t="array" ref="A1029">IFERROR(INDEX(tbNucleo[ESCOLA],ROUNDUP(ROW(A1028)/TotalEtapas,0)),"")</f>
        <v/>
      </c>
    </row>
    <row r="1030" spans="1:1" x14ac:dyDescent="0.25">
      <c r="A1030" t="str" cm="1">
        <f t="array" ref="A1030">IFERROR(INDEX(tbNucleo[ESCOLA],ROUNDUP(ROW(A1029)/TotalEtapas,0)),"")</f>
        <v/>
      </c>
    </row>
    <row r="1031" spans="1:1" x14ac:dyDescent="0.25">
      <c r="A1031" t="str" cm="1">
        <f t="array" ref="A1031">IFERROR(INDEX(tbNucleo[ESCOLA],ROUNDUP(ROW(A1030)/TotalEtapas,0)),"")</f>
        <v/>
      </c>
    </row>
    <row r="1032" spans="1:1" x14ac:dyDescent="0.25">
      <c r="A1032" t="str" cm="1">
        <f t="array" ref="A1032">IFERROR(INDEX(tbNucleo[ESCOLA],ROUNDUP(ROW(A1031)/TotalEtapas,0)),"")</f>
        <v/>
      </c>
    </row>
    <row r="1033" spans="1:1" x14ac:dyDescent="0.25">
      <c r="A1033" t="str" cm="1">
        <f t="array" ref="A1033">IFERROR(INDEX(tbNucleo[ESCOLA],ROUNDUP(ROW(A1032)/TotalEtapas,0)),"")</f>
        <v/>
      </c>
    </row>
    <row r="1034" spans="1:1" x14ac:dyDescent="0.25">
      <c r="A1034" t="str" cm="1">
        <f t="array" ref="A1034">IFERROR(INDEX(tbNucleo[ESCOLA],ROUNDUP(ROW(A1033)/TotalEtapas,0)),"")</f>
        <v/>
      </c>
    </row>
    <row r="1035" spans="1:1" x14ac:dyDescent="0.25">
      <c r="A1035" t="str" cm="1">
        <f t="array" ref="A1035">IFERROR(INDEX(tbNucleo[ESCOLA],ROUNDUP(ROW(A1034)/TotalEtapas,0)),"")</f>
        <v/>
      </c>
    </row>
    <row r="1036" spans="1:1" x14ac:dyDescent="0.25">
      <c r="A1036" t="str" cm="1">
        <f t="array" ref="A1036">IFERROR(INDEX(tbNucleo[ESCOLA],ROUNDUP(ROW(A1035)/TotalEtapas,0)),"")</f>
        <v/>
      </c>
    </row>
    <row r="1037" spans="1:1" x14ac:dyDescent="0.25">
      <c r="A1037" t="str" cm="1">
        <f t="array" ref="A1037">IFERROR(INDEX(tbNucleo[ESCOLA],ROUNDUP(ROW(A1036)/TotalEtapas,0)),"")</f>
        <v/>
      </c>
    </row>
    <row r="1038" spans="1:1" x14ac:dyDescent="0.25">
      <c r="A1038" t="str" cm="1">
        <f t="array" ref="A1038">IFERROR(INDEX(tbNucleo[ESCOLA],ROUNDUP(ROW(A1037)/TotalEtapas,0)),"")</f>
        <v/>
      </c>
    </row>
    <row r="1039" spans="1:1" x14ac:dyDescent="0.25">
      <c r="A1039" t="str" cm="1">
        <f t="array" ref="A1039">IFERROR(INDEX(tbNucleo[ESCOLA],ROUNDUP(ROW(A1038)/TotalEtapas,0)),"")</f>
        <v/>
      </c>
    </row>
    <row r="1040" spans="1:1" x14ac:dyDescent="0.25">
      <c r="A1040" t="str" cm="1">
        <f t="array" ref="A1040">IFERROR(INDEX(tbNucleo[ESCOLA],ROUNDUP(ROW(A1039)/TotalEtapas,0)),"")</f>
        <v/>
      </c>
    </row>
    <row r="1041" spans="1:1" x14ac:dyDescent="0.25">
      <c r="A1041" t="str" cm="1">
        <f t="array" ref="A1041">IFERROR(INDEX(tbNucleo[ESCOLA],ROUNDUP(ROW(A1040)/TotalEtapas,0)),"")</f>
        <v/>
      </c>
    </row>
    <row r="1042" spans="1:1" x14ac:dyDescent="0.25">
      <c r="A1042" t="str" cm="1">
        <f t="array" ref="A1042">IFERROR(INDEX(tbNucleo[ESCOLA],ROUNDUP(ROW(A1041)/TotalEtapas,0)),"")</f>
        <v/>
      </c>
    </row>
    <row r="1043" spans="1:1" x14ac:dyDescent="0.25">
      <c r="A1043" t="str" cm="1">
        <f t="array" ref="A1043">IFERROR(INDEX(tbNucleo[ESCOLA],ROUNDUP(ROW(A1042)/TotalEtapas,0)),"")</f>
        <v/>
      </c>
    </row>
    <row r="1044" spans="1:1" x14ac:dyDescent="0.25">
      <c r="A1044" t="str" cm="1">
        <f t="array" ref="A1044">IFERROR(INDEX(tbNucleo[ESCOLA],ROUNDUP(ROW(A1043)/TotalEtapas,0)),"")</f>
        <v/>
      </c>
    </row>
    <row r="1045" spans="1:1" x14ac:dyDescent="0.25">
      <c r="A1045" t="str" cm="1">
        <f t="array" ref="A1045">IFERROR(INDEX(tbNucleo[ESCOLA],ROUNDUP(ROW(A1044)/TotalEtapas,0)),"")</f>
        <v/>
      </c>
    </row>
    <row r="1046" spans="1:1" x14ac:dyDescent="0.25">
      <c r="A1046" t="str" cm="1">
        <f t="array" ref="A1046">IFERROR(INDEX(tbNucleo[ESCOLA],ROUNDUP(ROW(A1045)/TotalEtapas,0)),"")</f>
        <v/>
      </c>
    </row>
    <row r="1047" spans="1:1" x14ac:dyDescent="0.25">
      <c r="A1047" t="str" cm="1">
        <f t="array" ref="A1047">IFERROR(INDEX(tbNucleo[ESCOLA],ROUNDUP(ROW(A1046)/TotalEtapas,0)),"")</f>
        <v/>
      </c>
    </row>
    <row r="1048" spans="1:1" x14ac:dyDescent="0.25">
      <c r="A1048" t="str" cm="1">
        <f t="array" ref="A1048">IFERROR(INDEX(tbNucleo[ESCOLA],ROUNDUP(ROW(A1047)/TotalEtapas,0)),"")</f>
        <v/>
      </c>
    </row>
    <row r="1049" spans="1:1" x14ac:dyDescent="0.25">
      <c r="A1049" t="str" cm="1">
        <f t="array" ref="A1049">IFERROR(INDEX(tbNucleo[ESCOLA],ROUNDUP(ROW(A1048)/TotalEtapas,0)),"")</f>
        <v/>
      </c>
    </row>
    <row r="1050" spans="1:1" x14ac:dyDescent="0.25">
      <c r="A1050" t="str" cm="1">
        <f t="array" ref="A1050">IFERROR(INDEX(tbNucleo[ESCOLA],ROUNDUP(ROW(A1049)/TotalEtapas,0)),"")</f>
        <v/>
      </c>
    </row>
    <row r="1051" spans="1:1" x14ac:dyDescent="0.25">
      <c r="A1051" t="str" cm="1">
        <f t="array" ref="A1051">IFERROR(INDEX(tbNucleo[ESCOLA],ROUNDUP(ROW(A1050)/TotalEtapas,0)),"")</f>
        <v/>
      </c>
    </row>
    <row r="1052" spans="1:1" x14ac:dyDescent="0.25">
      <c r="A1052" t="str" cm="1">
        <f t="array" ref="A1052">IFERROR(INDEX(tbNucleo[ESCOLA],ROUNDUP(ROW(A1051)/TotalEtapas,0)),"")</f>
        <v/>
      </c>
    </row>
    <row r="1053" spans="1:1" x14ac:dyDescent="0.25">
      <c r="A1053" t="str" cm="1">
        <f t="array" ref="A1053">IFERROR(INDEX(tbNucleo[ESCOLA],ROUNDUP(ROW(A1052)/TotalEtapas,0)),"")</f>
        <v/>
      </c>
    </row>
    <row r="1054" spans="1:1" x14ac:dyDescent="0.25">
      <c r="A1054" t="str" cm="1">
        <f t="array" ref="A1054">IFERROR(INDEX(tbNucleo[ESCOLA],ROUNDUP(ROW(A1053)/TotalEtapas,0)),"")</f>
        <v/>
      </c>
    </row>
    <row r="1055" spans="1:1" x14ac:dyDescent="0.25">
      <c r="A1055" t="str" cm="1">
        <f t="array" ref="A1055">IFERROR(INDEX(tbNucleo[ESCOLA],ROUNDUP(ROW(A1054)/TotalEtapas,0)),"")</f>
        <v/>
      </c>
    </row>
    <row r="1056" spans="1:1" x14ac:dyDescent="0.25">
      <c r="A1056" t="str" cm="1">
        <f t="array" ref="A1056">IFERROR(INDEX(tbNucleo[ESCOLA],ROUNDUP(ROW(A1055)/TotalEtapas,0)),"")</f>
        <v/>
      </c>
    </row>
    <row r="1057" spans="1:1" x14ac:dyDescent="0.25">
      <c r="A1057" t="str" cm="1">
        <f t="array" ref="A1057">IFERROR(INDEX(tbNucleo[ESCOLA],ROUNDUP(ROW(A1056)/TotalEtapas,0)),"")</f>
        <v/>
      </c>
    </row>
    <row r="1058" spans="1:1" x14ac:dyDescent="0.25">
      <c r="A1058" t="str" cm="1">
        <f t="array" ref="A1058">IFERROR(INDEX(tbNucleo[ESCOLA],ROUNDUP(ROW(A1057)/TotalEtapas,0)),"")</f>
        <v/>
      </c>
    </row>
    <row r="1059" spans="1:1" x14ac:dyDescent="0.25">
      <c r="A1059" t="str" cm="1">
        <f t="array" ref="A1059">IFERROR(INDEX(tbNucleo[ESCOLA],ROUNDUP(ROW(A1058)/TotalEtapas,0)),"")</f>
        <v/>
      </c>
    </row>
    <row r="1060" spans="1:1" x14ac:dyDescent="0.25">
      <c r="A1060" t="str" cm="1">
        <f t="array" ref="A1060">IFERROR(INDEX(tbNucleo[ESCOLA],ROUNDUP(ROW(A1059)/TotalEtapas,0)),"")</f>
        <v/>
      </c>
    </row>
    <row r="1061" spans="1:1" x14ac:dyDescent="0.25">
      <c r="A1061" t="str" cm="1">
        <f t="array" ref="A1061">IFERROR(INDEX(tbNucleo[ESCOLA],ROUNDUP(ROW(A1060)/TotalEtapas,0)),"")</f>
        <v/>
      </c>
    </row>
    <row r="1062" spans="1:1" x14ac:dyDescent="0.25">
      <c r="A1062" t="str" cm="1">
        <f t="array" ref="A1062">IFERROR(INDEX(tbNucleo[ESCOLA],ROUNDUP(ROW(A1061)/TotalEtapas,0)),"")</f>
        <v/>
      </c>
    </row>
    <row r="1063" spans="1:1" x14ac:dyDescent="0.25">
      <c r="A1063" t="str" cm="1">
        <f t="array" ref="A1063">IFERROR(INDEX(tbNucleo[ESCOLA],ROUNDUP(ROW(A1062)/TotalEtapas,0)),"")</f>
        <v/>
      </c>
    </row>
    <row r="1064" spans="1:1" x14ac:dyDescent="0.25">
      <c r="A1064" t="str" cm="1">
        <f t="array" ref="A1064">IFERROR(INDEX(tbNucleo[ESCOLA],ROUNDUP(ROW(A1063)/TotalEtapas,0)),"")</f>
        <v/>
      </c>
    </row>
    <row r="1065" spans="1:1" x14ac:dyDescent="0.25">
      <c r="A1065" t="str" cm="1">
        <f t="array" ref="A1065">IFERROR(INDEX(tbNucleo[ESCOLA],ROUNDUP(ROW(A1064)/TotalEtapas,0)),"")</f>
        <v/>
      </c>
    </row>
    <row r="1066" spans="1:1" x14ac:dyDescent="0.25">
      <c r="A1066" t="str" cm="1">
        <f t="array" ref="A1066">IFERROR(INDEX(tbNucleo[ESCOLA],ROUNDUP(ROW(A1065)/TotalEtapas,0)),"")</f>
        <v/>
      </c>
    </row>
    <row r="1067" spans="1:1" x14ac:dyDescent="0.25">
      <c r="A1067" t="str" cm="1">
        <f t="array" ref="A1067">IFERROR(INDEX(tbNucleo[ESCOLA],ROUNDUP(ROW(A1066)/TotalEtapas,0)),"")</f>
        <v/>
      </c>
    </row>
    <row r="1068" spans="1:1" x14ac:dyDescent="0.25">
      <c r="A1068" t="str" cm="1">
        <f t="array" ref="A1068">IFERROR(INDEX(tbNucleo[ESCOLA],ROUNDUP(ROW(A1067)/TotalEtapas,0)),"")</f>
        <v/>
      </c>
    </row>
    <row r="1069" spans="1:1" x14ac:dyDescent="0.25">
      <c r="A1069" t="str" cm="1">
        <f t="array" ref="A1069">IFERROR(INDEX(tbNucleo[ESCOLA],ROUNDUP(ROW(A1068)/TotalEtapas,0)),"")</f>
        <v/>
      </c>
    </row>
    <row r="1070" spans="1:1" x14ac:dyDescent="0.25">
      <c r="A1070" t="str" cm="1">
        <f t="array" ref="A1070">IFERROR(INDEX(tbNucleo[ESCOLA],ROUNDUP(ROW(A1069)/TotalEtapas,0)),"")</f>
        <v/>
      </c>
    </row>
    <row r="1071" spans="1:1" x14ac:dyDescent="0.25">
      <c r="A1071" t="str" cm="1">
        <f t="array" ref="A1071">IFERROR(INDEX(tbNucleo[ESCOLA],ROUNDUP(ROW(A1070)/TotalEtapas,0)),"")</f>
        <v/>
      </c>
    </row>
    <row r="1072" spans="1:1" x14ac:dyDescent="0.25">
      <c r="A1072" t="str" cm="1">
        <f t="array" ref="A1072">IFERROR(INDEX(tbNucleo[ESCOLA],ROUNDUP(ROW(A1071)/TotalEtapas,0)),"")</f>
        <v/>
      </c>
    </row>
    <row r="1073" spans="1:1" x14ac:dyDescent="0.25">
      <c r="A1073" t="str" cm="1">
        <f t="array" ref="A1073">IFERROR(INDEX(tbNucleo[ESCOLA],ROUNDUP(ROW(A1072)/TotalEtapas,0)),"")</f>
        <v/>
      </c>
    </row>
    <row r="1074" spans="1:1" x14ac:dyDescent="0.25">
      <c r="A1074" t="str" cm="1">
        <f t="array" ref="A1074">IFERROR(INDEX(tbNucleo[ESCOLA],ROUNDUP(ROW(A1073)/TotalEtapas,0)),"")</f>
        <v/>
      </c>
    </row>
    <row r="1075" spans="1:1" x14ac:dyDescent="0.25">
      <c r="A1075" t="str" cm="1">
        <f t="array" ref="A1075">IFERROR(INDEX(tbNucleo[ESCOLA],ROUNDUP(ROW(A1074)/TotalEtapas,0)),"")</f>
        <v/>
      </c>
    </row>
    <row r="1076" spans="1:1" x14ac:dyDescent="0.25">
      <c r="A1076" t="str" cm="1">
        <f t="array" ref="A1076">IFERROR(INDEX(tbNucleo[ESCOLA],ROUNDUP(ROW(A1075)/TotalEtapas,0)),"")</f>
        <v/>
      </c>
    </row>
    <row r="1077" spans="1:1" x14ac:dyDescent="0.25">
      <c r="A1077" t="str" cm="1">
        <f t="array" ref="A1077">IFERROR(INDEX(tbNucleo[ESCOLA],ROUNDUP(ROW(A1076)/TotalEtapas,0)),"")</f>
        <v/>
      </c>
    </row>
    <row r="1078" spans="1:1" x14ac:dyDescent="0.25">
      <c r="A1078" t="str" cm="1">
        <f t="array" ref="A1078">IFERROR(INDEX(tbNucleo[ESCOLA],ROUNDUP(ROW(A1077)/TotalEtapas,0)),"")</f>
        <v/>
      </c>
    </row>
    <row r="1079" spans="1:1" x14ac:dyDescent="0.25">
      <c r="A1079" t="str" cm="1">
        <f t="array" ref="A1079">IFERROR(INDEX(tbNucleo[ESCOLA],ROUNDUP(ROW(A1078)/TotalEtapas,0)),"")</f>
        <v/>
      </c>
    </row>
    <row r="1080" spans="1:1" x14ac:dyDescent="0.25">
      <c r="A1080" t="str" cm="1">
        <f t="array" ref="A1080">IFERROR(INDEX(tbNucleo[ESCOLA],ROUNDUP(ROW(A1079)/TotalEtapas,0)),"")</f>
        <v/>
      </c>
    </row>
    <row r="1081" spans="1:1" x14ac:dyDescent="0.25">
      <c r="A1081" t="str" cm="1">
        <f t="array" ref="A1081">IFERROR(INDEX(tbNucleo[ESCOLA],ROUNDUP(ROW(A1080)/TotalEtapas,0)),"")</f>
        <v/>
      </c>
    </row>
    <row r="1082" spans="1:1" x14ac:dyDescent="0.25">
      <c r="A1082" t="str" cm="1">
        <f t="array" ref="A1082">IFERROR(INDEX(tbNucleo[ESCOLA],ROUNDUP(ROW(A1081)/TotalEtapas,0)),"")</f>
        <v/>
      </c>
    </row>
    <row r="1083" spans="1:1" x14ac:dyDescent="0.25">
      <c r="A1083" t="str" cm="1">
        <f t="array" ref="A1083">IFERROR(INDEX(tbNucleo[ESCOLA],ROUNDUP(ROW(A1082)/TotalEtapas,0)),"")</f>
        <v/>
      </c>
    </row>
    <row r="1084" spans="1:1" x14ac:dyDescent="0.25">
      <c r="A1084" t="str" cm="1">
        <f t="array" ref="A1084">IFERROR(INDEX(tbNucleo[ESCOLA],ROUNDUP(ROW(A1083)/TotalEtapas,0)),"")</f>
        <v/>
      </c>
    </row>
    <row r="1085" spans="1:1" x14ac:dyDescent="0.25">
      <c r="A1085" t="str" cm="1">
        <f t="array" ref="A1085">IFERROR(INDEX(tbNucleo[ESCOLA],ROUNDUP(ROW(A1084)/TotalEtapas,0)),"")</f>
        <v/>
      </c>
    </row>
    <row r="1086" spans="1:1" x14ac:dyDescent="0.25">
      <c r="A1086" t="str" cm="1">
        <f t="array" ref="A1086">IFERROR(INDEX(tbNucleo[ESCOLA],ROUNDUP(ROW(A1085)/TotalEtapas,0)),"")</f>
        <v/>
      </c>
    </row>
    <row r="1087" spans="1:1" x14ac:dyDescent="0.25">
      <c r="A1087" t="str" cm="1">
        <f t="array" ref="A1087">IFERROR(INDEX(tbNucleo[ESCOLA],ROUNDUP(ROW(A1086)/TotalEtapas,0)),"")</f>
        <v/>
      </c>
    </row>
    <row r="1088" spans="1:1" x14ac:dyDescent="0.25">
      <c r="A1088" t="str" cm="1">
        <f t="array" ref="A1088">IFERROR(INDEX(tbNucleo[ESCOLA],ROUNDUP(ROW(A1087)/TotalEtapas,0)),"")</f>
        <v/>
      </c>
    </row>
    <row r="1089" spans="1:1" x14ac:dyDescent="0.25">
      <c r="A1089" t="str" cm="1">
        <f t="array" ref="A1089">IFERROR(INDEX(tbNucleo[ESCOLA],ROUNDUP(ROW(A1088)/TotalEtapas,0)),"")</f>
        <v/>
      </c>
    </row>
    <row r="1090" spans="1:1" x14ac:dyDescent="0.25">
      <c r="A1090" t="str" cm="1">
        <f t="array" ref="A1090">IFERROR(INDEX(tbNucleo[ESCOLA],ROUNDUP(ROW(A1089)/TotalEtapas,0)),"")</f>
        <v/>
      </c>
    </row>
    <row r="1091" spans="1:1" x14ac:dyDescent="0.25">
      <c r="A1091" t="str" cm="1">
        <f t="array" ref="A1091">IFERROR(INDEX(tbNucleo[ESCOLA],ROUNDUP(ROW(A1090)/TotalEtapas,0)),"")</f>
        <v/>
      </c>
    </row>
    <row r="1092" spans="1:1" x14ac:dyDescent="0.25">
      <c r="A1092" t="str" cm="1">
        <f t="array" ref="A1092">IFERROR(INDEX(tbNucleo[ESCOLA],ROUNDUP(ROW(A1091)/TotalEtapas,0)),"")</f>
        <v/>
      </c>
    </row>
    <row r="1093" spans="1:1" x14ac:dyDescent="0.25">
      <c r="A1093" t="str" cm="1">
        <f t="array" ref="A1093">IFERROR(INDEX(tbNucleo[ESCOLA],ROUNDUP(ROW(A1092)/TotalEtapas,0)),"")</f>
        <v/>
      </c>
    </row>
    <row r="1094" spans="1:1" x14ac:dyDescent="0.25">
      <c r="A1094" t="str" cm="1">
        <f t="array" ref="A1094">IFERROR(INDEX(tbNucleo[ESCOLA],ROUNDUP(ROW(A1093)/TotalEtapas,0)),"")</f>
        <v/>
      </c>
    </row>
    <row r="1095" spans="1:1" x14ac:dyDescent="0.25">
      <c r="A1095" t="str" cm="1">
        <f t="array" ref="A1095">IFERROR(INDEX(tbNucleo[ESCOLA],ROUNDUP(ROW(A1094)/TotalEtapas,0)),"")</f>
        <v/>
      </c>
    </row>
    <row r="1096" spans="1:1" x14ac:dyDescent="0.25">
      <c r="A1096" t="str" cm="1">
        <f t="array" ref="A1096">IFERROR(INDEX(tbNucleo[ESCOLA],ROUNDUP(ROW(A1095)/TotalEtapas,0)),"")</f>
        <v/>
      </c>
    </row>
    <row r="1097" spans="1:1" x14ac:dyDescent="0.25">
      <c r="A1097" t="str" cm="1">
        <f t="array" ref="A1097">IFERROR(INDEX(tbNucleo[ESCOLA],ROUNDUP(ROW(A1096)/TotalEtapas,0)),"")</f>
        <v/>
      </c>
    </row>
    <row r="1098" spans="1:1" x14ac:dyDescent="0.25">
      <c r="A1098" t="str" cm="1">
        <f t="array" ref="A1098">IFERROR(INDEX(tbNucleo[ESCOLA],ROUNDUP(ROW(A1097)/TotalEtapas,0)),"")</f>
        <v/>
      </c>
    </row>
    <row r="1099" spans="1:1" x14ac:dyDescent="0.25">
      <c r="A1099" t="str" cm="1">
        <f t="array" ref="A1099">IFERROR(INDEX(tbNucleo[ESCOLA],ROUNDUP(ROW(A1098)/TotalEtapas,0)),"")</f>
        <v/>
      </c>
    </row>
    <row r="1100" spans="1:1" x14ac:dyDescent="0.25">
      <c r="A1100" t="str" cm="1">
        <f t="array" ref="A1100">IFERROR(INDEX(tbNucleo[ESCOLA],ROUNDUP(ROW(A1099)/TotalEtapas,0)),"")</f>
        <v/>
      </c>
    </row>
    <row r="1101" spans="1:1" x14ac:dyDescent="0.25">
      <c r="A1101" t="str" cm="1">
        <f t="array" ref="A1101">IFERROR(INDEX(tbNucleo[ESCOLA],ROUNDUP(ROW(A1100)/TotalEtapas,0)),"")</f>
        <v/>
      </c>
    </row>
    <row r="1102" spans="1:1" x14ac:dyDescent="0.25">
      <c r="A1102" t="str" cm="1">
        <f t="array" ref="A1102">IFERROR(INDEX(tbNucleo[ESCOLA],ROUNDUP(ROW(A1101)/TotalEtapas,0)),"")</f>
        <v/>
      </c>
    </row>
    <row r="1103" spans="1:1" x14ac:dyDescent="0.25">
      <c r="A1103" t="str" cm="1">
        <f t="array" ref="A1103">IFERROR(INDEX(tbNucleo[ESCOLA],ROUNDUP(ROW(A1102)/TotalEtapas,0)),"")</f>
        <v/>
      </c>
    </row>
    <row r="1104" spans="1:1" x14ac:dyDescent="0.25">
      <c r="A1104" t="str" cm="1">
        <f t="array" ref="A1104">IFERROR(INDEX(tbNucleo[ESCOLA],ROUNDUP(ROW(A1103)/TotalEtapas,0)),"")</f>
        <v/>
      </c>
    </row>
    <row r="1105" spans="1:1" x14ac:dyDescent="0.25">
      <c r="A1105" t="str" cm="1">
        <f t="array" ref="A1105">IFERROR(INDEX(tbNucleo[ESCOLA],ROUNDUP(ROW(A1104)/TotalEtapas,0)),"")</f>
        <v/>
      </c>
    </row>
    <row r="1106" spans="1:1" x14ac:dyDescent="0.25">
      <c r="A1106" t="str" cm="1">
        <f t="array" ref="A1106">IFERROR(INDEX(tbNucleo[ESCOLA],ROUNDUP(ROW(A1105)/TotalEtapas,0)),"")</f>
        <v/>
      </c>
    </row>
    <row r="1107" spans="1:1" x14ac:dyDescent="0.25">
      <c r="A1107" t="str" cm="1">
        <f t="array" ref="A1107">IFERROR(INDEX(tbNucleo[ESCOLA],ROUNDUP(ROW(A1106)/TotalEtapas,0)),"")</f>
        <v/>
      </c>
    </row>
    <row r="1108" spans="1:1" x14ac:dyDescent="0.25">
      <c r="A1108" t="str" cm="1">
        <f t="array" ref="A1108">IFERROR(INDEX(tbNucleo[ESCOLA],ROUNDUP(ROW(A1107)/TotalEtapas,0)),"")</f>
        <v/>
      </c>
    </row>
    <row r="1109" spans="1:1" x14ac:dyDescent="0.25">
      <c r="A1109" t="str" cm="1">
        <f t="array" ref="A1109">IFERROR(INDEX(tbNucleo[ESCOLA],ROUNDUP(ROW(A1108)/TotalEtapas,0)),"")</f>
        <v/>
      </c>
    </row>
    <row r="1110" spans="1:1" x14ac:dyDescent="0.25">
      <c r="A1110" t="str" cm="1">
        <f t="array" ref="A1110">IFERROR(INDEX(tbNucleo[ESCOLA],ROUNDUP(ROW(A1109)/TotalEtapas,0)),"")</f>
        <v/>
      </c>
    </row>
    <row r="1111" spans="1:1" x14ac:dyDescent="0.25">
      <c r="A1111" t="str" cm="1">
        <f t="array" ref="A1111">IFERROR(INDEX(tbNucleo[ESCOLA],ROUNDUP(ROW(A1110)/TotalEtapas,0)),"")</f>
        <v/>
      </c>
    </row>
    <row r="1112" spans="1:1" x14ac:dyDescent="0.25">
      <c r="A1112" t="str" cm="1">
        <f t="array" ref="A1112">IFERROR(INDEX(tbNucleo[ESCOLA],ROUNDUP(ROW(A1111)/TotalEtapas,0)),"")</f>
        <v/>
      </c>
    </row>
    <row r="1113" spans="1:1" x14ac:dyDescent="0.25">
      <c r="A1113" t="str" cm="1">
        <f t="array" ref="A1113">IFERROR(INDEX(tbNucleo[ESCOLA],ROUNDUP(ROW(A1112)/TotalEtapas,0)),"")</f>
        <v/>
      </c>
    </row>
    <row r="1114" spans="1:1" x14ac:dyDescent="0.25">
      <c r="A1114" t="str" cm="1">
        <f t="array" ref="A1114">IFERROR(INDEX(tbNucleo[ESCOLA],ROUNDUP(ROW(A1113)/TotalEtapas,0)),"")</f>
        <v/>
      </c>
    </row>
    <row r="1115" spans="1:1" x14ac:dyDescent="0.25">
      <c r="A1115" t="str" cm="1">
        <f t="array" ref="A1115">IFERROR(INDEX(tbNucleo[ESCOLA],ROUNDUP(ROW(A1114)/TotalEtapas,0)),"")</f>
        <v/>
      </c>
    </row>
    <row r="1116" spans="1:1" x14ac:dyDescent="0.25">
      <c r="A1116" t="str" cm="1">
        <f t="array" ref="A1116">IFERROR(INDEX(tbNucleo[ESCOLA],ROUNDUP(ROW(A1115)/TotalEtapas,0)),"")</f>
        <v/>
      </c>
    </row>
    <row r="1117" spans="1:1" x14ac:dyDescent="0.25">
      <c r="A1117" t="str" cm="1">
        <f t="array" ref="A1117">IFERROR(INDEX(tbNucleo[ESCOLA],ROUNDUP(ROW(A1116)/TotalEtapas,0)),"")</f>
        <v/>
      </c>
    </row>
    <row r="1118" spans="1:1" x14ac:dyDescent="0.25">
      <c r="A1118" t="str" cm="1">
        <f t="array" ref="A1118">IFERROR(INDEX(tbNucleo[ESCOLA],ROUNDUP(ROW(A1117)/TotalEtapas,0)),"")</f>
        <v/>
      </c>
    </row>
    <row r="1119" spans="1:1" x14ac:dyDescent="0.25">
      <c r="A1119" t="str" cm="1">
        <f t="array" ref="A1119">IFERROR(INDEX(tbNucleo[ESCOLA],ROUNDUP(ROW(A1118)/TotalEtapas,0)),"")</f>
        <v/>
      </c>
    </row>
    <row r="1120" spans="1:1" x14ac:dyDescent="0.25">
      <c r="A1120" t="str" cm="1">
        <f t="array" ref="A1120">IFERROR(INDEX(tbNucleo[ESCOLA],ROUNDUP(ROW(A1119)/TotalEtapas,0)),"")</f>
        <v/>
      </c>
    </row>
    <row r="1121" spans="1:1" x14ac:dyDescent="0.25">
      <c r="A1121" t="str" cm="1">
        <f t="array" ref="A1121">IFERROR(INDEX(tbNucleo[ESCOLA],ROUNDUP(ROW(A1120)/TotalEtapas,0)),"")</f>
        <v/>
      </c>
    </row>
    <row r="1122" spans="1:1" x14ac:dyDescent="0.25">
      <c r="A1122" t="str" cm="1">
        <f t="array" ref="A1122">IFERROR(INDEX(tbNucleo[ESCOLA],ROUNDUP(ROW(A1121)/TotalEtapas,0)),"")</f>
        <v/>
      </c>
    </row>
    <row r="1123" spans="1:1" x14ac:dyDescent="0.25">
      <c r="A1123" t="str" cm="1">
        <f t="array" ref="A1123">IFERROR(INDEX(tbNucleo[ESCOLA],ROUNDUP(ROW(A1122)/TotalEtapas,0)),"")</f>
        <v/>
      </c>
    </row>
    <row r="1124" spans="1:1" x14ac:dyDescent="0.25">
      <c r="A1124" t="str" cm="1">
        <f t="array" ref="A1124">IFERROR(INDEX(tbNucleo[ESCOLA],ROUNDUP(ROW(A1123)/TotalEtapas,0)),"")</f>
        <v/>
      </c>
    </row>
    <row r="1125" spans="1:1" x14ac:dyDescent="0.25">
      <c r="A1125" t="str" cm="1">
        <f t="array" ref="A1125">IFERROR(INDEX(tbNucleo[ESCOLA],ROUNDUP(ROW(A1124)/TotalEtapas,0)),"")</f>
        <v/>
      </c>
    </row>
    <row r="1126" spans="1:1" x14ac:dyDescent="0.25">
      <c r="A1126" t="str" cm="1">
        <f t="array" ref="A1126">IFERROR(INDEX(tbNucleo[ESCOLA],ROUNDUP(ROW(A1125)/TotalEtapas,0)),"")</f>
        <v/>
      </c>
    </row>
    <row r="1127" spans="1:1" x14ac:dyDescent="0.25">
      <c r="A1127" t="str" cm="1">
        <f t="array" ref="A1127">IFERROR(INDEX(tbNucleo[ESCOLA],ROUNDUP(ROW(A1126)/TotalEtapas,0)),"")</f>
        <v/>
      </c>
    </row>
    <row r="1128" spans="1:1" x14ac:dyDescent="0.25">
      <c r="A1128" t="str" cm="1">
        <f t="array" ref="A1128">IFERROR(INDEX(tbNucleo[ESCOLA],ROUNDUP(ROW(A1127)/TotalEtapas,0)),"")</f>
        <v/>
      </c>
    </row>
    <row r="1129" spans="1:1" x14ac:dyDescent="0.25">
      <c r="A1129" t="str" cm="1">
        <f t="array" ref="A1129">IFERROR(INDEX(tbNucleo[ESCOLA],ROUNDUP(ROW(A1128)/TotalEtapas,0)),"")</f>
        <v/>
      </c>
    </row>
    <row r="1130" spans="1:1" x14ac:dyDescent="0.25">
      <c r="A1130" t="str" cm="1">
        <f t="array" ref="A1130">IFERROR(INDEX(tbNucleo[ESCOLA],ROUNDUP(ROW(A1129)/TotalEtapas,0)),"")</f>
        <v/>
      </c>
    </row>
    <row r="1131" spans="1:1" x14ac:dyDescent="0.25">
      <c r="A1131" t="str" cm="1">
        <f t="array" ref="A1131">IFERROR(INDEX(tbNucleo[ESCOLA],ROUNDUP(ROW(A1130)/TotalEtapas,0)),"")</f>
        <v/>
      </c>
    </row>
    <row r="1132" spans="1:1" x14ac:dyDescent="0.25">
      <c r="A1132" t="str" cm="1">
        <f t="array" ref="A1132">IFERROR(INDEX(tbNucleo[ESCOLA],ROUNDUP(ROW(A1131)/TotalEtapas,0)),"")</f>
        <v/>
      </c>
    </row>
    <row r="1133" spans="1:1" x14ac:dyDescent="0.25">
      <c r="A1133" t="str" cm="1">
        <f t="array" ref="A1133">IFERROR(INDEX(tbNucleo[ESCOLA],ROUNDUP(ROW(A1132)/TotalEtapas,0)),"")</f>
        <v/>
      </c>
    </row>
    <row r="1134" spans="1:1" x14ac:dyDescent="0.25">
      <c r="A1134" t="str" cm="1">
        <f t="array" ref="A1134">IFERROR(INDEX(tbNucleo[ESCOLA],ROUNDUP(ROW(A1133)/TotalEtapas,0)),"")</f>
        <v/>
      </c>
    </row>
    <row r="1135" spans="1:1" x14ac:dyDescent="0.25">
      <c r="A1135" t="str" cm="1">
        <f t="array" ref="A1135">IFERROR(INDEX(tbNucleo[ESCOLA],ROUNDUP(ROW(A1134)/TotalEtapas,0)),"")</f>
        <v/>
      </c>
    </row>
    <row r="1136" spans="1:1" x14ac:dyDescent="0.25">
      <c r="A1136" t="str" cm="1">
        <f t="array" ref="A1136">IFERROR(INDEX(tbNucleo[ESCOLA],ROUNDUP(ROW(A1135)/TotalEtapas,0)),"")</f>
        <v/>
      </c>
    </row>
    <row r="1137" spans="1:1" x14ac:dyDescent="0.25">
      <c r="A1137" t="str" cm="1">
        <f t="array" ref="A1137">IFERROR(INDEX(tbNucleo[ESCOLA],ROUNDUP(ROW(A1136)/TotalEtapas,0)),"")</f>
        <v/>
      </c>
    </row>
    <row r="1138" spans="1:1" x14ac:dyDescent="0.25">
      <c r="A1138" t="str" cm="1">
        <f t="array" ref="A1138">IFERROR(INDEX(tbNucleo[ESCOLA],ROUNDUP(ROW(A1137)/TotalEtapas,0)),"")</f>
        <v/>
      </c>
    </row>
    <row r="1139" spans="1:1" x14ac:dyDescent="0.25">
      <c r="A1139" t="str" cm="1">
        <f t="array" ref="A1139">IFERROR(INDEX(tbNucleo[ESCOLA],ROUNDUP(ROW(A1138)/TotalEtapas,0)),"")</f>
        <v/>
      </c>
    </row>
    <row r="1140" spans="1:1" x14ac:dyDescent="0.25">
      <c r="A1140" t="str" cm="1">
        <f t="array" ref="A1140">IFERROR(INDEX(tbNucleo[ESCOLA],ROUNDUP(ROW(A1139)/TotalEtapas,0)),"")</f>
        <v/>
      </c>
    </row>
    <row r="1141" spans="1:1" x14ac:dyDescent="0.25">
      <c r="A1141" t="str" cm="1">
        <f t="array" ref="A1141">IFERROR(INDEX(tbNucleo[ESCOLA],ROUNDUP(ROW(A1140)/TotalEtapas,0)),"")</f>
        <v/>
      </c>
    </row>
    <row r="1142" spans="1:1" x14ac:dyDescent="0.25">
      <c r="A1142" t="str" cm="1">
        <f t="array" ref="A1142">IFERROR(INDEX(tbNucleo[ESCOLA],ROUNDUP(ROW(A1141)/TotalEtapas,0)),"")</f>
        <v/>
      </c>
    </row>
    <row r="1143" spans="1:1" x14ac:dyDescent="0.25">
      <c r="A1143" t="str" cm="1">
        <f t="array" ref="A1143">IFERROR(INDEX(tbNucleo[ESCOLA],ROUNDUP(ROW(A1142)/TotalEtapas,0)),"")</f>
        <v/>
      </c>
    </row>
    <row r="1144" spans="1:1" x14ac:dyDescent="0.25">
      <c r="A1144" t="str" cm="1">
        <f t="array" ref="A1144">IFERROR(INDEX(tbNucleo[ESCOLA],ROUNDUP(ROW(A1143)/TotalEtapas,0)),"")</f>
        <v/>
      </c>
    </row>
    <row r="1145" spans="1:1" x14ac:dyDescent="0.25">
      <c r="A1145" t="str" cm="1">
        <f t="array" ref="A1145">IFERROR(INDEX(tbNucleo[ESCOLA],ROUNDUP(ROW(A1144)/TotalEtapas,0)),"")</f>
        <v/>
      </c>
    </row>
    <row r="1146" spans="1:1" x14ac:dyDescent="0.25">
      <c r="A1146" t="str" cm="1">
        <f t="array" ref="A1146">IFERROR(INDEX(tbNucleo[ESCOLA],ROUNDUP(ROW(A1145)/TotalEtapas,0)),"")</f>
        <v/>
      </c>
    </row>
    <row r="1147" spans="1:1" x14ac:dyDescent="0.25">
      <c r="A1147" t="str" cm="1">
        <f t="array" ref="A1147">IFERROR(INDEX(tbNucleo[ESCOLA],ROUNDUP(ROW(A1146)/TotalEtapas,0)),"")</f>
        <v/>
      </c>
    </row>
    <row r="1148" spans="1:1" x14ac:dyDescent="0.25">
      <c r="A1148" t="str" cm="1">
        <f t="array" ref="A1148">IFERROR(INDEX(tbNucleo[ESCOLA],ROUNDUP(ROW(A1147)/TotalEtapas,0)),"")</f>
        <v/>
      </c>
    </row>
    <row r="1149" spans="1:1" x14ac:dyDescent="0.25">
      <c r="A1149" t="str" cm="1">
        <f t="array" ref="A1149">IFERROR(INDEX(tbNucleo[ESCOLA],ROUNDUP(ROW(A1148)/TotalEtapas,0)),"")</f>
        <v/>
      </c>
    </row>
    <row r="1150" spans="1:1" x14ac:dyDescent="0.25">
      <c r="A1150" t="str" cm="1">
        <f t="array" ref="A1150">IFERROR(INDEX(tbNucleo[ESCOLA],ROUNDUP(ROW(A1149)/TotalEtapas,0)),"")</f>
        <v/>
      </c>
    </row>
    <row r="1151" spans="1:1" x14ac:dyDescent="0.25">
      <c r="A1151" t="str" cm="1">
        <f t="array" ref="A1151">IFERROR(INDEX(tbNucleo[ESCOLA],ROUNDUP(ROW(A1150)/TotalEtapas,0)),"")</f>
        <v/>
      </c>
    </row>
    <row r="1152" spans="1:1" x14ac:dyDescent="0.25">
      <c r="A1152" t="str" cm="1">
        <f t="array" ref="A1152">IFERROR(INDEX(tbNucleo[ESCOLA],ROUNDUP(ROW(A1151)/TotalEtapas,0)),"")</f>
        <v/>
      </c>
    </row>
    <row r="1153" spans="1:5" x14ac:dyDescent="0.25">
      <c r="A1153" t="str" cm="1">
        <f t="array" ref="A1153">IFERROR(INDEX(tbNucleo[ESCOLA],ROUNDUP(ROW(A1152)/TotalEtapas,0)),"")</f>
        <v/>
      </c>
    </row>
    <row r="1154" spans="1:5" x14ac:dyDescent="0.25">
      <c r="A1154" t="str" cm="1">
        <f t="array" ref="A1154">IFERROR(INDEX(tbNucleo[ESCOLA],ROUNDUP(ROW(A1153)/TotalEtapas,0)),"")</f>
        <v/>
      </c>
      <c r="D1154" t="str">
        <f>IFERROR(VLOOKUP(tbEscolas[[#This Row],[COD ETPA]],tbEtapas[],2,FALSE),"")</f>
        <v/>
      </c>
      <c r="E1154" t="str">
        <f>IFERROR(VLOOKUP(tbEscolas[[#This Row],[COD ETPA]],tbEtapas[],3,FALSE),"")</f>
        <v/>
      </c>
    </row>
    <row r="1155" spans="1:5" x14ac:dyDescent="0.25">
      <c r="A1155" t="str" cm="1">
        <f t="array" ref="A1155">IFERROR(INDEX(tbNucleo[ESCOLA],ROUNDUP(ROW(A1154)/TotalEtapas,0)),"")</f>
        <v/>
      </c>
      <c r="D1155" t="str">
        <f>IFERROR(VLOOKUP(tbEscolas[[#This Row],[COD ETPA]],tbEtapas[],2,FALSE),"")</f>
        <v/>
      </c>
      <c r="E1155" t="str">
        <f>IFERROR(VLOOKUP(tbEscolas[[#This Row],[COD ETPA]],tbEtapas[],3,FALSE),"")</f>
        <v/>
      </c>
    </row>
    <row r="1156" spans="1:5" x14ac:dyDescent="0.25">
      <c r="A1156" t="str" cm="1">
        <f t="array" ref="A1156">IFERROR(INDEX(tbNucleo[ESCOLA],ROUNDUP(ROW(A1155)/TotalEtapas,0)),"")</f>
        <v/>
      </c>
      <c r="D1156" t="str">
        <f>IFERROR(VLOOKUP(tbEscolas[[#This Row],[COD ETPA]],tbEtapas[],2,FALSE),"")</f>
        <v/>
      </c>
      <c r="E1156" t="str">
        <f>IFERROR(VLOOKUP(tbEscolas[[#This Row],[COD ETPA]],tbEtapas[],3,FALSE),"")</f>
        <v/>
      </c>
    </row>
    <row r="1157" spans="1:5" x14ac:dyDescent="0.25">
      <c r="A1157" t="str" cm="1">
        <f t="array" ref="A1157">IFERROR(INDEX(tbNucleo[ESCOLA],ROUNDUP(ROW(A1156)/TotalEtapas,0)),"")</f>
        <v/>
      </c>
      <c r="D1157" t="str">
        <f>IFERROR(VLOOKUP(tbEscolas[[#This Row],[COD ETPA]],tbEtapas[],2,FALSE),"")</f>
        <v/>
      </c>
      <c r="E1157" t="str">
        <f>IFERROR(VLOOKUP(tbEscolas[[#This Row],[COD ETPA]],tbEtapas[],3,FALSE),"")</f>
        <v/>
      </c>
    </row>
    <row r="1158" spans="1:5" x14ac:dyDescent="0.25">
      <c r="A1158" t="str" cm="1">
        <f t="array" ref="A1158">IFERROR(INDEX(tbNucleo[ESCOLA],ROUNDUP(ROW(A1157)/TotalEtapas,0)),"")</f>
        <v/>
      </c>
      <c r="D1158" t="str">
        <f>IFERROR(VLOOKUP(tbEscolas[[#This Row],[COD ETPA]],tbEtapas[],2,FALSE),"")</f>
        <v/>
      </c>
      <c r="E1158" t="str">
        <f>IFERROR(VLOOKUP(tbEscolas[[#This Row],[COD ETPA]],tbEtapas[],3,FALSE),"")</f>
        <v/>
      </c>
    </row>
    <row r="1159" spans="1:5" x14ac:dyDescent="0.25">
      <c r="A1159" t="str" cm="1">
        <f t="array" ref="A1159">IFERROR(INDEX(tbNucleo[ESCOLA],ROUNDUP(ROW(A1158)/TotalEtapas,0)),"")</f>
        <v/>
      </c>
      <c r="D1159" t="str">
        <f>IFERROR(VLOOKUP(tbEscolas[[#This Row],[COD ETPA]],tbEtapas[],2,FALSE),"")</f>
        <v/>
      </c>
      <c r="E1159" t="str">
        <f>IFERROR(VLOOKUP(tbEscolas[[#This Row],[COD ETPA]],tbEtapas[],3,FALSE),"")</f>
        <v/>
      </c>
    </row>
    <row r="1160" spans="1:5" x14ac:dyDescent="0.25">
      <c r="A1160" t="str" cm="1">
        <f t="array" ref="A1160">IFERROR(INDEX(tbNucleo[ESCOLA],ROUNDUP(ROW(A1159)/TotalEtapas,0)),"")</f>
        <v/>
      </c>
      <c r="D1160" t="str">
        <f>IFERROR(VLOOKUP(tbEscolas[[#This Row],[COD ETPA]],tbEtapas[],2,FALSE),"")</f>
        <v/>
      </c>
      <c r="E1160" t="str">
        <f>IFERROR(VLOOKUP(tbEscolas[[#This Row],[COD ETPA]],tbEtapas[],3,FALSE),"")</f>
        <v/>
      </c>
    </row>
    <row r="1161" spans="1:5" x14ac:dyDescent="0.25">
      <c r="A1161" t="str" cm="1">
        <f t="array" ref="A1161">IFERROR(INDEX(tbNucleo[ESCOLA],ROUNDUP(ROW(A1160)/TotalEtapas,0)),"")</f>
        <v/>
      </c>
      <c r="D1161" t="str">
        <f>IFERROR(VLOOKUP(tbEscolas[[#This Row],[COD ETPA]],tbEtapas[],2,FALSE),"")</f>
        <v/>
      </c>
      <c r="E1161" t="str">
        <f>IFERROR(VLOOKUP(tbEscolas[[#This Row],[COD ETPA]],tbEtapas[],3,FALSE),"")</f>
        <v/>
      </c>
    </row>
    <row r="1162" spans="1:5" x14ac:dyDescent="0.25">
      <c r="A1162" t="str" cm="1">
        <f t="array" ref="A1162">IFERROR(INDEX(tbNucleo[ESCOLA],ROUNDUP(ROW(A1161)/TotalEtapas,0)),"")</f>
        <v/>
      </c>
      <c r="D1162" t="str">
        <f>IFERROR(VLOOKUP(tbEscolas[[#This Row],[COD ETPA]],tbEtapas[],2,FALSE),"")</f>
        <v/>
      </c>
      <c r="E1162" t="str">
        <f>IFERROR(VLOOKUP(tbEscolas[[#This Row],[COD ETPA]],tbEtapas[],3,FALSE),"")</f>
        <v/>
      </c>
    </row>
    <row r="1163" spans="1:5" x14ac:dyDescent="0.25">
      <c r="A1163" t="str" cm="1">
        <f t="array" ref="A1163">IFERROR(INDEX(tbNucleo[ESCOLA],ROUNDUP(ROW(A1162)/TotalEtapas,0)),"")</f>
        <v/>
      </c>
      <c r="D1163" t="str">
        <f>IFERROR(VLOOKUP(tbEscolas[[#This Row],[COD ETPA]],tbEtapas[],2,FALSE),"")</f>
        <v/>
      </c>
      <c r="E1163" t="str">
        <f>IFERROR(VLOOKUP(tbEscolas[[#This Row],[COD ETPA]],tbEtapas[],3,FALSE),"")</f>
        <v/>
      </c>
    </row>
    <row r="1164" spans="1:5" x14ac:dyDescent="0.25">
      <c r="A1164" t="str" cm="1">
        <f t="array" ref="A1164">IFERROR(INDEX(tbNucleo[ESCOLA],ROUNDUP(ROW(A1163)/TotalEtapas,0)),"")</f>
        <v/>
      </c>
      <c r="D1164" t="str">
        <f>IFERROR(VLOOKUP(tbEscolas[[#This Row],[COD ETPA]],tbEtapas[],2,FALSE),"")</f>
        <v/>
      </c>
      <c r="E1164" t="str">
        <f>IFERROR(VLOOKUP(tbEscolas[[#This Row],[COD ETPA]],tbEtapas[],3,FALSE),"")</f>
        <v/>
      </c>
    </row>
    <row r="1165" spans="1:5" x14ac:dyDescent="0.25">
      <c r="A1165" t="str" cm="1">
        <f t="array" ref="A1165">IFERROR(INDEX(tbNucleo[ESCOLA],ROUNDUP(ROW(A1164)/TotalEtapas,0)),"")</f>
        <v/>
      </c>
      <c r="D1165" t="str">
        <f>IFERROR(VLOOKUP(tbEscolas[[#This Row],[COD ETPA]],tbEtapas[],2,FALSE),"")</f>
        <v/>
      </c>
      <c r="E1165" t="str">
        <f>IFERROR(VLOOKUP(tbEscolas[[#This Row],[COD ETPA]],tbEtapas[],3,FALSE),"")</f>
        <v/>
      </c>
    </row>
    <row r="1166" spans="1:5" x14ac:dyDescent="0.25">
      <c r="A1166" t="str" cm="1">
        <f t="array" ref="A1166">IFERROR(INDEX(tbNucleo[ESCOLA],ROUNDUP(ROW(A1165)/TotalEtapas,0)),"")</f>
        <v/>
      </c>
      <c r="D1166" t="str">
        <f>IFERROR(VLOOKUP(tbEscolas[[#This Row],[COD ETPA]],tbEtapas[],2,FALSE),"")</f>
        <v/>
      </c>
      <c r="E1166" t="str">
        <f>IFERROR(VLOOKUP(tbEscolas[[#This Row],[COD ETPA]],tbEtapas[],3,FALSE),"")</f>
        <v/>
      </c>
    </row>
    <row r="1167" spans="1:5" x14ac:dyDescent="0.25">
      <c r="A1167" t="str" cm="1">
        <f t="array" ref="A1167">IFERROR(INDEX(tbNucleo[ESCOLA],ROUNDUP(ROW(A1166)/TotalEtapas,0)),"")</f>
        <v/>
      </c>
      <c r="D1167" t="str">
        <f>IFERROR(VLOOKUP(tbEscolas[[#This Row],[COD ETPA]],tbEtapas[],2,FALSE),"")</f>
        <v/>
      </c>
      <c r="E1167" t="str">
        <f>IFERROR(VLOOKUP(tbEscolas[[#This Row],[COD ETPA]],tbEtapas[],3,FALSE),"")</f>
        <v/>
      </c>
    </row>
    <row r="1168" spans="1:5" x14ac:dyDescent="0.25">
      <c r="A1168" t="str" cm="1">
        <f t="array" ref="A1168">IFERROR(INDEX(tbNucleo[ESCOLA],ROUNDUP(ROW(A1167)/TotalEtapas,0)),"")</f>
        <v/>
      </c>
      <c r="D1168" t="str">
        <f>IFERROR(VLOOKUP(tbEscolas[[#This Row],[COD ETPA]],tbEtapas[],2,FALSE),"")</f>
        <v/>
      </c>
      <c r="E1168" t="str">
        <f>IFERROR(VLOOKUP(tbEscolas[[#This Row],[COD ETPA]],tbEtapas[],3,FALSE),"")</f>
        <v/>
      </c>
    </row>
    <row r="1169" spans="1:5" x14ac:dyDescent="0.25">
      <c r="A1169" t="str" cm="1">
        <f t="array" ref="A1169">IFERROR(INDEX(tbNucleo[ESCOLA],ROUNDUP(ROW(A1168)/TotalEtapas,0)),"")</f>
        <v/>
      </c>
      <c r="D1169" t="str">
        <f>IFERROR(VLOOKUP(tbEscolas[[#This Row],[COD ETPA]],tbEtapas[],2,FALSE),"")</f>
        <v/>
      </c>
      <c r="E1169" t="str">
        <f>IFERROR(VLOOKUP(tbEscolas[[#This Row],[COD ETPA]],tbEtapas[],3,FALSE),"")</f>
        <v/>
      </c>
    </row>
    <row r="1170" spans="1:5" x14ac:dyDescent="0.25">
      <c r="A1170" t="str" cm="1">
        <f t="array" ref="A1170">IFERROR(INDEX(tbNucleo[ESCOLA],ROUNDUP(ROW(A1169)/TotalEtapas,0)),"")</f>
        <v/>
      </c>
      <c r="D1170" t="str">
        <f>IFERROR(VLOOKUP(tbEscolas[[#This Row],[COD ETPA]],tbEtapas[],2,FALSE),"")</f>
        <v/>
      </c>
      <c r="E1170" t="str">
        <f>IFERROR(VLOOKUP(tbEscolas[[#This Row],[COD ETPA]],tbEtapas[],3,FALSE),"")</f>
        <v/>
      </c>
    </row>
    <row r="1171" spans="1:5" x14ac:dyDescent="0.25">
      <c r="A1171" t="str" cm="1">
        <f t="array" ref="A1171">IFERROR(INDEX(tbNucleo[ESCOLA],ROUNDUP(ROW(A1170)/TotalEtapas,0)),"")</f>
        <v/>
      </c>
      <c r="D1171" t="str">
        <f>IFERROR(VLOOKUP(tbEscolas[[#This Row],[COD ETPA]],tbEtapas[],2,FALSE),"")</f>
        <v/>
      </c>
      <c r="E1171" t="str">
        <f>IFERROR(VLOOKUP(tbEscolas[[#This Row],[COD ETPA]],tbEtapas[],3,FALSE),"")</f>
        <v/>
      </c>
    </row>
    <row r="1172" spans="1:5" x14ac:dyDescent="0.25">
      <c r="A1172" t="str" cm="1">
        <f t="array" ref="A1172">IFERROR(INDEX(tbNucleo[ESCOLA],ROUNDUP(ROW(A1171)/TotalEtapas,0)),"")</f>
        <v/>
      </c>
      <c r="D1172" t="str">
        <f>IFERROR(VLOOKUP(tbEscolas[[#This Row],[COD ETPA]],tbEtapas[],2,FALSE),"")</f>
        <v/>
      </c>
      <c r="E1172" t="str">
        <f>IFERROR(VLOOKUP(tbEscolas[[#This Row],[COD ETPA]],tbEtapas[],3,FALSE),"")</f>
        <v/>
      </c>
    </row>
    <row r="1173" spans="1:5" x14ac:dyDescent="0.25">
      <c r="A1173" t="str" cm="1">
        <f t="array" ref="A1173">IFERROR(INDEX(tbNucleo[ESCOLA],ROUNDUP(ROW(A1172)/TotalEtapas,0)),"")</f>
        <v/>
      </c>
      <c r="D1173" t="str">
        <f>IFERROR(VLOOKUP(tbEscolas[[#This Row],[COD ETPA]],tbEtapas[],2,FALSE),"")</f>
        <v/>
      </c>
      <c r="E1173" t="str">
        <f>IFERROR(VLOOKUP(tbEscolas[[#This Row],[COD ETPA]],tbEtapas[],3,FALSE),"")</f>
        <v/>
      </c>
    </row>
    <row r="1174" spans="1:5" x14ac:dyDescent="0.25">
      <c r="A1174" t="str" cm="1">
        <f t="array" ref="A1174">IFERROR(INDEX(tbNucleo[ESCOLA],ROUNDUP(ROW(A1173)/TotalEtapas,0)),"")</f>
        <v/>
      </c>
      <c r="D1174" t="str">
        <f>IFERROR(VLOOKUP(tbEscolas[[#This Row],[COD ETPA]],tbEtapas[],2,FALSE),"")</f>
        <v/>
      </c>
      <c r="E1174" t="str">
        <f>IFERROR(VLOOKUP(tbEscolas[[#This Row],[COD ETPA]],tbEtapas[],3,FALSE),"")</f>
        <v/>
      </c>
    </row>
    <row r="1175" spans="1:5" x14ac:dyDescent="0.25">
      <c r="A1175" t="str" cm="1">
        <f t="array" ref="A1175">IFERROR(INDEX(tbNucleo[ESCOLA],ROUNDUP(ROW(A1174)/TotalEtapas,0)),"")</f>
        <v/>
      </c>
      <c r="D1175" t="str">
        <f>IFERROR(VLOOKUP(tbEscolas[[#This Row],[COD ETPA]],tbEtapas[],2,FALSE),"")</f>
        <v/>
      </c>
      <c r="E1175" t="str">
        <f>IFERROR(VLOOKUP(tbEscolas[[#This Row],[COD ETPA]],tbEtapas[],3,FALSE),"")</f>
        <v/>
      </c>
    </row>
    <row r="1176" spans="1:5" x14ac:dyDescent="0.25">
      <c r="A1176" t="str" cm="1">
        <f t="array" ref="A1176">IFERROR(INDEX(tbNucleo[ESCOLA],ROUNDUP(ROW(A1175)/TotalEtapas,0)),"")</f>
        <v/>
      </c>
      <c r="D1176" t="str">
        <f>IFERROR(VLOOKUP(tbEscolas[[#This Row],[COD ETPA]],tbEtapas[],2,FALSE),"")</f>
        <v/>
      </c>
      <c r="E1176" t="str">
        <f>IFERROR(VLOOKUP(tbEscolas[[#This Row],[COD ETPA]],tbEtapas[],3,FALSE),"")</f>
        <v/>
      </c>
    </row>
    <row r="1177" spans="1:5" x14ac:dyDescent="0.25">
      <c r="A1177" t="str" cm="1">
        <f t="array" ref="A1177">IFERROR(INDEX(tbNucleo[ESCOLA],ROUNDUP(ROW(A1176)/TotalEtapas,0)),"")</f>
        <v/>
      </c>
      <c r="D1177" t="str">
        <f>IFERROR(VLOOKUP(tbEscolas[[#This Row],[COD ETPA]],tbEtapas[],2,FALSE),"")</f>
        <v/>
      </c>
      <c r="E1177" t="str">
        <f>IFERROR(VLOOKUP(tbEscolas[[#This Row],[COD ETPA]],tbEtapas[],3,FALSE),"")</f>
        <v/>
      </c>
    </row>
    <row r="1178" spans="1:5" x14ac:dyDescent="0.25">
      <c r="A1178" t="str" cm="1">
        <f t="array" ref="A1178">IFERROR(INDEX(tbNucleo[ESCOLA],ROUNDUP(ROW(A1177)/TotalEtapas,0)),"")</f>
        <v/>
      </c>
      <c r="D1178" t="str">
        <f>IFERROR(VLOOKUP(tbEscolas[[#This Row],[COD ETPA]],tbEtapas[],2,FALSE),"")</f>
        <v/>
      </c>
      <c r="E1178" t="str">
        <f>IFERROR(VLOOKUP(tbEscolas[[#This Row],[COD ETPA]],tbEtapas[],3,FALSE),"")</f>
        <v/>
      </c>
    </row>
    <row r="1179" spans="1:5" x14ac:dyDescent="0.25">
      <c r="A1179" t="str" cm="1">
        <f t="array" ref="A1179">IFERROR(INDEX(tbNucleo[ESCOLA],ROUNDUP(ROW(A1178)/TotalEtapas,0)),"")</f>
        <v/>
      </c>
      <c r="D1179" t="str">
        <f>IFERROR(VLOOKUP(tbEscolas[[#This Row],[COD ETPA]],tbEtapas[],2,FALSE),"")</f>
        <v/>
      </c>
      <c r="E1179" t="str">
        <f>IFERROR(VLOOKUP(tbEscolas[[#This Row],[COD ETPA]],tbEtapas[],3,FALSE),"")</f>
        <v/>
      </c>
    </row>
    <row r="1180" spans="1:5" x14ac:dyDescent="0.25">
      <c r="A1180" t="str" cm="1">
        <f t="array" ref="A1180">IFERROR(INDEX(tbNucleo[ESCOLA],ROUNDUP(ROW(A1179)/TotalEtapas,0)),"")</f>
        <v/>
      </c>
      <c r="D1180" t="str">
        <f>IFERROR(VLOOKUP(tbEscolas[[#This Row],[COD ETPA]],tbEtapas[],2,FALSE),"")</f>
        <v/>
      </c>
      <c r="E1180" t="str">
        <f>IFERROR(VLOOKUP(tbEscolas[[#This Row],[COD ETPA]],tbEtapas[],3,FALSE),"")</f>
        <v/>
      </c>
    </row>
    <row r="1181" spans="1:5" x14ac:dyDescent="0.25">
      <c r="A1181" t="str" cm="1">
        <f t="array" ref="A1181">IFERROR(INDEX(tbNucleo[ESCOLA],ROUNDUP(ROW(A1180)/TotalEtapas,0)),"")</f>
        <v/>
      </c>
      <c r="D1181" t="str">
        <f>IFERROR(VLOOKUP(tbEscolas[[#This Row],[COD ETPA]],tbEtapas[],2,FALSE),"")</f>
        <v/>
      </c>
      <c r="E1181" t="str">
        <f>IFERROR(VLOOKUP(tbEscolas[[#This Row],[COD ETPA]],tbEtapas[],3,FALSE),"")</f>
        <v/>
      </c>
    </row>
    <row r="1182" spans="1:5" x14ac:dyDescent="0.25">
      <c r="A1182" t="str" cm="1">
        <f t="array" ref="A1182">IFERROR(INDEX(tbNucleo[ESCOLA],ROUNDUP(ROW(A1181)/TotalEtapas,0)),"")</f>
        <v/>
      </c>
      <c r="D1182" t="str">
        <f>IFERROR(VLOOKUP(tbEscolas[[#This Row],[COD ETPA]],tbEtapas[],2,FALSE),"")</f>
        <v/>
      </c>
      <c r="E1182" t="str">
        <f>IFERROR(VLOOKUP(tbEscolas[[#This Row],[COD ETPA]],tbEtapas[],3,FALSE),"")</f>
        <v/>
      </c>
    </row>
    <row r="1183" spans="1:5" x14ac:dyDescent="0.25">
      <c r="A1183" t="str" cm="1">
        <f t="array" ref="A1183">IFERROR(INDEX(tbNucleo[ESCOLA],ROUNDUP(ROW(A1182)/TotalEtapas,0)),"")</f>
        <v/>
      </c>
      <c r="D1183" t="str">
        <f>IFERROR(VLOOKUP(tbEscolas[[#This Row],[COD ETPA]],tbEtapas[],2,FALSE),"")</f>
        <v/>
      </c>
      <c r="E1183" t="str">
        <f>IFERROR(VLOOKUP(tbEscolas[[#This Row],[COD ETPA]],tbEtapas[],3,FALSE),"")</f>
        <v/>
      </c>
    </row>
    <row r="1184" spans="1:5" x14ac:dyDescent="0.25">
      <c r="A1184" t="str" cm="1">
        <f t="array" ref="A1184">IFERROR(INDEX(tbNucleo[ESCOLA],ROUNDUP(ROW(A1183)/TotalEtapas,0)),"")</f>
        <v/>
      </c>
      <c r="D1184" t="str">
        <f>IFERROR(VLOOKUP(tbEscolas[[#This Row],[COD ETPA]],tbEtapas[],2,FALSE),"")</f>
        <v/>
      </c>
      <c r="E1184" t="str">
        <f>IFERROR(VLOOKUP(tbEscolas[[#This Row],[COD ETPA]],tbEtapas[],3,FALSE),"")</f>
        <v/>
      </c>
    </row>
    <row r="1185" spans="1:5" x14ac:dyDescent="0.25">
      <c r="A1185" t="str" cm="1">
        <f t="array" ref="A1185">IFERROR(INDEX(tbNucleo[ESCOLA],ROUNDUP(ROW(A1184)/TotalEtapas,0)),"")</f>
        <v/>
      </c>
      <c r="D1185" t="str">
        <f>IFERROR(VLOOKUP(tbEscolas[[#This Row],[COD ETPA]],tbEtapas[],2,FALSE),"")</f>
        <v/>
      </c>
      <c r="E1185" t="str">
        <f>IFERROR(VLOOKUP(tbEscolas[[#This Row],[COD ETPA]],tbEtapas[],3,FALSE),"")</f>
        <v/>
      </c>
    </row>
    <row r="1186" spans="1:5" x14ac:dyDescent="0.25">
      <c r="A1186" t="str" cm="1">
        <f t="array" ref="A1186">IFERROR(INDEX(tbNucleo[ESCOLA],ROUNDUP(ROW(A1185)/TotalEtapas,0)),"")</f>
        <v/>
      </c>
      <c r="D1186" t="str">
        <f>IFERROR(VLOOKUP(tbEscolas[[#This Row],[COD ETPA]],tbEtapas[],2,FALSE),"")</f>
        <v/>
      </c>
      <c r="E1186" t="str">
        <f>IFERROR(VLOOKUP(tbEscolas[[#This Row],[COD ETPA]],tbEtapas[],3,FALSE),"")</f>
        <v/>
      </c>
    </row>
    <row r="1187" spans="1:5" x14ac:dyDescent="0.25">
      <c r="A1187" t="str" cm="1">
        <f t="array" ref="A1187">IFERROR(INDEX(tbNucleo[ESCOLA],ROUNDUP(ROW(A1186)/TotalEtapas,0)),"")</f>
        <v/>
      </c>
      <c r="D1187" t="str">
        <f>IFERROR(VLOOKUP(tbEscolas[[#This Row],[COD ETPA]],tbEtapas[],2,FALSE),"")</f>
        <v/>
      </c>
      <c r="E1187" t="str">
        <f>IFERROR(VLOOKUP(tbEscolas[[#This Row],[COD ETPA]],tbEtapas[],3,FALSE),"")</f>
        <v/>
      </c>
    </row>
    <row r="1188" spans="1:5" x14ac:dyDescent="0.25">
      <c r="A1188" t="str" cm="1">
        <f t="array" ref="A1188">IFERROR(INDEX(tbNucleo[ESCOLA],ROUNDUP(ROW(A1187)/TotalEtapas,0)),"")</f>
        <v/>
      </c>
      <c r="D1188" t="str">
        <f>IFERROR(VLOOKUP(tbEscolas[[#This Row],[COD ETPA]],tbEtapas[],2,FALSE),"")</f>
        <v/>
      </c>
      <c r="E1188" t="str">
        <f>IFERROR(VLOOKUP(tbEscolas[[#This Row],[COD ETPA]],tbEtapas[],3,FALSE),"")</f>
        <v/>
      </c>
    </row>
    <row r="1189" spans="1:5" x14ac:dyDescent="0.25">
      <c r="A1189" t="str" cm="1">
        <f t="array" ref="A1189">IFERROR(INDEX(tbNucleo[ESCOLA],ROUNDUP(ROW(A1188)/TotalEtapas,0)),"")</f>
        <v/>
      </c>
      <c r="D1189" t="str">
        <f>IFERROR(VLOOKUP(tbEscolas[[#This Row],[COD ETPA]],tbEtapas[],2,FALSE),"")</f>
        <v/>
      </c>
      <c r="E1189" t="str">
        <f>IFERROR(VLOOKUP(tbEscolas[[#This Row],[COD ETPA]],tbEtapas[],3,FALSE),"")</f>
        <v/>
      </c>
    </row>
    <row r="1190" spans="1:5" x14ac:dyDescent="0.25">
      <c r="A1190" t="str" cm="1">
        <f t="array" ref="A1190">IFERROR(INDEX(tbNucleo[ESCOLA],ROUNDUP(ROW(A1189)/TotalEtapas,0)),"")</f>
        <v/>
      </c>
      <c r="D1190" t="str">
        <f>IFERROR(VLOOKUP(tbEscolas[[#This Row],[COD ETPA]],tbEtapas[],2,FALSE),"")</f>
        <v/>
      </c>
      <c r="E1190" t="str">
        <f>IFERROR(VLOOKUP(tbEscolas[[#This Row],[COD ETPA]],tbEtapas[],3,FALSE),"")</f>
        <v/>
      </c>
    </row>
    <row r="1191" spans="1:5" x14ac:dyDescent="0.25">
      <c r="A1191" t="str" cm="1">
        <f t="array" ref="A1191">IFERROR(INDEX(tbNucleo[ESCOLA],ROUNDUP(ROW(A1190)/TotalEtapas,0)),"")</f>
        <v/>
      </c>
      <c r="D1191" t="str">
        <f>IFERROR(VLOOKUP(tbEscolas[[#This Row],[COD ETPA]],tbEtapas[],2,FALSE),"")</f>
        <v/>
      </c>
      <c r="E1191" t="str">
        <f>IFERROR(VLOOKUP(tbEscolas[[#This Row],[COD ETPA]],tbEtapas[],3,FALSE),"")</f>
        <v/>
      </c>
    </row>
    <row r="1192" spans="1:5" x14ac:dyDescent="0.25">
      <c r="A1192" t="str" cm="1">
        <f t="array" ref="A1192">IFERROR(INDEX(tbNucleo[ESCOLA],ROUNDUP(ROW(A1191)/TotalEtapas,0)),"")</f>
        <v/>
      </c>
      <c r="D1192" t="str">
        <f>IFERROR(VLOOKUP(tbEscolas[[#This Row],[COD ETPA]],tbEtapas[],2,FALSE),"")</f>
        <v/>
      </c>
      <c r="E1192" t="str">
        <f>IFERROR(VLOOKUP(tbEscolas[[#This Row],[COD ETPA]],tbEtapas[],3,FALSE),"")</f>
        <v/>
      </c>
    </row>
    <row r="1193" spans="1:5" x14ac:dyDescent="0.25">
      <c r="A1193" t="str" cm="1">
        <f t="array" ref="A1193">IFERROR(INDEX(tbNucleo[ESCOLA],ROUNDUP(ROW(A1192)/TotalEtapas,0)),"")</f>
        <v/>
      </c>
      <c r="D1193" t="str">
        <f>IFERROR(VLOOKUP(tbEscolas[[#This Row],[COD ETPA]],tbEtapas[],2,FALSE),"")</f>
        <v/>
      </c>
      <c r="E1193" t="str">
        <f>IFERROR(VLOOKUP(tbEscolas[[#This Row],[COD ETPA]],tbEtapas[],3,FALSE),"")</f>
        <v/>
      </c>
    </row>
    <row r="1194" spans="1:5" x14ac:dyDescent="0.25">
      <c r="A1194" t="str" cm="1">
        <f t="array" ref="A1194">IFERROR(INDEX(tbNucleo[ESCOLA],ROUNDUP(ROW(A1193)/TotalEtapas,0)),"")</f>
        <v/>
      </c>
      <c r="D1194" t="str">
        <f>IFERROR(VLOOKUP(tbEscolas[[#This Row],[COD ETPA]],tbEtapas[],2,FALSE),"")</f>
        <v/>
      </c>
      <c r="E1194" t="str">
        <f>IFERROR(VLOOKUP(tbEscolas[[#This Row],[COD ETPA]],tbEtapas[],3,FALSE),"")</f>
        <v/>
      </c>
    </row>
    <row r="1195" spans="1:5" x14ac:dyDescent="0.25">
      <c r="A1195" t="str" cm="1">
        <f t="array" ref="A1195">IFERROR(INDEX(tbNucleo[ESCOLA],ROUNDUP(ROW(A1194)/TotalEtapas,0)),"")</f>
        <v/>
      </c>
      <c r="D1195" t="str">
        <f>IFERROR(VLOOKUP(tbEscolas[[#This Row],[COD ETPA]],tbEtapas[],2,FALSE),"")</f>
        <v/>
      </c>
      <c r="E1195" t="str">
        <f>IFERROR(VLOOKUP(tbEscolas[[#This Row],[COD ETPA]],tbEtapas[],3,FALSE),"")</f>
        <v/>
      </c>
    </row>
    <row r="1196" spans="1:5" x14ac:dyDescent="0.25">
      <c r="A1196" t="str" cm="1">
        <f t="array" ref="A1196">IFERROR(INDEX(tbNucleo[ESCOLA],ROUNDUP(ROW(A1195)/TotalEtapas,0)),"")</f>
        <v/>
      </c>
      <c r="D1196" t="str">
        <f>IFERROR(VLOOKUP(tbEscolas[[#This Row],[COD ETPA]],tbEtapas[],2,FALSE),"")</f>
        <v/>
      </c>
      <c r="E1196" t="str">
        <f>IFERROR(VLOOKUP(tbEscolas[[#This Row],[COD ETPA]],tbEtapas[],3,FALSE),"")</f>
        <v/>
      </c>
    </row>
    <row r="1197" spans="1:5" x14ac:dyDescent="0.25">
      <c r="A1197" t="str" cm="1">
        <f t="array" ref="A1197">IFERROR(INDEX(tbNucleo[ESCOLA],ROUNDUP(ROW(A1196)/TotalEtapas,0)),"")</f>
        <v/>
      </c>
      <c r="D1197" t="str">
        <f>IFERROR(VLOOKUP(tbEscolas[[#This Row],[COD ETPA]],tbEtapas[],2,FALSE),"")</f>
        <v/>
      </c>
      <c r="E1197" t="str">
        <f>IFERROR(VLOOKUP(tbEscolas[[#This Row],[COD ETPA]],tbEtapas[],3,FALSE),"")</f>
        <v/>
      </c>
    </row>
    <row r="1198" spans="1:5" x14ac:dyDescent="0.25">
      <c r="A1198" t="str" cm="1">
        <f t="array" ref="A1198">IFERROR(INDEX(tbNucleo[ESCOLA],ROUNDUP(ROW(A1197)/TotalEtapas,0)),"")</f>
        <v/>
      </c>
      <c r="D1198" t="str">
        <f>IFERROR(VLOOKUP(tbEscolas[[#This Row],[COD ETPA]],tbEtapas[],2,FALSE),"")</f>
        <v/>
      </c>
      <c r="E1198" t="str">
        <f>IFERROR(VLOOKUP(tbEscolas[[#This Row],[COD ETPA]],tbEtapas[],3,FALSE),"")</f>
        <v/>
      </c>
    </row>
    <row r="1199" spans="1:5" x14ac:dyDescent="0.25">
      <c r="A1199" t="str" cm="1">
        <f t="array" ref="A1199">IFERROR(INDEX(tbNucleo[ESCOLA],ROUNDUP(ROW(A1198)/TotalEtapas,0)),"")</f>
        <v/>
      </c>
      <c r="D1199" t="str">
        <f>IFERROR(VLOOKUP(tbEscolas[[#This Row],[COD ETPA]],tbEtapas[],2,FALSE),"")</f>
        <v/>
      </c>
      <c r="E1199" t="str">
        <f>IFERROR(VLOOKUP(tbEscolas[[#This Row],[COD ETPA]],tbEtapas[],3,FALSE),"")</f>
        <v/>
      </c>
    </row>
    <row r="1200" spans="1:5" x14ac:dyDescent="0.25">
      <c r="A1200" t="str" cm="1">
        <f t="array" ref="A1200">IFERROR(INDEX(tbNucleo[ESCOLA],ROUNDUP(ROW(A1199)/TotalEtapas,0)),"")</f>
        <v/>
      </c>
      <c r="D1200" t="str">
        <f>IFERROR(VLOOKUP(tbEscolas[[#This Row],[COD ETPA]],tbEtapas[],2,FALSE),"")</f>
        <v/>
      </c>
      <c r="E1200" t="str">
        <f>IFERROR(VLOOKUP(tbEscolas[[#This Row],[COD ETPA]],tbEtapas[],3,FALSE),"")</f>
        <v/>
      </c>
    </row>
    <row r="1201" spans="1:5" x14ac:dyDescent="0.25">
      <c r="A1201" t="str" cm="1">
        <f t="array" ref="A1201">IFERROR(INDEX(tbNucleo[ESCOLA],ROUNDUP(ROW(A1200)/TotalEtapas,0)),"")</f>
        <v/>
      </c>
      <c r="D1201" t="str">
        <f>IFERROR(VLOOKUP(tbEscolas[[#This Row],[COD ETPA]],tbEtapas[],2,FALSE),"")</f>
        <v/>
      </c>
      <c r="E1201" t="str">
        <f>IFERROR(VLOOKUP(tbEscolas[[#This Row],[COD ETPA]],tbEtapas[],3,FALSE),"")</f>
        <v/>
      </c>
    </row>
    <row r="1202" spans="1:5" x14ac:dyDescent="0.25">
      <c r="A1202" t="str" cm="1">
        <f t="array" ref="A1202">IFERROR(INDEX(tbNucleo[ESCOLA],ROUNDUP(ROW(A1201)/TotalEtapas,0)),"")</f>
        <v/>
      </c>
      <c r="D1202" t="str">
        <f>IFERROR(VLOOKUP(tbEscolas[[#This Row],[COD ETPA]],tbEtapas[],2,FALSE),"")</f>
        <v/>
      </c>
      <c r="E1202" t="str">
        <f>IFERROR(VLOOKUP(tbEscolas[[#This Row],[COD ETPA]],tbEtapas[],3,FALSE),"")</f>
        <v/>
      </c>
    </row>
    <row r="1203" spans="1:5" x14ac:dyDescent="0.25">
      <c r="A1203" t="str" cm="1">
        <f t="array" ref="A1203">IFERROR(INDEX(tbNucleo[ESCOLA],ROUNDUP(ROW(A1202)/TotalEtapas,0)),"")</f>
        <v/>
      </c>
      <c r="D1203" t="str">
        <f>IFERROR(VLOOKUP(tbEscolas[[#This Row],[COD ETPA]],tbEtapas[],2,FALSE),"")</f>
        <v/>
      </c>
      <c r="E1203" t="str">
        <f>IFERROR(VLOOKUP(tbEscolas[[#This Row],[COD ETPA]],tbEtapas[],3,FALSE),"")</f>
        <v/>
      </c>
    </row>
    <row r="1204" spans="1:5" x14ac:dyDescent="0.25">
      <c r="A1204" t="str" cm="1">
        <f t="array" ref="A1204">IFERROR(INDEX(tbNucleo[ESCOLA],ROUNDUP(ROW(A1203)/TotalEtapas,0)),"")</f>
        <v/>
      </c>
      <c r="D1204" t="str">
        <f>IFERROR(VLOOKUP(tbEscolas[[#This Row],[COD ETPA]],tbEtapas[],2,FALSE),"")</f>
        <v/>
      </c>
      <c r="E1204" t="str">
        <f>IFERROR(VLOOKUP(tbEscolas[[#This Row],[COD ETPA]],tbEtapas[],3,FALSE),"")</f>
        <v/>
      </c>
    </row>
    <row r="1205" spans="1:5" x14ac:dyDescent="0.25">
      <c r="A1205" t="str" cm="1">
        <f t="array" ref="A1205">IFERROR(INDEX(tbNucleo[ESCOLA],ROUNDUP(ROW(A1204)/TotalEtapas,0)),"")</f>
        <v/>
      </c>
      <c r="D1205" t="str">
        <f>IFERROR(VLOOKUP(tbEscolas[[#This Row],[COD ETPA]],tbEtapas[],2,FALSE),"")</f>
        <v/>
      </c>
      <c r="E1205" t="str">
        <f>IFERROR(VLOOKUP(tbEscolas[[#This Row],[COD ETPA]],tbEtapas[],3,FALSE),"")</f>
        <v/>
      </c>
    </row>
    <row r="1206" spans="1:5" x14ac:dyDescent="0.25">
      <c r="A1206" t="str" cm="1">
        <f t="array" ref="A1206">IFERROR(INDEX(tbNucleo[ESCOLA],ROUNDUP(ROW(A1205)/TotalEtapas,0)),"")</f>
        <v/>
      </c>
      <c r="D1206" t="str">
        <f>IFERROR(VLOOKUP(tbEscolas[[#This Row],[COD ETPA]],tbEtapas[],2,FALSE),"")</f>
        <v/>
      </c>
      <c r="E1206" t="str">
        <f>IFERROR(VLOOKUP(tbEscolas[[#This Row],[COD ETPA]],tbEtapas[],3,FALSE),"")</f>
        <v/>
      </c>
    </row>
    <row r="1207" spans="1:5" x14ac:dyDescent="0.25">
      <c r="A1207" t="str" cm="1">
        <f t="array" ref="A1207">IFERROR(INDEX(tbNucleo[ESCOLA],ROUNDUP(ROW(A1206)/TotalEtapas,0)),"")</f>
        <v/>
      </c>
      <c r="D1207" t="str">
        <f>IFERROR(VLOOKUP(tbEscolas[[#This Row],[COD ETPA]],tbEtapas[],2,FALSE),"")</f>
        <v/>
      </c>
      <c r="E1207" t="str">
        <f>IFERROR(VLOOKUP(tbEscolas[[#This Row],[COD ETPA]],tbEtapas[],3,FALSE),"")</f>
        <v/>
      </c>
    </row>
    <row r="1208" spans="1:5" x14ac:dyDescent="0.25">
      <c r="A1208" t="str" cm="1">
        <f t="array" ref="A1208">IFERROR(INDEX(tbNucleo[ESCOLA],ROUNDUP(ROW(A1207)/TotalEtapas,0)),"")</f>
        <v/>
      </c>
      <c r="D1208" t="str">
        <f>IFERROR(VLOOKUP(tbEscolas[[#This Row],[COD ETPA]],tbEtapas[],2,FALSE),"")</f>
        <v/>
      </c>
      <c r="E1208" t="str">
        <f>IFERROR(VLOOKUP(tbEscolas[[#This Row],[COD ETPA]],tbEtapas[],3,FALSE),"")</f>
        <v/>
      </c>
    </row>
    <row r="1209" spans="1:5" x14ac:dyDescent="0.25">
      <c r="A1209" t="str" cm="1">
        <f t="array" ref="A1209">IFERROR(INDEX(tbNucleo[ESCOLA],ROUNDUP(ROW(A1208)/TotalEtapas,0)),"")</f>
        <v/>
      </c>
      <c r="D1209" t="str">
        <f>IFERROR(VLOOKUP(tbEscolas[[#This Row],[COD ETPA]],tbEtapas[],2,FALSE),"")</f>
        <v/>
      </c>
      <c r="E1209" t="str">
        <f>IFERROR(VLOOKUP(tbEscolas[[#This Row],[COD ETPA]],tbEtapas[],3,FALSE),"")</f>
        <v/>
      </c>
    </row>
    <row r="1210" spans="1:5" x14ac:dyDescent="0.25">
      <c r="A1210" t="str" cm="1">
        <f t="array" ref="A1210">IFERROR(INDEX(tbNucleo[ESCOLA],ROUNDUP(ROW(A1209)/TotalEtapas,0)),"")</f>
        <v/>
      </c>
      <c r="D1210" t="str">
        <f>IFERROR(VLOOKUP(tbEscolas[[#This Row],[COD ETPA]],tbEtapas[],2,FALSE),"")</f>
        <v/>
      </c>
      <c r="E1210" t="str">
        <f>IFERROR(VLOOKUP(tbEscolas[[#This Row],[COD ETPA]],tbEtapas[],3,FALSE),"")</f>
        <v/>
      </c>
    </row>
    <row r="1211" spans="1:5" x14ac:dyDescent="0.25">
      <c r="A1211" t="str" cm="1">
        <f t="array" ref="A1211">IFERROR(INDEX(tbNucleo[ESCOLA],ROUNDUP(ROW(A1210)/TotalEtapas,0)),"")</f>
        <v/>
      </c>
      <c r="D1211" t="str">
        <f>IFERROR(VLOOKUP(tbEscolas[[#This Row],[COD ETPA]],tbEtapas[],2,FALSE),"")</f>
        <v/>
      </c>
      <c r="E1211" t="str">
        <f>IFERROR(VLOOKUP(tbEscolas[[#This Row],[COD ETPA]],tbEtapas[],3,FALSE),"")</f>
        <v/>
      </c>
    </row>
    <row r="1212" spans="1:5" x14ac:dyDescent="0.25">
      <c r="A1212" t="str" cm="1">
        <f t="array" ref="A1212">IFERROR(INDEX(tbNucleo[ESCOLA],ROUNDUP(ROW(A1211)/TotalEtapas,0)),"")</f>
        <v/>
      </c>
      <c r="D1212" t="str">
        <f>IFERROR(VLOOKUP(tbEscolas[[#This Row],[COD ETPA]],tbEtapas[],2,FALSE),"")</f>
        <v/>
      </c>
      <c r="E1212" t="str">
        <f>IFERROR(VLOOKUP(tbEscolas[[#This Row],[COD ETPA]],tbEtapas[],3,FALSE),"")</f>
        <v/>
      </c>
    </row>
    <row r="1213" spans="1:5" x14ac:dyDescent="0.25">
      <c r="A1213" t="str" cm="1">
        <f t="array" ref="A1213">IFERROR(INDEX(tbNucleo[ESCOLA],ROUNDUP(ROW(A1212)/TotalEtapas,0)),"")</f>
        <v/>
      </c>
      <c r="D1213" t="str">
        <f>IFERROR(VLOOKUP(tbEscolas[[#This Row],[COD ETPA]],tbEtapas[],2,FALSE),"")</f>
        <v/>
      </c>
      <c r="E1213" t="str">
        <f>IFERROR(VLOOKUP(tbEscolas[[#This Row],[COD ETPA]],tbEtapas[],3,FALSE),"")</f>
        <v/>
      </c>
    </row>
    <row r="1214" spans="1:5" x14ac:dyDescent="0.25">
      <c r="A1214" t="str" cm="1">
        <f t="array" ref="A1214">IFERROR(INDEX(tbNucleo[ESCOLA],ROUNDUP(ROW(A1213)/TotalEtapas,0)),"")</f>
        <v/>
      </c>
      <c r="D1214" t="str">
        <f>IFERROR(VLOOKUP(tbEscolas[[#This Row],[COD ETPA]],tbEtapas[],2,FALSE),"")</f>
        <v/>
      </c>
      <c r="E1214" t="str">
        <f>IFERROR(VLOOKUP(tbEscolas[[#This Row],[COD ETPA]],tbEtapas[],3,FALSE),"")</f>
        <v/>
      </c>
    </row>
    <row r="1215" spans="1:5" x14ac:dyDescent="0.25">
      <c r="A1215" t="str" cm="1">
        <f t="array" ref="A1215">IFERROR(INDEX(tbNucleo[ESCOLA],ROUNDUP(ROW(A1214)/TotalEtapas,0)),"")</f>
        <v/>
      </c>
      <c r="D1215" t="str">
        <f>IFERROR(VLOOKUP(tbEscolas[[#This Row],[COD ETPA]],tbEtapas[],2,FALSE),"")</f>
        <v/>
      </c>
      <c r="E1215" t="str">
        <f>IFERROR(VLOOKUP(tbEscolas[[#This Row],[COD ETPA]],tbEtapas[],3,FALSE),"")</f>
        <v/>
      </c>
    </row>
    <row r="1216" spans="1:5" x14ac:dyDescent="0.25">
      <c r="A1216" t="str" cm="1">
        <f t="array" ref="A1216">IFERROR(INDEX(tbNucleo[ESCOLA],ROUNDUP(ROW(A1215)/TotalEtapas,0)),"")</f>
        <v/>
      </c>
      <c r="D1216" t="str">
        <f>IFERROR(VLOOKUP(tbEscolas[[#This Row],[COD ETPA]],tbEtapas[],2,FALSE),"")</f>
        <v/>
      </c>
      <c r="E1216" t="str">
        <f>IFERROR(VLOOKUP(tbEscolas[[#This Row],[COD ETPA]],tbEtapas[],3,FALSE),"")</f>
        <v/>
      </c>
    </row>
    <row r="1217" spans="1:5" x14ac:dyDescent="0.25">
      <c r="A1217" t="str" cm="1">
        <f t="array" ref="A1217">IFERROR(INDEX(tbNucleo[ESCOLA],ROUNDUP(ROW(A1216)/TotalEtapas,0)),"")</f>
        <v/>
      </c>
      <c r="D1217" t="str">
        <f>IFERROR(VLOOKUP(tbEscolas[[#This Row],[COD ETPA]],tbEtapas[],2,FALSE),"")</f>
        <v/>
      </c>
      <c r="E1217" t="str">
        <f>IFERROR(VLOOKUP(tbEscolas[[#This Row],[COD ETPA]],tbEtapas[],3,FALSE),"")</f>
        <v/>
      </c>
    </row>
    <row r="1218" spans="1:5" x14ac:dyDescent="0.25">
      <c r="A1218" t="str" cm="1">
        <f t="array" ref="A1218">IFERROR(INDEX(tbNucleo[ESCOLA],ROUNDUP(ROW(A1217)/TotalEtapas,0)),"")</f>
        <v/>
      </c>
      <c r="D1218" t="str">
        <f>IFERROR(VLOOKUP(tbEscolas[[#This Row],[COD ETPA]],tbEtapas[],2,FALSE),"")</f>
        <v/>
      </c>
      <c r="E1218" t="str">
        <f>IFERROR(VLOOKUP(tbEscolas[[#This Row],[COD ETPA]],tbEtapas[],3,FALSE),"")</f>
        <v/>
      </c>
    </row>
    <row r="1219" spans="1:5" x14ac:dyDescent="0.25">
      <c r="A1219" t="str" cm="1">
        <f t="array" ref="A1219">IFERROR(INDEX(tbNucleo[ESCOLA],ROUNDUP(ROW(A1218)/TotalEtapas,0)),"")</f>
        <v/>
      </c>
      <c r="D1219" t="str">
        <f>IFERROR(VLOOKUP(tbEscolas[[#This Row],[COD ETPA]],tbEtapas[],2,FALSE),"")</f>
        <v/>
      </c>
      <c r="E1219" t="str">
        <f>IFERROR(VLOOKUP(tbEscolas[[#This Row],[COD ETPA]],tbEtapas[],3,FALSE),"")</f>
        <v/>
      </c>
    </row>
    <row r="1220" spans="1:5" x14ac:dyDescent="0.25">
      <c r="A1220" t="str" cm="1">
        <f t="array" ref="A1220">IFERROR(INDEX(tbNucleo[ESCOLA],ROUNDUP(ROW(A1219)/TotalEtapas,0)),"")</f>
        <v/>
      </c>
      <c r="D1220" t="str">
        <f>IFERROR(VLOOKUP(tbEscolas[[#This Row],[COD ETPA]],tbEtapas[],2,FALSE),"")</f>
        <v/>
      </c>
      <c r="E1220" t="str">
        <f>IFERROR(VLOOKUP(tbEscolas[[#This Row],[COD ETPA]],tbEtapas[],3,FALSE),"")</f>
        <v/>
      </c>
    </row>
    <row r="1221" spans="1:5" x14ac:dyDescent="0.25">
      <c r="A1221" t="str" cm="1">
        <f t="array" ref="A1221">IFERROR(INDEX(tbNucleo[ESCOLA],ROUNDUP(ROW(A1220)/TotalEtapas,0)),"")</f>
        <v/>
      </c>
      <c r="D1221" t="str">
        <f>IFERROR(VLOOKUP(tbEscolas[[#This Row],[COD ETPA]],tbEtapas[],2,FALSE),"")</f>
        <v/>
      </c>
      <c r="E1221" t="str">
        <f>IFERROR(VLOOKUP(tbEscolas[[#This Row],[COD ETPA]],tbEtapas[],3,FALSE),"")</f>
        <v/>
      </c>
    </row>
    <row r="1222" spans="1:5" x14ac:dyDescent="0.25">
      <c r="A1222" t="str" cm="1">
        <f t="array" ref="A1222">IFERROR(INDEX(tbNucleo[ESCOLA],ROUNDUP(ROW(A1221)/TotalEtapas,0)),"")</f>
        <v/>
      </c>
      <c r="D1222" t="str">
        <f>IFERROR(VLOOKUP(tbEscolas[[#This Row],[COD ETPA]],tbEtapas[],2,FALSE),"")</f>
        <v/>
      </c>
      <c r="E1222" t="str">
        <f>IFERROR(VLOOKUP(tbEscolas[[#This Row],[COD ETPA]],tbEtapas[],3,FALSE),"")</f>
        <v/>
      </c>
    </row>
    <row r="1223" spans="1:5" x14ac:dyDescent="0.25">
      <c r="A1223" t="str" cm="1">
        <f t="array" ref="A1223">IFERROR(INDEX(tbNucleo[ESCOLA],ROUNDUP(ROW(A1222)/TotalEtapas,0)),"")</f>
        <v/>
      </c>
      <c r="D1223" t="str">
        <f>IFERROR(VLOOKUP(tbEscolas[[#This Row],[COD ETPA]],tbEtapas[],2,FALSE),"")</f>
        <v/>
      </c>
      <c r="E1223" t="str">
        <f>IFERROR(VLOOKUP(tbEscolas[[#This Row],[COD ETPA]],tbEtapas[],3,FALSE),"")</f>
        <v/>
      </c>
    </row>
    <row r="1224" spans="1:5" x14ac:dyDescent="0.25">
      <c r="A1224" t="str" cm="1">
        <f t="array" ref="A1224">IFERROR(INDEX(tbNucleo[ESCOLA],ROUNDUP(ROW(A1223)/TotalEtapas,0)),"")</f>
        <v/>
      </c>
      <c r="D1224" t="str">
        <f>IFERROR(VLOOKUP(tbEscolas[[#This Row],[COD ETPA]],tbEtapas[],2,FALSE),"")</f>
        <v/>
      </c>
      <c r="E1224" t="str">
        <f>IFERROR(VLOOKUP(tbEscolas[[#This Row],[COD ETPA]],tbEtapas[],3,FALSE),"")</f>
        <v/>
      </c>
    </row>
    <row r="1225" spans="1:5" x14ac:dyDescent="0.25">
      <c r="A1225" t="str" cm="1">
        <f t="array" ref="A1225">IFERROR(INDEX(tbNucleo[ESCOLA],ROUNDUP(ROW(A1224)/TotalEtapas,0)),"")</f>
        <v/>
      </c>
      <c r="D1225" t="str">
        <f>IFERROR(VLOOKUP(tbEscolas[[#This Row],[COD ETPA]],tbEtapas[],2,FALSE),"")</f>
        <v/>
      </c>
      <c r="E1225" t="str">
        <f>IFERROR(VLOOKUP(tbEscolas[[#This Row],[COD ETPA]],tbEtapas[],3,FALSE),"")</f>
        <v/>
      </c>
    </row>
    <row r="1226" spans="1:5" x14ac:dyDescent="0.25">
      <c r="A1226" t="str" cm="1">
        <f t="array" ref="A1226">IFERROR(INDEX(tbNucleo[ESCOLA],ROUNDUP(ROW(A1225)/TotalEtapas,0)),"")</f>
        <v/>
      </c>
      <c r="D1226" t="str">
        <f>IFERROR(VLOOKUP(tbEscolas[[#This Row],[COD ETPA]],tbEtapas[],2,FALSE),"")</f>
        <v/>
      </c>
      <c r="E1226" t="str">
        <f>IFERROR(VLOOKUP(tbEscolas[[#This Row],[COD ETPA]],tbEtapas[],3,FALSE),"")</f>
        <v/>
      </c>
    </row>
    <row r="1227" spans="1:5" x14ac:dyDescent="0.25">
      <c r="A1227" t="str" cm="1">
        <f t="array" ref="A1227">IFERROR(INDEX(tbNucleo[ESCOLA],ROUNDUP(ROW(A1226)/TotalEtapas,0)),"")</f>
        <v/>
      </c>
      <c r="D1227" t="str">
        <f>IFERROR(VLOOKUP(tbEscolas[[#This Row],[COD ETPA]],tbEtapas[],2,FALSE),"")</f>
        <v/>
      </c>
      <c r="E1227" t="str">
        <f>IFERROR(VLOOKUP(tbEscolas[[#This Row],[COD ETPA]],tbEtapas[],3,FALSE),"")</f>
        <v/>
      </c>
    </row>
    <row r="1228" spans="1:5" x14ac:dyDescent="0.25">
      <c r="A1228" t="str" cm="1">
        <f t="array" ref="A1228">IFERROR(INDEX(tbNucleo[ESCOLA],ROUNDUP(ROW(A1227)/TotalEtapas,0)),"")</f>
        <v/>
      </c>
      <c r="D1228" t="str">
        <f>IFERROR(VLOOKUP(tbEscolas[[#This Row],[COD ETPA]],tbEtapas[],2,FALSE),"")</f>
        <v/>
      </c>
      <c r="E1228" t="str">
        <f>IFERROR(VLOOKUP(tbEscolas[[#This Row],[COD ETPA]],tbEtapas[],3,FALSE),"")</f>
        <v/>
      </c>
    </row>
    <row r="1229" spans="1:5" x14ac:dyDescent="0.25">
      <c r="A1229" t="str" cm="1">
        <f t="array" ref="A1229">IFERROR(INDEX(tbNucleo[ESCOLA],ROUNDUP(ROW(A1228)/TotalEtapas,0)),"")</f>
        <v/>
      </c>
      <c r="D1229" t="str">
        <f>IFERROR(VLOOKUP(tbEscolas[[#This Row],[COD ETPA]],tbEtapas[],2,FALSE),"")</f>
        <v/>
      </c>
      <c r="E1229" t="str">
        <f>IFERROR(VLOOKUP(tbEscolas[[#This Row],[COD ETPA]],tbEtapas[],3,FALSE),"")</f>
        <v/>
      </c>
    </row>
    <row r="1230" spans="1:5" x14ac:dyDescent="0.25">
      <c r="A1230" t="str" cm="1">
        <f t="array" ref="A1230">IFERROR(INDEX(tbNucleo[ESCOLA],ROUNDUP(ROW(A1229)/TotalEtapas,0)),"")</f>
        <v/>
      </c>
      <c r="D1230" t="str">
        <f>IFERROR(VLOOKUP(tbEscolas[[#This Row],[COD ETPA]],tbEtapas[],2,FALSE),"")</f>
        <v/>
      </c>
      <c r="E1230" t="str">
        <f>IFERROR(VLOOKUP(tbEscolas[[#This Row],[COD ETPA]],tbEtapas[],3,FALSE),"")</f>
        <v/>
      </c>
    </row>
    <row r="1231" spans="1:5" x14ac:dyDescent="0.25">
      <c r="A1231" t="str" cm="1">
        <f t="array" ref="A1231">IFERROR(INDEX(tbNucleo[ESCOLA],ROUNDUP(ROW(A1230)/TotalEtapas,0)),"")</f>
        <v/>
      </c>
      <c r="D1231" t="str">
        <f>IFERROR(VLOOKUP(tbEscolas[[#This Row],[COD ETPA]],tbEtapas[],2,FALSE),"")</f>
        <v/>
      </c>
      <c r="E1231" t="str">
        <f>IFERROR(VLOOKUP(tbEscolas[[#This Row],[COD ETPA]],tbEtapas[],3,FALSE),"")</f>
        <v/>
      </c>
    </row>
    <row r="1232" spans="1:5" x14ac:dyDescent="0.25">
      <c r="A1232" t="str" cm="1">
        <f t="array" ref="A1232">IFERROR(INDEX(tbNucleo[ESCOLA],ROUNDUP(ROW(A1231)/TotalEtapas,0)),"")</f>
        <v/>
      </c>
      <c r="D1232" t="str">
        <f>IFERROR(VLOOKUP(tbEscolas[[#This Row],[COD ETPA]],tbEtapas[],2,FALSE),"")</f>
        <v/>
      </c>
      <c r="E1232" t="str">
        <f>IFERROR(VLOOKUP(tbEscolas[[#This Row],[COD ETPA]],tbEtapas[],3,FALSE),"")</f>
        <v/>
      </c>
    </row>
    <row r="1233" spans="1:5" x14ac:dyDescent="0.25">
      <c r="A1233" t="str" cm="1">
        <f t="array" ref="A1233">IFERROR(INDEX(tbNucleo[ESCOLA],ROUNDUP(ROW(A1232)/TotalEtapas,0)),"")</f>
        <v/>
      </c>
      <c r="D1233" t="str">
        <f>IFERROR(VLOOKUP(tbEscolas[[#This Row],[COD ETPA]],tbEtapas[],2,FALSE),"")</f>
        <v/>
      </c>
      <c r="E1233" t="str">
        <f>IFERROR(VLOOKUP(tbEscolas[[#This Row],[COD ETPA]],tbEtapas[],3,FALSE),"")</f>
        <v/>
      </c>
    </row>
    <row r="1234" spans="1:5" x14ac:dyDescent="0.25">
      <c r="A1234" t="str" cm="1">
        <f t="array" ref="A1234">IFERROR(INDEX(tbNucleo[ESCOLA],ROUNDUP(ROW(A1233)/TotalEtapas,0)),"")</f>
        <v/>
      </c>
      <c r="D1234" t="str">
        <f>IFERROR(VLOOKUP(tbEscolas[[#This Row],[COD ETPA]],tbEtapas[],2,FALSE),"")</f>
        <v/>
      </c>
      <c r="E1234" t="str">
        <f>IFERROR(VLOOKUP(tbEscolas[[#This Row],[COD ETPA]],tbEtapas[],3,FALSE),"")</f>
        <v/>
      </c>
    </row>
    <row r="1235" spans="1:5" x14ac:dyDescent="0.25">
      <c r="A1235" t="str" cm="1">
        <f t="array" ref="A1235">IFERROR(INDEX(tbNucleo[ESCOLA],ROUNDUP(ROW(A1234)/TotalEtapas,0)),"")</f>
        <v/>
      </c>
      <c r="D1235" t="str">
        <f>IFERROR(VLOOKUP(tbEscolas[[#This Row],[COD ETPA]],tbEtapas[],2,FALSE),"")</f>
        <v/>
      </c>
      <c r="E1235" t="str">
        <f>IFERROR(VLOOKUP(tbEscolas[[#This Row],[COD ETPA]],tbEtapas[],3,FALSE),"")</f>
        <v/>
      </c>
    </row>
    <row r="1236" spans="1:5" x14ac:dyDescent="0.25">
      <c r="A1236" t="str" cm="1">
        <f t="array" ref="A1236">IFERROR(INDEX(tbNucleo[ESCOLA],ROUNDUP(ROW(A1235)/TotalEtapas,0)),"")</f>
        <v/>
      </c>
      <c r="D1236" t="str">
        <f>IFERROR(VLOOKUP(tbEscolas[[#This Row],[COD ETPA]],tbEtapas[],2,FALSE),"")</f>
        <v/>
      </c>
      <c r="E1236" t="str">
        <f>IFERROR(VLOOKUP(tbEscolas[[#This Row],[COD ETPA]],tbEtapas[],3,FALSE),"")</f>
        <v/>
      </c>
    </row>
    <row r="1237" spans="1:5" x14ac:dyDescent="0.25">
      <c r="A1237" t="str" cm="1">
        <f t="array" ref="A1237">IFERROR(INDEX(tbNucleo[ESCOLA],ROUNDUP(ROW(A1236)/TotalEtapas,0)),"")</f>
        <v/>
      </c>
      <c r="D1237" t="str">
        <f>IFERROR(VLOOKUP(tbEscolas[[#This Row],[COD ETPA]],tbEtapas[],2,FALSE),"")</f>
        <v/>
      </c>
      <c r="E1237" t="str">
        <f>IFERROR(VLOOKUP(tbEscolas[[#This Row],[COD ETPA]],tbEtapas[],3,FALSE),"")</f>
        <v/>
      </c>
    </row>
    <row r="1238" spans="1:5" x14ac:dyDescent="0.25">
      <c r="A1238" t="str" cm="1">
        <f t="array" ref="A1238">IFERROR(INDEX(tbNucleo[ESCOLA],ROUNDUP(ROW(A1237)/TotalEtapas,0)),"")</f>
        <v/>
      </c>
      <c r="D1238" t="str">
        <f>IFERROR(VLOOKUP(tbEscolas[[#This Row],[COD ETPA]],tbEtapas[],2,FALSE),"")</f>
        <v/>
      </c>
      <c r="E1238" t="str">
        <f>IFERROR(VLOOKUP(tbEscolas[[#This Row],[COD ETPA]],tbEtapas[],3,FALSE),"")</f>
        <v/>
      </c>
    </row>
    <row r="1239" spans="1:5" x14ac:dyDescent="0.25">
      <c r="A1239" t="str" cm="1">
        <f t="array" ref="A1239">IFERROR(INDEX(tbNucleo[ESCOLA],ROUNDUP(ROW(A1238)/TotalEtapas,0)),"")</f>
        <v/>
      </c>
      <c r="D1239" t="str">
        <f>IFERROR(VLOOKUP(tbEscolas[[#This Row],[COD ETPA]],tbEtapas[],2,FALSE),"")</f>
        <v/>
      </c>
      <c r="E1239" t="str">
        <f>IFERROR(VLOOKUP(tbEscolas[[#This Row],[COD ETPA]],tbEtapas[],3,FALSE),"")</f>
        <v/>
      </c>
    </row>
    <row r="1240" spans="1:5" x14ac:dyDescent="0.25">
      <c r="A1240" t="str" cm="1">
        <f t="array" ref="A1240">IFERROR(INDEX(tbNucleo[ESCOLA],ROUNDUP(ROW(A1239)/TotalEtapas,0)),"")</f>
        <v/>
      </c>
      <c r="D1240" t="str">
        <f>IFERROR(VLOOKUP(tbEscolas[[#This Row],[COD ETPA]],tbEtapas[],2,FALSE),"")</f>
        <v/>
      </c>
      <c r="E1240" t="str">
        <f>IFERROR(VLOOKUP(tbEscolas[[#This Row],[COD ETPA]],tbEtapas[],3,FALSE),"")</f>
        <v/>
      </c>
    </row>
    <row r="1241" spans="1:5" x14ac:dyDescent="0.25">
      <c r="A1241" t="str" cm="1">
        <f t="array" ref="A1241">IFERROR(INDEX(tbNucleo[ESCOLA],ROUNDUP(ROW(A1240)/TotalEtapas,0)),"")</f>
        <v/>
      </c>
      <c r="D1241" t="str">
        <f>IFERROR(VLOOKUP(tbEscolas[[#This Row],[COD ETPA]],tbEtapas[],2,FALSE),"")</f>
        <v/>
      </c>
      <c r="E1241" t="str">
        <f>IFERROR(VLOOKUP(tbEscolas[[#This Row],[COD ETPA]],tbEtapas[],3,FALSE),"")</f>
        <v/>
      </c>
    </row>
    <row r="1242" spans="1:5" x14ac:dyDescent="0.25">
      <c r="A1242" t="str" cm="1">
        <f t="array" ref="A1242">IFERROR(INDEX(tbNucleo[ESCOLA],ROUNDUP(ROW(A1241)/TotalEtapas,0)),"")</f>
        <v/>
      </c>
      <c r="D1242" t="str">
        <f>IFERROR(VLOOKUP(tbEscolas[[#This Row],[COD ETPA]],tbEtapas[],2,FALSE),"")</f>
        <v/>
      </c>
      <c r="E1242" t="str">
        <f>IFERROR(VLOOKUP(tbEscolas[[#This Row],[COD ETPA]],tbEtapas[],3,FALSE),"")</f>
        <v/>
      </c>
    </row>
    <row r="1243" spans="1:5" x14ac:dyDescent="0.25">
      <c r="A1243" t="str" cm="1">
        <f t="array" ref="A1243">IFERROR(INDEX(tbNucleo[ESCOLA],ROUNDUP(ROW(A1242)/TotalEtapas,0)),"")</f>
        <v/>
      </c>
      <c r="D1243" t="str">
        <f>IFERROR(VLOOKUP(tbEscolas[[#This Row],[COD ETPA]],tbEtapas[],2,FALSE),"")</f>
        <v/>
      </c>
      <c r="E1243" t="str">
        <f>IFERROR(VLOOKUP(tbEscolas[[#This Row],[COD ETPA]],tbEtapas[],3,FALSE),"")</f>
        <v/>
      </c>
    </row>
    <row r="1244" spans="1:5" x14ac:dyDescent="0.25">
      <c r="A1244" t="str" cm="1">
        <f t="array" ref="A1244">IFERROR(INDEX(tbNucleo[ESCOLA],ROUNDUP(ROW(A1243)/TotalEtapas,0)),"")</f>
        <v/>
      </c>
      <c r="D1244" t="str">
        <f>IFERROR(VLOOKUP(tbEscolas[[#This Row],[COD ETPA]],tbEtapas[],2,FALSE),"")</f>
        <v/>
      </c>
      <c r="E1244" t="str">
        <f>IFERROR(VLOOKUP(tbEscolas[[#This Row],[COD ETPA]],tbEtapas[],3,FALSE),"")</f>
        <v/>
      </c>
    </row>
    <row r="1245" spans="1:5" x14ac:dyDescent="0.25">
      <c r="A1245" t="str" cm="1">
        <f t="array" ref="A1245">IFERROR(INDEX(tbNucleo[ESCOLA],ROUNDUP(ROW(A1244)/TotalEtapas,0)),"")</f>
        <v/>
      </c>
      <c r="D1245" t="str">
        <f>IFERROR(VLOOKUP(tbEscolas[[#This Row],[COD ETPA]],tbEtapas[],2,FALSE),"")</f>
        <v/>
      </c>
      <c r="E1245" t="str">
        <f>IFERROR(VLOOKUP(tbEscolas[[#This Row],[COD ETPA]],tbEtapas[],3,FALSE),"")</f>
        <v/>
      </c>
    </row>
    <row r="1246" spans="1:5" x14ac:dyDescent="0.25">
      <c r="A1246" t="str" cm="1">
        <f t="array" ref="A1246">IFERROR(INDEX(tbNucleo[ESCOLA],ROUNDUP(ROW(A1245)/TotalEtapas,0)),"")</f>
        <v/>
      </c>
      <c r="D1246" t="str">
        <f>IFERROR(VLOOKUP(tbEscolas[[#This Row],[COD ETPA]],tbEtapas[],2,FALSE),"")</f>
        <v/>
      </c>
      <c r="E1246" t="str">
        <f>IFERROR(VLOOKUP(tbEscolas[[#This Row],[COD ETPA]],tbEtapas[],3,FALSE),"")</f>
        <v/>
      </c>
    </row>
    <row r="1247" spans="1:5" x14ac:dyDescent="0.25">
      <c r="A1247" t="str" cm="1">
        <f t="array" ref="A1247">IFERROR(INDEX(tbNucleo[ESCOLA],ROUNDUP(ROW(A1246)/TotalEtapas,0)),"")</f>
        <v/>
      </c>
      <c r="D1247" t="str">
        <f>IFERROR(VLOOKUP(tbEscolas[[#This Row],[COD ETPA]],tbEtapas[],2,FALSE),"")</f>
        <v/>
      </c>
      <c r="E1247" t="str">
        <f>IFERROR(VLOOKUP(tbEscolas[[#This Row],[COD ETPA]],tbEtapas[],3,FALSE),"")</f>
        <v/>
      </c>
    </row>
    <row r="1248" spans="1:5" x14ac:dyDescent="0.25">
      <c r="A1248" t="str" cm="1">
        <f t="array" ref="A1248">IFERROR(INDEX(tbNucleo[ESCOLA],ROUNDUP(ROW(A1247)/TotalEtapas,0)),"")</f>
        <v/>
      </c>
      <c r="D1248" t="str">
        <f>IFERROR(VLOOKUP(tbEscolas[[#This Row],[COD ETPA]],tbEtapas[],2,FALSE),"")</f>
        <v/>
      </c>
      <c r="E1248" t="str">
        <f>IFERROR(VLOOKUP(tbEscolas[[#This Row],[COD ETPA]],tbEtapas[],3,FALSE),"")</f>
        <v/>
      </c>
    </row>
    <row r="1249" spans="1:5" x14ac:dyDescent="0.25">
      <c r="A1249" t="str" cm="1">
        <f t="array" ref="A1249">IFERROR(INDEX(tbNucleo[ESCOLA],ROUNDUP(ROW(A1248)/TotalEtapas,0)),"")</f>
        <v/>
      </c>
      <c r="D1249" t="str">
        <f>IFERROR(VLOOKUP(tbEscolas[[#This Row],[COD ETPA]],tbEtapas[],2,FALSE),"")</f>
        <v/>
      </c>
      <c r="E1249" t="str">
        <f>IFERROR(VLOOKUP(tbEscolas[[#This Row],[COD ETPA]],tbEtapas[],3,FALSE),"")</f>
        <v/>
      </c>
    </row>
    <row r="1250" spans="1:5" x14ac:dyDescent="0.25">
      <c r="A1250" t="str" cm="1">
        <f t="array" ref="A1250">IFERROR(INDEX(tbNucleo[ESCOLA],ROUNDUP(ROW(A1249)/TotalEtapas,0)),"")</f>
        <v/>
      </c>
      <c r="D1250" t="str">
        <f>IFERROR(VLOOKUP(tbEscolas[[#This Row],[COD ETPA]],tbEtapas[],2,FALSE),"")</f>
        <v/>
      </c>
      <c r="E1250" t="str">
        <f>IFERROR(VLOOKUP(tbEscolas[[#This Row],[COD ETPA]],tbEtapas[],3,FALSE),"")</f>
        <v/>
      </c>
    </row>
    <row r="1251" spans="1:5" x14ac:dyDescent="0.25">
      <c r="A1251" t="str" cm="1">
        <f t="array" ref="A1251">IFERROR(INDEX(tbNucleo[ESCOLA],ROUNDUP(ROW(A1250)/TotalEtapas,0)),"")</f>
        <v/>
      </c>
      <c r="D1251" t="str">
        <f>IFERROR(VLOOKUP(tbEscolas[[#This Row],[COD ETPA]],tbEtapas[],2,FALSE),"")</f>
        <v/>
      </c>
      <c r="E1251" t="str">
        <f>IFERROR(VLOOKUP(tbEscolas[[#This Row],[COD ETPA]],tbEtapas[],3,FALSE),"")</f>
        <v/>
      </c>
    </row>
    <row r="1252" spans="1:5" x14ac:dyDescent="0.25">
      <c r="A1252" t="str" cm="1">
        <f t="array" ref="A1252">IFERROR(INDEX(tbNucleo[ESCOLA],ROUNDUP(ROW(A1251)/TotalEtapas,0)),"")</f>
        <v/>
      </c>
      <c r="D1252" t="str">
        <f>IFERROR(VLOOKUP(tbEscolas[[#This Row],[COD ETPA]],tbEtapas[],2,FALSE),"")</f>
        <v/>
      </c>
      <c r="E1252" t="str">
        <f>IFERROR(VLOOKUP(tbEscolas[[#This Row],[COD ETPA]],tbEtapas[],3,FALSE),"")</f>
        <v/>
      </c>
    </row>
    <row r="1253" spans="1:5" x14ac:dyDescent="0.25">
      <c r="A1253" t="str" cm="1">
        <f t="array" ref="A1253">IFERROR(INDEX(tbNucleo[ESCOLA],ROUNDUP(ROW(A1252)/TotalEtapas,0)),"")</f>
        <v/>
      </c>
      <c r="D1253" t="str">
        <f>IFERROR(VLOOKUP(tbEscolas[[#This Row],[COD ETPA]],tbEtapas[],2,FALSE),"")</f>
        <v/>
      </c>
      <c r="E1253" t="str">
        <f>IFERROR(VLOOKUP(tbEscolas[[#This Row],[COD ETPA]],tbEtapas[],3,FALSE),"")</f>
        <v/>
      </c>
    </row>
    <row r="1254" spans="1:5" x14ac:dyDescent="0.25">
      <c r="A1254" t="str" cm="1">
        <f t="array" ref="A1254">IFERROR(INDEX(tbNucleo[ESCOLA],ROUNDUP(ROW(A1253)/TotalEtapas,0)),"")</f>
        <v/>
      </c>
      <c r="D1254" t="str">
        <f>IFERROR(VLOOKUP(tbEscolas[[#This Row],[COD ETPA]],tbEtapas[],2,FALSE),"")</f>
        <v/>
      </c>
      <c r="E1254" t="str">
        <f>IFERROR(VLOOKUP(tbEscolas[[#This Row],[COD ETPA]],tbEtapas[],3,FALSE),"")</f>
        <v/>
      </c>
    </row>
    <row r="1255" spans="1:5" x14ac:dyDescent="0.25">
      <c r="A1255" t="str" cm="1">
        <f t="array" ref="A1255">IFERROR(INDEX(tbNucleo[ESCOLA],ROUNDUP(ROW(A1254)/TotalEtapas,0)),"")</f>
        <v/>
      </c>
      <c r="D1255" t="str">
        <f>IFERROR(VLOOKUP(tbEscolas[[#This Row],[COD ETPA]],tbEtapas[],2,FALSE),"")</f>
        <v/>
      </c>
      <c r="E1255" t="str">
        <f>IFERROR(VLOOKUP(tbEscolas[[#This Row],[COD ETPA]],tbEtapas[],3,FALSE),"")</f>
        <v/>
      </c>
    </row>
    <row r="1256" spans="1:5" x14ac:dyDescent="0.25">
      <c r="A1256" t="str" cm="1">
        <f t="array" ref="A1256">IFERROR(INDEX(tbNucleo[ESCOLA],ROUNDUP(ROW(A1255)/TotalEtapas,0)),"")</f>
        <v/>
      </c>
      <c r="D1256" t="str">
        <f>IFERROR(VLOOKUP(tbEscolas[[#This Row],[COD ETPA]],tbEtapas[],2,FALSE),"")</f>
        <v/>
      </c>
      <c r="E1256" t="str">
        <f>IFERROR(VLOOKUP(tbEscolas[[#This Row],[COD ETPA]],tbEtapas[],3,FALSE),"")</f>
        <v/>
      </c>
    </row>
    <row r="1257" spans="1:5" x14ac:dyDescent="0.25">
      <c r="A1257" t="str" cm="1">
        <f t="array" ref="A1257">IFERROR(INDEX(tbNucleo[ESCOLA],ROUNDUP(ROW(A1256)/TotalEtapas,0)),"")</f>
        <v/>
      </c>
      <c r="D1257" t="str">
        <f>IFERROR(VLOOKUP(tbEscolas[[#This Row],[COD ETPA]],tbEtapas[],2,FALSE),"")</f>
        <v/>
      </c>
      <c r="E1257" t="str">
        <f>IFERROR(VLOOKUP(tbEscolas[[#This Row],[COD ETPA]],tbEtapas[],3,FALSE),"")</f>
        <v/>
      </c>
    </row>
    <row r="1258" spans="1:5" x14ac:dyDescent="0.25">
      <c r="A1258" t="str" cm="1">
        <f t="array" ref="A1258">IFERROR(INDEX(tbNucleo[ESCOLA],ROUNDUP(ROW(A1257)/TotalEtapas,0)),"")</f>
        <v/>
      </c>
      <c r="D1258" t="str">
        <f>IFERROR(VLOOKUP(tbEscolas[[#This Row],[COD ETPA]],tbEtapas[],2,FALSE),"")</f>
        <v/>
      </c>
      <c r="E1258" t="str">
        <f>IFERROR(VLOOKUP(tbEscolas[[#This Row],[COD ETPA]],tbEtapas[],3,FALSE),"")</f>
        <v/>
      </c>
    </row>
    <row r="1259" spans="1:5" x14ac:dyDescent="0.25">
      <c r="A1259" t="str" cm="1">
        <f t="array" ref="A1259">IFERROR(INDEX(tbNucleo[ESCOLA],ROUNDUP(ROW(A1258)/TotalEtapas,0)),"")</f>
        <v/>
      </c>
      <c r="D1259" t="str">
        <f>IFERROR(VLOOKUP(tbEscolas[[#This Row],[COD ETPA]],tbEtapas[],2,FALSE),"")</f>
        <v/>
      </c>
      <c r="E1259" t="str">
        <f>IFERROR(VLOOKUP(tbEscolas[[#This Row],[COD ETPA]],tbEtapas[],3,FALSE),"")</f>
        <v/>
      </c>
    </row>
    <row r="1260" spans="1:5" x14ac:dyDescent="0.25">
      <c r="A1260" t="str" cm="1">
        <f t="array" ref="A1260">IFERROR(INDEX(tbNucleo[ESCOLA],ROUNDUP(ROW(A1259)/TotalEtapas,0)),"")</f>
        <v/>
      </c>
      <c r="D1260" t="str">
        <f>IFERROR(VLOOKUP(tbEscolas[[#This Row],[COD ETPA]],tbEtapas[],2,FALSE),"")</f>
        <v/>
      </c>
      <c r="E1260" t="str">
        <f>IFERROR(VLOOKUP(tbEscolas[[#This Row],[COD ETPA]],tbEtapas[],3,FALSE),"")</f>
        <v/>
      </c>
    </row>
    <row r="1261" spans="1:5" x14ac:dyDescent="0.25">
      <c r="A1261" t="str" cm="1">
        <f t="array" ref="A1261">IFERROR(INDEX(tbNucleo[ESCOLA],ROUNDUP(ROW(A1260)/TotalEtapas,0)),"")</f>
        <v/>
      </c>
      <c r="D1261" t="str">
        <f>IFERROR(VLOOKUP(tbEscolas[[#This Row],[COD ETPA]],tbEtapas[],2,FALSE),"")</f>
        <v/>
      </c>
      <c r="E1261" t="str">
        <f>IFERROR(VLOOKUP(tbEscolas[[#This Row],[COD ETPA]],tbEtapas[],3,FALSE),"")</f>
        <v/>
      </c>
    </row>
    <row r="1262" spans="1:5" x14ac:dyDescent="0.25">
      <c r="A1262" t="str" cm="1">
        <f t="array" ref="A1262">IFERROR(INDEX(tbNucleo[ESCOLA],ROUNDUP(ROW(A1261)/TotalEtapas,0)),"")</f>
        <v/>
      </c>
      <c r="D1262" t="str">
        <f>IFERROR(VLOOKUP(tbEscolas[[#This Row],[COD ETPA]],tbEtapas[],2,FALSE),"")</f>
        <v/>
      </c>
      <c r="E1262" t="str">
        <f>IFERROR(VLOOKUP(tbEscolas[[#This Row],[COD ETPA]],tbEtapas[],3,FALSE),"")</f>
        <v/>
      </c>
    </row>
    <row r="1263" spans="1:5" x14ac:dyDescent="0.25">
      <c r="A1263" t="str" cm="1">
        <f t="array" ref="A1263">IFERROR(INDEX(tbNucleo[ESCOLA],ROUNDUP(ROW(A1262)/TotalEtapas,0)),"")</f>
        <v/>
      </c>
      <c r="D1263" t="str">
        <f>IFERROR(VLOOKUP(tbEscolas[[#This Row],[COD ETPA]],tbEtapas[],2,FALSE),"")</f>
        <v/>
      </c>
      <c r="E1263" t="str">
        <f>IFERROR(VLOOKUP(tbEscolas[[#This Row],[COD ETPA]],tbEtapas[],3,FALSE),"")</f>
        <v/>
      </c>
    </row>
    <row r="1264" spans="1:5" x14ac:dyDescent="0.25">
      <c r="A1264" t="str" cm="1">
        <f t="array" ref="A1264">IFERROR(INDEX(tbNucleo[ESCOLA],ROUNDUP(ROW(A1263)/TotalEtapas,0)),"")</f>
        <v/>
      </c>
      <c r="D1264" t="str">
        <f>IFERROR(VLOOKUP(tbEscolas[[#This Row],[COD ETPA]],tbEtapas[],2,FALSE),"")</f>
        <v/>
      </c>
      <c r="E1264" t="str">
        <f>IFERROR(VLOOKUP(tbEscolas[[#This Row],[COD ETPA]],tbEtapas[],3,FALSE),"")</f>
        <v/>
      </c>
    </row>
    <row r="1265" spans="1:5" x14ac:dyDescent="0.25">
      <c r="A1265" t="str" cm="1">
        <f t="array" ref="A1265">IFERROR(INDEX(tbNucleo[ESCOLA],ROUNDUP(ROW(A1264)/TotalEtapas,0)),"")</f>
        <v/>
      </c>
      <c r="D1265" t="str">
        <f>IFERROR(VLOOKUP(tbEscolas[[#This Row],[COD ETPA]],tbEtapas[],2,FALSE),"")</f>
        <v/>
      </c>
      <c r="E1265" t="str">
        <f>IFERROR(VLOOKUP(tbEscolas[[#This Row],[COD ETPA]],tbEtapas[],3,FALSE),"")</f>
        <v/>
      </c>
    </row>
    <row r="1266" spans="1:5" x14ac:dyDescent="0.25">
      <c r="A1266" t="str" cm="1">
        <f t="array" ref="A1266">IFERROR(INDEX(tbNucleo[ESCOLA],ROUNDUP(ROW(A1265)/TotalEtapas,0)),"")</f>
        <v/>
      </c>
      <c r="D1266" t="str">
        <f>IFERROR(VLOOKUP(tbEscolas[[#This Row],[COD ETPA]],tbEtapas[],2,FALSE),"")</f>
        <v/>
      </c>
      <c r="E1266" t="str">
        <f>IFERROR(VLOOKUP(tbEscolas[[#This Row],[COD ETPA]],tbEtapas[],3,FALSE),"")</f>
        <v/>
      </c>
    </row>
    <row r="1267" spans="1:5" x14ac:dyDescent="0.25">
      <c r="A1267" t="str" cm="1">
        <f t="array" ref="A1267">IFERROR(INDEX(tbNucleo[ESCOLA],ROUNDUP(ROW(A1266)/TotalEtapas,0)),"")</f>
        <v/>
      </c>
      <c r="D1267" t="str">
        <f>IFERROR(VLOOKUP(tbEscolas[[#This Row],[COD ETPA]],tbEtapas[],2,FALSE),"")</f>
        <v/>
      </c>
      <c r="E1267" t="str">
        <f>IFERROR(VLOOKUP(tbEscolas[[#This Row],[COD ETPA]],tbEtapas[],3,FALSE),"")</f>
        <v/>
      </c>
    </row>
    <row r="1268" spans="1:5" x14ac:dyDescent="0.25">
      <c r="A1268" t="str" cm="1">
        <f t="array" ref="A1268">IFERROR(INDEX(tbNucleo[ESCOLA],ROUNDUP(ROW(A1267)/TotalEtapas,0)),"")</f>
        <v/>
      </c>
      <c r="D1268" t="str">
        <f>IFERROR(VLOOKUP(tbEscolas[[#This Row],[COD ETPA]],tbEtapas[],2,FALSE),"")</f>
        <v/>
      </c>
      <c r="E1268" t="str">
        <f>IFERROR(VLOOKUP(tbEscolas[[#This Row],[COD ETPA]],tbEtapas[],3,FALSE),"")</f>
        <v/>
      </c>
    </row>
    <row r="1269" spans="1:5" x14ac:dyDescent="0.25">
      <c r="A1269" t="str" cm="1">
        <f t="array" ref="A1269">IFERROR(INDEX(tbNucleo[ESCOLA],ROUNDUP(ROW(A1268)/TotalEtapas,0)),"")</f>
        <v/>
      </c>
      <c r="D1269" t="str">
        <f>IFERROR(VLOOKUP(tbEscolas[[#This Row],[COD ETPA]],tbEtapas[],2,FALSE),"")</f>
        <v/>
      </c>
      <c r="E1269" t="str">
        <f>IFERROR(VLOOKUP(tbEscolas[[#This Row],[COD ETPA]],tbEtapas[],3,FALSE),"")</f>
        <v/>
      </c>
    </row>
    <row r="1270" spans="1:5" x14ac:dyDescent="0.25">
      <c r="A1270" t="str" cm="1">
        <f t="array" ref="A1270">IFERROR(INDEX(tbNucleo[ESCOLA],ROUNDUP(ROW(A1269)/TotalEtapas,0)),"")</f>
        <v/>
      </c>
      <c r="D1270" t="str">
        <f>IFERROR(VLOOKUP(tbEscolas[[#This Row],[COD ETPA]],tbEtapas[],2,FALSE),"")</f>
        <v/>
      </c>
      <c r="E1270" t="str">
        <f>IFERROR(VLOOKUP(tbEscolas[[#This Row],[COD ETPA]],tbEtapas[],3,FALSE),"")</f>
        <v/>
      </c>
    </row>
    <row r="1271" spans="1:5" x14ac:dyDescent="0.25">
      <c r="A1271" t="str" cm="1">
        <f t="array" ref="A1271">IFERROR(INDEX(tbNucleo[ESCOLA],ROUNDUP(ROW(A1270)/TotalEtapas,0)),"")</f>
        <v/>
      </c>
      <c r="D1271" t="str">
        <f>IFERROR(VLOOKUP(tbEscolas[[#This Row],[COD ETPA]],tbEtapas[],2,FALSE),"")</f>
        <v/>
      </c>
      <c r="E1271" t="str">
        <f>IFERROR(VLOOKUP(tbEscolas[[#This Row],[COD ETPA]],tbEtapas[],3,FALSE),"")</f>
        <v/>
      </c>
    </row>
    <row r="1272" spans="1:5" x14ac:dyDescent="0.25">
      <c r="A1272" t="str" cm="1">
        <f t="array" ref="A1272">IFERROR(INDEX(tbNucleo[ESCOLA],ROUNDUP(ROW(A1271)/TotalEtapas,0)),"")</f>
        <v/>
      </c>
      <c r="D1272" t="str">
        <f>IFERROR(VLOOKUP(tbEscolas[[#This Row],[COD ETPA]],tbEtapas[],2,FALSE),"")</f>
        <v/>
      </c>
      <c r="E1272" t="str">
        <f>IFERROR(VLOOKUP(tbEscolas[[#This Row],[COD ETPA]],tbEtapas[],3,FALSE),"")</f>
        <v/>
      </c>
    </row>
    <row r="1273" spans="1:5" x14ac:dyDescent="0.25">
      <c r="A1273" t="str" cm="1">
        <f t="array" ref="A1273">IFERROR(INDEX(tbNucleo[ESCOLA],ROUNDUP(ROW(A1272)/TotalEtapas,0)),"")</f>
        <v/>
      </c>
      <c r="D1273" t="str">
        <f>IFERROR(VLOOKUP(tbEscolas[[#This Row],[COD ETPA]],tbEtapas[],2,FALSE),"")</f>
        <v/>
      </c>
      <c r="E1273" t="str">
        <f>IFERROR(VLOOKUP(tbEscolas[[#This Row],[COD ETPA]],tbEtapas[],3,FALSE),"")</f>
        <v/>
      </c>
    </row>
    <row r="1274" spans="1:5" x14ac:dyDescent="0.25">
      <c r="A1274" t="str" cm="1">
        <f t="array" ref="A1274">IFERROR(INDEX(tbNucleo[ESCOLA],ROUNDUP(ROW(A1273)/TotalEtapas,0)),"")</f>
        <v/>
      </c>
      <c r="D1274" t="str">
        <f>IFERROR(VLOOKUP(tbEscolas[[#This Row],[COD ETPA]],tbEtapas[],2,FALSE),"")</f>
        <v/>
      </c>
      <c r="E1274" t="str">
        <f>IFERROR(VLOOKUP(tbEscolas[[#This Row],[COD ETPA]],tbEtapas[],3,FALSE),"")</f>
        <v/>
      </c>
    </row>
    <row r="1275" spans="1:5" x14ac:dyDescent="0.25">
      <c r="A1275" t="str" cm="1">
        <f t="array" ref="A1275">IFERROR(INDEX(tbNucleo[ESCOLA],ROUNDUP(ROW(A1274)/TotalEtapas,0)),"")</f>
        <v/>
      </c>
      <c r="D1275" t="str">
        <f>IFERROR(VLOOKUP(tbEscolas[[#This Row],[COD ETPA]],tbEtapas[],2,FALSE),"")</f>
        <v/>
      </c>
      <c r="E1275" t="str">
        <f>IFERROR(VLOOKUP(tbEscolas[[#This Row],[COD ETPA]],tbEtapas[],3,FALSE),"")</f>
        <v/>
      </c>
    </row>
    <row r="1276" spans="1:5" x14ac:dyDescent="0.25">
      <c r="A1276" t="str" cm="1">
        <f t="array" ref="A1276">IFERROR(INDEX(tbNucleo[ESCOLA],ROUNDUP(ROW(A1275)/TotalEtapas,0)),"")</f>
        <v/>
      </c>
      <c r="D1276" t="str">
        <f>IFERROR(VLOOKUP(tbEscolas[[#This Row],[COD ETPA]],tbEtapas[],2,FALSE),"")</f>
        <v/>
      </c>
      <c r="E1276" t="str">
        <f>IFERROR(VLOOKUP(tbEscolas[[#This Row],[COD ETPA]],tbEtapas[],3,FALSE),"")</f>
        <v/>
      </c>
    </row>
    <row r="1277" spans="1:5" x14ac:dyDescent="0.25">
      <c r="A1277" t="str" cm="1">
        <f t="array" ref="A1277">IFERROR(INDEX(tbNucleo[ESCOLA],ROUNDUP(ROW(A1276)/TotalEtapas,0)),"")</f>
        <v/>
      </c>
      <c r="D1277" t="str">
        <f>IFERROR(VLOOKUP(tbEscolas[[#This Row],[COD ETPA]],tbEtapas[],2,FALSE),"")</f>
        <v/>
      </c>
      <c r="E1277" t="str">
        <f>IFERROR(VLOOKUP(tbEscolas[[#This Row],[COD ETPA]],tbEtapas[],3,FALSE),"")</f>
        <v/>
      </c>
    </row>
    <row r="1278" spans="1:5" x14ac:dyDescent="0.25">
      <c r="A1278" t="str" cm="1">
        <f t="array" ref="A1278">IFERROR(INDEX(tbNucleo[ESCOLA],ROUNDUP(ROW(A1277)/TotalEtapas,0)),"")</f>
        <v/>
      </c>
      <c r="D1278" t="str">
        <f>IFERROR(VLOOKUP(tbEscolas[[#This Row],[COD ETPA]],tbEtapas[],2,FALSE),"")</f>
        <v/>
      </c>
      <c r="E1278" t="str">
        <f>IFERROR(VLOOKUP(tbEscolas[[#This Row],[COD ETPA]],tbEtapas[],3,FALSE),"")</f>
        <v/>
      </c>
    </row>
    <row r="1279" spans="1:5" x14ac:dyDescent="0.25">
      <c r="A1279" t="str" cm="1">
        <f t="array" ref="A1279">IFERROR(INDEX(tbNucleo[ESCOLA],ROUNDUP(ROW(A1278)/TotalEtapas,0)),"")</f>
        <v/>
      </c>
      <c r="D1279" t="str">
        <f>IFERROR(VLOOKUP(tbEscolas[[#This Row],[COD ETPA]],tbEtapas[],2,FALSE),"")</f>
        <v/>
      </c>
      <c r="E1279" t="str">
        <f>IFERROR(VLOOKUP(tbEscolas[[#This Row],[COD ETPA]],tbEtapas[],3,FALSE),"")</f>
        <v/>
      </c>
    </row>
    <row r="1280" spans="1:5" x14ac:dyDescent="0.25">
      <c r="A1280" t="str" cm="1">
        <f t="array" ref="A1280">IFERROR(INDEX(tbNucleo[ESCOLA],ROUNDUP(ROW(A1279)/TotalEtapas,0)),"")</f>
        <v/>
      </c>
      <c r="D1280" t="str">
        <f>IFERROR(VLOOKUP(tbEscolas[[#This Row],[COD ETPA]],tbEtapas[],2,FALSE),"")</f>
        <v/>
      </c>
      <c r="E1280" t="str">
        <f>IFERROR(VLOOKUP(tbEscolas[[#This Row],[COD ETPA]],tbEtapas[],3,FALSE),"")</f>
        <v/>
      </c>
    </row>
    <row r="1281" spans="1:5" x14ac:dyDescent="0.25">
      <c r="A1281" t="str" cm="1">
        <f t="array" ref="A1281">IFERROR(INDEX(tbNucleo[ESCOLA],ROUNDUP(ROW(A1280)/TotalEtapas,0)),"")</f>
        <v/>
      </c>
      <c r="D1281" t="str">
        <f>IFERROR(VLOOKUP(tbEscolas[[#This Row],[COD ETPA]],tbEtapas[],2,FALSE),"")</f>
        <v/>
      </c>
      <c r="E1281" t="str">
        <f>IFERROR(VLOOKUP(tbEscolas[[#This Row],[COD ETPA]],tbEtapas[],3,FALSE),"")</f>
        <v/>
      </c>
    </row>
    <row r="1282" spans="1:5" x14ac:dyDescent="0.25">
      <c r="A1282" t="str" cm="1">
        <f t="array" ref="A1282">IFERROR(INDEX(tbNucleo[ESCOLA],ROUNDUP(ROW(A1281)/TotalEtapas,0)),"")</f>
        <v/>
      </c>
      <c r="D1282" t="str">
        <f>IFERROR(VLOOKUP(tbEscolas[[#This Row],[COD ETPA]],tbEtapas[],2,FALSE),"")</f>
        <v/>
      </c>
      <c r="E1282" t="str">
        <f>IFERROR(VLOOKUP(tbEscolas[[#This Row],[COD ETPA]],tbEtapas[],3,FALSE),"")</f>
        <v/>
      </c>
    </row>
    <row r="1283" spans="1:5" x14ac:dyDescent="0.25">
      <c r="A1283" t="str" cm="1">
        <f t="array" ref="A1283">IFERROR(INDEX(tbNucleo[ESCOLA],ROUNDUP(ROW(A1282)/TotalEtapas,0)),"")</f>
        <v/>
      </c>
      <c r="D1283" t="str">
        <f>IFERROR(VLOOKUP(tbEscolas[[#This Row],[COD ETPA]],tbEtapas[],2,FALSE),"")</f>
        <v/>
      </c>
      <c r="E1283" t="str">
        <f>IFERROR(VLOOKUP(tbEscolas[[#This Row],[COD ETPA]],tbEtapas[],3,FALSE),"")</f>
        <v/>
      </c>
    </row>
    <row r="1284" spans="1:5" x14ac:dyDescent="0.25">
      <c r="A1284" t="str" cm="1">
        <f t="array" ref="A1284">IFERROR(INDEX(tbNucleo[ESCOLA],ROUNDUP(ROW(A1283)/TotalEtapas,0)),"")</f>
        <v/>
      </c>
      <c r="D1284" t="str">
        <f>IFERROR(VLOOKUP(tbEscolas[[#This Row],[COD ETPA]],tbEtapas[],2,FALSE),"")</f>
        <v/>
      </c>
      <c r="E1284" t="str">
        <f>IFERROR(VLOOKUP(tbEscolas[[#This Row],[COD ETPA]],tbEtapas[],3,FALSE),"")</f>
        <v/>
      </c>
    </row>
    <row r="1285" spans="1:5" x14ac:dyDescent="0.25">
      <c r="A1285" t="str" cm="1">
        <f t="array" ref="A1285">IFERROR(INDEX(tbNucleo[ESCOLA],ROUNDUP(ROW(A1284)/TotalEtapas,0)),"")</f>
        <v/>
      </c>
      <c r="D1285" t="str">
        <f>IFERROR(VLOOKUP(tbEscolas[[#This Row],[COD ETPA]],tbEtapas[],2,FALSE),"")</f>
        <v/>
      </c>
      <c r="E1285" t="str">
        <f>IFERROR(VLOOKUP(tbEscolas[[#This Row],[COD ETPA]],tbEtapas[],3,FALSE),"")</f>
        <v/>
      </c>
    </row>
    <row r="1286" spans="1:5" x14ac:dyDescent="0.25">
      <c r="A1286" t="str" cm="1">
        <f t="array" ref="A1286">IFERROR(INDEX(tbNucleo[ESCOLA],ROUNDUP(ROW(A1285)/TotalEtapas,0)),"")</f>
        <v/>
      </c>
      <c r="D1286" t="str">
        <f>IFERROR(VLOOKUP(tbEscolas[[#This Row],[COD ETPA]],tbEtapas[],2,FALSE),"")</f>
        <v/>
      </c>
      <c r="E1286" t="str">
        <f>IFERROR(VLOOKUP(tbEscolas[[#This Row],[COD ETPA]],tbEtapas[],3,FALSE),"")</f>
        <v/>
      </c>
    </row>
    <row r="1287" spans="1:5" x14ac:dyDescent="0.25">
      <c r="A1287" t="str" cm="1">
        <f t="array" ref="A1287">IFERROR(INDEX(tbNucleo[ESCOLA],ROUNDUP(ROW(A1286)/TotalEtapas,0)),"")</f>
        <v/>
      </c>
      <c r="D1287" t="str">
        <f>IFERROR(VLOOKUP(tbEscolas[[#This Row],[COD ETPA]],tbEtapas[],2,FALSE),"")</f>
        <v/>
      </c>
      <c r="E1287" t="str">
        <f>IFERROR(VLOOKUP(tbEscolas[[#This Row],[COD ETPA]],tbEtapas[],3,FALSE),"")</f>
        <v/>
      </c>
    </row>
    <row r="1288" spans="1:5" x14ac:dyDescent="0.25">
      <c r="A1288" t="str" cm="1">
        <f t="array" ref="A1288">IFERROR(INDEX(tbNucleo[ESCOLA],ROUNDUP(ROW(A1287)/TotalEtapas,0)),"")</f>
        <v/>
      </c>
      <c r="D1288" t="str">
        <f>IFERROR(VLOOKUP(tbEscolas[[#This Row],[COD ETPA]],tbEtapas[],2,FALSE),"")</f>
        <v/>
      </c>
      <c r="E1288" t="str">
        <f>IFERROR(VLOOKUP(tbEscolas[[#This Row],[COD ETPA]],tbEtapas[],3,FALSE),"")</f>
        <v/>
      </c>
    </row>
    <row r="1289" spans="1:5" x14ac:dyDescent="0.25">
      <c r="A1289" t="str" cm="1">
        <f t="array" ref="A1289">IFERROR(INDEX(tbNucleo[ESCOLA],ROUNDUP(ROW(A1288)/TotalEtapas,0)),"")</f>
        <v/>
      </c>
      <c r="D1289" t="str">
        <f>IFERROR(VLOOKUP(tbEscolas[[#This Row],[COD ETPA]],tbEtapas[],2,FALSE),"")</f>
        <v/>
      </c>
      <c r="E1289" t="str">
        <f>IFERROR(VLOOKUP(tbEscolas[[#This Row],[COD ETPA]],tbEtapas[],3,FALSE),"")</f>
        <v/>
      </c>
    </row>
    <row r="1290" spans="1:5" x14ac:dyDescent="0.25">
      <c r="A1290" t="str" cm="1">
        <f t="array" ref="A1290">IFERROR(INDEX(tbNucleo[ESCOLA],ROUNDUP(ROW(A1289)/TotalEtapas,0)),"")</f>
        <v/>
      </c>
      <c r="D1290" t="str">
        <f>IFERROR(VLOOKUP(tbEscolas[[#This Row],[COD ETPA]],tbEtapas[],2,FALSE),"")</f>
        <v/>
      </c>
      <c r="E1290" t="str">
        <f>IFERROR(VLOOKUP(tbEscolas[[#This Row],[COD ETPA]],tbEtapas[],3,FALSE),"")</f>
        <v/>
      </c>
    </row>
    <row r="1291" spans="1:5" x14ac:dyDescent="0.25">
      <c r="A1291" t="str" cm="1">
        <f t="array" ref="A1291">IFERROR(INDEX(tbNucleo[ESCOLA],ROUNDUP(ROW(A1290)/TotalEtapas,0)),"")</f>
        <v/>
      </c>
      <c r="D1291" t="str">
        <f>IFERROR(VLOOKUP(tbEscolas[[#This Row],[COD ETPA]],tbEtapas[],2,FALSE),"")</f>
        <v/>
      </c>
      <c r="E1291" t="str">
        <f>IFERROR(VLOOKUP(tbEscolas[[#This Row],[COD ETPA]],tbEtapas[],3,FALSE),"")</f>
        <v/>
      </c>
    </row>
    <row r="1292" spans="1:5" x14ac:dyDescent="0.25">
      <c r="A1292" t="str" cm="1">
        <f t="array" ref="A1292">IFERROR(INDEX(tbNucleo[ESCOLA],ROUNDUP(ROW(A1291)/TotalEtapas,0)),"")</f>
        <v/>
      </c>
      <c r="D1292" t="str">
        <f>IFERROR(VLOOKUP(tbEscolas[[#This Row],[COD ETPA]],tbEtapas[],2,FALSE),"")</f>
        <v/>
      </c>
      <c r="E1292" t="str">
        <f>IFERROR(VLOOKUP(tbEscolas[[#This Row],[COD ETPA]],tbEtapas[],3,FALSE),"")</f>
        <v/>
      </c>
    </row>
    <row r="1293" spans="1:5" x14ac:dyDescent="0.25">
      <c r="A1293" t="str" cm="1">
        <f t="array" ref="A1293">IFERROR(INDEX(tbNucleo[ESCOLA],ROUNDUP(ROW(A1292)/TotalEtapas,0)),"")</f>
        <v/>
      </c>
      <c r="D1293" t="str">
        <f>IFERROR(VLOOKUP(tbEscolas[[#This Row],[COD ETPA]],tbEtapas[],2,FALSE),"")</f>
        <v/>
      </c>
      <c r="E1293" t="str">
        <f>IFERROR(VLOOKUP(tbEscolas[[#This Row],[COD ETPA]],tbEtapas[],3,FALSE),"")</f>
        <v/>
      </c>
    </row>
    <row r="1294" spans="1:5" x14ac:dyDescent="0.25">
      <c r="A1294" t="str" cm="1">
        <f t="array" ref="A1294">IFERROR(INDEX(tbNucleo[ESCOLA],ROUNDUP(ROW(A1293)/TotalEtapas,0)),"")</f>
        <v/>
      </c>
      <c r="D1294" t="str">
        <f>IFERROR(VLOOKUP(tbEscolas[[#This Row],[COD ETPA]],tbEtapas[],2,FALSE),"")</f>
        <v/>
      </c>
      <c r="E1294" t="str">
        <f>IFERROR(VLOOKUP(tbEscolas[[#This Row],[COD ETPA]],tbEtapas[],3,FALSE),"")</f>
        <v/>
      </c>
    </row>
    <row r="1295" spans="1:5" x14ac:dyDescent="0.25">
      <c r="A1295" t="str" cm="1">
        <f t="array" ref="A1295">IFERROR(INDEX(tbNucleo[ESCOLA],ROUNDUP(ROW(A1294)/TotalEtapas,0)),"")</f>
        <v/>
      </c>
      <c r="D1295" t="str">
        <f>IFERROR(VLOOKUP(tbEscolas[[#This Row],[COD ETPA]],tbEtapas[],2,FALSE),"")</f>
        <v/>
      </c>
      <c r="E1295" t="str">
        <f>IFERROR(VLOOKUP(tbEscolas[[#This Row],[COD ETPA]],tbEtapas[],3,FALSE),"")</f>
        <v/>
      </c>
    </row>
    <row r="1296" spans="1:5" x14ac:dyDescent="0.25">
      <c r="A1296" t="str" cm="1">
        <f t="array" ref="A1296">IFERROR(INDEX(tbNucleo[ESCOLA],ROUNDUP(ROW(A1295)/TotalEtapas,0)),"")</f>
        <v/>
      </c>
      <c r="D1296" t="str">
        <f>IFERROR(VLOOKUP(tbEscolas[[#This Row],[COD ETPA]],tbEtapas[],2,FALSE),"")</f>
        <v/>
      </c>
      <c r="E1296" t="str">
        <f>IFERROR(VLOOKUP(tbEscolas[[#This Row],[COD ETPA]],tbEtapas[],3,FALSE),"")</f>
        <v/>
      </c>
    </row>
    <row r="1297" spans="1:5" x14ac:dyDescent="0.25">
      <c r="A1297" t="str" cm="1">
        <f t="array" ref="A1297">IFERROR(INDEX(tbNucleo[ESCOLA],ROUNDUP(ROW(A1296)/TotalEtapas,0)),"")</f>
        <v/>
      </c>
      <c r="D1297" t="str">
        <f>IFERROR(VLOOKUP(tbEscolas[[#This Row],[COD ETPA]],tbEtapas[],2,FALSE),"")</f>
        <v/>
      </c>
      <c r="E1297" t="str">
        <f>IFERROR(VLOOKUP(tbEscolas[[#This Row],[COD ETPA]],tbEtapas[],3,FALSE),"")</f>
        <v/>
      </c>
    </row>
    <row r="1298" spans="1:5" x14ac:dyDescent="0.25">
      <c r="A1298" t="str" cm="1">
        <f t="array" ref="A1298">IFERROR(INDEX(tbNucleo[ESCOLA],ROUNDUP(ROW(A1297)/TotalEtapas,0)),"")</f>
        <v/>
      </c>
      <c r="D1298" t="str">
        <f>IFERROR(VLOOKUP(tbEscolas[[#This Row],[COD ETPA]],tbEtapas[],2,FALSE),"")</f>
        <v/>
      </c>
      <c r="E1298" t="str">
        <f>IFERROR(VLOOKUP(tbEscolas[[#This Row],[COD ETPA]],tbEtapas[],3,FALSE),"")</f>
        <v/>
      </c>
    </row>
    <row r="1299" spans="1:5" x14ac:dyDescent="0.25">
      <c r="A1299" t="str" cm="1">
        <f t="array" ref="A1299">IFERROR(INDEX(tbNucleo[ESCOLA],ROUNDUP(ROW(A1298)/TotalEtapas,0)),"")</f>
        <v/>
      </c>
      <c r="D1299" t="str">
        <f>IFERROR(VLOOKUP(tbEscolas[[#This Row],[COD ETPA]],tbEtapas[],2,FALSE),"")</f>
        <v/>
      </c>
      <c r="E1299" t="str">
        <f>IFERROR(VLOOKUP(tbEscolas[[#This Row],[COD ETPA]],tbEtapas[],3,FALSE),"")</f>
        <v/>
      </c>
    </row>
    <row r="1300" spans="1:5" x14ac:dyDescent="0.25">
      <c r="A1300" t="str" cm="1">
        <f t="array" ref="A1300">IFERROR(INDEX(tbNucleo[ESCOLA],ROUNDUP(ROW(A1299)/TotalEtapas,0)),"")</f>
        <v/>
      </c>
      <c r="D1300" t="str">
        <f>IFERROR(VLOOKUP(tbEscolas[[#This Row],[COD ETPA]],tbEtapas[],2,FALSE),"")</f>
        <v/>
      </c>
      <c r="E1300" t="str">
        <f>IFERROR(VLOOKUP(tbEscolas[[#This Row],[COD ETPA]],tbEtapas[],3,FALSE),"")</f>
        <v/>
      </c>
    </row>
    <row r="1301" spans="1:5" x14ac:dyDescent="0.25">
      <c r="A1301" t="str" cm="1">
        <f t="array" ref="A1301">IFERROR(INDEX(tbNucleo[ESCOLA],ROUNDUP(ROW(A1300)/TotalEtapas,0)),"")</f>
        <v/>
      </c>
      <c r="D1301" t="str">
        <f>IFERROR(VLOOKUP(tbEscolas[[#This Row],[COD ETPA]],tbEtapas[],2,FALSE),"")</f>
        <v/>
      </c>
      <c r="E1301" t="str">
        <f>IFERROR(VLOOKUP(tbEscolas[[#This Row],[COD ETPA]],tbEtapas[],3,FALSE),"")</f>
        <v/>
      </c>
    </row>
    <row r="1302" spans="1:5" x14ac:dyDescent="0.25">
      <c r="A1302" t="str" cm="1">
        <f t="array" ref="A1302">IFERROR(INDEX(tbNucleo[ESCOLA],ROUNDUP(ROW(A1301)/TotalEtapas,0)),"")</f>
        <v/>
      </c>
      <c r="D1302" t="str">
        <f>IFERROR(VLOOKUP(tbEscolas[[#This Row],[COD ETPA]],tbEtapas[],2,FALSE),"")</f>
        <v/>
      </c>
      <c r="E1302" t="str">
        <f>IFERROR(VLOOKUP(tbEscolas[[#This Row],[COD ETPA]],tbEtapas[],3,FALSE),"")</f>
        <v/>
      </c>
    </row>
    <row r="1303" spans="1:5" x14ac:dyDescent="0.25">
      <c r="A1303" t="str" cm="1">
        <f t="array" ref="A1303">IFERROR(INDEX(tbNucleo[ESCOLA],ROUNDUP(ROW(A1302)/TotalEtapas,0)),"")</f>
        <v/>
      </c>
      <c r="D1303" t="str">
        <f>IFERROR(VLOOKUP(tbEscolas[[#This Row],[COD ETPA]],tbEtapas[],2,FALSE),"")</f>
        <v/>
      </c>
      <c r="E1303" t="str">
        <f>IFERROR(VLOOKUP(tbEscolas[[#This Row],[COD ETPA]],tbEtapas[],3,FALSE),"")</f>
        <v/>
      </c>
    </row>
    <row r="1304" spans="1:5" x14ac:dyDescent="0.25">
      <c r="A1304" t="str" cm="1">
        <f t="array" ref="A1304">IFERROR(INDEX(tbNucleo[ESCOLA],ROUNDUP(ROW(A1303)/TotalEtapas,0)),"")</f>
        <v/>
      </c>
      <c r="D1304" t="str">
        <f>IFERROR(VLOOKUP(tbEscolas[[#This Row],[COD ETPA]],tbEtapas[],2,FALSE),"")</f>
        <v/>
      </c>
      <c r="E1304" t="str">
        <f>IFERROR(VLOOKUP(tbEscolas[[#This Row],[COD ETPA]],tbEtapas[],3,FALSE),"")</f>
        <v/>
      </c>
    </row>
    <row r="1305" spans="1:5" x14ac:dyDescent="0.25">
      <c r="A1305" t="str" cm="1">
        <f t="array" ref="A1305">IFERROR(INDEX(tbNucleo[ESCOLA],ROUNDUP(ROW(A1304)/TotalEtapas,0)),"")</f>
        <v/>
      </c>
      <c r="D1305" t="str">
        <f>IFERROR(VLOOKUP(tbEscolas[[#This Row],[COD ETPA]],tbEtapas[],2,FALSE),"")</f>
        <v/>
      </c>
      <c r="E1305" t="str">
        <f>IFERROR(VLOOKUP(tbEscolas[[#This Row],[COD ETPA]],tbEtapas[],3,FALSE),"")</f>
        <v/>
      </c>
    </row>
    <row r="1306" spans="1:5" x14ac:dyDescent="0.25">
      <c r="A1306" t="str" cm="1">
        <f t="array" ref="A1306">IFERROR(INDEX(tbNucleo[ESCOLA],ROUNDUP(ROW(A1305)/TotalEtapas,0)),"")</f>
        <v/>
      </c>
      <c r="D1306" t="str">
        <f>IFERROR(VLOOKUP(tbEscolas[[#This Row],[COD ETPA]],tbEtapas[],2,FALSE),"")</f>
        <v/>
      </c>
      <c r="E1306" t="str">
        <f>IFERROR(VLOOKUP(tbEscolas[[#This Row],[COD ETPA]],tbEtapas[],3,FALSE),"")</f>
        <v/>
      </c>
    </row>
    <row r="1307" spans="1:5" x14ac:dyDescent="0.25">
      <c r="A1307" t="str" cm="1">
        <f t="array" ref="A1307">IFERROR(INDEX(tbNucleo[ESCOLA],ROUNDUP(ROW(A1306)/TotalEtapas,0)),"")</f>
        <v/>
      </c>
      <c r="D1307" t="str">
        <f>IFERROR(VLOOKUP(tbEscolas[[#This Row],[COD ETPA]],tbEtapas[],2,FALSE),"")</f>
        <v/>
      </c>
      <c r="E1307" t="str">
        <f>IFERROR(VLOOKUP(tbEscolas[[#This Row],[COD ETPA]],tbEtapas[],3,FALSE),"")</f>
        <v/>
      </c>
    </row>
    <row r="1308" spans="1:5" x14ac:dyDescent="0.25">
      <c r="A1308" t="str" cm="1">
        <f t="array" ref="A1308">IFERROR(INDEX(tbNucleo[ESCOLA],ROUNDUP(ROW(A1307)/TotalEtapas,0)),"")</f>
        <v/>
      </c>
      <c r="D1308" t="str">
        <f>IFERROR(VLOOKUP(tbEscolas[[#This Row],[COD ETPA]],tbEtapas[],2,FALSE),"")</f>
        <v/>
      </c>
      <c r="E1308" t="str">
        <f>IFERROR(VLOOKUP(tbEscolas[[#This Row],[COD ETPA]],tbEtapas[],3,FALSE),"")</f>
        <v/>
      </c>
    </row>
    <row r="1309" spans="1:5" x14ac:dyDescent="0.25">
      <c r="A1309" t="str" cm="1">
        <f t="array" ref="A1309">IFERROR(INDEX(tbNucleo[ESCOLA],ROUNDUP(ROW(A1308)/TotalEtapas,0)),"")</f>
        <v/>
      </c>
      <c r="D1309" t="str">
        <f>IFERROR(VLOOKUP(tbEscolas[[#This Row],[COD ETPA]],tbEtapas[],2,FALSE),"")</f>
        <v/>
      </c>
      <c r="E1309" t="str">
        <f>IFERROR(VLOOKUP(tbEscolas[[#This Row],[COD ETPA]],tbEtapas[],3,FALSE),"")</f>
        <v/>
      </c>
    </row>
    <row r="1310" spans="1:5" x14ac:dyDescent="0.25">
      <c r="A1310" t="str" cm="1">
        <f t="array" ref="A1310">IFERROR(INDEX(tbNucleo[ESCOLA],ROUNDUP(ROW(A1309)/TotalEtapas,0)),"")</f>
        <v/>
      </c>
      <c r="D1310" t="str">
        <f>IFERROR(VLOOKUP(tbEscolas[[#This Row],[COD ETPA]],tbEtapas[],2,FALSE),"")</f>
        <v/>
      </c>
      <c r="E1310" t="str">
        <f>IFERROR(VLOOKUP(tbEscolas[[#This Row],[COD ETPA]],tbEtapas[],3,FALSE),"")</f>
        <v/>
      </c>
    </row>
    <row r="1311" spans="1:5" x14ac:dyDescent="0.25">
      <c r="A1311" t="str" cm="1">
        <f t="array" ref="A1311">IFERROR(INDEX(tbNucleo[ESCOLA],ROUNDUP(ROW(A1310)/TotalEtapas,0)),"")</f>
        <v/>
      </c>
      <c r="D1311" t="str">
        <f>IFERROR(VLOOKUP(tbEscolas[[#This Row],[COD ETPA]],tbEtapas[],2,FALSE),"")</f>
        <v/>
      </c>
      <c r="E1311" t="str">
        <f>IFERROR(VLOOKUP(tbEscolas[[#This Row],[COD ETPA]],tbEtapas[],3,FALSE),"")</f>
        <v/>
      </c>
    </row>
    <row r="1312" spans="1:5" x14ac:dyDescent="0.25">
      <c r="A1312" t="str" cm="1">
        <f t="array" ref="A1312">IFERROR(INDEX(tbNucleo[ESCOLA],ROUNDUP(ROW(A1311)/TotalEtapas,0)),"")</f>
        <v/>
      </c>
      <c r="D1312" t="str">
        <f>IFERROR(VLOOKUP(tbEscolas[[#This Row],[COD ETPA]],tbEtapas[],2,FALSE),"")</f>
        <v/>
      </c>
      <c r="E1312" t="str">
        <f>IFERROR(VLOOKUP(tbEscolas[[#This Row],[COD ETPA]],tbEtapas[],3,FALSE),"")</f>
        <v/>
      </c>
    </row>
    <row r="1313" spans="1:5" x14ac:dyDescent="0.25">
      <c r="A1313" t="str" cm="1">
        <f t="array" ref="A1313">IFERROR(INDEX(tbNucleo[ESCOLA],ROUNDUP(ROW(A1312)/TotalEtapas,0)),"")</f>
        <v/>
      </c>
      <c r="D1313" t="str">
        <f>IFERROR(VLOOKUP(tbEscolas[[#This Row],[COD ETPA]],tbEtapas[],2,FALSE),"")</f>
        <v/>
      </c>
      <c r="E1313" t="str">
        <f>IFERROR(VLOOKUP(tbEscolas[[#This Row],[COD ETPA]],tbEtapas[],3,FALSE),"")</f>
        <v/>
      </c>
    </row>
    <row r="1314" spans="1:5" x14ac:dyDescent="0.25">
      <c r="A1314" t="str" cm="1">
        <f t="array" ref="A1314">IFERROR(INDEX(tbNucleo[ESCOLA],ROUNDUP(ROW(A1313)/TotalEtapas,0)),"")</f>
        <v/>
      </c>
      <c r="D1314" t="str">
        <f>IFERROR(VLOOKUP(tbEscolas[[#This Row],[COD ETPA]],tbEtapas[],2,FALSE),"")</f>
        <v/>
      </c>
      <c r="E1314" t="str">
        <f>IFERROR(VLOOKUP(tbEscolas[[#This Row],[COD ETPA]],tbEtapas[],3,FALSE),"")</f>
        <v/>
      </c>
    </row>
    <row r="1315" spans="1:5" x14ac:dyDescent="0.25">
      <c r="A1315" t="str" cm="1">
        <f t="array" ref="A1315">IFERROR(INDEX(tbNucleo[ESCOLA],ROUNDUP(ROW(A1314)/TotalEtapas,0)),"")</f>
        <v/>
      </c>
      <c r="D1315" t="str">
        <f>IFERROR(VLOOKUP(tbEscolas[[#This Row],[COD ETPA]],tbEtapas[],2,FALSE),"")</f>
        <v/>
      </c>
      <c r="E1315" t="str">
        <f>IFERROR(VLOOKUP(tbEscolas[[#This Row],[COD ETPA]],tbEtapas[],3,FALSE),"")</f>
        <v/>
      </c>
    </row>
    <row r="1316" spans="1:5" x14ac:dyDescent="0.25">
      <c r="A1316" t="str" cm="1">
        <f t="array" ref="A1316">IFERROR(INDEX(tbNucleo[ESCOLA],ROUNDUP(ROW(A1315)/TotalEtapas,0)),"")</f>
        <v/>
      </c>
      <c r="D1316" t="str">
        <f>IFERROR(VLOOKUP(tbEscolas[[#This Row],[COD ETPA]],tbEtapas[],2,FALSE),"")</f>
        <v/>
      </c>
      <c r="E1316" t="str">
        <f>IFERROR(VLOOKUP(tbEscolas[[#This Row],[COD ETPA]],tbEtapas[],3,FALSE),"")</f>
        <v/>
      </c>
    </row>
    <row r="1317" spans="1:5" x14ac:dyDescent="0.25">
      <c r="A1317" t="str" cm="1">
        <f t="array" ref="A1317">IFERROR(INDEX(tbNucleo[ESCOLA],ROUNDUP(ROW(A1316)/TotalEtapas,0)),"")</f>
        <v/>
      </c>
      <c r="D1317" t="str">
        <f>IFERROR(VLOOKUP(tbEscolas[[#This Row],[COD ETPA]],tbEtapas[],2,FALSE),"")</f>
        <v/>
      </c>
      <c r="E1317" t="str">
        <f>IFERROR(VLOOKUP(tbEscolas[[#This Row],[COD ETPA]],tbEtapas[],3,FALSE),"")</f>
        <v/>
      </c>
    </row>
    <row r="1318" spans="1:5" x14ac:dyDescent="0.25">
      <c r="A1318" t="str" cm="1">
        <f t="array" ref="A1318">IFERROR(INDEX(tbNucleo[ESCOLA],ROUNDUP(ROW(A1317)/TotalEtapas,0)),"")</f>
        <v/>
      </c>
      <c r="D1318" t="str">
        <f>IFERROR(VLOOKUP(tbEscolas[[#This Row],[COD ETPA]],tbEtapas[],2,FALSE),"")</f>
        <v/>
      </c>
      <c r="E1318" t="str">
        <f>IFERROR(VLOOKUP(tbEscolas[[#This Row],[COD ETPA]],tbEtapas[],3,FALSE),"")</f>
        <v/>
      </c>
    </row>
    <row r="1319" spans="1:5" x14ac:dyDescent="0.25">
      <c r="A1319" t="str" cm="1">
        <f t="array" ref="A1319">IFERROR(INDEX(tbNucleo[ESCOLA],ROUNDUP(ROW(A1318)/TotalEtapas,0)),"")</f>
        <v/>
      </c>
      <c r="D1319" t="str">
        <f>IFERROR(VLOOKUP(tbEscolas[[#This Row],[COD ETPA]],tbEtapas[],2,FALSE),"")</f>
        <v/>
      </c>
      <c r="E1319" t="str">
        <f>IFERROR(VLOOKUP(tbEscolas[[#This Row],[COD ETPA]],tbEtapas[],3,FALSE),"")</f>
        <v/>
      </c>
    </row>
    <row r="1320" spans="1:5" x14ac:dyDescent="0.25">
      <c r="A1320" t="str" cm="1">
        <f t="array" ref="A1320">IFERROR(INDEX(tbNucleo[ESCOLA],ROUNDUP(ROW(A1319)/TotalEtapas,0)),"")</f>
        <v/>
      </c>
      <c r="D1320" t="str">
        <f>IFERROR(VLOOKUP(tbEscolas[[#This Row],[COD ETPA]],tbEtapas[],2,FALSE),"")</f>
        <v/>
      </c>
      <c r="E1320" t="str">
        <f>IFERROR(VLOOKUP(tbEscolas[[#This Row],[COD ETPA]],tbEtapas[],3,FALSE),"")</f>
        <v/>
      </c>
    </row>
    <row r="1321" spans="1:5" x14ac:dyDescent="0.25">
      <c r="A1321" t="str" cm="1">
        <f t="array" ref="A1321">IFERROR(INDEX(tbNucleo[ESCOLA],ROUNDUP(ROW(A1320)/TotalEtapas,0)),"")</f>
        <v/>
      </c>
      <c r="D1321" t="str">
        <f>IFERROR(VLOOKUP(tbEscolas[[#This Row],[COD ETPA]],tbEtapas[],2,FALSE),"")</f>
        <v/>
      </c>
      <c r="E1321" t="str">
        <f>IFERROR(VLOOKUP(tbEscolas[[#This Row],[COD ETPA]],tbEtapas[],3,FALSE),"")</f>
        <v/>
      </c>
    </row>
    <row r="1322" spans="1:5" x14ac:dyDescent="0.25">
      <c r="A1322" t="str" cm="1">
        <f t="array" ref="A1322">IFERROR(INDEX(tbNucleo[ESCOLA],ROUNDUP(ROW(A1321)/TotalEtapas,0)),"")</f>
        <v/>
      </c>
      <c r="D1322" t="str">
        <f>IFERROR(VLOOKUP(tbEscolas[[#This Row],[COD ETPA]],tbEtapas[],2,FALSE),"")</f>
        <v/>
      </c>
      <c r="E1322" t="str">
        <f>IFERROR(VLOOKUP(tbEscolas[[#This Row],[COD ETPA]],tbEtapas[],3,FALSE),"")</f>
        <v/>
      </c>
    </row>
    <row r="1323" spans="1:5" x14ac:dyDescent="0.25">
      <c r="A1323" t="str" cm="1">
        <f t="array" ref="A1323">IFERROR(INDEX(tbNucleo[ESCOLA],ROUNDUP(ROW(A1322)/TotalEtapas,0)),"")</f>
        <v/>
      </c>
      <c r="D1323" t="str">
        <f>IFERROR(VLOOKUP(tbEscolas[[#This Row],[COD ETPA]],tbEtapas[],2,FALSE),"")</f>
        <v/>
      </c>
      <c r="E1323" t="str">
        <f>IFERROR(VLOOKUP(tbEscolas[[#This Row],[COD ETPA]],tbEtapas[],3,FALSE),"")</f>
        <v/>
      </c>
    </row>
    <row r="1324" spans="1:5" x14ac:dyDescent="0.25">
      <c r="A1324" t="str" cm="1">
        <f t="array" ref="A1324">IFERROR(INDEX(tbNucleo[ESCOLA],ROUNDUP(ROW(A1323)/TotalEtapas,0)),"")</f>
        <v/>
      </c>
      <c r="D1324" t="str">
        <f>IFERROR(VLOOKUP(tbEscolas[[#This Row],[COD ETPA]],tbEtapas[],2,FALSE),"")</f>
        <v/>
      </c>
      <c r="E1324" t="str">
        <f>IFERROR(VLOOKUP(tbEscolas[[#This Row],[COD ETPA]],tbEtapas[],3,FALSE),"")</f>
        <v/>
      </c>
    </row>
    <row r="1325" spans="1:5" x14ac:dyDescent="0.25">
      <c r="A1325" t="str" cm="1">
        <f t="array" ref="A1325">IFERROR(INDEX(tbNucleo[ESCOLA],ROUNDUP(ROW(A1324)/TotalEtapas,0)),"")</f>
        <v/>
      </c>
      <c r="D1325" t="str">
        <f>IFERROR(VLOOKUP(tbEscolas[[#This Row],[COD ETPA]],tbEtapas[],2,FALSE),"")</f>
        <v/>
      </c>
      <c r="E1325" t="str">
        <f>IFERROR(VLOOKUP(tbEscolas[[#This Row],[COD ETPA]],tbEtapas[],3,FALSE),"")</f>
        <v/>
      </c>
    </row>
    <row r="1326" spans="1:5" x14ac:dyDescent="0.25">
      <c r="A1326" t="str" cm="1">
        <f t="array" ref="A1326">IFERROR(INDEX(tbNucleo[ESCOLA],ROUNDUP(ROW(A1325)/TotalEtapas,0)),"")</f>
        <v/>
      </c>
      <c r="D1326" t="str">
        <f>IFERROR(VLOOKUP(tbEscolas[[#This Row],[COD ETPA]],tbEtapas[],2,FALSE),"")</f>
        <v/>
      </c>
      <c r="E1326" t="str">
        <f>IFERROR(VLOOKUP(tbEscolas[[#This Row],[COD ETPA]],tbEtapas[],3,FALSE),"")</f>
        <v/>
      </c>
    </row>
    <row r="1327" spans="1:5" x14ac:dyDescent="0.25">
      <c r="A1327" t="str" cm="1">
        <f t="array" ref="A1327">IFERROR(INDEX(tbNucleo[ESCOLA],ROUNDUP(ROW(A1326)/TotalEtapas,0)),"")</f>
        <v/>
      </c>
      <c r="D1327" t="str">
        <f>IFERROR(VLOOKUP(tbEscolas[[#This Row],[COD ETPA]],tbEtapas[],2,FALSE),"")</f>
        <v/>
      </c>
      <c r="E1327" t="str">
        <f>IFERROR(VLOOKUP(tbEscolas[[#This Row],[COD ETPA]],tbEtapas[],3,FALSE),"")</f>
        <v/>
      </c>
    </row>
    <row r="1328" spans="1:5" x14ac:dyDescent="0.25">
      <c r="A1328" t="str" cm="1">
        <f t="array" ref="A1328">IFERROR(INDEX(tbNucleo[ESCOLA],ROUNDUP(ROW(A1327)/TotalEtapas,0)),"")</f>
        <v/>
      </c>
      <c r="D1328" t="str">
        <f>IFERROR(VLOOKUP(tbEscolas[[#This Row],[COD ETPA]],tbEtapas[],2,FALSE),"")</f>
        <v/>
      </c>
      <c r="E1328" t="str">
        <f>IFERROR(VLOOKUP(tbEscolas[[#This Row],[COD ETPA]],tbEtapas[],3,FALSE),"")</f>
        <v/>
      </c>
    </row>
    <row r="1329" spans="1:5" x14ac:dyDescent="0.25">
      <c r="A1329" t="str" cm="1">
        <f t="array" ref="A1329">IFERROR(INDEX(tbNucleo[ESCOLA],ROUNDUP(ROW(A1328)/TotalEtapas,0)),"")</f>
        <v/>
      </c>
      <c r="D1329" t="str">
        <f>IFERROR(VLOOKUP(tbEscolas[[#This Row],[COD ETPA]],tbEtapas[],2,FALSE),"")</f>
        <v/>
      </c>
      <c r="E1329" t="str">
        <f>IFERROR(VLOOKUP(tbEscolas[[#This Row],[COD ETPA]],tbEtapas[],3,FALSE),"")</f>
        <v/>
      </c>
    </row>
    <row r="1330" spans="1:5" x14ac:dyDescent="0.25">
      <c r="A1330" t="str" cm="1">
        <f t="array" ref="A1330">IFERROR(INDEX(tbNucleo[ESCOLA],ROUNDUP(ROW(A1329)/TotalEtapas,0)),"")</f>
        <v/>
      </c>
      <c r="D1330" t="str">
        <f>IFERROR(VLOOKUP(tbEscolas[[#This Row],[COD ETPA]],tbEtapas[],2,FALSE),"")</f>
        <v/>
      </c>
      <c r="E1330" t="str">
        <f>IFERROR(VLOOKUP(tbEscolas[[#This Row],[COD ETPA]],tbEtapas[],3,FALSE),"")</f>
        <v/>
      </c>
    </row>
    <row r="1331" spans="1:5" x14ac:dyDescent="0.25">
      <c r="A1331" t="str" cm="1">
        <f t="array" ref="A1331">IFERROR(INDEX(tbNucleo[ESCOLA],ROUNDUP(ROW(A1330)/TotalEtapas,0)),"")</f>
        <v/>
      </c>
      <c r="D1331" t="str">
        <f>IFERROR(VLOOKUP(tbEscolas[[#This Row],[COD ETPA]],tbEtapas[],2,FALSE),"")</f>
        <v/>
      </c>
      <c r="E1331" t="str">
        <f>IFERROR(VLOOKUP(tbEscolas[[#This Row],[COD ETPA]],tbEtapas[],3,FALSE),"")</f>
        <v/>
      </c>
    </row>
    <row r="1332" spans="1:5" x14ac:dyDescent="0.25">
      <c r="A1332" t="str" cm="1">
        <f t="array" ref="A1332">IFERROR(INDEX(tbNucleo[ESCOLA],ROUNDUP(ROW(A1331)/TotalEtapas,0)),"")</f>
        <v/>
      </c>
      <c r="D1332" t="str">
        <f>IFERROR(VLOOKUP(tbEscolas[[#This Row],[COD ETPA]],tbEtapas[],2,FALSE),"")</f>
        <v/>
      </c>
      <c r="E1332" t="str">
        <f>IFERROR(VLOOKUP(tbEscolas[[#This Row],[COD ETPA]],tbEtapas[],3,FALSE),"")</f>
        <v/>
      </c>
    </row>
    <row r="1333" spans="1:5" x14ac:dyDescent="0.25">
      <c r="A1333" t="str" cm="1">
        <f t="array" ref="A1333">IFERROR(INDEX(tbNucleo[ESCOLA],ROUNDUP(ROW(A1332)/TotalEtapas,0)),"")</f>
        <v/>
      </c>
      <c r="D1333" t="str">
        <f>IFERROR(VLOOKUP(tbEscolas[[#This Row],[COD ETPA]],tbEtapas[],2,FALSE),"")</f>
        <v/>
      </c>
      <c r="E1333" t="str">
        <f>IFERROR(VLOOKUP(tbEscolas[[#This Row],[COD ETPA]],tbEtapas[],3,FALSE),"")</f>
        <v/>
      </c>
    </row>
    <row r="1334" spans="1:5" x14ac:dyDescent="0.25">
      <c r="A1334" t="str" cm="1">
        <f t="array" ref="A1334">IFERROR(INDEX(tbNucleo[ESCOLA],ROUNDUP(ROW(A1333)/TotalEtapas,0)),"")</f>
        <v/>
      </c>
      <c r="D1334" t="str">
        <f>IFERROR(VLOOKUP(tbEscolas[[#This Row],[COD ETPA]],tbEtapas[],2,FALSE),"")</f>
        <v/>
      </c>
      <c r="E1334" t="str">
        <f>IFERROR(VLOOKUP(tbEscolas[[#This Row],[COD ETPA]],tbEtapas[],3,FALSE),"")</f>
        <v/>
      </c>
    </row>
    <row r="1335" spans="1:5" x14ac:dyDescent="0.25">
      <c r="A1335" t="str" cm="1">
        <f t="array" ref="A1335">IFERROR(INDEX(tbNucleo[ESCOLA],ROUNDUP(ROW(A1334)/TotalEtapas,0)),"")</f>
        <v/>
      </c>
      <c r="D1335" t="str">
        <f>IFERROR(VLOOKUP(tbEscolas[[#This Row],[COD ETPA]],tbEtapas[],2,FALSE),"")</f>
        <v/>
      </c>
      <c r="E1335" t="str">
        <f>IFERROR(VLOOKUP(tbEscolas[[#This Row],[COD ETPA]],tbEtapas[],3,FALSE),"")</f>
        <v/>
      </c>
    </row>
    <row r="1336" spans="1:5" x14ac:dyDescent="0.25">
      <c r="A1336" t="str" cm="1">
        <f t="array" ref="A1336">IFERROR(INDEX(tbNucleo[ESCOLA],ROUNDUP(ROW(A1335)/TotalEtapas,0)),"")</f>
        <v/>
      </c>
      <c r="D1336" t="str">
        <f>IFERROR(VLOOKUP(tbEscolas[[#This Row],[COD ETPA]],tbEtapas[],2,FALSE),"")</f>
        <v/>
      </c>
      <c r="E1336" t="str">
        <f>IFERROR(VLOOKUP(tbEscolas[[#This Row],[COD ETPA]],tbEtapas[],3,FALSE),"")</f>
        <v/>
      </c>
    </row>
    <row r="1337" spans="1:5" x14ac:dyDescent="0.25">
      <c r="A1337" t="str" cm="1">
        <f t="array" ref="A1337">IFERROR(INDEX(tbNucleo[ESCOLA],ROUNDUP(ROW(A1336)/TotalEtapas,0)),"")</f>
        <v/>
      </c>
      <c r="D1337" t="str">
        <f>IFERROR(VLOOKUP(tbEscolas[[#This Row],[COD ETPA]],tbEtapas[],2,FALSE),"")</f>
        <v/>
      </c>
      <c r="E1337" t="str">
        <f>IFERROR(VLOOKUP(tbEscolas[[#This Row],[COD ETPA]],tbEtapas[],3,FALSE),"")</f>
        <v/>
      </c>
    </row>
    <row r="1338" spans="1:5" x14ac:dyDescent="0.25">
      <c r="A1338" t="str" cm="1">
        <f t="array" ref="A1338">IFERROR(INDEX(tbNucleo[ESCOLA],ROUNDUP(ROW(A1337)/TotalEtapas,0)),"")</f>
        <v/>
      </c>
      <c r="D1338" t="str">
        <f>IFERROR(VLOOKUP(tbEscolas[[#This Row],[COD ETPA]],tbEtapas[],2,FALSE),"")</f>
        <v/>
      </c>
      <c r="E1338" t="str">
        <f>IFERROR(VLOOKUP(tbEscolas[[#This Row],[COD ETPA]],tbEtapas[],3,FALSE),"")</f>
        <v/>
      </c>
    </row>
    <row r="1339" spans="1:5" x14ac:dyDescent="0.25">
      <c r="A1339" t="str" cm="1">
        <f t="array" ref="A1339">IFERROR(INDEX(tbNucleo[ESCOLA],ROUNDUP(ROW(A1338)/TotalEtapas,0)),"")</f>
        <v/>
      </c>
      <c r="D1339" t="str">
        <f>IFERROR(VLOOKUP(tbEscolas[[#This Row],[COD ETPA]],tbEtapas[],2,FALSE),"")</f>
        <v/>
      </c>
      <c r="E1339" t="str">
        <f>IFERROR(VLOOKUP(tbEscolas[[#This Row],[COD ETPA]],tbEtapas[],3,FALSE),"")</f>
        <v/>
      </c>
    </row>
    <row r="1340" spans="1:5" x14ac:dyDescent="0.25">
      <c r="A1340" t="str" cm="1">
        <f t="array" ref="A1340">IFERROR(INDEX(tbNucleo[ESCOLA],ROUNDUP(ROW(A1339)/TotalEtapas,0)),"")</f>
        <v/>
      </c>
      <c r="D1340" t="str">
        <f>IFERROR(VLOOKUP(tbEscolas[[#This Row],[COD ETPA]],tbEtapas[],2,FALSE),"")</f>
        <v/>
      </c>
      <c r="E1340" t="str">
        <f>IFERROR(VLOOKUP(tbEscolas[[#This Row],[COD ETPA]],tbEtapas[],3,FALSE),"")</f>
        <v/>
      </c>
    </row>
    <row r="1341" spans="1:5" x14ac:dyDescent="0.25">
      <c r="A1341" t="str" cm="1">
        <f t="array" ref="A1341">IFERROR(INDEX(tbNucleo[ESCOLA],ROUNDUP(ROW(A1340)/TotalEtapas,0)),"")</f>
        <v/>
      </c>
      <c r="D1341" t="str">
        <f>IFERROR(VLOOKUP(tbEscolas[[#This Row],[COD ETPA]],tbEtapas[],2,FALSE),"")</f>
        <v/>
      </c>
      <c r="E1341" t="str">
        <f>IFERROR(VLOOKUP(tbEscolas[[#This Row],[COD ETPA]],tbEtapas[],3,FALSE),"")</f>
        <v/>
      </c>
    </row>
    <row r="1342" spans="1:5" x14ac:dyDescent="0.25">
      <c r="A1342" t="str" cm="1">
        <f t="array" ref="A1342">IFERROR(INDEX(tbNucleo[ESCOLA],ROUNDUP(ROW(A1341)/TotalEtapas,0)),"")</f>
        <v/>
      </c>
      <c r="D1342" t="str">
        <f>IFERROR(VLOOKUP(tbEscolas[[#This Row],[COD ETPA]],tbEtapas[],2,FALSE),"")</f>
        <v/>
      </c>
      <c r="E1342" t="str">
        <f>IFERROR(VLOOKUP(tbEscolas[[#This Row],[COD ETPA]],tbEtapas[],3,FALSE),"")</f>
        <v/>
      </c>
    </row>
    <row r="1343" spans="1:5" x14ac:dyDescent="0.25">
      <c r="A1343" t="str" cm="1">
        <f t="array" ref="A1343">IFERROR(INDEX(tbNucleo[ESCOLA],ROUNDUP(ROW(A1342)/TotalEtapas,0)),"")</f>
        <v/>
      </c>
      <c r="D1343" t="str">
        <f>IFERROR(VLOOKUP(tbEscolas[[#This Row],[COD ETPA]],tbEtapas[],2,FALSE),"")</f>
        <v/>
      </c>
      <c r="E1343" t="str">
        <f>IFERROR(VLOOKUP(tbEscolas[[#This Row],[COD ETPA]],tbEtapas[],3,FALSE),"")</f>
        <v/>
      </c>
    </row>
    <row r="1344" spans="1:5" x14ac:dyDescent="0.25">
      <c r="A1344" t="str" cm="1">
        <f t="array" ref="A1344">IFERROR(INDEX(tbNucleo[ESCOLA],ROUNDUP(ROW(A1343)/TotalEtapas,0)),"")</f>
        <v/>
      </c>
      <c r="D1344" t="str">
        <f>IFERROR(VLOOKUP(tbEscolas[[#This Row],[COD ETPA]],tbEtapas[],2,FALSE),"")</f>
        <v/>
      </c>
      <c r="E1344" t="str">
        <f>IFERROR(VLOOKUP(tbEscolas[[#This Row],[COD ETPA]],tbEtapas[],3,FALSE),"")</f>
        <v/>
      </c>
    </row>
    <row r="1345" spans="1:5" x14ac:dyDescent="0.25">
      <c r="A1345" t="str" cm="1">
        <f t="array" ref="A1345">IFERROR(INDEX(tbNucleo[ESCOLA],ROUNDUP(ROW(A1344)/TotalEtapas,0)),"")</f>
        <v/>
      </c>
      <c r="D1345" t="str">
        <f>IFERROR(VLOOKUP(tbEscolas[[#This Row],[COD ETPA]],tbEtapas[],2,FALSE),"")</f>
        <v/>
      </c>
      <c r="E1345" t="str">
        <f>IFERROR(VLOOKUP(tbEscolas[[#This Row],[COD ETPA]],tbEtapas[],3,FALSE),"")</f>
        <v/>
      </c>
    </row>
    <row r="1346" spans="1:5" x14ac:dyDescent="0.25">
      <c r="A1346" t="str" cm="1">
        <f t="array" ref="A1346">IFERROR(INDEX(tbNucleo[ESCOLA],ROUNDUP(ROW(A1345)/TotalEtapas,0)),"")</f>
        <v/>
      </c>
      <c r="D1346" t="str">
        <f>IFERROR(VLOOKUP(tbEscolas[[#This Row],[COD ETPA]],tbEtapas[],2,FALSE),"")</f>
        <v/>
      </c>
      <c r="E1346" t="str">
        <f>IFERROR(VLOOKUP(tbEscolas[[#This Row],[COD ETPA]],tbEtapas[],3,FALSE),"")</f>
        <v/>
      </c>
    </row>
    <row r="1347" spans="1:5" x14ac:dyDescent="0.25">
      <c r="A1347" t="str" cm="1">
        <f t="array" ref="A1347">IFERROR(INDEX(tbNucleo[ESCOLA],ROUNDUP(ROW(A1346)/TotalEtapas,0)),"")</f>
        <v/>
      </c>
      <c r="D1347" t="str">
        <f>IFERROR(VLOOKUP(tbEscolas[[#This Row],[COD ETPA]],tbEtapas[],2,FALSE),"")</f>
        <v/>
      </c>
      <c r="E1347" t="str">
        <f>IFERROR(VLOOKUP(tbEscolas[[#This Row],[COD ETPA]],tbEtapas[],3,FALSE),"")</f>
        <v/>
      </c>
    </row>
    <row r="1348" spans="1:5" x14ac:dyDescent="0.25">
      <c r="A1348" t="str" cm="1">
        <f t="array" ref="A1348">IFERROR(INDEX(tbNucleo[ESCOLA],ROUNDUP(ROW(A1347)/TotalEtapas,0)),"")</f>
        <v/>
      </c>
      <c r="D1348" t="str">
        <f>IFERROR(VLOOKUP(tbEscolas[[#This Row],[COD ETPA]],tbEtapas[],2,FALSE),"")</f>
        <v/>
      </c>
      <c r="E1348" t="str">
        <f>IFERROR(VLOOKUP(tbEscolas[[#This Row],[COD ETPA]],tbEtapas[],3,FALSE),"")</f>
        <v/>
      </c>
    </row>
    <row r="1349" spans="1:5" x14ac:dyDescent="0.25">
      <c r="A1349" t="str" cm="1">
        <f t="array" ref="A1349">IFERROR(INDEX(tbNucleo[ESCOLA],ROUNDUP(ROW(A1348)/TotalEtapas,0)),"")</f>
        <v/>
      </c>
      <c r="D1349" t="str">
        <f>IFERROR(VLOOKUP(tbEscolas[[#This Row],[COD ETPA]],tbEtapas[],2,FALSE),"")</f>
        <v/>
      </c>
      <c r="E1349" t="str">
        <f>IFERROR(VLOOKUP(tbEscolas[[#This Row],[COD ETPA]],tbEtapas[],3,FALSE),"")</f>
        <v/>
      </c>
    </row>
    <row r="1350" spans="1:5" x14ac:dyDescent="0.25">
      <c r="A1350" t="str" cm="1">
        <f t="array" ref="A1350">IFERROR(INDEX(tbNucleo[ESCOLA],ROUNDUP(ROW(A1349)/TotalEtapas,0)),"")</f>
        <v/>
      </c>
      <c r="D1350" t="str">
        <f>IFERROR(VLOOKUP(tbEscolas[[#This Row],[COD ETPA]],tbEtapas[],2,FALSE),"")</f>
        <v/>
      </c>
      <c r="E1350" t="str">
        <f>IFERROR(VLOOKUP(tbEscolas[[#This Row],[COD ETPA]],tbEtapas[],3,FALSE),"")</f>
        <v/>
      </c>
    </row>
    <row r="1351" spans="1:5" x14ac:dyDescent="0.25">
      <c r="A1351" t="str" cm="1">
        <f t="array" ref="A1351">IFERROR(INDEX(tbNucleo[ESCOLA],ROUNDUP(ROW(A1350)/TotalEtapas,0)),"")</f>
        <v/>
      </c>
      <c r="D1351" t="str">
        <f>IFERROR(VLOOKUP(tbEscolas[[#This Row],[COD ETPA]],tbEtapas[],2,FALSE),"")</f>
        <v/>
      </c>
      <c r="E1351" t="str">
        <f>IFERROR(VLOOKUP(tbEscolas[[#This Row],[COD ETPA]],tbEtapas[],3,FALSE),"")</f>
        <v/>
      </c>
    </row>
    <row r="1352" spans="1:5" x14ac:dyDescent="0.25">
      <c r="A1352" t="str" cm="1">
        <f t="array" ref="A1352">IFERROR(INDEX(tbNucleo[ESCOLA],ROUNDUP(ROW(A1351)/TotalEtapas,0)),"")</f>
        <v/>
      </c>
      <c r="D1352" t="str">
        <f>IFERROR(VLOOKUP(tbEscolas[[#This Row],[COD ETPA]],tbEtapas[],2,FALSE),"")</f>
        <v/>
      </c>
      <c r="E1352" t="str">
        <f>IFERROR(VLOOKUP(tbEscolas[[#This Row],[COD ETPA]],tbEtapas[],3,FALSE),"")</f>
        <v/>
      </c>
    </row>
    <row r="1353" spans="1:5" x14ac:dyDescent="0.25">
      <c r="A1353" t="str" cm="1">
        <f t="array" ref="A1353">IFERROR(INDEX(tbNucleo[ESCOLA],ROUNDUP(ROW(A1352)/TotalEtapas,0)),"")</f>
        <v/>
      </c>
      <c r="D1353" t="str">
        <f>IFERROR(VLOOKUP(tbEscolas[[#This Row],[COD ETPA]],tbEtapas[],2,FALSE),"")</f>
        <v/>
      </c>
      <c r="E1353" t="str">
        <f>IFERROR(VLOOKUP(tbEscolas[[#This Row],[COD ETPA]],tbEtapas[],3,FALSE),"")</f>
        <v/>
      </c>
    </row>
    <row r="1354" spans="1:5" x14ac:dyDescent="0.25">
      <c r="A1354" t="str" cm="1">
        <f t="array" ref="A1354">IFERROR(INDEX(tbNucleo[ESCOLA],ROUNDUP(ROW(A1353)/TotalEtapas,0)),"")</f>
        <v/>
      </c>
      <c r="D1354" t="str">
        <f>IFERROR(VLOOKUP(tbEscolas[[#This Row],[COD ETPA]],tbEtapas[],2,FALSE),"")</f>
        <v/>
      </c>
      <c r="E1354" t="str">
        <f>IFERROR(VLOOKUP(tbEscolas[[#This Row],[COD ETPA]],tbEtapas[],3,FALSE),"")</f>
        <v/>
      </c>
    </row>
    <row r="1355" spans="1:5" x14ac:dyDescent="0.25">
      <c r="A1355" t="str" cm="1">
        <f t="array" ref="A1355">IFERROR(INDEX(tbNucleo[ESCOLA],ROUNDUP(ROW(A1354)/TotalEtapas,0)),"")</f>
        <v/>
      </c>
      <c r="D1355" t="str">
        <f>IFERROR(VLOOKUP(tbEscolas[[#This Row],[COD ETPA]],tbEtapas[],2,FALSE),"")</f>
        <v/>
      </c>
      <c r="E1355" t="str">
        <f>IFERROR(VLOOKUP(tbEscolas[[#This Row],[COD ETPA]],tbEtapas[],3,FALSE),"")</f>
        <v/>
      </c>
    </row>
    <row r="1356" spans="1:5" x14ac:dyDescent="0.25">
      <c r="A1356" t="str" cm="1">
        <f t="array" ref="A1356">IFERROR(INDEX(tbNucleo[ESCOLA],ROUNDUP(ROW(A1355)/TotalEtapas,0)),"")</f>
        <v/>
      </c>
      <c r="D1356" t="str">
        <f>IFERROR(VLOOKUP(tbEscolas[[#This Row],[COD ETPA]],tbEtapas[],2,FALSE),"")</f>
        <v/>
      </c>
      <c r="E1356" t="str">
        <f>IFERROR(VLOOKUP(tbEscolas[[#This Row],[COD ETPA]],tbEtapas[],3,FALSE),"")</f>
        <v/>
      </c>
    </row>
    <row r="1357" spans="1:5" x14ac:dyDescent="0.25">
      <c r="A1357" t="str" cm="1">
        <f t="array" ref="A1357">IFERROR(INDEX(tbNucleo[ESCOLA],ROUNDUP(ROW(A1356)/TotalEtapas,0)),"")</f>
        <v/>
      </c>
      <c r="D1357" t="str">
        <f>IFERROR(VLOOKUP(tbEscolas[[#This Row],[COD ETPA]],tbEtapas[],2,FALSE),"")</f>
        <v/>
      </c>
      <c r="E1357" t="str">
        <f>IFERROR(VLOOKUP(tbEscolas[[#This Row],[COD ETPA]],tbEtapas[],3,FALSE),"")</f>
        <v/>
      </c>
    </row>
    <row r="1358" spans="1:5" x14ac:dyDescent="0.25">
      <c r="A1358" t="str" cm="1">
        <f t="array" ref="A1358">IFERROR(INDEX(tbNucleo[ESCOLA],ROUNDUP(ROW(A1357)/TotalEtapas,0)),"")</f>
        <v/>
      </c>
      <c r="D1358" t="str">
        <f>IFERROR(VLOOKUP(tbEscolas[[#This Row],[COD ETPA]],tbEtapas[],2,FALSE),"")</f>
        <v/>
      </c>
      <c r="E1358" t="str">
        <f>IFERROR(VLOOKUP(tbEscolas[[#This Row],[COD ETPA]],tbEtapas[],3,FALSE),"")</f>
        <v/>
      </c>
    </row>
    <row r="1359" spans="1:5" x14ac:dyDescent="0.25">
      <c r="A1359" t="str" cm="1">
        <f t="array" ref="A1359">IFERROR(INDEX(tbNucleo[ESCOLA],ROUNDUP(ROW(A1358)/TotalEtapas,0)),"")</f>
        <v/>
      </c>
      <c r="D1359" t="str">
        <f>IFERROR(VLOOKUP(tbEscolas[[#This Row],[COD ETPA]],tbEtapas[],2,FALSE),"")</f>
        <v/>
      </c>
      <c r="E1359" t="str">
        <f>IFERROR(VLOOKUP(tbEscolas[[#This Row],[COD ETPA]],tbEtapas[],3,FALSE),"")</f>
        <v/>
      </c>
    </row>
    <row r="1360" spans="1:5" x14ac:dyDescent="0.25">
      <c r="A1360" t="str" cm="1">
        <f t="array" ref="A1360">IFERROR(INDEX(tbNucleo[ESCOLA],ROUNDUP(ROW(A1359)/TotalEtapas,0)),"")</f>
        <v/>
      </c>
      <c r="D1360" t="str">
        <f>IFERROR(VLOOKUP(tbEscolas[[#This Row],[COD ETPA]],tbEtapas[],2,FALSE),"")</f>
        <v/>
      </c>
      <c r="E1360" t="str">
        <f>IFERROR(VLOOKUP(tbEscolas[[#This Row],[COD ETPA]],tbEtapas[],3,FALSE),"")</f>
        <v/>
      </c>
    </row>
    <row r="1361" spans="1:5" x14ac:dyDescent="0.25">
      <c r="A1361" t="str" cm="1">
        <f t="array" ref="A1361">IFERROR(INDEX(tbNucleo[ESCOLA],ROUNDUP(ROW(A1360)/TotalEtapas,0)),"")</f>
        <v/>
      </c>
      <c r="D1361" t="str">
        <f>IFERROR(VLOOKUP(tbEscolas[[#This Row],[COD ETPA]],tbEtapas[],2,FALSE),"")</f>
        <v/>
      </c>
      <c r="E1361" t="str">
        <f>IFERROR(VLOOKUP(tbEscolas[[#This Row],[COD ETPA]],tbEtapas[],3,FALSE),"")</f>
        <v/>
      </c>
    </row>
    <row r="1362" spans="1:5" x14ac:dyDescent="0.25">
      <c r="A1362" t="str" cm="1">
        <f t="array" ref="A1362">IFERROR(INDEX(tbNucleo[ESCOLA],ROUNDUP(ROW(A1361)/TotalEtapas,0)),"")</f>
        <v/>
      </c>
      <c r="D1362" t="str">
        <f>IFERROR(VLOOKUP(tbEscolas[[#This Row],[COD ETPA]],tbEtapas[],2,FALSE),"")</f>
        <v/>
      </c>
      <c r="E1362" t="str">
        <f>IFERROR(VLOOKUP(tbEscolas[[#This Row],[COD ETPA]],tbEtapas[],3,FALSE),"")</f>
        <v/>
      </c>
    </row>
    <row r="1363" spans="1:5" x14ac:dyDescent="0.25">
      <c r="A1363" t="str" cm="1">
        <f t="array" ref="A1363">IFERROR(INDEX(tbNucleo[ESCOLA],ROUNDUP(ROW(A1362)/TotalEtapas,0)),"")</f>
        <v/>
      </c>
      <c r="D1363" t="str">
        <f>IFERROR(VLOOKUP(tbEscolas[[#This Row],[COD ETPA]],tbEtapas[],2,FALSE),"")</f>
        <v/>
      </c>
      <c r="E1363" t="str">
        <f>IFERROR(VLOOKUP(tbEscolas[[#This Row],[COD ETPA]],tbEtapas[],3,FALSE),"")</f>
        <v/>
      </c>
    </row>
    <row r="1364" spans="1:5" x14ac:dyDescent="0.25">
      <c r="A1364" t="str" cm="1">
        <f t="array" ref="A1364">IFERROR(INDEX(tbNucleo[ESCOLA],ROUNDUP(ROW(A1363)/TotalEtapas,0)),"")</f>
        <v/>
      </c>
      <c r="D1364" t="str">
        <f>IFERROR(VLOOKUP(tbEscolas[[#This Row],[COD ETPA]],tbEtapas[],2,FALSE),"")</f>
        <v/>
      </c>
      <c r="E1364" t="str">
        <f>IFERROR(VLOOKUP(tbEscolas[[#This Row],[COD ETPA]],tbEtapas[],3,FALSE),"")</f>
        <v/>
      </c>
    </row>
    <row r="1365" spans="1:5" x14ac:dyDescent="0.25">
      <c r="A1365" t="str" cm="1">
        <f t="array" ref="A1365">IFERROR(INDEX(tbNucleo[ESCOLA],ROUNDUP(ROW(A1364)/TotalEtapas,0)),"")</f>
        <v/>
      </c>
      <c r="D1365" t="str">
        <f>IFERROR(VLOOKUP(tbEscolas[[#This Row],[COD ETPA]],tbEtapas[],2,FALSE),"")</f>
        <v/>
      </c>
      <c r="E1365" t="str">
        <f>IFERROR(VLOOKUP(tbEscolas[[#This Row],[COD ETPA]],tbEtapas[],3,FALSE),"")</f>
        <v/>
      </c>
    </row>
    <row r="1366" spans="1:5" x14ac:dyDescent="0.25">
      <c r="A1366" t="str" cm="1">
        <f t="array" ref="A1366">IFERROR(INDEX(tbNucleo[ESCOLA],ROUNDUP(ROW(A1365)/TotalEtapas,0)),"")</f>
        <v/>
      </c>
      <c r="D1366" t="str">
        <f>IFERROR(VLOOKUP(tbEscolas[[#This Row],[COD ETPA]],tbEtapas[],2,FALSE),"")</f>
        <v/>
      </c>
      <c r="E1366" t="str">
        <f>IFERROR(VLOOKUP(tbEscolas[[#This Row],[COD ETPA]],tbEtapas[],3,FALSE),"")</f>
        <v/>
      </c>
    </row>
    <row r="1367" spans="1:5" x14ac:dyDescent="0.25">
      <c r="A1367" t="str" cm="1">
        <f t="array" ref="A1367">IFERROR(INDEX(tbNucleo[ESCOLA],ROUNDUP(ROW(A1366)/TotalEtapas,0)),"")</f>
        <v/>
      </c>
      <c r="D1367" t="str">
        <f>IFERROR(VLOOKUP(tbEscolas[[#This Row],[COD ETPA]],tbEtapas[],2,FALSE),"")</f>
        <v/>
      </c>
      <c r="E1367" t="str">
        <f>IFERROR(VLOOKUP(tbEscolas[[#This Row],[COD ETPA]],tbEtapas[],3,FALSE),"")</f>
        <v/>
      </c>
    </row>
    <row r="1368" spans="1:5" x14ac:dyDescent="0.25">
      <c r="A1368" t="str" cm="1">
        <f t="array" ref="A1368">IFERROR(INDEX(tbNucleo[ESCOLA],ROUNDUP(ROW(A1367)/TotalEtapas,0)),"")</f>
        <v/>
      </c>
      <c r="D1368" t="str">
        <f>IFERROR(VLOOKUP(tbEscolas[[#This Row],[COD ETPA]],tbEtapas[],2,FALSE),"")</f>
        <v/>
      </c>
      <c r="E1368" t="str">
        <f>IFERROR(VLOOKUP(tbEscolas[[#This Row],[COD ETPA]],tbEtapas[],3,FALSE),"")</f>
        <v/>
      </c>
    </row>
    <row r="1369" spans="1:5" x14ac:dyDescent="0.25">
      <c r="A1369" t="str" cm="1">
        <f t="array" ref="A1369">IFERROR(INDEX(tbNucleo[ESCOLA],ROUNDUP(ROW(A1368)/TotalEtapas,0)),"")</f>
        <v/>
      </c>
      <c r="D1369" t="str">
        <f>IFERROR(VLOOKUP(tbEscolas[[#This Row],[COD ETPA]],tbEtapas[],2,FALSE),"")</f>
        <v/>
      </c>
      <c r="E1369" t="str">
        <f>IFERROR(VLOOKUP(tbEscolas[[#This Row],[COD ETPA]],tbEtapas[],3,FALSE),"")</f>
        <v/>
      </c>
    </row>
    <row r="1370" spans="1:5" x14ac:dyDescent="0.25">
      <c r="A1370" t="str" cm="1">
        <f t="array" ref="A1370">IFERROR(INDEX(tbNucleo[ESCOLA],ROUNDUP(ROW(A1369)/TotalEtapas,0)),"")</f>
        <v/>
      </c>
      <c r="D1370" t="str">
        <f>IFERROR(VLOOKUP(tbEscolas[[#This Row],[COD ETPA]],tbEtapas[],2,FALSE),"")</f>
        <v/>
      </c>
      <c r="E1370" t="str">
        <f>IFERROR(VLOOKUP(tbEscolas[[#This Row],[COD ETPA]],tbEtapas[],3,FALSE),"")</f>
        <v/>
      </c>
    </row>
    <row r="1371" spans="1:5" x14ac:dyDescent="0.25">
      <c r="A1371" t="str" cm="1">
        <f t="array" ref="A1371">IFERROR(INDEX(tbNucleo[ESCOLA],ROUNDUP(ROW(A1370)/TotalEtapas,0)),"")</f>
        <v/>
      </c>
      <c r="D1371" t="str">
        <f>IFERROR(VLOOKUP(tbEscolas[[#This Row],[COD ETPA]],tbEtapas[],2,FALSE),"")</f>
        <v/>
      </c>
      <c r="E1371" t="str">
        <f>IFERROR(VLOOKUP(tbEscolas[[#This Row],[COD ETPA]],tbEtapas[],3,FALSE),"")</f>
        <v/>
      </c>
    </row>
    <row r="1372" spans="1:5" x14ac:dyDescent="0.25">
      <c r="A1372" t="str" cm="1">
        <f t="array" ref="A1372">IFERROR(INDEX(tbNucleo[ESCOLA],ROUNDUP(ROW(A1371)/TotalEtapas,0)),"")</f>
        <v/>
      </c>
      <c r="D1372" t="str">
        <f>IFERROR(VLOOKUP(tbEscolas[[#This Row],[COD ETPA]],tbEtapas[],2,FALSE),"")</f>
        <v/>
      </c>
      <c r="E1372" t="str">
        <f>IFERROR(VLOOKUP(tbEscolas[[#This Row],[COD ETPA]],tbEtapas[],3,FALSE),"")</f>
        <v/>
      </c>
    </row>
    <row r="1373" spans="1:5" x14ac:dyDescent="0.25">
      <c r="A1373" t="str" cm="1">
        <f t="array" ref="A1373">IFERROR(INDEX(tbNucleo[ESCOLA],ROUNDUP(ROW(A1372)/TotalEtapas,0)),"")</f>
        <v/>
      </c>
      <c r="D1373" t="str">
        <f>IFERROR(VLOOKUP(tbEscolas[[#This Row],[COD ETPA]],tbEtapas[],2,FALSE),"")</f>
        <v/>
      </c>
      <c r="E1373" t="str">
        <f>IFERROR(VLOOKUP(tbEscolas[[#This Row],[COD ETPA]],tbEtapas[],3,FALSE),"")</f>
        <v/>
      </c>
    </row>
    <row r="1374" spans="1:5" x14ac:dyDescent="0.25">
      <c r="A1374" t="str" cm="1">
        <f t="array" ref="A1374">IFERROR(INDEX(tbNucleo[ESCOLA],ROUNDUP(ROW(A1373)/TotalEtapas,0)),"")</f>
        <v/>
      </c>
      <c r="D1374" t="str">
        <f>IFERROR(VLOOKUP(tbEscolas[[#This Row],[COD ETPA]],tbEtapas[],2,FALSE),"")</f>
        <v/>
      </c>
      <c r="E1374" t="str">
        <f>IFERROR(VLOOKUP(tbEscolas[[#This Row],[COD ETPA]],tbEtapas[],3,FALSE),"")</f>
        <v/>
      </c>
    </row>
    <row r="1375" spans="1:5" x14ac:dyDescent="0.25">
      <c r="A1375" t="str" cm="1">
        <f t="array" ref="A1375">IFERROR(INDEX(tbNucleo[ESCOLA],ROUNDUP(ROW(A1374)/TotalEtapas,0)),"")</f>
        <v/>
      </c>
      <c r="D1375" t="str">
        <f>IFERROR(VLOOKUP(tbEscolas[[#This Row],[COD ETPA]],tbEtapas[],2,FALSE),"")</f>
        <v/>
      </c>
      <c r="E1375" t="str">
        <f>IFERROR(VLOOKUP(tbEscolas[[#This Row],[COD ETPA]],tbEtapas[],3,FALSE),"")</f>
        <v/>
      </c>
    </row>
    <row r="1376" spans="1:5" x14ac:dyDescent="0.25">
      <c r="A1376" t="str" cm="1">
        <f t="array" ref="A1376">IFERROR(INDEX(tbNucleo[ESCOLA],ROUNDUP(ROW(A1375)/TotalEtapas,0)),"")</f>
        <v/>
      </c>
      <c r="D1376" t="str">
        <f>IFERROR(VLOOKUP(tbEscolas[[#This Row],[COD ETPA]],tbEtapas[],2,FALSE),"")</f>
        <v/>
      </c>
      <c r="E1376" t="str">
        <f>IFERROR(VLOOKUP(tbEscolas[[#This Row],[COD ETPA]],tbEtapas[],3,FALSE),"")</f>
        <v/>
      </c>
    </row>
    <row r="1377" spans="1:5" x14ac:dyDescent="0.25">
      <c r="A1377" t="str" cm="1">
        <f t="array" ref="A1377">IFERROR(INDEX(tbNucleo[ESCOLA],ROUNDUP(ROW(A1376)/TotalEtapas,0)),"")</f>
        <v/>
      </c>
      <c r="D1377" t="str">
        <f>IFERROR(VLOOKUP(tbEscolas[[#This Row],[COD ETPA]],tbEtapas[],2,FALSE),"")</f>
        <v/>
      </c>
      <c r="E1377" t="str">
        <f>IFERROR(VLOOKUP(tbEscolas[[#This Row],[COD ETPA]],tbEtapas[],3,FALSE),"")</f>
        <v/>
      </c>
    </row>
    <row r="1378" spans="1:5" x14ac:dyDescent="0.25">
      <c r="A1378" t="str" cm="1">
        <f t="array" ref="A1378">IFERROR(INDEX(tbNucleo[ESCOLA],ROUNDUP(ROW(A1377)/TotalEtapas,0)),"")</f>
        <v/>
      </c>
      <c r="D1378" t="str">
        <f>IFERROR(VLOOKUP(tbEscolas[[#This Row],[COD ETPA]],tbEtapas[],2,FALSE),"")</f>
        <v/>
      </c>
      <c r="E1378" t="str">
        <f>IFERROR(VLOOKUP(tbEscolas[[#This Row],[COD ETPA]],tbEtapas[],3,FALSE),"")</f>
        <v/>
      </c>
    </row>
    <row r="1379" spans="1:5" x14ac:dyDescent="0.25">
      <c r="A1379" t="str" cm="1">
        <f t="array" ref="A1379">IFERROR(INDEX(tbNucleo[ESCOLA],ROUNDUP(ROW(A1378)/TotalEtapas,0)),"")</f>
        <v/>
      </c>
      <c r="D1379" t="str">
        <f>IFERROR(VLOOKUP(tbEscolas[[#This Row],[COD ETPA]],tbEtapas[],2,FALSE),"")</f>
        <v/>
      </c>
      <c r="E1379" t="str">
        <f>IFERROR(VLOOKUP(tbEscolas[[#This Row],[COD ETPA]],tbEtapas[],3,FALSE),"")</f>
        <v/>
      </c>
    </row>
    <row r="1380" spans="1:5" x14ac:dyDescent="0.25">
      <c r="A1380" t="str" cm="1">
        <f t="array" ref="A1380">IFERROR(INDEX(tbNucleo[ESCOLA],ROUNDUP(ROW(A1379)/TotalEtapas,0)),"")</f>
        <v/>
      </c>
      <c r="D1380" t="str">
        <f>IFERROR(VLOOKUP(tbEscolas[[#This Row],[COD ETPA]],tbEtapas[],2,FALSE),"")</f>
        <v/>
      </c>
      <c r="E1380" t="str">
        <f>IFERROR(VLOOKUP(tbEscolas[[#This Row],[COD ETPA]],tbEtapas[],3,FALSE),"")</f>
        <v/>
      </c>
    </row>
    <row r="1381" spans="1:5" x14ac:dyDescent="0.25">
      <c r="A1381" t="str" cm="1">
        <f t="array" ref="A1381">IFERROR(INDEX(tbNucleo[ESCOLA],ROUNDUP(ROW(A1380)/TotalEtapas,0)),"")</f>
        <v/>
      </c>
      <c r="D1381" t="str">
        <f>IFERROR(VLOOKUP(tbEscolas[[#This Row],[COD ETPA]],tbEtapas[],2,FALSE),"")</f>
        <v/>
      </c>
      <c r="E1381" t="str">
        <f>IFERROR(VLOOKUP(tbEscolas[[#This Row],[COD ETPA]],tbEtapas[],3,FALSE),"")</f>
        <v/>
      </c>
    </row>
    <row r="1382" spans="1:5" x14ac:dyDescent="0.25">
      <c r="A1382" t="str" cm="1">
        <f t="array" ref="A1382">IFERROR(INDEX(tbNucleo[ESCOLA],ROUNDUP(ROW(A1381)/TotalEtapas,0)),"")</f>
        <v/>
      </c>
      <c r="D1382" t="str">
        <f>IFERROR(VLOOKUP(tbEscolas[[#This Row],[COD ETPA]],tbEtapas[],2,FALSE),"")</f>
        <v/>
      </c>
      <c r="E1382" t="str">
        <f>IFERROR(VLOOKUP(tbEscolas[[#This Row],[COD ETPA]],tbEtapas[],3,FALSE),"")</f>
        <v/>
      </c>
    </row>
    <row r="1383" spans="1:5" x14ac:dyDescent="0.25">
      <c r="A1383" t="str" cm="1">
        <f t="array" ref="A1383">IFERROR(INDEX(tbNucleo[ESCOLA],ROUNDUP(ROW(A1382)/TotalEtapas,0)),"")</f>
        <v/>
      </c>
      <c r="D1383" t="str">
        <f>IFERROR(VLOOKUP(tbEscolas[[#This Row],[COD ETPA]],tbEtapas[],2,FALSE),"")</f>
        <v/>
      </c>
      <c r="E1383" t="str">
        <f>IFERROR(VLOOKUP(tbEscolas[[#This Row],[COD ETPA]],tbEtapas[],3,FALSE),"")</f>
        <v/>
      </c>
    </row>
    <row r="1384" spans="1:5" x14ac:dyDescent="0.25">
      <c r="A1384" t="str" cm="1">
        <f t="array" ref="A1384">IFERROR(INDEX(tbNucleo[ESCOLA],ROUNDUP(ROW(A1383)/TotalEtapas,0)),"")</f>
        <v/>
      </c>
      <c r="D1384" t="str">
        <f>IFERROR(VLOOKUP(tbEscolas[[#This Row],[COD ETPA]],tbEtapas[],2,FALSE),"")</f>
        <v/>
      </c>
      <c r="E1384" t="str">
        <f>IFERROR(VLOOKUP(tbEscolas[[#This Row],[COD ETPA]],tbEtapas[],3,FALSE),"")</f>
        <v/>
      </c>
    </row>
    <row r="1385" spans="1:5" x14ac:dyDescent="0.25">
      <c r="A1385" t="str" cm="1">
        <f t="array" ref="A1385">IFERROR(INDEX(tbNucleo[ESCOLA],ROUNDUP(ROW(A1384)/TotalEtapas,0)),"")</f>
        <v/>
      </c>
      <c r="D1385" t="str">
        <f>IFERROR(VLOOKUP(tbEscolas[[#This Row],[COD ETPA]],tbEtapas[],2,FALSE),"")</f>
        <v/>
      </c>
      <c r="E1385" t="str">
        <f>IFERROR(VLOOKUP(tbEscolas[[#This Row],[COD ETPA]],tbEtapas[],3,FALSE),"")</f>
        <v/>
      </c>
    </row>
    <row r="1386" spans="1:5" x14ac:dyDescent="0.25">
      <c r="A1386" t="str" cm="1">
        <f t="array" ref="A1386">IFERROR(INDEX(tbNucleo[ESCOLA],ROUNDUP(ROW(A1385)/TotalEtapas,0)),"")</f>
        <v/>
      </c>
      <c r="D1386" t="str">
        <f>IFERROR(VLOOKUP(tbEscolas[[#This Row],[COD ETPA]],tbEtapas[],2,FALSE),"")</f>
        <v/>
      </c>
      <c r="E1386" t="str">
        <f>IFERROR(VLOOKUP(tbEscolas[[#This Row],[COD ETPA]],tbEtapas[],3,FALSE),"")</f>
        <v/>
      </c>
    </row>
    <row r="1387" spans="1:5" x14ac:dyDescent="0.25">
      <c r="A1387" t="str" cm="1">
        <f t="array" ref="A1387">IFERROR(INDEX(tbNucleo[ESCOLA],ROUNDUP(ROW(A1386)/TotalEtapas,0)),"")</f>
        <v/>
      </c>
      <c r="D1387" t="str">
        <f>IFERROR(VLOOKUP(tbEscolas[[#This Row],[COD ETPA]],tbEtapas[],2,FALSE),"")</f>
        <v/>
      </c>
      <c r="E1387" t="str">
        <f>IFERROR(VLOOKUP(tbEscolas[[#This Row],[COD ETPA]],tbEtapas[],3,FALSE),"")</f>
        <v/>
      </c>
    </row>
    <row r="1388" spans="1:5" x14ac:dyDescent="0.25">
      <c r="A1388" t="str" cm="1">
        <f t="array" ref="A1388">IFERROR(INDEX(tbNucleo[ESCOLA],ROUNDUP(ROW(A1387)/TotalEtapas,0)),"")</f>
        <v/>
      </c>
      <c r="D1388" t="str">
        <f>IFERROR(VLOOKUP(tbEscolas[[#This Row],[COD ETPA]],tbEtapas[],2,FALSE),"")</f>
        <v/>
      </c>
      <c r="E1388" t="str">
        <f>IFERROR(VLOOKUP(tbEscolas[[#This Row],[COD ETPA]],tbEtapas[],3,FALSE),"")</f>
        <v/>
      </c>
    </row>
    <row r="1389" spans="1:5" x14ac:dyDescent="0.25">
      <c r="A1389" t="str" cm="1">
        <f t="array" ref="A1389">IFERROR(INDEX(tbNucleo[ESCOLA],ROUNDUP(ROW(A1388)/TotalEtapas,0)),"")</f>
        <v/>
      </c>
      <c r="D1389" t="str">
        <f>IFERROR(VLOOKUP(tbEscolas[[#This Row],[COD ETPA]],tbEtapas[],2,FALSE),"")</f>
        <v/>
      </c>
      <c r="E1389" t="str">
        <f>IFERROR(VLOOKUP(tbEscolas[[#This Row],[COD ETPA]],tbEtapas[],3,FALSE),"")</f>
        <v/>
      </c>
    </row>
    <row r="1390" spans="1:5" x14ac:dyDescent="0.25">
      <c r="A1390" t="str" cm="1">
        <f t="array" ref="A1390">IFERROR(INDEX(tbNucleo[ESCOLA],ROUNDUP(ROW(A1389)/TotalEtapas,0)),"")</f>
        <v/>
      </c>
      <c r="D1390" t="str">
        <f>IFERROR(VLOOKUP(tbEscolas[[#This Row],[COD ETPA]],tbEtapas[],2,FALSE),"")</f>
        <v/>
      </c>
      <c r="E1390" t="str">
        <f>IFERROR(VLOOKUP(tbEscolas[[#This Row],[COD ETPA]],tbEtapas[],3,FALSE),"")</f>
        <v/>
      </c>
    </row>
    <row r="1391" spans="1:5" x14ac:dyDescent="0.25">
      <c r="A1391" t="str" cm="1">
        <f t="array" ref="A1391">IFERROR(INDEX(tbNucleo[ESCOLA],ROUNDUP(ROW(A1390)/TotalEtapas,0)),"")</f>
        <v/>
      </c>
      <c r="D1391" t="str">
        <f>IFERROR(VLOOKUP(tbEscolas[[#This Row],[COD ETPA]],tbEtapas[],2,FALSE),"")</f>
        <v/>
      </c>
      <c r="E1391" t="str">
        <f>IFERROR(VLOOKUP(tbEscolas[[#This Row],[COD ETPA]],tbEtapas[],3,FALSE),"")</f>
        <v/>
      </c>
    </row>
    <row r="1392" spans="1:5" x14ac:dyDescent="0.25">
      <c r="A1392" t="str" cm="1">
        <f t="array" ref="A1392">IFERROR(INDEX(tbNucleo[ESCOLA],ROUNDUP(ROW(A1391)/TotalEtapas,0)),"")</f>
        <v/>
      </c>
      <c r="D1392" t="str">
        <f>IFERROR(VLOOKUP(tbEscolas[[#This Row],[COD ETPA]],tbEtapas[],2,FALSE),"")</f>
        <v/>
      </c>
      <c r="E1392" t="str">
        <f>IFERROR(VLOOKUP(tbEscolas[[#This Row],[COD ETPA]],tbEtapas[],3,FALSE),"")</f>
        <v/>
      </c>
    </row>
    <row r="1393" spans="1:5" x14ac:dyDescent="0.25">
      <c r="A1393" t="str" cm="1">
        <f t="array" ref="A1393">IFERROR(INDEX(tbNucleo[ESCOLA],ROUNDUP(ROW(A1392)/TotalEtapas,0)),"")</f>
        <v/>
      </c>
      <c r="D1393" t="str">
        <f>IFERROR(VLOOKUP(tbEscolas[[#This Row],[COD ETPA]],tbEtapas[],2,FALSE),"")</f>
        <v/>
      </c>
      <c r="E1393" t="str">
        <f>IFERROR(VLOOKUP(tbEscolas[[#This Row],[COD ETPA]],tbEtapas[],3,FALSE),"")</f>
        <v/>
      </c>
    </row>
    <row r="1394" spans="1:5" x14ac:dyDescent="0.25">
      <c r="A1394" t="str" cm="1">
        <f t="array" ref="A1394">IFERROR(INDEX(tbNucleo[ESCOLA],ROUNDUP(ROW(A1393)/TotalEtapas,0)),"")</f>
        <v/>
      </c>
      <c r="D1394" t="str">
        <f>IFERROR(VLOOKUP(tbEscolas[[#This Row],[COD ETPA]],tbEtapas[],2,FALSE),"")</f>
        <v/>
      </c>
      <c r="E1394" t="str">
        <f>IFERROR(VLOOKUP(tbEscolas[[#This Row],[COD ETPA]],tbEtapas[],3,FALSE),"")</f>
        <v/>
      </c>
    </row>
    <row r="1395" spans="1:5" x14ac:dyDescent="0.25">
      <c r="A1395" t="str" cm="1">
        <f t="array" ref="A1395">IFERROR(INDEX(tbNucleo[ESCOLA],ROUNDUP(ROW(A1394)/TotalEtapas,0)),"")</f>
        <v/>
      </c>
      <c r="D1395" t="str">
        <f>IFERROR(VLOOKUP(tbEscolas[[#This Row],[COD ETPA]],tbEtapas[],2,FALSE),"")</f>
        <v/>
      </c>
      <c r="E1395" t="str">
        <f>IFERROR(VLOOKUP(tbEscolas[[#This Row],[COD ETPA]],tbEtapas[],3,FALSE),"")</f>
        <v/>
      </c>
    </row>
    <row r="1396" spans="1:5" x14ac:dyDescent="0.25">
      <c r="A1396" t="str" cm="1">
        <f t="array" ref="A1396">IFERROR(INDEX(tbNucleo[ESCOLA],ROUNDUP(ROW(A1395)/TotalEtapas,0)),"")</f>
        <v/>
      </c>
      <c r="D1396" t="str">
        <f>IFERROR(VLOOKUP(tbEscolas[[#This Row],[COD ETPA]],tbEtapas[],2,FALSE),"")</f>
        <v/>
      </c>
      <c r="E1396" t="str">
        <f>IFERROR(VLOOKUP(tbEscolas[[#This Row],[COD ETPA]],tbEtapas[],3,FALSE),"")</f>
        <v/>
      </c>
    </row>
    <row r="1397" spans="1:5" x14ac:dyDescent="0.25">
      <c r="A1397" t="str" cm="1">
        <f t="array" ref="A1397">IFERROR(INDEX(tbNucleo[ESCOLA],ROUNDUP(ROW(A1396)/TotalEtapas,0)),"")</f>
        <v/>
      </c>
      <c r="D1397" t="str">
        <f>IFERROR(VLOOKUP(tbEscolas[[#This Row],[COD ETPA]],tbEtapas[],2,FALSE),"")</f>
        <v/>
      </c>
      <c r="E1397" t="str">
        <f>IFERROR(VLOOKUP(tbEscolas[[#This Row],[COD ETPA]],tbEtapas[],3,FALSE),"")</f>
        <v/>
      </c>
    </row>
    <row r="1398" spans="1:5" x14ac:dyDescent="0.25">
      <c r="A1398" t="str" cm="1">
        <f t="array" ref="A1398">IFERROR(INDEX(tbNucleo[ESCOLA],ROUNDUP(ROW(A1397)/TotalEtapas,0)),"")</f>
        <v/>
      </c>
      <c r="D1398" t="str">
        <f>IFERROR(VLOOKUP(tbEscolas[[#This Row],[COD ETPA]],tbEtapas[],2,FALSE),"")</f>
        <v/>
      </c>
      <c r="E1398" t="str">
        <f>IFERROR(VLOOKUP(tbEscolas[[#This Row],[COD ETPA]],tbEtapas[],3,FALSE),"")</f>
        <v/>
      </c>
    </row>
    <row r="1399" spans="1:5" x14ac:dyDescent="0.25">
      <c r="A1399" t="str" cm="1">
        <f t="array" ref="A1399">IFERROR(INDEX(tbNucleo[ESCOLA],ROUNDUP(ROW(A1398)/TotalEtapas,0)),"")</f>
        <v/>
      </c>
      <c r="D1399" t="str">
        <f>IFERROR(VLOOKUP(tbEscolas[[#This Row],[COD ETPA]],tbEtapas[],2,FALSE),"")</f>
        <v/>
      </c>
      <c r="E1399" t="str">
        <f>IFERROR(VLOOKUP(tbEscolas[[#This Row],[COD ETPA]],tbEtapas[],3,FALSE),"")</f>
        <v/>
      </c>
    </row>
    <row r="1400" spans="1:5" x14ac:dyDescent="0.25">
      <c r="A1400" t="str" cm="1">
        <f t="array" ref="A1400">IFERROR(INDEX(tbNucleo[ESCOLA],ROUNDUP(ROW(A1399)/TotalEtapas,0)),"")</f>
        <v/>
      </c>
      <c r="D1400" t="str">
        <f>IFERROR(VLOOKUP(tbEscolas[[#This Row],[COD ETPA]],tbEtapas[],2,FALSE),"")</f>
        <v/>
      </c>
      <c r="E1400" t="str">
        <f>IFERROR(VLOOKUP(tbEscolas[[#This Row],[COD ETPA]],tbEtapas[],3,FALSE),"")</f>
        <v/>
      </c>
    </row>
    <row r="1401" spans="1:5" x14ac:dyDescent="0.25">
      <c r="A1401" t="str" cm="1">
        <f t="array" ref="A1401">IFERROR(INDEX(tbNucleo[ESCOLA],ROUNDUP(ROW(A1400)/TotalEtapas,0)),"")</f>
        <v/>
      </c>
      <c r="D1401" t="str">
        <f>IFERROR(VLOOKUP(tbEscolas[[#This Row],[COD ETPA]],tbEtapas[],2,FALSE),"")</f>
        <v/>
      </c>
      <c r="E1401" t="str">
        <f>IFERROR(VLOOKUP(tbEscolas[[#This Row],[COD ETPA]],tbEtapas[],3,FALSE),"")</f>
        <v/>
      </c>
    </row>
    <row r="1402" spans="1:5" x14ac:dyDescent="0.25">
      <c r="A1402" t="str" cm="1">
        <f t="array" ref="A1402">IFERROR(INDEX(tbNucleo[ESCOLA],ROUNDUP(ROW(A1401)/TotalEtapas,0)),"")</f>
        <v/>
      </c>
      <c r="D1402" t="str">
        <f>IFERROR(VLOOKUP(tbEscolas[[#This Row],[COD ETPA]],tbEtapas[],2,FALSE),"")</f>
        <v/>
      </c>
      <c r="E1402" t="str">
        <f>IFERROR(VLOOKUP(tbEscolas[[#This Row],[COD ETPA]],tbEtapas[],3,FALSE),"")</f>
        <v/>
      </c>
    </row>
    <row r="1403" spans="1:5" x14ac:dyDescent="0.25">
      <c r="A1403" t="str" cm="1">
        <f t="array" ref="A1403">IFERROR(INDEX(tbNucleo[ESCOLA],ROUNDUP(ROW(A1402)/TotalEtapas,0)),"")</f>
        <v/>
      </c>
      <c r="D1403" t="str">
        <f>IFERROR(VLOOKUP(tbEscolas[[#This Row],[COD ETPA]],tbEtapas[],2,FALSE),"")</f>
        <v/>
      </c>
      <c r="E1403" t="str">
        <f>IFERROR(VLOOKUP(tbEscolas[[#This Row],[COD ETPA]],tbEtapas[],3,FALSE),"")</f>
        <v/>
      </c>
    </row>
    <row r="1404" spans="1:5" x14ac:dyDescent="0.25">
      <c r="A1404" t="str" cm="1">
        <f t="array" ref="A1404">IFERROR(INDEX(tbNucleo[ESCOLA],ROUNDUP(ROW(A1403)/TotalEtapas,0)),"")</f>
        <v/>
      </c>
      <c r="D1404" t="str">
        <f>IFERROR(VLOOKUP(tbEscolas[[#This Row],[COD ETPA]],tbEtapas[],2,FALSE),"")</f>
        <v/>
      </c>
      <c r="E1404" t="str">
        <f>IFERROR(VLOOKUP(tbEscolas[[#This Row],[COD ETPA]],tbEtapas[],3,FALSE),"")</f>
        <v/>
      </c>
    </row>
    <row r="1405" spans="1:5" x14ac:dyDescent="0.25">
      <c r="A1405" t="str" cm="1">
        <f t="array" ref="A1405">IFERROR(INDEX(tbNucleo[ESCOLA],ROUNDUP(ROW(A1404)/TotalEtapas,0)),"")</f>
        <v/>
      </c>
      <c r="D1405" t="str">
        <f>IFERROR(VLOOKUP(tbEscolas[[#This Row],[COD ETPA]],tbEtapas[],2,FALSE),"")</f>
        <v/>
      </c>
      <c r="E1405" t="str">
        <f>IFERROR(VLOOKUP(tbEscolas[[#This Row],[COD ETPA]],tbEtapas[],3,FALSE),"")</f>
        <v/>
      </c>
    </row>
    <row r="1406" spans="1:5" x14ac:dyDescent="0.25">
      <c r="A1406" t="str" cm="1">
        <f t="array" ref="A1406">IFERROR(INDEX(tbNucleo[ESCOLA],ROUNDUP(ROW(A1405)/TotalEtapas,0)),"")</f>
        <v/>
      </c>
      <c r="D1406" t="str">
        <f>IFERROR(VLOOKUP(tbEscolas[[#This Row],[COD ETPA]],tbEtapas[],2,FALSE),"")</f>
        <v/>
      </c>
      <c r="E1406" t="str">
        <f>IFERROR(VLOOKUP(tbEscolas[[#This Row],[COD ETPA]],tbEtapas[],3,FALSE),"")</f>
        <v/>
      </c>
    </row>
    <row r="1407" spans="1:5" x14ac:dyDescent="0.25">
      <c r="A1407" t="str" cm="1">
        <f t="array" ref="A1407">IFERROR(INDEX(tbNucleo[ESCOLA],ROUNDUP(ROW(A1406)/TotalEtapas,0)),"")</f>
        <v/>
      </c>
      <c r="D1407" t="str">
        <f>IFERROR(VLOOKUP(tbEscolas[[#This Row],[COD ETPA]],tbEtapas[],2,FALSE),"")</f>
        <v/>
      </c>
      <c r="E1407" t="str">
        <f>IFERROR(VLOOKUP(tbEscolas[[#This Row],[COD ETPA]],tbEtapas[],3,FALSE),"")</f>
        <v/>
      </c>
    </row>
    <row r="1408" spans="1:5" x14ac:dyDescent="0.25">
      <c r="A1408" t="str" cm="1">
        <f t="array" ref="A1408">IFERROR(INDEX(tbNucleo[ESCOLA],ROUNDUP(ROW(A1407)/TotalEtapas,0)),"")</f>
        <v/>
      </c>
      <c r="D1408" t="str">
        <f>IFERROR(VLOOKUP(tbEscolas[[#This Row],[COD ETPA]],tbEtapas[],2,FALSE),"")</f>
        <v/>
      </c>
      <c r="E1408" t="str">
        <f>IFERROR(VLOOKUP(tbEscolas[[#This Row],[COD ETPA]],tbEtapas[],3,FALSE),"")</f>
        <v/>
      </c>
    </row>
    <row r="1409" spans="1:5" x14ac:dyDescent="0.25">
      <c r="A1409" t="str" cm="1">
        <f t="array" ref="A1409">IFERROR(INDEX(tbNucleo[ESCOLA],ROUNDUP(ROW(A1408)/TotalEtapas,0)),"")</f>
        <v/>
      </c>
      <c r="D1409" t="str">
        <f>IFERROR(VLOOKUP(tbEscolas[[#This Row],[COD ETPA]],tbEtapas[],2,FALSE),"")</f>
        <v/>
      </c>
      <c r="E1409" t="str">
        <f>IFERROR(VLOOKUP(tbEscolas[[#This Row],[COD ETPA]],tbEtapas[],3,FALSE),"")</f>
        <v/>
      </c>
    </row>
    <row r="1410" spans="1:5" x14ac:dyDescent="0.25">
      <c r="A1410" t="str" cm="1">
        <f t="array" ref="A1410">IFERROR(INDEX(tbNucleo[ESCOLA],ROUNDUP(ROW(A1409)/TotalEtapas,0)),"")</f>
        <v/>
      </c>
      <c r="D1410" t="str">
        <f>IFERROR(VLOOKUP(tbEscolas[[#This Row],[COD ETPA]],tbEtapas[],2,FALSE),"")</f>
        <v/>
      </c>
      <c r="E1410" t="str">
        <f>IFERROR(VLOOKUP(tbEscolas[[#This Row],[COD ETPA]],tbEtapas[],3,FALSE),"")</f>
        <v/>
      </c>
    </row>
    <row r="1411" spans="1:5" x14ac:dyDescent="0.25">
      <c r="A1411" t="str" cm="1">
        <f t="array" ref="A1411">IFERROR(INDEX(tbNucleo[ESCOLA],ROUNDUP(ROW(A1410)/TotalEtapas,0)),"")</f>
        <v/>
      </c>
      <c r="D1411" t="str">
        <f>IFERROR(VLOOKUP(tbEscolas[[#This Row],[COD ETPA]],tbEtapas[],2,FALSE),"")</f>
        <v/>
      </c>
      <c r="E1411" t="str">
        <f>IFERROR(VLOOKUP(tbEscolas[[#This Row],[COD ETPA]],tbEtapas[],3,FALSE),"")</f>
        <v/>
      </c>
    </row>
    <row r="1412" spans="1:5" x14ac:dyDescent="0.25">
      <c r="A1412" t="str" cm="1">
        <f t="array" ref="A1412">IFERROR(INDEX(tbNucleo[ESCOLA],ROUNDUP(ROW(A1411)/TotalEtapas,0)),"")</f>
        <v/>
      </c>
      <c r="D1412" t="str">
        <f>IFERROR(VLOOKUP(tbEscolas[[#This Row],[COD ETPA]],tbEtapas[],2,FALSE),"")</f>
        <v/>
      </c>
      <c r="E1412" t="str">
        <f>IFERROR(VLOOKUP(tbEscolas[[#This Row],[COD ETPA]],tbEtapas[],3,FALSE),"")</f>
        <v/>
      </c>
    </row>
    <row r="1413" spans="1:5" x14ac:dyDescent="0.25">
      <c r="A1413" t="str" cm="1">
        <f t="array" ref="A1413">IFERROR(INDEX(tbNucleo[ESCOLA],ROUNDUP(ROW(A1412)/TotalEtapas,0)),"")</f>
        <v/>
      </c>
      <c r="D1413" t="str">
        <f>IFERROR(VLOOKUP(tbEscolas[[#This Row],[COD ETPA]],tbEtapas[],2,FALSE),"")</f>
        <v/>
      </c>
      <c r="E1413" t="str">
        <f>IFERROR(VLOOKUP(tbEscolas[[#This Row],[COD ETPA]],tbEtapas[],3,FALSE),"")</f>
        <v/>
      </c>
    </row>
    <row r="1414" spans="1:5" x14ac:dyDescent="0.25">
      <c r="A1414" t="str" cm="1">
        <f t="array" ref="A1414">IFERROR(INDEX(tbNucleo[ESCOLA],ROUNDUP(ROW(A1413)/TotalEtapas,0)),"")</f>
        <v/>
      </c>
      <c r="D1414" t="str">
        <f>IFERROR(VLOOKUP(tbEscolas[[#This Row],[COD ETPA]],tbEtapas[],2,FALSE),"")</f>
        <v/>
      </c>
      <c r="E1414" t="str">
        <f>IFERROR(VLOOKUP(tbEscolas[[#This Row],[COD ETPA]],tbEtapas[],3,FALSE),"")</f>
        <v/>
      </c>
    </row>
    <row r="1415" spans="1:5" x14ac:dyDescent="0.25">
      <c r="A1415" t="str" cm="1">
        <f t="array" ref="A1415">IFERROR(INDEX(tbNucleo[ESCOLA],ROUNDUP(ROW(A1414)/TotalEtapas,0)),"")</f>
        <v/>
      </c>
      <c r="D1415" t="str">
        <f>IFERROR(VLOOKUP(tbEscolas[[#This Row],[COD ETPA]],tbEtapas[],2,FALSE),"")</f>
        <v/>
      </c>
      <c r="E1415" t="str">
        <f>IFERROR(VLOOKUP(tbEscolas[[#This Row],[COD ETPA]],tbEtapas[],3,FALSE),"")</f>
        <v/>
      </c>
    </row>
    <row r="1416" spans="1:5" x14ac:dyDescent="0.25">
      <c r="A1416" t="str" cm="1">
        <f t="array" ref="A1416">IFERROR(INDEX(tbNucleo[ESCOLA],ROUNDUP(ROW(A1415)/TotalEtapas,0)),"")</f>
        <v/>
      </c>
      <c r="D1416" t="str">
        <f>IFERROR(VLOOKUP(tbEscolas[[#This Row],[COD ETPA]],tbEtapas[],2,FALSE),"")</f>
        <v/>
      </c>
      <c r="E1416" t="str">
        <f>IFERROR(VLOOKUP(tbEscolas[[#This Row],[COD ETPA]],tbEtapas[],3,FALSE),"")</f>
        <v/>
      </c>
    </row>
    <row r="1417" spans="1:5" x14ac:dyDescent="0.25">
      <c r="A1417" t="str" cm="1">
        <f t="array" ref="A1417">IFERROR(INDEX(tbNucleo[ESCOLA],ROUNDUP(ROW(A1416)/TotalEtapas,0)),"")</f>
        <v/>
      </c>
      <c r="D1417" t="str">
        <f>IFERROR(VLOOKUP(tbEscolas[[#This Row],[COD ETPA]],tbEtapas[],2,FALSE),"")</f>
        <v/>
      </c>
      <c r="E1417" t="str">
        <f>IFERROR(VLOOKUP(tbEscolas[[#This Row],[COD ETPA]],tbEtapas[],3,FALSE),"")</f>
        <v/>
      </c>
    </row>
    <row r="1418" spans="1:5" x14ac:dyDescent="0.25">
      <c r="A1418" t="str" cm="1">
        <f t="array" ref="A1418">IFERROR(INDEX(tbNucleo[ESCOLA],ROUNDUP(ROW(A1417)/TotalEtapas,0)),"")</f>
        <v/>
      </c>
      <c r="D1418" t="str">
        <f>IFERROR(VLOOKUP(tbEscolas[[#This Row],[COD ETPA]],tbEtapas[],2,FALSE),"")</f>
        <v/>
      </c>
      <c r="E1418" t="str">
        <f>IFERROR(VLOOKUP(tbEscolas[[#This Row],[COD ETPA]],tbEtapas[],3,FALSE),"")</f>
        <v/>
      </c>
    </row>
    <row r="1419" spans="1:5" x14ac:dyDescent="0.25">
      <c r="A1419" t="str" cm="1">
        <f t="array" ref="A1419">IFERROR(INDEX(tbNucleo[ESCOLA],ROUNDUP(ROW(A1418)/TotalEtapas,0)),"")</f>
        <v/>
      </c>
      <c r="D1419" t="str">
        <f>IFERROR(VLOOKUP(tbEscolas[[#This Row],[COD ETPA]],tbEtapas[],2,FALSE),"")</f>
        <v/>
      </c>
      <c r="E1419" t="str">
        <f>IFERROR(VLOOKUP(tbEscolas[[#This Row],[COD ETPA]],tbEtapas[],3,FALSE),"")</f>
        <v/>
      </c>
    </row>
    <row r="1420" spans="1:5" x14ac:dyDescent="0.25">
      <c r="A1420" t="str" cm="1">
        <f t="array" ref="A1420">IFERROR(INDEX(tbNucleo[ESCOLA],ROUNDUP(ROW(A1419)/TotalEtapas,0)),"")</f>
        <v/>
      </c>
      <c r="D1420" t="str">
        <f>IFERROR(VLOOKUP(tbEscolas[[#This Row],[COD ETPA]],tbEtapas[],2,FALSE),"")</f>
        <v/>
      </c>
      <c r="E1420" t="str">
        <f>IFERROR(VLOOKUP(tbEscolas[[#This Row],[COD ETPA]],tbEtapas[],3,FALSE),"")</f>
        <v/>
      </c>
    </row>
    <row r="1421" spans="1:5" x14ac:dyDescent="0.25">
      <c r="A1421" t="str" cm="1">
        <f t="array" ref="A1421">IFERROR(INDEX(tbNucleo[ESCOLA],ROUNDUP(ROW(A1420)/TotalEtapas,0)),"")</f>
        <v/>
      </c>
      <c r="D1421" t="str">
        <f>IFERROR(VLOOKUP(tbEscolas[[#This Row],[COD ETPA]],tbEtapas[],2,FALSE),"")</f>
        <v/>
      </c>
      <c r="E1421" t="str">
        <f>IFERROR(VLOOKUP(tbEscolas[[#This Row],[COD ETPA]],tbEtapas[],3,FALSE),"")</f>
        <v/>
      </c>
    </row>
    <row r="1422" spans="1:5" x14ac:dyDescent="0.25">
      <c r="A1422" t="str" cm="1">
        <f t="array" ref="A1422">IFERROR(INDEX(tbNucleo[ESCOLA],ROUNDUP(ROW(A1421)/TotalEtapas,0)),"")</f>
        <v/>
      </c>
      <c r="D1422" t="str">
        <f>IFERROR(VLOOKUP(tbEscolas[[#This Row],[COD ETPA]],tbEtapas[],2,FALSE),"")</f>
        <v/>
      </c>
      <c r="E1422" t="str">
        <f>IFERROR(VLOOKUP(tbEscolas[[#This Row],[COD ETPA]],tbEtapas[],3,FALSE),"")</f>
        <v/>
      </c>
    </row>
    <row r="1423" spans="1:5" x14ac:dyDescent="0.25">
      <c r="A1423" t="str" cm="1">
        <f t="array" ref="A1423">IFERROR(INDEX(tbNucleo[ESCOLA],ROUNDUP(ROW(A1422)/TotalEtapas,0)),"")</f>
        <v/>
      </c>
      <c r="D1423" t="str">
        <f>IFERROR(VLOOKUP(tbEscolas[[#This Row],[COD ETPA]],tbEtapas[],2,FALSE),"")</f>
        <v/>
      </c>
      <c r="E1423" t="str">
        <f>IFERROR(VLOOKUP(tbEscolas[[#This Row],[COD ETPA]],tbEtapas[],3,FALSE),"")</f>
        <v/>
      </c>
    </row>
    <row r="1424" spans="1:5" x14ac:dyDescent="0.25">
      <c r="A1424" t="str" cm="1">
        <f t="array" ref="A1424">IFERROR(INDEX(tbNucleo[ESCOLA],ROUNDUP(ROW(A1423)/TotalEtapas,0)),"")</f>
        <v/>
      </c>
      <c r="D1424" t="str">
        <f>IFERROR(VLOOKUP(tbEscolas[[#This Row],[COD ETPA]],tbEtapas[],2,FALSE),"")</f>
        <v/>
      </c>
      <c r="E1424" t="str">
        <f>IFERROR(VLOOKUP(tbEscolas[[#This Row],[COD ETPA]],tbEtapas[],3,FALSE),"")</f>
        <v/>
      </c>
    </row>
    <row r="1425" spans="1:5" x14ac:dyDescent="0.25">
      <c r="A1425" t="str" cm="1">
        <f t="array" ref="A1425">IFERROR(INDEX(tbNucleo[ESCOLA],ROUNDUP(ROW(A1424)/TotalEtapas,0)),"")</f>
        <v/>
      </c>
      <c r="D1425" t="str">
        <f>IFERROR(VLOOKUP(tbEscolas[[#This Row],[COD ETPA]],tbEtapas[],2,FALSE),"")</f>
        <v/>
      </c>
      <c r="E1425" t="str">
        <f>IFERROR(VLOOKUP(tbEscolas[[#This Row],[COD ETPA]],tbEtapas[],3,FALSE),"")</f>
        <v/>
      </c>
    </row>
    <row r="1426" spans="1:5" x14ac:dyDescent="0.25">
      <c r="A1426" t="str" cm="1">
        <f t="array" ref="A1426">IFERROR(INDEX(tbNucleo[ESCOLA],ROUNDUP(ROW(A1425)/TotalEtapas,0)),"")</f>
        <v/>
      </c>
      <c r="D1426" t="str">
        <f>IFERROR(VLOOKUP(tbEscolas[[#This Row],[COD ETPA]],tbEtapas[],2,FALSE),"")</f>
        <v/>
      </c>
      <c r="E1426" t="str">
        <f>IFERROR(VLOOKUP(tbEscolas[[#This Row],[COD ETPA]],tbEtapas[],3,FALSE),"")</f>
        <v/>
      </c>
    </row>
    <row r="1427" spans="1:5" x14ac:dyDescent="0.25">
      <c r="A1427" t="str" cm="1">
        <f t="array" ref="A1427">IFERROR(INDEX(tbNucleo[ESCOLA],ROUNDUP(ROW(A1426)/TotalEtapas,0)),"")</f>
        <v/>
      </c>
      <c r="D1427" t="str">
        <f>IFERROR(VLOOKUP(tbEscolas[[#This Row],[COD ETPA]],tbEtapas[],2,FALSE),"")</f>
        <v/>
      </c>
      <c r="E1427" t="str">
        <f>IFERROR(VLOOKUP(tbEscolas[[#This Row],[COD ETPA]],tbEtapas[],3,FALSE),"")</f>
        <v/>
      </c>
    </row>
    <row r="1428" spans="1:5" x14ac:dyDescent="0.25">
      <c r="A1428" t="str" cm="1">
        <f t="array" ref="A1428">IFERROR(INDEX(tbNucleo[ESCOLA],ROUNDUP(ROW(A1427)/TotalEtapas,0)),"")</f>
        <v/>
      </c>
      <c r="D1428" t="str">
        <f>IFERROR(VLOOKUP(tbEscolas[[#This Row],[COD ETPA]],tbEtapas[],2,FALSE),"")</f>
        <v/>
      </c>
      <c r="E1428" t="str">
        <f>IFERROR(VLOOKUP(tbEscolas[[#This Row],[COD ETPA]],tbEtapas[],3,FALSE),"")</f>
        <v/>
      </c>
    </row>
    <row r="1429" spans="1:5" x14ac:dyDescent="0.25">
      <c r="A1429" t="str" cm="1">
        <f t="array" ref="A1429">IFERROR(INDEX(tbNucleo[ESCOLA],ROUNDUP(ROW(A1428)/TotalEtapas,0)),"")</f>
        <v/>
      </c>
      <c r="D1429" t="str">
        <f>IFERROR(VLOOKUP(tbEscolas[[#This Row],[COD ETPA]],tbEtapas[],2,FALSE),"")</f>
        <v/>
      </c>
      <c r="E1429" t="str">
        <f>IFERROR(VLOOKUP(tbEscolas[[#This Row],[COD ETPA]],tbEtapas[],3,FALSE),"")</f>
        <v/>
      </c>
    </row>
    <row r="1430" spans="1:5" x14ac:dyDescent="0.25">
      <c r="A1430" t="str" cm="1">
        <f t="array" ref="A1430">IFERROR(INDEX(tbNucleo[ESCOLA],ROUNDUP(ROW(A1429)/TotalEtapas,0)),"")</f>
        <v/>
      </c>
      <c r="D1430" t="str">
        <f>IFERROR(VLOOKUP(tbEscolas[[#This Row],[COD ETPA]],tbEtapas[],2,FALSE),"")</f>
        <v/>
      </c>
      <c r="E1430" t="str">
        <f>IFERROR(VLOOKUP(tbEscolas[[#This Row],[COD ETPA]],tbEtapas[],3,FALSE),"")</f>
        <v/>
      </c>
    </row>
    <row r="1431" spans="1:5" x14ac:dyDescent="0.25">
      <c r="A1431" t="str" cm="1">
        <f t="array" ref="A1431">IFERROR(INDEX(tbNucleo[ESCOLA],ROUNDUP(ROW(A1430)/TotalEtapas,0)),"")</f>
        <v/>
      </c>
      <c r="D1431" t="str">
        <f>IFERROR(VLOOKUP(tbEscolas[[#This Row],[COD ETPA]],tbEtapas[],2,FALSE),"")</f>
        <v/>
      </c>
      <c r="E1431" t="str">
        <f>IFERROR(VLOOKUP(tbEscolas[[#This Row],[COD ETPA]],tbEtapas[],3,FALSE),"")</f>
        <v/>
      </c>
    </row>
    <row r="1432" spans="1:5" x14ac:dyDescent="0.25">
      <c r="A1432" t="str" cm="1">
        <f t="array" ref="A1432">IFERROR(INDEX(tbNucleo[ESCOLA],ROUNDUP(ROW(A1431)/TotalEtapas,0)),"")</f>
        <v/>
      </c>
      <c r="D1432" t="str">
        <f>IFERROR(VLOOKUP(tbEscolas[[#This Row],[COD ETPA]],tbEtapas[],2,FALSE),"")</f>
        <v/>
      </c>
      <c r="E1432" t="str">
        <f>IFERROR(VLOOKUP(tbEscolas[[#This Row],[COD ETPA]],tbEtapas[],3,FALSE),"")</f>
        <v/>
      </c>
    </row>
    <row r="1433" spans="1:5" x14ac:dyDescent="0.25">
      <c r="A1433" t="str" cm="1">
        <f t="array" ref="A1433">IFERROR(INDEX(tbNucleo[ESCOLA],ROUNDUP(ROW(A1432)/TotalEtapas,0)),"")</f>
        <v/>
      </c>
      <c r="D1433" t="str">
        <f>IFERROR(VLOOKUP(tbEscolas[[#This Row],[COD ETPA]],tbEtapas[],2,FALSE),"")</f>
        <v/>
      </c>
      <c r="E1433" t="str">
        <f>IFERROR(VLOOKUP(tbEscolas[[#This Row],[COD ETPA]],tbEtapas[],3,FALSE),"")</f>
        <v/>
      </c>
    </row>
    <row r="1434" spans="1:5" x14ac:dyDescent="0.25">
      <c r="A1434" t="str" cm="1">
        <f t="array" ref="A1434">IFERROR(INDEX(tbNucleo[ESCOLA],ROUNDUP(ROW(A1433)/TotalEtapas,0)),"")</f>
        <v/>
      </c>
      <c r="D1434" t="str">
        <f>IFERROR(VLOOKUP(tbEscolas[[#This Row],[COD ETPA]],tbEtapas[],2,FALSE),"")</f>
        <v/>
      </c>
      <c r="E1434" t="str">
        <f>IFERROR(VLOOKUP(tbEscolas[[#This Row],[COD ETPA]],tbEtapas[],3,FALSE),"")</f>
        <v/>
      </c>
    </row>
    <row r="1435" spans="1:5" x14ac:dyDescent="0.25">
      <c r="A1435" t="str" cm="1">
        <f t="array" ref="A1435">IFERROR(INDEX(tbNucleo[ESCOLA],ROUNDUP(ROW(A1434)/TotalEtapas,0)),"")</f>
        <v/>
      </c>
      <c r="D1435" t="str">
        <f>IFERROR(VLOOKUP(tbEscolas[[#This Row],[COD ETPA]],tbEtapas[],2,FALSE),"")</f>
        <v/>
      </c>
      <c r="E1435" t="str">
        <f>IFERROR(VLOOKUP(tbEscolas[[#This Row],[COD ETPA]],tbEtapas[],3,FALSE),"")</f>
        <v/>
      </c>
    </row>
    <row r="1436" spans="1:5" x14ac:dyDescent="0.25">
      <c r="A1436" t="str" cm="1">
        <f t="array" ref="A1436">IFERROR(INDEX(tbNucleo[ESCOLA],ROUNDUP(ROW(A1435)/TotalEtapas,0)),"")</f>
        <v/>
      </c>
      <c r="D1436" t="str">
        <f>IFERROR(VLOOKUP(tbEscolas[[#This Row],[COD ETPA]],tbEtapas[],2,FALSE),"")</f>
        <v/>
      </c>
      <c r="E1436" t="str">
        <f>IFERROR(VLOOKUP(tbEscolas[[#This Row],[COD ETPA]],tbEtapas[],3,FALSE),"")</f>
        <v/>
      </c>
    </row>
    <row r="1437" spans="1:5" x14ac:dyDescent="0.25">
      <c r="A1437" t="str" cm="1">
        <f t="array" ref="A1437">IFERROR(INDEX(tbNucleo[ESCOLA],ROUNDUP(ROW(A1436)/TotalEtapas,0)),"")</f>
        <v/>
      </c>
      <c r="D1437" t="str">
        <f>IFERROR(VLOOKUP(tbEscolas[[#This Row],[COD ETPA]],tbEtapas[],2,FALSE),"")</f>
        <v/>
      </c>
      <c r="E1437" t="str">
        <f>IFERROR(VLOOKUP(tbEscolas[[#This Row],[COD ETPA]],tbEtapas[],3,FALSE),"")</f>
        <v/>
      </c>
    </row>
    <row r="1438" spans="1:5" x14ac:dyDescent="0.25">
      <c r="A1438" t="str" cm="1">
        <f t="array" ref="A1438">IFERROR(INDEX(tbNucleo[ESCOLA],ROUNDUP(ROW(A1437)/TotalEtapas,0)),"")</f>
        <v/>
      </c>
      <c r="D1438" t="str">
        <f>IFERROR(VLOOKUP(tbEscolas[[#This Row],[COD ETPA]],tbEtapas[],2,FALSE),"")</f>
        <v/>
      </c>
      <c r="E1438" t="str">
        <f>IFERROR(VLOOKUP(tbEscolas[[#This Row],[COD ETPA]],tbEtapas[],3,FALSE),"")</f>
        <v/>
      </c>
    </row>
    <row r="1439" spans="1:5" x14ac:dyDescent="0.25">
      <c r="A1439" t="str" cm="1">
        <f t="array" ref="A1439">IFERROR(INDEX(tbNucleo[ESCOLA],ROUNDUP(ROW(A1438)/TotalEtapas,0)),"")</f>
        <v/>
      </c>
      <c r="D1439" t="str">
        <f>IFERROR(VLOOKUP(tbEscolas[[#This Row],[COD ETPA]],tbEtapas[],2,FALSE),"")</f>
        <v/>
      </c>
      <c r="E1439" t="str">
        <f>IFERROR(VLOOKUP(tbEscolas[[#This Row],[COD ETPA]],tbEtapas[],3,FALSE),"")</f>
        <v/>
      </c>
    </row>
    <row r="1440" spans="1:5" x14ac:dyDescent="0.25">
      <c r="A1440" t="str" cm="1">
        <f t="array" ref="A1440">IFERROR(INDEX(tbNucleo[ESCOLA],ROUNDUP(ROW(A1439)/TotalEtapas,0)),"")</f>
        <v/>
      </c>
      <c r="D1440" t="str">
        <f>IFERROR(VLOOKUP(tbEscolas[[#This Row],[COD ETPA]],tbEtapas[],2,FALSE),"")</f>
        <v/>
      </c>
      <c r="E1440" t="str">
        <f>IFERROR(VLOOKUP(tbEscolas[[#This Row],[COD ETPA]],tbEtapas[],3,FALSE),"")</f>
        <v/>
      </c>
    </row>
    <row r="1441" spans="1:5" x14ac:dyDescent="0.25">
      <c r="A1441" t="str" cm="1">
        <f t="array" ref="A1441">IFERROR(INDEX(tbNucleo[ESCOLA],ROUNDUP(ROW(A1440)/TotalEtapas,0)),"")</f>
        <v/>
      </c>
      <c r="D1441" t="str">
        <f>IFERROR(VLOOKUP(tbEscolas[[#This Row],[COD ETPA]],tbEtapas[],2,FALSE),"")</f>
        <v/>
      </c>
      <c r="E1441" t="str">
        <f>IFERROR(VLOOKUP(tbEscolas[[#This Row],[COD ETPA]],tbEtapas[],3,FALSE),"")</f>
        <v/>
      </c>
    </row>
    <row r="1442" spans="1:5" x14ac:dyDescent="0.25">
      <c r="A1442" t="str" cm="1">
        <f t="array" ref="A1442">IFERROR(INDEX(tbNucleo[ESCOLA],ROUNDUP(ROW(A1441)/TotalEtapas,0)),"")</f>
        <v/>
      </c>
      <c r="D1442" t="str">
        <f>IFERROR(VLOOKUP(tbEscolas[[#This Row],[COD ETPA]],tbEtapas[],2,FALSE),"")</f>
        <v/>
      </c>
      <c r="E1442" t="str">
        <f>IFERROR(VLOOKUP(tbEscolas[[#This Row],[COD ETPA]],tbEtapas[],3,FALSE),"")</f>
        <v/>
      </c>
    </row>
    <row r="1443" spans="1:5" x14ac:dyDescent="0.25">
      <c r="A1443" t="str" cm="1">
        <f t="array" ref="A1443">IFERROR(INDEX(tbNucleo[ESCOLA],ROUNDUP(ROW(A1442)/TotalEtapas,0)),"")</f>
        <v/>
      </c>
      <c r="D1443" t="str">
        <f>IFERROR(VLOOKUP(tbEscolas[[#This Row],[COD ETPA]],tbEtapas[],2,FALSE),"")</f>
        <v/>
      </c>
      <c r="E1443" t="str">
        <f>IFERROR(VLOOKUP(tbEscolas[[#This Row],[COD ETPA]],tbEtapas[],3,FALSE),"")</f>
        <v/>
      </c>
    </row>
    <row r="1444" spans="1:5" x14ac:dyDescent="0.25">
      <c r="A1444" t="str" cm="1">
        <f t="array" ref="A1444">IFERROR(INDEX(tbNucleo[ESCOLA],ROUNDUP(ROW(A1443)/TotalEtapas,0)),"")</f>
        <v/>
      </c>
      <c r="D1444" t="str">
        <f>IFERROR(VLOOKUP(tbEscolas[[#This Row],[COD ETPA]],tbEtapas[],2,FALSE),"")</f>
        <v/>
      </c>
      <c r="E1444" t="str">
        <f>IFERROR(VLOOKUP(tbEscolas[[#This Row],[COD ETPA]],tbEtapas[],3,FALSE),"")</f>
        <v/>
      </c>
    </row>
    <row r="1445" spans="1:5" x14ac:dyDescent="0.25">
      <c r="A1445" t="str" cm="1">
        <f t="array" ref="A1445">IFERROR(INDEX(tbNucleo[ESCOLA],ROUNDUP(ROW(A1444)/TotalEtapas,0)),"")</f>
        <v/>
      </c>
      <c r="D1445" t="str">
        <f>IFERROR(VLOOKUP(tbEscolas[[#This Row],[COD ETPA]],tbEtapas[],2,FALSE),"")</f>
        <v/>
      </c>
      <c r="E1445" t="str">
        <f>IFERROR(VLOOKUP(tbEscolas[[#This Row],[COD ETPA]],tbEtapas[],3,FALSE),"")</f>
        <v/>
      </c>
    </row>
    <row r="1446" spans="1:5" x14ac:dyDescent="0.25">
      <c r="A1446" t="str" cm="1">
        <f t="array" ref="A1446">IFERROR(INDEX(tbNucleo[ESCOLA],ROUNDUP(ROW(A1445)/TotalEtapas,0)),"")</f>
        <v/>
      </c>
      <c r="D1446" t="str">
        <f>IFERROR(VLOOKUP(tbEscolas[[#This Row],[COD ETPA]],tbEtapas[],2,FALSE),"")</f>
        <v/>
      </c>
      <c r="E1446" t="str">
        <f>IFERROR(VLOOKUP(tbEscolas[[#This Row],[COD ETPA]],tbEtapas[],3,FALSE),"")</f>
        <v/>
      </c>
    </row>
    <row r="1447" spans="1:5" x14ac:dyDescent="0.25">
      <c r="A1447" t="str" cm="1">
        <f t="array" ref="A1447">IFERROR(INDEX(tbNucleo[ESCOLA],ROUNDUP(ROW(A1446)/TotalEtapas,0)),"")</f>
        <v/>
      </c>
      <c r="D1447" t="str">
        <f>IFERROR(VLOOKUP(tbEscolas[[#This Row],[COD ETPA]],tbEtapas[],2,FALSE),"")</f>
        <v/>
      </c>
      <c r="E1447" t="str">
        <f>IFERROR(VLOOKUP(tbEscolas[[#This Row],[COD ETPA]],tbEtapas[],3,FALSE),"")</f>
        <v/>
      </c>
    </row>
    <row r="1448" spans="1:5" x14ac:dyDescent="0.25">
      <c r="A1448" t="str" cm="1">
        <f t="array" ref="A1448">IFERROR(INDEX(tbNucleo[ESCOLA],ROUNDUP(ROW(A1447)/TotalEtapas,0)),"")</f>
        <v/>
      </c>
      <c r="D1448" t="str">
        <f>IFERROR(VLOOKUP(tbEscolas[[#This Row],[COD ETPA]],tbEtapas[],2,FALSE),"")</f>
        <v/>
      </c>
      <c r="E1448" t="str">
        <f>IFERROR(VLOOKUP(tbEscolas[[#This Row],[COD ETPA]],tbEtapas[],3,FALSE),"")</f>
        <v/>
      </c>
    </row>
    <row r="1449" spans="1:5" x14ac:dyDescent="0.25">
      <c r="A1449" t="str" cm="1">
        <f t="array" ref="A1449">IFERROR(INDEX(tbNucleo[ESCOLA],ROUNDUP(ROW(A1448)/TotalEtapas,0)),"")</f>
        <v/>
      </c>
      <c r="D1449" t="str">
        <f>IFERROR(VLOOKUP(tbEscolas[[#This Row],[COD ETPA]],tbEtapas[],2,FALSE),"")</f>
        <v/>
      </c>
      <c r="E1449" t="str">
        <f>IFERROR(VLOOKUP(tbEscolas[[#This Row],[COD ETPA]],tbEtapas[],3,FALSE),"")</f>
        <v/>
      </c>
    </row>
    <row r="1450" spans="1:5" x14ac:dyDescent="0.25">
      <c r="A1450" t="str" cm="1">
        <f t="array" ref="A1450">IFERROR(INDEX(tbNucleo[ESCOLA],ROUNDUP(ROW(A1449)/TotalEtapas,0)),"")</f>
        <v/>
      </c>
      <c r="D1450" t="str">
        <f>IFERROR(VLOOKUP(tbEscolas[[#This Row],[COD ETPA]],tbEtapas[],2,FALSE),"")</f>
        <v/>
      </c>
      <c r="E1450" t="str">
        <f>IFERROR(VLOOKUP(tbEscolas[[#This Row],[COD ETPA]],tbEtapas[],3,FALSE),"")</f>
        <v/>
      </c>
    </row>
    <row r="1451" spans="1:5" x14ac:dyDescent="0.25">
      <c r="A1451" t="str" cm="1">
        <f t="array" ref="A1451">IFERROR(INDEX(tbNucleo[ESCOLA],ROUNDUP(ROW(A1450)/TotalEtapas,0)),"")</f>
        <v/>
      </c>
      <c r="D1451" t="str">
        <f>IFERROR(VLOOKUP(tbEscolas[[#This Row],[COD ETPA]],tbEtapas[],2,FALSE),"")</f>
        <v/>
      </c>
      <c r="E1451" t="str">
        <f>IFERROR(VLOOKUP(tbEscolas[[#This Row],[COD ETPA]],tbEtapas[],3,FALSE),"")</f>
        <v/>
      </c>
    </row>
    <row r="1452" spans="1:5" x14ac:dyDescent="0.25">
      <c r="A1452" t="str" cm="1">
        <f t="array" ref="A1452">IFERROR(INDEX(tbNucleo[ESCOLA],ROUNDUP(ROW(A1451)/TotalEtapas,0)),"")</f>
        <v/>
      </c>
      <c r="D1452" t="str">
        <f>IFERROR(VLOOKUP(tbEscolas[[#This Row],[COD ETPA]],tbEtapas[],2,FALSE),"")</f>
        <v/>
      </c>
      <c r="E1452" t="str">
        <f>IFERROR(VLOOKUP(tbEscolas[[#This Row],[COD ETPA]],tbEtapas[],3,FALSE),"")</f>
        <v/>
      </c>
    </row>
    <row r="1453" spans="1:5" x14ac:dyDescent="0.25">
      <c r="A1453" t="str" cm="1">
        <f t="array" ref="A1453">IFERROR(INDEX(tbNucleo[ESCOLA],ROUNDUP(ROW(A1452)/TotalEtapas,0)),"")</f>
        <v/>
      </c>
      <c r="D1453" t="str">
        <f>IFERROR(VLOOKUP(tbEscolas[[#This Row],[COD ETPA]],tbEtapas[],2,FALSE),"")</f>
        <v/>
      </c>
      <c r="E1453" t="str">
        <f>IFERROR(VLOOKUP(tbEscolas[[#This Row],[COD ETPA]],tbEtapas[],3,FALSE),"")</f>
        <v/>
      </c>
    </row>
    <row r="1454" spans="1:5" x14ac:dyDescent="0.25">
      <c r="A1454" t="str" cm="1">
        <f t="array" ref="A1454">IFERROR(INDEX(tbNucleo[ESCOLA],ROUNDUP(ROW(A1453)/TotalEtapas,0)),"")</f>
        <v/>
      </c>
      <c r="D1454" t="str">
        <f>IFERROR(VLOOKUP(tbEscolas[[#This Row],[COD ETPA]],tbEtapas[],2,FALSE),"")</f>
        <v/>
      </c>
      <c r="E1454" t="str">
        <f>IFERROR(VLOOKUP(tbEscolas[[#This Row],[COD ETPA]],tbEtapas[],3,FALSE),"")</f>
        <v/>
      </c>
    </row>
    <row r="1455" spans="1:5" x14ac:dyDescent="0.25">
      <c r="A1455" t="str" cm="1">
        <f t="array" ref="A1455">IFERROR(INDEX(tbNucleo[ESCOLA],ROUNDUP(ROW(A1454)/TotalEtapas,0)),"")</f>
        <v/>
      </c>
      <c r="D1455" t="str">
        <f>IFERROR(VLOOKUP(tbEscolas[[#This Row],[COD ETPA]],tbEtapas[],2,FALSE),"")</f>
        <v/>
      </c>
      <c r="E1455" t="str">
        <f>IFERROR(VLOOKUP(tbEscolas[[#This Row],[COD ETPA]],tbEtapas[],3,FALSE),"")</f>
        <v/>
      </c>
    </row>
    <row r="1456" spans="1:5" x14ac:dyDescent="0.25">
      <c r="A1456" t="str" cm="1">
        <f t="array" ref="A1456">IFERROR(INDEX(tbNucleo[ESCOLA],ROUNDUP(ROW(A1455)/TotalEtapas,0)),"")</f>
        <v/>
      </c>
      <c r="D1456" t="str">
        <f>IFERROR(VLOOKUP(tbEscolas[[#This Row],[COD ETPA]],tbEtapas[],2,FALSE),"")</f>
        <v/>
      </c>
      <c r="E1456" t="str">
        <f>IFERROR(VLOOKUP(tbEscolas[[#This Row],[COD ETPA]],tbEtapas[],3,FALSE),"")</f>
        <v/>
      </c>
    </row>
    <row r="1457" spans="1:5" x14ac:dyDescent="0.25">
      <c r="A1457" t="str" cm="1">
        <f t="array" ref="A1457">IFERROR(INDEX(tbNucleo[ESCOLA],ROUNDUP(ROW(A1456)/TotalEtapas,0)),"")</f>
        <v/>
      </c>
      <c r="D1457" t="str">
        <f>IFERROR(VLOOKUP(tbEscolas[[#This Row],[COD ETPA]],tbEtapas[],2,FALSE),"")</f>
        <v/>
      </c>
      <c r="E1457" t="str">
        <f>IFERROR(VLOOKUP(tbEscolas[[#This Row],[COD ETPA]],tbEtapas[],3,FALSE),"")</f>
        <v/>
      </c>
    </row>
    <row r="1458" spans="1:5" x14ac:dyDescent="0.25">
      <c r="A1458" t="str" cm="1">
        <f t="array" ref="A1458">IFERROR(INDEX(tbNucleo[ESCOLA],ROUNDUP(ROW(A1457)/TotalEtapas,0)),"")</f>
        <v/>
      </c>
      <c r="D1458" t="str">
        <f>IFERROR(VLOOKUP(tbEscolas[[#This Row],[COD ETPA]],tbEtapas[],2,FALSE),"")</f>
        <v/>
      </c>
      <c r="E1458" t="str">
        <f>IFERROR(VLOOKUP(tbEscolas[[#This Row],[COD ETPA]],tbEtapas[],3,FALSE),"")</f>
        <v/>
      </c>
    </row>
    <row r="1459" spans="1:5" x14ac:dyDescent="0.25">
      <c r="A1459" t="str" cm="1">
        <f t="array" ref="A1459">IFERROR(INDEX(tbNucleo[ESCOLA],ROUNDUP(ROW(A1458)/TotalEtapas,0)),"")</f>
        <v/>
      </c>
      <c r="D1459" t="str">
        <f>IFERROR(VLOOKUP(tbEscolas[[#This Row],[COD ETPA]],tbEtapas[],2,FALSE),"")</f>
        <v/>
      </c>
      <c r="E1459" t="str">
        <f>IFERROR(VLOOKUP(tbEscolas[[#This Row],[COD ETPA]],tbEtapas[],3,FALSE),"")</f>
        <v/>
      </c>
    </row>
    <row r="1460" spans="1:5" x14ac:dyDescent="0.25">
      <c r="A1460" t="str" cm="1">
        <f t="array" ref="A1460">IFERROR(INDEX(tbNucleo[ESCOLA],ROUNDUP(ROW(A1459)/TotalEtapas,0)),"")</f>
        <v/>
      </c>
      <c r="D1460" t="str">
        <f>IFERROR(VLOOKUP(tbEscolas[[#This Row],[COD ETPA]],tbEtapas[],2,FALSE),"")</f>
        <v/>
      </c>
      <c r="E1460" t="str">
        <f>IFERROR(VLOOKUP(tbEscolas[[#This Row],[COD ETPA]],tbEtapas[],3,FALSE),"")</f>
        <v/>
      </c>
    </row>
    <row r="1461" spans="1:5" x14ac:dyDescent="0.25">
      <c r="A1461" t="str" cm="1">
        <f t="array" ref="A1461">IFERROR(INDEX(tbNucleo[ESCOLA],ROUNDUP(ROW(A1460)/TotalEtapas,0)),"")</f>
        <v/>
      </c>
      <c r="D1461" t="str">
        <f>IFERROR(VLOOKUP(tbEscolas[[#This Row],[COD ETPA]],tbEtapas[],2,FALSE),"")</f>
        <v/>
      </c>
      <c r="E1461" t="str">
        <f>IFERROR(VLOOKUP(tbEscolas[[#This Row],[COD ETPA]],tbEtapas[],3,FALSE),"")</f>
        <v/>
      </c>
    </row>
    <row r="1462" spans="1:5" x14ac:dyDescent="0.25">
      <c r="A1462" t="str" cm="1">
        <f t="array" ref="A1462">IFERROR(INDEX(tbNucleo[ESCOLA],ROUNDUP(ROW(A1461)/TotalEtapas,0)),"")</f>
        <v/>
      </c>
      <c r="D1462" t="str">
        <f>IFERROR(VLOOKUP(tbEscolas[[#This Row],[COD ETPA]],tbEtapas[],2,FALSE),"")</f>
        <v/>
      </c>
      <c r="E1462" t="str">
        <f>IFERROR(VLOOKUP(tbEscolas[[#This Row],[COD ETPA]],tbEtapas[],3,FALSE),"")</f>
        <v/>
      </c>
    </row>
    <row r="1463" spans="1:5" x14ac:dyDescent="0.25">
      <c r="A1463" t="str" cm="1">
        <f t="array" ref="A1463">IFERROR(INDEX(tbNucleo[ESCOLA],ROUNDUP(ROW(A1462)/TotalEtapas,0)),"")</f>
        <v/>
      </c>
      <c r="D1463" t="str">
        <f>IFERROR(VLOOKUP(tbEscolas[[#This Row],[COD ETPA]],tbEtapas[],2,FALSE),"")</f>
        <v/>
      </c>
      <c r="E1463" t="str">
        <f>IFERROR(VLOOKUP(tbEscolas[[#This Row],[COD ETPA]],tbEtapas[],3,FALSE),"")</f>
        <v/>
      </c>
    </row>
    <row r="1464" spans="1:5" x14ac:dyDescent="0.25">
      <c r="A1464" t="str" cm="1">
        <f t="array" ref="A1464">IFERROR(INDEX(tbNucleo[ESCOLA],ROUNDUP(ROW(A1463)/TotalEtapas,0)),"")</f>
        <v/>
      </c>
      <c r="D1464" t="str">
        <f>IFERROR(VLOOKUP(tbEscolas[[#This Row],[COD ETPA]],tbEtapas[],2,FALSE),"")</f>
        <v/>
      </c>
      <c r="E1464" t="str">
        <f>IFERROR(VLOOKUP(tbEscolas[[#This Row],[COD ETPA]],tbEtapas[],3,FALSE),"")</f>
        <v/>
      </c>
    </row>
    <row r="1465" spans="1:5" x14ac:dyDescent="0.25">
      <c r="A1465" t="str" cm="1">
        <f t="array" ref="A1465">IFERROR(INDEX(tbNucleo[ESCOLA],ROUNDUP(ROW(A1464)/TotalEtapas,0)),"")</f>
        <v/>
      </c>
      <c r="D1465" t="str">
        <f>IFERROR(VLOOKUP(tbEscolas[[#This Row],[COD ETPA]],tbEtapas[],2,FALSE),"")</f>
        <v/>
      </c>
      <c r="E1465" t="str">
        <f>IFERROR(VLOOKUP(tbEscolas[[#This Row],[COD ETPA]],tbEtapas[],3,FALSE),"")</f>
        <v/>
      </c>
    </row>
    <row r="1466" spans="1:5" x14ac:dyDescent="0.25">
      <c r="A1466" t="str" cm="1">
        <f t="array" ref="A1466">IFERROR(INDEX(tbNucleo[ESCOLA],ROUNDUP(ROW(A1465)/TotalEtapas,0)),"")</f>
        <v/>
      </c>
      <c r="D1466" t="str">
        <f>IFERROR(VLOOKUP(tbEscolas[[#This Row],[COD ETPA]],tbEtapas[],2,FALSE),"")</f>
        <v/>
      </c>
      <c r="E1466" t="str">
        <f>IFERROR(VLOOKUP(tbEscolas[[#This Row],[COD ETPA]],tbEtapas[],3,FALSE),"")</f>
        <v/>
      </c>
    </row>
    <row r="1467" spans="1:5" x14ac:dyDescent="0.25">
      <c r="A1467" t="str" cm="1">
        <f t="array" ref="A1467">IFERROR(INDEX(tbNucleo[ESCOLA],ROUNDUP(ROW(A1466)/TotalEtapas,0)),"")</f>
        <v/>
      </c>
      <c r="D1467" t="str">
        <f>IFERROR(VLOOKUP(tbEscolas[[#This Row],[COD ETPA]],tbEtapas[],2,FALSE),"")</f>
        <v/>
      </c>
      <c r="E1467" t="str">
        <f>IFERROR(VLOOKUP(tbEscolas[[#This Row],[COD ETPA]],tbEtapas[],3,FALSE),"")</f>
        <v/>
      </c>
    </row>
    <row r="1468" spans="1:5" x14ac:dyDescent="0.25">
      <c r="A1468" t="str" cm="1">
        <f t="array" ref="A1468">IFERROR(INDEX(tbNucleo[ESCOLA],ROUNDUP(ROW(A1467)/TotalEtapas,0)),"")</f>
        <v/>
      </c>
      <c r="D1468" t="str">
        <f>IFERROR(VLOOKUP(tbEscolas[[#This Row],[COD ETPA]],tbEtapas[],2,FALSE),"")</f>
        <v/>
      </c>
      <c r="E1468" t="str">
        <f>IFERROR(VLOOKUP(tbEscolas[[#This Row],[COD ETPA]],tbEtapas[],3,FALSE),"")</f>
        <v/>
      </c>
    </row>
    <row r="1469" spans="1:5" x14ac:dyDescent="0.25">
      <c r="A1469" t="str" cm="1">
        <f t="array" ref="A1469">IFERROR(INDEX(tbNucleo[ESCOLA],ROUNDUP(ROW(A1468)/TotalEtapas,0)),"")</f>
        <v/>
      </c>
      <c r="D1469" t="str">
        <f>IFERROR(VLOOKUP(tbEscolas[[#This Row],[COD ETPA]],tbEtapas[],2,FALSE),"")</f>
        <v/>
      </c>
      <c r="E1469" t="str">
        <f>IFERROR(VLOOKUP(tbEscolas[[#This Row],[COD ETPA]],tbEtapas[],3,FALSE),"")</f>
        <v/>
      </c>
    </row>
    <row r="1470" spans="1:5" x14ac:dyDescent="0.25">
      <c r="A1470" t="str" cm="1">
        <f t="array" ref="A1470">IFERROR(INDEX(tbNucleo[ESCOLA],ROUNDUP(ROW(A1469)/TotalEtapas,0)),"")</f>
        <v/>
      </c>
      <c r="D1470" t="str">
        <f>IFERROR(VLOOKUP(tbEscolas[[#This Row],[COD ETPA]],tbEtapas[],2,FALSE),"")</f>
        <v/>
      </c>
      <c r="E1470" t="str">
        <f>IFERROR(VLOOKUP(tbEscolas[[#This Row],[COD ETPA]],tbEtapas[],3,FALSE),"")</f>
        <v/>
      </c>
    </row>
    <row r="1471" spans="1:5" x14ac:dyDescent="0.25">
      <c r="A1471" t="str" cm="1">
        <f t="array" ref="A1471">IFERROR(INDEX(tbNucleo[ESCOLA],ROUNDUP(ROW(A1470)/TotalEtapas,0)),"")</f>
        <v/>
      </c>
      <c r="D1471" t="str">
        <f>IFERROR(VLOOKUP(tbEscolas[[#This Row],[COD ETPA]],tbEtapas[],2,FALSE),"")</f>
        <v/>
      </c>
      <c r="E1471" t="str">
        <f>IFERROR(VLOOKUP(tbEscolas[[#This Row],[COD ETPA]],tbEtapas[],3,FALSE),"")</f>
        <v/>
      </c>
    </row>
    <row r="1472" spans="1:5" x14ac:dyDescent="0.25">
      <c r="A1472" t="str" cm="1">
        <f t="array" ref="A1472">IFERROR(INDEX(tbNucleo[ESCOLA],ROUNDUP(ROW(A1471)/TotalEtapas,0)),"")</f>
        <v/>
      </c>
      <c r="D1472" t="str">
        <f>IFERROR(VLOOKUP(tbEscolas[[#This Row],[COD ETPA]],tbEtapas[],2,FALSE),"")</f>
        <v/>
      </c>
      <c r="E1472" t="str">
        <f>IFERROR(VLOOKUP(tbEscolas[[#This Row],[COD ETPA]],tbEtapas[],3,FALSE),"")</f>
        <v/>
      </c>
    </row>
    <row r="1473" spans="1:5" x14ac:dyDescent="0.25">
      <c r="A1473" t="str" cm="1">
        <f t="array" ref="A1473">IFERROR(INDEX(tbNucleo[ESCOLA],ROUNDUP(ROW(A1472)/TotalEtapas,0)),"")</f>
        <v/>
      </c>
      <c r="D1473" t="str">
        <f>IFERROR(VLOOKUP(tbEscolas[[#This Row],[COD ETPA]],tbEtapas[],2,FALSE),"")</f>
        <v/>
      </c>
      <c r="E1473" t="str">
        <f>IFERROR(VLOOKUP(tbEscolas[[#This Row],[COD ETPA]],tbEtapas[],3,FALSE),"")</f>
        <v/>
      </c>
    </row>
    <row r="1474" spans="1:5" x14ac:dyDescent="0.25">
      <c r="A1474" t="str" cm="1">
        <f t="array" ref="A1474">IFERROR(INDEX(tbNucleo[ESCOLA],ROUNDUP(ROW(A1473)/TotalEtapas,0)),"")</f>
        <v/>
      </c>
      <c r="D1474" t="str">
        <f>IFERROR(VLOOKUP(tbEscolas[[#This Row],[COD ETPA]],tbEtapas[],2,FALSE),"")</f>
        <v/>
      </c>
      <c r="E1474" t="str">
        <f>IFERROR(VLOOKUP(tbEscolas[[#This Row],[COD ETPA]],tbEtapas[],3,FALSE),"")</f>
        <v/>
      </c>
    </row>
    <row r="1475" spans="1:5" x14ac:dyDescent="0.25">
      <c r="A1475" t="str" cm="1">
        <f t="array" ref="A1475">IFERROR(INDEX(tbNucleo[ESCOLA],ROUNDUP(ROW(A1474)/TotalEtapas,0)),"")</f>
        <v/>
      </c>
      <c r="D1475" t="str">
        <f>IFERROR(VLOOKUP(tbEscolas[[#This Row],[COD ETPA]],tbEtapas[],2,FALSE),"")</f>
        <v/>
      </c>
      <c r="E1475" t="str">
        <f>IFERROR(VLOOKUP(tbEscolas[[#This Row],[COD ETPA]],tbEtapas[],3,FALSE),"")</f>
        <v/>
      </c>
    </row>
    <row r="1476" spans="1:5" x14ac:dyDescent="0.25">
      <c r="A1476" t="str" cm="1">
        <f t="array" ref="A1476">IFERROR(INDEX(tbNucleo[ESCOLA],ROUNDUP(ROW(A1475)/TotalEtapas,0)),"")</f>
        <v/>
      </c>
      <c r="D1476" t="str">
        <f>IFERROR(VLOOKUP(tbEscolas[[#This Row],[COD ETPA]],tbEtapas[],2,FALSE),"")</f>
        <v/>
      </c>
      <c r="E1476" t="str">
        <f>IFERROR(VLOOKUP(tbEscolas[[#This Row],[COD ETPA]],tbEtapas[],3,FALSE),"")</f>
        <v/>
      </c>
    </row>
    <row r="1477" spans="1:5" x14ac:dyDescent="0.25">
      <c r="A1477" t="str" cm="1">
        <f t="array" ref="A1477">IFERROR(INDEX(tbNucleo[ESCOLA],ROUNDUP(ROW(A1476)/TotalEtapas,0)),"")</f>
        <v/>
      </c>
      <c r="D1477" t="str">
        <f>IFERROR(VLOOKUP(tbEscolas[[#This Row],[COD ETPA]],tbEtapas[],2,FALSE),"")</f>
        <v/>
      </c>
      <c r="E1477" t="str">
        <f>IFERROR(VLOOKUP(tbEscolas[[#This Row],[COD ETPA]],tbEtapas[],3,FALSE),"")</f>
        <v/>
      </c>
    </row>
    <row r="1478" spans="1:5" x14ac:dyDescent="0.25">
      <c r="A1478" t="str" cm="1">
        <f t="array" ref="A1478">IFERROR(INDEX(tbNucleo[ESCOLA],ROUNDUP(ROW(A1477)/TotalEtapas,0)),"")</f>
        <v/>
      </c>
      <c r="D1478" t="str">
        <f>IFERROR(VLOOKUP(tbEscolas[[#This Row],[COD ETPA]],tbEtapas[],2,FALSE),"")</f>
        <v/>
      </c>
      <c r="E1478" t="str">
        <f>IFERROR(VLOOKUP(tbEscolas[[#This Row],[COD ETPA]],tbEtapas[],3,FALSE),"")</f>
        <v/>
      </c>
    </row>
    <row r="1479" spans="1:5" x14ac:dyDescent="0.25">
      <c r="A1479" t="str" cm="1">
        <f t="array" ref="A1479">IFERROR(INDEX(tbNucleo[ESCOLA],ROUNDUP(ROW(A1478)/TotalEtapas,0)),"")</f>
        <v/>
      </c>
      <c r="D1479" t="str">
        <f>IFERROR(VLOOKUP(tbEscolas[[#This Row],[COD ETPA]],tbEtapas[],2,FALSE),"")</f>
        <v/>
      </c>
      <c r="E1479" t="str">
        <f>IFERROR(VLOOKUP(tbEscolas[[#This Row],[COD ETPA]],tbEtapas[],3,FALSE),"")</f>
        <v/>
      </c>
    </row>
    <row r="1480" spans="1:5" x14ac:dyDescent="0.25">
      <c r="A1480" t="str" cm="1">
        <f t="array" ref="A1480">IFERROR(INDEX(tbNucleo[ESCOLA],ROUNDUP(ROW(A1479)/TotalEtapas,0)),"")</f>
        <v/>
      </c>
      <c r="D1480" t="str">
        <f>IFERROR(VLOOKUP(tbEscolas[[#This Row],[COD ETPA]],tbEtapas[],2,FALSE),"")</f>
        <v/>
      </c>
      <c r="E1480" t="str">
        <f>IFERROR(VLOOKUP(tbEscolas[[#This Row],[COD ETPA]],tbEtapas[],3,FALSE),"")</f>
        <v/>
      </c>
    </row>
    <row r="1481" spans="1:5" x14ac:dyDescent="0.25">
      <c r="A1481" t="str" cm="1">
        <f t="array" ref="A1481">IFERROR(INDEX(tbNucleo[ESCOLA],ROUNDUP(ROW(A1480)/TotalEtapas,0)),"")</f>
        <v/>
      </c>
      <c r="D1481" t="str">
        <f>IFERROR(VLOOKUP(tbEscolas[[#This Row],[COD ETPA]],tbEtapas[],2,FALSE),"")</f>
        <v/>
      </c>
      <c r="E1481" t="str">
        <f>IFERROR(VLOOKUP(tbEscolas[[#This Row],[COD ETPA]],tbEtapas[],3,FALSE),"")</f>
        <v/>
      </c>
    </row>
    <row r="1482" spans="1:5" x14ac:dyDescent="0.25">
      <c r="A1482" t="str" cm="1">
        <f t="array" ref="A1482">IFERROR(INDEX(tbNucleo[ESCOLA],ROUNDUP(ROW(A1481)/TotalEtapas,0)),"")</f>
        <v/>
      </c>
      <c r="D1482" t="str">
        <f>IFERROR(VLOOKUP(tbEscolas[[#This Row],[COD ETPA]],tbEtapas[],2,FALSE),"")</f>
        <v/>
      </c>
      <c r="E1482" t="str">
        <f>IFERROR(VLOOKUP(tbEscolas[[#This Row],[COD ETPA]],tbEtapas[],3,FALSE),"")</f>
        <v/>
      </c>
    </row>
    <row r="1483" spans="1:5" x14ac:dyDescent="0.25">
      <c r="A1483" t="str" cm="1">
        <f t="array" ref="A1483">IFERROR(INDEX(tbNucleo[ESCOLA],ROUNDUP(ROW(A1482)/TotalEtapas,0)),"")</f>
        <v/>
      </c>
      <c r="D1483" t="str">
        <f>IFERROR(VLOOKUP(tbEscolas[[#This Row],[COD ETPA]],tbEtapas[],2,FALSE),"")</f>
        <v/>
      </c>
      <c r="E1483" t="str">
        <f>IFERROR(VLOOKUP(tbEscolas[[#This Row],[COD ETPA]],tbEtapas[],3,FALSE),"")</f>
        <v/>
      </c>
    </row>
    <row r="1484" spans="1:5" x14ac:dyDescent="0.25">
      <c r="A1484" t="str" cm="1">
        <f t="array" ref="A1484">IFERROR(INDEX(tbNucleo[ESCOLA],ROUNDUP(ROW(A1483)/TotalEtapas,0)),"")</f>
        <v/>
      </c>
      <c r="D1484" t="str">
        <f>IFERROR(VLOOKUP(tbEscolas[[#This Row],[COD ETPA]],tbEtapas[],2,FALSE),"")</f>
        <v/>
      </c>
      <c r="E1484" t="str">
        <f>IFERROR(VLOOKUP(tbEscolas[[#This Row],[COD ETPA]],tbEtapas[],3,FALSE),"")</f>
        <v/>
      </c>
    </row>
    <row r="1485" spans="1:5" x14ac:dyDescent="0.25">
      <c r="A1485" t="str" cm="1">
        <f t="array" ref="A1485">IFERROR(INDEX(tbNucleo[ESCOLA],ROUNDUP(ROW(A1484)/TotalEtapas,0)),"")</f>
        <v/>
      </c>
      <c r="D1485" t="str">
        <f>IFERROR(VLOOKUP(tbEscolas[[#This Row],[COD ETPA]],tbEtapas[],2,FALSE),"")</f>
        <v/>
      </c>
      <c r="E1485" t="str">
        <f>IFERROR(VLOOKUP(tbEscolas[[#This Row],[COD ETPA]],tbEtapas[],3,FALSE),"")</f>
        <v/>
      </c>
    </row>
    <row r="1486" spans="1:5" x14ac:dyDescent="0.25">
      <c r="A1486" t="str" cm="1">
        <f t="array" ref="A1486">IFERROR(INDEX(tbNucleo[ESCOLA],ROUNDUP(ROW(A1485)/TotalEtapas,0)),"")</f>
        <v/>
      </c>
      <c r="D1486" t="str">
        <f>IFERROR(VLOOKUP(tbEscolas[[#This Row],[COD ETPA]],tbEtapas[],2,FALSE),"")</f>
        <v/>
      </c>
      <c r="E1486" t="str">
        <f>IFERROR(VLOOKUP(tbEscolas[[#This Row],[COD ETPA]],tbEtapas[],3,FALSE),"")</f>
        <v/>
      </c>
    </row>
    <row r="1487" spans="1:5" x14ac:dyDescent="0.25">
      <c r="A1487" t="str" cm="1">
        <f t="array" ref="A1487">IFERROR(INDEX(tbNucleo[ESCOLA],ROUNDUP(ROW(A1486)/TotalEtapas,0)),"")</f>
        <v/>
      </c>
      <c r="D1487" t="str">
        <f>IFERROR(VLOOKUP(tbEscolas[[#This Row],[COD ETPA]],tbEtapas[],2,FALSE),"")</f>
        <v/>
      </c>
      <c r="E1487" t="str">
        <f>IFERROR(VLOOKUP(tbEscolas[[#This Row],[COD ETPA]],tbEtapas[],3,FALSE),"")</f>
        <v/>
      </c>
    </row>
    <row r="1488" spans="1:5" x14ac:dyDescent="0.25">
      <c r="A1488" t="str" cm="1">
        <f t="array" ref="A1488">IFERROR(INDEX(tbNucleo[ESCOLA],ROUNDUP(ROW(A1487)/TotalEtapas,0)),"")</f>
        <v/>
      </c>
      <c r="D1488" t="str">
        <f>IFERROR(VLOOKUP(tbEscolas[[#This Row],[COD ETPA]],tbEtapas[],2,FALSE),"")</f>
        <v/>
      </c>
      <c r="E1488" t="str">
        <f>IFERROR(VLOOKUP(tbEscolas[[#This Row],[COD ETPA]],tbEtapas[],3,FALSE),"")</f>
        <v/>
      </c>
    </row>
    <row r="1489" spans="1:5" x14ac:dyDescent="0.25">
      <c r="A1489" t="str" cm="1">
        <f t="array" ref="A1489">IFERROR(INDEX(tbNucleo[ESCOLA],ROUNDUP(ROW(A1488)/TotalEtapas,0)),"")</f>
        <v/>
      </c>
      <c r="D1489" t="str">
        <f>IFERROR(VLOOKUP(tbEscolas[[#This Row],[COD ETPA]],tbEtapas[],2,FALSE),"")</f>
        <v/>
      </c>
      <c r="E1489" t="str">
        <f>IFERROR(VLOOKUP(tbEscolas[[#This Row],[COD ETPA]],tbEtapas[],3,FALSE),"")</f>
        <v/>
      </c>
    </row>
    <row r="1490" spans="1:5" x14ac:dyDescent="0.25">
      <c r="A1490" t="str" cm="1">
        <f t="array" ref="A1490">IFERROR(INDEX(tbNucleo[ESCOLA],ROUNDUP(ROW(A1489)/TotalEtapas,0)),"")</f>
        <v/>
      </c>
      <c r="D1490" t="str">
        <f>IFERROR(VLOOKUP(tbEscolas[[#This Row],[COD ETPA]],tbEtapas[],2,FALSE),"")</f>
        <v/>
      </c>
      <c r="E1490" t="str">
        <f>IFERROR(VLOOKUP(tbEscolas[[#This Row],[COD ETPA]],tbEtapas[],3,FALSE),"")</f>
        <v/>
      </c>
    </row>
    <row r="1491" spans="1:5" x14ac:dyDescent="0.25">
      <c r="A1491" t="str" cm="1">
        <f t="array" ref="A1491">IFERROR(INDEX(tbNucleo[ESCOLA],ROUNDUP(ROW(A1490)/TotalEtapas,0)),"")</f>
        <v/>
      </c>
      <c r="D1491" t="str">
        <f>IFERROR(VLOOKUP(tbEscolas[[#This Row],[COD ETPA]],tbEtapas[],2,FALSE),"")</f>
        <v/>
      </c>
      <c r="E1491" t="str">
        <f>IFERROR(VLOOKUP(tbEscolas[[#This Row],[COD ETPA]],tbEtapas[],3,FALSE),"")</f>
        <v/>
      </c>
    </row>
    <row r="1492" spans="1:5" x14ac:dyDescent="0.25">
      <c r="A1492" t="str" cm="1">
        <f t="array" ref="A1492">IFERROR(INDEX(tbNucleo[ESCOLA],ROUNDUP(ROW(A1491)/TotalEtapas,0)),"")</f>
        <v/>
      </c>
      <c r="D1492" t="str">
        <f>IFERROR(VLOOKUP(tbEscolas[[#This Row],[COD ETPA]],tbEtapas[],2,FALSE),"")</f>
        <v/>
      </c>
      <c r="E1492" t="str">
        <f>IFERROR(VLOOKUP(tbEscolas[[#This Row],[COD ETPA]],tbEtapas[],3,FALSE),"")</f>
        <v/>
      </c>
    </row>
    <row r="1493" spans="1:5" x14ac:dyDescent="0.25">
      <c r="A1493" t="str" cm="1">
        <f t="array" ref="A1493">IFERROR(INDEX(tbNucleo[ESCOLA],ROUNDUP(ROW(A1492)/TotalEtapas,0)),"")</f>
        <v/>
      </c>
      <c r="D1493" t="str">
        <f>IFERROR(VLOOKUP(tbEscolas[[#This Row],[COD ETPA]],tbEtapas[],2,FALSE),"")</f>
        <v/>
      </c>
      <c r="E1493" t="str">
        <f>IFERROR(VLOOKUP(tbEscolas[[#This Row],[COD ETPA]],tbEtapas[],3,FALSE),"")</f>
        <v/>
      </c>
    </row>
    <row r="1494" spans="1:5" x14ac:dyDescent="0.25">
      <c r="A1494" t="str" cm="1">
        <f t="array" ref="A1494">IFERROR(INDEX(tbNucleo[ESCOLA],ROUNDUP(ROW(A1493)/TotalEtapas,0)),"")</f>
        <v/>
      </c>
      <c r="D1494" t="str">
        <f>IFERROR(VLOOKUP(tbEscolas[[#This Row],[COD ETPA]],tbEtapas[],2,FALSE),"")</f>
        <v/>
      </c>
      <c r="E1494" t="str">
        <f>IFERROR(VLOOKUP(tbEscolas[[#This Row],[COD ETPA]],tbEtapas[],3,FALSE),"")</f>
        <v/>
      </c>
    </row>
    <row r="1495" spans="1:5" x14ac:dyDescent="0.25">
      <c r="A1495" t="str" cm="1">
        <f t="array" ref="A1495">IFERROR(INDEX(tbNucleo[ESCOLA],ROUNDUP(ROW(A1494)/TotalEtapas,0)),"")</f>
        <v/>
      </c>
      <c r="D1495" t="str">
        <f>IFERROR(VLOOKUP(tbEscolas[[#This Row],[COD ETPA]],tbEtapas[],2,FALSE),"")</f>
        <v/>
      </c>
      <c r="E1495" t="str">
        <f>IFERROR(VLOOKUP(tbEscolas[[#This Row],[COD ETPA]],tbEtapas[],3,FALSE),"")</f>
        <v/>
      </c>
    </row>
    <row r="1496" spans="1:5" x14ac:dyDescent="0.25">
      <c r="A1496" t="str" cm="1">
        <f t="array" ref="A1496">IFERROR(INDEX(tbNucleo[ESCOLA],ROUNDUP(ROW(A1495)/TotalEtapas,0)),"")</f>
        <v/>
      </c>
      <c r="D1496" t="str">
        <f>IFERROR(VLOOKUP(tbEscolas[[#This Row],[COD ETPA]],tbEtapas[],2,FALSE),"")</f>
        <v/>
      </c>
      <c r="E1496" t="str">
        <f>IFERROR(VLOOKUP(tbEscolas[[#This Row],[COD ETPA]],tbEtapas[],3,FALSE),"")</f>
        <v/>
      </c>
    </row>
    <row r="1497" spans="1:5" x14ac:dyDescent="0.25">
      <c r="A1497" t="str" cm="1">
        <f t="array" ref="A1497">IFERROR(INDEX(tbNucleo[ESCOLA],ROUNDUP(ROW(A1496)/TotalEtapas,0)),"")</f>
        <v/>
      </c>
      <c r="D1497" t="str">
        <f>IFERROR(VLOOKUP(tbEscolas[[#This Row],[COD ETPA]],tbEtapas[],2,FALSE),"")</f>
        <v/>
      </c>
      <c r="E1497" t="str">
        <f>IFERROR(VLOOKUP(tbEscolas[[#This Row],[COD ETPA]],tbEtapas[],3,FALSE),"")</f>
        <v/>
      </c>
    </row>
    <row r="1498" spans="1:5" x14ac:dyDescent="0.25">
      <c r="A1498" t="str" cm="1">
        <f t="array" ref="A1498">IFERROR(INDEX(tbNucleo[ESCOLA],ROUNDUP(ROW(A1497)/TotalEtapas,0)),"")</f>
        <v/>
      </c>
      <c r="D1498" t="str">
        <f>IFERROR(VLOOKUP(tbEscolas[[#This Row],[COD ETPA]],tbEtapas[],2,FALSE),"")</f>
        <v/>
      </c>
      <c r="E1498" t="str">
        <f>IFERROR(VLOOKUP(tbEscolas[[#This Row],[COD ETPA]],tbEtapas[],3,FALSE),"")</f>
        <v/>
      </c>
    </row>
    <row r="1499" spans="1:5" x14ac:dyDescent="0.25">
      <c r="A1499" t="str" cm="1">
        <f t="array" ref="A1499">IFERROR(INDEX(tbNucleo[ESCOLA],ROUNDUP(ROW(A1498)/TotalEtapas,0)),"")</f>
        <v/>
      </c>
      <c r="D1499" t="str">
        <f>IFERROR(VLOOKUP(tbEscolas[[#This Row],[COD ETPA]],tbEtapas[],2,FALSE),"")</f>
        <v/>
      </c>
      <c r="E1499" t="str">
        <f>IFERROR(VLOOKUP(tbEscolas[[#This Row],[COD ETPA]],tbEtapas[],3,FALSE),"")</f>
        <v/>
      </c>
    </row>
    <row r="1500" spans="1:5" x14ac:dyDescent="0.25">
      <c r="A1500" t="str" cm="1">
        <f t="array" ref="A1500">IFERROR(INDEX(tbNucleo[ESCOLA],ROUNDUP(ROW(A1499)/TotalEtapas,0)),"")</f>
        <v/>
      </c>
      <c r="D1500" t="str">
        <f>IFERROR(VLOOKUP(tbEscolas[[#This Row],[COD ETPA]],tbEtapas[],2,FALSE),"")</f>
        <v/>
      </c>
      <c r="E1500" t="str">
        <f>IFERROR(VLOOKUP(tbEscolas[[#This Row],[COD ETPA]],tbEtapas[],3,FALSE),"")</f>
        <v/>
      </c>
    </row>
    <row r="1501" spans="1:5" x14ac:dyDescent="0.25">
      <c r="A1501" t="str" cm="1">
        <f t="array" ref="A1501">IFERROR(INDEX(tbNucleo[ESCOLA],ROUNDUP(ROW(A1500)/TotalEtapas,0)),"")</f>
        <v/>
      </c>
      <c r="D1501" t="str">
        <f>IFERROR(VLOOKUP(tbEscolas[[#This Row],[COD ETPA]],tbEtapas[],2,FALSE),"")</f>
        <v/>
      </c>
      <c r="E1501" t="str">
        <f>IFERROR(VLOOKUP(tbEscolas[[#This Row],[COD ETPA]],tbEtapas[],3,FALSE),"")</f>
        <v/>
      </c>
    </row>
    <row r="1502" spans="1:5" x14ac:dyDescent="0.25">
      <c r="A1502" t="str" cm="1">
        <f t="array" ref="A1502">IFERROR(INDEX(tbNucleo[ESCOLA],ROUNDUP(ROW(A1501)/TotalEtapas,0)),"")</f>
        <v/>
      </c>
      <c r="D1502" t="str">
        <f>IFERROR(VLOOKUP(tbEscolas[[#This Row],[COD ETPA]],tbEtapas[],2,FALSE),"")</f>
        <v/>
      </c>
      <c r="E1502" t="str">
        <f>IFERROR(VLOOKUP(tbEscolas[[#This Row],[COD ETPA]],tbEtapas[],3,FALSE),"")</f>
        <v/>
      </c>
    </row>
    <row r="1503" spans="1:5" x14ac:dyDescent="0.25">
      <c r="A1503" t="str" cm="1">
        <f t="array" ref="A1503">IFERROR(INDEX(tbNucleo[ESCOLA],ROUNDUP(ROW(A1502)/TotalEtapas,0)),"")</f>
        <v/>
      </c>
      <c r="D1503" t="str">
        <f>IFERROR(VLOOKUP(tbEscolas[[#This Row],[COD ETPA]],tbEtapas[],2,FALSE),"")</f>
        <v/>
      </c>
      <c r="E1503" t="str">
        <f>IFERROR(VLOOKUP(tbEscolas[[#This Row],[COD ETPA]],tbEtapas[],3,FALSE),"")</f>
        <v/>
      </c>
    </row>
    <row r="1504" spans="1:5" x14ac:dyDescent="0.25">
      <c r="A1504" t="str" cm="1">
        <f t="array" ref="A1504">IFERROR(INDEX(tbNucleo[ESCOLA],ROUNDUP(ROW(A1503)/TotalEtapas,0)),"")</f>
        <v/>
      </c>
      <c r="D1504" t="str">
        <f>IFERROR(VLOOKUP(tbEscolas[[#This Row],[COD ETPA]],tbEtapas[],2,FALSE),"")</f>
        <v/>
      </c>
      <c r="E1504" t="str">
        <f>IFERROR(VLOOKUP(tbEscolas[[#This Row],[COD ETPA]],tbEtapas[],3,FALSE),"")</f>
        <v/>
      </c>
    </row>
    <row r="1505" spans="1:5" x14ac:dyDescent="0.25">
      <c r="A1505" t="str" cm="1">
        <f t="array" ref="A1505">IFERROR(INDEX(tbNucleo[ESCOLA],ROUNDUP(ROW(A1504)/TotalEtapas,0)),"")</f>
        <v/>
      </c>
      <c r="D1505" t="str">
        <f>IFERROR(VLOOKUP(tbEscolas[[#This Row],[COD ETPA]],tbEtapas[],2,FALSE),"")</f>
        <v/>
      </c>
      <c r="E1505" t="str">
        <f>IFERROR(VLOOKUP(tbEscolas[[#This Row],[COD ETPA]],tbEtapas[],3,FALSE),"")</f>
        <v/>
      </c>
    </row>
    <row r="1506" spans="1:5" x14ac:dyDescent="0.25">
      <c r="A1506" t="str" cm="1">
        <f t="array" ref="A1506">IFERROR(INDEX(tbNucleo[ESCOLA],ROUNDUP(ROW(A1505)/TotalEtapas,0)),"")</f>
        <v/>
      </c>
      <c r="D1506" t="str">
        <f>IFERROR(VLOOKUP(tbEscolas[[#This Row],[COD ETPA]],tbEtapas[],2,FALSE),"")</f>
        <v/>
      </c>
      <c r="E1506" t="str">
        <f>IFERROR(VLOOKUP(tbEscolas[[#This Row],[COD ETPA]],tbEtapas[],3,FALSE),"")</f>
        <v/>
      </c>
    </row>
    <row r="1507" spans="1:5" x14ac:dyDescent="0.25">
      <c r="A1507" t="str" cm="1">
        <f t="array" ref="A1507">IFERROR(INDEX(tbNucleo[ESCOLA],ROUNDUP(ROW(A1506)/TotalEtapas,0)),"")</f>
        <v/>
      </c>
      <c r="D1507" t="str">
        <f>IFERROR(VLOOKUP(tbEscolas[[#This Row],[COD ETPA]],tbEtapas[],2,FALSE),"")</f>
        <v/>
      </c>
      <c r="E1507" t="str">
        <f>IFERROR(VLOOKUP(tbEscolas[[#This Row],[COD ETPA]],tbEtapas[],3,FALSE),"")</f>
        <v/>
      </c>
    </row>
    <row r="1508" spans="1:5" x14ac:dyDescent="0.25">
      <c r="A1508" t="str" cm="1">
        <f t="array" ref="A1508">IFERROR(INDEX(tbNucleo[ESCOLA],ROUNDUP(ROW(A1507)/TotalEtapas,0)),"")</f>
        <v/>
      </c>
      <c r="D1508" t="str">
        <f>IFERROR(VLOOKUP(tbEscolas[[#This Row],[COD ETPA]],tbEtapas[],2,FALSE),"")</f>
        <v/>
      </c>
      <c r="E1508" t="str">
        <f>IFERROR(VLOOKUP(tbEscolas[[#This Row],[COD ETPA]],tbEtapas[],3,FALSE),"")</f>
        <v/>
      </c>
    </row>
    <row r="1509" spans="1:5" x14ac:dyDescent="0.25">
      <c r="A1509" t="str" cm="1">
        <f t="array" ref="A1509">IFERROR(INDEX(tbNucleo[ESCOLA],ROUNDUP(ROW(A1508)/TotalEtapas,0)),"")</f>
        <v/>
      </c>
      <c r="D1509" t="str">
        <f>IFERROR(VLOOKUP(tbEscolas[[#This Row],[COD ETPA]],tbEtapas[],2,FALSE),"")</f>
        <v/>
      </c>
      <c r="E1509" t="str">
        <f>IFERROR(VLOOKUP(tbEscolas[[#This Row],[COD ETPA]],tbEtapas[],3,FALSE),"")</f>
        <v/>
      </c>
    </row>
    <row r="1510" spans="1:5" x14ac:dyDescent="0.25">
      <c r="A1510" t="str" cm="1">
        <f t="array" ref="A1510">IFERROR(INDEX(tbNucleo[ESCOLA],ROUNDUP(ROW(A1509)/TotalEtapas,0)),"")</f>
        <v/>
      </c>
      <c r="D1510" t="str">
        <f>IFERROR(VLOOKUP(tbEscolas[[#This Row],[COD ETPA]],tbEtapas[],2,FALSE),"")</f>
        <v/>
      </c>
      <c r="E1510" t="str">
        <f>IFERROR(VLOOKUP(tbEscolas[[#This Row],[COD ETPA]],tbEtapas[],3,FALSE),"")</f>
        <v/>
      </c>
    </row>
    <row r="1511" spans="1:5" x14ac:dyDescent="0.25">
      <c r="A1511" t="str" cm="1">
        <f t="array" ref="A1511">IFERROR(INDEX(tbNucleo[ESCOLA],ROUNDUP(ROW(A1510)/TotalEtapas,0)),"")</f>
        <v/>
      </c>
      <c r="D1511" t="str">
        <f>IFERROR(VLOOKUP(tbEscolas[[#This Row],[COD ETPA]],tbEtapas[],2,FALSE),"")</f>
        <v/>
      </c>
      <c r="E1511" t="str">
        <f>IFERROR(VLOOKUP(tbEscolas[[#This Row],[COD ETPA]],tbEtapas[],3,FALSE),"")</f>
        <v/>
      </c>
    </row>
    <row r="1512" spans="1:5" x14ac:dyDescent="0.25">
      <c r="A1512" t="str" cm="1">
        <f t="array" ref="A1512">IFERROR(INDEX(tbNucleo[ESCOLA],ROUNDUP(ROW(A1511)/TotalEtapas,0)),"")</f>
        <v/>
      </c>
      <c r="D1512" t="str">
        <f>IFERROR(VLOOKUP(tbEscolas[[#This Row],[COD ETPA]],tbEtapas[],2,FALSE),"")</f>
        <v/>
      </c>
      <c r="E1512" t="str">
        <f>IFERROR(VLOOKUP(tbEscolas[[#This Row],[COD ETPA]],tbEtapas[],3,FALSE),"")</f>
        <v/>
      </c>
    </row>
    <row r="1513" spans="1:5" x14ac:dyDescent="0.25">
      <c r="A1513" t="str" cm="1">
        <f t="array" ref="A1513">IFERROR(INDEX(tbNucleo[ESCOLA],ROUNDUP(ROW(A1512)/TotalEtapas,0)),"")</f>
        <v/>
      </c>
      <c r="D1513" t="str">
        <f>IFERROR(VLOOKUP(tbEscolas[[#This Row],[COD ETPA]],tbEtapas[],2,FALSE),"")</f>
        <v/>
      </c>
      <c r="E1513" t="str">
        <f>IFERROR(VLOOKUP(tbEscolas[[#This Row],[COD ETPA]],tbEtapas[],3,FALSE),"")</f>
        <v/>
      </c>
    </row>
    <row r="1514" spans="1:5" x14ac:dyDescent="0.25">
      <c r="A1514" t="str" cm="1">
        <f t="array" ref="A1514">IFERROR(INDEX(tbNucleo[ESCOLA],ROUNDUP(ROW(A1513)/TotalEtapas,0)),"")</f>
        <v/>
      </c>
      <c r="D1514" t="str">
        <f>IFERROR(VLOOKUP(tbEscolas[[#This Row],[COD ETPA]],tbEtapas[],2,FALSE),"")</f>
        <v/>
      </c>
      <c r="E1514" t="str">
        <f>IFERROR(VLOOKUP(tbEscolas[[#This Row],[COD ETPA]],tbEtapas[],3,FALSE),"")</f>
        <v/>
      </c>
    </row>
    <row r="1515" spans="1:5" x14ac:dyDescent="0.25">
      <c r="A1515" t="str" cm="1">
        <f t="array" ref="A1515">IFERROR(INDEX(tbNucleo[ESCOLA],ROUNDUP(ROW(A1514)/TotalEtapas,0)),"")</f>
        <v/>
      </c>
      <c r="D1515" t="str">
        <f>IFERROR(VLOOKUP(tbEscolas[[#This Row],[COD ETPA]],tbEtapas[],2,FALSE),"")</f>
        <v/>
      </c>
      <c r="E1515" t="str">
        <f>IFERROR(VLOOKUP(tbEscolas[[#This Row],[COD ETPA]],tbEtapas[],3,FALSE),"")</f>
        <v/>
      </c>
    </row>
    <row r="1516" spans="1:5" x14ac:dyDescent="0.25">
      <c r="A1516" t="str" cm="1">
        <f t="array" ref="A1516">IFERROR(INDEX(tbNucleo[ESCOLA],ROUNDUP(ROW(A1515)/TotalEtapas,0)),"")</f>
        <v/>
      </c>
      <c r="D1516" t="str">
        <f>IFERROR(VLOOKUP(tbEscolas[[#This Row],[COD ETPA]],tbEtapas[],2,FALSE),"")</f>
        <v/>
      </c>
      <c r="E1516" t="str">
        <f>IFERROR(VLOOKUP(tbEscolas[[#This Row],[COD ETPA]],tbEtapas[],3,FALSE),"")</f>
        <v/>
      </c>
    </row>
    <row r="1517" spans="1:5" x14ac:dyDescent="0.25">
      <c r="A1517" t="str" cm="1">
        <f t="array" ref="A1517">IFERROR(INDEX(tbNucleo[ESCOLA],ROUNDUP(ROW(A1516)/TotalEtapas,0)),"")</f>
        <v/>
      </c>
      <c r="D1517" t="str">
        <f>IFERROR(VLOOKUP(tbEscolas[[#This Row],[COD ETPA]],tbEtapas[],2,FALSE),"")</f>
        <v/>
      </c>
      <c r="E1517" t="str">
        <f>IFERROR(VLOOKUP(tbEscolas[[#This Row],[COD ETPA]],tbEtapas[],3,FALSE),"")</f>
        <v/>
      </c>
    </row>
    <row r="1518" spans="1:5" x14ac:dyDescent="0.25">
      <c r="A1518" t="str" cm="1">
        <f t="array" ref="A1518">IFERROR(INDEX(tbNucleo[ESCOLA],ROUNDUP(ROW(A1517)/TotalEtapas,0)),"")</f>
        <v/>
      </c>
      <c r="D1518" t="str">
        <f>IFERROR(VLOOKUP(tbEscolas[[#This Row],[COD ETPA]],tbEtapas[],2,FALSE),"")</f>
        <v/>
      </c>
      <c r="E1518" t="str">
        <f>IFERROR(VLOOKUP(tbEscolas[[#This Row],[COD ETPA]],tbEtapas[],3,FALSE),"")</f>
        <v/>
      </c>
    </row>
    <row r="1519" spans="1:5" x14ac:dyDescent="0.25">
      <c r="A1519" t="str" cm="1">
        <f t="array" ref="A1519">IFERROR(INDEX(tbNucleo[ESCOLA],ROUNDUP(ROW(A1518)/TotalEtapas,0)),"")</f>
        <v/>
      </c>
      <c r="D1519" t="str">
        <f>IFERROR(VLOOKUP(tbEscolas[[#This Row],[COD ETPA]],tbEtapas[],2,FALSE),"")</f>
        <v/>
      </c>
      <c r="E1519" t="str">
        <f>IFERROR(VLOOKUP(tbEscolas[[#This Row],[COD ETPA]],tbEtapas[],3,FALSE),"")</f>
        <v/>
      </c>
    </row>
    <row r="1520" spans="1:5" x14ac:dyDescent="0.25">
      <c r="A1520" t="str" cm="1">
        <f t="array" ref="A1520">IFERROR(INDEX(tbNucleo[ESCOLA],ROUNDUP(ROW(A1519)/TotalEtapas,0)),"")</f>
        <v/>
      </c>
      <c r="D1520" t="str">
        <f>IFERROR(VLOOKUP(tbEscolas[[#This Row],[COD ETPA]],tbEtapas[],2,FALSE),"")</f>
        <v/>
      </c>
      <c r="E1520" t="str">
        <f>IFERROR(VLOOKUP(tbEscolas[[#This Row],[COD ETPA]],tbEtapas[],3,FALSE),"")</f>
        <v/>
      </c>
    </row>
    <row r="1521" spans="1:5" x14ac:dyDescent="0.25">
      <c r="A1521" t="str" cm="1">
        <f t="array" ref="A1521">IFERROR(INDEX(tbNucleo[ESCOLA],ROUNDUP(ROW(A1520)/TotalEtapas,0)),"")</f>
        <v/>
      </c>
      <c r="D1521" t="str">
        <f>IFERROR(VLOOKUP(tbEscolas[[#This Row],[COD ETPA]],tbEtapas[],2,FALSE),"")</f>
        <v/>
      </c>
      <c r="E1521" t="str">
        <f>IFERROR(VLOOKUP(tbEscolas[[#This Row],[COD ETPA]],tbEtapas[],3,FALSE),"")</f>
        <v/>
      </c>
    </row>
    <row r="1522" spans="1:5" x14ac:dyDescent="0.25">
      <c r="A1522" t="str" cm="1">
        <f t="array" ref="A1522">IFERROR(INDEX(tbNucleo[ESCOLA],ROUNDUP(ROW(A1521)/TotalEtapas,0)),"")</f>
        <v/>
      </c>
      <c r="D1522" t="str">
        <f>IFERROR(VLOOKUP(tbEscolas[[#This Row],[COD ETPA]],tbEtapas[],2,FALSE),"")</f>
        <v/>
      </c>
      <c r="E1522" t="str">
        <f>IFERROR(VLOOKUP(tbEscolas[[#This Row],[COD ETPA]],tbEtapas[],3,FALSE),"")</f>
        <v/>
      </c>
    </row>
    <row r="1523" spans="1:5" x14ac:dyDescent="0.25">
      <c r="A1523" t="str" cm="1">
        <f t="array" ref="A1523">IFERROR(INDEX(tbNucleo[ESCOLA],ROUNDUP(ROW(A1522)/TotalEtapas,0)),"")</f>
        <v/>
      </c>
      <c r="D1523" t="str">
        <f>IFERROR(VLOOKUP(tbEscolas[[#This Row],[COD ETPA]],tbEtapas[],2,FALSE),"")</f>
        <v/>
      </c>
      <c r="E1523" t="str">
        <f>IFERROR(VLOOKUP(tbEscolas[[#This Row],[COD ETPA]],tbEtapas[],3,FALSE),"")</f>
        <v/>
      </c>
    </row>
    <row r="1524" spans="1:5" x14ac:dyDescent="0.25">
      <c r="A1524" t="str" cm="1">
        <f t="array" ref="A1524">IFERROR(INDEX(tbNucleo[ESCOLA],ROUNDUP(ROW(A1523)/TotalEtapas,0)),"")</f>
        <v/>
      </c>
      <c r="D1524" t="str">
        <f>IFERROR(VLOOKUP(tbEscolas[[#This Row],[COD ETPA]],tbEtapas[],2,FALSE),"")</f>
        <v/>
      </c>
      <c r="E1524" t="str">
        <f>IFERROR(VLOOKUP(tbEscolas[[#This Row],[COD ETPA]],tbEtapas[],3,FALSE),"")</f>
        <v/>
      </c>
    </row>
    <row r="1525" spans="1:5" x14ac:dyDescent="0.25">
      <c r="A1525" t="str" cm="1">
        <f t="array" ref="A1525">IFERROR(INDEX(tbNucleo[ESCOLA],ROUNDUP(ROW(A1524)/TotalEtapas,0)),"")</f>
        <v/>
      </c>
      <c r="D1525" t="str">
        <f>IFERROR(VLOOKUP(tbEscolas[[#This Row],[COD ETPA]],tbEtapas[],2,FALSE),"")</f>
        <v/>
      </c>
      <c r="E1525" t="str">
        <f>IFERROR(VLOOKUP(tbEscolas[[#This Row],[COD ETPA]],tbEtapas[],3,FALSE),"")</f>
        <v/>
      </c>
    </row>
    <row r="1526" spans="1:5" x14ac:dyDescent="0.25">
      <c r="A1526" t="str" cm="1">
        <f t="array" ref="A1526">IFERROR(INDEX(tbNucleo[ESCOLA],ROUNDUP(ROW(A1525)/TotalEtapas,0)),"")</f>
        <v/>
      </c>
      <c r="D1526" t="str">
        <f>IFERROR(VLOOKUP(tbEscolas[[#This Row],[COD ETPA]],tbEtapas[],2,FALSE),"")</f>
        <v/>
      </c>
      <c r="E1526" t="str">
        <f>IFERROR(VLOOKUP(tbEscolas[[#This Row],[COD ETPA]],tbEtapas[],3,FALSE),"")</f>
        <v/>
      </c>
    </row>
    <row r="1527" spans="1:5" x14ac:dyDescent="0.25">
      <c r="A1527" t="str" cm="1">
        <f t="array" ref="A1527">IFERROR(INDEX(tbNucleo[ESCOLA],ROUNDUP(ROW(A1526)/TotalEtapas,0)),"")</f>
        <v/>
      </c>
      <c r="D1527" t="str">
        <f>IFERROR(VLOOKUP(tbEscolas[[#This Row],[COD ETPA]],tbEtapas[],2,FALSE),"")</f>
        <v/>
      </c>
      <c r="E1527" t="str">
        <f>IFERROR(VLOOKUP(tbEscolas[[#This Row],[COD ETPA]],tbEtapas[],3,FALSE),"")</f>
        <v/>
      </c>
    </row>
    <row r="1528" spans="1:5" x14ac:dyDescent="0.25">
      <c r="A1528" t="str" cm="1">
        <f t="array" ref="A1528">IFERROR(INDEX(tbNucleo[ESCOLA],ROUNDUP(ROW(A1527)/TotalEtapas,0)),"")</f>
        <v/>
      </c>
      <c r="D1528" t="str">
        <f>IFERROR(VLOOKUP(tbEscolas[[#This Row],[COD ETPA]],tbEtapas[],2,FALSE),"")</f>
        <v/>
      </c>
      <c r="E1528" t="str">
        <f>IFERROR(VLOOKUP(tbEscolas[[#This Row],[COD ETPA]],tbEtapas[],3,FALSE),"")</f>
        <v/>
      </c>
    </row>
    <row r="1529" spans="1:5" x14ac:dyDescent="0.25">
      <c r="A1529" t="str" cm="1">
        <f t="array" ref="A1529">IFERROR(INDEX(tbNucleo[ESCOLA],ROUNDUP(ROW(A1528)/TotalEtapas,0)),"")</f>
        <v/>
      </c>
      <c r="D1529" t="str">
        <f>IFERROR(VLOOKUP(tbEscolas[[#This Row],[COD ETPA]],tbEtapas[],2,FALSE),"")</f>
        <v/>
      </c>
      <c r="E1529" t="str">
        <f>IFERROR(VLOOKUP(tbEscolas[[#This Row],[COD ETPA]],tbEtapas[],3,FALSE),"")</f>
        <v/>
      </c>
    </row>
    <row r="1530" spans="1:5" x14ac:dyDescent="0.25">
      <c r="A1530" t="str" cm="1">
        <f t="array" ref="A1530">IFERROR(INDEX(tbNucleo[ESCOLA],ROUNDUP(ROW(A1529)/TotalEtapas,0)),"")</f>
        <v/>
      </c>
      <c r="D1530" t="str">
        <f>IFERROR(VLOOKUP(tbEscolas[[#This Row],[COD ETPA]],tbEtapas[],2,FALSE),"")</f>
        <v/>
      </c>
      <c r="E1530" t="str">
        <f>IFERROR(VLOOKUP(tbEscolas[[#This Row],[COD ETPA]],tbEtapas[],3,FALSE),"")</f>
        <v/>
      </c>
    </row>
    <row r="1531" spans="1:5" x14ac:dyDescent="0.25">
      <c r="A1531" t="str" cm="1">
        <f t="array" ref="A1531">IFERROR(INDEX(tbNucleo[ESCOLA],ROUNDUP(ROW(A1530)/TotalEtapas,0)),"")</f>
        <v/>
      </c>
      <c r="D1531" t="str">
        <f>IFERROR(VLOOKUP(tbEscolas[[#This Row],[COD ETPA]],tbEtapas[],2,FALSE),"")</f>
        <v/>
      </c>
      <c r="E1531" t="str">
        <f>IFERROR(VLOOKUP(tbEscolas[[#This Row],[COD ETPA]],tbEtapas[],3,FALSE),"")</f>
        <v/>
      </c>
    </row>
    <row r="1532" spans="1:5" x14ac:dyDescent="0.25">
      <c r="A1532" t="str" cm="1">
        <f t="array" ref="A1532">IFERROR(INDEX(tbNucleo[ESCOLA],ROUNDUP(ROW(A1531)/TotalEtapas,0)),"")</f>
        <v/>
      </c>
      <c r="D1532" t="str">
        <f>IFERROR(VLOOKUP(tbEscolas[[#This Row],[COD ETPA]],tbEtapas[],2,FALSE),"")</f>
        <v/>
      </c>
      <c r="E1532" t="str">
        <f>IFERROR(VLOOKUP(tbEscolas[[#This Row],[COD ETPA]],tbEtapas[],3,FALSE),"")</f>
        <v/>
      </c>
    </row>
    <row r="1533" spans="1:5" x14ac:dyDescent="0.25">
      <c r="A1533" t="str" cm="1">
        <f t="array" ref="A1533">IFERROR(INDEX(tbNucleo[ESCOLA],ROUNDUP(ROW(A1532)/TotalEtapas,0)),"")</f>
        <v/>
      </c>
      <c r="D1533" t="str">
        <f>IFERROR(VLOOKUP(tbEscolas[[#This Row],[COD ETPA]],tbEtapas[],2,FALSE),"")</f>
        <v/>
      </c>
      <c r="E1533" t="str">
        <f>IFERROR(VLOOKUP(tbEscolas[[#This Row],[COD ETPA]],tbEtapas[],3,FALSE),"")</f>
        <v/>
      </c>
    </row>
    <row r="1534" spans="1:5" x14ac:dyDescent="0.25">
      <c r="A1534" t="str" cm="1">
        <f t="array" ref="A1534">IFERROR(INDEX(tbNucleo[ESCOLA],ROUNDUP(ROW(A1533)/TotalEtapas,0)),"")</f>
        <v/>
      </c>
      <c r="D1534" t="str">
        <f>IFERROR(VLOOKUP(tbEscolas[[#This Row],[COD ETPA]],tbEtapas[],2,FALSE),"")</f>
        <v/>
      </c>
      <c r="E1534" t="str">
        <f>IFERROR(VLOOKUP(tbEscolas[[#This Row],[COD ETPA]],tbEtapas[],3,FALSE),"")</f>
        <v/>
      </c>
    </row>
    <row r="1535" spans="1:5" x14ac:dyDescent="0.25">
      <c r="A1535" t="str" cm="1">
        <f t="array" ref="A1535">IFERROR(INDEX(tbNucleo[ESCOLA],ROUNDUP(ROW(A1534)/TotalEtapas,0)),"")</f>
        <v/>
      </c>
      <c r="D1535" t="str">
        <f>IFERROR(VLOOKUP(tbEscolas[[#This Row],[COD ETPA]],tbEtapas[],2,FALSE),"")</f>
        <v/>
      </c>
      <c r="E1535" t="str">
        <f>IFERROR(VLOOKUP(tbEscolas[[#This Row],[COD ETPA]],tbEtapas[],3,FALSE),"")</f>
        <v/>
      </c>
    </row>
    <row r="1536" spans="1:5" x14ac:dyDescent="0.25">
      <c r="A1536" t="str" cm="1">
        <f t="array" ref="A1536">IFERROR(INDEX(tbNucleo[ESCOLA],ROUNDUP(ROW(A1535)/TotalEtapas,0)),"")</f>
        <v/>
      </c>
      <c r="D1536" t="str">
        <f>IFERROR(VLOOKUP(tbEscolas[[#This Row],[COD ETPA]],tbEtapas[],2,FALSE),"")</f>
        <v/>
      </c>
      <c r="E1536" t="str">
        <f>IFERROR(VLOOKUP(tbEscolas[[#This Row],[COD ETPA]],tbEtapas[],3,FALSE),"")</f>
        <v/>
      </c>
    </row>
    <row r="1537" spans="1:5" x14ac:dyDescent="0.25">
      <c r="A1537" t="str" cm="1">
        <f t="array" ref="A1537">IFERROR(INDEX(tbNucleo[ESCOLA],ROUNDUP(ROW(A1536)/TotalEtapas,0)),"")</f>
        <v/>
      </c>
      <c r="D1537" t="str">
        <f>IFERROR(VLOOKUP(tbEscolas[[#This Row],[COD ETPA]],tbEtapas[],2,FALSE),"")</f>
        <v/>
      </c>
      <c r="E1537" t="str">
        <f>IFERROR(VLOOKUP(tbEscolas[[#This Row],[COD ETPA]],tbEtapas[],3,FALSE),"")</f>
        <v/>
      </c>
    </row>
    <row r="1538" spans="1:5" x14ac:dyDescent="0.25">
      <c r="A1538" t="str" cm="1">
        <f t="array" ref="A1538">IFERROR(INDEX(tbNucleo[ESCOLA],ROUNDUP(ROW(A1537)/TotalEtapas,0)),"")</f>
        <v/>
      </c>
      <c r="D1538" t="str">
        <f>IFERROR(VLOOKUP(tbEscolas[[#This Row],[COD ETPA]],tbEtapas[],2,FALSE),"")</f>
        <v/>
      </c>
      <c r="E1538" t="str">
        <f>IFERROR(VLOOKUP(tbEscolas[[#This Row],[COD ETPA]],tbEtapas[],3,FALSE),"")</f>
        <v/>
      </c>
    </row>
    <row r="1539" spans="1:5" x14ac:dyDescent="0.25">
      <c r="A1539" t="str" cm="1">
        <f t="array" ref="A1539">IFERROR(INDEX(tbNucleo[ESCOLA],ROUNDUP(ROW(A1538)/TotalEtapas,0)),"")</f>
        <v/>
      </c>
      <c r="D1539" t="str">
        <f>IFERROR(VLOOKUP(tbEscolas[[#This Row],[COD ETPA]],tbEtapas[],2,FALSE),"")</f>
        <v/>
      </c>
      <c r="E1539" t="str">
        <f>IFERROR(VLOOKUP(tbEscolas[[#This Row],[COD ETPA]],tbEtapas[],3,FALSE),"")</f>
        <v/>
      </c>
    </row>
    <row r="1540" spans="1:5" x14ac:dyDescent="0.25">
      <c r="A1540" t="str" cm="1">
        <f t="array" ref="A1540">IFERROR(INDEX(tbNucleo[ESCOLA],ROUNDUP(ROW(A1539)/TotalEtapas,0)),"")</f>
        <v/>
      </c>
      <c r="D1540" t="str">
        <f>IFERROR(VLOOKUP(tbEscolas[[#This Row],[COD ETPA]],tbEtapas[],2,FALSE),"")</f>
        <v/>
      </c>
      <c r="E1540" t="str">
        <f>IFERROR(VLOOKUP(tbEscolas[[#This Row],[COD ETPA]],tbEtapas[],3,FALSE),"")</f>
        <v/>
      </c>
    </row>
    <row r="1541" spans="1:5" x14ac:dyDescent="0.25">
      <c r="A1541" t="str" cm="1">
        <f t="array" ref="A1541">IFERROR(INDEX(tbNucleo[ESCOLA],ROUNDUP(ROW(A1540)/TotalEtapas,0)),"")</f>
        <v/>
      </c>
      <c r="D1541" t="str">
        <f>IFERROR(VLOOKUP(tbEscolas[[#This Row],[COD ETPA]],tbEtapas[],2,FALSE),"")</f>
        <v/>
      </c>
      <c r="E1541" t="str">
        <f>IFERROR(VLOOKUP(tbEscolas[[#This Row],[COD ETPA]],tbEtapas[],3,FALSE),"")</f>
        <v/>
      </c>
    </row>
    <row r="1542" spans="1:5" x14ac:dyDescent="0.25">
      <c r="A1542" t="str" cm="1">
        <f t="array" ref="A1542">IFERROR(INDEX(tbNucleo[ESCOLA],ROUNDUP(ROW(A1541)/TotalEtapas,0)),"")</f>
        <v/>
      </c>
      <c r="D1542" t="str">
        <f>IFERROR(VLOOKUP(tbEscolas[[#This Row],[COD ETPA]],tbEtapas[],2,FALSE),"")</f>
        <v/>
      </c>
      <c r="E1542" t="str">
        <f>IFERROR(VLOOKUP(tbEscolas[[#This Row],[COD ETPA]],tbEtapas[],3,FALSE),"")</f>
        <v/>
      </c>
    </row>
    <row r="1543" spans="1:5" x14ac:dyDescent="0.25">
      <c r="A1543" t="str" cm="1">
        <f t="array" ref="A1543">IFERROR(INDEX(tbNucleo[ESCOLA],ROUNDUP(ROW(A1542)/TotalEtapas,0)),"")</f>
        <v/>
      </c>
      <c r="D1543" t="str">
        <f>IFERROR(VLOOKUP(tbEscolas[[#This Row],[COD ETPA]],tbEtapas[],2,FALSE),"")</f>
        <v/>
      </c>
      <c r="E1543" t="str">
        <f>IFERROR(VLOOKUP(tbEscolas[[#This Row],[COD ETPA]],tbEtapas[],3,FALSE),"")</f>
        <v/>
      </c>
    </row>
    <row r="1544" spans="1:5" x14ac:dyDescent="0.25">
      <c r="A1544" t="str" cm="1">
        <f t="array" ref="A1544">IFERROR(INDEX(tbNucleo[ESCOLA],ROUNDUP(ROW(A1543)/TotalEtapas,0)),"")</f>
        <v/>
      </c>
      <c r="D1544" t="str">
        <f>IFERROR(VLOOKUP(tbEscolas[[#This Row],[COD ETPA]],tbEtapas[],2,FALSE),"")</f>
        <v/>
      </c>
      <c r="E1544" t="str">
        <f>IFERROR(VLOOKUP(tbEscolas[[#This Row],[COD ETPA]],tbEtapas[],3,FALSE),"")</f>
        <v/>
      </c>
    </row>
    <row r="1545" spans="1:5" x14ac:dyDescent="0.25">
      <c r="A1545" t="str" cm="1">
        <f t="array" ref="A1545">IFERROR(INDEX(tbNucleo[ESCOLA],ROUNDUP(ROW(A1544)/TotalEtapas,0)),"")</f>
        <v/>
      </c>
      <c r="D1545" t="str">
        <f>IFERROR(VLOOKUP(tbEscolas[[#This Row],[COD ETPA]],tbEtapas[],2,FALSE),"")</f>
        <v/>
      </c>
      <c r="E1545" t="str">
        <f>IFERROR(VLOOKUP(tbEscolas[[#This Row],[COD ETPA]],tbEtapas[],3,FALSE),"")</f>
        <v/>
      </c>
    </row>
    <row r="1546" spans="1:5" x14ac:dyDescent="0.25">
      <c r="A1546" t="str" cm="1">
        <f t="array" ref="A1546">IFERROR(INDEX(tbNucleo[ESCOLA],ROUNDUP(ROW(A1545)/TotalEtapas,0)),"")</f>
        <v/>
      </c>
      <c r="D1546" t="str">
        <f>IFERROR(VLOOKUP(tbEscolas[[#This Row],[COD ETPA]],tbEtapas[],2,FALSE),"")</f>
        <v/>
      </c>
      <c r="E1546" t="str">
        <f>IFERROR(VLOOKUP(tbEscolas[[#This Row],[COD ETPA]],tbEtapas[],3,FALSE),"")</f>
        <v/>
      </c>
    </row>
    <row r="1547" spans="1:5" x14ac:dyDescent="0.25">
      <c r="A1547" t="str" cm="1">
        <f t="array" ref="A1547">IFERROR(INDEX(tbNucleo[ESCOLA],ROUNDUP(ROW(A1546)/TotalEtapas,0)),"")</f>
        <v/>
      </c>
      <c r="D1547" t="str">
        <f>IFERROR(VLOOKUP(tbEscolas[[#This Row],[COD ETPA]],tbEtapas[],2,FALSE),"")</f>
        <v/>
      </c>
      <c r="E1547" t="str">
        <f>IFERROR(VLOOKUP(tbEscolas[[#This Row],[COD ETPA]],tbEtapas[],3,FALSE),"")</f>
        <v/>
      </c>
    </row>
    <row r="1548" spans="1:5" x14ac:dyDescent="0.25">
      <c r="A1548" t="str" cm="1">
        <f t="array" ref="A1548">IFERROR(INDEX(tbNucleo[ESCOLA],ROUNDUP(ROW(A1547)/TotalEtapas,0)),"")</f>
        <v/>
      </c>
      <c r="D1548" t="str">
        <f>IFERROR(VLOOKUP(tbEscolas[[#This Row],[COD ETPA]],tbEtapas[],2,FALSE),"")</f>
        <v/>
      </c>
      <c r="E1548" t="str">
        <f>IFERROR(VLOOKUP(tbEscolas[[#This Row],[COD ETPA]],tbEtapas[],3,FALSE),"")</f>
        <v/>
      </c>
    </row>
    <row r="1549" spans="1:5" x14ac:dyDescent="0.25">
      <c r="A1549" t="str" cm="1">
        <f t="array" ref="A1549">IFERROR(INDEX(tbNucleo[ESCOLA],ROUNDUP(ROW(A1548)/TotalEtapas,0)),"")</f>
        <v/>
      </c>
      <c r="D1549" t="str">
        <f>IFERROR(VLOOKUP(tbEscolas[[#This Row],[COD ETPA]],tbEtapas[],2,FALSE),"")</f>
        <v/>
      </c>
      <c r="E1549" t="str">
        <f>IFERROR(VLOOKUP(tbEscolas[[#This Row],[COD ETPA]],tbEtapas[],3,FALSE),"")</f>
        <v/>
      </c>
    </row>
    <row r="1550" spans="1:5" x14ac:dyDescent="0.25">
      <c r="A1550" t="str" cm="1">
        <f t="array" ref="A1550">IFERROR(INDEX(tbNucleo[ESCOLA],ROUNDUP(ROW(A1549)/TotalEtapas,0)),"")</f>
        <v/>
      </c>
      <c r="D1550" t="str">
        <f>IFERROR(VLOOKUP(tbEscolas[[#This Row],[COD ETPA]],tbEtapas[],2,FALSE),"")</f>
        <v/>
      </c>
      <c r="E1550" t="str">
        <f>IFERROR(VLOOKUP(tbEscolas[[#This Row],[COD ETPA]],tbEtapas[],3,FALSE),"")</f>
        <v/>
      </c>
    </row>
    <row r="1551" spans="1:5" x14ac:dyDescent="0.25">
      <c r="A1551" t="str" cm="1">
        <f t="array" ref="A1551">IFERROR(INDEX(tbNucleo[ESCOLA],ROUNDUP(ROW(A1550)/TotalEtapas,0)),"")</f>
        <v/>
      </c>
      <c r="D1551" t="str">
        <f>IFERROR(VLOOKUP(tbEscolas[[#This Row],[COD ETPA]],tbEtapas[],2,FALSE),"")</f>
        <v/>
      </c>
      <c r="E1551" t="str">
        <f>IFERROR(VLOOKUP(tbEscolas[[#This Row],[COD ETPA]],tbEtapas[],3,FALSE),"")</f>
        <v/>
      </c>
    </row>
    <row r="1552" spans="1:5" x14ac:dyDescent="0.25">
      <c r="A1552" t="str" cm="1">
        <f t="array" ref="A1552">IFERROR(INDEX(tbNucleo[ESCOLA],ROUNDUP(ROW(A1551)/TotalEtapas,0)),"")</f>
        <v/>
      </c>
      <c r="D1552" t="str">
        <f>IFERROR(VLOOKUP(tbEscolas[[#This Row],[COD ETPA]],tbEtapas[],2,FALSE),"")</f>
        <v/>
      </c>
      <c r="E1552" t="str">
        <f>IFERROR(VLOOKUP(tbEscolas[[#This Row],[COD ETPA]],tbEtapas[],3,FALSE),"")</f>
        <v/>
      </c>
    </row>
    <row r="1553" spans="1:5" x14ac:dyDescent="0.25">
      <c r="A1553" t="str" cm="1">
        <f t="array" ref="A1553">IFERROR(INDEX(tbNucleo[ESCOLA],ROUNDUP(ROW(A1552)/TotalEtapas,0)),"")</f>
        <v/>
      </c>
      <c r="D1553" t="str">
        <f>IFERROR(VLOOKUP(tbEscolas[[#This Row],[COD ETPA]],tbEtapas[],2,FALSE),"")</f>
        <v/>
      </c>
      <c r="E1553" t="str">
        <f>IFERROR(VLOOKUP(tbEscolas[[#This Row],[COD ETPA]],tbEtapas[],3,FALSE),"")</f>
        <v/>
      </c>
    </row>
    <row r="1554" spans="1:5" x14ac:dyDescent="0.25">
      <c r="A1554" t="str" cm="1">
        <f t="array" ref="A1554">IFERROR(INDEX(tbNucleo[ESCOLA],ROUNDUP(ROW(A1553)/TotalEtapas,0)),"")</f>
        <v/>
      </c>
      <c r="D1554" t="str">
        <f>IFERROR(VLOOKUP(tbEscolas[[#This Row],[COD ETPA]],tbEtapas[],2,FALSE),"")</f>
        <v/>
      </c>
      <c r="E1554" t="str">
        <f>IFERROR(VLOOKUP(tbEscolas[[#This Row],[COD ETPA]],tbEtapas[],3,FALSE),"")</f>
        <v/>
      </c>
    </row>
    <row r="1555" spans="1:5" x14ac:dyDescent="0.25">
      <c r="A1555" t="str" cm="1">
        <f t="array" ref="A1555">IFERROR(INDEX(tbNucleo[ESCOLA],ROUNDUP(ROW(A1554)/TotalEtapas,0)),"")</f>
        <v/>
      </c>
      <c r="D1555" t="str">
        <f>IFERROR(VLOOKUP(tbEscolas[[#This Row],[COD ETPA]],tbEtapas[],2,FALSE),"")</f>
        <v/>
      </c>
      <c r="E1555" t="str">
        <f>IFERROR(VLOOKUP(tbEscolas[[#This Row],[COD ETPA]],tbEtapas[],3,FALSE),"")</f>
        <v/>
      </c>
    </row>
    <row r="1556" spans="1:5" x14ac:dyDescent="0.25">
      <c r="A1556" t="str" cm="1">
        <f t="array" ref="A1556">IFERROR(INDEX(tbNucleo[ESCOLA],ROUNDUP(ROW(A1555)/TotalEtapas,0)),"")</f>
        <v/>
      </c>
      <c r="D1556" t="str">
        <f>IFERROR(VLOOKUP(tbEscolas[[#This Row],[COD ETPA]],tbEtapas[],2,FALSE),"")</f>
        <v/>
      </c>
      <c r="E1556" t="str">
        <f>IFERROR(VLOOKUP(tbEscolas[[#This Row],[COD ETPA]],tbEtapas[],3,FALSE),"")</f>
        <v/>
      </c>
    </row>
    <row r="1557" spans="1:5" x14ac:dyDescent="0.25">
      <c r="A1557" t="str" cm="1">
        <f t="array" ref="A1557">IFERROR(INDEX(tbNucleo[ESCOLA],ROUNDUP(ROW(A1556)/TotalEtapas,0)),"")</f>
        <v/>
      </c>
      <c r="D1557" t="str">
        <f>IFERROR(VLOOKUP(tbEscolas[[#This Row],[COD ETPA]],tbEtapas[],2,FALSE),"")</f>
        <v/>
      </c>
      <c r="E1557" t="str">
        <f>IFERROR(VLOOKUP(tbEscolas[[#This Row],[COD ETPA]],tbEtapas[],3,FALSE),"")</f>
        <v/>
      </c>
    </row>
    <row r="1558" spans="1:5" x14ac:dyDescent="0.25">
      <c r="A1558" t="str" cm="1">
        <f t="array" ref="A1558">IFERROR(INDEX(tbNucleo[ESCOLA],ROUNDUP(ROW(A1557)/TotalEtapas,0)),"")</f>
        <v/>
      </c>
      <c r="D1558" t="str">
        <f>IFERROR(VLOOKUP(tbEscolas[[#This Row],[COD ETPA]],tbEtapas[],2,FALSE),"")</f>
        <v/>
      </c>
      <c r="E1558" t="str">
        <f>IFERROR(VLOOKUP(tbEscolas[[#This Row],[COD ETPA]],tbEtapas[],3,FALSE),"")</f>
        <v/>
      </c>
    </row>
    <row r="1559" spans="1:5" x14ac:dyDescent="0.25">
      <c r="A1559" t="str" cm="1">
        <f t="array" ref="A1559">IFERROR(INDEX(tbNucleo[ESCOLA],ROUNDUP(ROW(A1558)/TotalEtapas,0)),"")</f>
        <v/>
      </c>
      <c r="D1559" t="str">
        <f>IFERROR(VLOOKUP(tbEscolas[[#This Row],[COD ETPA]],tbEtapas[],2,FALSE),"")</f>
        <v/>
      </c>
      <c r="E1559" t="str">
        <f>IFERROR(VLOOKUP(tbEscolas[[#This Row],[COD ETPA]],tbEtapas[],3,FALSE),"")</f>
        <v/>
      </c>
    </row>
    <row r="1560" spans="1:5" x14ac:dyDescent="0.25">
      <c r="A1560" t="str" cm="1">
        <f t="array" ref="A1560">IFERROR(INDEX(tbNucleo[ESCOLA],ROUNDUP(ROW(A1559)/TotalEtapas,0)),"")</f>
        <v/>
      </c>
      <c r="D1560" t="str">
        <f>IFERROR(VLOOKUP(tbEscolas[[#This Row],[COD ETPA]],tbEtapas[],2,FALSE),"")</f>
        <v/>
      </c>
      <c r="E1560" t="str">
        <f>IFERROR(VLOOKUP(tbEscolas[[#This Row],[COD ETPA]],tbEtapas[],3,FALSE),"")</f>
        <v/>
      </c>
    </row>
    <row r="1561" spans="1:5" x14ac:dyDescent="0.25">
      <c r="A1561" t="str" cm="1">
        <f t="array" ref="A1561">IFERROR(INDEX(tbNucleo[ESCOLA],ROUNDUP(ROW(A1560)/TotalEtapas,0)),"")</f>
        <v/>
      </c>
      <c r="D1561" t="str">
        <f>IFERROR(VLOOKUP(tbEscolas[[#This Row],[COD ETPA]],tbEtapas[],2,FALSE),"")</f>
        <v/>
      </c>
      <c r="E1561" t="str">
        <f>IFERROR(VLOOKUP(tbEscolas[[#This Row],[COD ETPA]],tbEtapas[],3,FALSE),"")</f>
        <v/>
      </c>
    </row>
    <row r="1562" spans="1:5" x14ac:dyDescent="0.25">
      <c r="A1562" t="str" cm="1">
        <f t="array" ref="A1562">IFERROR(INDEX(tbNucleo[ESCOLA],ROUNDUP(ROW(A1561)/TotalEtapas,0)),"")</f>
        <v/>
      </c>
      <c r="D1562" t="str">
        <f>IFERROR(VLOOKUP(tbEscolas[[#This Row],[COD ETPA]],tbEtapas[],2,FALSE),"")</f>
        <v/>
      </c>
      <c r="E1562" t="str">
        <f>IFERROR(VLOOKUP(tbEscolas[[#This Row],[COD ETPA]],tbEtapas[],3,FALSE),"")</f>
        <v/>
      </c>
    </row>
    <row r="1563" spans="1:5" x14ac:dyDescent="0.25">
      <c r="A1563" t="str" cm="1">
        <f t="array" ref="A1563">IFERROR(INDEX(tbNucleo[ESCOLA],ROUNDUP(ROW(A1562)/TotalEtapas,0)),"")</f>
        <v/>
      </c>
      <c r="D1563" t="str">
        <f>IFERROR(VLOOKUP(tbEscolas[[#This Row],[COD ETPA]],tbEtapas[],2,FALSE),"")</f>
        <v/>
      </c>
      <c r="E1563" t="str">
        <f>IFERROR(VLOOKUP(tbEscolas[[#This Row],[COD ETPA]],tbEtapas[],3,FALSE),"")</f>
        <v/>
      </c>
    </row>
    <row r="1564" spans="1:5" x14ac:dyDescent="0.25">
      <c r="A1564" t="str" cm="1">
        <f t="array" ref="A1564">IFERROR(INDEX(tbNucleo[ESCOLA],ROUNDUP(ROW(A1563)/TotalEtapas,0)),"")</f>
        <v/>
      </c>
      <c r="D1564" t="str">
        <f>IFERROR(VLOOKUP(tbEscolas[[#This Row],[COD ETPA]],tbEtapas[],2,FALSE),"")</f>
        <v/>
      </c>
      <c r="E1564" t="str">
        <f>IFERROR(VLOOKUP(tbEscolas[[#This Row],[COD ETPA]],tbEtapas[],3,FALSE),"")</f>
        <v/>
      </c>
    </row>
    <row r="1565" spans="1:5" x14ac:dyDescent="0.25">
      <c r="A1565" t="str" cm="1">
        <f t="array" ref="A1565">IFERROR(INDEX(tbNucleo[ESCOLA],ROUNDUP(ROW(A1564)/TotalEtapas,0)),"")</f>
        <v/>
      </c>
      <c r="D1565" t="str">
        <f>IFERROR(VLOOKUP(tbEscolas[[#This Row],[COD ETPA]],tbEtapas[],2,FALSE),"")</f>
        <v/>
      </c>
      <c r="E1565" t="str">
        <f>IFERROR(VLOOKUP(tbEscolas[[#This Row],[COD ETPA]],tbEtapas[],3,FALSE),"")</f>
        <v/>
      </c>
    </row>
    <row r="1566" spans="1:5" x14ac:dyDescent="0.25">
      <c r="A1566" t="str" cm="1">
        <f t="array" ref="A1566">IFERROR(INDEX(tbNucleo[ESCOLA],ROUNDUP(ROW(A1565)/TotalEtapas,0)),"")</f>
        <v/>
      </c>
      <c r="D1566" t="str">
        <f>IFERROR(VLOOKUP(tbEscolas[[#This Row],[COD ETPA]],tbEtapas[],2,FALSE),"")</f>
        <v/>
      </c>
      <c r="E1566" t="str">
        <f>IFERROR(VLOOKUP(tbEscolas[[#This Row],[COD ETPA]],tbEtapas[],3,FALSE),"")</f>
        <v/>
      </c>
    </row>
    <row r="1567" spans="1:5" x14ac:dyDescent="0.25">
      <c r="A1567" t="str" cm="1">
        <f t="array" ref="A1567">IFERROR(INDEX(tbNucleo[ESCOLA],ROUNDUP(ROW(A1566)/TotalEtapas,0)),"")</f>
        <v/>
      </c>
      <c r="D1567" t="str">
        <f>IFERROR(VLOOKUP(tbEscolas[[#This Row],[COD ETPA]],tbEtapas[],2,FALSE),"")</f>
        <v/>
      </c>
      <c r="E1567" t="str">
        <f>IFERROR(VLOOKUP(tbEscolas[[#This Row],[COD ETPA]],tbEtapas[],3,FALSE),"")</f>
        <v/>
      </c>
    </row>
    <row r="1568" spans="1:5" x14ac:dyDescent="0.25">
      <c r="A1568" t="str" cm="1">
        <f t="array" ref="A1568">IFERROR(INDEX(tbNucleo[ESCOLA],ROUNDUP(ROW(A1567)/TotalEtapas,0)),"")</f>
        <v/>
      </c>
      <c r="D1568" t="str">
        <f>IFERROR(VLOOKUP(tbEscolas[[#This Row],[COD ETPA]],tbEtapas[],2,FALSE),"")</f>
        <v/>
      </c>
      <c r="E1568" t="str">
        <f>IFERROR(VLOOKUP(tbEscolas[[#This Row],[COD ETPA]],tbEtapas[],3,FALSE),"")</f>
        <v/>
      </c>
    </row>
    <row r="1569" spans="1:5" x14ac:dyDescent="0.25">
      <c r="A1569" t="str" cm="1">
        <f t="array" ref="A1569">IFERROR(INDEX(tbNucleo[ESCOLA],ROUNDUP(ROW(A1568)/TotalEtapas,0)),"")</f>
        <v/>
      </c>
      <c r="D1569" t="str">
        <f>IFERROR(VLOOKUP(tbEscolas[[#This Row],[COD ETPA]],tbEtapas[],2,FALSE),"")</f>
        <v/>
      </c>
      <c r="E1569" t="str">
        <f>IFERROR(VLOOKUP(tbEscolas[[#This Row],[COD ETPA]],tbEtapas[],3,FALSE),"")</f>
        <v/>
      </c>
    </row>
    <row r="1570" spans="1:5" x14ac:dyDescent="0.25">
      <c r="A1570" t="str" cm="1">
        <f t="array" ref="A1570">IFERROR(INDEX(tbNucleo[ESCOLA],ROUNDUP(ROW(A1569)/TotalEtapas,0)),"")</f>
        <v/>
      </c>
      <c r="D1570" t="str">
        <f>IFERROR(VLOOKUP(tbEscolas[[#This Row],[COD ETPA]],tbEtapas[],2,FALSE),"")</f>
        <v/>
      </c>
      <c r="E1570" t="str">
        <f>IFERROR(VLOOKUP(tbEscolas[[#This Row],[COD ETPA]],tbEtapas[],3,FALSE),"")</f>
        <v/>
      </c>
    </row>
    <row r="1571" spans="1:5" x14ac:dyDescent="0.25">
      <c r="A1571" t="str" cm="1">
        <f t="array" ref="A1571">IFERROR(INDEX(tbNucleo[ESCOLA],ROUNDUP(ROW(A1570)/TotalEtapas,0)),"")</f>
        <v/>
      </c>
      <c r="D1571" t="str">
        <f>IFERROR(VLOOKUP(tbEscolas[[#This Row],[COD ETPA]],tbEtapas[],2,FALSE),"")</f>
        <v/>
      </c>
      <c r="E1571" t="str">
        <f>IFERROR(VLOOKUP(tbEscolas[[#This Row],[COD ETPA]],tbEtapas[],3,FALSE),"")</f>
        <v/>
      </c>
    </row>
    <row r="1572" spans="1:5" x14ac:dyDescent="0.25">
      <c r="A1572" t="str" cm="1">
        <f t="array" ref="A1572">IFERROR(INDEX(tbNucleo[ESCOLA],ROUNDUP(ROW(A1571)/TotalEtapas,0)),"")</f>
        <v/>
      </c>
      <c r="D1572" t="str">
        <f>IFERROR(VLOOKUP(tbEscolas[[#This Row],[COD ETPA]],tbEtapas[],2,FALSE),"")</f>
        <v/>
      </c>
      <c r="E1572" t="str">
        <f>IFERROR(VLOOKUP(tbEscolas[[#This Row],[COD ETPA]],tbEtapas[],3,FALSE),"")</f>
        <v/>
      </c>
    </row>
    <row r="1573" spans="1:5" x14ac:dyDescent="0.25">
      <c r="A1573" t="str" cm="1">
        <f t="array" ref="A1573">IFERROR(INDEX(tbNucleo[ESCOLA],ROUNDUP(ROW(A1572)/TotalEtapas,0)),"")</f>
        <v/>
      </c>
      <c r="D1573" t="str">
        <f>IFERROR(VLOOKUP(tbEscolas[[#This Row],[COD ETPA]],tbEtapas[],2,FALSE),"")</f>
        <v/>
      </c>
      <c r="E1573" t="str">
        <f>IFERROR(VLOOKUP(tbEscolas[[#This Row],[COD ETPA]],tbEtapas[],3,FALSE),"")</f>
        <v/>
      </c>
    </row>
    <row r="1574" spans="1:5" x14ac:dyDescent="0.25">
      <c r="A1574" t="str" cm="1">
        <f t="array" ref="A1574">IFERROR(INDEX(tbNucleo[ESCOLA],ROUNDUP(ROW(A1573)/TotalEtapas,0)),"")</f>
        <v/>
      </c>
      <c r="D1574" t="str">
        <f>IFERROR(VLOOKUP(tbEscolas[[#This Row],[COD ETPA]],tbEtapas[],2,FALSE),"")</f>
        <v/>
      </c>
      <c r="E1574" t="str">
        <f>IFERROR(VLOOKUP(tbEscolas[[#This Row],[COD ETPA]],tbEtapas[],3,FALSE),"")</f>
        <v/>
      </c>
    </row>
    <row r="1575" spans="1:5" x14ac:dyDescent="0.25">
      <c r="A1575" t="str" cm="1">
        <f t="array" ref="A1575">IFERROR(INDEX(tbNucleo[ESCOLA],ROUNDUP(ROW(A1574)/TotalEtapas,0)),"")</f>
        <v/>
      </c>
      <c r="D1575" t="str">
        <f>IFERROR(VLOOKUP(tbEscolas[[#This Row],[COD ETPA]],tbEtapas[],2,FALSE),"")</f>
        <v/>
      </c>
      <c r="E1575" t="str">
        <f>IFERROR(VLOOKUP(tbEscolas[[#This Row],[COD ETPA]],tbEtapas[],3,FALSE),"")</f>
        <v/>
      </c>
    </row>
    <row r="1576" spans="1:5" x14ac:dyDescent="0.25">
      <c r="A1576" t="str" cm="1">
        <f t="array" ref="A1576">IFERROR(INDEX(tbNucleo[ESCOLA],ROUNDUP(ROW(A1575)/TotalEtapas,0)),"")</f>
        <v/>
      </c>
      <c r="D1576" t="str">
        <f>IFERROR(VLOOKUP(tbEscolas[[#This Row],[COD ETPA]],tbEtapas[],2,FALSE),"")</f>
        <v/>
      </c>
      <c r="E1576" t="str">
        <f>IFERROR(VLOOKUP(tbEscolas[[#This Row],[COD ETPA]],tbEtapas[],3,FALSE),"")</f>
        <v/>
      </c>
    </row>
    <row r="1577" spans="1:5" x14ac:dyDescent="0.25">
      <c r="A1577" t="str" cm="1">
        <f t="array" ref="A1577">IFERROR(INDEX(tbNucleo[ESCOLA],ROUNDUP(ROW(A1576)/TotalEtapas,0)),"")</f>
        <v/>
      </c>
      <c r="D1577" t="str">
        <f>IFERROR(VLOOKUP(tbEscolas[[#This Row],[COD ETPA]],tbEtapas[],2,FALSE),"")</f>
        <v/>
      </c>
      <c r="E1577" t="str">
        <f>IFERROR(VLOOKUP(tbEscolas[[#This Row],[COD ETPA]],tbEtapas[],3,FALSE),"")</f>
        <v/>
      </c>
    </row>
    <row r="1578" spans="1:5" x14ac:dyDescent="0.25">
      <c r="A1578" t="str" cm="1">
        <f t="array" ref="A1578">IFERROR(INDEX(tbNucleo[ESCOLA],ROUNDUP(ROW(A1577)/TotalEtapas,0)),"")</f>
        <v/>
      </c>
      <c r="D1578" t="str">
        <f>IFERROR(VLOOKUP(tbEscolas[[#This Row],[COD ETPA]],tbEtapas[],2,FALSE),"")</f>
        <v/>
      </c>
      <c r="E1578" t="str">
        <f>IFERROR(VLOOKUP(tbEscolas[[#This Row],[COD ETPA]],tbEtapas[],3,FALSE),"")</f>
        <v/>
      </c>
    </row>
    <row r="1579" spans="1:5" x14ac:dyDescent="0.25">
      <c r="A1579" t="str" cm="1">
        <f t="array" ref="A1579">IFERROR(INDEX(tbNucleo[ESCOLA],ROUNDUP(ROW(A1578)/TotalEtapas,0)),"")</f>
        <v/>
      </c>
      <c r="D1579" t="str">
        <f>IFERROR(VLOOKUP(tbEscolas[[#This Row],[COD ETPA]],tbEtapas[],2,FALSE),"")</f>
        <v/>
      </c>
      <c r="E1579" t="str">
        <f>IFERROR(VLOOKUP(tbEscolas[[#This Row],[COD ETPA]],tbEtapas[],3,FALSE),"")</f>
        <v/>
      </c>
    </row>
    <row r="1580" spans="1:5" x14ac:dyDescent="0.25">
      <c r="A1580" t="str" cm="1">
        <f t="array" ref="A1580">IFERROR(INDEX(tbNucleo[ESCOLA],ROUNDUP(ROW(A1579)/TotalEtapas,0)),"")</f>
        <v/>
      </c>
      <c r="D1580" t="str">
        <f>IFERROR(VLOOKUP(tbEscolas[[#This Row],[COD ETPA]],tbEtapas[],2,FALSE),"")</f>
        <v/>
      </c>
      <c r="E1580" t="str">
        <f>IFERROR(VLOOKUP(tbEscolas[[#This Row],[COD ETPA]],tbEtapas[],3,FALSE),"")</f>
        <v/>
      </c>
    </row>
    <row r="1581" spans="1:5" x14ac:dyDescent="0.25">
      <c r="A1581" t="str" cm="1">
        <f t="array" ref="A1581">IFERROR(INDEX(tbNucleo[ESCOLA],ROUNDUP(ROW(A1580)/TotalEtapas,0)),"")</f>
        <v/>
      </c>
      <c r="D1581" t="str">
        <f>IFERROR(VLOOKUP(tbEscolas[[#This Row],[COD ETPA]],tbEtapas[],2,FALSE),"")</f>
        <v/>
      </c>
      <c r="E1581" t="str">
        <f>IFERROR(VLOOKUP(tbEscolas[[#This Row],[COD ETPA]],tbEtapas[],3,FALSE),"")</f>
        <v/>
      </c>
    </row>
    <row r="1582" spans="1:5" x14ac:dyDescent="0.25">
      <c r="A1582" t="str" cm="1">
        <f t="array" ref="A1582">IFERROR(INDEX(tbNucleo[ESCOLA],ROUNDUP(ROW(A1581)/TotalEtapas,0)),"")</f>
        <v/>
      </c>
      <c r="D1582" t="str">
        <f>IFERROR(VLOOKUP(tbEscolas[[#This Row],[COD ETPA]],tbEtapas[],2,FALSE),"")</f>
        <v/>
      </c>
      <c r="E1582" t="str">
        <f>IFERROR(VLOOKUP(tbEscolas[[#This Row],[COD ETPA]],tbEtapas[],3,FALSE),"")</f>
        <v/>
      </c>
    </row>
    <row r="1583" spans="1:5" x14ac:dyDescent="0.25">
      <c r="A1583" t="str" cm="1">
        <f t="array" ref="A1583">IFERROR(INDEX(tbNucleo[ESCOLA],ROUNDUP(ROW(A1582)/TotalEtapas,0)),"")</f>
        <v/>
      </c>
      <c r="D1583" t="str">
        <f>IFERROR(VLOOKUP(tbEscolas[[#This Row],[COD ETPA]],tbEtapas[],2,FALSE),"")</f>
        <v/>
      </c>
      <c r="E1583" t="str">
        <f>IFERROR(VLOOKUP(tbEscolas[[#This Row],[COD ETPA]],tbEtapas[],3,FALSE),"")</f>
        <v/>
      </c>
    </row>
    <row r="1584" spans="1:5" x14ac:dyDescent="0.25">
      <c r="A1584" t="str" cm="1">
        <f t="array" ref="A1584">IFERROR(INDEX(tbNucleo[ESCOLA],ROUNDUP(ROW(A1583)/TotalEtapas,0)),"")</f>
        <v/>
      </c>
      <c r="D1584" t="str">
        <f>IFERROR(VLOOKUP(tbEscolas[[#This Row],[COD ETPA]],tbEtapas[],2,FALSE),"")</f>
        <v/>
      </c>
      <c r="E1584" t="str">
        <f>IFERROR(VLOOKUP(tbEscolas[[#This Row],[COD ETPA]],tbEtapas[],3,FALSE),"")</f>
        <v/>
      </c>
    </row>
    <row r="1585" spans="1:5" x14ac:dyDescent="0.25">
      <c r="A1585" t="str" cm="1">
        <f t="array" ref="A1585">IFERROR(INDEX(tbNucleo[ESCOLA],ROUNDUP(ROW(A1584)/TotalEtapas,0)),"")</f>
        <v/>
      </c>
      <c r="D1585" t="str">
        <f>IFERROR(VLOOKUP(tbEscolas[[#This Row],[COD ETPA]],tbEtapas[],2,FALSE),"")</f>
        <v/>
      </c>
      <c r="E1585" t="str">
        <f>IFERROR(VLOOKUP(tbEscolas[[#This Row],[COD ETPA]],tbEtapas[],3,FALSE),"")</f>
        <v/>
      </c>
    </row>
    <row r="1586" spans="1:5" x14ac:dyDescent="0.25">
      <c r="A1586" t="str" cm="1">
        <f t="array" ref="A1586">IFERROR(INDEX(tbNucleo[ESCOLA],ROUNDUP(ROW(A1585)/TotalEtapas,0)),"")</f>
        <v/>
      </c>
      <c r="D1586" t="str">
        <f>IFERROR(VLOOKUP(tbEscolas[[#This Row],[COD ETPA]],tbEtapas[],2,FALSE),"")</f>
        <v/>
      </c>
      <c r="E1586" t="str">
        <f>IFERROR(VLOOKUP(tbEscolas[[#This Row],[COD ETPA]],tbEtapas[],3,FALSE),"")</f>
        <v/>
      </c>
    </row>
    <row r="1587" spans="1:5" x14ac:dyDescent="0.25">
      <c r="A1587" t="str" cm="1">
        <f t="array" ref="A1587">IFERROR(INDEX(tbNucleo[ESCOLA],ROUNDUP(ROW(A1586)/TotalEtapas,0)),"")</f>
        <v/>
      </c>
      <c r="D1587" t="str">
        <f>IFERROR(VLOOKUP(tbEscolas[[#This Row],[COD ETPA]],tbEtapas[],2,FALSE),"")</f>
        <v/>
      </c>
      <c r="E1587" t="str">
        <f>IFERROR(VLOOKUP(tbEscolas[[#This Row],[COD ETPA]],tbEtapas[],3,FALSE),"")</f>
        <v/>
      </c>
    </row>
    <row r="1588" spans="1:5" x14ac:dyDescent="0.25">
      <c r="A1588" t="str" cm="1">
        <f t="array" ref="A1588">IFERROR(INDEX(tbNucleo[ESCOLA],ROUNDUP(ROW(A1587)/TotalEtapas,0)),"")</f>
        <v/>
      </c>
      <c r="D1588" t="str">
        <f>IFERROR(VLOOKUP(tbEscolas[[#This Row],[COD ETPA]],tbEtapas[],2,FALSE),"")</f>
        <v/>
      </c>
      <c r="E1588" t="str">
        <f>IFERROR(VLOOKUP(tbEscolas[[#This Row],[COD ETPA]],tbEtapas[],3,FALSE),"")</f>
        <v/>
      </c>
    </row>
    <row r="1589" spans="1:5" x14ac:dyDescent="0.25">
      <c r="A1589" t="str" cm="1">
        <f t="array" ref="A1589">IFERROR(INDEX(tbNucleo[ESCOLA],ROUNDUP(ROW(A1588)/TotalEtapas,0)),"")</f>
        <v/>
      </c>
      <c r="D1589" t="str">
        <f>IFERROR(VLOOKUP(tbEscolas[[#This Row],[COD ETPA]],tbEtapas[],2,FALSE),"")</f>
        <v/>
      </c>
      <c r="E1589" t="str">
        <f>IFERROR(VLOOKUP(tbEscolas[[#This Row],[COD ETPA]],tbEtapas[],3,FALSE),"")</f>
        <v/>
      </c>
    </row>
    <row r="1590" spans="1:5" x14ac:dyDescent="0.25">
      <c r="A1590" t="str" cm="1">
        <f t="array" ref="A1590">IFERROR(INDEX(tbNucleo[ESCOLA],ROUNDUP(ROW(A1589)/TotalEtapas,0)),"")</f>
        <v/>
      </c>
      <c r="D1590" t="str">
        <f>IFERROR(VLOOKUP(tbEscolas[[#This Row],[COD ETPA]],tbEtapas[],2,FALSE),"")</f>
        <v/>
      </c>
      <c r="E1590" t="str">
        <f>IFERROR(VLOOKUP(tbEscolas[[#This Row],[COD ETPA]],tbEtapas[],3,FALSE),"")</f>
        <v/>
      </c>
    </row>
    <row r="1591" spans="1:5" x14ac:dyDescent="0.25">
      <c r="A1591" t="str" cm="1">
        <f t="array" ref="A1591">IFERROR(INDEX(tbNucleo[ESCOLA],ROUNDUP(ROW(A1590)/TotalEtapas,0)),"")</f>
        <v/>
      </c>
      <c r="D1591" t="str">
        <f>IFERROR(VLOOKUP(tbEscolas[[#This Row],[COD ETPA]],tbEtapas[],2,FALSE),"")</f>
        <v/>
      </c>
      <c r="E1591" t="str">
        <f>IFERROR(VLOOKUP(tbEscolas[[#This Row],[COD ETPA]],tbEtapas[],3,FALSE),"")</f>
        <v/>
      </c>
    </row>
    <row r="1592" spans="1:5" x14ac:dyDescent="0.25">
      <c r="A1592" t="str" cm="1">
        <f t="array" ref="A1592">IFERROR(INDEX(tbNucleo[ESCOLA],ROUNDUP(ROW(A1591)/TotalEtapas,0)),"")</f>
        <v/>
      </c>
      <c r="D1592" t="str">
        <f>IFERROR(VLOOKUP(tbEscolas[[#This Row],[COD ETPA]],tbEtapas[],2,FALSE),"")</f>
        <v/>
      </c>
      <c r="E1592" t="str">
        <f>IFERROR(VLOOKUP(tbEscolas[[#This Row],[COD ETPA]],tbEtapas[],3,FALSE),"")</f>
        <v/>
      </c>
    </row>
    <row r="1593" spans="1:5" x14ac:dyDescent="0.25">
      <c r="A1593" t="str" cm="1">
        <f t="array" ref="A1593">IFERROR(INDEX(tbNucleo[ESCOLA],ROUNDUP(ROW(A1592)/TotalEtapas,0)),"")</f>
        <v/>
      </c>
      <c r="D1593" t="str">
        <f>IFERROR(VLOOKUP(tbEscolas[[#This Row],[COD ETPA]],tbEtapas[],2,FALSE),"")</f>
        <v/>
      </c>
      <c r="E1593" t="str">
        <f>IFERROR(VLOOKUP(tbEscolas[[#This Row],[COD ETPA]],tbEtapas[],3,FALSE),"")</f>
        <v/>
      </c>
    </row>
    <row r="1594" spans="1:5" x14ac:dyDescent="0.25">
      <c r="A1594" t="str" cm="1">
        <f t="array" ref="A1594">IFERROR(INDEX(tbNucleo[ESCOLA],ROUNDUP(ROW(A1593)/TotalEtapas,0)),"")</f>
        <v/>
      </c>
      <c r="D1594" t="str">
        <f>IFERROR(VLOOKUP(tbEscolas[[#This Row],[COD ETPA]],tbEtapas[],2,FALSE),"")</f>
        <v/>
      </c>
      <c r="E1594" t="str">
        <f>IFERROR(VLOOKUP(tbEscolas[[#This Row],[COD ETPA]],tbEtapas[],3,FALSE),"")</f>
        <v/>
      </c>
    </row>
    <row r="1595" spans="1:5" x14ac:dyDescent="0.25">
      <c r="A1595" t="str" cm="1">
        <f t="array" ref="A1595">IFERROR(INDEX(tbNucleo[ESCOLA],ROUNDUP(ROW(A1594)/TotalEtapas,0)),"")</f>
        <v/>
      </c>
      <c r="D1595" t="str">
        <f>IFERROR(VLOOKUP(tbEscolas[[#This Row],[COD ETPA]],tbEtapas[],2,FALSE),"")</f>
        <v/>
      </c>
      <c r="E1595" t="str">
        <f>IFERROR(VLOOKUP(tbEscolas[[#This Row],[COD ETPA]],tbEtapas[],3,FALSE),"")</f>
        <v/>
      </c>
    </row>
    <row r="1596" spans="1:5" x14ac:dyDescent="0.25">
      <c r="A1596" t="str" cm="1">
        <f t="array" ref="A1596">IFERROR(INDEX(tbNucleo[ESCOLA],ROUNDUP(ROW(A1595)/TotalEtapas,0)),"")</f>
        <v/>
      </c>
      <c r="D1596" t="str">
        <f>IFERROR(VLOOKUP(tbEscolas[[#This Row],[COD ETPA]],tbEtapas[],2,FALSE),"")</f>
        <v/>
      </c>
      <c r="E1596" t="str">
        <f>IFERROR(VLOOKUP(tbEscolas[[#This Row],[COD ETPA]],tbEtapas[],3,FALSE),"")</f>
        <v/>
      </c>
    </row>
    <row r="1597" spans="1:5" x14ac:dyDescent="0.25">
      <c r="A1597" t="str" cm="1">
        <f t="array" ref="A1597">IFERROR(INDEX(tbNucleo[ESCOLA],ROUNDUP(ROW(A1596)/TotalEtapas,0)),"")</f>
        <v/>
      </c>
      <c r="D1597" t="str">
        <f>IFERROR(VLOOKUP(tbEscolas[[#This Row],[COD ETPA]],tbEtapas[],2,FALSE),"")</f>
        <v/>
      </c>
      <c r="E1597" t="str">
        <f>IFERROR(VLOOKUP(tbEscolas[[#This Row],[COD ETPA]],tbEtapas[],3,FALSE),"")</f>
        <v/>
      </c>
    </row>
    <row r="1598" spans="1:5" x14ac:dyDescent="0.25">
      <c r="A1598" t="str" cm="1">
        <f t="array" ref="A1598">IFERROR(INDEX(tbNucleo[ESCOLA],ROUNDUP(ROW(A1597)/TotalEtapas,0)),"")</f>
        <v/>
      </c>
      <c r="D1598" t="str">
        <f>IFERROR(VLOOKUP(tbEscolas[[#This Row],[COD ETPA]],tbEtapas[],2,FALSE),"")</f>
        <v/>
      </c>
      <c r="E1598" t="str">
        <f>IFERROR(VLOOKUP(tbEscolas[[#This Row],[COD ETPA]],tbEtapas[],3,FALSE),"")</f>
        <v/>
      </c>
    </row>
    <row r="1599" spans="1:5" x14ac:dyDescent="0.25">
      <c r="A1599" t="str" cm="1">
        <f t="array" ref="A1599">IFERROR(INDEX(tbNucleo[ESCOLA],ROUNDUP(ROW(A1598)/TotalEtapas,0)),"")</f>
        <v/>
      </c>
      <c r="D1599" t="str">
        <f>IFERROR(VLOOKUP(tbEscolas[[#This Row],[COD ETPA]],tbEtapas[],2,FALSE),"")</f>
        <v/>
      </c>
      <c r="E1599" t="str">
        <f>IFERROR(VLOOKUP(tbEscolas[[#This Row],[COD ETPA]],tbEtapas[],3,FALSE),"")</f>
        <v/>
      </c>
    </row>
    <row r="1600" spans="1:5" x14ac:dyDescent="0.25">
      <c r="A1600" t="str" cm="1">
        <f t="array" ref="A1600">IFERROR(INDEX(tbNucleo[ESCOLA],ROUNDUP(ROW(A1599)/TotalEtapas,0)),"")</f>
        <v/>
      </c>
      <c r="D1600" t="str">
        <f>IFERROR(VLOOKUP(tbEscolas[[#This Row],[COD ETPA]],tbEtapas[],2,FALSE),"")</f>
        <v/>
      </c>
      <c r="E1600" t="str">
        <f>IFERROR(VLOOKUP(tbEscolas[[#This Row],[COD ETPA]],tbEtapas[],3,FALSE),"")</f>
        <v/>
      </c>
    </row>
    <row r="1601" spans="1:5" x14ac:dyDescent="0.25">
      <c r="A1601" t="str" cm="1">
        <f t="array" ref="A1601">IFERROR(INDEX(tbNucleo[ESCOLA],ROUNDUP(ROW(A1600)/TotalEtapas,0)),"")</f>
        <v/>
      </c>
      <c r="D1601" t="str">
        <f>IFERROR(VLOOKUP(tbEscolas[[#This Row],[COD ETPA]],tbEtapas[],2,FALSE),"")</f>
        <v/>
      </c>
      <c r="E1601" t="str">
        <f>IFERROR(VLOOKUP(tbEscolas[[#This Row],[COD ETPA]],tbEtapas[],3,FALSE),"")</f>
        <v/>
      </c>
    </row>
    <row r="1602" spans="1:5" x14ac:dyDescent="0.25">
      <c r="A1602" t="str" cm="1">
        <f t="array" ref="A1602">IFERROR(INDEX(tbNucleo[ESCOLA],ROUNDUP(ROW(A1601)/TotalEtapas,0)),"")</f>
        <v/>
      </c>
      <c r="D1602" t="str">
        <f>IFERROR(VLOOKUP(tbEscolas[[#This Row],[COD ETPA]],tbEtapas[],2,FALSE),"")</f>
        <v/>
      </c>
      <c r="E1602" t="str">
        <f>IFERROR(VLOOKUP(tbEscolas[[#This Row],[COD ETPA]],tbEtapas[],3,FALSE),"")</f>
        <v/>
      </c>
    </row>
    <row r="1603" spans="1:5" x14ac:dyDescent="0.25">
      <c r="A1603" t="str" cm="1">
        <f t="array" ref="A1603">IFERROR(INDEX(tbNucleo[ESCOLA],ROUNDUP(ROW(A1602)/TotalEtapas,0)),"")</f>
        <v/>
      </c>
      <c r="D1603" t="str">
        <f>IFERROR(VLOOKUP(tbEscolas[[#This Row],[COD ETPA]],tbEtapas[],2,FALSE),"")</f>
        <v/>
      </c>
      <c r="E1603" t="str">
        <f>IFERROR(VLOOKUP(tbEscolas[[#This Row],[COD ETPA]],tbEtapas[],3,FALSE),"")</f>
        <v/>
      </c>
    </row>
    <row r="1604" spans="1:5" x14ac:dyDescent="0.25">
      <c r="A1604" t="str" cm="1">
        <f t="array" ref="A1604">IFERROR(INDEX(tbNucleo[ESCOLA],ROUNDUP(ROW(A1603)/TotalEtapas,0)),"")</f>
        <v/>
      </c>
      <c r="D1604" t="str">
        <f>IFERROR(VLOOKUP(tbEscolas[[#This Row],[COD ETPA]],tbEtapas[],2,FALSE),"")</f>
        <v/>
      </c>
      <c r="E1604" t="str">
        <f>IFERROR(VLOOKUP(tbEscolas[[#This Row],[COD ETPA]],tbEtapas[],3,FALSE),"")</f>
        <v/>
      </c>
    </row>
    <row r="1605" spans="1:5" x14ac:dyDescent="0.25">
      <c r="A1605" t="str" cm="1">
        <f t="array" ref="A1605">IFERROR(INDEX(tbNucleo[ESCOLA],ROUNDUP(ROW(A1604)/TotalEtapas,0)),"")</f>
        <v/>
      </c>
      <c r="D1605" t="str">
        <f>IFERROR(VLOOKUP(tbEscolas[[#This Row],[COD ETPA]],tbEtapas[],2,FALSE),"")</f>
        <v/>
      </c>
      <c r="E1605" t="str">
        <f>IFERROR(VLOOKUP(tbEscolas[[#This Row],[COD ETPA]],tbEtapas[],3,FALSE),"")</f>
        <v/>
      </c>
    </row>
    <row r="1606" spans="1:5" x14ac:dyDescent="0.25">
      <c r="A1606" t="str" cm="1">
        <f t="array" ref="A1606">IFERROR(INDEX(tbNucleo[ESCOLA],ROUNDUP(ROW(A1605)/TotalEtapas,0)),"")</f>
        <v/>
      </c>
      <c r="D1606" t="str">
        <f>IFERROR(VLOOKUP(tbEscolas[[#This Row],[COD ETPA]],tbEtapas[],2,FALSE),"")</f>
        <v/>
      </c>
      <c r="E1606" t="str">
        <f>IFERROR(VLOOKUP(tbEscolas[[#This Row],[COD ETPA]],tbEtapas[],3,FALSE),"")</f>
        <v/>
      </c>
    </row>
    <row r="1607" spans="1:5" x14ac:dyDescent="0.25">
      <c r="A1607" t="str" cm="1">
        <f t="array" ref="A1607">IFERROR(INDEX(tbNucleo[ESCOLA],ROUNDUP(ROW(A1606)/TotalEtapas,0)),"")</f>
        <v/>
      </c>
      <c r="D1607" t="str">
        <f>IFERROR(VLOOKUP(tbEscolas[[#This Row],[COD ETPA]],tbEtapas[],2,FALSE),"")</f>
        <v/>
      </c>
      <c r="E1607" t="str">
        <f>IFERROR(VLOOKUP(tbEscolas[[#This Row],[COD ETPA]],tbEtapas[],3,FALSE),"")</f>
        <v/>
      </c>
    </row>
    <row r="1608" spans="1:5" x14ac:dyDescent="0.25">
      <c r="A1608" t="str" cm="1">
        <f t="array" ref="A1608">IFERROR(INDEX(tbNucleo[ESCOLA],ROUNDUP(ROW(A1607)/TotalEtapas,0)),"")</f>
        <v/>
      </c>
      <c r="D1608" t="str">
        <f>IFERROR(VLOOKUP(tbEscolas[[#This Row],[COD ETPA]],tbEtapas[],2,FALSE),"")</f>
        <v/>
      </c>
      <c r="E1608" t="str">
        <f>IFERROR(VLOOKUP(tbEscolas[[#This Row],[COD ETPA]],tbEtapas[],3,FALSE),"")</f>
        <v/>
      </c>
    </row>
    <row r="1609" spans="1:5" x14ac:dyDescent="0.25">
      <c r="A1609" t="str" cm="1">
        <f t="array" ref="A1609">IFERROR(INDEX(tbNucleo[ESCOLA],ROUNDUP(ROW(A1608)/TotalEtapas,0)),"")</f>
        <v/>
      </c>
      <c r="D1609" t="str">
        <f>IFERROR(VLOOKUP(tbEscolas[[#This Row],[COD ETPA]],tbEtapas[],2,FALSE),"")</f>
        <v/>
      </c>
      <c r="E1609" t="str">
        <f>IFERROR(VLOOKUP(tbEscolas[[#This Row],[COD ETPA]],tbEtapas[],3,FALSE),"")</f>
        <v/>
      </c>
    </row>
    <row r="1610" spans="1:5" x14ac:dyDescent="0.25">
      <c r="A1610" t="str" cm="1">
        <f t="array" ref="A1610">IFERROR(INDEX(tbNucleo[ESCOLA],ROUNDUP(ROW(A1609)/TotalEtapas,0)),"")</f>
        <v/>
      </c>
      <c r="D1610" t="str">
        <f>IFERROR(VLOOKUP(tbEscolas[[#This Row],[COD ETPA]],tbEtapas[],2,FALSE),"")</f>
        <v/>
      </c>
      <c r="E1610" t="str">
        <f>IFERROR(VLOOKUP(tbEscolas[[#This Row],[COD ETPA]],tbEtapas[],3,FALSE),"")</f>
        <v/>
      </c>
    </row>
    <row r="1611" spans="1:5" x14ac:dyDescent="0.25">
      <c r="A1611" t="str" cm="1">
        <f t="array" ref="A1611">IFERROR(INDEX(tbNucleo[ESCOLA],ROUNDUP(ROW(A1610)/TotalEtapas,0)),"")</f>
        <v/>
      </c>
      <c r="D1611" t="str">
        <f>IFERROR(VLOOKUP(tbEscolas[[#This Row],[COD ETPA]],tbEtapas[],2,FALSE),"")</f>
        <v/>
      </c>
      <c r="E1611" t="str">
        <f>IFERROR(VLOOKUP(tbEscolas[[#This Row],[COD ETPA]],tbEtapas[],3,FALSE),"")</f>
        <v/>
      </c>
    </row>
    <row r="1612" spans="1:5" x14ac:dyDescent="0.25">
      <c r="A1612" t="str" cm="1">
        <f t="array" ref="A1612">IFERROR(INDEX(tbNucleo[ESCOLA],ROUNDUP(ROW(A1611)/TotalEtapas,0)),"")</f>
        <v/>
      </c>
      <c r="D1612" t="str">
        <f>IFERROR(VLOOKUP(tbEscolas[[#This Row],[COD ETPA]],tbEtapas[],2,FALSE),"")</f>
        <v/>
      </c>
      <c r="E1612" t="str">
        <f>IFERROR(VLOOKUP(tbEscolas[[#This Row],[COD ETPA]],tbEtapas[],3,FALSE),"")</f>
        <v/>
      </c>
    </row>
    <row r="1613" spans="1:5" x14ac:dyDescent="0.25">
      <c r="A1613" t="str" cm="1">
        <f t="array" ref="A1613">IFERROR(INDEX(tbNucleo[ESCOLA],ROUNDUP(ROW(A1612)/TotalEtapas,0)),"")</f>
        <v/>
      </c>
      <c r="D1613" t="str">
        <f>IFERROR(VLOOKUP(tbEscolas[[#This Row],[COD ETPA]],tbEtapas[],2,FALSE),"")</f>
        <v/>
      </c>
      <c r="E1613" t="str">
        <f>IFERROR(VLOOKUP(tbEscolas[[#This Row],[COD ETPA]],tbEtapas[],3,FALSE),"")</f>
        <v/>
      </c>
    </row>
    <row r="1614" spans="1:5" x14ac:dyDescent="0.25">
      <c r="A1614" t="str" cm="1">
        <f t="array" ref="A1614">IFERROR(INDEX(tbNucleo[ESCOLA],ROUNDUP(ROW(A1613)/TotalEtapas,0)),"")</f>
        <v/>
      </c>
      <c r="D1614" t="str">
        <f>IFERROR(VLOOKUP(tbEscolas[[#This Row],[COD ETPA]],tbEtapas[],2,FALSE),"")</f>
        <v/>
      </c>
      <c r="E1614" t="str">
        <f>IFERROR(VLOOKUP(tbEscolas[[#This Row],[COD ETPA]],tbEtapas[],3,FALSE),"")</f>
        <v/>
      </c>
    </row>
    <row r="1615" spans="1:5" x14ac:dyDescent="0.25">
      <c r="A1615" t="str" cm="1">
        <f t="array" ref="A1615">IFERROR(INDEX(tbNucleo[ESCOLA],ROUNDUP(ROW(A1614)/TotalEtapas,0)),"")</f>
        <v/>
      </c>
      <c r="D1615" t="str">
        <f>IFERROR(VLOOKUP(tbEscolas[[#This Row],[COD ETPA]],tbEtapas[],2,FALSE),"")</f>
        <v/>
      </c>
      <c r="E1615" t="str">
        <f>IFERROR(VLOOKUP(tbEscolas[[#This Row],[COD ETPA]],tbEtapas[],3,FALSE),"")</f>
        <v/>
      </c>
    </row>
    <row r="1616" spans="1:5" x14ac:dyDescent="0.25">
      <c r="A1616" t="str" cm="1">
        <f t="array" ref="A1616">IFERROR(INDEX(tbNucleo[ESCOLA],ROUNDUP(ROW(A1615)/TotalEtapas,0)),"")</f>
        <v/>
      </c>
      <c r="D1616" t="str">
        <f>IFERROR(VLOOKUP(tbEscolas[[#This Row],[COD ETPA]],tbEtapas[],2,FALSE),"")</f>
        <v/>
      </c>
      <c r="E1616" t="str">
        <f>IFERROR(VLOOKUP(tbEscolas[[#This Row],[COD ETPA]],tbEtapas[],3,FALSE),"")</f>
        <v/>
      </c>
    </row>
    <row r="1617" spans="1:5" x14ac:dyDescent="0.25">
      <c r="A1617" t="str" cm="1">
        <f t="array" ref="A1617">IFERROR(INDEX(tbNucleo[ESCOLA],ROUNDUP(ROW(A1616)/TotalEtapas,0)),"")</f>
        <v/>
      </c>
      <c r="D1617" t="str">
        <f>IFERROR(VLOOKUP(tbEscolas[[#This Row],[COD ETPA]],tbEtapas[],2,FALSE),"")</f>
        <v/>
      </c>
      <c r="E1617" t="str">
        <f>IFERROR(VLOOKUP(tbEscolas[[#This Row],[COD ETPA]],tbEtapas[],3,FALSE),"")</f>
        <v/>
      </c>
    </row>
    <row r="1618" spans="1:5" x14ac:dyDescent="0.25">
      <c r="A1618" t="str" cm="1">
        <f t="array" ref="A1618">IFERROR(INDEX(tbNucleo[ESCOLA],ROUNDUP(ROW(A1617)/TotalEtapas,0)),"")</f>
        <v/>
      </c>
      <c r="D1618" t="str">
        <f>IFERROR(VLOOKUP(tbEscolas[[#This Row],[COD ETPA]],tbEtapas[],2,FALSE),"")</f>
        <v/>
      </c>
      <c r="E1618" t="str">
        <f>IFERROR(VLOOKUP(tbEscolas[[#This Row],[COD ETPA]],tbEtapas[],3,FALSE),"")</f>
        <v/>
      </c>
    </row>
    <row r="1619" spans="1:5" x14ac:dyDescent="0.25">
      <c r="A1619" t="str" cm="1">
        <f t="array" ref="A1619">IFERROR(INDEX(tbNucleo[ESCOLA],ROUNDUP(ROW(A1618)/TotalEtapas,0)),"")</f>
        <v/>
      </c>
      <c r="D1619" t="str">
        <f>IFERROR(VLOOKUP(tbEscolas[[#This Row],[COD ETPA]],tbEtapas[],2,FALSE),"")</f>
        <v/>
      </c>
      <c r="E1619" t="str">
        <f>IFERROR(VLOOKUP(tbEscolas[[#This Row],[COD ETPA]],tbEtapas[],3,FALSE),"")</f>
        <v/>
      </c>
    </row>
    <row r="1620" spans="1:5" x14ac:dyDescent="0.25">
      <c r="A1620" t="str" cm="1">
        <f t="array" ref="A1620">IFERROR(INDEX(tbNucleo[ESCOLA],ROUNDUP(ROW(A1619)/TotalEtapas,0)),"")</f>
        <v/>
      </c>
      <c r="D1620" t="str">
        <f>IFERROR(VLOOKUP(tbEscolas[[#This Row],[COD ETPA]],tbEtapas[],2,FALSE),"")</f>
        <v/>
      </c>
      <c r="E1620" t="str">
        <f>IFERROR(VLOOKUP(tbEscolas[[#This Row],[COD ETPA]],tbEtapas[],3,FALSE),"")</f>
        <v/>
      </c>
    </row>
    <row r="1621" spans="1:5" x14ac:dyDescent="0.25">
      <c r="A1621" t="str" cm="1">
        <f t="array" ref="A1621">IFERROR(INDEX(tbNucleo[ESCOLA],ROUNDUP(ROW(A1620)/TotalEtapas,0)),"")</f>
        <v/>
      </c>
      <c r="D1621" t="str">
        <f>IFERROR(VLOOKUP(tbEscolas[[#This Row],[COD ETPA]],tbEtapas[],2,FALSE),"")</f>
        <v/>
      </c>
      <c r="E1621" t="str">
        <f>IFERROR(VLOOKUP(tbEscolas[[#This Row],[COD ETPA]],tbEtapas[],3,FALSE),"")</f>
        <v/>
      </c>
    </row>
    <row r="1622" spans="1:5" x14ac:dyDescent="0.25">
      <c r="A1622" t="str" cm="1">
        <f t="array" ref="A1622">IFERROR(INDEX(tbNucleo[ESCOLA],ROUNDUP(ROW(A1621)/TotalEtapas,0)),"")</f>
        <v/>
      </c>
      <c r="D1622" t="str">
        <f>IFERROR(VLOOKUP(tbEscolas[[#This Row],[COD ETPA]],tbEtapas[],2,FALSE),"")</f>
        <v/>
      </c>
      <c r="E1622" t="str">
        <f>IFERROR(VLOOKUP(tbEscolas[[#This Row],[COD ETPA]],tbEtapas[],3,FALSE),"")</f>
        <v/>
      </c>
    </row>
    <row r="1623" spans="1:5" x14ac:dyDescent="0.25">
      <c r="A1623" t="str" cm="1">
        <f t="array" ref="A1623">IFERROR(INDEX(tbNucleo[ESCOLA],ROUNDUP(ROW(A1622)/TotalEtapas,0)),"")</f>
        <v/>
      </c>
      <c r="D1623" t="str">
        <f>IFERROR(VLOOKUP(tbEscolas[[#This Row],[COD ETPA]],tbEtapas[],2,FALSE),"")</f>
        <v/>
      </c>
      <c r="E1623" t="str">
        <f>IFERROR(VLOOKUP(tbEscolas[[#This Row],[COD ETPA]],tbEtapas[],3,FALSE),"")</f>
        <v/>
      </c>
    </row>
    <row r="1624" spans="1:5" x14ac:dyDescent="0.25">
      <c r="A1624" t="str" cm="1">
        <f t="array" ref="A1624">IFERROR(INDEX(tbNucleo[ESCOLA],ROUNDUP(ROW(A1623)/TotalEtapas,0)),"")</f>
        <v/>
      </c>
      <c r="D1624" t="str">
        <f>IFERROR(VLOOKUP(tbEscolas[[#This Row],[COD ETPA]],tbEtapas[],2,FALSE),"")</f>
        <v/>
      </c>
      <c r="E1624" t="str">
        <f>IFERROR(VLOOKUP(tbEscolas[[#This Row],[COD ETPA]],tbEtapas[],3,FALSE),"")</f>
        <v/>
      </c>
    </row>
    <row r="1625" spans="1:5" x14ac:dyDescent="0.25">
      <c r="A1625" t="str" cm="1">
        <f t="array" ref="A1625">IFERROR(INDEX(tbNucleo[ESCOLA],ROUNDUP(ROW(A1624)/TotalEtapas,0)),"")</f>
        <v/>
      </c>
      <c r="D1625" t="str">
        <f>IFERROR(VLOOKUP(tbEscolas[[#This Row],[COD ETPA]],tbEtapas[],2,FALSE),"")</f>
        <v/>
      </c>
      <c r="E1625" t="str">
        <f>IFERROR(VLOOKUP(tbEscolas[[#This Row],[COD ETPA]],tbEtapas[],3,FALSE),"")</f>
        <v/>
      </c>
    </row>
    <row r="1626" spans="1:5" x14ac:dyDescent="0.25">
      <c r="A1626" t="str" cm="1">
        <f t="array" ref="A1626">IFERROR(INDEX(tbNucleo[ESCOLA],ROUNDUP(ROW(A1625)/TotalEtapas,0)),"")</f>
        <v/>
      </c>
      <c r="D1626" t="str">
        <f>IFERROR(VLOOKUP(tbEscolas[[#This Row],[COD ETPA]],tbEtapas[],2,FALSE),"")</f>
        <v/>
      </c>
      <c r="E1626" t="str">
        <f>IFERROR(VLOOKUP(tbEscolas[[#This Row],[COD ETPA]],tbEtapas[],3,FALSE),"")</f>
        <v/>
      </c>
    </row>
    <row r="1627" spans="1:5" x14ac:dyDescent="0.25">
      <c r="A1627" t="str" cm="1">
        <f t="array" ref="A1627">IFERROR(INDEX(tbNucleo[ESCOLA],ROUNDUP(ROW(A1626)/TotalEtapas,0)),"")</f>
        <v/>
      </c>
      <c r="D1627" t="str">
        <f>IFERROR(VLOOKUP(tbEscolas[[#This Row],[COD ETPA]],tbEtapas[],2,FALSE),"")</f>
        <v/>
      </c>
      <c r="E1627" t="str">
        <f>IFERROR(VLOOKUP(tbEscolas[[#This Row],[COD ETPA]],tbEtapas[],3,FALSE),"")</f>
        <v/>
      </c>
    </row>
    <row r="1628" spans="1:5" x14ac:dyDescent="0.25">
      <c r="A1628" t="str" cm="1">
        <f t="array" ref="A1628">IFERROR(INDEX(tbNucleo[ESCOLA],ROUNDUP(ROW(A1627)/TotalEtapas,0)),"")</f>
        <v/>
      </c>
      <c r="D1628" t="str">
        <f>IFERROR(VLOOKUP(tbEscolas[[#This Row],[COD ETPA]],tbEtapas[],2,FALSE),"")</f>
        <v/>
      </c>
      <c r="E1628" t="str">
        <f>IFERROR(VLOOKUP(tbEscolas[[#This Row],[COD ETPA]],tbEtapas[],3,FALSE),"")</f>
        <v/>
      </c>
    </row>
    <row r="1629" spans="1:5" x14ac:dyDescent="0.25">
      <c r="A1629" t="str" cm="1">
        <f t="array" ref="A1629">IFERROR(INDEX(tbNucleo[ESCOLA],ROUNDUP(ROW(A1628)/TotalEtapas,0)),"")</f>
        <v/>
      </c>
      <c r="D1629" t="str">
        <f>IFERROR(VLOOKUP(tbEscolas[[#This Row],[COD ETPA]],tbEtapas[],2,FALSE),"")</f>
        <v/>
      </c>
      <c r="E1629" t="str">
        <f>IFERROR(VLOOKUP(tbEscolas[[#This Row],[COD ETPA]],tbEtapas[],3,FALSE),"")</f>
        <v/>
      </c>
    </row>
    <row r="1630" spans="1:5" x14ac:dyDescent="0.25">
      <c r="A1630" t="str" cm="1">
        <f t="array" ref="A1630">IFERROR(INDEX(tbNucleo[ESCOLA],ROUNDUP(ROW(A1629)/TotalEtapas,0)),"")</f>
        <v/>
      </c>
      <c r="D1630" t="str">
        <f>IFERROR(VLOOKUP(tbEscolas[[#This Row],[COD ETPA]],tbEtapas[],2,FALSE),"")</f>
        <v/>
      </c>
      <c r="E1630" t="str">
        <f>IFERROR(VLOOKUP(tbEscolas[[#This Row],[COD ETPA]],tbEtapas[],3,FALSE),"")</f>
        <v/>
      </c>
    </row>
    <row r="1631" spans="1:5" x14ac:dyDescent="0.25">
      <c r="A1631" t="str" cm="1">
        <f t="array" ref="A1631">IFERROR(INDEX(tbNucleo[ESCOLA],ROUNDUP(ROW(A1630)/TotalEtapas,0)),"")</f>
        <v/>
      </c>
      <c r="D1631" t="str">
        <f>IFERROR(VLOOKUP(tbEscolas[[#This Row],[COD ETPA]],tbEtapas[],2,FALSE),"")</f>
        <v/>
      </c>
      <c r="E1631" t="str">
        <f>IFERROR(VLOOKUP(tbEscolas[[#This Row],[COD ETPA]],tbEtapas[],3,FALSE),"")</f>
        <v/>
      </c>
    </row>
    <row r="1632" spans="1:5" x14ac:dyDescent="0.25">
      <c r="A1632" t="str" cm="1">
        <f t="array" ref="A1632">IFERROR(INDEX(tbNucleo[ESCOLA],ROUNDUP(ROW(A1631)/TotalEtapas,0)),"")</f>
        <v/>
      </c>
      <c r="D1632" t="str">
        <f>IFERROR(VLOOKUP(tbEscolas[[#This Row],[COD ETPA]],tbEtapas[],2,FALSE),"")</f>
        <v/>
      </c>
      <c r="E1632" t="str">
        <f>IFERROR(VLOOKUP(tbEscolas[[#This Row],[COD ETPA]],tbEtapas[],3,FALSE),"")</f>
        <v/>
      </c>
    </row>
    <row r="1633" spans="1:5" x14ac:dyDescent="0.25">
      <c r="A1633" t="str" cm="1">
        <f t="array" ref="A1633">IFERROR(INDEX(tbNucleo[ESCOLA],ROUNDUP(ROW(A1632)/TotalEtapas,0)),"")</f>
        <v/>
      </c>
      <c r="D1633" t="str">
        <f>IFERROR(VLOOKUP(tbEscolas[[#This Row],[COD ETPA]],tbEtapas[],2,FALSE),"")</f>
        <v/>
      </c>
      <c r="E1633" t="str">
        <f>IFERROR(VLOOKUP(tbEscolas[[#This Row],[COD ETPA]],tbEtapas[],3,FALSE),"")</f>
        <v/>
      </c>
    </row>
    <row r="1634" spans="1:5" x14ac:dyDescent="0.25">
      <c r="A1634" t="str" cm="1">
        <f t="array" ref="A1634">IFERROR(INDEX(tbNucleo[ESCOLA],ROUNDUP(ROW(A1633)/TotalEtapas,0)),"")</f>
        <v/>
      </c>
      <c r="D1634" t="str">
        <f>IFERROR(VLOOKUP(tbEscolas[[#This Row],[COD ETPA]],tbEtapas[],2,FALSE),"")</f>
        <v/>
      </c>
      <c r="E1634" t="str">
        <f>IFERROR(VLOOKUP(tbEscolas[[#This Row],[COD ETPA]],tbEtapas[],3,FALSE),"")</f>
        <v/>
      </c>
    </row>
    <row r="1635" spans="1:5" x14ac:dyDescent="0.25">
      <c r="A1635" t="str" cm="1">
        <f t="array" ref="A1635">IFERROR(INDEX(tbNucleo[ESCOLA],ROUNDUP(ROW(A1634)/TotalEtapas,0)),"")</f>
        <v/>
      </c>
      <c r="D1635" t="str">
        <f>IFERROR(VLOOKUP(tbEscolas[[#This Row],[COD ETPA]],tbEtapas[],2,FALSE),"")</f>
        <v/>
      </c>
      <c r="E1635" t="str">
        <f>IFERROR(VLOOKUP(tbEscolas[[#This Row],[COD ETPA]],tbEtapas[],3,FALSE),"")</f>
        <v/>
      </c>
    </row>
    <row r="1636" spans="1:5" x14ac:dyDescent="0.25">
      <c r="A1636" t="str" cm="1">
        <f t="array" ref="A1636">IFERROR(INDEX(tbNucleo[ESCOLA],ROUNDUP(ROW(A1635)/TotalEtapas,0)),"")</f>
        <v/>
      </c>
      <c r="D1636" t="str">
        <f>IFERROR(VLOOKUP(tbEscolas[[#This Row],[COD ETPA]],tbEtapas[],2,FALSE),"")</f>
        <v/>
      </c>
      <c r="E1636" t="str">
        <f>IFERROR(VLOOKUP(tbEscolas[[#This Row],[COD ETPA]],tbEtapas[],3,FALSE),"")</f>
        <v/>
      </c>
    </row>
    <row r="1637" spans="1:5" x14ac:dyDescent="0.25">
      <c r="A1637" t="str" cm="1">
        <f t="array" ref="A1637">IFERROR(INDEX(tbNucleo[ESCOLA],ROUNDUP(ROW(A1636)/TotalEtapas,0)),"")</f>
        <v/>
      </c>
      <c r="D1637" t="str">
        <f>IFERROR(VLOOKUP(tbEscolas[[#This Row],[COD ETPA]],tbEtapas[],2,FALSE),"")</f>
        <v/>
      </c>
      <c r="E1637" t="str">
        <f>IFERROR(VLOOKUP(tbEscolas[[#This Row],[COD ETPA]],tbEtapas[],3,FALSE),"")</f>
        <v/>
      </c>
    </row>
    <row r="1638" spans="1:5" x14ac:dyDescent="0.25">
      <c r="A1638" t="str" cm="1">
        <f t="array" ref="A1638">IFERROR(INDEX(tbNucleo[ESCOLA],ROUNDUP(ROW(A1637)/TotalEtapas,0)),"")</f>
        <v/>
      </c>
      <c r="D1638" t="str">
        <f>IFERROR(VLOOKUP(tbEscolas[[#This Row],[COD ETPA]],tbEtapas[],2,FALSE),"")</f>
        <v/>
      </c>
      <c r="E1638" t="str">
        <f>IFERROR(VLOOKUP(tbEscolas[[#This Row],[COD ETPA]],tbEtapas[],3,FALSE),"")</f>
        <v/>
      </c>
    </row>
    <row r="1639" spans="1:5" x14ac:dyDescent="0.25">
      <c r="A1639" t="str" cm="1">
        <f t="array" ref="A1639">IFERROR(INDEX(tbNucleo[ESCOLA],ROUNDUP(ROW(A1638)/TotalEtapas,0)),"")</f>
        <v/>
      </c>
      <c r="D1639" t="str">
        <f>IFERROR(VLOOKUP(tbEscolas[[#This Row],[COD ETPA]],tbEtapas[],2,FALSE),"")</f>
        <v/>
      </c>
      <c r="E1639" t="str">
        <f>IFERROR(VLOOKUP(tbEscolas[[#This Row],[COD ETPA]],tbEtapas[],3,FALSE),"")</f>
        <v/>
      </c>
    </row>
    <row r="1640" spans="1:5" x14ac:dyDescent="0.25">
      <c r="A1640" t="str" cm="1">
        <f t="array" ref="A1640">IFERROR(INDEX(tbNucleo[ESCOLA],ROUNDUP(ROW(A1639)/TotalEtapas,0)),"")</f>
        <v/>
      </c>
      <c r="D1640" t="str">
        <f>IFERROR(VLOOKUP(tbEscolas[[#This Row],[COD ETPA]],tbEtapas[],2,FALSE),"")</f>
        <v/>
      </c>
      <c r="E1640" t="str">
        <f>IFERROR(VLOOKUP(tbEscolas[[#This Row],[COD ETPA]],tbEtapas[],3,FALSE),"")</f>
        <v/>
      </c>
    </row>
    <row r="1641" spans="1:5" x14ac:dyDescent="0.25">
      <c r="A1641" t="str" cm="1">
        <f t="array" ref="A1641">IFERROR(INDEX(tbNucleo[ESCOLA],ROUNDUP(ROW(A1640)/TotalEtapas,0)),"")</f>
        <v/>
      </c>
      <c r="D1641" t="str">
        <f>IFERROR(VLOOKUP(tbEscolas[[#This Row],[COD ETPA]],tbEtapas[],2,FALSE),"")</f>
        <v/>
      </c>
      <c r="E1641" t="str">
        <f>IFERROR(VLOOKUP(tbEscolas[[#This Row],[COD ETPA]],tbEtapas[],3,FALSE),"")</f>
        <v/>
      </c>
    </row>
    <row r="1642" spans="1:5" x14ac:dyDescent="0.25">
      <c r="A1642" t="str" cm="1">
        <f t="array" ref="A1642">IFERROR(INDEX(tbNucleo[ESCOLA],ROUNDUP(ROW(A1641)/TotalEtapas,0)),"")</f>
        <v/>
      </c>
      <c r="D1642" t="str">
        <f>IFERROR(VLOOKUP(tbEscolas[[#This Row],[COD ETPA]],tbEtapas[],2,FALSE),"")</f>
        <v/>
      </c>
      <c r="E1642" t="str">
        <f>IFERROR(VLOOKUP(tbEscolas[[#This Row],[COD ETPA]],tbEtapas[],3,FALSE),"")</f>
        <v/>
      </c>
    </row>
    <row r="1643" spans="1:5" x14ac:dyDescent="0.25">
      <c r="A1643" t="str" cm="1">
        <f t="array" ref="A1643">IFERROR(INDEX(tbNucleo[ESCOLA],ROUNDUP(ROW(A1642)/TotalEtapas,0)),"")</f>
        <v/>
      </c>
      <c r="D1643" t="str">
        <f>IFERROR(VLOOKUP(tbEscolas[[#This Row],[COD ETPA]],tbEtapas[],2,FALSE),"")</f>
        <v/>
      </c>
      <c r="E1643" t="str">
        <f>IFERROR(VLOOKUP(tbEscolas[[#This Row],[COD ETPA]],tbEtapas[],3,FALSE),"")</f>
        <v/>
      </c>
    </row>
    <row r="1644" spans="1:5" x14ac:dyDescent="0.25">
      <c r="A1644" t="str" cm="1">
        <f t="array" ref="A1644">IFERROR(INDEX(tbNucleo[ESCOLA],ROUNDUP(ROW(A1643)/TotalEtapas,0)),"")</f>
        <v/>
      </c>
      <c r="D1644" t="str">
        <f>IFERROR(VLOOKUP(tbEscolas[[#This Row],[COD ETPA]],tbEtapas[],2,FALSE),"")</f>
        <v/>
      </c>
      <c r="E1644" t="str">
        <f>IFERROR(VLOOKUP(tbEscolas[[#This Row],[COD ETPA]],tbEtapas[],3,FALSE),"")</f>
        <v/>
      </c>
    </row>
    <row r="1645" spans="1:5" x14ac:dyDescent="0.25">
      <c r="A1645" t="str" cm="1">
        <f t="array" ref="A1645">IFERROR(INDEX(tbNucleo[ESCOLA],ROUNDUP(ROW(A1644)/TotalEtapas,0)),"")</f>
        <v/>
      </c>
      <c r="D1645" t="str">
        <f>IFERROR(VLOOKUP(tbEscolas[[#This Row],[COD ETPA]],tbEtapas[],2,FALSE),"")</f>
        <v/>
      </c>
      <c r="E1645" t="str">
        <f>IFERROR(VLOOKUP(tbEscolas[[#This Row],[COD ETPA]],tbEtapas[],3,FALSE),"")</f>
        <v/>
      </c>
    </row>
    <row r="1646" spans="1:5" x14ac:dyDescent="0.25">
      <c r="A1646" t="str" cm="1">
        <f t="array" ref="A1646">IFERROR(INDEX(tbNucleo[ESCOLA],ROUNDUP(ROW(A1645)/TotalEtapas,0)),"")</f>
        <v/>
      </c>
      <c r="D1646" t="str">
        <f>IFERROR(VLOOKUP(tbEscolas[[#This Row],[COD ETPA]],tbEtapas[],2,FALSE),"")</f>
        <v/>
      </c>
      <c r="E1646" t="str">
        <f>IFERROR(VLOOKUP(tbEscolas[[#This Row],[COD ETPA]],tbEtapas[],3,FALSE),"")</f>
        <v/>
      </c>
    </row>
    <row r="1647" spans="1:5" x14ac:dyDescent="0.25">
      <c r="A1647" t="str" cm="1">
        <f t="array" ref="A1647">IFERROR(INDEX(tbNucleo[ESCOLA],ROUNDUP(ROW(A1646)/TotalEtapas,0)),"")</f>
        <v/>
      </c>
      <c r="D1647" t="str">
        <f>IFERROR(VLOOKUP(tbEscolas[[#This Row],[COD ETPA]],tbEtapas[],2,FALSE),"")</f>
        <v/>
      </c>
      <c r="E1647" t="str">
        <f>IFERROR(VLOOKUP(tbEscolas[[#This Row],[COD ETPA]],tbEtapas[],3,FALSE),"")</f>
        <v/>
      </c>
    </row>
    <row r="1648" spans="1:5" x14ac:dyDescent="0.25">
      <c r="A1648" t="str" cm="1">
        <f t="array" ref="A1648">IFERROR(INDEX(tbNucleo[ESCOLA],ROUNDUP(ROW(A1647)/TotalEtapas,0)),"")</f>
        <v/>
      </c>
      <c r="D1648" t="str">
        <f>IFERROR(VLOOKUP(tbEscolas[[#This Row],[COD ETPA]],tbEtapas[],2,FALSE),"")</f>
        <v/>
      </c>
      <c r="E1648" t="str">
        <f>IFERROR(VLOOKUP(tbEscolas[[#This Row],[COD ETPA]],tbEtapas[],3,FALSE),"")</f>
        <v/>
      </c>
    </row>
    <row r="1649" spans="1:5" x14ac:dyDescent="0.25">
      <c r="A1649" t="str" cm="1">
        <f t="array" ref="A1649">IFERROR(INDEX(tbNucleo[ESCOLA],ROUNDUP(ROW(A1648)/TotalEtapas,0)),"")</f>
        <v/>
      </c>
      <c r="D1649" t="str">
        <f>IFERROR(VLOOKUP(tbEscolas[[#This Row],[COD ETPA]],tbEtapas[],2,FALSE),"")</f>
        <v/>
      </c>
      <c r="E1649" t="str">
        <f>IFERROR(VLOOKUP(tbEscolas[[#This Row],[COD ETPA]],tbEtapas[],3,FALSE),"")</f>
        <v/>
      </c>
    </row>
    <row r="1650" spans="1:5" x14ac:dyDescent="0.25">
      <c r="A1650" t="str" cm="1">
        <f t="array" ref="A1650">IFERROR(INDEX(tbNucleo[ESCOLA],ROUNDUP(ROW(A1649)/TotalEtapas,0)),"")</f>
        <v/>
      </c>
      <c r="D1650" t="str">
        <f>IFERROR(VLOOKUP(tbEscolas[[#This Row],[COD ETPA]],tbEtapas[],2,FALSE),"")</f>
        <v/>
      </c>
      <c r="E1650" t="str">
        <f>IFERROR(VLOOKUP(tbEscolas[[#This Row],[COD ETPA]],tbEtapas[],3,FALSE),"")</f>
        <v/>
      </c>
    </row>
    <row r="1651" spans="1:5" x14ac:dyDescent="0.25">
      <c r="A1651" t="str" cm="1">
        <f t="array" ref="A1651">IFERROR(INDEX(tbNucleo[ESCOLA],ROUNDUP(ROW(A1650)/TotalEtapas,0)),"")</f>
        <v/>
      </c>
      <c r="D1651" t="str">
        <f>IFERROR(VLOOKUP(tbEscolas[[#This Row],[COD ETPA]],tbEtapas[],2,FALSE),"")</f>
        <v/>
      </c>
      <c r="E1651" t="str">
        <f>IFERROR(VLOOKUP(tbEscolas[[#This Row],[COD ETPA]],tbEtapas[],3,FALSE),"")</f>
        <v/>
      </c>
    </row>
    <row r="1652" spans="1:5" x14ac:dyDescent="0.25">
      <c r="A1652" t="str" cm="1">
        <f t="array" ref="A1652">IFERROR(INDEX(tbNucleo[ESCOLA],ROUNDUP(ROW(A1651)/TotalEtapas,0)),"")</f>
        <v/>
      </c>
      <c r="D1652" t="str">
        <f>IFERROR(VLOOKUP(tbEscolas[[#This Row],[COD ETPA]],tbEtapas[],2,FALSE),"")</f>
        <v/>
      </c>
      <c r="E1652" t="str">
        <f>IFERROR(VLOOKUP(tbEscolas[[#This Row],[COD ETPA]],tbEtapas[],3,FALSE),"")</f>
        <v/>
      </c>
    </row>
    <row r="1653" spans="1:5" x14ac:dyDescent="0.25">
      <c r="A1653" t="str" cm="1">
        <f t="array" ref="A1653">IFERROR(INDEX(tbNucleo[ESCOLA],ROUNDUP(ROW(A1652)/TotalEtapas,0)),"")</f>
        <v/>
      </c>
      <c r="D1653" t="str">
        <f>IFERROR(VLOOKUP(tbEscolas[[#This Row],[COD ETPA]],tbEtapas[],2,FALSE),"")</f>
        <v/>
      </c>
      <c r="E1653" t="str">
        <f>IFERROR(VLOOKUP(tbEscolas[[#This Row],[COD ETPA]],tbEtapas[],3,FALSE),"")</f>
        <v/>
      </c>
    </row>
    <row r="1654" spans="1:5" x14ac:dyDescent="0.25">
      <c r="A1654" t="str" cm="1">
        <f t="array" ref="A1654">IFERROR(INDEX(tbNucleo[ESCOLA],ROUNDUP(ROW(A1653)/TotalEtapas,0)),"")</f>
        <v/>
      </c>
      <c r="D1654" t="str">
        <f>IFERROR(VLOOKUP(tbEscolas[[#This Row],[COD ETPA]],tbEtapas[],2,FALSE),"")</f>
        <v/>
      </c>
      <c r="E1654" t="str">
        <f>IFERROR(VLOOKUP(tbEscolas[[#This Row],[COD ETPA]],tbEtapas[],3,FALSE),"")</f>
        <v/>
      </c>
    </row>
    <row r="1655" spans="1:5" x14ac:dyDescent="0.25">
      <c r="A1655" t="str" cm="1">
        <f t="array" ref="A1655">IFERROR(INDEX(tbNucleo[ESCOLA],ROUNDUP(ROW(A1654)/TotalEtapas,0)),"")</f>
        <v/>
      </c>
      <c r="D1655" t="str">
        <f>IFERROR(VLOOKUP(tbEscolas[[#This Row],[COD ETPA]],tbEtapas[],2,FALSE),"")</f>
        <v/>
      </c>
      <c r="E1655" t="str">
        <f>IFERROR(VLOOKUP(tbEscolas[[#This Row],[COD ETPA]],tbEtapas[],3,FALSE),"")</f>
        <v/>
      </c>
    </row>
    <row r="1656" spans="1:5" x14ac:dyDescent="0.25">
      <c r="A1656" t="str" cm="1">
        <f t="array" ref="A1656">IFERROR(INDEX(tbNucleo[ESCOLA],ROUNDUP(ROW(A1655)/TotalEtapas,0)),"")</f>
        <v/>
      </c>
      <c r="D1656" t="str">
        <f>IFERROR(VLOOKUP(tbEscolas[[#This Row],[COD ETPA]],tbEtapas[],2,FALSE),"")</f>
        <v/>
      </c>
      <c r="E1656" t="str">
        <f>IFERROR(VLOOKUP(tbEscolas[[#This Row],[COD ETPA]],tbEtapas[],3,FALSE),"")</f>
        <v/>
      </c>
    </row>
    <row r="1657" spans="1:5" x14ac:dyDescent="0.25">
      <c r="A1657" t="str" cm="1">
        <f t="array" ref="A1657">IFERROR(INDEX(tbNucleo[ESCOLA],ROUNDUP(ROW(A1656)/TotalEtapas,0)),"")</f>
        <v/>
      </c>
      <c r="D1657" t="str">
        <f>IFERROR(VLOOKUP(tbEscolas[[#This Row],[COD ETPA]],tbEtapas[],2,FALSE),"")</f>
        <v/>
      </c>
      <c r="E1657" t="str">
        <f>IFERROR(VLOOKUP(tbEscolas[[#This Row],[COD ETPA]],tbEtapas[],3,FALSE),"")</f>
        <v/>
      </c>
    </row>
    <row r="1658" spans="1:5" x14ac:dyDescent="0.25">
      <c r="A1658" t="str" cm="1">
        <f t="array" ref="A1658">IFERROR(INDEX(tbNucleo[ESCOLA],ROUNDUP(ROW(A1657)/TotalEtapas,0)),"")</f>
        <v/>
      </c>
      <c r="D1658" t="str">
        <f>IFERROR(VLOOKUP(tbEscolas[[#This Row],[COD ETPA]],tbEtapas[],2,FALSE),"")</f>
        <v/>
      </c>
      <c r="E1658" t="str">
        <f>IFERROR(VLOOKUP(tbEscolas[[#This Row],[COD ETPA]],tbEtapas[],3,FALSE),"")</f>
        <v/>
      </c>
    </row>
    <row r="1659" spans="1:5" x14ac:dyDescent="0.25">
      <c r="A1659" t="str" cm="1">
        <f t="array" ref="A1659">IFERROR(INDEX(tbNucleo[ESCOLA],ROUNDUP(ROW(A1658)/TotalEtapas,0)),"")</f>
        <v/>
      </c>
      <c r="D1659" t="str">
        <f>IFERROR(VLOOKUP(tbEscolas[[#This Row],[COD ETPA]],tbEtapas[],2,FALSE),"")</f>
        <v/>
      </c>
      <c r="E1659" t="str">
        <f>IFERROR(VLOOKUP(tbEscolas[[#This Row],[COD ETPA]],tbEtapas[],3,FALSE),"")</f>
        <v/>
      </c>
    </row>
    <row r="1660" spans="1:5" x14ac:dyDescent="0.25">
      <c r="A1660" t="str" cm="1">
        <f t="array" ref="A1660">IFERROR(INDEX(tbNucleo[ESCOLA],ROUNDUP(ROW(A1659)/TotalEtapas,0)),"")</f>
        <v/>
      </c>
      <c r="D1660" t="str">
        <f>IFERROR(VLOOKUP(tbEscolas[[#This Row],[COD ETPA]],tbEtapas[],2,FALSE),"")</f>
        <v/>
      </c>
      <c r="E1660" t="str">
        <f>IFERROR(VLOOKUP(tbEscolas[[#This Row],[COD ETPA]],tbEtapas[],3,FALSE),"")</f>
        <v/>
      </c>
    </row>
    <row r="1661" spans="1:5" x14ac:dyDescent="0.25">
      <c r="A1661" t="str" cm="1">
        <f t="array" ref="A1661">IFERROR(INDEX(tbNucleo[ESCOLA],ROUNDUP(ROW(A1660)/TotalEtapas,0)),"")</f>
        <v/>
      </c>
      <c r="D1661" t="str">
        <f>IFERROR(VLOOKUP(tbEscolas[[#This Row],[COD ETPA]],tbEtapas[],2,FALSE),"")</f>
        <v/>
      </c>
      <c r="E1661" t="str">
        <f>IFERROR(VLOOKUP(tbEscolas[[#This Row],[COD ETPA]],tbEtapas[],3,FALSE),"")</f>
        <v/>
      </c>
    </row>
    <row r="1662" spans="1:5" x14ac:dyDescent="0.25">
      <c r="A1662" t="str" cm="1">
        <f t="array" ref="A1662">IFERROR(INDEX(tbNucleo[ESCOLA],ROUNDUP(ROW(A1661)/TotalEtapas,0)),"")</f>
        <v/>
      </c>
      <c r="D1662" t="str">
        <f>IFERROR(VLOOKUP(tbEscolas[[#This Row],[COD ETPA]],tbEtapas[],2,FALSE),"")</f>
        <v/>
      </c>
      <c r="E1662" t="str">
        <f>IFERROR(VLOOKUP(tbEscolas[[#This Row],[COD ETPA]],tbEtapas[],3,FALSE),"")</f>
        <v/>
      </c>
    </row>
    <row r="1663" spans="1:5" x14ac:dyDescent="0.25">
      <c r="A1663" t="str" cm="1">
        <f t="array" ref="A1663">IFERROR(INDEX(tbNucleo[ESCOLA],ROUNDUP(ROW(A1662)/TotalEtapas,0)),"")</f>
        <v/>
      </c>
      <c r="D1663" t="str">
        <f>IFERROR(VLOOKUP(tbEscolas[[#This Row],[COD ETPA]],tbEtapas[],2,FALSE),"")</f>
        <v/>
      </c>
      <c r="E1663" t="str">
        <f>IFERROR(VLOOKUP(tbEscolas[[#This Row],[COD ETPA]],tbEtapas[],3,FALSE),"")</f>
        <v/>
      </c>
    </row>
    <row r="1664" spans="1:5" x14ac:dyDescent="0.25">
      <c r="A1664" t="str" cm="1">
        <f t="array" ref="A1664">IFERROR(INDEX(tbNucleo[ESCOLA],ROUNDUP(ROW(A1663)/TotalEtapas,0)),"")</f>
        <v/>
      </c>
      <c r="D1664" t="str">
        <f>IFERROR(VLOOKUP(tbEscolas[[#This Row],[COD ETPA]],tbEtapas[],2,FALSE),"")</f>
        <v/>
      </c>
      <c r="E1664" t="str">
        <f>IFERROR(VLOOKUP(tbEscolas[[#This Row],[COD ETPA]],tbEtapas[],3,FALSE),"")</f>
        <v/>
      </c>
    </row>
    <row r="1665" spans="1:5" x14ac:dyDescent="0.25">
      <c r="A1665" t="str" cm="1">
        <f t="array" ref="A1665">IFERROR(INDEX(tbNucleo[ESCOLA],ROUNDUP(ROW(A1664)/TotalEtapas,0)),"")</f>
        <v/>
      </c>
      <c r="D1665" t="str">
        <f>IFERROR(VLOOKUP(tbEscolas[[#This Row],[COD ETPA]],tbEtapas[],2,FALSE),"")</f>
        <v/>
      </c>
      <c r="E1665" t="str">
        <f>IFERROR(VLOOKUP(tbEscolas[[#This Row],[COD ETPA]],tbEtapas[],3,FALSE),"")</f>
        <v/>
      </c>
    </row>
    <row r="1666" spans="1:5" x14ac:dyDescent="0.25">
      <c r="A1666" t="str" cm="1">
        <f t="array" ref="A1666">IFERROR(INDEX(tbNucleo[ESCOLA],ROUNDUP(ROW(A1665)/TotalEtapas,0)),"")</f>
        <v/>
      </c>
      <c r="D1666" t="str">
        <f>IFERROR(VLOOKUP(tbEscolas[[#This Row],[COD ETPA]],tbEtapas[],2,FALSE),"")</f>
        <v/>
      </c>
      <c r="E1666" t="str">
        <f>IFERROR(VLOOKUP(tbEscolas[[#This Row],[COD ETPA]],tbEtapas[],3,FALSE),"")</f>
        <v/>
      </c>
    </row>
    <row r="1667" spans="1:5" x14ac:dyDescent="0.25">
      <c r="A1667" t="str" cm="1">
        <f t="array" ref="A1667">IFERROR(INDEX(tbNucleo[ESCOLA],ROUNDUP(ROW(A1666)/TotalEtapas,0)),"")</f>
        <v/>
      </c>
      <c r="D1667" t="str">
        <f>IFERROR(VLOOKUP(tbEscolas[[#This Row],[COD ETPA]],tbEtapas[],2,FALSE),"")</f>
        <v/>
      </c>
      <c r="E1667" t="str">
        <f>IFERROR(VLOOKUP(tbEscolas[[#This Row],[COD ETPA]],tbEtapas[],3,FALSE),"")</f>
        <v/>
      </c>
    </row>
    <row r="1668" spans="1:5" x14ac:dyDescent="0.25">
      <c r="A1668" t="str" cm="1">
        <f t="array" ref="A1668">IFERROR(INDEX(tbNucleo[ESCOLA],ROUNDUP(ROW(A1667)/TotalEtapas,0)),"")</f>
        <v/>
      </c>
      <c r="D1668" t="str">
        <f>IFERROR(VLOOKUP(tbEscolas[[#This Row],[COD ETPA]],tbEtapas[],2,FALSE),"")</f>
        <v/>
      </c>
      <c r="E1668" t="str">
        <f>IFERROR(VLOOKUP(tbEscolas[[#This Row],[COD ETPA]],tbEtapas[],3,FALSE),"")</f>
        <v/>
      </c>
    </row>
    <row r="1669" spans="1:5" x14ac:dyDescent="0.25">
      <c r="A1669" t="str" cm="1">
        <f t="array" ref="A1669">IFERROR(INDEX(tbNucleo[ESCOLA],ROUNDUP(ROW(A1668)/TotalEtapas,0)),"")</f>
        <v/>
      </c>
      <c r="D1669" t="str">
        <f>IFERROR(VLOOKUP(tbEscolas[[#This Row],[COD ETPA]],tbEtapas[],2,FALSE),"")</f>
        <v/>
      </c>
      <c r="E1669" t="str">
        <f>IFERROR(VLOOKUP(tbEscolas[[#This Row],[COD ETPA]],tbEtapas[],3,FALSE),"")</f>
        <v/>
      </c>
    </row>
    <row r="1670" spans="1:5" x14ac:dyDescent="0.25">
      <c r="A1670" t="str" cm="1">
        <f t="array" ref="A1670">IFERROR(INDEX(tbNucleo[ESCOLA],ROUNDUP(ROW(A1669)/TotalEtapas,0)),"")</f>
        <v/>
      </c>
      <c r="D1670" t="str">
        <f>IFERROR(VLOOKUP(tbEscolas[[#This Row],[COD ETPA]],tbEtapas[],2,FALSE),"")</f>
        <v/>
      </c>
      <c r="E1670" t="str">
        <f>IFERROR(VLOOKUP(tbEscolas[[#This Row],[COD ETPA]],tbEtapas[],3,FALSE),"")</f>
        <v/>
      </c>
    </row>
    <row r="1671" spans="1:5" x14ac:dyDescent="0.25">
      <c r="A1671" t="str" cm="1">
        <f t="array" ref="A1671">IFERROR(INDEX(tbNucleo[ESCOLA],ROUNDUP(ROW(A1670)/TotalEtapas,0)),"")</f>
        <v/>
      </c>
      <c r="D1671" t="str">
        <f>IFERROR(VLOOKUP(tbEscolas[[#This Row],[COD ETPA]],tbEtapas[],2,FALSE),"")</f>
        <v/>
      </c>
      <c r="E1671" t="str">
        <f>IFERROR(VLOOKUP(tbEscolas[[#This Row],[COD ETPA]],tbEtapas[],3,FALSE),"")</f>
        <v/>
      </c>
    </row>
    <row r="1672" spans="1:5" x14ac:dyDescent="0.25">
      <c r="A1672" t="str" cm="1">
        <f t="array" ref="A1672">IFERROR(INDEX(tbNucleo[ESCOLA],ROUNDUP(ROW(A1671)/TotalEtapas,0)),"")</f>
        <v/>
      </c>
      <c r="D1672" t="str">
        <f>IFERROR(VLOOKUP(tbEscolas[[#This Row],[COD ETPA]],tbEtapas[],2,FALSE),"")</f>
        <v/>
      </c>
      <c r="E1672" t="str">
        <f>IFERROR(VLOOKUP(tbEscolas[[#This Row],[COD ETPA]],tbEtapas[],3,FALSE),"")</f>
        <v/>
      </c>
    </row>
    <row r="1673" spans="1:5" x14ac:dyDescent="0.25">
      <c r="A1673" t="str" cm="1">
        <f t="array" ref="A1673">IFERROR(INDEX(tbNucleo[ESCOLA],ROUNDUP(ROW(A1672)/TotalEtapas,0)),"")</f>
        <v/>
      </c>
      <c r="D1673" t="str">
        <f>IFERROR(VLOOKUP(tbEscolas[[#This Row],[COD ETPA]],tbEtapas[],2,FALSE),"")</f>
        <v/>
      </c>
      <c r="E1673" t="str">
        <f>IFERROR(VLOOKUP(tbEscolas[[#This Row],[COD ETPA]],tbEtapas[],3,FALSE),"")</f>
        <v/>
      </c>
    </row>
    <row r="1674" spans="1:5" x14ac:dyDescent="0.25">
      <c r="A1674" t="str" cm="1">
        <f t="array" ref="A1674">IFERROR(INDEX(tbNucleo[ESCOLA],ROUNDUP(ROW(A1673)/TotalEtapas,0)),"")</f>
        <v/>
      </c>
      <c r="D1674" t="str">
        <f>IFERROR(VLOOKUP(tbEscolas[[#This Row],[COD ETPA]],tbEtapas[],2,FALSE),"")</f>
        <v/>
      </c>
      <c r="E1674" t="str">
        <f>IFERROR(VLOOKUP(tbEscolas[[#This Row],[COD ETPA]],tbEtapas[],3,FALSE),"")</f>
        <v/>
      </c>
    </row>
    <row r="1675" spans="1:5" x14ac:dyDescent="0.25">
      <c r="A1675" t="str" cm="1">
        <f t="array" ref="A1675">IFERROR(INDEX(tbNucleo[ESCOLA],ROUNDUP(ROW(A1674)/TotalEtapas,0)),"")</f>
        <v/>
      </c>
      <c r="D1675" t="str">
        <f>IFERROR(VLOOKUP(tbEscolas[[#This Row],[COD ETPA]],tbEtapas[],2,FALSE),"")</f>
        <v/>
      </c>
      <c r="E1675" t="str">
        <f>IFERROR(VLOOKUP(tbEscolas[[#This Row],[COD ETPA]],tbEtapas[],3,FALSE),"")</f>
        <v/>
      </c>
    </row>
    <row r="1676" spans="1:5" x14ac:dyDescent="0.25">
      <c r="A1676" t="str" cm="1">
        <f t="array" ref="A1676">IFERROR(INDEX(tbNucleo[ESCOLA],ROUNDUP(ROW(A1675)/TotalEtapas,0)),"")</f>
        <v/>
      </c>
      <c r="D1676" t="str">
        <f>IFERROR(VLOOKUP(tbEscolas[[#This Row],[COD ETPA]],tbEtapas[],2,FALSE),"")</f>
        <v/>
      </c>
      <c r="E1676" t="str">
        <f>IFERROR(VLOOKUP(tbEscolas[[#This Row],[COD ETPA]],tbEtapas[],3,FALSE),"")</f>
        <v/>
      </c>
    </row>
    <row r="1677" spans="1:5" x14ac:dyDescent="0.25">
      <c r="A1677" t="str" cm="1">
        <f t="array" ref="A1677">IFERROR(INDEX(tbNucleo[ESCOLA],ROUNDUP(ROW(A1676)/TotalEtapas,0)),"")</f>
        <v/>
      </c>
      <c r="D1677" t="str">
        <f>IFERROR(VLOOKUP(tbEscolas[[#This Row],[COD ETPA]],tbEtapas[],2,FALSE),"")</f>
        <v/>
      </c>
      <c r="E1677" t="str">
        <f>IFERROR(VLOOKUP(tbEscolas[[#This Row],[COD ETPA]],tbEtapas[],3,FALSE),"")</f>
        <v/>
      </c>
    </row>
    <row r="1678" spans="1:5" x14ac:dyDescent="0.25">
      <c r="A1678" t="str" cm="1">
        <f t="array" ref="A1678">IFERROR(INDEX(tbNucleo[ESCOLA],ROUNDUP(ROW(A1677)/TotalEtapas,0)),"")</f>
        <v/>
      </c>
      <c r="D1678" t="str">
        <f>IFERROR(VLOOKUP(tbEscolas[[#This Row],[COD ETPA]],tbEtapas[],2,FALSE),"")</f>
        <v/>
      </c>
      <c r="E1678" t="str">
        <f>IFERROR(VLOOKUP(tbEscolas[[#This Row],[COD ETPA]],tbEtapas[],3,FALSE),"")</f>
        <v/>
      </c>
    </row>
    <row r="1679" spans="1:5" x14ac:dyDescent="0.25">
      <c r="A1679" t="str" cm="1">
        <f t="array" ref="A1679">IFERROR(INDEX(tbNucleo[ESCOLA],ROUNDUP(ROW(A1678)/TotalEtapas,0)),"")</f>
        <v/>
      </c>
      <c r="D1679" t="str">
        <f>IFERROR(VLOOKUP(tbEscolas[[#This Row],[COD ETPA]],tbEtapas[],2,FALSE),"")</f>
        <v/>
      </c>
      <c r="E1679" t="str">
        <f>IFERROR(VLOOKUP(tbEscolas[[#This Row],[COD ETPA]],tbEtapas[],3,FALSE),"")</f>
        <v/>
      </c>
    </row>
    <row r="1680" spans="1:5" x14ac:dyDescent="0.25">
      <c r="A1680" t="str" cm="1">
        <f t="array" ref="A1680">IFERROR(INDEX(tbNucleo[ESCOLA],ROUNDUP(ROW(A1679)/TotalEtapas,0)),"")</f>
        <v/>
      </c>
      <c r="D1680" t="str">
        <f>IFERROR(VLOOKUP(tbEscolas[[#This Row],[COD ETPA]],tbEtapas[],2,FALSE),"")</f>
        <v/>
      </c>
      <c r="E1680" t="str">
        <f>IFERROR(VLOOKUP(tbEscolas[[#This Row],[COD ETPA]],tbEtapas[],3,FALSE),"")</f>
        <v/>
      </c>
    </row>
    <row r="1681" spans="1:5" x14ac:dyDescent="0.25">
      <c r="A1681" t="str" cm="1">
        <f t="array" ref="A1681">IFERROR(INDEX(tbNucleo[ESCOLA],ROUNDUP(ROW(A1680)/TotalEtapas,0)),"")</f>
        <v/>
      </c>
      <c r="D1681" t="str">
        <f>IFERROR(VLOOKUP(tbEscolas[[#This Row],[COD ETPA]],tbEtapas[],2,FALSE),"")</f>
        <v/>
      </c>
      <c r="E1681" t="str">
        <f>IFERROR(VLOOKUP(tbEscolas[[#This Row],[COD ETPA]],tbEtapas[],3,FALSE),"")</f>
        <v/>
      </c>
    </row>
    <row r="1682" spans="1:5" x14ac:dyDescent="0.25">
      <c r="A1682" t="str" cm="1">
        <f t="array" ref="A1682">IFERROR(INDEX(tbNucleo[ESCOLA],ROUNDUP(ROW(A1681)/TotalEtapas,0)),"")</f>
        <v/>
      </c>
      <c r="D1682" t="str">
        <f>IFERROR(VLOOKUP(tbEscolas[[#This Row],[COD ETPA]],tbEtapas[],2,FALSE),"")</f>
        <v/>
      </c>
      <c r="E1682" t="str">
        <f>IFERROR(VLOOKUP(tbEscolas[[#This Row],[COD ETPA]],tbEtapas[],3,FALSE),"")</f>
        <v/>
      </c>
    </row>
    <row r="1683" spans="1:5" x14ac:dyDescent="0.25">
      <c r="A1683" t="str" cm="1">
        <f t="array" ref="A1683">IFERROR(INDEX(tbNucleo[ESCOLA],ROUNDUP(ROW(A1682)/TotalEtapas,0)),"")</f>
        <v/>
      </c>
      <c r="D1683" t="str">
        <f>IFERROR(VLOOKUP(tbEscolas[[#This Row],[COD ETPA]],tbEtapas[],2,FALSE),"")</f>
        <v/>
      </c>
      <c r="E1683" t="str">
        <f>IFERROR(VLOOKUP(tbEscolas[[#This Row],[COD ETPA]],tbEtapas[],3,FALSE),"")</f>
        <v/>
      </c>
    </row>
    <row r="1684" spans="1:5" x14ac:dyDescent="0.25">
      <c r="A1684" t="str" cm="1">
        <f t="array" ref="A1684">IFERROR(INDEX(tbNucleo[ESCOLA],ROUNDUP(ROW(A1683)/TotalEtapas,0)),"")</f>
        <v/>
      </c>
      <c r="D1684" t="str">
        <f>IFERROR(VLOOKUP(tbEscolas[[#This Row],[COD ETPA]],tbEtapas[],2,FALSE),"")</f>
        <v/>
      </c>
      <c r="E1684" t="str">
        <f>IFERROR(VLOOKUP(tbEscolas[[#This Row],[COD ETPA]],tbEtapas[],3,FALSE),"")</f>
        <v/>
      </c>
    </row>
    <row r="1685" spans="1:5" x14ac:dyDescent="0.25">
      <c r="A1685" t="str" cm="1">
        <f t="array" ref="A1685">IFERROR(INDEX(tbNucleo[ESCOLA],ROUNDUP(ROW(A1684)/TotalEtapas,0)),"")</f>
        <v/>
      </c>
      <c r="D1685" t="str">
        <f>IFERROR(VLOOKUP(tbEscolas[[#This Row],[COD ETPA]],tbEtapas[],2,FALSE),"")</f>
        <v/>
      </c>
      <c r="E1685" t="str">
        <f>IFERROR(VLOOKUP(tbEscolas[[#This Row],[COD ETPA]],tbEtapas[],3,FALSE),"")</f>
        <v/>
      </c>
    </row>
    <row r="1686" spans="1:5" x14ac:dyDescent="0.25">
      <c r="A1686" t="str" cm="1">
        <f t="array" ref="A1686">IFERROR(INDEX(tbNucleo[ESCOLA],ROUNDUP(ROW(A1685)/TotalEtapas,0)),"")</f>
        <v/>
      </c>
      <c r="D1686" t="str">
        <f>IFERROR(VLOOKUP(tbEscolas[[#This Row],[COD ETPA]],tbEtapas[],2,FALSE),"")</f>
        <v/>
      </c>
      <c r="E1686" t="str">
        <f>IFERROR(VLOOKUP(tbEscolas[[#This Row],[COD ETPA]],tbEtapas[],3,FALSE),"")</f>
        <v/>
      </c>
    </row>
    <row r="1687" spans="1:5" x14ac:dyDescent="0.25">
      <c r="A1687" t="str" cm="1">
        <f t="array" ref="A1687">IFERROR(INDEX(tbNucleo[ESCOLA],ROUNDUP(ROW(A1686)/TotalEtapas,0)),"")</f>
        <v/>
      </c>
      <c r="D1687" t="str">
        <f>IFERROR(VLOOKUP(tbEscolas[[#This Row],[COD ETPA]],tbEtapas[],2,FALSE),"")</f>
        <v/>
      </c>
      <c r="E1687" t="str">
        <f>IFERROR(VLOOKUP(tbEscolas[[#This Row],[COD ETPA]],tbEtapas[],3,FALSE),"")</f>
        <v/>
      </c>
    </row>
    <row r="1688" spans="1:5" x14ac:dyDescent="0.25">
      <c r="A1688" t="str" cm="1">
        <f t="array" ref="A1688">IFERROR(INDEX(tbNucleo[ESCOLA],ROUNDUP(ROW(A1687)/TotalEtapas,0)),"")</f>
        <v/>
      </c>
      <c r="D1688" t="str">
        <f>IFERROR(VLOOKUP(tbEscolas[[#This Row],[COD ETPA]],tbEtapas[],2,FALSE),"")</f>
        <v/>
      </c>
      <c r="E1688" t="str">
        <f>IFERROR(VLOOKUP(tbEscolas[[#This Row],[COD ETPA]],tbEtapas[],3,FALSE),"")</f>
        <v/>
      </c>
    </row>
    <row r="1689" spans="1:5" x14ac:dyDescent="0.25">
      <c r="A1689" t="str" cm="1">
        <f t="array" ref="A1689">IFERROR(INDEX(tbNucleo[ESCOLA],ROUNDUP(ROW(A1688)/TotalEtapas,0)),"")</f>
        <v/>
      </c>
      <c r="D1689" t="str">
        <f>IFERROR(VLOOKUP(tbEscolas[[#This Row],[COD ETPA]],tbEtapas[],2,FALSE),"")</f>
        <v/>
      </c>
      <c r="E1689" t="str">
        <f>IFERROR(VLOOKUP(tbEscolas[[#This Row],[COD ETPA]],tbEtapas[],3,FALSE),"")</f>
        <v/>
      </c>
    </row>
    <row r="1690" spans="1:5" x14ac:dyDescent="0.25">
      <c r="A1690" t="str" cm="1">
        <f t="array" ref="A1690">IFERROR(INDEX(tbNucleo[ESCOLA],ROUNDUP(ROW(A1689)/TotalEtapas,0)),"")</f>
        <v/>
      </c>
      <c r="D1690" t="str">
        <f>IFERROR(VLOOKUP(tbEscolas[[#This Row],[COD ETPA]],tbEtapas[],2,FALSE),"")</f>
        <v/>
      </c>
      <c r="E1690" t="str">
        <f>IFERROR(VLOOKUP(tbEscolas[[#This Row],[COD ETPA]],tbEtapas[],3,FALSE),"")</f>
        <v/>
      </c>
    </row>
    <row r="1691" spans="1:5" x14ac:dyDescent="0.25">
      <c r="A1691" t="str" cm="1">
        <f t="array" ref="A1691">IFERROR(INDEX(tbNucleo[ESCOLA],ROUNDUP(ROW(A1690)/TotalEtapas,0)),"")</f>
        <v/>
      </c>
      <c r="D1691" t="str">
        <f>IFERROR(VLOOKUP(tbEscolas[[#This Row],[COD ETPA]],tbEtapas[],2,FALSE),"")</f>
        <v/>
      </c>
      <c r="E1691" t="str">
        <f>IFERROR(VLOOKUP(tbEscolas[[#This Row],[COD ETPA]],tbEtapas[],3,FALSE),"")</f>
        <v/>
      </c>
    </row>
    <row r="1692" spans="1:5" x14ac:dyDescent="0.25">
      <c r="A1692" t="str" cm="1">
        <f t="array" ref="A1692">IFERROR(INDEX(tbNucleo[ESCOLA],ROUNDUP(ROW(A1691)/TotalEtapas,0)),"")</f>
        <v/>
      </c>
      <c r="D1692" t="str">
        <f>IFERROR(VLOOKUP(tbEscolas[[#This Row],[COD ETPA]],tbEtapas[],2,FALSE),"")</f>
        <v/>
      </c>
      <c r="E1692" t="str">
        <f>IFERROR(VLOOKUP(tbEscolas[[#This Row],[COD ETPA]],tbEtapas[],3,FALSE),"")</f>
        <v/>
      </c>
    </row>
    <row r="1693" spans="1:5" x14ac:dyDescent="0.25">
      <c r="A1693" t="str" cm="1">
        <f t="array" ref="A1693">IFERROR(INDEX(tbNucleo[ESCOLA],ROUNDUP(ROW(A1692)/TotalEtapas,0)),"")</f>
        <v/>
      </c>
      <c r="D1693" t="str">
        <f>IFERROR(VLOOKUP(tbEscolas[[#This Row],[COD ETPA]],tbEtapas[],2,FALSE),"")</f>
        <v/>
      </c>
      <c r="E1693" t="str">
        <f>IFERROR(VLOOKUP(tbEscolas[[#This Row],[COD ETPA]],tbEtapas[],3,FALSE),"")</f>
        <v/>
      </c>
    </row>
    <row r="1694" spans="1:5" x14ac:dyDescent="0.25">
      <c r="A1694" t="str" cm="1">
        <f t="array" ref="A1694">IFERROR(INDEX(tbNucleo[ESCOLA],ROUNDUP(ROW(A1693)/TotalEtapas,0)),"")</f>
        <v/>
      </c>
      <c r="D1694" t="str">
        <f>IFERROR(VLOOKUP(tbEscolas[[#This Row],[COD ETPA]],tbEtapas[],2,FALSE),"")</f>
        <v/>
      </c>
      <c r="E1694" t="str">
        <f>IFERROR(VLOOKUP(tbEscolas[[#This Row],[COD ETPA]],tbEtapas[],3,FALSE),"")</f>
        <v/>
      </c>
    </row>
    <row r="1695" spans="1:5" x14ac:dyDescent="0.25">
      <c r="A1695" t="str" cm="1">
        <f t="array" ref="A1695">IFERROR(INDEX(tbNucleo[ESCOLA],ROUNDUP(ROW(A1694)/TotalEtapas,0)),"")</f>
        <v/>
      </c>
      <c r="D1695" t="str">
        <f>IFERROR(VLOOKUP(tbEscolas[[#This Row],[COD ETPA]],tbEtapas[],2,FALSE),"")</f>
        <v/>
      </c>
      <c r="E1695" t="str">
        <f>IFERROR(VLOOKUP(tbEscolas[[#This Row],[COD ETPA]],tbEtapas[],3,FALSE),"")</f>
        <v/>
      </c>
    </row>
    <row r="1696" spans="1:5" x14ac:dyDescent="0.25">
      <c r="A1696" t="str" cm="1">
        <f t="array" ref="A1696">IFERROR(INDEX(tbNucleo[ESCOLA],ROUNDUP(ROW(A1695)/TotalEtapas,0)),"")</f>
        <v/>
      </c>
      <c r="D1696" t="str">
        <f>IFERROR(VLOOKUP(tbEscolas[[#This Row],[COD ETPA]],tbEtapas[],2,FALSE),"")</f>
        <v/>
      </c>
      <c r="E1696" t="str">
        <f>IFERROR(VLOOKUP(tbEscolas[[#This Row],[COD ETPA]],tbEtapas[],3,FALSE),"")</f>
        <v/>
      </c>
    </row>
    <row r="1697" spans="1:5" x14ac:dyDescent="0.25">
      <c r="A1697" t="str" cm="1">
        <f t="array" ref="A1697">IFERROR(INDEX(tbNucleo[ESCOLA],ROUNDUP(ROW(A1696)/TotalEtapas,0)),"")</f>
        <v/>
      </c>
      <c r="D1697" t="str">
        <f>IFERROR(VLOOKUP(tbEscolas[[#This Row],[COD ETPA]],tbEtapas[],2,FALSE),"")</f>
        <v/>
      </c>
      <c r="E1697" t="str">
        <f>IFERROR(VLOOKUP(tbEscolas[[#This Row],[COD ETPA]],tbEtapas[],3,FALSE),"")</f>
        <v/>
      </c>
    </row>
    <row r="1698" spans="1:5" x14ac:dyDescent="0.25">
      <c r="A1698" t="str" cm="1">
        <f t="array" ref="A1698">IFERROR(INDEX(tbNucleo[ESCOLA],ROUNDUP(ROW(A1697)/TotalEtapas,0)),"")</f>
        <v/>
      </c>
      <c r="D1698" t="str">
        <f>IFERROR(VLOOKUP(tbEscolas[[#This Row],[COD ETPA]],tbEtapas[],2,FALSE),"")</f>
        <v/>
      </c>
      <c r="E1698" t="str">
        <f>IFERROR(VLOOKUP(tbEscolas[[#This Row],[COD ETPA]],tbEtapas[],3,FALSE),"")</f>
        <v/>
      </c>
    </row>
    <row r="1699" spans="1:5" x14ac:dyDescent="0.25">
      <c r="A1699" t="str" cm="1">
        <f t="array" ref="A1699">IFERROR(INDEX(tbNucleo[ESCOLA],ROUNDUP(ROW(A1698)/TotalEtapas,0)),"")</f>
        <v/>
      </c>
      <c r="D1699" t="str">
        <f>IFERROR(VLOOKUP(tbEscolas[[#This Row],[COD ETPA]],tbEtapas[],2,FALSE),"")</f>
        <v/>
      </c>
      <c r="E1699" t="str">
        <f>IFERROR(VLOOKUP(tbEscolas[[#This Row],[COD ETPA]],tbEtapas[],3,FALSE),"")</f>
        <v/>
      </c>
    </row>
    <row r="1700" spans="1:5" x14ac:dyDescent="0.25">
      <c r="A1700" t="str" cm="1">
        <f t="array" ref="A1700">IFERROR(INDEX(tbNucleo[ESCOLA],ROUNDUP(ROW(A1699)/TotalEtapas,0)),"")</f>
        <v/>
      </c>
      <c r="D1700" t="str">
        <f>IFERROR(VLOOKUP(tbEscolas[[#This Row],[COD ETPA]],tbEtapas[],2,FALSE),"")</f>
        <v/>
      </c>
      <c r="E1700" t="str">
        <f>IFERROR(VLOOKUP(tbEscolas[[#This Row],[COD ETPA]],tbEtapas[],3,FALSE),"")</f>
        <v/>
      </c>
    </row>
    <row r="1701" spans="1:5" x14ac:dyDescent="0.25">
      <c r="A1701" t="str" cm="1">
        <f t="array" ref="A1701">IFERROR(INDEX(tbNucleo[ESCOLA],ROUNDUP(ROW(A1700)/TotalEtapas,0)),"")</f>
        <v/>
      </c>
      <c r="D1701" t="str">
        <f>IFERROR(VLOOKUP(tbEscolas[[#This Row],[COD ETPA]],tbEtapas[],2,FALSE),"")</f>
        <v/>
      </c>
      <c r="E1701" t="str">
        <f>IFERROR(VLOOKUP(tbEscolas[[#This Row],[COD ETPA]],tbEtapas[],3,FALSE),"")</f>
        <v/>
      </c>
    </row>
    <row r="1702" spans="1:5" x14ac:dyDescent="0.25">
      <c r="A1702" t="str" cm="1">
        <f t="array" ref="A1702">IFERROR(INDEX(tbNucleo[ESCOLA],ROUNDUP(ROW(A1701)/TotalEtapas,0)),"")</f>
        <v/>
      </c>
      <c r="D1702" t="str">
        <f>IFERROR(VLOOKUP(tbEscolas[[#This Row],[COD ETPA]],tbEtapas[],2,FALSE),"")</f>
        <v/>
      </c>
      <c r="E1702" t="str">
        <f>IFERROR(VLOOKUP(tbEscolas[[#This Row],[COD ETPA]],tbEtapas[],3,FALSE),"")</f>
        <v/>
      </c>
    </row>
    <row r="1703" spans="1:5" x14ac:dyDescent="0.25">
      <c r="A1703" t="str" cm="1">
        <f t="array" ref="A1703">IFERROR(INDEX(tbNucleo[ESCOLA],ROUNDUP(ROW(A1702)/TotalEtapas,0)),"")</f>
        <v/>
      </c>
      <c r="D1703" t="str">
        <f>IFERROR(VLOOKUP(tbEscolas[[#This Row],[COD ETPA]],tbEtapas[],2,FALSE),"")</f>
        <v/>
      </c>
      <c r="E1703" t="str">
        <f>IFERROR(VLOOKUP(tbEscolas[[#This Row],[COD ETPA]],tbEtapas[],3,FALSE),"")</f>
        <v/>
      </c>
    </row>
    <row r="1704" spans="1:5" x14ac:dyDescent="0.25">
      <c r="A1704" t="str" cm="1">
        <f t="array" ref="A1704">IFERROR(INDEX(tbNucleo[ESCOLA],ROUNDUP(ROW(A1703)/TotalEtapas,0)),"")</f>
        <v/>
      </c>
      <c r="D1704" t="str">
        <f>IFERROR(VLOOKUP(tbEscolas[[#This Row],[COD ETPA]],tbEtapas[],2,FALSE),"")</f>
        <v/>
      </c>
      <c r="E1704" t="str">
        <f>IFERROR(VLOOKUP(tbEscolas[[#This Row],[COD ETPA]],tbEtapas[],3,FALSE),"")</f>
        <v/>
      </c>
    </row>
    <row r="1705" spans="1:5" x14ac:dyDescent="0.25">
      <c r="A1705" t="str" cm="1">
        <f t="array" ref="A1705">IFERROR(INDEX(tbNucleo[ESCOLA],ROUNDUP(ROW(A1704)/TotalEtapas,0)),"")</f>
        <v/>
      </c>
      <c r="D1705" t="str">
        <f>IFERROR(VLOOKUP(tbEscolas[[#This Row],[COD ETPA]],tbEtapas[],2,FALSE),"")</f>
        <v/>
      </c>
      <c r="E1705" t="str">
        <f>IFERROR(VLOOKUP(tbEscolas[[#This Row],[COD ETPA]],tbEtapas[],3,FALSE),"")</f>
        <v/>
      </c>
    </row>
    <row r="1706" spans="1:5" x14ac:dyDescent="0.25">
      <c r="A1706" t="str" cm="1">
        <f t="array" ref="A1706">IFERROR(INDEX(tbNucleo[ESCOLA],ROUNDUP(ROW(A1705)/TotalEtapas,0)),"")</f>
        <v/>
      </c>
      <c r="D1706" t="str">
        <f>IFERROR(VLOOKUP(tbEscolas[[#This Row],[COD ETPA]],tbEtapas[],2,FALSE),"")</f>
        <v/>
      </c>
      <c r="E1706" t="str">
        <f>IFERROR(VLOOKUP(tbEscolas[[#This Row],[COD ETPA]],tbEtapas[],3,FALSE),"")</f>
        <v/>
      </c>
    </row>
    <row r="1707" spans="1:5" x14ac:dyDescent="0.25">
      <c r="A1707" t="str" cm="1">
        <f t="array" ref="A1707">IFERROR(INDEX(tbNucleo[ESCOLA],ROUNDUP(ROW(A1706)/TotalEtapas,0)),"")</f>
        <v/>
      </c>
      <c r="D1707" t="str">
        <f>IFERROR(VLOOKUP(tbEscolas[[#This Row],[COD ETPA]],tbEtapas[],2,FALSE),"")</f>
        <v/>
      </c>
      <c r="E1707" t="str">
        <f>IFERROR(VLOOKUP(tbEscolas[[#This Row],[COD ETPA]],tbEtapas[],3,FALSE),"")</f>
        <v/>
      </c>
    </row>
    <row r="1708" spans="1:5" x14ac:dyDescent="0.25">
      <c r="A1708" t="str" cm="1">
        <f t="array" ref="A1708">IFERROR(INDEX(tbNucleo[ESCOLA],ROUNDUP(ROW(A1707)/TotalEtapas,0)),"")</f>
        <v/>
      </c>
      <c r="D1708" t="str">
        <f>IFERROR(VLOOKUP(tbEscolas[[#This Row],[COD ETPA]],tbEtapas[],2,FALSE),"")</f>
        <v/>
      </c>
      <c r="E1708" t="str">
        <f>IFERROR(VLOOKUP(tbEscolas[[#This Row],[COD ETPA]],tbEtapas[],3,FALSE),"")</f>
        <v/>
      </c>
    </row>
    <row r="1709" spans="1:5" x14ac:dyDescent="0.25">
      <c r="A1709" t="str" cm="1">
        <f t="array" ref="A1709">IFERROR(INDEX(tbNucleo[ESCOLA],ROUNDUP(ROW(A1708)/TotalEtapas,0)),"")</f>
        <v/>
      </c>
      <c r="D1709" t="str">
        <f>IFERROR(VLOOKUP(tbEscolas[[#This Row],[COD ETPA]],tbEtapas[],2,FALSE),"")</f>
        <v/>
      </c>
      <c r="E1709" t="str">
        <f>IFERROR(VLOOKUP(tbEscolas[[#This Row],[COD ETPA]],tbEtapas[],3,FALSE),"")</f>
        <v/>
      </c>
    </row>
    <row r="1710" spans="1:5" x14ac:dyDescent="0.25">
      <c r="A1710" t="str" cm="1">
        <f t="array" ref="A1710">IFERROR(INDEX(tbNucleo[ESCOLA],ROUNDUP(ROW(A1709)/TotalEtapas,0)),"")</f>
        <v/>
      </c>
      <c r="D1710" t="str">
        <f>IFERROR(VLOOKUP(tbEscolas[[#This Row],[COD ETPA]],tbEtapas[],2,FALSE),"")</f>
        <v/>
      </c>
      <c r="E1710" t="str">
        <f>IFERROR(VLOOKUP(tbEscolas[[#This Row],[COD ETPA]],tbEtapas[],3,FALSE),"")</f>
        <v/>
      </c>
    </row>
    <row r="1711" spans="1:5" x14ac:dyDescent="0.25">
      <c r="A1711" t="str" cm="1">
        <f t="array" ref="A1711">IFERROR(INDEX(tbNucleo[ESCOLA],ROUNDUP(ROW(A1710)/TotalEtapas,0)),"")</f>
        <v/>
      </c>
      <c r="D1711" t="str">
        <f>IFERROR(VLOOKUP(tbEscolas[[#This Row],[COD ETPA]],tbEtapas[],2,FALSE),"")</f>
        <v/>
      </c>
      <c r="E1711" t="str">
        <f>IFERROR(VLOOKUP(tbEscolas[[#This Row],[COD ETPA]],tbEtapas[],3,FALSE),"")</f>
        <v/>
      </c>
    </row>
    <row r="1712" spans="1:5" x14ac:dyDescent="0.25">
      <c r="A1712" t="str" cm="1">
        <f t="array" ref="A1712">IFERROR(INDEX(tbNucleo[ESCOLA],ROUNDUP(ROW(A1711)/TotalEtapas,0)),"")</f>
        <v/>
      </c>
      <c r="D1712" t="str">
        <f>IFERROR(VLOOKUP(tbEscolas[[#This Row],[COD ETPA]],tbEtapas[],2,FALSE),"")</f>
        <v/>
      </c>
      <c r="E1712" t="str">
        <f>IFERROR(VLOOKUP(tbEscolas[[#This Row],[COD ETPA]],tbEtapas[],3,FALSE),"")</f>
        <v/>
      </c>
    </row>
    <row r="1713" spans="1:5" x14ac:dyDescent="0.25">
      <c r="A1713" t="str" cm="1">
        <f t="array" ref="A1713">IFERROR(INDEX(tbNucleo[ESCOLA],ROUNDUP(ROW(A1712)/TotalEtapas,0)),"")</f>
        <v/>
      </c>
      <c r="D1713" t="str">
        <f>IFERROR(VLOOKUP(tbEscolas[[#This Row],[COD ETPA]],tbEtapas[],2,FALSE),"")</f>
        <v/>
      </c>
      <c r="E1713" t="str">
        <f>IFERROR(VLOOKUP(tbEscolas[[#This Row],[COD ETPA]],tbEtapas[],3,FALSE),"")</f>
        <v/>
      </c>
    </row>
    <row r="1714" spans="1:5" x14ac:dyDescent="0.25">
      <c r="A1714" t="str" cm="1">
        <f t="array" ref="A1714">IFERROR(INDEX(tbNucleo[ESCOLA],ROUNDUP(ROW(A1713)/TotalEtapas,0)),"")</f>
        <v/>
      </c>
      <c r="D1714" t="str">
        <f>IFERROR(VLOOKUP(tbEscolas[[#This Row],[COD ETPA]],tbEtapas[],2,FALSE),"")</f>
        <v/>
      </c>
      <c r="E1714" t="str">
        <f>IFERROR(VLOOKUP(tbEscolas[[#This Row],[COD ETPA]],tbEtapas[],3,FALSE),"")</f>
        <v/>
      </c>
    </row>
    <row r="1715" spans="1:5" x14ac:dyDescent="0.25">
      <c r="A1715" t="str" cm="1">
        <f t="array" ref="A1715">IFERROR(INDEX(tbNucleo[ESCOLA],ROUNDUP(ROW(A1714)/TotalEtapas,0)),"")</f>
        <v/>
      </c>
      <c r="D1715" t="str">
        <f>IFERROR(VLOOKUP(tbEscolas[[#This Row],[COD ETPA]],tbEtapas[],2,FALSE),"")</f>
        <v/>
      </c>
      <c r="E1715" t="str">
        <f>IFERROR(VLOOKUP(tbEscolas[[#This Row],[COD ETPA]],tbEtapas[],3,FALSE),"")</f>
        <v/>
      </c>
    </row>
    <row r="1716" spans="1:5" x14ac:dyDescent="0.25">
      <c r="A1716" t="str" cm="1">
        <f t="array" ref="A1716">IFERROR(INDEX(tbNucleo[ESCOLA],ROUNDUP(ROW(A1715)/TotalEtapas,0)),"")</f>
        <v/>
      </c>
      <c r="D1716" t="str">
        <f>IFERROR(VLOOKUP(tbEscolas[[#This Row],[COD ETPA]],tbEtapas[],2,FALSE),"")</f>
        <v/>
      </c>
      <c r="E1716" t="str">
        <f>IFERROR(VLOOKUP(tbEscolas[[#This Row],[COD ETPA]],tbEtapas[],3,FALSE),"")</f>
        <v/>
      </c>
    </row>
    <row r="1717" spans="1:5" x14ac:dyDescent="0.25">
      <c r="A1717" t="str" cm="1">
        <f t="array" ref="A1717">IFERROR(INDEX(tbNucleo[ESCOLA],ROUNDUP(ROW(A1716)/TotalEtapas,0)),"")</f>
        <v/>
      </c>
      <c r="D1717" t="str">
        <f>IFERROR(VLOOKUP(tbEscolas[[#This Row],[COD ETPA]],tbEtapas[],2,FALSE),"")</f>
        <v/>
      </c>
      <c r="E1717" t="str">
        <f>IFERROR(VLOOKUP(tbEscolas[[#This Row],[COD ETPA]],tbEtapas[],3,FALSE),"")</f>
        <v/>
      </c>
    </row>
    <row r="1718" spans="1:5" x14ac:dyDescent="0.25">
      <c r="A1718" t="str" cm="1">
        <f t="array" ref="A1718">IFERROR(INDEX(tbNucleo[ESCOLA],ROUNDUP(ROW(A1717)/TotalEtapas,0)),"")</f>
        <v/>
      </c>
      <c r="D1718" t="str">
        <f>IFERROR(VLOOKUP(tbEscolas[[#This Row],[COD ETPA]],tbEtapas[],2,FALSE),"")</f>
        <v/>
      </c>
      <c r="E1718" t="str">
        <f>IFERROR(VLOOKUP(tbEscolas[[#This Row],[COD ETPA]],tbEtapas[],3,FALSE),"")</f>
        <v/>
      </c>
    </row>
    <row r="1719" spans="1:5" x14ac:dyDescent="0.25">
      <c r="A1719" t="str" cm="1">
        <f t="array" ref="A1719">IFERROR(INDEX(tbNucleo[ESCOLA],ROUNDUP(ROW(A1718)/TotalEtapas,0)),"")</f>
        <v/>
      </c>
      <c r="D1719" t="str">
        <f>IFERROR(VLOOKUP(tbEscolas[[#This Row],[COD ETPA]],tbEtapas[],2,FALSE),"")</f>
        <v/>
      </c>
      <c r="E1719" t="str">
        <f>IFERROR(VLOOKUP(tbEscolas[[#This Row],[COD ETPA]],tbEtapas[],3,FALSE),"")</f>
        <v/>
      </c>
    </row>
    <row r="1720" spans="1:5" x14ac:dyDescent="0.25">
      <c r="A1720" t="str" cm="1">
        <f t="array" ref="A1720">IFERROR(INDEX(tbNucleo[ESCOLA],ROUNDUP(ROW(A1719)/TotalEtapas,0)),"")</f>
        <v/>
      </c>
      <c r="D1720" t="str">
        <f>IFERROR(VLOOKUP(tbEscolas[[#This Row],[COD ETPA]],tbEtapas[],2,FALSE),"")</f>
        <v/>
      </c>
      <c r="E1720" t="str">
        <f>IFERROR(VLOOKUP(tbEscolas[[#This Row],[COD ETPA]],tbEtapas[],3,FALSE),"")</f>
        <v/>
      </c>
    </row>
    <row r="1721" spans="1:5" x14ac:dyDescent="0.25">
      <c r="A1721" t="str" cm="1">
        <f t="array" ref="A1721">IFERROR(INDEX(tbNucleo[ESCOLA],ROUNDUP(ROW(A1720)/TotalEtapas,0)),"")</f>
        <v/>
      </c>
      <c r="D1721" t="str">
        <f>IFERROR(VLOOKUP(tbEscolas[[#This Row],[COD ETPA]],tbEtapas[],2,FALSE),"")</f>
        <v/>
      </c>
      <c r="E1721" t="str">
        <f>IFERROR(VLOOKUP(tbEscolas[[#This Row],[COD ETPA]],tbEtapas[],3,FALSE),"")</f>
        <v/>
      </c>
    </row>
    <row r="1722" spans="1:5" x14ac:dyDescent="0.25">
      <c r="A1722" t="str" cm="1">
        <f t="array" ref="A1722">IFERROR(INDEX(tbNucleo[ESCOLA],ROUNDUP(ROW(A1721)/TotalEtapas,0)),"")</f>
        <v/>
      </c>
      <c r="D1722" t="str">
        <f>IFERROR(VLOOKUP(tbEscolas[[#This Row],[COD ETPA]],tbEtapas[],2,FALSE),"")</f>
        <v/>
      </c>
      <c r="E1722" t="str">
        <f>IFERROR(VLOOKUP(tbEscolas[[#This Row],[COD ETPA]],tbEtapas[],3,FALSE),"")</f>
        <v/>
      </c>
    </row>
    <row r="1723" spans="1:5" x14ac:dyDescent="0.25">
      <c r="A1723" t="str" cm="1">
        <f t="array" ref="A1723">IFERROR(INDEX(tbNucleo[ESCOLA],ROUNDUP(ROW(A1722)/TotalEtapas,0)),"")</f>
        <v/>
      </c>
      <c r="D1723" t="str">
        <f>IFERROR(VLOOKUP(tbEscolas[[#This Row],[COD ETPA]],tbEtapas[],2,FALSE),"")</f>
        <v/>
      </c>
      <c r="E1723" t="str">
        <f>IFERROR(VLOOKUP(tbEscolas[[#This Row],[COD ETPA]],tbEtapas[],3,FALSE),"")</f>
        <v/>
      </c>
    </row>
    <row r="1724" spans="1:5" x14ac:dyDescent="0.25">
      <c r="A1724" t="str" cm="1">
        <f t="array" ref="A1724">IFERROR(INDEX(tbNucleo[ESCOLA],ROUNDUP(ROW(A1723)/TotalEtapas,0)),"")</f>
        <v/>
      </c>
      <c r="D1724" t="str">
        <f>IFERROR(VLOOKUP(tbEscolas[[#This Row],[COD ETPA]],tbEtapas[],2,FALSE),"")</f>
        <v/>
      </c>
      <c r="E1724" t="str">
        <f>IFERROR(VLOOKUP(tbEscolas[[#This Row],[COD ETPA]],tbEtapas[],3,FALSE),"")</f>
        <v/>
      </c>
    </row>
    <row r="1725" spans="1:5" x14ac:dyDescent="0.25">
      <c r="A1725" t="str" cm="1">
        <f t="array" ref="A1725">IFERROR(INDEX(tbNucleo[ESCOLA],ROUNDUP(ROW(A1724)/TotalEtapas,0)),"")</f>
        <v/>
      </c>
      <c r="D1725" t="str">
        <f>IFERROR(VLOOKUP(tbEscolas[[#This Row],[COD ETPA]],tbEtapas[],2,FALSE),"")</f>
        <v/>
      </c>
      <c r="E1725" t="str">
        <f>IFERROR(VLOOKUP(tbEscolas[[#This Row],[COD ETPA]],tbEtapas[],3,FALSE),"")</f>
        <v/>
      </c>
    </row>
    <row r="1726" spans="1:5" x14ac:dyDescent="0.25">
      <c r="A1726" t="str" cm="1">
        <f t="array" ref="A1726">IFERROR(INDEX(tbNucleo[ESCOLA],ROUNDUP(ROW(A1725)/TotalEtapas,0)),"")</f>
        <v/>
      </c>
      <c r="D1726" t="str">
        <f>IFERROR(VLOOKUP(tbEscolas[[#This Row],[COD ETPA]],tbEtapas[],2,FALSE),"")</f>
        <v/>
      </c>
      <c r="E1726" t="str">
        <f>IFERROR(VLOOKUP(tbEscolas[[#This Row],[COD ETPA]],tbEtapas[],3,FALSE),"")</f>
        <v/>
      </c>
    </row>
    <row r="1727" spans="1:5" x14ac:dyDescent="0.25">
      <c r="A1727" t="str" cm="1">
        <f t="array" ref="A1727">IFERROR(INDEX(tbNucleo[ESCOLA],ROUNDUP(ROW(A1726)/TotalEtapas,0)),"")</f>
        <v/>
      </c>
      <c r="D1727" t="str">
        <f>IFERROR(VLOOKUP(tbEscolas[[#This Row],[COD ETPA]],tbEtapas[],2,FALSE),"")</f>
        <v/>
      </c>
      <c r="E1727" t="str">
        <f>IFERROR(VLOOKUP(tbEscolas[[#This Row],[COD ETPA]],tbEtapas[],3,FALSE),"")</f>
        <v/>
      </c>
    </row>
    <row r="1728" spans="1:5" x14ac:dyDescent="0.25">
      <c r="A1728" t="str" cm="1">
        <f t="array" ref="A1728">IFERROR(INDEX(tbNucleo[ESCOLA],ROUNDUP(ROW(A1727)/TotalEtapas,0)),"")</f>
        <v/>
      </c>
      <c r="D1728" t="str">
        <f>IFERROR(VLOOKUP(tbEscolas[[#This Row],[COD ETPA]],tbEtapas[],2,FALSE),"")</f>
        <v/>
      </c>
      <c r="E1728" t="str">
        <f>IFERROR(VLOOKUP(tbEscolas[[#This Row],[COD ETPA]],tbEtapas[],3,FALSE),"")</f>
        <v/>
      </c>
    </row>
    <row r="1729" spans="1:5" x14ac:dyDescent="0.25">
      <c r="A1729" t="str" cm="1">
        <f t="array" ref="A1729">IFERROR(INDEX(tbNucleo[ESCOLA],ROUNDUP(ROW(A1728)/TotalEtapas,0)),"")</f>
        <v/>
      </c>
      <c r="D1729" t="str">
        <f>IFERROR(VLOOKUP(tbEscolas[[#This Row],[COD ETPA]],tbEtapas[],2,FALSE),"")</f>
        <v/>
      </c>
      <c r="E1729" t="str">
        <f>IFERROR(VLOOKUP(tbEscolas[[#This Row],[COD ETPA]],tbEtapas[],3,FALSE),"")</f>
        <v/>
      </c>
    </row>
    <row r="1730" spans="1:5" x14ac:dyDescent="0.25">
      <c r="A1730" t="str" cm="1">
        <f t="array" ref="A1730">IFERROR(INDEX(tbNucleo[ESCOLA],ROUNDUP(ROW(A1729)/TotalEtapas,0)),"")</f>
        <v/>
      </c>
      <c r="D1730" t="str">
        <f>IFERROR(VLOOKUP(tbEscolas[[#This Row],[COD ETPA]],tbEtapas[],2,FALSE),"")</f>
        <v/>
      </c>
      <c r="E1730" t="str">
        <f>IFERROR(VLOOKUP(tbEscolas[[#This Row],[COD ETPA]],tbEtapas[],3,FALSE),"")</f>
        <v/>
      </c>
    </row>
    <row r="1731" spans="1:5" x14ac:dyDescent="0.25">
      <c r="A1731" t="str" cm="1">
        <f t="array" ref="A1731">IFERROR(INDEX(tbNucleo[ESCOLA],ROUNDUP(ROW(A1730)/TotalEtapas,0)),"")</f>
        <v/>
      </c>
      <c r="D1731" t="str">
        <f>IFERROR(VLOOKUP(tbEscolas[[#This Row],[COD ETPA]],tbEtapas[],2,FALSE),"")</f>
        <v/>
      </c>
      <c r="E1731" t="str">
        <f>IFERROR(VLOOKUP(tbEscolas[[#This Row],[COD ETPA]],tbEtapas[],3,FALSE),"")</f>
        <v/>
      </c>
    </row>
    <row r="1732" spans="1:5" x14ac:dyDescent="0.25">
      <c r="A1732" t="str" cm="1">
        <f t="array" ref="A1732">IFERROR(INDEX(tbNucleo[ESCOLA],ROUNDUP(ROW(A1731)/TotalEtapas,0)),"")</f>
        <v/>
      </c>
      <c r="D1732" t="str">
        <f>IFERROR(VLOOKUP(tbEscolas[[#This Row],[COD ETPA]],tbEtapas[],2,FALSE),"")</f>
        <v/>
      </c>
      <c r="E1732" t="str">
        <f>IFERROR(VLOOKUP(tbEscolas[[#This Row],[COD ETPA]],tbEtapas[],3,FALSE),"")</f>
        <v/>
      </c>
    </row>
    <row r="1733" spans="1:5" x14ac:dyDescent="0.25">
      <c r="A1733" t="str" cm="1">
        <f t="array" ref="A1733">IFERROR(INDEX(tbNucleo[ESCOLA],ROUNDUP(ROW(A1732)/TotalEtapas,0)),"")</f>
        <v/>
      </c>
      <c r="D1733" t="str">
        <f>IFERROR(VLOOKUP(tbEscolas[[#This Row],[COD ETPA]],tbEtapas[],2,FALSE),"")</f>
        <v/>
      </c>
      <c r="E1733" t="str">
        <f>IFERROR(VLOOKUP(tbEscolas[[#This Row],[COD ETPA]],tbEtapas[],3,FALSE),"")</f>
        <v/>
      </c>
    </row>
    <row r="1734" spans="1:5" x14ac:dyDescent="0.25">
      <c r="A1734" t="str" cm="1">
        <f t="array" ref="A1734">IFERROR(INDEX(tbNucleo[ESCOLA],ROUNDUP(ROW(A1733)/TotalEtapas,0)),"")</f>
        <v/>
      </c>
      <c r="D1734" t="str">
        <f>IFERROR(VLOOKUP(tbEscolas[[#This Row],[COD ETPA]],tbEtapas[],2,FALSE),"")</f>
        <v/>
      </c>
      <c r="E1734" t="str">
        <f>IFERROR(VLOOKUP(tbEscolas[[#This Row],[COD ETPA]],tbEtapas[],3,FALSE),"")</f>
        <v/>
      </c>
    </row>
    <row r="1735" spans="1:5" x14ac:dyDescent="0.25">
      <c r="A1735" t="str" cm="1">
        <f t="array" ref="A1735">IFERROR(INDEX(tbNucleo[ESCOLA],ROUNDUP(ROW(A1734)/TotalEtapas,0)),"")</f>
        <v/>
      </c>
      <c r="D1735" t="str">
        <f>IFERROR(VLOOKUP(tbEscolas[[#This Row],[COD ETPA]],tbEtapas[],2,FALSE),"")</f>
        <v/>
      </c>
      <c r="E1735" t="str">
        <f>IFERROR(VLOOKUP(tbEscolas[[#This Row],[COD ETPA]],tbEtapas[],3,FALSE),"")</f>
        <v/>
      </c>
    </row>
    <row r="1736" spans="1:5" x14ac:dyDescent="0.25">
      <c r="A1736" t="str" cm="1">
        <f t="array" ref="A1736">IFERROR(INDEX(tbNucleo[ESCOLA],ROUNDUP(ROW(A1735)/TotalEtapas,0)),"")</f>
        <v/>
      </c>
      <c r="D1736" t="str">
        <f>IFERROR(VLOOKUP(tbEscolas[[#This Row],[COD ETPA]],tbEtapas[],2,FALSE),"")</f>
        <v/>
      </c>
      <c r="E1736" t="str">
        <f>IFERROR(VLOOKUP(tbEscolas[[#This Row],[COD ETPA]],tbEtapas[],3,FALSE),"")</f>
        <v/>
      </c>
    </row>
    <row r="1737" spans="1:5" x14ac:dyDescent="0.25">
      <c r="A1737" t="str" cm="1">
        <f t="array" ref="A1737">IFERROR(INDEX(tbNucleo[ESCOLA],ROUNDUP(ROW(A1736)/TotalEtapas,0)),"")</f>
        <v/>
      </c>
      <c r="D1737" t="str">
        <f>IFERROR(VLOOKUP(tbEscolas[[#This Row],[COD ETPA]],tbEtapas[],2,FALSE),"")</f>
        <v/>
      </c>
      <c r="E1737" t="str">
        <f>IFERROR(VLOOKUP(tbEscolas[[#This Row],[COD ETPA]],tbEtapas[],3,FALSE),"")</f>
        <v/>
      </c>
    </row>
    <row r="1738" spans="1:5" x14ac:dyDescent="0.25">
      <c r="A1738" t="str" cm="1">
        <f t="array" ref="A1738">IFERROR(INDEX(tbNucleo[ESCOLA],ROUNDUP(ROW(A1737)/TotalEtapas,0)),"")</f>
        <v/>
      </c>
      <c r="D1738" t="str">
        <f>IFERROR(VLOOKUP(tbEscolas[[#This Row],[COD ETPA]],tbEtapas[],2,FALSE),"")</f>
        <v/>
      </c>
      <c r="E1738" t="str">
        <f>IFERROR(VLOOKUP(tbEscolas[[#This Row],[COD ETPA]],tbEtapas[],3,FALSE),"")</f>
        <v/>
      </c>
    </row>
    <row r="1739" spans="1:5" x14ac:dyDescent="0.25">
      <c r="A1739" t="str" cm="1">
        <f t="array" ref="A1739">IFERROR(INDEX(tbNucleo[ESCOLA],ROUNDUP(ROW(A1738)/TotalEtapas,0)),"")</f>
        <v/>
      </c>
      <c r="D1739" t="str">
        <f>IFERROR(VLOOKUP(tbEscolas[[#This Row],[COD ETPA]],tbEtapas[],2,FALSE),"")</f>
        <v/>
      </c>
      <c r="E1739" t="str">
        <f>IFERROR(VLOOKUP(tbEscolas[[#This Row],[COD ETPA]],tbEtapas[],3,FALSE),"")</f>
        <v/>
      </c>
    </row>
    <row r="1740" spans="1:5" x14ac:dyDescent="0.25">
      <c r="A1740" t="str" cm="1">
        <f t="array" ref="A1740">IFERROR(INDEX(tbNucleo[ESCOLA],ROUNDUP(ROW(A1739)/TotalEtapas,0)),"")</f>
        <v/>
      </c>
      <c r="D1740" t="str">
        <f>IFERROR(VLOOKUP(tbEscolas[[#This Row],[COD ETPA]],tbEtapas[],2,FALSE),"")</f>
        <v/>
      </c>
      <c r="E1740" t="str">
        <f>IFERROR(VLOOKUP(tbEscolas[[#This Row],[COD ETPA]],tbEtapas[],3,FALSE),"")</f>
        <v/>
      </c>
    </row>
    <row r="1741" spans="1:5" x14ac:dyDescent="0.25">
      <c r="A1741" t="str" cm="1">
        <f t="array" ref="A1741">IFERROR(INDEX(tbNucleo[ESCOLA],ROUNDUP(ROW(A1740)/TotalEtapas,0)),"")</f>
        <v/>
      </c>
      <c r="D1741" t="str">
        <f>IFERROR(VLOOKUP(tbEscolas[[#This Row],[COD ETPA]],tbEtapas[],2,FALSE),"")</f>
        <v/>
      </c>
      <c r="E1741" t="str">
        <f>IFERROR(VLOOKUP(tbEscolas[[#This Row],[COD ETPA]],tbEtapas[],3,FALSE),"")</f>
        <v/>
      </c>
    </row>
    <row r="1742" spans="1:5" x14ac:dyDescent="0.25">
      <c r="A1742" t="str" cm="1">
        <f t="array" ref="A1742">IFERROR(INDEX(tbNucleo[ESCOLA],ROUNDUP(ROW(A1741)/TotalEtapas,0)),"")</f>
        <v/>
      </c>
      <c r="D1742" t="str">
        <f>IFERROR(VLOOKUP(tbEscolas[[#This Row],[COD ETPA]],tbEtapas[],2,FALSE),"")</f>
        <v/>
      </c>
      <c r="E1742" t="str">
        <f>IFERROR(VLOOKUP(tbEscolas[[#This Row],[COD ETPA]],tbEtapas[],3,FALSE),"")</f>
        <v/>
      </c>
    </row>
    <row r="1743" spans="1:5" x14ac:dyDescent="0.25">
      <c r="A1743" t="str" cm="1">
        <f t="array" ref="A1743">IFERROR(INDEX(tbNucleo[ESCOLA],ROUNDUP(ROW(A1742)/TotalEtapas,0)),"")</f>
        <v/>
      </c>
      <c r="D1743" t="str">
        <f>IFERROR(VLOOKUP(tbEscolas[[#This Row],[COD ETPA]],tbEtapas[],2,FALSE),"")</f>
        <v/>
      </c>
      <c r="E1743" t="str">
        <f>IFERROR(VLOOKUP(tbEscolas[[#This Row],[COD ETPA]],tbEtapas[],3,FALSE),"")</f>
        <v/>
      </c>
    </row>
    <row r="1744" spans="1:5" x14ac:dyDescent="0.25">
      <c r="A1744" t="str" cm="1">
        <f t="array" ref="A1744">IFERROR(INDEX(tbNucleo[ESCOLA],ROUNDUP(ROW(A1743)/TotalEtapas,0)),"")</f>
        <v/>
      </c>
      <c r="D1744" t="str">
        <f>IFERROR(VLOOKUP(tbEscolas[[#This Row],[COD ETPA]],tbEtapas[],2,FALSE),"")</f>
        <v/>
      </c>
      <c r="E1744" t="str">
        <f>IFERROR(VLOOKUP(tbEscolas[[#This Row],[COD ETPA]],tbEtapas[],3,FALSE),"")</f>
        <v/>
      </c>
    </row>
    <row r="1745" spans="1:5" x14ac:dyDescent="0.25">
      <c r="A1745" t="str" cm="1">
        <f t="array" ref="A1745">IFERROR(INDEX(tbNucleo[ESCOLA],ROUNDUP(ROW(A1744)/TotalEtapas,0)),"")</f>
        <v/>
      </c>
      <c r="D1745" t="str">
        <f>IFERROR(VLOOKUP(tbEscolas[[#This Row],[COD ETPA]],tbEtapas[],2,FALSE),"")</f>
        <v/>
      </c>
      <c r="E1745" t="str">
        <f>IFERROR(VLOOKUP(tbEscolas[[#This Row],[COD ETPA]],tbEtapas[],3,FALSE),"")</f>
        <v/>
      </c>
    </row>
    <row r="1746" spans="1:5" x14ac:dyDescent="0.25">
      <c r="A1746" t="str" cm="1">
        <f t="array" ref="A1746">IFERROR(INDEX(tbNucleo[ESCOLA],ROUNDUP(ROW(A1745)/TotalEtapas,0)),"")</f>
        <v/>
      </c>
      <c r="D1746" t="str">
        <f>IFERROR(VLOOKUP(tbEscolas[[#This Row],[COD ETPA]],tbEtapas[],2,FALSE),"")</f>
        <v/>
      </c>
      <c r="E1746" t="str">
        <f>IFERROR(VLOOKUP(tbEscolas[[#This Row],[COD ETPA]],tbEtapas[],3,FALSE),"")</f>
        <v/>
      </c>
    </row>
    <row r="1747" spans="1:5" x14ac:dyDescent="0.25">
      <c r="A1747" t="str" cm="1">
        <f t="array" ref="A1747">IFERROR(INDEX(tbNucleo[ESCOLA],ROUNDUP(ROW(A1746)/TotalEtapas,0)),"")</f>
        <v/>
      </c>
      <c r="D1747" t="str">
        <f>IFERROR(VLOOKUP(tbEscolas[[#This Row],[COD ETPA]],tbEtapas[],2,FALSE),"")</f>
        <v/>
      </c>
      <c r="E1747" t="str">
        <f>IFERROR(VLOOKUP(tbEscolas[[#This Row],[COD ETPA]],tbEtapas[],3,FALSE),"")</f>
        <v/>
      </c>
    </row>
    <row r="1748" spans="1:5" x14ac:dyDescent="0.25">
      <c r="A1748" t="str" cm="1">
        <f t="array" ref="A1748">IFERROR(INDEX(tbNucleo[ESCOLA],ROUNDUP(ROW(A1747)/TotalEtapas,0)),"")</f>
        <v/>
      </c>
      <c r="D1748" t="str">
        <f>IFERROR(VLOOKUP(tbEscolas[[#This Row],[COD ETPA]],tbEtapas[],2,FALSE),"")</f>
        <v/>
      </c>
      <c r="E1748" t="str">
        <f>IFERROR(VLOOKUP(tbEscolas[[#This Row],[COD ETPA]],tbEtapas[],3,FALSE),"")</f>
        <v/>
      </c>
    </row>
    <row r="1749" spans="1:5" x14ac:dyDescent="0.25">
      <c r="A1749" t="str" cm="1">
        <f t="array" ref="A1749">IFERROR(INDEX(tbNucleo[ESCOLA],ROUNDUP(ROW(A1748)/TotalEtapas,0)),"")</f>
        <v/>
      </c>
      <c r="D1749" t="str">
        <f>IFERROR(VLOOKUP(tbEscolas[[#This Row],[COD ETPA]],tbEtapas[],2,FALSE),"")</f>
        <v/>
      </c>
      <c r="E1749" t="str">
        <f>IFERROR(VLOOKUP(tbEscolas[[#This Row],[COD ETPA]],tbEtapas[],3,FALSE),"")</f>
        <v/>
      </c>
    </row>
    <row r="1750" spans="1:5" x14ac:dyDescent="0.25">
      <c r="A1750" t="str" cm="1">
        <f t="array" ref="A1750">IFERROR(INDEX(tbNucleo[ESCOLA],ROUNDUP(ROW(A1749)/TotalEtapas,0)),"")</f>
        <v/>
      </c>
      <c r="D1750" t="str">
        <f>IFERROR(VLOOKUP(tbEscolas[[#This Row],[COD ETPA]],tbEtapas[],2,FALSE),"")</f>
        <v/>
      </c>
      <c r="E1750" t="str">
        <f>IFERROR(VLOOKUP(tbEscolas[[#This Row],[COD ETPA]],tbEtapas[],3,FALSE),"")</f>
        <v/>
      </c>
    </row>
    <row r="1751" spans="1:5" x14ac:dyDescent="0.25">
      <c r="A1751" t="str" cm="1">
        <f t="array" ref="A1751">IFERROR(INDEX(tbNucleo[ESCOLA],ROUNDUP(ROW(A1750)/TotalEtapas,0)),"")</f>
        <v/>
      </c>
      <c r="D1751" t="str">
        <f>IFERROR(VLOOKUP(tbEscolas[[#This Row],[COD ETPA]],tbEtapas[],2,FALSE),"")</f>
        <v/>
      </c>
      <c r="E1751" t="str">
        <f>IFERROR(VLOOKUP(tbEscolas[[#This Row],[COD ETPA]],tbEtapas[],3,FALSE),"")</f>
        <v/>
      </c>
    </row>
    <row r="1752" spans="1:5" x14ac:dyDescent="0.25">
      <c r="A1752" t="str" cm="1">
        <f t="array" ref="A1752">IFERROR(INDEX(tbNucleo[ESCOLA],ROUNDUP(ROW(A1751)/TotalEtapas,0)),"")</f>
        <v/>
      </c>
      <c r="D1752" t="str">
        <f>IFERROR(VLOOKUP(tbEscolas[[#This Row],[COD ETPA]],tbEtapas[],2,FALSE),"")</f>
        <v/>
      </c>
      <c r="E1752" t="str">
        <f>IFERROR(VLOOKUP(tbEscolas[[#This Row],[COD ETPA]],tbEtapas[],3,FALSE),"")</f>
        <v/>
      </c>
    </row>
    <row r="1753" spans="1:5" x14ac:dyDescent="0.25">
      <c r="A1753" t="str" cm="1">
        <f t="array" ref="A1753">IFERROR(INDEX(tbNucleo[ESCOLA],ROUNDUP(ROW(A1752)/TotalEtapas,0)),"")</f>
        <v/>
      </c>
      <c r="D1753" t="str">
        <f>IFERROR(VLOOKUP(tbEscolas[[#This Row],[COD ETPA]],tbEtapas[],2,FALSE),"")</f>
        <v/>
      </c>
      <c r="E1753" t="str">
        <f>IFERROR(VLOOKUP(tbEscolas[[#This Row],[COD ETPA]],tbEtapas[],3,FALSE),"")</f>
        <v/>
      </c>
    </row>
    <row r="1754" spans="1:5" x14ac:dyDescent="0.25">
      <c r="A1754" t="str" cm="1">
        <f t="array" ref="A1754">IFERROR(INDEX(tbNucleo[ESCOLA],ROUNDUP(ROW(A1753)/TotalEtapas,0)),"")</f>
        <v/>
      </c>
      <c r="D1754" t="str">
        <f>IFERROR(VLOOKUP(tbEscolas[[#This Row],[COD ETPA]],tbEtapas[],2,FALSE),"")</f>
        <v/>
      </c>
      <c r="E1754" t="str">
        <f>IFERROR(VLOOKUP(tbEscolas[[#This Row],[COD ETPA]],tbEtapas[],3,FALSE),"")</f>
        <v/>
      </c>
    </row>
    <row r="1755" spans="1:5" x14ac:dyDescent="0.25">
      <c r="A1755" t="str" cm="1">
        <f t="array" ref="A1755">IFERROR(INDEX(tbNucleo[ESCOLA],ROUNDUP(ROW(A1754)/TotalEtapas,0)),"")</f>
        <v/>
      </c>
      <c r="D1755" t="str">
        <f>IFERROR(VLOOKUP(tbEscolas[[#This Row],[COD ETPA]],tbEtapas[],2,FALSE),"")</f>
        <v/>
      </c>
      <c r="E1755" t="str">
        <f>IFERROR(VLOOKUP(tbEscolas[[#This Row],[COD ETPA]],tbEtapas[],3,FALSE),"")</f>
        <v/>
      </c>
    </row>
    <row r="1756" spans="1:5" x14ac:dyDescent="0.25">
      <c r="A1756" t="str" cm="1">
        <f t="array" ref="A1756">IFERROR(INDEX(tbNucleo[ESCOLA],ROUNDUP(ROW(A1755)/TotalEtapas,0)),"")</f>
        <v/>
      </c>
      <c r="D1756" t="str">
        <f>IFERROR(VLOOKUP(tbEscolas[[#This Row],[COD ETPA]],tbEtapas[],2,FALSE),"")</f>
        <v/>
      </c>
      <c r="E1756" t="str">
        <f>IFERROR(VLOOKUP(tbEscolas[[#This Row],[COD ETPA]],tbEtapas[],3,FALSE),"")</f>
        <v/>
      </c>
    </row>
    <row r="1757" spans="1:5" x14ac:dyDescent="0.25">
      <c r="A1757" t="str" cm="1">
        <f t="array" ref="A1757">IFERROR(INDEX(tbNucleo[ESCOLA],ROUNDUP(ROW(A1756)/TotalEtapas,0)),"")</f>
        <v/>
      </c>
      <c r="D1757" t="str">
        <f>IFERROR(VLOOKUP(tbEscolas[[#This Row],[COD ETPA]],tbEtapas[],2,FALSE),"")</f>
        <v/>
      </c>
      <c r="E1757" t="str">
        <f>IFERROR(VLOOKUP(tbEscolas[[#This Row],[COD ETPA]],tbEtapas[],3,FALSE),"")</f>
        <v/>
      </c>
    </row>
    <row r="1758" spans="1:5" x14ac:dyDescent="0.25">
      <c r="A1758" t="str" cm="1">
        <f t="array" ref="A1758">IFERROR(INDEX(tbNucleo[ESCOLA],ROUNDUP(ROW(A1757)/TotalEtapas,0)),"")</f>
        <v/>
      </c>
      <c r="D1758" t="str">
        <f>IFERROR(VLOOKUP(tbEscolas[[#This Row],[COD ETPA]],tbEtapas[],2,FALSE),"")</f>
        <v/>
      </c>
      <c r="E1758" t="str">
        <f>IFERROR(VLOOKUP(tbEscolas[[#This Row],[COD ETPA]],tbEtapas[],3,FALSE),"")</f>
        <v/>
      </c>
    </row>
    <row r="1759" spans="1:5" x14ac:dyDescent="0.25">
      <c r="A1759" t="str" cm="1">
        <f t="array" ref="A1759">IFERROR(INDEX(tbNucleo[ESCOLA],ROUNDUP(ROW(A1758)/TotalEtapas,0)),"")</f>
        <v/>
      </c>
      <c r="D1759" t="str">
        <f>IFERROR(VLOOKUP(tbEscolas[[#This Row],[COD ETPA]],tbEtapas[],2,FALSE),"")</f>
        <v/>
      </c>
      <c r="E1759" t="str">
        <f>IFERROR(VLOOKUP(tbEscolas[[#This Row],[COD ETPA]],tbEtapas[],3,FALSE),"")</f>
        <v/>
      </c>
    </row>
    <row r="1760" spans="1:5" x14ac:dyDescent="0.25">
      <c r="A1760" t="str" cm="1">
        <f t="array" ref="A1760">IFERROR(INDEX(tbNucleo[ESCOLA],ROUNDUP(ROW(A1759)/TotalEtapas,0)),"")</f>
        <v/>
      </c>
      <c r="D1760" t="str">
        <f>IFERROR(VLOOKUP(tbEscolas[[#This Row],[COD ETPA]],tbEtapas[],2,FALSE),"")</f>
        <v/>
      </c>
      <c r="E1760" t="str">
        <f>IFERROR(VLOOKUP(tbEscolas[[#This Row],[COD ETPA]],tbEtapas[],3,FALSE),"")</f>
        <v/>
      </c>
    </row>
    <row r="1761" spans="1:5" x14ac:dyDescent="0.25">
      <c r="A1761" t="str" cm="1">
        <f t="array" ref="A1761">IFERROR(INDEX(tbNucleo[ESCOLA],ROUNDUP(ROW(A1760)/TotalEtapas,0)),"")</f>
        <v/>
      </c>
      <c r="D1761" t="str">
        <f>IFERROR(VLOOKUP(tbEscolas[[#This Row],[COD ETPA]],tbEtapas[],2,FALSE),"")</f>
        <v/>
      </c>
      <c r="E1761" t="str">
        <f>IFERROR(VLOOKUP(tbEscolas[[#This Row],[COD ETPA]],tbEtapas[],3,FALSE),"")</f>
        <v/>
      </c>
    </row>
    <row r="1762" spans="1:5" x14ac:dyDescent="0.25">
      <c r="A1762" t="str" cm="1">
        <f t="array" ref="A1762">IFERROR(INDEX(tbNucleo[ESCOLA],ROUNDUP(ROW(A1761)/TotalEtapas,0)),"")</f>
        <v/>
      </c>
      <c r="D1762" t="str">
        <f>IFERROR(VLOOKUP(tbEscolas[[#This Row],[COD ETPA]],tbEtapas[],2,FALSE),"")</f>
        <v/>
      </c>
      <c r="E1762" t="str">
        <f>IFERROR(VLOOKUP(tbEscolas[[#This Row],[COD ETPA]],tbEtapas[],3,FALSE),"")</f>
        <v/>
      </c>
    </row>
    <row r="1763" spans="1:5" x14ac:dyDescent="0.25">
      <c r="A1763" t="str" cm="1">
        <f t="array" ref="A1763">IFERROR(INDEX(tbNucleo[ESCOLA],ROUNDUP(ROW(A1762)/TotalEtapas,0)),"")</f>
        <v/>
      </c>
      <c r="D1763" t="str">
        <f>IFERROR(VLOOKUP(tbEscolas[[#This Row],[COD ETPA]],tbEtapas[],2,FALSE),"")</f>
        <v/>
      </c>
      <c r="E1763" t="str">
        <f>IFERROR(VLOOKUP(tbEscolas[[#This Row],[COD ETPA]],tbEtapas[],3,FALSE),"")</f>
        <v/>
      </c>
    </row>
    <row r="1764" spans="1:5" x14ac:dyDescent="0.25">
      <c r="A1764" t="str" cm="1">
        <f t="array" ref="A1764">IFERROR(INDEX(tbNucleo[ESCOLA],ROUNDUP(ROW(A1763)/TotalEtapas,0)),"")</f>
        <v/>
      </c>
      <c r="D1764" t="str">
        <f>IFERROR(VLOOKUP(tbEscolas[[#This Row],[COD ETPA]],tbEtapas[],2,FALSE),"")</f>
        <v/>
      </c>
      <c r="E1764" t="str">
        <f>IFERROR(VLOOKUP(tbEscolas[[#This Row],[COD ETPA]],tbEtapas[],3,FALSE),"")</f>
        <v/>
      </c>
    </row>
    <row r="1765" spans="1:5" x14ac:dyDescent="0.25">
      <c r="A1765" t="str" cm="1">
        <f t="array" ref="A1765">IFERROR(INDEX(tbNucleo[ESCOLA],ROUNDUP(ROW(A1764)/TotalEtapas,0)),"")</f>
        <v/>
      </c>
      <c r="D1765" t="str">
        <f>IFERROR(VLOOKUP(tbEscolas[[#This Row],[COD ETPA]],tbEtapas[],2,FALSE),"")</f>
        <v/>
      </c>
      <c r="E1765" t="str">
        <f>IFERROR(VLOOKUP(tbEscolas[[#This Row],[COD ETPA]],tbEtapas[],3,FALSE),"")</f>
        <v/>
      </c>
    </row>
    <row r="1766" spans="1:5" x14ac:dyDescent="0.25">
      <c r="A1766" t="str" cm="1">
        <f t="array" ref="A1766">IFERROR(INDEX(tbNucleo[ESCOLA],ROUNDUP(ROW(A1765)/TotalEtapas,0)),"")</f>
        <v/>
      </c>
      <c r="D1766" t="str">
        <f>IFERROR(VLOOKUP(tbEscolas[[#This Row],[COD ETPA]],tbEtapas[],2,FALSE),"")</f>
        <v/>
      </c>
      <c r="E1766" t="str">
        <f>IFERROR(VLOOKUP(tbEscolas[[#This Row],[COD ETPA]],tbEtapas[],3,FALSE),"")</f>
        <v/>
      </c>
    </row>
    <row r="1767" spans="1:5" x14ac:dyDescent="0.25">
      <c r="A1767" t="str" cm="1">
        <f t="array" ref="A1767">IFERROR(INDEX(tbNucleo[ESCOLA],ROUNDUP(ROW(A1766)/TotalEtapas,0)),"")</f>
        <v/>
      </c>
      <c r="D1767" t="str">
        <f>IFERROR(VLOOKUP(tbEscolas[[#This Row],[COD ETPA]],tbEtapas[],2,FALSE),"")</f>
        <v/>
      </c>
      <c r="E1767" t="str">
        <f>IFERROR(VLOOKUP(tbEscolas[[#This Row],[COD ETPA]],tbEtapas[],3,FALSE),"")</f>
        <v/>
      </c>
    </row>
    <row r="1768" spans="1:5" x14ac:dyDescent="0.25">
      <c r="A1768" t="str" cm="1">
        <f t="array" ref="A1768">IFERROR(INDEX(tbNucleo[ESCOLA],ROUNDUP(ROW(A1767)/TotalEtapas,0)),"")</f>
        <v/>
      </c>
      <c r="D1768" t="str">
        <f>IFERROR(VLOOKUP(tbEscolas[[#This Row],[COD ETPA]],tbEtapas[],2,FALSE),"")</f>
        <v/>
      </c>
      <c r="E1768" t="str">
        <f>IFERROR(VLOOKUP(tbEscolas[[#This Row],[COD ETPA]],tbEtapas[],3,FALSE),"")</f>
        <v/>
      </c>
    </row>
    <row r="1769" spans="1:5" x14ac:dyDescent="0.25">
      <c r="A1769" t="str" cm="1">
        <f t="array" ref="A1769">IFERROR(INDEX(tbNucleo[ESCOLA],ROUNDUP(ROW(A1768)/TotalEtapas,0)),"")</f>
        <v/>
      </c>
      <c r="D1769" t="str">
        <f>IFERROR(VLOOKUP(tbEscolas[[#This Row],[COD ETPA]],tbEtapas[],2,FALSE),"")</f>
        <v/>
      </c>
      <c r="E1769" t="str">
        <f>IFERROR(VLOOKUP(tbEscolas[[#This Row],[COD ETPA]],tbEtapas[],3,FALSE),"")</f>
        <v/>
      </c>
    </row>
    <row r="1770" spans="1:5" x14ac:dyDescent="0.25">
      <c r="A1770" t="str" cm="1">
        <f t="array" ref="A1770">IFERROR(INDEX(tbNucleo[ESCOLA],ROUNDUP(ROW(A1769)/TotalEtapas,0)),"")</f>
        <v/>
      </c>
      <c r="D1770" t="str">
        <f>IFERROR(VLOOKUP(tbEscolas[[#This Row],[COD ETPA]],tbEtapas[],2,FALSE),"")</f>
        <v/>
      </c>
      <c r="E1770" t="str">
        <f>IFERROR(VLOOKUP(tbEscolas[[#This Row],[COD ETPA]],tbEtapas[],3,FALSE),"")</f>
        <v/>
      </c>
    </row>
    <row r="1771" spans="1:5" x14ac:dyDescent="0.25">
      <c r="A1771" t="str" cm="1">
        <f t="array" ref="A1771">IFERROR(INDEX(tbNucleo[ESCOLA],ROUNDUP(ROW(A1770)/TotalEtapas,0)),"")</f>
        <v/>
      </c>
      <c r="D1771" t="str">
        <f>IFERROR(VLOOKUP(tbEscolas[[#This Row],[COD ETPA]],tbEtapas[],2,FALSE),"")</f>
        <v/>
      </c>
      <c r="E1771" t="str">
        <f>IFERROR(VLOOKUP(tbEscolas[[#This Row],[COD ETPA]],tbEtapas[],3,FALSE),"")</f>
        <v/>
      </c>
    </row>
    <row r="1772" spans="1:5" x14ac:dyDescent="0.25">
      <c r="A1772" t="str" cm="1">
        <f t="array" ref="A1772">IFERROR(INDEX(tbNucleo[ESCOLA],ROUNDUP(ROW(A1771)/TotalEtapas,0)),"")</f>
        <v/>
      </c>
      <c r="D1772" t="str">
        <f>IFERROR(VLOOKUP(tbEscolas[[#This Row],[COD ETPA]],tbEtapas[],2,FALSE),"")</f>
        <v/>
      </c>
      <c r="E1772" t="str">
        <f>IFERROR(VLOOKUP(tbEscolas[[#This Row],[COD ETPA]],tbEtapas[],3,FALSE),"")</f>
        <v/>
      </c>
    </row>
    <row r="1773" spans="1:5" x14ac:dyDescent="0.25">
      <c r="A1773" t="str" cm="1">
        <f t="array" ref="A1773">IFERROR(INDEX(tbNucleo[ESCOLA],ROUNDUP(ROW(A1772)/TotalEtapas,0)),"")</f>
        <v/>
      </c>
      <c r="D1773" t="str">
        <f>IFERROR(VLOOKUP(tbEscolas[[#This Row],[COD ETPA]],tbEtapas[],2,FALSE),"")</f>
        <v/>
      </c>
      <c r="E1773" t="str">
        <f>IFERROR(VLOOKUP(tbEscolas[[#This Row],[COD ETPA]],tbEtapas[],3,FALSE),"")</f>
        <v/>
      </c>
    </row>
    <row r="1774" spans="1:5" x14ac:dyDescent="0.25">
      <c r="A1774" t="str" cm="1">
        <f t="array" ref="A1774">IFERROR(INDEX(tbNucleo[ESCOLA],ROUNDUP(ROW(A1773)/TotalEtapas,0)),"")</f>
        <v/>
      </c>
      <c r="D1774" t="str">
        <f>IFERROR(VLOOKUP(tbEscolas[[#This Row],[COD ETPA]],tbEtapas[],2,FALSE),"")</f>
        <v/>
      </c>
      <c r="E1774" t="str">
        <f>IFERROR(VLOOKUP(tbEscolas[[#This Row],[COD ETPA]],tbEtapas[],3,FALSE),"")</f>
        <v/>
      </c>
    </row>
    <row r="1775" spans="1:5" x14ac:dyDescent="0.25">
      <c r="A1775" t="str" cm="1">
        <f t="array" ref="A1775">IFERROR(INDEX(tbNucleo[ESCOLA],ROUNDUP(ROW(A1774)/TotalEtapas,0)),"")</f>
        <v/>
      </c>
      <c r="D1775" t="str">
        <f>IFERROR(VLOOKUP(tbEscolas[[#This Row],[COD ETPA]],tbEtapas[],2,FALSE),"")</f>
        <v/>
      </c>
      <c r="E1775" t="str">
        <f>IFERROR(VLOOKUP(tbEscolas[[#This Row],[COD ETPA]],tbEtapas[],3,FALSE),"")</f>
        <v/>
      </c>
    </row>
    <row r="1776" spans="1:5" x14ac:dyDescent="0.25">
      <c r="A1776" t="str" cm="1">
        <f t="array" ref="A1776">IFERROR(INDEX(tbNucleo[ESCOLA],ROUNDUP(ROW(A1775)/TotalEtapas,0)),"")</f>
        <v/>
      </c>
      <c r="D1776" t="str">
        <f>IFERROR(VLOOKUP(tbEscolas[[#This Row],[COD ETPA]],tbEtapas[],2,FALSE),"")</f>
        <v/>
      </c>
      <c r="E1776" t="str">
        <f>IFERROR(VLOOKUP(tbEscolas[[#This Row],[COD ETPA]],tbEtapas[],3,FALSE),"")</f>
        <v/>
      </c>
    </row>
    <row r="1777" spans="1:5" x14ac:dyDescent="0.25">
      <c r="A1777" t="str" cm="1">
        <f t="array" ref="A1777">IFERROR(INDEX(tbNucleo[ESCOLA],ROUNDUP(ROW(A1776)/TotalEtapas,0)),"")</f>
        <v/>
      </c>
      <c r="D1777" t="str">
        <f>IFERROR(VLOOKUP(tbEscolas[[#This Row],[COD ETPA]],tbEtapas[],2,FALSE),"")</f>
        <v/>
      </c>
      <c r="E1777" t="str">
        <f>IFERROR(VLOOKUP(tbEscolas[[#This Row],[COD ETPA]],tbEtapas[],3,FALSE),"")</f>
        <v/>
      </c>
    </row>
    <row r="1778" spans="1:5" x14ac:dyDescent="0.25">
      <c r="A1778" t="str" cm="1">
        <f t="array" ref="A1778">IFERROR(INDEX(tbNucleo[ESCOLA],ROUNDUP(ROW(A1777)/TotalEtapas,0)),"")</f>
        <v/>
      </c>
      <c r="D1778" t="str">
        <f>IFERROR(VLOOKUP(tbEscolas[[#This Row],[COD ETPA]],tbEtapas[],2,FALSE),"")</f>
        <v/>
      </c>
      <c r="E1778" t="str">
        <f>IFERROR(VLOOKUP(tbEscolas[[#This Row],[COD ETPA]],tbEtapas[],3,FALSE),"")</f>
        <v/>
      </c>
    </row>
    <row r="1779" spans="1:5" x14ac:dyDescent="0.25">
      <c r="A1779" t="str" cm="1">
        <f t="array" ref="A1779">IFERROR(INDEX(tbNucleo[ESCOLA],ROUNDUP(ROW(A1778)/TotalEtapas,0)),"")</f>
        <v/>
      </c>
      <c r="D1779" t="str">
        <f>IFERROR(VLOOKUP(tbEscolas[[#This Row],[COD ETPA]],tbEtapas[],2,FALSE),"")</f>
        <v/>
      </c>
      <c r="E1779" t="str">
        <f>IFERROR(VLOOKUP(tbEscolas[[#This Row],[COD ETPA]],tbEtapas[],3,FALSE),"")</f>
        <v/>
      </c>
    </row>
    <row r="1780" spans="1:5" x14ac:dyDescent="0.25">
      <c r="A1780" t="str" cm="1">
        <f t="array" ref="A1780">IFERROR(INDEX(tbNucleo[ESCOLA],ROUNDUP(ROW(A1779)/TotalEtapas,0)),"")</f>
        <v/>
      </c>
      <c r="D1780" t="str">
        <f>IFERROR(VLOOKUP(tbEscolas[[#This Row],[COD ETPA]],tbEtapas[],2,FALSE),"")</f>
        <v/>
      </c>
      <c r="E1780" t="str">
        <f>IFERROR(VLOOKUP(tbEscolas[[#This Row],[COD ETPA]],tbEtapas[],3,FALSE),"")</f>
        <v/>
      </c>
    </row>
    <row r="1781" spans="1:5" x14ac:dyDescent="0.25">
      <c r="A1781" t="str" cm="1">
        <f t="array" ref="A1781">IFERROR(INDEX(tbNucleo[ESCOLA],ROUNDUP(ROW(A1780)/TotalEtapas,0)),"")</f>
        <v/>
      </c>
      <c r="D1781" t="str">
        <f>IFERROR(VLOOKUP(tbEscolas[[#This Row],[COD ETPA]],tbEtapas[],2,FALSE),"")</f>
        <v/>
      </c>
      <c r="E1781" t="str">
        <f>IFERROR(VLOOKUP(tbEscolas[[#This Row],[COD ETPA]],tbEtapas[],3,FALSE),"")</f>
        <v/>
      </c>
    </row>
    <row r="1782" spans="1:5" x14ac:dyDescent="0.25">
      <c r="A1782" t="str" cm="1">
        <f t="array" ref="A1782">IFERROR(INDEX(tbNucleo[ESCOLA],ROUNDUP(ROW(A1781)/TotalEtapas,0)),"")</f>
        <v/>
      </c>
      <c r="D1782" t="str">
        <f>IFERROR(VLOOKUP(tbEscolas[[#This Row],[COD ETPA]],tbEtapas[],2,FALSE),"")</f>
        <v/>
      </c>
      <c r="E1782" t="str">
        <f>IFERROR(VLOOKUP(tbEscolas[[#This Row],[COD ETPA]],tbEtapas[],3,FALSE),"")</f>
        <v/>
      </c>
    </row>
    <row r="1783" spans="1:5" x14ac:dyDescent="0.25">
      <c r="A1783" t="str" cm="1">
        <f t="array" ref="A1783">IFERROR(INDEX(tbNucleo[ESCOLA],ROUNDUP(ROW(A1782)/TotalEtapas,0)),"")</f>
        <v/>
      </c>
      <c r="D1783" t="str">
        <f>IFERROR(VLOOKUP(tbEscolas[[#This Row],[COD ETPA]],tbEtapas[],2,FALSE),"")</f>
        <v/>
      </c>
      <c r="E1783" t="str">
        <f>IFERROR(VLOOKUP(tbEscolas[[#This Row],[COD ETPA]],tbEtapas[],3,FALSE),"")</f>
        <v/>
      </c>
    </row>
    <row r="1784" spans="1:5" x14ac:dyDescent="0.25">
      <c r="A1784" t="str" cm="1">
        <f t="array" ref="A1784">IFERROR(INDEX(tbNucleo[ESCOLA],ROUNDUP(ROW(A1783)/TotalEtapas,0)),"")</f>
        <v/>
      </c>
      <c r="D1784" t="str">
        <f>IFERROR(VLOOKUP(tbEscolas[[#This Row],[COD ETPA]],tbEtapas[],2,FALSE),"")</f>
        <v/>
      </c>
      <c r="E1784" t="str">
        <f>IFERROR(VLOOKUP(tbEscolas[[#This Row],[COD ETPA]],tbEtapas[],3,FALSE),"")</f>
        <v/>
      </c>
    </row>
    <row r="1785" spans="1:5" x14ac:dyDescent="0.25">
      <c r="A1785" t="str" cm="1">
        <f t="array" ref="A1785">IFERROR(INDEX(tbNucleo[ESCOLA],ROUNDUP(ROW(A1784)/TotalEtapas,0)),"")</f>
        <v/>
      </c>
      <c r="D1785" t="str">
        <f>IFERROR(VLOOKUP(tbEscolas[[#This Row],[COD ETPA]],tbEtapas[],2,FALSE),"")</f>
        <v/>
      </c>
      <c r="E1785" t="str">
        <f>IFERROR(VLOOKUP(tbEscolas[[#This Row],[COD ETPA]],tbEtapas[],3,FALSE),"")</f>
        <v/>
      </c>
    </row>
    <row r="1786" spans="1:5" x14ac:dyDescent="0.25">
      <c r="A1786" t="str" cm="1">
        <f t="array" ref="A1786">IFERROR(INDEX(tbNucleo[ESCOLA],ROUNDUP(ROW(A1785)/TotalEtapas,0)),"")</f>
        <v/>
      </c>
      <c r="D1786" t="str">
        <f>IFERROR(VLOOKUP(tbEscolas[[#This Row],[COD ETPA]],tbEtapas[],2,FALSE),"")</f>
        <v/>
      </c>
      <c r="E1786" t="str">
        <f>IFERROR(VLOOKUP(tbEscolas[[#This Row],[COD ETPA]],tbEtapas[],3,FALSE),"")</f>
        <v/>
      </c>
    </row>
    <row r="1787" spans="1:5" x14ac:dyDescent="0.25">
      <c r="A1787" t="str" cm="1">
        <f t="array" ref="A1787">IFERROR(INDEX(tbNucleo[ESCOLA],ROUNDUP(ROW(A1786)/TotalEtapas,0)),"")</f>
        <v/>
      </c>
      <c r="D1787" t="str">
        <f>IFERROR(VLOOKUP(tbEscolas[[#This Row],[COD ETPA]],tbEtapas[],2,FALSE),"")</f>
        <v/>
      </c>
      <c r="E1787" t="str">
        <f>IFERROR(VLOOKUP(tbEscolas[[#This Row],[COD ETPA]],tbEtapas[],3,FALSE),"")</f>
        <v/>
      </c>
    </row>
    <row r="1788" spans="1:5" x14ac:dyDescent="0.25">
      <c r="A1788" t="str" cm="1">
        <f t="array" ref="A1788">IFERROR(INDEX(tbNucleo[ESCOLA],ROUNDUP(ROW(A1787)/TotalEtapas,0)),"")</f>
        <v/>
      </c>
      <c r="D1788" t="str">
        <f>IFERROR(VLOOKUP(tbEscolas[[#This Row],[COD ETPA]],tbEtapas[],2,FALSE),"")</f>
        <v/>
      </c>
      <c r="E1788" t="str">
        <f>IFERROR(VLOOKUP(tbEscolas[[#This Row],[COD ETPA]],tbEtapas[],3,FALSE),"")</f>
        <v/>
      </c>
    </row>
    <row r="1789" spans="1:5" x14ac:dyDescent="0.25">
      <c r="A1789" t="str" cm="1">
        <f t="array" ref="A1789">IFERROR(INDEX(tbNucleo[ESCOLA],ROUNDUP(ROW(A1788)/TotalEtapas,0)),"")</f>
        <v/>
      </c>
      <c r="D1789" t="str">
        <f>IFERROR(VLOOKUP(tbEscolas[[#This Row],[COD ETPA]],tbEtapas[],2,FALSE),"")</f>
        <v/>
      </c>
      <c r="E1789" t="str">
        <f>IFERROR(VLOOKUP(tbEscolas[[#This Row],[COD ETPA]],tbEtapas[],3,FALSE),"")</f>
        <v/>
      </c>
    </row>
    <row r="1790" spans="1:5" x14ac:dyDescent="0.25">
      <c r="A1790" t="str" cm="1">
        <f t="array" ref="A1790">IFERROR(INDEX(tbNucleo[ESCOLA],ROUNDUP(ROW(A1789)/TotalEtapas,0)),"")</f>
        <v/>
      </c>
      <c r="D1790" t="str">
        <f>IFERROR(VLOOKUP(tbEscolas[[#This Row],[COD ETPA]],tbEtapas[],2,FALSE),"")</f>
        <v/>
      </c>
      <c r="E1790" t="str">
        <f>IFERROR(VLOOKUP(tbEscolas[[#This Row],[COD ETPA]],tbEtapas[],3,FALSE),"")</f>
        <v/>
      </c>
    </row>
    <row r="1791" spans="1:5" x14ac:dyDescent="0.25">
      <c r="A1791" t="str" cm="1">
        <f t="array" ref="A1791">IFERROR(INDEX(tbNucleo[ESCOLA],ROUNDUP(ROW(A1790)/TotalEtapas,0)),"")</f>
        <v/>
      </c>
      <c r="D1791" t="str">
        <f>IFERROR(VLOOKUP(tbEscolas[[#This Row],[COD ETPA]],tbEtapas[],2,FALSE),"")</f>
        <v/>
      </c>
      <c r="E1791" t="str">
        <f>IFERROR(VLOOKUP(tbEscolas[[#This Row],[COD ETPA]],tbEtapas[],3,FALSE),"")</f>
        <v/>
      </c>
    </row>
    <row r="1792" spans="1:5" x14ac:dyDescent="0.25">
      <c r="A1792" t="str" cm="1">
        <f t="array" ref="A1792">IFERROR(INDEX(tbNucleo[ESCOLA],ROUNDUP(ROW(A1791)/TotalEtapas,0)),"")</f>
        <v/>
      </c>
      <c r="D1792" t="str">
        <f>IFERROR(VLOOKUP(tbEscolas[[#This Row],[COD ETPA]],tbEtapas[],2,FALSE),"")</f>
        <v/>
      </c>
      <c r="E1792" t="str">
        <f>IFERROR(VLOOKUP(tbEscolas[[#This Row],[COD ETPA]],tbEtapas[],3,FALSE),"")</f>
        <v/>
      </c>
    </row>
    <row r="1793" spans="1:5" x14ac:dyDescent="0.25">
      <c r="A1793" t="str" cm="1">
        <f t="array" ref="A1793">IFERROR(INDEX(tbNucleo[ESCOLA],ROUNDUP(ROW(A1792)/TotalEtapas,0)),"")</f>
        <v/>
      </c>
      <c r="D1793" t="str">
        <f>IFERROR(VLOOKUP(tbEscolas[[#This Row],[COD ETPA]],tbEtapas[],2,FALSE),"")</f>
        <v/>
      </c>
      <c r="E1793" t="str">
        <f>IFERROR(VLOOKUP(tbEscolas[[#This Row],[COD ETPA]],tbEtapas[],3,FALSE),"")</f>
        <v/>
      </c>
    </row>
    <row r="1794" spans="1:5" x14ac:dyDescent="0.25">
      <c r="A1794" t="str" cm="1">
        <f t="array" ref="A1794">IFERROR(INDEX(tbNucleo[ESCOLA],ROUNDUP(ROW(A1793)/TotalEtapas,0)),"")</f>
        <v/>
      </c>
      <c r="D1794" t="str">
        <f>IFERROR(VLOOKUP(tbEscolas[[#This Row],[COD ETPA]],tbEtapas[],2,FALSE),"")</f>
        <v/>
      </c>
      <c r="E1794" t="str">
        <f>IFERROR(VLOOKUP(tbEscolas[[#This Row],[COD ETPA]],tbEtapas[],3,FALSE),"")</f>
        <v/>
      </c>
    </row>
    <row r="1795" spans="1:5" x14ac:dyDescent="0.25">
      <c r="A1795" t="str" cm="1">
        <f t="array" ref="A1795">IFERROR(INDEX(tbNucleo[ESCOLA],ROUNDUP(ROW(A1794)/TotalEtapas,0)),"")</f>
        <v/>
      </c>
      <c r="D1795" t="str">
        <f>IFERROR(VLOOKUP(tbEscolas[[#This Row],[COD ETPA]],tbEtapas[],2,FALSE),"")</f>
        <v/>
      </c>
      <c r="E1795" t="str">
        <f>IFERROR(VLOOKUP(tbEscolas[[#This Row],[COD ETPA]],tbEtapas[],3,FALSE),"")</f>
        <v/>
      </c>
    </row>
    <row r="1796" spans="1:5" x14ac:dyDescent="0.25">
      <c r="A1796" t="str" cm="1">
        <f t="array" ref="A1796">IFERROR(INDEX(tbNucleo[ESCOLA],ROUNDUP(ROW(A1795)/TotalEtapas,0)),"")</f>
        <v/>
      </c>
      <c r="D1796" t="str">
        <f>IFERROR(VLOOKUP(tbEscolas[[#This Row],[COD ETPA]],tbEtapas[],2,FALSE),"")</f>
        <v/>
      </c>
      <c r="E1796" t="str">
        <f>IFERROR(VLOOKUP(tbEscolas[[#This Row],[COD ETPA]],tbEtapas[],3,FALSE),"")</f>
        <v/>
      </c>
    </row>
    <row r="1797" spans="1:5" x14ac:dyDescent="0.25">
      <c r="A1797" t="str" cm="1">
        <f t="array" ref="A1797">IFERROR(INDEX(tbNucleo[ESCOLA],ROUNDUP(ROW(A1796)/TotalEtapas,0)),"")</f>
        <v/>
      </c>
      <c r="D1797" t="str">
        <f>IFERROR(VLOOKUP(tbEscolas[[#This Row],[COD ETPA]],tbEtapas[],2,FALSE),"")</f>
        <v/>
      </c>
      <c r="E1797" t="str">
        <f>IFERROR(VLOOKUP(tbEscolas[[#This Row],[COD ETPA]],tbEtapas[],3,FALSE),"")</f>
        <v/>
      </c>
    </row>
    <row r="1798" spans="1:5" x14ac:dyDescent="0.25">
      <c r="A1798" t="str" cm="1">
        <f t="array" ref="A1798">IFERROR(INDEX(tbNucleo[ESCOLA],ROUNDUP(ROW(A1797)/TotalEtapas,0)),"")</f>
        <v/>
      </c>
      <c r="D1798" t="str">
        <f>IFERROR(VLOOKUP(tbEscolas[[#This Row],[COD ETPA]],tbEtapas[],2,FALSE),"")</f>
        <v/>
      </c>
      <c r="E1798" t="str">
        <f>IFERROR(VLOOKUP(tbEscolas[[#This Row],[COD ETPA]],tbEtapas[],3,FALSE),"")</f>
        <v/>
      </c>
    </row>
    <row r="1799" spans="1:5" x14ac:dyDescent="0.25">
      <c r="A1799" t="str" cm="1">
        <f t="array" ref="A1799">IFERROR(INDEX(tbNucleo[ESCOLA],ROUNDUP(ROW(A1798)/TotalEtapas,0)),"")</f>
        <v/>
      </c>
      <c r="D1799" t="str">
        <f>IFERROR(VLOOKUP(tbEscolas[[#This Row],[COD ETPA]],tbEtapas[],2,FALSE),"")</f>
        <v/>
      </c>
      <c r="E1799" t="str">
        <f>IFERROR(VLOOKUP(tbEscolas[[#This Row],[COD ETPA]],tbEtapas[],3,FALSE),"")</f>
        <v/>
      </c>
    </row>
    <row r="1800" spans="1:5" x14ac:dyDescent="0.25">
      <c r="A1800" t="str" cm="1">
        <f t="array" ref="A1800">IFERROR(INDEX(tbNucleo[ESCOLA],ROUNDUP(ROW(A1799)/TotalEtapas,0)),"")</f>
        <v/>
      </c>
      <c r="D1800" t="str">
        <f>IFERROR(VLOOKUP(tbEscolas[[#This Row],[COD ETPA]],tbEtapas[],2,FALSE),"")</f>
        <v/>
      </c>
      <c r="E1800" t="str">
        <f>IFERROR(VLOOKUP(tbEscolas[[#This Row],[COD ETPA]],tbEtapas[],3,FALSE),"")</f>
        <v/>
      </c>
    </row>
    <row r="1801" spans="1:5" x14ac:dyDescent="0.25">
      <c r="A1801" t="str" cm="1">
        <f t="array" ref="A1801">IFERROR(INDEX(tbNucleo[ESCOLA],ROUNDUP(ROW(A1800)/TotalEtapas,0)),"")</f>
        <v/>
      </c>
      <c r="D1801" t="str">
        <f>IFERROR(VLOOKUP(tbEscolas[[#This Row],[COD ETPA]],tbEtapas[],2,FALSE),"")</f>
        <v/>
      </c>
      <c r="E1801" t="str">
        <f>IFERROR(VLOOKUP(tbEscolas[[#This Row],[COD ETPA]],tbEtapas[],3,FALSE),"")</f>
        <v/>
      </c>
    </row>
    <row r="1802" spans="1:5" x14ac:dyDescent="0.25">
      <c r="A1802" t="str" cm="1">
        <f t="array" ref="A1802">IFERROR(INDEX(tbNucleo[ESCOLA],ROUNDUP(ROW(A1801)/TotalEtapas,0)),"")</f>
        <v/>
      </c>
      <c r="D1802" t="str">
        <f>IFERROR(VLOOKUP(tbEscolas[[#This Row],[COD ETPA]],tbEtapas[],2,FALSE),"")</f>
        <v/>
      </c>
      <c r="E1802" t="str">
        <f>IFERROR(VLOOKUP(tbEscolas[[#This Row],[COD ETPA]],tbEtapas[],3,FALSE),"")</f>
        <v/>
      </c>
    </row>
    <row r="1803" spans="1:5" x14ac:dyDescent="0.25">
      <c r="A1803" t="str" cm="1">
        <f t="array" ref="A1803">IFERROR(INDEX(tbNucleo[ESCOLA],ROUNDUP(ROW(A1802)/TotalEtapas,0)),"")</f>
        <v/>
      </c>
      <c r="D1803" t="str">
        <f>IFERROR(VLOOKUP(tbEscolas[[#This Row],[COD ETPA]],tbEtapas[],2,FALSE),"")</f>
        <v/>
      </c>
      <c r="E1803" t="str">
        <f>IFERROR(VLOOKUP(tbEscolas[[#This Row],[COD ETPA]],tbEtapas[],3,FALSE),"")</f>
        <v/>
      </c>
    </row>
    <row r="1804" spans="1:5" x14ac:dyDescent="0.25">
      <c r="A1804" t="str" cm="1">
        <f t="array" ref="A1804">IFERROR(INDEX(tbNucleo[ESCOLA],ROUNDUP(ROW(A1803)/TotalEtapas,0)),"")</f>
        <v/>
      </c>
      <c r="D1804" t="str">
        <f>IFERROR(VLOOKUP(tbEscolas[[#This Row],[COD ETPA]],tbEtapas[],2,FALSE),"")</f>
        <v/>
      </c>
      <c r="E1804" t="str">
        <f>IFERROR(VLOOKUP(tbEscolas[[#This Row],[COD ETPA]],tbEtapas[],3,FALSE),"")</f>
        <v/>
      </c>
    </row>
    <row r="1805" spans="1:5" x14ac:dyDescent="0.25">
      <c r="A1805" t="str" cm="1">
        <f t="array" ref="A1805">IFERROR(INDEX(tbNucleo[ESCOLA],ROUNDUP(ROW(A1804)/TotalEtapas,0)),"")</f>
        <v/>
      </c>
      <c r="D1805" t="str">
        <f>IFERROR(VLOOKUP(tbEscolas[[#This Row],[COD ETPA]],tbEtapas[],2,FALSE),"")</f>
        <v/>
      </c>
      <c r="E1805" t="str">
        <f>IFERROR(VLOOKUP(tbEscolas[[#This Row],[COD ETPA]],tbEtapas[],3,FALSE),"")</f>
        <v/>
      </c>
    </row>
    <row r="1806" spans="1:5" x14ac:dyDescent="0.25">
      <c r="A1806" t="str" cm="1">
        <f t="array" ref="A1806">IFERROR(INDEX(tbNucleo[ESCOLA],ROUNDUP(ROW(A1805)/TotalEtapas,0)),"")</f>
        <v/>
      </c>
      <c r="D1806" t="str">
        <f>IFERROR(VLOOKUP(tbEscolas[[#This Row],[COD ETPA]],tbEtapas[],2,FALSE),"")</f>
        <v/>
      </c>
      <c r="E1806" t="str">
        <f>IFERROR(VLOOKUP(tbEscolas[[#This Row],[COD ETPA]],tbEtapas[],3,FALSE),"")</f>
        <v/>
      </c>
    </row>
    <row r="1807" spans="1:5" x14ac:dyDescent="0.25">
      <c r="A1807" t="str" cm="1">
        <f t="array" ref="A1807">IFERROR(INDEX(tbNucleo[ESCOLA],ROUNDUP(ROW(A1806)/TotalEtapas,0)),"")</f>
        <v/>
      </c>
      <c r="D1807" t="str">
        <f>IFERROR(VLOOKUP(tbEscolas[[#This Row],[COD ETPA]],tbEtapas[],2,FALSE),"")</f>
        <v/>
      </c>
      <c r="E1807" t="str">
        <f>IFERROR(VLOOKUP(tbEscolas[[#This Row],[COD ETPA]],tbEtapas[],3,FALSE),"")</f>
        <v/>
      </c>
    </row>
    <row r="1808" spans="1:5" x14ac:dyDescent="0.25">
      <c r="A1808" t="str" cm="1">
        <f t="array" ref="A1808">IFERROR(INDEX(tbNucleo[ESCOLA],ROUNDUP(ROW(A1807)/TotalEtapas,0)),"")</f>
        <v/>
      </c>
      <c r="D1808" t="str">
        <f>IFERROR(VLOOKUP(tbEscolas[[#This Row],[COD ETPA]],tbEtapas[],2,FALSE),"")</f>
        <v/>
      </c>
      <c r="E1808" t="str">
        <f>IFERROR(VLOOKUP(tbEscolas[[#This Row],[COD ETPA]],tbEtapas[],3,FALSE),"")</f>
        <v/>
      </c>
    </row>
    <row r="1809" spans="1:5" x14ac:dyDescent="0.25">
      <c r="A1809" t="str" cm="1">
        <f t="array" ref="A1809">IFERROR(INDEX(tbNucleo[ESCOLA],ROUNDUP(ROW(A1808)/TotalEtapas,0)),"")</f>
        <v/>
      </c>
      <c r="D1809" t="str">
        <f>IFERROR(VLOOKUP(tbEscolas[[#This Row],[COD ETPA]],tbEtapas[],2,FALSE),"")</f>
        <v/>
      </c>
      <c r="E1809" t="str">
        <f>IFERROR(VLOOKUP(tbEscolas[[#This Row],[COD ETPA]],tbEtapas[],3,FALSE),"")</f>
        <v/>
      </c>
    </row>
    <row r="1810" spans="1:5" x14ac:dyDescent="0.25">
      <c r="A1810" t="str" cm="1">
        <f t="array" ref="A1810">IFERROR(INDEX(tbNucleo[ESCOLA],ROUNDUP(ROW(A1809)/TotalEtapas,0)),"")</f>
        <v/>
      </c>
      <c r="D1810" t="str">
        <f>IFERROR(VLOOKUP(tbEscolas[[#This Row],[COD ETPA]],tbEtapas[],2,FALSE),"")</f>
        <v/>
      </c>
      <c r="E1810" t="str">
        <f>IFERROR(VLOOKUP(tbEscolas[[#This Row],[COD ETPA]],tbEtapas[],3,FALSE),"")</f>
        <v/>
      </c>
    </row>
    <row r="1811" spans="1:5" x14ac:dyDescent="0.25">
      <c r="A1811" t="str" cm="1">
        <f t="array" ref="A1811">IFERROR(INDEX(tbNucleo[ESCOLA],ROUNDUP(ROW(A1810)/TotalEtapas,0)),"")</f>
        <v/>
      </c>
      <c r="D1811" t="str">
        <f>IFERROR(VLOOKUP(tbEscolas[[#This Row],[COD ETPA]],tbEtapas[],2,FALSE),"")</f>
        <v/>
      </c>
      <c r="E1811" t="str">
        <f>IFERROR(VLOOKUP(tbEscolas[[#This Row],[COD ETPA]],tbEtapas[],3,FALSE),"")</f>
        <v/>
      </c>
    </row>
    <row r="1812" spans="1:5" x14ac:dyDescent="0.25">
      <c r="A1812" t="str" cm="1">
        <f t="array" ref="A1812">IFERROR(INDEX(tbNucleo[ESCOLA],ROUNDUP(ROW(A1811)/TotalEtapas,0)),"")</f>
        <v/>
      </c>
      <c r="D1812" t="str">
        <f>IFERROR(VLOOKUP(tbEscolas[[#This Row],[COD ETPA]],tbEtapas[],2,FALSE),"")</f>
        <v/>
      </c>
      <c r="E1812" t="str">
        <f>IFERROR(VLOOKUP(tbEscolas[[#This Row],[COD ETPA]],tbEtapas[],3,FALSE),"")</f>
        <v/>
      </c>
    </row>
    <row r="1813" spans="1:5" x14ac:dyDescent="0.25">
      <c r="A1813" t="str" cm="1">
        <f t="array" ref="A1813">IFERROR(INDEX(tbNucleo[ESCOLA],ROUNDUP(ROW(A1812)/TotalEtapas,0)),"")</f>
        <v/>
      </c>
      <c r="D1813" t="str">
        <f>IFERROR(VLOOKUP(tbEscolas[[#This Row],[COD ETPA]],tbEtapas[],2,FALSE),"")</f>
        <v/>
      </c>
      <c r="E1813" t="str">
        <f>IFERROR(VLOOKUP(tbEscolas[[#This Row],[COD ETPA]],tbEtapas[],3,FALSE),"")</f>
        <v/>
      </c>
    </row>
    <row r="1814" spans="1:5" x14ac:dyDescent="0.25">
      <c r="A1814" t="str" cm="1">
        <f t="array" ref="A1814">IFERROR(INDEX(tbNucleo[ESCOLA],ROUNDUP(ROW(A1813)/TotalEtapas,0)),"")</f>
        <v/>
      </c>
      <c r="D1814" t="str">
        <f>IFERROR(VLOOKUP(tbEscolas[[#This Row],[COD ETPA]],tbEtapas[],2,FALSE),"")</f>
        <v/>
      </c>
      <c r="E1814" t="str">
        <f>IFERROR(VLOOKUP(tbEscolas[[#This Row],[COD ETPA]],tbEtapas[],3,FALSE),"")</f>
        <v/>
      </c>
    </row>
    <row r="1815" spans="1:5" x14ac:dyDescent="0.25">
      <c r="A1815" t="str" cm="1">
        <f t="array" ref="A1815">IFERROR(INDEX(tbNucleo[ESCOLA],ROUNDUP(ROW(A1814)/TotalEtapas,0)),"")</f>
        <v/>
      </c>
      <c r="D1815" t="str">
        <f>IFERROR(VLOOKUP(tbEscolas[[#This Row],[COD ETPA]],tbEtapas[],2,FALSE),"")</f>
        <v/>
      </c>
      <c r="E1815" t="str">
        <f>IFERROR(VLOOKUP(tbEscolas[[#This Row],[COD ETPA]],tbEtapas[],3,FALSE),"")</f>
        <v/>
      </c>
    </row>
    <row r="1816" spans="1:5" x14ac:dyDescent="0.25">
      <c r="A1816" t="str" cm="1">
        <f t="array" ref="A1816">IFERROR(INDEX(tbNucleo[ESCOLA],ROUNDUP(ROW(A1815)/TotalEtapas,0)),"")</f>
        <v/>
      </c>
      <c r="D1816" t="str">
        <f>IFERROR(VLOOKUP(tbEscolas[[#This Row],[COD ETPA]],tbEtapas[],2,FALSE),"")</f>
        <v/>
      </c>
      <c r="E1816" t="str">
        <f>IFERROR(VLOOKUP(tbEscolas[[#This Row],[COD ETPA]],tbEtapas[],3,FALSE),"")</f>
        <v/>
      </c>
    </row>
    <row r="1817" spans="1:5" x14ac:dyDescent="0.25">
      <c r="A1817" t="str" cm="1">
        <f t="array" ref="A1817">IFERROR(INDEX(tbNucleo[ESCOLA],ROUNDUP(ROW(A1816)/TotalEtapas,0)),"")</f>
        <v/>
      </c>
      <c r="D1817" t="str">
        <f>IFERROR(VLOOKUP(tbEscolas[[#This Row],[COD ETPA]],tbEtapas[],2,FALSE),"")</f>
        <v/>
      </c>
      <c r="E1817" t="str">
        <f>IFERROR(VLOOKUP(tbEscolas[[#This Row],[COD ETPA]],tbEtapas[],3,FALSE),"")</f>
        <v/>
      </c>
    </row>
    <row r="1818" spans="1:5" x14ac:dyDescent="0.25">
      <c r="A1818" t="str" cm="1">
        <f t="array" ref="A1818">IFERROR(INDEX(tbNucleo[ESCOLA],ROUNDUP(ROW(A1817)/TotalEtapas,0)),"")</f>
        <v/>
      </c>
      <c r="D1818" t="str">
        <f>IFERROR(VLOOKUP(tbEscolas[[#This Row],[COD ETPA]],tbEtapas[],2,FALSE),"")</f>
        <v/>
      </c>
      <c r="E1818" t="str">
        <f>IFERROR(VLOOKUP(tbEscolas[[#This Row],[COD ETPA]],tbEtapas[],3,FALSE),"")</f>
        <v/>
      </c>
    </row>
    <row r="1819" spans="1:5" x14ac:dyDescent="0.25">
      <c r="A1819" t="str" cm="1">
        <f t="array" ref="A1819">IFERROR(INDEX(tbNucleo[ESCOLA],ROUNDUP(ROW(A1818)/TotalEtapas,0)),"")</f>
        <v/>
      </c>
      <c r="D1819" t="str">
        <f>IFERROR(VLOOKUP(tbEscolas[[#This Row],[COD ETPA]],tbEtapas[],2,FALSE),"")</f>
        <v/>
      </c>
      <c r="E1819" t="str">
        <f>IFERROR(VLOOKUP(tbEscolas[[#This Row],[COD ETPA]],tbEtapas[],3,FALSE),"")</f>
        <v/>
      </c>
    </row>
    <row r="1820" spans="1:5" x14ac:dyDescent="0.25">
      <c r="A1820" t="str" cm="1">
        <f t="array" ref="A1820">IFERROR(INDEX(tbNucleo[ESCOLA],ROUNDUP(ROW(A1819)/TotalEtapas,0)),"")</f>
        <v/>
      </c>
      <c r="D1820" t="str">
        <f>IFERROR(VLOOKUP(tbEscolas[[#This Row],[COD ETPA]],tbEtapas[],2,FALSE),"")</f>
        <v/>
      </c>
      <c r="E1820" t="str">
        <f>IFERROR(VLOOKUP(tbEscolas[[#This Row],[COD ETPA]],tbEtapas[],3,FALSE),"")</f>
        <v/>
      </c>
    </row>
    <row r="1821" spans="1:5" x14ac:dyDescent="0.25">
      <c r="A1821" t="str" cm="1">
        <f t="array" ref="A1821">IFERROR(INDEX(tbNucleo[ESCOLA],ROUNDUP(ROW(A1820)/TotalEtapas,0)),"")</f>
        <v/>
      </c>
      <c r="D1821" t="str">
        <f>IFERROR(VLOOKUP(tbEscolas[[#This Row],[COD ETPA]],tbEtapas[],2,FALSE),"")</f>
        <v/>
      </c>
      <c r="E1821" t="str">
        <f>IFERROR(VLOOKUP(tbEscolas[[#This Row],[COD ETPA]],tbEtapas[],3,FALSE),"")</f>
        <v/>
      </c>
    </row>
    <row r="1822" spans="1:5" x14ac:dyDescent="0.25">
      <c r="A1822" t="str" cm="1">
        <f t="array" ref="A1822">IFERROR(INDEX(tbNucleo[ESCOLA],ROUNDUP(ROW(A1821)/TotalEtapas,0)),"")</f>
        <v/>
      </c>
      <c r="D1822" t="str">
        <f>IFERROR(VLOOKUP(tbEscolas[[#This Row],[COD ETPA]],tbEtapas[],2,FALSE),"")</f>
        <v/>
      </c>
      <c r="E1822" t="str">
        <f>IFERROR(VLOOKUP(tbEscolas[[#This Row],[COD ETPA]],tbEtapas[],3,FALSE),"")</f>
        <v/>
      </c>
    </row>
    <row r="1823" spans="1:5" x14ac:dyDescent="0.25">
      <c r="A1823" t="str" cm="1">
        <f t="array" ref="A1823">IFERROR(INDEX(tbNucleo[ESCOLA],ROUNDUP(ROW(A1822)/TotalEtapas,0)),"")</f>
        <v/>
      </c>
      <c r="D1823" t="str">
        <f>IFERROR(VLOOKUP(tbEscolas[[#This Row],[COD ETPA]],tbEtapas[],2,FALSE),"")</f>
        <v/>
      </c>
      <c r="E1823" t="str">
        <f>IFERROR(VLOOKUP(tbEscolas[[#This Row],[COD ETPA]],tbEtapas[],3,FALSE),"")</f>
        <v/>
      </c>
    </row>
    <row r="1824" spans="1:5" x14ac:dyDescent="0.25">
      <c r="A1824" t="str" cm="1">
        <f t="array" ref="A1824">IFERROR(INDEX(tbNucleo[ESCOLA],ROUNDUP(ROW(A1823)/TotalEtapas,0)),"")</f>
        <v/>
      </c>
      <c r="D1824" t="str">
        <f>IFERROR(VLOOKUP(tbEscolas[[#This Row],[COD ETPA]],tbEtapas[],2,FALSE),"")</f>
        <v/>
      </c>
      <c r="E1824" t="str">
        <f>IFERROR(VLOOKUP(tbEscolas[[#This Row],[COD ETPA]],tbEtapas[],3,FALSE),"")</f>
        <v/>
      </c>
    </row>
    <row r="1825" spans="1:5" x14ac:dyDescent="0.25">
      <c r="A1825" t="str" cm="1">
        <f t="array" ref="A1825">IFERROR(INDEX(tbNucleo[ESCOLA],ROUNDUP(ROW(A1824)/TotalEtapas,0)),"")</f>
        <v/>
      </c>
      <c r="D1825" t="str">
        <f>IFERROR(VLOOKUP(tbEscolas[[#This Row],[COD ETPA]],tbEtapas[],2,FALSE),"")</f>
        <v/>
      </c>
      <c r="E1825" t="str">
        <f>IFERROR(VLOOKUP(tbEscolas[[#This Row],[COD ETPA]],tbEtapas[],3,FALSE),"")</f>
        <v/>
      </c>
    </row>
    <row r="1826" spans="1:5" x14ac:dyDescent="0.25">
      <c r="A1826" t="str" cm="1">
        <f t="array" ref="A1826">IFERROR(INDEX(tbNucleo[ESCOLA],ROUNDUP(ROW(A1825)/TotalEtapas,0)),"")</f>
        <v/>
      </c>
      <c r="D1826" t="str">
        <f>IFERROR(VLOOKUP(tbEscolas[[#This Row],[COD ETPA]],tbEtapas[],2,FALSE),"")</f>
        <v/>
      </c>
      <c r="E1826" t="str">
        <f>IFERROR(VLOOKUP(tbEscolas[[#This Row],[COD ETPA]],tbEtapas[],3,FALSE),"")</f>
        <v/>
      </c>
    </row>
    <row r="1827" spans="1:5" x14ac:dyDescent="0.25">
      <c r="A1827" t="str" cm="1">
        <f t="array" ref="A1827">IFERROR(INDEX(tbNucleo[ESCOLA],ROUNDUP(ROW(A1826)/TotalEtapas,0)),"")</f>
        <v/>
      </c>
      <c r="D1827" t="str">
        <f>IFERROR(VLOOKUP(tbEscolas[[#This Row],[COD ETPA]],tbEtapas[],2,FALSE),"")</f>
        <v/>
      </c>
      <c r="E1827" t="str">
        <f>IFERROR(VLOOKUP(tbEscolas[[#This Row],[COD ETPA]],tbEtapas[],3,FALSE),"")</f>
        <v/>
      </c>
    </row>
    <row r="1828" spans="1:5" x14ac:dyDescent="0.25">
      <c r="A1828" t="str" cm="1">
        <f t="array" ref="A1828">IFERROR(INDEX(tbNucleo[ESCOLA],ROUNDUP(ROW(A1827)/TotalEtapas,0)),"")</f>
        <v/>
      </c>
      <c r="D1828" t="str">
        <f>IFERROR(VLOOKUP(tbEscolas[[#This Row],[COD ETPA]],tbEtapas[],2,FALSE),"")</f>
        <v/>
      </c>
      <c r="E1828" t="str">
        <f>IFERROR(VLOOKUP(tbEscolas[[#This Row],[COD ETPA]],tbEtapas[],3,FALSE),"")</f>
        <v/>
      </c>
    </row>
    <row r="1829" spans="1:5" x14ac:dyDescent="0.25">
      <c r="A1829" t="str" cm="1">
        <f t="array" ref="A1829">IFERROR(INDEX(tbNucleo[ESCOLA],ROUNDUP(ROW(A1828)/TotalEtapas,0)),"")</f>
        <v/>
      </c>
      <c r="D1829" t="str">
        <f>IFERROR(VLOOKUP(tbEscolas[[#This Row],[COD ETPA]],tbEtapas[],2,FALSE),"")</f>
        <v/>
      </c>
      <c r="E1829" t="str">
        <f>IFERROR(VLOOKUP(tbEscolas[[#This Row],[COD ETPA]],tbEtapas[],3,FALSE),"")</f>
        <v/>
      </c>
    </row>
    <row r="1830" spans="1:5" x14ac:dyDescent="0.25">
      <c r="A1830" t="str" cm="1">
        <f t="array" ref="A1830">IFERROR(INDEX(tbNucleo[ESCOLA],ROUNDUP(ROW(A1829)/TotalEtapas,0)),"")</f>
        <v/>
      </c>
      <c r="D1830" t="str">
        <f>IFERROR(VLOOKUP(tbEscolas[[#This Row],[COD ETPA]],tbEtapas[],2,FALSE),"")</f>
        <v/>
      </c>
      <c r="E1830" t="str">
        <f>IFERROR(VLOOKUP(tbEscolas[[#This Row],[COD ETPA]],tbEtapas[],3,FALSE),"")</f>
        <v/>
      </c>
    </row>
    <row r="1831" spans="1:5" x14ac:dyDescent="0.25">
      <c r="A1831" t="str" cm="1">
        <f t="array" ref="A1831">IFERROR(INDEX(tbNucleo[ESCOLA],ROUNDUP(ROW(A1830)/TotalEtapas,0)),"")</f>
        <v/>
      </c>
      <c r="D1831" t="str">
        <f>IFERROR(VLOOKUP(tbEscolas[[#This Row],[COD ETPA]],tbEtapas[],2,FALSE),"")</f>
        <v/>
      </c>
      <c r="E1831" t="str">
        <f>IFERROR(VLOOKUP(tbEscolas[[#This Row],[COD ETPA]],tbEtapas[],3,FALSE),"")</f>
        <v/>
      </c>
    </row>
    <row r="1832" spans="1:5" x14ac:dyDescent="0.25">
      <c r="A1832" t="str" cm="1">
        <f t="array" ref="A1832">IFERROR(INDEX(tbNucleo[ESCOLA],ROUNDUP(ROW(A1831)/TotalEtapas,0)),"")</f>
        <v/>
      </c>
      <c r="D1832" t="str">
        <f>IFERROR(VLOOKUP(tbEscolas[[#This Row],[COD ETPA]],tbEtapas[],2,FALSE),"")</f>
        <v/>
      </c>
      <c r="E1832" t="str">
        <f>IFERROR(VLOOKUP(tbEscolas[[#This Row],[COD ETPA]],tbEtapas[],3,FALSE),"")</f>
        <v/>
      </c>
    </row>
    <row r="1833" spans="1:5" x14ac:dyDescent="0.25">
      <c r="A1833" t="str" cm="1">
        <f t="array" ref="A1833">IFERROR(INDEX(tbNucleo[ESCOLA],ROUNDUP(ROW(A1832)/TotalEtapas,0)),"")</f>
        <v/>
      </c>
      <c r="D1833" t="str">
        <f>IFERROR(VLOOKUP(tbEscolas[[#This Row],[COD ETPA]],tbEtapas[],2,FALSE),"")</f>
        <v/>
      </c>
      <c r="E1833" t="str">
        <f>IFERROR(VLOOKUP(tbEscolas[[#This Row],[COD ETPA]],tbEtapas[],3,FALSE),"")</f>
        <v/>
      </c>
    </row>
    <row r="1834" spans="1:5" x14ac:dyDescent="0.25">
      <c r="A1834" t="str" cm="1">
        <f t="array" ref="A1834">IFERROR(INDEX(tbNucleo[ESCOLA],ROUNDUP(ROW(A1833)/TotalEtapas,0)),"")</f>
        <v/>
      </c>
      <c r="D1834" t="str">
        <f>IFERROR(VLOOKUP(tbEscolas[[#This Row],[COD ETPA]],tbEtapas[],2,FALSE),"")</f>
        <v/>
      </c>
      <c r="E1834" t="str">
        <f>IFERROR(VLOOKUP(tbEscolas[[#This Row],[COD ETPA]],tbEtapas[],3,FALSE),"")</f>
        <v/>
      </c>
    </row>
    <row r="1835" spans="1:5" x14ac:dyDescent="0.25">
      <c r="A1835" t="str" cm="1">
        <f t="array" ref="A1835">IFERROR(INDEX(tbNucleo[ESCOLA],ROUNDUP(ROW(A1834)/TotalEtapas,0)),"")</f>
        <v/>
      </c>
      <c r="D1835" t="str">
        <f>IFERROR(VLOOKUP(tbEscolas[[#This Row],[COD ETPA]],tbEtapas[],2,FALSE),"")</f>
        <v/>
      </c>
      <c r="E1835" t="str">
        <f>IFERROR(VLOOKUP(tbEscolas[[#This Row],[COD ETPA]],tbEtapas[],3,FALSE),"")</f>
        <v/>
      </c>
    </row>
    <row r="1836" spans="1:5" x14ac:dyDescent="0.25">
      <c r="A1836" t="str" cm="1">
        <f t="array" ref="A1836">IFERROR(INDEX(tbNucleo[ESCOLA],ROUNDUP(ROW(A1835)/TotalEtapas,0)),"")</f>
        <v/>
      </c>
      <c r="D1836" t="str">
        <f>IFERROR(VLOOKUP(tbEscolas[[#This Row],[COD ETPA]],tbEtapas[],2,FALSE),"")</f>
        <v/>
      </c>
      <c r="E1836" t="str">
        <f>IFERROR(VLOOKUP(tbEscolas[[#This Row],[COD ETPA]],tbEtapas[],3,FALSE),"")</f>
        <v/>
      </c>
    </row>
    <row r="1837" spans="1:5" x14ac:dyDescent="0.25">
      <c r="A1837" t="str" cm="1">
        <f t="array" ref="A1837">IFERROR(INDEX(tbNucleo[ESCOLA],ROUNDUP(ROW(A1836)/TotalEtapas,0)),"")</f>
        <v/>
      </c>
      <c r="D1837" t="str">
        <f>IFERROR(VLOOKUP(tbEscolas[[#This Row],[COD ETPA]],tbEtapas[],2,FALSE),"")</f>
        <v/>
      </c>
      <c r="E1837" t="str">
        <f>IFERROR(VLOOKUP(tbEscolas[[#This Row],[COD ETPA]],tbEtapas[],3,FALSE),"")</f>
        <v/>
      </c>
    </row>
    <row r="1838" spans="1:5" x14ac:dyDescent="0.25">
      <c r="A1838" t="str" cm="1">
        <f t="array" ref="A1838">IFERROR(INDEX(tbNucleo[ESCOLA],ROUNDUP(ROW(A1837)/TotalEtapas,0)),"")</f>
        <v/>
      </c>
      <c r="D1838" t="str">
        <f>IFERROR(VLOOKUP(tbEscolas[[#This Row],[COD ETPA]],tbEtapas[],2,FALSE),"")</f>
        <v/>
      </c>
      <c r="E1838" t="str">
        <f>IFERROR(VLOOKUP(tbEscolas[[#This Row],[COD ETPA]],tbEtapas[],3,FALSE),"")</f>
        <v/>
      </c>
    </row>
    <row r="1839" spans="1:5" x14ac:dyDescent="0.25">
      <c r="A1839" t="str" cm="1">
        <f t="array" ref="A1839">IFERROR(INDEX(tbNucleo[ESCOLA],ROUNDUP(ROW(A1838)/TotalEtapas,0)),"")</f>
        <v/>
      </c>
      <c r="D1839" t="str">
        <f>IFERROR(VLOOKUP(tbEscolas[[#This Row],[COD ETPA]],tbEtapas[],2,FALSE),"")</f>
        <v/>
      </c>
      <c r="E1839" t="str">
        <f>IFERROR(VLOOKUP(tbEscolas[[#This Row],[COD ETPA]],tbEtapas[],3,FALSE),"")</f>
        <v/>
      </c>
    </row>
    <row r="1840" spans="1:5" x14ac:dyDescent="0.25">
      <c r="A1840" t="str" cm="1">
        <f t="array" ref="A1840">IFERROR(INDEX(tbNucleo[ESCOLA],ROUNDUP(ROW(A1839)/TotalEtapas,0)),"")</f>
        <v/>
      </c>
      <c r="D1840" t="str">
        <f>IFERROR(VLOOKUP(tbEscolas[[#This Row],[COD ETPA]],tbEtapas[],2,FALSE),"")</f>
        <v/>
      </c>
      <c r="E1840" t="str">
        <f>IFERROR(VLOOKUP(tbEscolas[[#This Row],[COD ETPA]],tbEtapas[],3,FALSE),"")</f>
        <v/>
      </c>
    </row>
    <row r="1841" spans="1:5" x14ac:dyDescent="0.25">
      <c r="A1841" t="str" cm="1">
        <f t="array" ref="A1841">IFERROR(INDEX(tbNucleo[ESCOLA],ROUNDUP(ROW(A1840)/TotalEtapas,0)),"")</f>
        <v/>
      </c>
      <c r="D1841" t="str">
        <f>IFERROR(VLOOKUP(tbEscolas[[#This Row],[COD ETPA]],tbEtapas[],2,FALSE),"")</f>
        <v/>
      </c>
      <c r="E1841" t="str">
        <f>IFERROR(VLOOKUP(tbEscolas[[#This Row],[COD ETPA]],tbEtapas[],3,FALSE),"")</f>
        <v/>
      </c>
    </row>
    <row r="1842" spans="1:5" x14ac:dyDescent="0.25">
      <c r="A1842" t="str" cm="1">
        <f t="array" ref="A1842">IFERROR(INDEX(tbNucleo[ESCOLA],ROUNDUP(ROW(A1841)/TotalEtapas,0)),"")</f>
        <v/>
      </c>
      <c r="D1842" t="str">
        <f>IFERROR(VLOOKUP(tbEscolas[[#This Row],[COD ETPA]],tbEtapas[],2,FALSE),"")</f>
        <v/>
      </c>
      <c r="E1842" t="str">
        <f>IFERROR(VLOOKUP(tbEscolas[[#This Row],[COD ETPA]],tbEtapas[],3,FALSE),"")</f>
        <v/>
      </c>
    </row>
    <row r="1843" spans="1:5" x14ac:dyDescent="0.25">
      <c r="A1843" t="str" cm="1">
        <f t="array" ref="A1843">IFERROR(INDEX(tbNucleo[ESCOLA],ROUNDUP(ROW(A1842)/TotalEtapas,0)),"")</f>
        <v/>
      </c>
      <c r="D1843" t="str">
        <f>IFERROR(VLOOKUP(tbEscolas[[#This Row],[COD ETPA]],tbEtapas[],2,FALSE),"")</f>
        <v/>
      </c>
      <c r="E1843" t="str">
        <f>IFERROR(VLOOKUP(tbEscolas[[#This Row],[COD ETPA]],tbEtapas[],3,FALSE),"")</f>
        <v/>
      </c>
    </row>
    <row r="1844" spans="1:5" x14ac:dyDescent="0.25">
      <c r="A1844" t="str" cm="1">
        <f t="array" ref="A1844">IFERROR(INDEX(tbNucleo[ESCOLA],ROUNDUP(ROW(A1843)/TotalEtapas,0)),"")</f>
        <v/>
      </c>
      <c r="D1844" t="str">
        <f>IFERROR(VLOOKUP(tbEscolas[[#This Row],[COD ETPA]],tbEtapas[],2,FALSE),"")</f>
        <v/>
      </c>
      <c r="E1844" t="str">
        <f>IFERROR(VLOOKUP(tbEscolas[[#This Row],[COD ETPA]],tbEtapas[],3,FALSE),"")</f>
        <v/>
      </c>
    </row>
    <row r="1845" spans="1:5" x14ac:dyDescent="0.25">
      <c r="A1845" t="str" cm="1">
        <f t="array" ref="A1845">IFERROR(INDEX(tbNucleo[ESCOLA],ROUNDUP(ROW(A1844)/TotalEtapas,0)),"")</f>
        <v/>
      </c>
      <c r="D1845" t="str">
        <f>IFERROR(VLOOKUP(tbEscolas[[#This Row],[COD ETPA]],tbEtapas[],2,FALSE),"")</f>
        <v/>
      </c>
      <c r="E1845" t="str">
        <f>IFERROR(VLOOKUP(tbEscolas[[#This Row],[COD ETPA]],tbEtapas[],3,FALSE),"")</f>
        <v/>
      </c>
    </row>
    <row r="1846" spans="1:5" x14ac:dyDescent="0.25">
      <c r="A1846" t="str" cm="1">
        <f t="array" ref="A1846">IFERROR(INDEX(tbNucleo[ESCOLA],ROUNDUP(ROW(A1845)/TotalEtapas,0)),"")</f>
        <v/>
      </c>
      <c r="D1846" t="str">
        <f>IFERROR(VLOOKUP(tbEscolas[[#This Row],[COD ETPA]],tbEtapas[],2,FALSE),"")</f>
        <v/>
      </c>
      <c r="E1846" t="str">
        <f>IFERROR(VLOOKUP(tbEscolas[[#This Row],[COD ETPA]],tbEtapas[],3,FALSE),"")</f>
        <v/>
      </c>
    </row>
    <row r="1847" spans="1:5" x14ac:dyDescent="0.25">
      <c r="A1847" t="str" cm="1">
        <f t="array" ref="A1847">IFERROR(INDEX(tbNucleo[ESCOLA],ROUNDUP(ROW(A1846)/TotalEtapas,0)),"")</f>
        <v/>
      </c>
      <c r="D1847" t="str">
        <f>IFERROR(VLOOKUP(tbEscolas[[#This Row],[COD ETPA]],tbEtapas[],2,FALSE),"")</f>
        <v/>
      </c>
      <c r="E1847" t="str">
        <f>IFERROR(VLOOKUP(tbEscolas[[#This Row],[COD ETPA]],tbEtapas[],3,FALSE),"")</f>
        <v/>
      </c>
    </row>
    <row r="1848" spans="1:5" x14ac:dyDescent="0.25">
      <c r="A1848" t="str" cm="1">
        <f t="array" ref="A1848">IFERROR(INDEX(tbNucleo[ESCOLA],ROUNDUP(ROW(A1847)/TotalEtapas,0)),"")</f>
        <v/>
      </c>
      <c r="D1848" t="str">
        <f>IFERROR(VLOOKUP(tbEscolas[[#This Row],[COD ETPA]],tbEtapas[],2,FALSE),"")</f>
        <v/>
      </c>
      <c r="E1848" t="str">
        <f>IFERROR(VLOOKUP(tbEscolas[[#This Row],[COD ETPA]],tbEtapas[],3,FALSE),"")</f>
        <v/>
      </c>
    </row>
    <row r="1849" spans="1:5" x14ac:dyDescent="0.25">
      <c r="A1849" t="str" cm="1">
        <f t="array" ref="A1849">IFERROR(INDEX(tbNucleo[ESCOLA],ROUNDUP(ROW(A1848)/TotalEtapas,0)),"")</f>
        <v/>
      </c>
      <c r="D1849" t="str">
        <f>IFERROR(VLOOKUP(tbEscolas[[#This Row],[COD ETPA]],tbEtapas[],2,FALSE),"")</f>
        <v/>
      </c>
      <c r="E1849" t="str">
        <f>IFERROR(VLOOKUP(tbEscolas[[#This Row],[COD ETPA]],tbEtapas[],3,FALSE),"")</f>
        <v/>
      </c>
    </row>
    <row r="1850" spans="1:5" x14ac:dyDescent="0.25">
      <c r="A1850" t="str" cm="1">
        <f t="array" ref="A1850">IFERROR(INDEX(tbNucleo[ESCOLA],ROUNDUP(ROW(A1849)/TotalEtapas,0)),"")</f>
        <v/>
      </c>
      <c r="D1850" t="str">
        <f>IFERROR(VLOOKUP(tbEscolas[[#This Row],[COD ETPA]],tbEtapas[],2,FALSE),"")</f>
        <v/>
      </c>
      <c r="E1850" t="str">
        <f>IFERROR(VLOOKUP(tbEscolas[[#This Row],[COD ETPA]],tbEtapas[],3,FALSE),"")</f>
        <v/>
      </c>
    </row>
    <row r="1851" spans="1:5" x14ac:dyDescent="0.25">
      <c r="A1851" t="str" cm="1">
        <f t="array" ref="A1851">IFERROR(INDEX(tbNucleo[ESCOLA],ROUNDUP(ROW(A1850)/TotalEtapas,0)),"")</f>
        <v/>
      </c>
      <c r="D1851" t="str">
        <f>IFERROR(VLOOKUP(tbEscolas[[#This Row],[COD ETPA]],tbEtapas[],2,FALSE),"")</f>
        <v/>
      </c>
      <c r="E1851" t="str">
        <f>IFERROR(VLOOKUP(tbEscolas[[#This Row],[COD ETPA]],tbEtapas[],3,FALSE),"")</f>
        <v/>
      </c>
    </row>
    <row r="1852" spans="1:5" x14ac:dyDescent="0.25">
      <c r="A1852" t="str" cm="1">
        <f t="array" ref="A1852">IFERROR(INDEX(tbNucleo[ESCOLA],ROUNDUP(ROW(A1851)/TotalEtapas,0)),"")</f>
        <v/>
      </c>
      <c r="D1852" t="str">
        <f>IFERROR(VLOOKUP(tbEscolas[[#This Row],[COD ETPA]],tbEtapas[],2,FALSE),"")</f>
        <v/>
      </c>
      <c r="E1852" t="str">
        <f>IFERROR(VLOOKUP(tbEscolas[[#This Row],[COD ETPA]],tbEtapas[],3,FALSE),"")</f>
        <v/>
      </c>
    </row>
    <row r="1853" spans="1:5" x14ac:dyDescent="0.25">
      <c r="A1853" t="str" cm="1">
        <f t="array" ref="A1853">IFERROR(INDEX(tbNucleo[ESCOLA],ROUNDUP(ROW(A1852)/TotalEtapas,0)),"")</f>
        <v/>
      </c>
      <c r="D1853" t="str">
        <f>IFERROR(VLOOKUP(tbEscolas[[#This Row],[COD ETPA]],tbEtapas[],2,FALSE),"")</f>
        <v/>
      </c>
      <c r="E1853" t="str">
        <f>IFERROR(VLOOKUP(tbEscolas[[#This Row],[COD ETPA]],tbEtapas[],3,FALSE),"")</f>
        <v/>
      </c>
    </row>
    <row r="1854" spans="1:5" x14ac:dyDescent="0.25">
      <c r="A1854" t="str" cm="1">
        <f t="array" ref="A1854">IFERROR(INDEX(tbNucleo[ESCOLA],ROUNDUP(ROW(A1853)/TotalEtapas,0)),"")</f>
        <v/>
      </c>
      <c r="D1854" t="str">
        <f>IFERROR(VLOOKUP(tbEscolas[[#This Row],[COD ETPA]],tbEtapas[],2,FALSE),"")</f>
        <v/>
      </c>
      <c r="E1854" t="str">
        <f>IFERROR(VLOOKUP(tbEscolas[[#This Row],[COD ETPA]],tbEtapas[],3,FALSE),"")</f>
        <v/>
      </c>
    </row>
    <row r="1855" spans="1:5" x14ac:dyDescent="0.25">
      <c r="A1855" t="str" cm="1">
        <f t="array" ref="A1855">IFERROR(INDEX(tbNucleo[ESCOLA],ROUNDUP(ROW(A1854)/TotalEtapas,0)),"")</f>
        <v/>
      </c>
      <c r="D1855" t="str">
        <f>IFERROR(VLOOKUP(tbEscolas[[#This Row],[COD ETPA]],tbEtapas[],2,FALSE),"")</f>
        <v/>
      </c>
      <c r="E1855" t="str">
        <f>IFERROR(VLOOKUP(tbEscolas[[#This Row],[COD ETPA]],tbEtapas[],3,FALSE),"")</f>
        <v/>
      </c>
    </row>
    <row r="1856" spans="1:5" x14ac:dyDescent="0.25">
      <c r="A1856" t="str" cm="1">
        <f t="array" ref="A1856">IFERROR(INDEX(tbNucleo[ESCOLA],ROUNDUP(ROW(A1855)/TotalEtapas,0)),"")</f>
        <v/>
      </c>
      <c r="D1856" t="str">
        <f>IFERROR(VLOOKUP(tbEscolas[[#This Row],[COD ETPA]],tbEtapas[],2,FALSE),"")</f>
        <v/>
      </c>
      <c r="E1856" t="str">
        <f>IFERROR(VLOOKUP(tbEscolas[[#This Row],[COD ETPA]],tbEtapas[],3,FALSE),"")</f>
        <v/>
      </c>
    </row>
    <row r="1857" spans="1:5" x14ac:dyDescent="0.25">
      <c r="A1857" t="str" cm="1">
        <f t="array" ref="A1857">IFERROR(INDEX(tbNucleo[ESCOLA],ROUNDUP(ROW(A1856)/TotalEtapas,0)),"")</f>
        <v/>
      </c>
      <c r="D1857" t="str">
        <f>IFERROR(VLOOKUP(tbEscolas[[#This Row],[COD ETPA]],tbEtapas[],2,FALSE),"")</f>
        <v/>
      </c>
      <c r="E1857" t="str">
        <f>IFERROR(VLOOKUP(tbEscolas[[#This Row],[COD ETPA]],tbEtapas[],3,FALSE),"")</f>
        <v/>
      </c>
    </row>
    <row r="1858" spans="1:5" x14ac:dyDescent="0.25">
      <c r="A1858" t="str" cm="1">
        <f t="array" ref="A1858">IFERROR(INDEX(tbNucleo[ESCOLA],ROUNDUP(ROW(A1857)/TotalEtapas,0)),"")</f>
        <v/>
      </c>
      <c r="D1858" t="str">
        <f>IFERROR(VLOOKUP(tbEscolas[[#This Row],[COD ETPA]],tbEtapas[],2,FALSE),"")</f>
        <v/>
      </c>
      <c r="E1858" t="str">
        <f>IFERROR(VLOOKUP(tbEscolas[[#This Row],[COD ETPA]],tbEtapas[],3,FALSE),"")</f>
        <v/>
      </c>
    </row>
    <row r="1859" spans="1:5" x14ac:dyDescent="0.25">
      <c r="A1859" t="str" cm="1">
        <f t="array" ref="A1859">IFERROR(INDEX(tbNucleo[ESCOLA],ROUNDUP(ROW(A1858)/TotalEtapas,0)),"")</f>
        <v/>
      </c>
      <c r="D1859" t="str">
        <f>IFERROR(VLOOKUP(tbEscolas[[#This Row],[COD ETPA]],tbEtapas[],2,FALSE),"")</f>
        <v/>
      </c>
      <c r="E1859" t="str">
        <f>IFERROR(VLOOKUP(tbEscolas[[#This Row],[COD ETPA]],tbEtapas[],3,FALSE),"")</f>
        <v/>
      </c>
    </row>
    <row r="1860" spans="1:5" x14ac:dyDescent="0.25">
      <c r="A1860" t="str" cm="1">
        <f t="array" ref="A1860">IFERROR(INDEX(tbNucleo[ESCOLA],ROUNDUP(ROW(A1859)/TotalEtapas,0)),"")</f>
        <v/>
      </c>
      <c r="D1860" t="str">
        <f>IFERROR(VLOOKUP(tbEscolas[[#This Row],[COD ETPA]],tbEtapas[],2,FALSE),"")</f>
        <v/>
      </c>
      <c r="E1860" t="str">
        <f>IFERROR(VLOOKUP(tbEscolas[[#This Row],[COD ETPA]],tbEtapas[],3,FALSE),"")</f>
        <v/>
      </c>
    </row>
    <row r="1861" spans="1:5" x14ac:dyDescent="0.25">
      <c r="A1861" t="str" cm="1">
        <f t="array" ref="A1861">IFERROR(INDEX(tbNucleo[ESCOLA],ROUNDUP(ROW(A1860)/TotalEtapas,0)),"")</f>
        <v/>
      </c>
      <c r="D1861" t="str">
        <f>IFERROR(VLOOKUP(tbEscolas[[#This Row],[COD ETPA]],tbEtapas[],2,FALSE),"")</f>
        <v/>
      </c>
      <c r="E1861" t="str">
        <f>IFERROR(VLOOKUP(tbEscolas[[#This Row],[COD ETPA]],tbEtapas[],3,FALSE),"")</f>
        <v/>
      </c>
    </row>
    <row r="1862" spans="1:5" x14ac:dyDescent="0.25">
      <c r="A1862" t="str" cm="1">
        <f t="array" ref="A1862">IFERROR(INDEX(tbNucleo[ESCOLA],ROUNDUP(ROW(A1861)/TotalEtapas,0)),"")</f>
        <v/>
      </c>
      <c r="D1862" t="str">
        <f>IFERROR(VLOOKUP(tbEscolas[[#This Row],[COD ETPA]],tbEtapas[],2,FALSE),"")</f>
        <v/>
      </c>
      <c r="E1862" t="str">
        <f>IFERROR(VLOOKUP(tbEscolas[[#This Row],[COD ETPA]],tbEtapas[],3,FALSE),"")</f>
        <v/>
      </c>
    </row>
    <row r="1863" spans="1:5" x14ac:dyDescent="0.25">
      <c r="A1863" t="str" cm="1">
        <f t="array" ref="A1863">IFERROR(INDEX(tbNucleo[ESCOLA],ROUNDUP(ROW(A1862)/TotalEtapas,0)),"")</f>
        <v/>
      </c>
      <c r="D1863" t="str">
        <f>IFERROR(VLOOKUP(tbEscolas[[#This Row],[COD ETPA]],tbEtapas[],2,FALSE),"")</f>
        <v/>
      </c>
      <c r="E1863" t="str">
        <f>IFERROR(VLOOKUP(tbEscolas[[#This Row],[COD ETPA]],tbEtapas[],3,FALSE),"")</f>
        <v/>
      </c>
    </row>
    <row r="1864" spans="1:5" x14ac:dyDescent="0.25">
      <c r="A1864" t="str" cm="1">
        <f t="array" ref="A1864">IFERROR(INDEX(tbNucleo[ESCOLA],ROUNDUP(ROW(A1863)/TotalEtapas,0)),"")</f>
        <v/>
      </c>
      <c r="D1864" t="str">
        <f>IFERROR(VLOOKUP(tbEscolas[[#This Row],[COD ETPA]],tbEtapas[],2,FALSE),"")</f>
        <v/>
      </c>
      <c r="E1864" t="str">
        <f>IFERROR(VLOOKUP(tbEscolas[[#This Row],[COD ETPA]],tbEtapas[],3,FALSE),"")</f>
        <v/>
      </c>
    </row>
    <row r="1865" spans="1:5" x14ac:dyDescent="0.25">
      <c r="A1865" t="str" cm="1">
        <f t="array" ref="A1865">IFERROR(INDEX(tbNucleo[ESCOLA],ROUNDUP(ROW(A1864)/TotalEtapas,0)),"")</f>
        <v/>
      </c>
      <c r="D1865" t="str">
        <f>IFERROR(VLOOKUP(tbEscolas[[#This Row],[COD ETPA]],tbEtapas[],2,FALSE),"")</f>
        <v/>
      </c>
      <c r="E1865" t="str">
        <f>IFERROR(VLOOKUP(tbEscolas[[#This Row],[COD ETPA]],tbEtapas[],3,FALSE),"")</f>
        <v/>
      </c>
    </row>
    <row r="1866" spans="1:5" x14ac:dyDescent="0.25">
      <c r="A1866" t="str" cm="1">
        <f t="array" ref="A1866">IFERROR(INDEX(tbNucleo[ESCOLA],ROUNDUP(ROW(A1865)/TotalEtapas,0)),"")</f>
        <v/>
      </c>
      <c r="D1866" t="str">
        <f>IFERROR(VLOOKUP(tbEscolas[[#This Row],[COD ETPA]],tbEtapas[],2,FALSE),"")</f>
        <v/>
      </c>
      <c r="E1866" t="str">
        <f>IFERROR(VLOOKUP(tbEscolas[[#This Row],[COD ETPA]],tbEtapas[],3,FALSE),"")</f>
        <v/>
      </c>
    </row>
    <row r="1867" spans="1:5" x14ac:dyDescent="0.25">
      <c r="A1867" t="str" cm="1">
        <f t="array" ref="A1867">IFERROR(INDEX(tbNucleo[ESCOLA],ROUNDUP(ROW(A1866)/TotalEtapas,0)),"")</f>
        <v/>
      </c>
      <c r="D1867" t="str">
        <f>IFERROR(VLOOKUP(tbEscolas[[#This Row],[COD ETPA]],tbEtapas[],2,FALSE),"")</f>
        <v/>
      </c>
      <c r="E1867" t="str">
        <f>IFERROR(VLOOKUP(tbEscolas[[#This Row],[COD ETPA]],tbEtapas[],3,FALSE),"")</f>
        <v/>
      </c>
    </row>
    <row r="1868" spans="1:5" x14ac:dyDescent="0.25">
      <c r="A1868" t="str" cm="1">
        <f t="array" ref="A1868">IFERROR(INDEX(tbNucleo[ESCOLA],ROUNDUP(ROW(A1867)/TotalEtapas,0)),"")</f>
        <v/>
      </c>
      <c r="D1868" t="str">
        <f>IFERROR(VLOOKUP(tbEscolas[[#This Row],[COD ETPA]],tbEtapas[],2,FALSE),"")</f>
        <v/>
      </c>
      <c r="E1868" t="str">
        <f>IFERROR(VLOOKUP(tbEscolas[[#This Row],[COD ETPA]],tbEtapas[],3,FALSE),"")</f>
        <v/>
      </c>
    </row>
    <row r="1869" spans="1:5" x14ac:dyDescent="0.25">
      <c r="A1869" t="str" cm="1">
        <f t="array" ref="A1869">IFERROR(INDEX(tbNucleo[ESCOLA],ROUNDUP(ROW(A1868)/TotalEtapas,0)),"")</f>
        <v/>
      </c>
      <c r="D1869" t="str">
        <f>IFERROR(VLOOKUP(tbEscolas[[#This Row],[COD ETPA]],tbEtapas[],2,FALSE),"")</f>
        <v/>
      </c>
      <c r="E1869" t="str">
        <f>IFERROR(VLOOKUP(tbEscolas[[#This Row],[COD ETPA]],tbEtapas[],3,FALSE),"")</f>
        <v/>
      </c>
    </row>
    <row r="1870" spans="1:5" x14ac:dyDescent="0.25">
      <c r="A1870" t="str" cm="1">
        <f t="array" ref="A1870">IFERROR(INDEX(tbNucleo[ESCOLA],ROUNDUP(ROW(A1869)/TotalEtapas,0)),"")</f>
        <v/>
      </c>
      <c r="D1870" t="str">
        <f>IFERROR(VLOOKUP(tbEscolas[[#This Row],[COD ETPA]],tbEtapas[],2,FALSE),"")</f>
        <v/>
      </c>
      <c r="E1870" t="str">
        <f>IFERROR(VLOOKUP(tbEscolas[[#This Row],[COD ETPA]],tbEtapas[],3,FALSE),"")</f>
        <v/>
      </c>
    </row>
    <row r="1871" spans="1:5" x14ac:dyDescent="0.25">
      <c r="A1871" t="str" cm="1">
        <f t="array" ref="A1871">IFERROR(INDEX(tbNucleo[ESCOLA],ROUNDUP(ROW(A1870)/TotalEtapas,0)),"")</f>
        <v/>
      </c>
      <c r="D1871" t="str">
        <f>IFERROR(VLOOKUP(tbEscolas[[#This Row],[COD ETPA]],tbEtapas[],2,FALSE),"")</f>
        <v/>
      </c>
      <c r="E1871" t="str">
        <f>IFERROR(VLOOKUP(tbEscolas[[#This Row],[COD ETPA]],tbEtapas[],3,FALSE),"")</f>
        <v/>
      </c>
    </row>
    <row r="1872" spans="1:5" x14ac:dyDescent="0.25">
      <c r="A1872" t="str" cm="1">
        <f t="array" ref="A1872">IFERROR(INDEX(tbNucleo[ESCOLA],ROUNDUP(ROW(A1871)/TotalEtapas,0)),"")</f>
        <v/>
      </c>
      <c r="D1872" t="str">
        <f>IFERROR(VLOOKUP(tbEscolas[[#This Row],[COD ETPA]],tbEtapas[],2,FALSE),"")</f>
        <v/>
      </c>
      <c r="E1872" t="str">
        <f>IFERROR(VLOOKUP(tbEscolas[[#This Row],[COD ETPA]],tbEtapas[],3,FALSE),"")</f>
        <v/>
      </c>
    </row>
    <row r="1873" spans="1:5" x14ac:dyDescent="0.25">
      <c r="A1873" t="str" cm="1">
        <f t="array" ref="A1873">IFERROR(INDEX(tbNucleo[ESCOLA],ROUNDUP(ROW(A1872)/TotalEtapas,0)),"")</f>
        <v/>
      </c>
      <c r="D1873" t="str">
        <f>IFERROR(VLOOKUP(tbEscolas[[#This Row],[COD ETPA]],tbEtapas[],2,FALSE),"")</f>
        <v/>
      </c>
      <c r="E1873" t="str">
        <f>IFERROR(VLOOKUP(tbEscolas[[#This Row],[COD ETPA]],tbEtapas[],3,FALSE),"")</f>
        <v/>
      </c>
    </row>
    <row r="1874" spans="1:5" x14ac:dyDescent="0.25">
      <c r="A1874" t="str" cm="1">
        <f t="array" ref="A1874">IFERROR(INDEX(tbNucleo[ESCOLA],ROUNDUP(ROW(A1873)/TotalEtapas,0)),"")</f>
        <v/>
      </c>
      <c r="D1874" t="str">
        <f>IFERROR(VLOOKUP(tbEscolas[[#This Row],[COD ETPA]],tbEtapas[],2,FALSE),"")</f>
        <v/>
      </c>
      <c r="E1874" t="str">
        <f>IFERROR(VLOOKUP(tbEscolas[[#This Row],[COD ETPA]],tbEtapas[],3,FALSE),"")</f>
        <v/>
      </c>
    </row>
    <row r="1875" spans="1:5" x14ac:dyDescent="0.25">
      <c r="A1875" t="str" cm="1">
        <f t="array" ref="A1875">IFERROR(INDEX(tbNucleo[ESCOLA],ROUNDUP(ROW(A1874)/TotalEtapas,0)),"")</f>
        <v/>
      </c>
      <c r="D1875" t="str">
        <f>IFERROR(VLOOKUP(tbEscolas[[#This Row],[COD ETPA]],tbEtapas[],2,FALSE),"")</f>
        <v/>
      </c>
      <c r="E1875" t="str">
        <f>IFERROR(VLOOKUP(tbEscolas[[#This Row],[COD ETPA]],tbEtapas[],3,FALSE),"")</f>
        <v/>
      </c>
    </row>
    <row r="1876" spans="1:5" x14ac:dyDescent="0.25">
      <c r="A1876" t="str" cm="1">
        <f t="array" ref="A1876">IFERROR(INDEX(tbNucleo[ESCOLA],ROUNDUP(ROW(A1875)/TotalEtapas,0)),"")</f>
        <v/>
      </c>
      <c r="D1876" t="str">
        <f>IFERROR(VLOOKUP(tbEscolas[[#This Row],[COD ETPA]],tbEtapas[],2,FALSE),"")</f>
        <v/>
      </c>
      <c r="E1876" t="str">
        <f>IFERROR(VLOOKUP(tbEscolas[[#This Row],[COD ETPA]],tbEtapas[],3,FALSE),"")</f>
        <v/>
      </c>
    </row>
    <row r="1877" spans="1:5" x14ac:dyDescent="0.25">
      <c r="A1877" t="str" cm="1">
        <f t="array" ref="A1877">IFERROR(INDEX(tbNucleo[ESCOLA],ROUNDUP(ROW(A1876)/TotalEtapas,0)),"")</f>
        <v/>
      </c>
      <c r="D1877" t="str">
        <f>IFERROR(VLOOKUP(tbEscolas[[#This Row],[COD ETPA]],tbEtapas[],2,FALSE),"")</f>
        <v/>
      </c>
      <c r="E1877" t="str">
        <f>IFERROR(VLOOKUP(tbEscolas[[#This Row],[COD ETPA]],tbEtapas[],3,FALSE),"")</f>
        <v/>
      </c>
    </row>
    <row r="1878" spans="1:5" x14ac:dyDescent="0.25">
      <c r="A1878" t="str" cm="1">
        <f t="array" ref="A1878">IFERROR(INDEX(tbNucleo[ESCOLA],ROUNDUP(ROW(A1877)/TotalEtapas,0)),"")</f>
        <v/>
      </c>
      <c r="D1878" t="str">
        <f>IFERROR(VLOOKUP(tbEscolas[[#This Row],[COD ETPA]],tbEtapas[],2,FALSE),"")</f>
        <v/>
      </c>
      <c r="E1878" t="str">
        <f>IFERROR(VLOOKUP(tbEscolas[[#This Row],[COD ETPA]],tbEtapas[],3,FALSE),"")</f>
        <v/>
      </c>
    </row>
    <row r="1879" spans="1:5" x14ac:dyDescent="0.25">
      <c r="A1879" t="str" cm="1">
        <f t="array" ref="A1879">IFERROR(INDEX(tbNucleo[ESCOLA],ROUNDUP(ROW(A1878)/TotalEtapas,0)),"")</f>
        <v/>
      </c>
      <c r="D1879" t="str">
        <f>IFERROR(VLOOKUP(tbEscolas[[#This Row],[COD ETPA]],tbEtapas[],2,FALSE),"")</f>
        <v/>
      </c>
      <c r="E1879" t="str">
        <f>IFERROR(VLOOKUP(tbEscolas[[#This Row],[COD ETPA]],tbEtapas[],3,FALSE),"")</f>
        <v/>
      </c>
    </row>
    <row r="1880" spans="1:5" x14ac:dyDescent="0.25">
      <c r="A1880" t="str" cm="1">
        <f t="array" ref="A1880">IFERROR(INDEX(tbNucleo[ESCOLA],ROUNDUP(ROW(A1879)/TotalEtapas,0)),"")</f>
        <v/>
      </c>
      <c r="D1880" t="str">
        <f>IFERROR(VLOOKUP(tbEscolas[[#This Row],[COD ETPA]],tbEtapas[],2,FALSE),"")</f>
        <v/>
      </c>
      <c r="E1880" t="str">
        <f>IFERROR(VLOOKUP(tbEscolas[[#This Row],[COD ETPA]],tbEtapas[],3,FALSE),"")</f>
        <v/>
      </c>
    </row>
    <row r="1881" spans="1:5" x14ac:dyDescent="0.25">
      <c r="A1881" t="str" cm="1">
        <f t="array" ref="A1881">IFERROR(INDEX(tbNucleo[ESCOLA],ROUNDUP(ROW(A1880)/TotalEtapas,0)),"")</f>
        <v/>
      </c>
      <c r="D1881" t="str">
        <f>IFERROR(VLOOKUP(tbEscolas[[#This Row],[COD ETPA]],tbEtapas[],2,FALSE),"")</f>
        <v/>
      </c>
      <c r="E1881" t="str">
        <f>IFERROR(VLOOKUP(tbEscolas[[#This Row],[COD ETPA]],tbEtapas[],3,FALSE),"")</f>
        <v/>
      </c>
    </row>
    <row r="1882" spans="1:5" x14ac:dyDescent="0.25">
      <c r="A1882" t="str" cm="1">
        <f t="array" ref="A1882">IFERROR(INDEX(tbNucleo[ESCOLA],ROUNDUP(ROW(A1881)/TotalEtapas,0)),"")</f>
        <v/>
      </c>
      <c r="D1882" t="str">
        <f>IFERROR(VLOOKUP(tbEscolas[[#This Row],[COD ETPA]],tbEtapas[],2,FALSE),"")</f>
        <v/>
      </c>
      <c r="E1882" t="str">
        <f>IFERROR(VLOOKUP(tbEscolas[[#This Row],[COD ETPA]],tbEtapas[],3,FALSE),"")</f>
        <v/>
      </c>
    </row>
    <row r="1883" spans="1:5" x14ac:dyDescent="0.25">
      <c r="A1883" t="str" cm="1">
        <f t="array" ref="A1883">IFERROR(INDEX(tbNucleo[ESCOLA],ROUNDUP(ROW(A1882)/TotalEtapas,0)),"")</f>
        <v/>
      </c>
      <c r="D1883" t="str">
        <f>IFERROR(VLOOKUP(tbEscolas[[#This Row],[COD ETPA]],tbEtapas[],2,FALSE),"")</f>
        <v/>
      </c>
      <c r="E1883" t="str">
        <f>IFERROR(VLOOKUP(tbEscolas[[#This Row],[COD ETPA]],tbEtapas[],3,FALSE),"")</f>
        <v/>
      </c>
    </row>
    <row r="1884" spans="1:5" x14ac:dyDescent="0.25">
      <c r="A1884" t="str" cm="1">
        <f t="array" ref="A1884">IFERROR(INDEX(tbNucleo[ESCOLA],ROUNDUP(ROW(A1883)/TotalEtapas,0)),"")</f>
        <v/>
      </c>
      <c r="D1884" t="str">
        <f>IFERROR(VLOOKUP(tbEscolas[[#This Row],[COD ETPA]],tbEtapas[],2,FALSE),"")</f>
        <v/>
      </c>
      <c r="E1884" t="str">
        <f>IFERROR(VLOOKUP(tbEscolas[[#This Row],[COD ETPA]],tbEtapas[],3,FALSE),"")</f>
        <v/>
      </c>
    </row>
    <row r="1885" spans="1:5" x14ac:dyDescent="0.25">
      <c r="A1885" t="str" cm="1">
        <f t="array" ref="A1885">IFERROR(INDEX(tbNucleo[ESCOLA],ROUNDUP(ROW(A1884)/TotalEtapas,0)),"")</f>
        <v/>
      </c>
      <c r="D1885" t="str">
        <f>IFERROR(VLOOKUP(tbEscolas[[#This Row],[COD ETPA]],tbEtapas[],2,FALSE),"")</f>
        <v/>
      </c>
      <c r="E1885" t="str">
        <f>IFERROR(VLOOKUP(tbEscolas[[#This Row],[COD ETPA]],tbEtapas[],3,FALSE),"")</f>
        <v/>
      </c>
    </row>
    <row r="1886" spans="1:5" x14ac:dyDescent="0.25">
      <c r="A1886" t="str" cm="1">
        <f t="array" ref="A1886">IFERROR(INDEX(tbNucleo[ESCOLA],ROUNDUP(ROW(A1885)/TotalEtapas,0)),"")</f>
        <v/>
      </c>
      <c r="D1886" t="str">
        <f>IFERROR(VLOOKUP(tbEscolas[[#This Row],[COD ETPA]],tbEtapas[],2,FALSE),"")</f>
        <v/>
      </c>
      <c r="E1886" t="str">
        <f>IFERROR(VLOOKUP(tbEscolas[[#This Row],[COD ETPA]],tbEtapas[],3,FALSE),"")</f>
        <v/>
      </c>
    </row>
    <row r="1887" spans="1:5" x14ac:dyDescent="0.25">
      <c r="A1887" t="str" cm="1">
        <f t="array" ref="A1887">IFERROR(INDEX(tbNucleo[ESCOLA],ROUNDUP(ROW(A1886)/TotalEtapas,0)),"")</f>
        <v/>
      </c>
      <c r="D1887" t="str">
        <f>IFERROR(VLOOKUP(tbEscolas[[#This Row],[COD ETPA]],tbEtapas[],2,FALSE),"")</f>
        <v/>
      </c>
      <c r="E1887" t="str">
        <f>IFERROR(VLOOKUP(tbEscolas[[#This Row],[COD ETPA]],tbEtapas[],3,FALSE),"")</f>
        <v/>
      </c>
    </row>
    <row r="1888" spans="1:5" x14ac:dyDescent="0.25">
      <c r="A1888" t="str" cm="1">
        <f t="array" ref="A1888">IFERROR(INDEX(tbNucleo[ESCOLA],ROUNDUP(ROW(A1887)/TotalEtapas,0)),"")</f>
        <v/>
      </c>
      <c r="D1888" t="str">
        <f>IFERROR(VLOOKUP(tbEscolas[[#This Row],[COD ETPA]],tbEtapas[],2,FALSE),"")</f>
        <v/>
      </c>
      <c r="E1888" t="str">
        <f>IFERROR(VLOOKUP(tbEscolas[[#This Row],[COD ETPA]],tbEtapas[],3,FALSE),"")</f>
        <v/>
      </c>
    </row>
    <row r="1889" spans="1:5" x14ac:dyDescent="0.25">
      <c r="A1889" t="str" cm="1">
        <f t="array" ref="A1889">IFERROR(INDEX(tbNucleo[ESCOLA],ROUNDUP(ROW(A1888)/TotalEtapas,0)),"")</f>
        <v/>
      </c>
      <c r="D1889" t="str">
        <f>IFERROR(VLOOKUP(tbEscolas[[#This Row],[COD ETPA]],tbEtapas[],2,FALSE),"")</f>
        <v/>
      </c>
      <c r="E1889" t="str">
        <f>IFERROR(VLOOKUP(tbEscolas[[#This Row],[COD ETPA]],tbEtapas[],3,FALSE),"")</f>
        <v/>
      </c>
    </row>
    <row r="1890" spans="1:5" x14ac:dyDescent="0.25">
      <c r="A1890" t="str" cm="1">
        <f t="array" ref="A1890">IFERROR(INDEX(tbNucleo[ESCOLA],ROUNDUP(ROW(A1889)/TotalEtapas,0)),"")</f>
        <v/>
      </c>
      <c r="D1890" t="str">
        <f>IFERROR(VLOOKUP(tbEscolas[[#This Row],[COD ETPA]],tbEtapas[],2,FALSE),"")</f>
        <v/>
      </c>
      <c r="E1890" t="str">
        <f>IFERROR(VLOOKUP(tbEscolas[[#This Row],[COD ETPA]],tbEtapas[],3,FALSE),"")</f>
        <v/>
      </c>
    </row>
    <row r="1891" spans="1:5" x14ac:dyDescent="0.25">
      <c r="A1891" t="str" cm="1">
        <f t="array" ref="A1891">IFERROR(INDEX(tbNucleo[ESCOLA],ROUNDUP(ROW(A1890)/TotalEtapas,0)),"")</f>
        <v/>
      </c>
      <c r="D1891" t="str">
        <f>IFERROR(VLOOKUP(tbEscolas[[#This Row],[COD ETPA]],tbEtapas[],2,FALSE),"")</f>
        <v/>
      </c>
      <c r="E1891" t="str">
        <f>IFERROR(VLOOKUP(tbEscolas[[#This Row],[COD ETPA]],tbEtapas[],3,FALSE),"")</f>
        <v/>
      </c>
    </row>
    <row r="1892" spans="1:5" x14ac:dyDescent="0.25">
      <c r="A1892" t="str" cm="1">
        <f t="array" ref="A1892">IFERROR(INDEX(tbNucleo[ESCOLA],ROUNDUP(ROW(A1891)/TotalEtapas,0)),"")</f>
        <v/>
      </c>
      <c r="D1892" t="str">
        <f>IFERROR(VLOOKUP(tbEscolas[[#This Row],[COD ETPA]],tbEtapas[],2,FALSE),"")</f>
        <v/>
      </c>
      <c r="E1892" t="str">
        <f>IFERROR(VLOOKUP(tbEscolas[[#This Row],[COD ETPA]],tbEtapas[],3,FALSE),"")</f>
        <v/>
      </c>
    </row>
    <row r="1893" spans="1:5" x14ac:dyDescent="0.25">
      <c r="A1893" t="str" cm="1">
        <f t="array" ref="A1893">IFERROR(INDEX(tbNucleo[ESCOLA],ROUNDUP(ROW(A1892)/TotalEtapas,0)),"")</f>
        <v/>
      </c>
      <c r="D1893" t="str">
        <f>IFERROR(VLOOKUP(tbEscolas[[#This Row],[COD ETPA]],tbEtapas[],2,FALSE),"")</f>
        <v/>
      </c>
      <c r="E1893" t="str">
        <f>IFERROR(VLOOKUP(tbEscolas[[#This Row],[COD ETPA]],tbEtapas[],3,FALSE),"")</f>
        <v/>
      </c>
    </row>
    <row r="1894" spans="1:5" x14ac:dyDescent="0.25">
      <c r="A1894" t="str" cm="1">
        <f t="array" ref="A1894">IFERROR(INDEX(tbNucleo[ESCOLA],ROUNDUP(ROW(A1893)/TotalEtapas,0)),"")</f>
        <v/>
      </c>
      <c r="D1894" t="str">
        <f>IFERROR(VLOOKUP(tbEscolas[[#This Row],[COD ETPA]],tbEtapas[],2,FALSE),"")</f>
        <v/>
      </c>
      <c r="E1894" t="str">
        <f>IFERROR(VLOOKUP(tbEscolas[[#This Row],[COD ETPA]],tbEtapas[],3,FALSE),"")</f>
        <v/>
      </c>
    </row>
    <row r="1895" spans="1:5" x14ac:dyDescent="0.25">
      <c r="A1895" t="str" cm="1">
        <f t="array" ref="A1895">IFERROR(INDEX(tbNucleo[ESCOLA],ROUNDUP(ROW(A1894)/TotalEtapas,0)),"")</f>
        <v/>
      </c>
      <c r="D1895" t="str">
        <f>IFERROR(VLOOKUP(tbEscolas[[#This Row],[COD ETPA]],tbEtapas[],2,FALSE),"")</f>
        <v/>
      </c>
      <c r="E1895" t="str">
        <f>IFERROR(VLOOKUP(tbEscolas[[#This Row],[COD ETPA]],tbEtapas[],3,FALSE),"")</f>
        <v/>
      </c>
    </row>
    <row r="1896" spans="1:5" x14ac:dyDescent="0.25">
      <c r="A1896" t="str" cm="1">
        <f t="array" ref="A1896">IFERROR(INDEX(tbNucleo[ESCOLA],ROUNDUP(ROW(A1895)/TotalEtapas,0)),"")</f>
        <v/>
      </c>
      <c r="D1896" t="str">
        <f>IFERROR(VLOOKUP(tbEscolas[[#This Row],[COD ETPA]],tbEtapas[],2,FALSE),"")</f>
        <v/>
      </c>
      <c r="E1896" t="str">
        <f>IFERROR(VLOOKUP(tbEscolas[[#This Row],[COD ETPA]],tbEtapas[],3,FALSE),"")</f>
        <v/>
      </c>
    </row>
    <row r="1897" spans="1:5" x14ac:dyDescent="0.25">
      <c r="A1897" t="str" cm="1">
        <f t="array" ref="A1897">IFERROR(INDEX(tbNucleo[ESCOLA],ROUNDUP(ROW(A1896)/TotalEtapas,0)),"")</f>
        <v/>
      </c>
      <c r="D1897" t="str">
        <f>IFERROR(VLOOKUP(tbEscolas[[#This Row],[COD ETPA]],tbEtapas[],2,FALSE),"")</f>
        <v/>
      </c>
      <c r="E1897" t="str">
        <f>IFERROR(VLOOKUP(tbEscolas[[#This Row],[COD ETPA]],tbEtapas[],3,FALSE),"")</f>
        <v/>
      </c>
    </row>
    <row r="1898" spans="1:5" x14ac:dyDescent="0.25">
      <c r="A1898" t="str" cm="1">
        <f t="array" ref="A1898">IFERROR(INDEX(tbNucleo[ESCOLA],ROUNDUP(ROW(A1897)/TotalEtapas,0)),"")</f>
        <v/>
      </c>
      <c r="D1898" t="str">
        <f>IFERROR(VLOOKUP(tbEscolas[[#This Row],[COD ETPA]],tbEtapas[],2,FALSE),"")</f>
        <v/>
      </c>
      <c r="E1898" t="str">
        <f>IFERROR(VLOOKUP(tbEscolas[[#This Row],[COD ETPA]],tbEtapas[],3,FALSE),"")</f>
        <v/>
      </c>
    </row>
    <row r="1899" spans="1:5" x14ac:dyDescent="0.25">
      <c r="A1899" t="str" cm="1">
        <f t="array" ref="A1899">IFERROR(INDEX(tbNucleo[ESCOLA],ROUNDUP(ROW(A1898)/TotalEtapas,0)),"")</f>
        <v/>
      </c>
      <c r="D1899" t="str">
        <f>IFERROR(VLOOKUP(tbEscolas[[#This Row],[COD ETPA]],tbEtapas[],2,FALSE),"")</f>
        <v/>
      </c>
      <c r="E1899" t="str">
        <f>IFERROR(VLOOKUP(tbEscolas[[#This Row],[COD ETPA]],tbEtapas[],3,FALSE),"")</f>
        <v/>
      </c>
    </row>
    <row r="1900" spans="1:5" x14ac:dyDescent="0.25">
      <c r="A1900" t="str" cm="1">
        <f t="array" ref="A1900">IFERROR(INDEX(tbNucleo[ESCOLA],ROUNDUP(ROW(A1899)/TotalEtapas,0)),"")</f>
        <v/>
      </c>
      <c r="D1900" t="str">
        <f>IFERROR(VLOOKUP(tbEscolas[[#This Row],[COD ETPA]],tbEtapas[],2,FALSE),"")</f>
        <v/>
      </c>
      <c r="E1900" t="str">
        <f>IFERROR(VLOOKUP(tbEscolas[[#This Row],[COD ETPA]],tbEtapas[],3,FALSE),"")</f>
        <v/>
      </c>
    </row>
    <row r="1901" spans="1:5" x14ac:dyDescent="0.25">
      <c r="A1901" t="str" cm="1">
        <f t="array" ref="A1901">IFERROR(INDEX(tbNucleo[ESCOLA],ROUNDUP(ROW(A1900)/TotalEtapas,0)),"")</f>
        <v/>
      </c>
      <c r="D1901" t="str">
        <f>IFERROR(VLOOKUP(tbEscolas[[#This Row],[COD ETPA]],tbEtapas[],2,FALSE),"")</f>
        <v/>
      </c>
      <c r="E1901" t="str">
        <f>IFERROR(VLOOKUP(tbEscolas[[#This Row],[COD ETPA]],tbEtapas[],3,FALSE),"")</f>
        <v/>
      </c>
    </row>
    <row r="1902" spans="1:5" x14ac:dyDescent="0.25">
      <c r="A1902" t="str" cm="1">
        <f t="array" ref="A1902">IFERROR(INDEX(tbNucleo[ESCOLA],ROUNDUP(ROW(A1901)/TotalEtapas,0)),"")</f>
        <v/>
      </c>
      <c r="D1902" t="str">
        <f>IFERROR(VLOOKUP(tbEscolas[[#This Row],[COD ETPA]],tbEtapas[],2,FALSE),"")</f>
        <v/>
      </c>
      <c r="E1902" t="str">
        <f>IFERROR(VLOOKUP(tbEscolas[[#This Row],[COD ETPA]],tbEtapas[],3,FALSE),"")</f>
        <v/>
      </c>
    </row>
    <row r="1903" spans="1:5" x14ac:dyDescent="0.25">
      <c r="A1903" t="str" cm="1">
        <f t="array" ref="A1903">IFERROR(INDEX(tbNucleo[ESCOLA],ROUNDUP(ROW(A1902)/TotalEtapas,0)),"")</f>
        <v/>
      </c>
      <c r="D1903" t="str">
        <f>IFERROR(VLOOKUP(tbEscolas[[#This Row],[COD ETPA]],tbEtapas[],2,FALSE),"")</f>
        <v/>
      </c>
      <c r="E1903" t="str">
        <f>IFERROR(VLOOKUP(tbEscolas[[#This Row],[COD ETPA]],tbEtapas[],3,FALSE),"")</f>
        <v/>
      </c>
    </row>
    <row r="1904" spans="1:5" x14ac:dyDescent="0.25">
      <c r="A1904" t="str" cm="1">
        <f t="array" ref="A1904">IFERROR(INDEX(tbNucleo[ESCOLA],ROUNDUP(ROW(A1903)/TotalEtapas,0)),"")</f>
        <v/>
      </c>
      <c r="D1904" t="str">
        <f>IFERROR(VLOOKUP(tbEscolas[[#This Row],[COD ETPA]],tbEtapas[],2,FALSE),"")</f>
        <v/>
      </c>
      <c r="E1904" t="str">
        <f>IFERROR(VLOOKUP(tbEscolas[[#This Row],[COD ETPA]],tbEtapas[],3,FALSE),"")</f>
        <v/>
      </c>
    </row>
    <row r="1905" spans="1:5" x14ac:dyDescent="0.25">
      <c r="A1905" t="str" cm="1">
        <f t="array" ref="A1905">IFERROR(INDEX(tbNucleo[ESCOLA],ROUNDUP(ROW(A1904)/TotalEtapas,0)),"")</f>
        <v/>
      </c>
      <c r="D1905" t="str">
        <f>IFERROR(VLOOKUP(tbEscolas[[#This Row],[COD ETPA]],tbEtapas[],2,FALSE),"")</f>
        <v/>
      </c>
      <c r="E1905" t="str">
        <f>IFERROR(VLOOKUP(tbEscolas[[#This Row],[COD ETPA]],tbEtapas[],3,FALSE),"")</f>
        <v/>
      </c>
    </row>
    <row r="1906" spans="1:5" x14ac:dyDescent="0.25">
      <c r="A1906" t="str" cm="1">
        <f t="array" ref="A1906">IFERROR(INDEX(tbNucleo[ESCOLA],ROUNDUP(ROW(A1905)/TotalEtapas,0)),"")</f>
        <v/>
      </c>
      <c r="D1906" t="str">
        <f>IFERROR(VLOOKUP(tbEscolas[[#This Row],[COD ETPA]],tbEtapas[],2,FALSE),"")</f>
        <v/>
      </c>
      <c r="E1906" t="str">
        <f>IFERROR(VLOOKUP(tbEscolas[[#This Row],[COD ETPA]],tbEtapas[],3,FALSE),"")</f>
        <v/>
      </c>
    </row>
    <row r="1907" spans="1:5" x14ac:dyDescent="0.25">
      <c r="A1907" t="str" cm="1">
        <f t="array" ref="A1907">IFERROR(INDEX(tbNucleo[ESCOLA],ROUNDUP(ROW(A1906)/TotalEtapas,0)),"")</f>
        <v/>
      </c>
      <c r="D1907" t="str">
        <f>IFERROR(VLOOKUP(tbEscolas[[#This Row],[COD ETPA]],tbEtapas[],2,FALSE),"")</f>
        <v/>
      </c>
      <c r="E1907" t="str">
        <f>IFERROR(VLOOKUP(tbEscolas[[#This Row],[COD ETPA]],tbEtapas[],3,FALSE),"")</f>
        <v/>
      </c>
    </row>
    <row r="1908" spans="1:5" x14ac:dyDescent="0.25">
      <c r="A1908" t="str" cm="1">
        <f t="array" ref="A1908">IFERROR(INDEX(tbNucleo[ESCOLA],ROUNDUP(ROW(A1907)/TotalEtapas,0)),"")</f>
        <v/>
      </c>
      <c r="D1908" t="str">
        <f>IFERROR(VLOOKUP(tbEscolas[[#This Row],[COD ETPA]],tbEtapas[],2,FALSE),"")</f>
        <v/>
      </c>
      <c r="E1908" t="str">
        <f>IFERROR(VLOOKUP(tbEscolas[[#This Row],[COD ETPA]],tbEtapas[],3,FALSE),"")</f>
        <v/>
      </c>
    </row>
    <row r="1909" spans="1:5" x14ac:dyDescent="0.25">
      <c r="A1909" t="str" cm="1">
        <f t="array" ref="A1909">IFERROR(INDEX(tbNucleo[ESCOLA],ROUNDUP(ROW(A1908)/TotalEtapas,0)),"")</f>
        <v/>
      </c>
      <c r="D1909" t="str">
        <f>IFERROR(VLOOKUP(tbEscolas[[#This Row],[COD ETPA]],tbEtapas[],2,FALSE),"")</f>
        <v/>
      </c>
      <c r="E1909" t="str">
        <f>IFERROR(VLOOKUP(tbEscolas[[#This Row],[COD ETPA]],tbEtapas[],3,FALSE),"")</f>
        <v/>
      </c>
    </row>
    <row r="1910" spans="1:5" x14ac:dyDescent="0.25">
      <c r="A1910" t="str" cm="1">
        <f t="array" ref="A1910">IFERROR(INDEX(tbNucleo[ESCOLA],ROUNDUP(ROW(A1909)/TotalEtapas,0)),"")</f>
        <v/>
      </c>
      <c r="D1910" t="str">
        <f>IFERROR(VLOOKUP(tbEscolas[[#This Row],[COD ETPA]],tbEtapas[],2,FALSE),"")</f>
        <v/>
      </c>
      <c r="E1910" t="str">
        <f>IFERROR(VLOOKUP(tbEscolas[[#This Row],[COD ETPA]],tbEtapas[],3,FALSE),"")</f>
        <v/>
      </c>
    </row>
    <row r="1911" spans="1:5" x14ac:dyDescent="0.25">
      <c r="A1911" t="str" cm="1">
        <f t="array" ref="A1911">IFERROR(INDEX(tbNucleo[ESCOLA],ROUNDUP(ROW(A1910)/TotalEtapas,0)),"")</f>
        <v/>
      </c>
      <c r="D1911" t="str">
        <f>IFERROR(VLOOKUP(tbEscolas[[#This Row],[COD ETPA]],tbEtapas[],2,FALSE),"")</f>
        <v/>
      </c>
      <c r="E1911" t="str">
        <f>IFERROR(VLOOKUP(tbEscolas[[#This Row],[COD ETPA]],tbEtapas[],3,FALSE),"")</f>
        <v/>
      </c>
    </row>
    <row r="1912" spans="1:5" x14ac:dyDescent="0.25">
      <c r="A1912" t="str" cm="1">
        <f t="array" ref="A1912">IFERROR(INDEX(tbNucleo[ESCOLA],ROUNDUP(ROW(A1911)/TotalEtapas,0)),"")</f>
        <v/>
      </c>
      <c r="D1912" t="str">
        <f>IFERROR(VLOOKUP(tbEscolas[[#This Row],[COD ETPA]],tbEtapas[],2,FALSE),"")</f>
        <v/>
      </c>
      <c r="E1912" t="str">
        <f>IFERROR(VLOOKUP(tbEscolas[[#This Row],[COD ETPA]],tbEtapas[],3,FALSE),"")</f>
        <v/>
      </c>
    </row>
    <row r="1913" spans="1:5" x14ac:dyDescent="0.25">
      <c r="A1913" t="str" cm="1">
        <f t="array" ref="A1913">IFERROR(INDEX(tbNucleo[ESCOLA],ROUNDUP(ROW(A1912)/TotalEtapas,0)),"")</f>
        <v/>
      </c>
      <c r="D1913" t="str">
        <f>IFERROR(VLOOKUP(tbEscolas[[#This Row],[COD ETPA]],tbEtapas[],2,FALSE),"")</f>
        <v/>
      </c>
      <c r="E1913" t="str">
        <f>IFERROR(VLOOKUP(tbEscolas[[#This Row],[COD ETPA]],tbEtapas[],3,FALSE),"")</f>
        <v/>
      </c>
    </row>
    <row r="1914" spans="1:5" x14ac:dyDescent="0.25">
      <c r="A1914" t="str" cm="1">
        <f t="array" ref="A1914">IFERROR(INDEX(tbNucleo[ESCOLA],ROUNDUP(ROW(A1913)/TotalEtapas,0)),"")</f>
        <v/>
      </c>
      <c r="D1914" t="str">
        <f>IFERROR(VLOOKUP(tbEscolas[[#This Row],[COD ETPA]],tbEtapas[],2,FALSE),"")</f>
        <v/>
      </c>
      <c r="E1914" t="str">
        <f>IFERROR(VLOOKUP(tbEscolas[[#This Row],[COD ETPA]],tbEtapas[],3,FALSE),"")</f>
        <v/>
      </c>
    </row>
    <row r="1915" spans="1:5" x14ac:dyDescent="0.25">
      <c r="A1915" t="str" cm="1">
        <f t="array" ref="A1915">IFERROR(INDEX(tbNucleo[ESCOLA],ROUNDUP(ROW(A1914)/TotalEtapas,0)),"")</f>
        <v/>
      </c>
      <c r="D1915" t="str">
        <f>IFERROR(VLOOKUP(tbEscolas[[#This Row],[COD ETPA]],tbEtapas[],2,FALSE),"")</f>
        <v/>
      </c>
      <c r="E1915" t="str">
        <f>IFERROR(VLOOKUP(tbEscolas[[#This Row],[COD ETPA]],tbEtapas[],3,FALSE),"")</f>
        <v/>
      </c>
    </row>
    <row r="1916" spans="1:5" x14ac:dyDescent="0.25">
      <c r="A1916" t="str" cm="1">
        <f t="array" ref="A1916">IFERROR(INDEX(tbNucleo[ESCOLA],ROUNDUP(ROW(A1915)/TotalEtapas,0)),"")</f>
        <v/>
      </c>
      <c r="D1916" t="str">
        <f>IFERROR(VLOOKUP(tbEscolas[[#This Row],[COD ETPA]],tbEtapas[],2,FALSE),"")</f>
        <v/>
      </c>
      <c r="E1916" t="str">
        <f>IFERROR(VLOOKUP(tbEscolas[[#This Row],[COD ETPA]],tbEtapas[],3,FALSE),"")</f>
        <v/>
      </c>
    </row>
    <row r="1917" spans="1:5" x14ac:dyDescent="0.25">
      <c r="A1917" t="str" cm="1">
        <f t="array" ref="A1917">IFERROR(INDEX(tbNucleo[ESCOLA],ROUNDUP(ROW(A1916)/TotalEtapas,0)),"")</f>
        <v/>
      </c>
      <c r="D1917" t="str">
        <f>IFERROR(VLOOKUP(tbEscolas[[#This Row],[COD ETPA]],tbEtapas[],2,FALSE),"")</f>
        <v/>
      </c>
      <c r="E1917" t="str">
        <f>IFERROR(VLOOKUP(tbEscolas[[#This Row],[COD ETPA]],tbEtapas[],3,FALSE),"")</f>
        <v/>
      </c>
    </row>
    <row r="1918" spans="1:5" x14ac:dyDescent="0.25">
      <c r="A1918" t="str" cm="1">
        <f t="array" ref="A1918">IFERROR(INDEX(tbNucleo[ESCOLA],ROUNDUP(ROW(A1917)/TotalEtapas,0)),"")</f>
        <v/>
      </c>
      <c r="D1918" t="str">
        <f>IFERROR(VLOOKUP(tbEscolas[[#This Row],[COD ETPA]],tbEtapas[],2,FALSE),"")</f>
        <v/>
      </c>
      <c r="E1918" t="str">
        <f>IFERROR(VLOOKUP(tbEscolas[[#This Row],[COD ETPA]],tbEtapas[],3,FALSE),"")</f>
        <v/>
      </c>
    </row>
    <row r="1919" spans="1:5" x14ac:dyDescent="0.25">
      <c r="A1919" t="str" cm="1">
        <f t="array" ref="A1919">IFERROR(INDEX(tbNucleo[ESCOLA],ROUNDUP(ROW(A1918)/TotalEtapas,0)),"")</f>
        <v/>
      </c>
      <c r="D1919" t="str">
        <f>IFERROR(VLOOKUP(tbEscolas[[#This Row],[COD ETPA]],tbEtapas[],2,FALSE),"")</f>
        <v/>
      </c>
      <c r="E1919" t="str">
        <f>IFERROR(VLOOKUP(tbEscolas[[#This Row],[COD ETPA]],tbEtapas[],3,FALSE),"")</f>
        <v/>
      </c>
    </row>
    <row r="1920" spans="1:5" x14ac:dyDescent="0.25">
      <c r="A1920" t="str" cm="1">
        <f t="array" ref="A1920">IFERROR(INDEX(tbNucleo[ESCOLA],ROUNDUP(ROW(A1919)/TotalEtapas,0)),"")</f>
        <v/>
      </c>
      <c r="D1920" t="str">
        <f>IFERROR(VLOOKUP(tbEscolas[[#This Row],[COD ETPA]],tbEtapas[],2,FALSE),"")</f>
        <v/>
      </c>
      <c r="E1920" t="str">
        <f>IFERROR(VLOOKUP(tbEscolas[[#This Row],[COD ETPA]],tbEtapas[],3,FALSE),"")</f>
        <v/>
      </c>
    </row>
    <row r="1921" spans="1:5" x14ac:dyDescent="0.25">
      <c r="A1921" t="str" cm="1">
        <f t="array" ref="A1921">IFERROR(INDEX(tbNucleo[ESCOLA],ROUNDUP(ROW(A1920)/TotalEtapas,0)),"")</f>
        <v/>
      </c>
      <c r="D1921" t="str">
        <f>IFERROR(VLOOKUP(tbEscolas[[#This Row],[COD ETPA]],tbEtapas[],2,FALSE),"")</f>
        <v/>
      </c>
      <c r="E1921" t="str">
        <f>IFERROR(VLOOKUP(tbEscolas[[#This Row],[COD ETPA]],tbEtapas[],3,FALSE),"")</f>
        <v/>
      </c>
    </row>
    <row r="1922" spans="1:5" x14ac:dyDescent="0.25">
      <c r="A1922" t="str" cm="1">
        <f t="array" ref="A1922">IFERROR(INDEX(tbNucleo[ESCOLA],ROUNDUP(ROW(A1921)/TotalEtapas,0)),"")</f>
        <v/>
      </c>
      <c r="D1922" t="str">
        <f>IFERROR(VLOOKUP(tbEscolas[[#This Row],[COD ETPA]],tbEtapas[],2,FALSE),"")</f>
        <v/>
      </c>
      <c r="E1922" t="str">
        <f>IFERROR(VLOOKUP(tbEscolas[[#This Row],[COD ETPA]],tbEtapas[],3,FALSE),"")</f>
        <v/>
      </c>
    </row>
    <row r="1923" spans="1:5" x14ac:dyDescent="0.25">
      <c r="A1923" t="str" cm="1">
        <f t="array" ref="A1923">IFERROR(INDEX(tbNucleo[ESCOLA],ROUNDUP(ROW(A1922)/TotalEtapas,0)),"")</f>
        <v/>
      </c>
      <c r="D1923" t="str">
        <f>IFERROR(VLOOKUP(tbEscolas[[#This Row],[COD ETPA]],tbEtapas[],2,FALSE),"")</f>
        <v/>
      </c>
      <c r="E1923" t="str">
        <f>IFERROR(VLOOKUP(tbEscolas[[#This Row],[COD ETPA]],tbEtapas[],3,FALSE),"")</f>
        <v/>
      </c>
    </row>
    <row r="1924" spans="1:5" x14ac:dyDescent="0.25">
      <c r="A1924" t="str" cm="1">
        <f t="array" ref="A1924">IFERROR(INDEX(tbNucleo[ESCOLA],ROUNDUP(ROW(A1923)/TotalEtapas,0)),"")</f>
        <v/>
      </c>
      <c r="D1924" t="str">
        <f>IFERROR(VLOOKUP(tbEscolas[[#This Row],[COD ETPA]],tbEtapas[],2,FALSE),"")</f>
        <v/>
      </c>
      <c r="E1924" t="str">
        <f>IFERROR(VLOOKUP(tbEscolas[[#This Row],[COD ETPA]],tbEtapas[],3,FALSE),"")</f>
        <v/>
      </c>
    </row>
    <row r="1925" spans="1:5" x14ac:dyDescent="0.25">
      <c r="A1925" t="str" cm="1">
        <f t="array" ref="A1925">IFERROR(INDEX(tbNucleo[ESCOLA],ROUNDUP(ROW(A1924)/TotalEtapas,0)),"")</f>
        <v/>
      </c>
      <c r="D1925" t="str">
        <f>IFERROR(VLOOKUP(tbEscolas[[#This Row],[COD ETPA]],tbEtapas[],2,FALSE),"")</f>
        <v/>
      </c>
      <c r="E1925" t="str">
        <f>IFERROR(VLOOKUP(tbEscolas[[#This Row],[COD ETPA]],tbEtapas[],3,FALSE),"")</f>
        <v/>
      </c>
    </row>
    <row r="1926" spans="1:5" x14ac:dyDescent="0.25">
      <c r="A1926" t="str" cm="1">
        <f t="array" ref="A1926">IFERROR(INDEX(tbNucleo[ESCOLA],ROUNDUP(ROW(A1925)/TotalEtapas,0)),"")</f>
        <v/>
      </c>
      <c r="D1926" t="str">
        <f>IFERROR(VLOOKUP(tbEscolas[[#This Row],[COD ETPA]],tbEtapas[],2,FALSE),"")</f>
        <v/>
      </c>
      <c r="E1926" t="str">
        <f>IFERROR(VLOOKUP(tbEscolas[[#This Row],[COD ETPA]],tbEtapas[],3,FALSE),"")</f>
        <v/>
      </c>
    </row>
    <row r="1927" spans="1:5" x14ac:dyDescent="0.25">
      <c r="A1927" t="str" cm="1">
        <f t="array" ref="A1927">IFERROR(INDEX(tbNucleo[ESCOLA],ROUNDUP(ROW(A1926)/TotalEtapas,0)),"")</f>
        <v/>
      </c>
      <c r="D1927" t="str">
        <f>IFERROR(VLOOKUP(tbEscolas[[#This Row],[COD ETPA]],tbEtapas[],2,FALSE),"")</f>
        <v/>
      </c>
      <c r="E1927" t="str">
        <f>IFERROR(VLOOKUP(tbEscolas[[#This Row],[COD ETPA]],tbEtapas[],3,FALSE),"")</f>
        <v/>
      </c>
    </row>
    <row r="1928" spans="1:5" x14ac:dyDescent="0.25">
      <c r="A1928" t="str" cm="1">
        <f t="array" ref="A1928">IFERROR(INDEX(tbNucleo[ESCOLA],ROUNDUP(ROW(A1927)/TotalEtapas,0)),"")</f>
        <v/>
      </c>
      <c r="D1928" t="str">
        <f>IFERROR(VLOOKUP(tbEscolas[[#This Row],[COD ETPA]],tbEtapas[],2,FALSE),"")</f>
        <v/>
      </c>
      <c r="E1928" t="str">
        <f>IFERROR(VLOOKUP(tbEscolas[[#This Row],[COD ETPA]],tbEtapas[],3,FALSE),"")</f>
        <v/>
      </c>
    </row>
    <row r="1929" spans="1:5" x14ac:dyDescent="0.25">
      <c r="A1929" t="str" cm="1">
        <f t="array" ref="A1929">IFERROR(INDEX(tbNucleo[ESCOLA],ROUNDUP(ROW(A1928)/TotalEtapas,0)),"")</f>
        <v/>
      </c>
      <c r="D1929" t="str">
        <f>IFERROR(VLOOKUP(tbEscolas[[#This Row],[COD ETPA]],tbEtapas[],2,FALSE),"")</f>
        <v/>
      </c>
      <c r="E1929" t="str">
        <f>IFERROR(VLOOKUP(tbEscolas[[#This Row],[COD ETPA]],tbEtapas[],3,FALSE),"")</f>
        <v/>
      </c>
    </row>
    <row r="1930" spans="1:5" x14ac:dyDescent="0.25">
      <c r="A1930" t="str" cm="1">
        <f t="array" ref="A1930">IFERROR(INDEX(tbNucleo[ESCOLA],ROUNDUP(ROW(A1929)/TotalEtapas,0)),"")</f>
        <v/>
      </c>
      <c r="D1930" t="str">
        <f>IFERROR(VLOOKUP(tbEscolas[[#This Row],[COD ETPA]],tbEtapas[],2,FALSE),"")</f>
        <v/>
      </c>
      <c r="E1930" t="str">
        <f>IFERROR(VLOOKUP(tbEscolas[[#This Row],[COD ETPA]],tbEtapas[],3,FALSE),"")</f>
        <v/>
      </c>
    </row>
    <row r="1931" spans="1:5" x14ac:dyDescent="0.25">
      <c r="A1931" t="str" cm="1">
        <f t="array" ref="A1931">IFERROR(INDEX(tbNucleo[ESCOLA],ROUNDUP(ROW(A1930)/TotalEtapas,0)),"")</f>
        <v/>
      </c>
      <c r="D1931" t="str">
        <f>IFERROR(VLOOKUP(tbEscolas[[#This Row],[COD ETPA]],tbEtapas[],2,FALSE),"")</f>
        <v/>
      </c>
      <c r="E1931" t="str">
        <f>IFERROR(VLOOKUP(tbEscolas[[#This Row],[COD ETPA]],tbEtapas[],3,FALSE),"")</f>
        <v/>
      </c>
    </row>
    <row r="1932" spans="1:5" x14ac:dyDescent="0.25">
      <c r="A1932" t="str" cm="1">
        <f t="array" ref="A1932">IFERROR(INDEX(tbNucleo[ESCOLA],ROUNDUP(ROW(A1931)/TotalEtapas,0)),"")</f>
        <v/>
      </c>
      <c r="D1932" t="str">
        <f>IFERROR(VLOOKUP(tbEscolas[[#This Row],[COD ETPA]],tbEtapas[],2,FALSE),"")</f>
        <v/>
      </c>
      <c r="E1932" t="str">
        <f>IFERROR(VLOOKUP(tbEscolas[[#This Row],[COD ETPA]],tbEtapas[],3,FALSE),"")</f>
        <v/>
      </c>
    </row>
    <row r="1933" spans="1:5" x14ac:dyDescent="0.25">
      <c r="A1933" t="str" cm="1">
        <f t="array" ref="A1933">IFERROR(INDEX(tbNucleo[ESCOLA],ROUNDUP(ROW(A1932)/TotalEtapas,0)),"")</f>
        <v/>
      </c>
      <c r="D1933" t="str">
        <f>IFERROR(VLOOKUP(tbEscolas[[#This Row],[COD ETPA]],tbEtapas[],2,FALSE),"")</f>
        <v/>
      </c>
      <c r="E1933" t="str">
        <f>IFERROR(VLOOKUP(tbEscolas[[#This Row],[COD ETPA]],tbEtapas[],3,FALSE),"")</f>
        <v/>
      </c>
    </row>
    <row r="1934" spans="1:5" x14ac:dyDescent="0.25">
      <c r="A1934" t="str" cm="1">
        <f t="array" ref="A1934">IFERROR(INDEX(tbNucleo[ESCOLA],ROUNDUP(ROW(A1933)/TotalEtapas,0)),"")</f>
        <v/>
      </c>
      <c r="D1934" t="str">
        <f>IFERROR(VLOOKUP(tbEscolas[[#This Row],[COD ETPA]],tbEtapas[],2,FALSE),"")</f>
        <v/>
      </c>
      <c r="E1934" t="str">
        <f>IFERROR(VLOOKUP(tbEscolas[[#This Row],[COD ETPA]],tbEtapas[],3,FALSE),"")</f>
        <v/>
      </c>
    </row>
    <row r="1935" spans="1:5" x14ac:dyDescent="0.25">
      <c r="A1935" t="str" cm="1">
        <f t="array" ref="A1935">IFERROR(INDEX(tbNucleo[ESCOLA],ROUNDUP(ROW(A1934)/TotalEtapas,0)),"")</f>
        <v/>
      </c>
      <c r="D1935" t="str">
        <f>IFERROR(VLOOKUP(tbEscolas[[#This Row],[COD ETPA]],tbEtapas[],2,FALSE),"")</f>
        <v/>
      </c>
      <c r="E1935" t="str">
        <f>IFERROR(VLOOKUP(tbEscolas[[#This Row],[COD ETPA]],tbEtapas[],3,FALSE),"")</f>
        <v/>
      </c>
    </row>
    <row r="1936" spans="1:5" x14ac:dyDescent="0.25">
      <c r="A1936" t="str" cm="1">
        <f t="array" ref="A1936">IFERROR(INDEX(tbNucleo[ESCOLA],ROUNDUP(ROW(A1935)/TotalEtapas,0)),"")</f>
        <v/>
      </c>
      <c r="D1936" t="str">
        <f>IFERROR(VLOOKUP(tbEscolas[[#This Row],[COD ETPA]],tbEtapas[],2,FALSE),"")</f>
        <v/>
      </c>
      <c r="E1936" t="str">
        <f>IFERROR(VLOOKUP(tbEscolas[[#This Row],[COD ETPA]],tbEtapas[],3,FALSE),"")</f>
        <v/>
      </c>
    </row>
    <row r="1937" spans="1:5" x14ac:dyDescent="0.25">
      <c r="A1937" t="str" cm="1">
        <f t="array" ref="A1937">IFERROR(INDEX(tbNucleo[ESCOLA],ROUNDUP(ROW(A1936)/TotalEtapas,0)),"")</f>
        <v/>
      </c>
      <c r="D1937" t="str">
        <f>IFERROR(VLOOKUP(tbEscolas[[#This Row],[COD ETPA]],tbEtapas[],2,FALSE),"")</f>
        <v/>
      </c>
      <c r="E1937" t="str">
        <f>IFERROR(VLOOKUP(tbEscolas[[#This Row],[COD ETPA]],tbEtapas[],3,FALSE),"")</f>
        <v/>
      </c>
    </row>
    <row r="1938" spans="1:5" x14ac:dyDescent="0.25">
      <c r="A1938" t="str" cm="1">
        <f t="array" ref="A1938">IFERROR(INDEX(tbNucleo[ESCOLA],ROUNDUP(ROW(A1937)/TotalEtapas,0)),"")</f>
        <v/>
      </c>
      <c r="D1938" t="str">
        <f>IFERROR(VLOOKUP(tbEscolas[[#This Row],[COD ETPA]],tbEtapas[],2,FALSE),"")</f>
        <v/>
      </c>
      <c r="E1938" t="str">
        <f>IFERROR(VLOOKUP(tbEscolas[[#This Row],[COD ETPA]],tbEtapas[],3,FALSE),"")</f>
        <v/>
      </c>
    </row>
    <row r="1939" spans="1:5" x14ac:dyDescent="0.25">
      <c r="A1939" t="str" cm="1">
        <f t="array" ref="A1939">IFERROR(INDEX(tbNucleo[ESCOLA],ROUNDUP(ROW(A1938)/TotalEtapas,0)),"")</f>
        <v/>
      </c>
      <c r="D1939" t="str">
        <f>IFERROR(VLOOKUP(tbEscolas[[#This Row],[COD ETPA]],tbEtapas[],2,FALSE),"")</f>
        <v/>
      </c>
      <c r="E1939" t="str">
        <f>IFERROR(VLOOKUP(tbEscolas[[#This Row],[COD ETPA]],tbEtapas[],3,FALSE),"")</f>
        <v/>
      </c>
    </row>
    <row r="1940" spans="1:5" x14ac:dyDescent="0.25">
      <c r="A1940" t="str" cm="1">
        <f t="array" ref="A1940">IFERROR(INDEX(tbNucleo[ESCOLA],ROUNDUP(ROW(A1939)/TotalEtapas,0)),"")</f>
        <v/>
      </c>
      <c r="D1940" t="str">
        <f>IFERROR(VLOOKUP(tbEscolas[[#This Row],[COD ETPA]],tbEtapas[],2,FALSE),"")</f>
        <v/>
      </c>
      <c r="E1940" t="str">
        <f>IFERROR(VLOOKUP(tbEscolas[[#This Row],[COD ETPA]],tbEtapas[],3,FALSE),"")</f>
        <v/>
      </c>
    </row>
    <row r="1941" spans="1:5" x14ac:dyDescent="0.25">
      <c r="A1941" t="str" cm="1">
        <f t="array" ref="A1941">IFERROR(INDEX(tbNucleo[ESCOLA],ROUNDUP(ROW(A1940)/TotalEtapas,0)),"")</f>
        <v/>
      </c>
      <c r="D1941" t="str">
        <f>IFERROR(VLOOKUP(tbEscolas[[#This Row],[COD ETPA]],tbEtapas[],2,FALSE),"")</f>
        <v/>
      </c>
      <c r="E1941" t="str">
        <f>IFERROR(VLOOKUP(tbEscolas[[#This Row],[COD ETPA]],tbEtapas[],3,FALSE),"")</f>
        <v/>
      </c>
    </row>
    <row r="1942" spans="1:5" x14ac:dyDescent="0.25">
      <c r="A1942" t="str" cm="1">
        <f t="array" ref="A1942">IFERROR(INDEX(tbNucleo[ESCOLA],ROUNDUP(ROW(A1941)/TotalEtapas,0)),"")</f>
        <v/>
      </c>
      <c r="D1942" t="str">
        <f>IFERROR(VLOOKUP(tbEscolas[[#This Row],[COD ETPA]],tbEtapas[],2,FALSE),"")</f>
        <v/>
      </c>
      <c r="E1942" t="str">
        <f>IFERROR(VLOOKUP(tbEscolas[[#This Row],[COD ETPA]],tbEtapas[],3,FALSE),"")</f>
        <v/>
      </c>
    </row>
    <row r="1943" spans="1:5" x14ac:dyDescent="0.25">
      <c r="A1943" t="str" cm="1">
        <f t="array" ref="A1943">IFERROR(INDEX(tbNucleo[ESCOLA],ROUNDUP(ROW(A1942)/TotalEtapas,0)),"")</f>
        <v/>
      </c>
      <c r="D1943" t="str">
        <f>IFERROR(VLOOKUP(tbEscolas[[#This Row],[COD ETPA]],tbEtapas[],2,FALSE),"")</f>
        <v/>
      </c>
      <c r="E1943" t="str">
        <f>IFERROR(VLOOKUP(tbEscolas[[#This Row],[COD ETPA]],tbEtapas[],3,FALSE),"")</f>
        <v/>
      </c>
    </row>
    <row r="1944" spans="1:5" x14ac:dyDescent="0.25">
      <c r="A1944" t="str" cm="1">
        <f t="array" ref="A1944">IFERROR(INDEX(tbNucleo[ESCOLA],ROUNDUP(ROW(A1943)/TotalEtapas,0)),"")</f>
        <v/>
      </c>
      <c r="D1944" t="str">
        <f>IFERROR(VLOOKUP(tbEscolas[[#This Row],[COD ETPA]],tbEtapas[],2,FALSE),"")</f>
        <v/>
      </c>
      <c r="E1944" t="str">
        <f>IFERROR(VLOOKUP(tbEscolas[[#This Row],[COD ETPA]],tbEtapas[],3,FALSE),"")</f>
        <v/>
      </c>
    </row>
    <row r="1945" spans="1:5" x14ac:dyDescent="0.25">
      <c r="A1945" t="str" cm="1">
        <f t="array" ref="A1945">IFERROR(INDEX(tbNucleo[ESCOLA],ROUNDUP(ROW(A1944)/TotalEtapas,0)),"")</f>
        <v/>
      </c>
      <c r="D1945" t="str">
        <f>IFERROR(VLOOKUP(tbEscolas[[#This Row],[COD ETPA]],tbEtapas[],2,FALSE),"")</f>
        <v/>
      </c>
      <c r="E1945" t="str">
        <f>IFERROR(VLOOKUP(tbEscolas[[#This Row],[COD ETPA]],tbEtapas[],3,FALSE),"")</f>
        <v/>
      </c>
    </row>
    <row r="1946" spans="1:5" x14ac:dyDescent="0.25">
      <c r="A1946" t="str" cm="1">
        <f t="array" ref="A1946">IFERROR(INDEX(tbNucleo[ESCOLA],ROUNDUP(ROW(A1945)/TotalEtapas,0)),"")</f>
        <v/>
      </c>
      <c r="D1946" t="str">
        <f>IFERROR(VLOOKUP(tbEscolas[[#This Row],[COD ETPA]],tbEtapas[],2,FALSE),"")</f>
        <v/>
      </c>
      <c r="E1946" t="str">
        <f>IFERROR(VLOOKUP(tbEscolas[[#This Row],[COD ETPA]],tbEtapas[],3,FALSE),"")</f>
        <v/>
      </c>
    </row>
    <row r="1947" spans="1:5" x14ac:dyDescent="0.25">
      <c r="A1947" t="str" cm="1">
        <f t="array" ref="A1947">IFERROR(INDEX(tbNucleo[ESCOLA],ROUNDUP(ROW(A1946)/TotalEtapas,0)),"")</f>
        <v/>
      </c>
      <c r="D1947" t="str">
        <f>IFERROR(VLOOKUP(tbEscolas[[#This Row],[COD ETPA]],tbEtapas[],2,FALSE),"")</f>
        <v/>
      </c>
      <c r="E1947" t="str">
        <f>IFERROR(VLOOKUP(tbEscolas[[#This Row],[COD ETPA]],tbEtapas[],3,FALSE),"")</f>
        <v/>
      </c>
    </row>
    <row r="1948" spans="1:5" x14ac:dyDescent="0.25">
      <c r="A1948" t="str" cm="1">
        <f t="array" ref="A1948">IFERROR(INDEX(tbNucleo[ESCOLA],ROUNDUP(ROW(A1947)/TotalEtapas,0)),"")</f>
        <v/>
      </c>
      <c r="D1948" t="str">
        <f>IFERROR(VLOOKUP(tbEscolas[[#This Row],[COD ETPA]],tbEtapas[],2,FALSE),"")</f>
        <v/>
      </c>
      <c r="E1948" t="str">
        <f>IFERROR(VLOOKUP(tbEscolas[[#This Row],[COD ETPA]],tbEtapas[],3,FALSE),"")</f>
        <v/>
      </c>
    </row>
    <row r="1949" spans="1:5" x14ac:dyDescent="0.25">
      <c r="A1949" t="str" cm="1">
        <f t="array" ref="A1949">IFERROR(INDEX(tbNucleo[ESCOLA],ROUNDUP(ROW(A1948)/TotalEtapas,0)),"")</f>
        <v/>
      </c>
      <c r="D1949" t="str">
        <f>IFERROR(VLOOKUP(tbEscolas[[#This Row],[COD ETPA]],tbEtapas[],2,FALSE),"")</f>
        <v/>
      </c>
      <c r="E1949" t="str">
        <f>IFERROR(VLOOKUP(tbEscolas[[#This Row],[COD ETPA]],tbEtapas[],3,FALSE),"")</f>
        <v/>
      </c>
    </row>
    <row r="1950" spans="1:5" x14ac:dyDescent="0.25">
      <c r="A1950" t="str" cm="1">
        <f t="array" ref="A1950">IFERROR(INDEX(tbNucleo[ESCOLA],ROUNDUP(ROW(A1949)/TotalEtapas,0)),"")</f>
        <v/>
      </c>
      <c r="D1950" t="str">
        <f>IFERROR(VLOOKUP(tbEscolas[[#This Row],[COD ETPA]],tbEtapas[],2,FALSE),"")</f>
        <v/>
      </c>
      <c r="E1950" t="str">
        <f>IFERROR(VLOOKUP(tbEscolas[[#This Row],[COD ETPA]],tbEtapas[],3,FALSE),"")</f>
        <v/>
      </c>
    </row>
    <row r="1951" spans="1:5" x14ac:dyDescent="0.25">
      <c r="A1951" t="str" cm="1">
        <f t="array" ref="A1951">IFERROR(INDEX(tbNucleo[ESCOLA],ROUNDUP(ROW(A1950)/TotalEtapas,0)),"")</f>
        <v/>
      </c>
      <c r="D1951" t="str">
        <f>IFERROR(VLOOKUP(tbEscolas[[#This Row],[COD ETPA]],tbEtapas[],2,FALSE),"")</f>
        <v/>
      </c>
      <c r="E1951" t="str">
        <f>IFERROR(VLOOKUP(tbEscolas[[#This Row],[COD ETPA]],tbEtapas[],3,FALSE),"")</f>
        <v/>
      </c>
    </row>
    <row r="1952" spans="1:5" x14ac:dyDescent="0.25">
      <c r="A1952" t="str" cm="1">
        <f t="array" ref="A1952">IFERROR(INDEX(tbNucleo[ESCOLA],ROUNDUP(ROW(A1951)/TotalEtapas,0)),"")</f>
        <v/>
      </c>
      <c r="D1952" t="str">
        <f>IFERROR(VLOOKUP(tbEscolas[[#This Row],[COD ETPA]],tbEtapas[],2,FALSE),"")</f>
        <v/>
      </c>
      <c r="E1952" t="str">
        <f>IFERROR(VLOOKUP(tbEscolas[[#This Row],[COD ETPA]],tbEtapas[],3,FALSE),"")</f>
        <v/>
      </c>
    </row>
    <row r="1953" spans="1:5" x14ac:dyDescent="0.25">
      <c r="A1953" t="str" cm="1">
        <f t="array" ref="A1953">IFERROR(INDEX(tbNucleo[ESCOLA],ROUNDUP(ROW(A1952)/TotalEtapas,0)),"")</f>
        <v/>
      </c>
      <c r="D1953" t="str">
        <f>IFERROR(VLOOKUP(tbEscolas[[#This Row],[COD ETPA]],tbEtapas[],2,FALSE),"")</f>
        <v/>
      </c>
      <c r="E1953" t="str">
        <f>IFERROR(VLOOKUP(tbEscolas[[#This Row],[COD ETPA]],tbEtapas[],3,FALSE),"")</f>
        <v/>
      </c>
    </row>
    <row r="1954" spans="1:5" x14ac:dyDescent="0.25">
      <c r="A1954" t="str" cm="1">
        <f t="array" ref="A1954">IFERROR(INDEX(tbNucleo[ESCOLA],ROUNDUP(ROW(A1953)/TotalEtapas,0)),"")</f>
        <v/>
      </c>
      <c r="D1954" t="str">
        <f>IFERROR(VLOOKUP(tbEscolas[[#This Row],[COD ETPA]],tbEtapas[],2,FALSE),"")</f>
        <v/>
      </c>
      <c r="E1954" t="str">
        <f>IFERROR(VLOOKUP(tbEscolas[[#This Row],[COD ETPA]],tbEtapas[],3,FALSE),"")</f>
        <v/>
      </c>
    </row>
    <row r="1955" spans="1:5" x14ac:dyDescent="0.25">
      <c r="A1955" t="str" cm="1">
        <f t="array" ref="A1955">IFERROR(INDEX(tbNucleo[ESCOLA],ROUNDUP(ROW(A1954)/TotalEtapas,0)),"")</f>
        <v/>
      </c>
      <c r="D1955" t="str">
        <f>IFERROR(VLOOKUP(tbEscolas[[#This Row],[COD ETPA]],tbEtapas[],2,FALSE),"")</f>
        <v/>
      </c>
      <c r="E1955" t="str">
        <f>IFERROR(VLOOKUP(tbEscolas[[#This Row],[COD ETPA]],tbEtapas[],3,FALSE),"")</f>
        <v/>
      </c>
    </row>
    <row r="1956" spans="1:5" x14ac:dyDescent="0.25">
      <c r="A1956" t="str" cm="1">
        <f t="array" ref="A1956">IFERROR(INDEX(tbNucleo[ESCOLA],ROUNDUP(ROW(A1955)/TotalEtapas,0)),"")</f>
        <v/>
      </c>
      <c r="D1956" t="str">
        <f>IFERROR(VLOOKUP(tbEscolas[[#This Row],[COD ETPA]],tbEtapas[],2,FALSE),"")</f>
        <v/>
      </c>
      <c r="E1956" t="str">
        <f>IFERROR(VLOOKUP(tbEscolas[[#This Row],[COD ETPA]],tbEtapas[],3,FALSE),"")</f>
        <v/>
      </c>
    </row>
    <row r="1957" spans="1:5" x14ac:dyDescent="0.25">
      <c r="A1957" t="str" cm="1">
        <f t="array" ref="A1957">IFERROR(INDEX(tbNucleo[ESCOLA],ROUNDUP(ROW(A1956)/TotalEtapas,0)),"")</f>
        <v/>
      </c>
      <c r="D1957" t="str">
        <f>IFERROR(VLOOKUP(tbEscolas[[#This Row],[COD ETPA]],tbEtapas[],2,FALSE),"")</f>
        <v/>
      </c>
      <c r="E1957" t="str">
        <f>IFERROR(VLOOKUP(tbEscolas[[#This Row],[COD ETPA]],tbEtapas[],3,FALSE),"")</f>
        <v/>
      </c>
    </row>
    <row r="1958" spans="1:5" x14ac:dyDescent="0.25">
      <c r="A1958" t="str" cm="1">
        <f t="array" ref="A1958">IFERROR(INDEX(tbNucleo[ESCOLA],ROUNDUP(ROW(A1957)/TotalEtapas,0)),"")</f>
        <v/>
      </c>
      <c r="D1958" t="str">
        <f>IFERROR(VLOOKUP(tbEscolas[[#This Row],[COD ETPA]],tbEtapas[],2,FALSE),"")</f>
        <v/>
      </c>
      <c r="E1958" t="str">
        <f>IFERROR(VLOOKUP(tbEscolas[[#This Row],[COD ETPA]],tbEtapas[],3,FALSE),"")</f>
        <v/>
      </c>
    </row>
    <row r="1959" spans="1:5" x14ac:dyDescent="0.25">
      <c r="A1959" t="str" cm="1">
        <f t="array" ref="A1959">IFERROR(INDEX(tbNucleo[ESCOLA],ROUNDUP(ROW(A1958)/TotalEtapas,0)),"")</f>
        <v/>
      </c>
      <c r="D1959" t="str">
        <f>IFERROR(VLOOKUP(tbEscolas[[#This Row],[COD ETPA]],tbEtapas[],2,FALSE),"")</f>
        <v/>
      </c>
      <c r="E1959" t="str">
        <f>IFERROR(VLOOKUP(tbEscolas[[#This Row],[COD ETPA]],tbEtapas[],3,FALSE),"")</f>
        <v/>
      </c>
    </row>
    <row r="1960" spans="1:5" x14ac:dyDescent="0.25">
      <c r="A1960" t="str" cm="1">
        <f t="array" ref="A1960">IFERROR(INDEX(tbNucleo[ESCOLA],ROUNDUP(ROW(A1959)/TotalEtapas,0)),"")</f>
        <v/>
      </c>
      <c r="D1960" t="str">
        <f>IFERROR(VLOOKUP(tbEscolas[[#This Row],[COD ETPA]],tbEtapas[],2,FALSE),"")</f>
        <v/>
      </c>
      <c r="E1960" t="str">
        <f>IFERROR(VLOOKUP(tbEscolas[[#This Row],[COD ETPA]],tbEtapas[],3,FALSE),"")</f>
        <v/>
      </c>
    </row>
    <row r="1961" spans="1:5" x14ac:dyDescent="0.25">
      <c r="A1961" t="str" cm="1">
        <f t="array" ref="A1961">IFERROR(INDEX(tbNucleo[ESCOLA],ROUNDUP(ROW(A1960)/TotalEtapas,0)),"")</f>
        <v/>
      </c>
      <c r="D1961" t="str">
        <f>IFERROR(VLOOKUP(tbEscolas[[#This Row],[COD ETPA]],tbEtapas[],2,FALSE),"")</f>
        <v/>
      </c>
      <c r="E1961" t="str">
        <f>IFERROR(VLOOKUP(tbEscolas[[#This Row],[COD ETPA]],tbEtapas[],3,FALSE),"")</f>
        <v/>
      </c>
    </row>
    <row r="1962" spans="1:5" x14ac:dyDescent="0.25">
      <c r="A1962" t="str" cm="1">
        <f t="array" ref="A1962">IFERROR(INDEX(tbNucleo[ESCOLA],ROUNDUP(ROW(A1961)/TotalEtapas,0)),"")</f>
        <v/>
      </c>
      <c r="D1962" t="str">
        <f>IFERROR(VLOOKUP(tbEscolas[[#This Row],[COD ETPA]],tbEtapas[],2,FALSE),"")</f>
        <v/>
      </c>
      <c r="E1962" t="str">
        <f>IFERROR(VLOOKUP(tbEscolas[[#This Row],[COD ETPA]],tbEtapas[],3,FALSE),"")</f>
        <v/>
      </c>
    </row>
    <row r="1963" spans="1:5" x14ac:dyDescent="0.25">
      <c r="A1963" t="str" cm="1">
        <f t="array" ref="A1963">IFERROR(INDEX(tbNucleo[ESCOLA],ROUNDUP(ROW(A1962)/TotalEtapas,0)),"")</f>
        <v/>
      </c>
      <c r="D1963" t="str">
        <f>IFERROR(VLOOKUP(tbEscolas[[#This Row],[COD ETPA]],tbEtapas[],2,FALSE),"")</f>
        <v/>
      </c>
      <c r="E1963" t="str">
        <f>IFERROR(VLOOKUP(tbEscolas[[#This Row],[COD ETPA]],tbEtapas[],3,FALSE),"")</f>
        <v/>
      </c>
    </row>
    <row r="1964" spans="1:5" x14ac:dyDescent="0.25">
      <c r="A1964" t="str" cm="1">
        <f t="array" ref="A1964">IFERROR(INDEX(tbNucleo[ESCOLA],ROUNDUP(ROW(A1963)/TotalEtapas,0)),"")</f>
        <v/>
      </c>
      <c r="D1964" t="str">
        <f>IFERROR(VLOOKUP(tbEscolas[[#This Row],[COD ETPA]],tbEtapas[],2,FALSE),"")</f>
        <v/>
      </c>
      <c r="E1964" t="str">
        <f>IFERROR(VLOOKUP(tbEscolas[[#This Row],[COD ETPA]],tbEtapas[],3,FALSE),"")</f>
        <v/>
      </c>
    </row>
    <row r="1965" spans="1:5" x14ac:dyDescent="0.25">
      <c r="A1965" t="str" cm="1">
        <f t="array" ref="A1965">IFERROR(INDEX(tbNucleo[ESCOLA],ROUNDUP(ROW(A1964)/TotalEtapas,0)),"")</f>
        <v/>
      </c>
      <c r="D1965" t="str">
        <f>IFERROR(VLOOKUP(tbEscolas[[#This Row],[COD ETPA]],tbEtapas[],2,FALSE),"")</f>
        <v/>
      </c>
      <c r="E1965" t="str">
        <f>IFERROR(VLOOKUP(tbEscolas[[#This Row],[COD ETPA]],tbEtapas[],3,FALSE),"")</f>
        <v/>
      </c>
    </row>
    <row r="1966" spans="1:5" x14ac:dyDescent="0.25">
      <c r="A1966" t="str" cm="1">
        <f t="array" ref="A1966">IFERROR(INDEX(tbNucleo[ESCOLA],ROUNDUP(ROW(A1965)/TotalEtapas,0)),"")</f>
        <v/>
      </c>
      <c r="D1966" t="str">
        <f>IFERROR(VLOOKUP(tbEscolas[[#This Row],[COD ETPA]],tbEtapas[],2,FALSE),"")</f>
        <v/>
      </c>
      <c r="E1966" t="str">
        <f>IFERROR(VLOOKUP(tbEscolas[[#This Row],[COD ETPA]],tbEtapas[],3,FALSE),"")</f>
        <v/>
      </c>
    </row>
    <row r="1967" spans="1:5" x14ac:dyDescent="0.25">
      <c r="A1967" t="str" cm="1">
        <f t="array" ref="A1967">IFERROR(INDEX(tbNucleo[ESCOLA],ROUNDUP(ROW(A1966)/TotalEtapas,0)),"")</f>
        <v/>
      </c>
      <c r="D1967" t="str">
        <f>IFERROR(VLOOKUP(tbEscolas[[#This Row],[COD ETPA]],tbEtapas[],2,FALSE),"")</f>
        <v/>
      </c>
      <c r="E1967" t="str">
        <f>IFERROR(VLOOKUP(tbEscolas[[#This Row],[COD ETPA]],tbEtapas[],3,FALSE),"")</f>
        <v/>
      </c>
    </row>
    <row r="1968" spans="1:5" x14ac:dyDescent="0.25">
      <c r="A1968" t="str" cm="1">
        <f t="array" ref="A1968">IFERROR(INDEX(tbNucleo[ESCOLA],ROUNDUP(ROW(A1967)/TotalEtapas,0)),"")</f>
        <v/>
      </c>
      <c r="D1968" t="str">
        <f>IFERROR(VLOOKUP(tbEscolas[[#This Row],[COD ETPA]],tbEtapas[],2,FALSE),"")</f>
        <v/>
      </c>
      <c r="E1968" t="str">
        <f>IFERROR(VLOOKUP(tbEscolas[[#This Row],[COD ETPA]],tbEtapas[],3,FALSE),"")</f>
        <v/>
      </c>
    </row>
    <row r="1969" spans="1:5" x14ac:dyDescent="0.25">
      <c r="A1969" t="str" cm="1">
        <f t="array" ref="A1969">IFERROR(INDEX(tbNucleo[ESCOLA],ROUNDUP(ROW(A1968)/TotalEtapas,0)),"")</f>
        <v/>
      </c>
      <c r="D1969" t="str">
        <f>IFERROR(VLOOKUP(tbEscolas[[#This Row],[COD ETPA]],tbEtapas[],2,FALSE),"")</f>
        <v/>
      </c>
      <c r="E1969" t="str">
        <f>IFERROR(VLOOKUP(tbEscolas[[#This Row],[COD ETPA]],tbEtapas[],3,FALSE),"")</f>
        <v/>
      </c>
    </row>
    <row r="1970" spans="1:5" x14ac:dyDescent="0.25">
      <c r="A1970" t="str" cm="1">
        <f t="array" ref="A1970">IFERROR(INDEX(tbNucleo[ESCOLA],ROUNDUP(ROW(A1969)/TotalEtapas,0)),"")</f>
        <v/>
      </c>
      <c r="D1970" t="str">
        <f>IFERROR(VLOOKUP(tbEscolas[[#This Row],[COD ETPA]],tbEtapas[],2,FALSE),"")</f>
        <v/>
      </c>
      <c r="E1970" t="str">
        <f>IFERROR(VLOOKUP(tbEscolas[[#This Row],[COD ETPA]],tbEtapas[],3,FALSE),"")</f>
        <v/>
      </c>
    </row>
    <row r="1971" spans="1:5" x14ac:dyDescent="0.25">
      <c r="A1971" t="str" cm="1">
        <f t="array" ref="A1971">IFERROR(INDEX(tbNucleo[ESCOLA],ROUNDUP(ROW(A1970)/TotalEtapas,0)),"")</f>
        <v/>
      </c>
      <c r="D1971" t="str">
        <f>IFERROR(VLOOKUP(tbEscolas[[#This Row],[COD ETPA]],tbEtapas[],2,FALSE),"")</f>
        <v/>
      </c>
      <c r="E1971" t="str">
        <f>IFERROR(VLOOKUP(tbEscolas[[#This Row],[COD ETPA]],tbEtapas[],3,FALSE),"")</f>
        <v/>
      </c>
    </row>
    <row r="1972" spans="1:5" x14ac:dyDescent="0.25">
      <c r="A1972" t="str" cm="1">
        <f t="array" ref="A1972">IFERROR(INDEX(tbNucleo[ESCOLA],ROUNDUP(ROW(A1971)/TotalEtapas,0)),"")</f>
        <v/>
      </c>
      <c r="D1972" t="str">
        <f>IFERROR(VLOOKUP(tbEscolas[[#This Row],[COD ETPA]],tbEtapas[],2,FALSE),"")</f>
        <v/>
      </c>
      <c r="E1972" t="str">
        <f>IFERROR(VLOOKUP(tbEscolas[[#This Row],[COD ETPA]],tbEtapas[],3,FALSE),"")</f>
        <v/>
      </c>
    </row>
    <row r="1973" spans="1:5" x14ac:dyDescent="0.25">
      <c r="A1973" t="str" cm="1">
        <f t="array" ref="A1973">IFERROR(INDEX(tbNucleo[ESCOLA],ROUNDUP(ROW(A1972)/TotalEtapas,0)),"")</f>
        <v/>
      </c>
      <c r="D1973" t="str">
        <f>IFERROR(VLOOKUP(tbEscolas[[#This Row],[COD ETPA]],tbEtapas[],2,FALSE),"")</f>
        <v/>
      </c>
      <c r="E1973" t="str">
        <f>IFERROR(VLOOKUP(tbEscolas[[#This Row],[COD ETPA]],tbEtapas[],3,FALSE),"")</f>
        <v/>
      </c>
    </row>
    <row r="1974" spans="1:5" x14ac:dyDescent="0.25">
      <c r="A1974" t="str" cm="1">
        <f t="array" ref="A1974">IFERROR(INDEX(tbNucleo[ESCOLA],ROUNDUP(ROW(A1973)/TotalEtapas,0)),"")</f>
        <v/>
      </c>
      <c r="D1974" t="str">
        <f>IFERROR(VLOOKUP(tbEscolas[[#This Row],[COD ETPA]],tbEtapas[],2,FALSE),"")</f>
        <v/>
      </c>
      <c r="E1974" t="str">
        <f>IFERROR(VLOOKUP(tbEscolas[[#This Row],[COD ETPA]],tbEtapas[],3,FALSE),"")</f>
        <v/>
      </c>
    </row>
    <row r="1975" spans="1:5" x14ac:dyDescent="0.25">
      <c r="A1975" t="str" cm="1">
        <f t="array" ref="A1975">IFERROR(INDEX(tbNucleo[ESCOLA],ROUNDUP(ROW(A1974)/TotalEtapas,0)),"")</f>
        <v/>
      </c>
      <c r="D1975" t="str">
        <f>IFERROR(VLOOKUP(tbEscolas[[#This Row],[COD ETPA]],tbEtapas[],2,FALSE),"")</f>
        <v/>
      </c>
      <c r="E1975" t="str">
        <f>IFERROR(VLOOKUP(tbEscolas[[#This Row],[COD ETPA]],tbEtapas[],3,FALSE),"")</f>
        <v/>
      </c>
    </row>
    <row r="1976" spans="1:5" x14ac:dyDescent="0.25">
      <c r="A1976" t="str" cm="1">
        <f t="array" ref="A1976">IFERROR(INDEX(tbNucleo[ESCOLA],ROUNDUP(ROW(A1975)/TotalEtapas,0)),"")</f>
        <v/>
      </c>
      <c r="D1976" t="str">
        <f>IFERROR(VLOOKUP(tbEscolas[[#This Row],[COD ETPA]],tbEtapas[],2,FALSE),"")</f>
        <v/>
      </c>
      <c r="E1976" t="str">
        <f>IFERROR(VLOOKUP(tbEscolas[[#This Row],[COD ETPA]],tbEtapas[],3,FALSE),"")</f>
        <v/>
      </c>
    </row>
    <row r="1977" spans="1:5" x14ac:dyDescent="0.25">
      <c r="A1977" t="str" cm="1">
        <f t="array" ref="A1977">IFERROR(INDEX(tbNucleo[ESCOLA],ROUNDUP(ROW(A1976)/TotalEtapas,0)),"")</f>
        <v/>
      </c>
      <c r="D1977" t="str">
        <f>IFERROR(VLOOKUP(tbEscolas[[#This Row],[COD ETPA]],tbEtapas[],2,FALSE),"")</f>
        <v/>
      </c>
      <c r="E1977" t="str">
        <f>IFERROR(VLOOKUP(tbEscolas[[#This Row],[COD ETPA]],tbEtapas[],3,FALSE),"")</f>
        <v/>
      </c>
    </row>
    <row r="1978" spans="1:5" x14ac:dyDescent="0.25">
      <c r="A1978" t="str" cm="1">
        <f t="array" ref="A1978">IFERROR(INDEX(tbNucleo[ESCOLA],ROUNDUP(ROW(A1977)/TotalEtapas,0)),"")</f>
        <v/>
      </c>
      <c r="D1978" t="str">
        <f>IFERROR(VLOOKUP(tbEscolas[[#This Row],[COD ETPA]],tbEtapas[],2,FALSE),"")</f>
        <v/>
      </c>
      <c r="E1978" t="str">
        <f>IFERROR(VLOOKUP(tbEscolas[[#This Row],[COD ETPA]],tbEtapas[],3,FALSE),"")</f>
        <v/>
      </c>
    </row>
    <row r="1979" spans="1:5" x14ac:dyDescent="0.25">
      <c r="A1979" t="str" cm="1">
        <f t="array" ref="A1979">IFERROR(INDEX(tbNucleo[ESCOLA],ROUNDUP(ROW(A1978)/TotalEtapas,0)),"")</f>
        <v/>
      </c>
      <c r="D1979" t="str">
        <f>IFERROR(VLOOKUP(tbEscolas[[#This Row],[COD ETPA]],tbEtapas[],2,FALSE),"")</f>
        <v/>
      </c>
      <c r="E1979" t="str">
        <f>IFERROR(VLOOKUP(tbEscolas[[#This Row],[COD ETPA]],tbEtapas[],3,FALSE),"")</f>
        <v/>
      </c>
    </row>
    <row r="1980" spans="1:5" x14ac:dyDescent="0.25">
      <c r="A1980" t="str" cm="1">
        <f t="array" ref="A1980">IFERROR(INDEX(tbNucleo[ESCOLA],ROUNDUP(ROW(A1979)/TotalEtapas,0)),"")</f>
        <v/>
      </c>
      <c r="D1980" t="str">
        <f>IFERROR(VLOOKUP(tbEscolas[[#This Row],[COD ETPA]],tbEtapas[],2,FALSE),"")</f>
        <v/>
      </c>
      <c r="E1980" t="str">
        <f>IFERROR(VLOOKUP(tbEscolas[[#This Row],[COD ETPA]],tbEtapas[],3,FALSE),"")</f>
        <v/>
      </c>
    </row>
    <row r="1981" spans="1:5" x14ac:dyDescent="0.25">
      <c r="A1981" t="str" cm="1">
        <f t="array" ref="A1981">IFERROR(INDEX(tbNucleo[ESCOLA],ROUNDUP(ROW(A1980)/TotalEtapas,0)),"")</f>
        <v/>
      </c>
      <c r="D1981" t="str">
        <f>IFERROR(VLOOKUP(tbEscolas[[#This Row],[COD ETPA]],tbEtapas[],2,FALSE),"")</f>
        <v/>
      </c>
      <c r="E1981" t="str">
        <f>IFERROR(VLOOKUP(tbEscolas[[#This Row],[COD ETPA]],tbEtapas[],3,FALSE),"")</f>
        <v/>
      </c>
    </row>
    <row r="1982" spans="1:5" x14ac:dyDescent="0.25">
      <c r="A1982" t="str" cm="1">
        <f t="array" ref="A1982">IFERROR(INDEX(tbNucleo[ESCOLA],ROUNDUP(ROW(A1981)/TotalEtapas,0)),"")</f>
        <v/>
      </c>
      <c r="D1982" t="str">
        <f>IFERROR(VLOOKUP(tbEscolas[[#This Row],[COD ETPA]],tbEtapas[],2,FALSE),"")</f>
        <v/>
      </c>
      <c r="E1982" t="str">
        <f>IFERROR(VLOOKUP(tbEscolas[[#This Row],[COD ETPA]],tbEtapas[],3,FALSE),"")</f>
        <v/>
      </c>
    </row>
    <row r="1983" spans="1:5" x14ac:dyDescent="0.25">
      <c r="A1983" t="str" cm="1">
        <f t="array" ref="A1983">IFERROR(INDEX(tbNucleo[ESCOLA],ROUNDUP(ROW(A1982)/TotalEtapas,0)),"")</f>
        <v/>
      </c>
      <c r="D1983" t="str">
        <f>IFERROR(VLOOKUP(tbEscolas[[#This Row],[COD ETPA]],tbEtapas[],2,FALSE),"")</f>
        <v/>
      </c>
      <c r="E1983" t="str">
        <f>IFERROR(VLOOKUP(tbEscolas[[#This Row],[COD ETPA]],tbEtapas[],3,FALSE),"")</f>
        <v/>
      </c>
    </row>
    <row r="1984" spans="1:5" x14ac:dyDescent="0.25">
      <c r="A1984" t="str" cm="1">
        <f t="array" ref="A1984">IFERROR(INDEX(tbNucleo[ESCOLA],ROUNDUP(ROW(A1983)/TotalEtapas,0)),"")</f>
        <v/>
      </c>
      <c r="D1984" t="str">
        <f>IFERROR(VLOOKUP(tbEscolas[[#This Row],[COD ETPA]],tbEtapas[],2,FALSE),"")</f>
        <v/>
      </c>
      <c r="E1984" t="str">
        <f>IFERROR(VLOOKUP(tbEscolas[[#This Row],[COD ETPA]],tbEtapas[],3,FALSE),"")</f>
        <v/>
      </c>
    </row>
    <row r="1985" spans="1:5" x14ac:dyDescent="0.25">
      <c r="A1985" t="str" cm="1">
        <f t="array" ref="A1985">IFERROR(INDEX(tbNucleo[ESCOLA],ROUNDUP(ROW(A1984)/TotalEtapas,0)),"")</f>
        <v/>
      </c>
      <c r="D1985" t="str">
        <f>IFERROR(VLOOKUP(tbEscolas[[#This Row],[COD ETPA]],tbEtapas[],2,FALSE),"")</f>
        <v/>
      </c>
      <c r="E1985" t="str">
        <f>IFERROR(VLOOKUP(tbEscolas[[#This Row],[COD ETPA]],tbEtapas[],3,FALSE),"")</f>
        <v/>
      </c>
    </row>
    <row r="1986" spans="1:5" x14ac:dyDescent="0.25">
      <c r="A1986" t="str" cm="1">
        <f t="array" ref="A1986">IFERROR(INDEX(tbNucleo[ESCOLA],ROUNDUP(ROW(A1985)/TotalEtapas,0)),"")</f>
        <v/>
      </c>
      <c r="D1986" t="str">
        <f>IFERROR(VLOOKUP(tbEscolas[[#This Row],[COD ETPA]],tbEtapas[],2,FALSE),"")</f>
        <v/>
      </c>
      <c r="E1986" t="str">
        <f>IFERROR(VLOOKUP(tbEscolas[[#This Row],[COD ETPA]],tbEtapas[],3,FALSE),"")</f>
        <v/>
      </c>
    </row>
    <row r="1987" spans="1:5" x14ac:dyDescent="0.25">
      <c r="A1987" t="str" cm="1">
        <f t="array" ref="A1987">IFERROR(INDEX(tbNucleo[ESCOLA],ROUNDUP(ROW(A1986)/TotalEtapas,0)),"")</f>
        <v/>
      </c>
      <c r="D1987" t="str">
        <f>IFERROR(VLOOKUP(tbEscolas[[#This Row],[COD ETPA]],tbEtapas[],2,FALSE),"")</f>
        <v/>
      </c>
      <c r="E1987" t="str">
        <f>IFERROR(VLOOKUP(tbEscolas[[#This Row],[COD ETPA]],tbEtapas[],3,FALSE),"")</f>
        <v/>
      </c>
    </row>
    <row r="1988" spans="1:5" x14ac:dyDescent="0.25">
      <c r="A1988" t="str" cm="1">
        <f t="array" ref="A1988">IFERROR(INDEX(tbNucleo[ESCOLA],ROUNDUP(ROW(A1987)/TotalEtapas,0)),"")</f>
        <v/>
      </c>
      <c r="D1988" t="str">
        <f>IFERROR(VLOOKUP(tbEscolas[[#This Row],[COD ETPA]],tbEtapas[],2,FALSE),"")</f>
        <v/>
      </c>
      <c r="E1988" t="str">
        <f>IFERROR(VLOOKUP(tbEscolas[[#This Row],[COD ETPA]],tbEtapas[],3,FALSE),"")</f>
        <v/>
      </c>
    </row>
    <row r="1989" spans="1:5" x14ac:dyDescent="0.25">
      <c r="A1989" t="str" cm="1">
        <f t="array" ref="A1989">IFERROR(INDEX(tbNucleo[ESCOLA],ROUNDUP(ROW(A1988)/TotalEtapas,0)),"")</f>
        <v/>
      </c>
      <c r="D1989" t="str">
        <f>IFERROR(VLOOKUP(tbEscolas[[#This Row],[COD ETPA]],tbEtapas[],2,FALSE),"")</f>
        <v/>
      </c>
      <c r="E1989" t="str">
        <f>IFERROR(VLOOKUP(tbEscolas[[#This Row],[COD ETPA]],tbEtapas[],3,FALSE),"")</f>
        <v/>
      </c>
    </row>
    <row r="1990" spans="1:5" x14ac:dyDescent="0.25">
      <c r="A1990" t="str" cm="1">
        <f t="array" ref="A1990">IFERROR(INDEX(tbNucleo[ESCOLA],ROUNDUP(ROW(A1989)/TotalEtapas,0)),"")</f>
        <v/>
      </c>
      <c r="D1990" t="str">
        <f>IFERROR(VLOOKUP(tbEscolas[[#This Row],[COD ETPA]],tbEtapas[],2,FALSE),"")</f>
        <v/>
      </c>
      <c r="E1990" t="str">
        <f>IFERROR(VLOOKUP(tbEscolas[[#This Row],[COD ETPA]],tbEtapas[],3,FALSE),"")</f>
        <v/>
      </c>
    </row>
    <row r="1991" spans="1:5" x14ac:dyDescent="0.25">
      <c r="A1991" t="str" cm="1">
        <f t="array" ref="A1991">IFERROR(INDEX(tbNucleo[ESCOLA],ROUNDUP(ROW(A1990)/TotalEtapas,0)),"")</f>
        <v/>
      </c>
      <c r="D1991" t="str">
        <f>IFERROR(VLOOKUP(tbEscolas[[#This Row],[COD ETPA]],tbEtapas[],2,FALSE),"")</f>
        <v/>
      </c>
      <c r="E1991" t="str">
        <f>IFERROR(VLOOKUP(tbEscolas[[#This Row],[COD ETPA]],tbEtapas[],3,FALSE),"")</f>
        <v/>
      </c>
    </row>
    <row r="1992" spans="1:5" x14ac:dyDescent="0.25">
      <c r="A1992" t="str" cm="1">
        <f t="array" ref="A1992">IFERROR(INDEX(tbNucleo[ESCOLA],ROUNDUP(ROW(A1991)/TotalEtapas,0)),"")</f>
        <v/>
      </c>
      <c r="D1992" t="str">
        <f>IFERROR(VLOOKUP(tbEscolas[[#This Row],[COD ETPA]],tbEtapas[],2,FALSE),"")</f>
        <v/>
      </c>
      <c r="E1992" t="str">
        <f>IFERROR(VLOOKUP(tbEscolas[[#This Row],[COD ETPA]],tbEtapas[],3,FALSE),"")</f>
        <v/>
      </c>
    </row>
    <row r="1993" spans="1:5" x14ac:dyDescent="0.25">
      <c r="A1993" t="str" cm="1">
        <f t="array" ref="A1993">IFERROR(INDEX(tbNucleo[ESCOLA],ROUNDUP(ROW(A1992)/TotalEtapas,0)),"")</f>
        <v/>
      </c>
      <c r="D1993" t="str">
        <f>IFERROR(VLOOKUP(tbEscolas[[#This Row],[COD ETPA]],tbEtapas[],2,FALSE),"")</f>
        <v/>
      </c>
      <c r="E1993" t="str">
        <f>IFERROR(VLOOKUP(tbEscolas[[#This Row],[COD ETPA]],tbEtapas[],3,FALSE),"")</f>
        <v/>
      </c>
    </row>
    <row r="1994" spans="1:5" x14ac:dyDescent="0.25">
      <c r="A1994" t="str" cm="1">
        <f t="array" ref="A1994">IFERROR(INDEX(tbNucleo[ESCOLA],ROUNDUP(ROW(A1993)/TotalEtapas,0)),"")</f>
        <v/>
      </c>
      <c r="D1994" t="str">
        <f>IFERROR(VLOOKUP(tbEscolas[[#This Row],[COD ETPA]],tbEtapas[],2,FALSE),"")</f>
        <v/>
      </c>
      <c r="E1994" t="str">
        <f>IFERROR(VLOOKUP(tbEscolas[[#This Row],[COD ETPA]],tbEtapas[],3,FALSE),"")</f>
        <v/>
      </c>
    </row>
    <row r="1995" spans="1:5" x14ac:dyDescent="0.25">
      <c r="A1995" t="str" cm="1">
        <f t="array" ref="A1995">IFERROR(INDEX(tbNucleo[ESCOLA],ROUNDUP(ROW(A1994)/TotalEtapas,0)),"")</f>
        <v/>
      </c>
      <c r="D1995" t="str">
        <f>IFERROR(VLOOKUP(tbEscolas[[#This Row],[COD ETPA]],tbEtapas[],2,FALSE),"")</f>
        <v/>
      </c>
      <c r="E1995" t="str">
        <f>IFERROR(VLOOKUP(tbEscolas[[#This Row],[COD ETPA]],tbEtapas[],3,FALSE),"")</f>
        <v/>
      </c>
    </row>
    <row r="1996" spans="1:5" x14ac:dyDescent="0.25">
      <c r="A1996" t="str" cm="1">
        <f t="array" ref="A1996">IFERROR(INDEX(tbNucleo[ESCOLA],ROUNDUP(ROW(A1995)/TotalEtapas,0)),"")</f>
        <v/>
      </c>
      <c r="D1996" t="str">
        <f>IFERROR(VLOOKUP(tbEscolas[[#This Row],[COD ETPA]],tbEtapas[],2,FALSE),"")</f>
        <v/>
      </c>
      <c r="E1996" t="str">
        <f>IFERROR(VLOOKUP(tbEscolas[[#This Row],[COD ETPA]],tbEtapas[],3,FALSE),"")</f>
        <v/>
      </c>
    </row>
    <row r="1997" spans="1:5" x14ac:dyDescent="0.25">
      <c r="A1997" t="str" cm="1">
        <f t="array" ref="A1997">IFERROR(INDEX(tbNucleo[ESCOLA],ROUNDUP(ROW(A1996)/TotalEtapas,0)),"")</f>
        <v/>
      </c>
      <c r="D1997" t="str">
        <f>IFERROR(VLOOKUP(tbEscolas[[#This Row],[COD ETPA]],tbEtapas[],2,FALSE),"")</f>
        <v/>
      </c>
      <c r="E1997" t="str">
        <f>IFERROR(VLOOKUP(tbEscolas[[#This Row],[COD ETPA]],tbEtapas[],3,FALSE),"")</f>
        <v/>
      </c>
    </row>
    <row r="1998" spans="1:5" x14ac:dyDescent="0.25">
      <c r="A1998" t="str" cm="1">
        <f t="array" ref="A1998">IFERROR(INDEX(tbNucleo[ESCOLA],ROUNDUP(ROW(A1997)/TotalEtapas,0)),"")</f>
        <v/>
      </c>
      <c r="D1998" t="str">
        <f>IFERROR(VLOOKUP(tbEscolas[[#This Row],[COD ETPA]],tbEtapas[],2,FALSE),"")</f>
        <v/>
      </c>
      <c r="E1998" t="str">
        <f>IFERROR(VLOOKUP(tbEscolas[[#This Row],[COD ETPA]],tbEtapas[],3,FALSE),"")</f>
        <v/>
      </c>
    </row>
    <row r="1999" spans="1:5" x14ac:dyDescent="0.25">
      <c r="A1999" t="str" cm="1">
        <f t="array" ref="A1999">IFERROR(INDEX(tbNucleo[ESCOLA],ROUNDUP(ROW(A1998)/TotalEtapas,0)),"")</f>
        <v/>
      </c>
      <c r="D1999" t="str">
        <f>IFERROR(VLOOKUP(tbEscolas[[#This Row],[COD ETPA]],tbEtapas[],2,FALSE),"")</f>
        <v/>
      </c>
      <c r="E1999" t="str">
        <f>IFERROR(VLOOKUP(tbEscolas[[#This Row],[COD ETPA]],tbEtapas[],3,FALSE),"")</f>
        <v/>
      </c>
    </row>
    <row r="2000" spans="1:5" x14ac:dyDescent="0.25">
      <c r="A2000" t="str" cm="1">
        <f t="array" ref="A2000">IFERROR(INDEX(tbNucleo[ESCOLA],ROUNDUP(ROW(A1999)/TotalEtapas,0)),"")</f>
        <v/>
      </c>
      <c r="D2000" t="str">
        <f>IFERROR(VLOOKUP(tbEscolas[[#This Row],[COD ETPA]],tbEtapas[],2,FALSE),"")</f>
        <v/>
      </c>
      <c r="E2000" t="str">
        <f>IFERROR(VLOOKUP(tbEscolas[[#This Row],[COD ETPA]],tbEtapas[],3,FALSE),"")</f>
        <v/>
      </c>
    </row>
    <row r="2001" spans="1:5" x14ac:dyDescent="0.25">
      <c r="A2001" t="str" cm="1">
        <f t="array" ref="A2001">IFERROR(INDEX(tbNucleo[ESCOLA],ROUNDUP(ROW(A2000)/TotalEtapas,0)),"")</f>
        <v/>
      </c>
      <c r="D2001" t="str">
        <f>IFERROR(VLOOKUP(tbEscolas[[#This Row],[COD ETPA]],tbEtapas[],2,FALSE),"")</f>
        <v/>
      </c>
      <c r="E2001" t="str">
        <f>IFERROR(VLOOKUP(tbEscolas[[#This Row],[COD ETPA]],tbEtapas[],3,FALSE),"")</f>
        <v/>
      </c>
    </row>
    <row r="2002" spans="1:5" x14ac:dyDescent="0.25">
      <c r="A2002" t="str" cm="1">
        <f t="array" ref="A2002">IFERROR(INDEX(tbNucleo[ESCOLA],ROUNDUP(ROW(A2001)/TotalEtapas,0)),"")</f>
        <v/>
      </c>
      <c r="D2002" t="str">
        <f>IFERROR(VLOOKUP(tbEscolas[[#This Row],[COD ETPA]],tbEtapas[],2,FALSE),"")</f>
        <v/>
      </c>
      <c r="E2002" t="str">
        <f>IFERROR(VLOOKUP(tbEscolas[[#This Row],[COD ETPA]],tbEtapas[],3,FALSE),"")</f>
        <v/>
      </c>
    </row>
    <row r="2003" spans="1:5" x14ac:dyDescent="0.25">
      <c r="A2003" t="str" cm="1">
        <f t="array" ref="A2003">IFERROR(INDEX(tbNucleo[ESCOLA],ROUNDUP(ROW(A2002)/TotalEtapas,0)),"")</f>
        <v/>
      </c>
      <c r="D2003" t="str">
        <f>IFERROR(VLOOKUP(tbEscolas[[#This Row],[COD ETPA]],tbEtapas[],2,FALSE),"")</f>
        <v/>
      </c>
      <c r="E2003" t="str">
        <f>IFERROR(VLOOKUP(tbEscolas[[#This Row],[COD ETPA]],tbEtapas[],3,FALSE),"")</f>
        <v/>
      </c>
    </row>
    <row r="2004" spans="1:5" x14ac:dyDescent="0.25">
      <c r="A2004" t="str" cm="1">
        <f t="array" ref="A2004">IFERROR(INDEX(tbNucleo[ESCOLA],ROUNDUP(ROW(A2003)/TotalEtapas,0)),"")</f>
        <v/>
      </c>
      <c r="D2004" t="str">
        <f>IFERROR(VLOOKUP(tbEscolas[[#This Row],[COD ETPA]],tbEtapas[],2,FALSE),"")</f>
        <v/>
      </c>
      <c r="E2004" t="str">
        <f>IFERROR(VLOOKUP(tbEscolas[[#This Row],[COD ETPA]],tbEtapas[],3,FALSE),"")</f>
        <v/>
      </c>
    </row>
    <row r="2005" spans="1:5" x14ac:dyDescent="0.25">
      <c r="A2005" t="str" cm="1">
        <f t="array" ref="A2005">IFERROR(INDEX(tbNucleo[ESCOLA],ROUNDUP(ROW(A2004)/TotalEtapas,0)),"")</f>
        <v/>
      </c>
      <c r="D2005" t="str">
        <f>IFERROR(VLOOKUP(tbEscolas[[#This Row],[COD ETPA]],tbEtapas[],2,FALSE),"")</f>
        <v/>
      </c>
      <c r="E2005" t="str">
        <f>IFERROR(VLOOKUP(tbEscolas[[#This Row],[COD ETPA]],tbEtapas[],3,FALSE),"")</f>
        <v/>
      </c>
    </row>
    <row r="2006" spans="1:5" x14ac:dyDescent="0.25">
      <c r="A2006" t="str" cm="1">
        <f t="array" ref="A2006">IFERROR(INDEX(tbNucleo[ESCOLA],ROUNDUP(ROW(A2005)/TotalEtapas,0)),"")</f>
        <v/>
      </c>
      <c r="D2006" t="str">
        <f>IFERROR(VLOOKUP(tbEscolas[[#This Row],[COD ETPA]],tbEtapas[],2,FALSE),"")</f>
        <v/>
      </c>
      <c r="E2006" t="str">
        <f>IFERROR(VLOOKUP(tbEscolas[[#This Row],[COD ETPA]],tbEtapas[],3,FALSE),"")</f>
        <v/>
      </c>
    </row>
    <row r="2007" spans="1:5" x14ac:dyDescent="0.25">
      <c r="A2007" t="str" cm="1">
        <f t="array" ref="A2007">IFERROR(INDEX(tbNucleo[ESCOLA],ROUNDUP(ROW(A2006)/TotalEtapas,0)),"")</f>
        <v/>
      </c>
      <c r="D2007" t="str">
        <f>IFERROR(VLOOKUP(tbEscolas[[#This Row],[COD ETPA]],tbEtapas[],2,FALSE),"")</f>
        <v/>
      </c>
      <c r="E2007" t="str">
        <f>IFERROR(VLOOKUP(tbEscolas[[#This Row],[COD ETPA]],tbEtapas[],3,FALSE),"")</f>
        <v/>
      </c>
    </row>
    <row r="2008" spans="1:5" x14ac:dyDescent="0.25">
      <c r="A2008" t="str" cm="1">
        <f t="array" ref="A2008">IFERROR(INDEX(tbNucleo[ESCOLA],ROUNDUP(ROW(A2007)/TotalEtapas,0)),"")</f>
        <v/>
      </c>
      <c r="D2008" t="str">
        <f>IFERROR(VLOOKUP(tbEscolas[[#This Row],[COD ETPA]],tbEtapas[],2,FALSE),"")</f>
        <v/>
      </c>
      <c r="E2008" t="str">
        <f>IFERROR(VLOOKUP(tbEscolas[[#This Row],[COD ETPA]],tbEtapas[],3,FALSE),"")</f>
        <v/>
      </c>
    </row>
    <row r="2009" spans="1:5" x14ac:dyDescent="0.25">
      <c r="A2009" t="str" cm="1">
        <f t="array" ref="A2009">IFERROR(INDEX(tbNucleo[ESCOLA],ROUNDUP(ROW(A2008)/TotalEtapas,0)),"")</f>
        <v/>
      </c>
      <c r="D2009" t="str">
        <f>IFERROR(VLOOKUP(tbEscolas[[#This Row],[COD ETPA]],tbEtapas[],2,FALSE),"")</f>
        <v/>
      </c>
      <c r="E2009" t="str">
        <f>IFERROR(VLOOKUP(tbEscolas[[#This Row],[COD ETPA]],tbEtapas[],3,FALSE),"")</f>
        <v/>
      </c>
    </row>
    <row r="2010" spans="1:5" x14ac:dyDescent="0.25">
      <c r="A2010" t="str" cm="1">
        <f t="array" ref="A2010">IFERROR(INDEX(tbNucleo[ESCOLA],ROUNDUP(ROW(A2009)/TotalEtapas,0)),"")</f>
        <v/>
      </c>
      <c r="D2010" t="str">
        <f>IFERROR(VLOOKUP(tbEscolas[[#This Row],[COD ETPA]],tbEtapas[],2,FALSE),"")</f>
        <v/>
      </c>
      <c r="E2010" t="str">
        <f>IFERROR(VLOOKUP(tbEscolas[[#This Row],[COD ETPA]],tbEtapas[],3,FALSE),"")</f>
        <v/>
      </c>
    </row>
    <row r="2011" spans="1:5" x14ac:dyDescent="0.25">
      <c r="A2011" t="str" cm="1">
        <f t="array" ref="A2011">IFERROR(INDEX(tbNucleo[ESCOLA],ROUNDUP(ROW(A2010)/TotalEtapas,0)),"")</f>
        <v/>
      </c>
      <c r="D2011" t="str">
        <f>IFERROR(VLOOKUP(tbEscolas[[#This Row],[COD ETPA]],tbEtapas[],2,FALSE),"")</f>
        <v/>
      </c>
      <c r="E2011" t="str">
        <f>IFERROR(VLOOKUP(tbEscolas[[#This Row],[COD ETPA]],tbEtapas[],3,FALSE),"")</f>
        <v/>
      </c>
    </row>
    <row r="2012" spans="1:5" x14ac:dyDescent="0.25">
      <c r="A2012" t="str" cm="1">
        <f t="array" ref="A2012">IFERROR(INDEX(tbNucleo[ESCOLA],ROUNDUP(ROW(A2011)/TotalEtapas,0)),"")</f>
        <v/>
      </c>
      <c r="D2012" t="str">
        <f>IFERROR(VLOOKUP(tbEscolas[[#This Row],[COD ETPA]],tbEtapas[],2,FALSE),"")</f>
        <v/>
      </c>
      <c r="E2012" t="str">
        <f>IFERROR(VLOOKUP(tbEscolas[[#This Row],[COD ETPA]],tbEtapas[],3,FALSE),"")</f>
        <v/>
      </c>
    </row>
    <row r="2013" spans="1:5" x14ac:dyDescent="0.25">
      <c r="A2013" t="str" cm="1">
        <f t="array" ref="A2013">IFERROR(INDEX(tbNucleo[ESCOLA],ROUNDUP(ROW(A2012)/TotalEtapas,0)),"")</f>
        <v/>
      </c>
      <c r="D2013" t="str">
        <f>IFERROR(VLOOKUP(tbEscolas[[#This Row],[COD ETPA]],tbEtapas[],2,FALSE),"")</f>
        <v/>
      </c>
      <c r="E2013" t="str">
        <f>IFERROR(VLOOKUP(tbEscolas[[#This Row],[COD ETPA]],tbEtapas[],3,FALSE),"")</f>
        <v/>
      </c>
    </row>
    <row r="2014" spans="1:5" x14ac:dyDescent="0.25">
      <c r="A2014" t="str" cm="1">
        <f t="array" ref="A2014">IFERROR(INDEX(tbNucleo[ESCOLA],ROUNDUP(ROW(A2013)/TotalEtapas,0)),"")</f>
        <v/>
      </c>
      <c r="D2014" t="str">
        <f>IFERROR(VLOOKUP(tbEscolas[[#This Row],[COD ETPA]],tbEtapas[],2,FALSE),"")</f>
        <v/>
      </c>
      <c r="E2014" t="str">
        <f>IFERROR(VLOOKUP(tbEscolas[[#This Row],[COD ETPA]],tbEtapas[],3,FALSE),"")</f>
        <v/>
      </c>
    </row>
    <row r="2015" spans="1:5" x14ac:dyDescent="0.25">
      <c r="A2015" t="str" cm="1">
        <f t="array" ref="A2015">IFERROR(INDEX(tbNucleo[ESCOLA],ROUNDUP(ROW(A2014)/TotalEtapas,0)),"")</f>
        <v/>
      </c>
      <c r="D2015" t="str">
        <f>IFERROR(VLOOKUP(tbEscolas[[#This Row],[COD ETPA]],tbEtapas[],2,FALSE),"")</f>
        <v/>
      </c>
      <c r="E2015" t="str">
        <f>IFERROR(VLOOKUP(tbEscolas[[#This Row],[COD ETPA]],tbEtapas[],3,FALSE),"")</f>
        <v/>
      </c>
    </row>
    <row r="2016" spans="1:5" x14ac:dyDescent="0.25">
      <c r="A2016" t="str" cm="1">
        <f t="array" ref="A2016">IFERROR(INDEX(tbNucleo[ESCOLA],ROUNDUP(ROW(A2015)/TotalEtapas,0)),"")</f>
        <v/>
      </c>
      <c r="D2016" t="str">
        <f>IFERROR(VLOOKUP(tbEscolas[[#This Row],[COD ETPA]],tbEtapas[],2,FALSE),"")</f>
        <v/>
      </c>
      <c r="E2016" t="str">
        <f>IFERROR(VLOOKUP(tbEscolas[[#This Row],[COD ETPA]],tbEtapas[],3,FALSE),"")</f>
        <v/>
      </c>
    </row>
    <row r="2017" spans="1:5" x14ac:dyDescent="0.25">
      <c r="A2017" t="str" cm="1">
        <f t="array" ref="A2017">IFERROR(INDEX(tbNucleo[ESCOLA],ROUNDUP(ROW(A2016)/TotalEtapas,0)),"")</f>
        <v/>
      </c>
      <c r="D2017" t="str">
        <f>IFERROR(VLOOKUP(tbEscolas[[#This Row],[COD ETPA]],tbEtapas[],2,FALSE),"")</f>
        <v/>
      </c>
      <c r="E2017" t="str">
        <f>IFERROR(VLOOKUP(tbEscolas[[#This Row],[COD ETPA]],tbEtapas[],3,FALSE),"")</f>
        <v/>
      </c>
    </row>
    <row r="2018" spans="1:5" x14ac:dyDescent="0.25">
      <c r="A2018" t="str" cm="1">
        <f t="array" ref="A2018">IFERROR(INDEX(tbNucleo[ESCOLA],ROUNDUP(ROW(A2017)/TotalEtapas,0)),"")</f>
        <v/>
      </c>
      <c r="D2018" t="str">
        <f>IFERROR(VLOOKUP(tbEscolas[[#This Row],[COD ETPA]],tbEtapas[],2,FALSE),"")</f>
        <v/>
      </c>
      <c r="E2018" t="str">
        <f>IFERROR(VLOOKUP(tbEscolas[[#This Row],[COD ETPA]],tbEtapas[],3,FALSE),"")</f>
        <v/>
      </c>
    </row>
    <row r="2019" spans="1:5" x14ac:dyDescent="0.25">
      <c r="A2019" t="str" cm="1">
        <f t="array" ref="A2019">IFERROR(INDEX(tbNucleo[ESCOLA],ROUNDUP(ROW(A2018)/TotalEtapas,0)),"")</f>
        <v/>
      </c>
      <c r="D2019" t="str">
        <f>IFERROR(VLOOKUP(tbEscolas[[#This Row],[COD ETPA]],tbEtapas[],2,FALSE),"")</f>
        <v/>
      </c>
      <c r="E2019" t="str">
        <f>IFERROR(VLOOKUP(tbEscolas[[#This Row],[COD ETPA]],tbEtapas[],3,FALSE),"")</f>
        <v/>
      </c>
    </row>
    <row r="2020" spans="1:5" x14ac:dyDescent="0.25">
      <c r="A2020" t="str" cm="1">
        <f t="array" ref="A2020">IFERROR(INDEX(tbNucleo[ESCOLA],ROUNDUP(ROW(A2019)/TotalEtapas,0)),"")</f>
        <v/>
      </c>
      <c r="D2020" t="str">
        <f>IFERROR(VLOOKUP(tbEscolas[[#This Row],[COD ETPA]],tbEtapas[],2,FALSE),"")</f>
        <v/>
      </c>
      <c r="E2020" t="str">
        <f>IFERROR(VLOOKUP(tbEscolas[[#This Row],[COD ETPA]],tbEtapas[],3,FALSE),"")</f>
        <v/>
      </c>
    </row>
    <row r="2021" spans="1:5" x14ac:dyDescent="0.25">
      <c r="A2021" t="str" cm="1">
        <f t="array" ref="A2021">IFERROR(INDEX(tbNucleo[ESCOLA],ROUNDUP(ROW(A2020)/TotalEtapas,0)),"")</f>
        <v/>
      </c>
      <c r="D2021" t="str">
        <f>IFERROR(VLOOKUP(tbEscolas[[#This Row],[COD ETPA]],tbEtapas[],2,FALSE),"")</f>
        <v/>
      </c>
      <c r="E2021" t="str">
        <f>IFERROR(VLOOKUP(tbEscolas[[#This Row],[COD ETPA]],tbEtapas[],3,FALSE),"")</f>
        <v/>
      </c>
    </row>
    <row r="2022" spans="1:5" x14ac:dyDescent="0.25">
      <c r="A2022" t="str" cm="1">
        <f t="array" ref="A2022">IFERROR(INDEX(tbNucleo[ESCOLA],ROUNDUP(ROW(A2021)/TotalEtapas,0)),"")</f>
        <v/>
      </c>
      <c r="D2022" t="str">
        <f>IFERROR(VLOOKUP(tbEscolas[[#This Row],[COD ETPA]],tbEtapas[],2,FALSE),"")</f>
        <v/>
      </c>
      <c r="E2022" t="str">
        <f>IFERROR(VLOOKUP(tbEscolas[[#This Row],[COD ETPA]],tbEtapas[],3,FALSE),"")</f>
        <v/>
      </c>
    </row>
    <row r="2023" spans="1:5" x14ac:dyDescent="0.25">
      <c r="A2023" t="str" cm="1">
        <f t="array" ref="A2023">IFERROR(INDEX(tbNucleo[ESCOLA],ROUNDUP(ROW(A2022)/TotalEtapas,0)),"")</f>
        <v/>
      </c>
      <c r="D2023" t="str">
        <f>IFERROR(VLOOKUP(tbEscolas[[#This Row],[COD ETPA]],tbEtapas[],2,FALSE),"")</f>
        <v/>
      </c>
      <c r="E2023" t="str">
        <f>IFERROR(VLOOKUP(tbEscolas[[#This Row],[COD ETPA]],tbEtapas[],3,FALSE),"")</f>
        <v/>
      </c>
    </row>
    <row r="2024" spans="1:5" x14ac:dyDescent="0.25">
      <c r="A2024" t="str" cm="1">
        <f t="array" ref="A2024">IFERROR(INDEX(tbNucleo[ESCOLA],ROUNDUP(ROW(A2023)/TotalEtapas,0)),"")</f>
        <v/>
      </c>
      <c r="D2024" t="str">
        <f>IFERROR(VLOOKUP(tbEscolas[[#This Row],[COD ETPA]],tbEtapas[],2,FALSE),"")</f>
        <v/>
      </c>
      <c r="E2024" t="str">
        <f>IFERROR(VLOOKUP(tbEscolas[[#This Row],[COD ETPA]],tbEtapas[],3,FALSE),"")</f>
        <v/>
      </c>
    </row>
    <row r="2025" spans="1:5" x14ac:dyDescent="0.25">
      <c r="A2025" t="str" cm="1">
        <f t="array" ref="A2025">IFERROR(INDEX(tbNucleo[ESCOLA],ROUNDUP(ROW(A2024)/TotalEtapas,0)),"")</f>
        <v/>
      </c>
      <c r="D2025" t="str">
        <f>IFERROR(VLOOKUP(tbEscolas[[#This Row],[COD ETPA]],tbEtapas[],2,FALSE),"")</f>
        <v/>
      </c>
      <c r="E2025" t="str">
        <f>IFERROR(VLOOKUP(tbEscolas[[#This Row],[COD ETPA]],tbEtapas[],3,FALSE),"")</f>
        <v/>
      </c>
    </row>
    <row r="2026" spans="1:5" x14ac:dyDescent="0.25">
      <c r="A2026" t="str" cm="1">
        <f t="array" ref="A2026">IFERROR(INDEX(tbNucleo[ESCOLA],ROUNDUP(ROW(A2025)/TotalEtapas,0)),"")</f>
        <v/>
      </c>
      <c r="D2026" t="str">
        <f>IFERROR(VLOOKUP(tbEscolas[[#This Row],[COD ETPA]],tbEtapas[],2,FALSE),"")</f>
        <v/>
      </c>
      <c r="E2026" t="str">
        <f>IFERROR(VLOOKUP(tbEscolas[[#This Row],[COD ETPA]],tbEtapas[],3,FALSE),"")</f>
        <v/>
      </c>
    </row>
    <row r="2027" spans="1:5" x14ac:dyDescent="0.25">
      <c r="A2027" t="str" cm="1">
        <f t="array" ref="A2027">IFERROR(INDEX(tbNucleo[ESCOLA],ROUNDUP(ROW(A2026)/TotalEtapas,0)),"")</f>
        <v/>
      </c>
      <c r="D2027" t="str">
        <f>IFERROR(VLOOKUP(tbEscolas[[#This Row],[COD ETPA]],tbEtapas[],2,FALSE),"")</f>
        <v/>
      </c>
      <c r="E2027" t="str">
        <f>IFERROR(VLOOKUP(tbEscolas[[#This Row],[COD ETPA]],tbEtapas[],3,FALSE),"")</f>
        <v/>
      </c>
    </row>
    <row r="2028" spans="1:5" x14ac:dyDescent="0.25">
      <c r="A2028" t="str" cm="1">
        <f t="array" ref="A2028">IFERROR(INDEX(tbNucleo[ESCOLA],ROUNDUP(ROW(A2027)/TotalEtapas,0)),"")</f>
        <v/>
      </c>
      <c r="D2028" t="str">
        <f>IFERROR(VLOOKUP(tbEscolas[[#This Row],[COD ETPA]],tbEtapas[],2,FALSE),"")</f>
        <v/>
      </c>
      <c r="E2028" t="str">
        <f>IFERROR(VLOOKUP(tbEscolas[[#This Row],[COD ETPA]],tbEtapas[],3,FALSE),"")</f>
        <v/>
      </c>
    </row>
    <row r="2029" spans="1:5" x14ac:dyDescent="0.25">
      <c r="A2029" t="str" cm="1">
        <f t="array" ref="A2029">IFERROR(INDEX(tbNucleo[ESCOLA],ROUNDUP(ROW(A2028)/TotalEtapas,0)),"")</f>
        <v/>
      </c>
      <c r="D2029" t="str">
        <f>IFERROR(VLOOKUP(tbEscolas[[#This Row],[COD ETPA]],tbEtapas[],2,FALSE),"")</f>
        <v/>
      </c>
      <c r="E2029" t="str">
        <f>IFERROR(VLOOKUP(tbEscolas[[#This Row],[COD ETPA]],tbEtapas[],3,FALSE),"")</f>
        <v/>
      </c>
    </row>
    <row r="2030" spans="1:5" x14ac:dyDescent="0.25">
      <c r="A2030" t="str" cm="1">
        <f t="array" ref="A2030">IFERROR(INDEX(tbNucleo[ESCOLA],ROUNDUP(ROW(A2029)/TotalEtapas,0)),"")</f>
        <v/>
      </c>
      <c r="D2030" t="str">
        <f>IFERROR(VLOOKUP(tbEscolas[[#This Row],[COD ETPA]],tbEtapas[],2,FALSE),"")</f>
        <v/>
      </c>
      <c r="E2030" t="str">
        <f>IFERROR(VLOOKUP(tbEscolas[[#This Row],[COD ETPA]],tbEtapas[],3,FALSE),"")</f>
        <v/>
      </c>
    </row>
    <row r="2031" spans="1:5" x14ac:dyDescent="0.25">
      <c r="A2031" t="str" cm="1">
        <f t="array" ref="A2031">IFERROR(INDEX(tbNucleo[ESCOLA],ROUNDUP(ROW(A2030)/TotalEtapas,0)),"")</f>
        <v/>
      </c>
      <c r="D2031" t="str">
        <f>IFERROR(VLOOKUP(tbEscolas[[#This Row],[COD ETPA]],tbEtapas[],2,FALSE),"")</f>
        <v/>
      </c>
      <c r="E2031" t="str">
        <f>IFERROR(VLOOKUP(tbEscolas[[#This Row],[COD ETPA]],tbEtapas[],3,FALSE),"")</f>
        <v/>
      </c>
    </row>
    <row r="2032" spans="1:5" x14ac:dyDescent="0.25">
      <c r="A2032" t="str" cm="1">
        <f t="array" ref="A2032">IFERROR(INDEX(tbNucleo[ESCOLA],ROUNDUP(ROW(A2031)/TotalEtapas,0)),"")</f>
        <v/>
      </c>
      <c r="D2032" t="str">
        <f>IFERROR(VLOOKUP(tbEscolas[[#This Row],[COD ETPA]],tbEtapas[],2,FALSE),"")</f>
        <v/>
      </c>
      <c r="E2032" t="str">
        <f>IFERROR(VLOOKUP(tbEscolas[[#This Row],[COD ETPA]],tbEtapas[],3,FALSE),"")</f>
        <v/>
      </c>
    </row>
    <row r="2033" spans="1:5" x14ac:dyDescent="0.25">
      <c r="A2033" t="str" cm="1">
        <f t="array" ref="A2033">IFERROR(INDEX(tbNucleo[ESCOLA],ROUNDUP(ROW(A2032)/TotalEtapas,0)),"")</f>
        <v/>
      </c>
      <c r="D2033" t="str">
        <f>IFERROR(VLOOKUP(tbEscolas[[#This Row],[COD ETPA]],tbEtapas[],2,FALSE),"")</f>
        <v/>
      </c>
      <c r="E2033" t="str">
        <f>IFERROR(VLOOKUP(tbEscolas[[#This Row],[COD ETPA]],tbEtapas[],3,FALSE),"")</f>
        <v/>
      </c>
    </row>
    <row r="2034" spans="1:5" x14ac:dyDescent="0.25">
      <c r="A2034" t="str" cm="1">
        <f t="array" ref="A2034">IFERROR(INDEX(tbNucleo[ESCOLA],ROUNDUP(ROW(A2033)/TotalEtapas,0)),"")</f>
        <v/>
      </c>
      <c r="D2034" t="str">
        <f>IFERROR(VLOOKUP(tbEscolas[[#This Row],[COD ETPA]],tbEtapas[],2,FALSE),"")</f>
        <v/>
      </c>
      <c r="E2034" t="str">
        <f>IFERROR(VLOOKUP(tbEscolas[[#This Row],[COD ETPA]],tbEtapas[],3,FALSE),"")</f>
        <v/>
      </c>
    </row>
    <row r="2035" spans="1:5" x14ac:dyDescent="0.25">
      <c r="A2035" t="str" cm="1">
        <f t="array" ref="A2035">IFERROR(INDEX(tbNucleo[ESCOLA],ROUNDUP(ROW(A2034)/TotalEtapas,0)),"")</f>
        <v/>
      </c>
      <c r="D2035" t="str">
        <f>IFERROR(VLOOKUP(tbEscolas[[#This Row],[COD ETPA]],tbEtapas[],2,FALSE),"")</f>
        <v/>
      </c>
      <c r="E2035" t="str">
        <f>IFERROR(VLOOKUP(tbEscolas[[#This Row],[COD ETPA]],tbEtapas[],3,FALSE),"")</f>
        <v/>
      </c>
    </row>
    <row r="2036" spans="1:5" x14ac:dyDescent="0.25">
      <c r="A2036" t="str" cm="1">
        <f t="array" ref="A2036">IFERROR(INDEX(tbNucleo[ESCOLA],ROUNDUP(ROW(A2035)/TotalEtapas,0)),"")</f>
        <v/>
      </c>
      <c r="D2036" t="str">
        <f>IFERROR(VLOOKUP(tbEscolas[[#This Row],[COD ETPA]],tbEtapas[],2,FALSE),"")</f>
        <v/>
      </c>
      <c r="E2036" t="str">
        <f>IFERROR(VLOOKUP(tbEscolas[[#This Row],[COD ETPA]],tbEtapas[],3,FALSE),"")</f>
        <v/>
      </c>
    </row>
    <row r="2037" spans="1:5" x14ac:dyDescent="0.25">
      <c r="A2037" t="str" cm="1">
        <f t="array" ref="A2037">IFERROR(INDEX(tbNucleo[ESCOLA],ROUNDUP(ROW(A2036)/TotalEtapas,0)),"")</f>
        <v/>
      </c>
      <c r="D2037" t="str">
        <f>IFERROR(VLOOKUP(tbEscolas[[#This Row],[COD ETPA]],tbEtapas[],2,FALSE),"")</f>
        <v/>
      </c>
      <c r="E2037" t="str">
        <f>IFERROR(VLOOKUP(tbEscolas[[#This Row],[COD ETPA]],tbEtapas[],3,FALSE),"")</f>
        <v/>
      </c>
    </row>
    <row r="2038" spans="1:5" x14ac:dyDescent="0.25">
      <c r="A2038" t="str" cm="1">
        <f t="array" ref="A2038">IFERROR(INDEX(tbNucleo[ESCOLA],ROUNDUP(ROW(A2037)/TotalEtapas,0)),"")</f>
        <v/>
      </c>
      <c r="D2038" t="str">
        <f>IFERROR(VLOOKUP(tbEscolas[[#This Row],[COD ETPA]],tbEtapas[],2,FALSE),"")</f>
        <v/>
      </c>
      <c r="E2038" t="str">
        <f>IFERROR(VLOOKUP(tbEscolas[[#This Row],[COD ETPA]],tbEtapas[],3,FALSE),"")</f>
        <v/>
      </c>
    </row>
    <row r="2039" spans="1:5" x14ac:dyDescent="0.25">
      <c r="A2039" t="str" cm="1">
        <f t="array" ref="A2039">IFERROR(INDEX(tbNucleo[ESCOLA],ROUNDUP(ROW(A2038)/TotalEtapas,0)),"")</f>
        <v/>
      </c>
      <c r="D2039" t="str">
        <f>IFERROR(VLOOKUP(tbEscolas[[#This Row],[COD ETPA]],tbEtapas[],2,FALSE),"")</f>
        <v/>
      </c>
      <c r="E2039" t="str">
        <f>IFERROR(VLOOKUP(tbEscolas[[#This Row],[COD ETPA]],tbEtapas[],3,FALSE),"")</f>
        <v/>
      </c>
    </row>
    <row r="2040" spans="1:5" x14ac:dyDescent="0.25">
      <c r="A2040" t="str" cm="1">
        <f t="array" ref="A2040">IFERROR(INDEX(tbNucleo[ESCOLA],ROUNDUP(ROW(A2039)/TotalEtapas,0)),"")</f>
        <v/>
      </c>
      <c r="D2040" t="str">
        <f>IFERROR(VLOOKUP(tbEscolas[[#This Row],[COD ETPA]],tbEtapas[],2,FALSE),"")</f>
        <v/>
      </c>
      <c r="E2040" t="str">
        <f>IFERROR(VLOOKUP(tbEscolas[[#This Row],[COD ETPA]],tbEtapas[],3,FALSE),"")</f>
        <v/>
      </c>
    </row>
    <row r="2041" spans="1:5" x14ac:dyDescent="0.25">
      <c r="A2041" t="str" cm="1">
        <f t="array" ref="A2041">IFERROR(INDEX(tbNucleo[ESCOLA],ROUNDUP(ROW(A2040)/TotalEtapas,0)),"")</f>
        <v/>
      </c>
      <c r="D2041" t="str">
        <f>IFERROR(VLOOKUP(tbEscolas[[#This Row],[COD ETPA]],tbEtapas[],2,FALSE),"")</f>
        <v/>
      </c>
      <c r="E2041" t="str">
        <f>IFERROR(VLOOKUP(tbEscolas[[#This Row],[COD ETPA]],tbEtapas[],3,FALSE),"")</f>
        <v/>
      </c>
    </row>
    <row r="2042" spans="1:5" x14ac:dyDescent="0.25">
      <c r="A2042" t="str" cm="1">
        <f t="array" ref="A2042">IFERROR(INDEX(tbNucleo[ESCOLA],ROUNDUP(ROW(A2041)/TotalEtapas,0)),"")</f>
        <v/>
      </c>
      <c r="D2042" t="str">
        <f>IFERROR(VLOOKUP(tbEscolas[[#This Row],[COD ETPA]],tbEtapas[],2,FALSE),"")</f>
        <v/>
      </c>
      <c r="E2042" t="str">
        <f>IFERROR(VLOOKUP(tbEscolas[[#This Row],[COD ETPA]],tbEtapas[],3,FALSE),"")</f>
        <v/>
      </c>
    </row>
    <row r="2043" spans="1:5" x14ac:dyDescent="0.25">
      <c r="A2043" t="str" cm="1">
        <f t="array" ref="A2043">IFERROR(INDEX(tbNucleo[ESCOLA],ROUNDUP(ROW(A2042)/TotalEtapas,0)),"")</f>
        <v/>
      </c>
      <c r="D2043" t="str">
        <f>IFERROR(VLOOKUP(tbEscolas[[#This Row],[COD ETPA]],tbEtapas[],2,FALSE),"")</f>
        <v/>
      </c>
      <c r="E2043" t="str">
        <f>IFERROR(VLOOKUP(tbEscolas[[#This Row],[COD ETPA]],tbEtapas[],3,FALSE),"")</f>
        <v/>
      </c>
    </row>
    <row r="2044" spans="1:5" x14ac:dyDescent="0.25">
      <c r="A2044" t="str" cm="1">
        <f t="array" ref="A2044">IFERROR(INDEX(tbNucleo[ESCOLA],ROUNDUP(ROW(A2043)/TotalEtapas,0)),"")</f>
        <v/>
      </c>
      <c r="D2044" t="str">
        <f>IFERROR(VLOOKUP(tbEscolas[[#This Row],[COD ETPA]],tbEtapas[],2,FALSE),"")</f>
        <v/>
      </c>
      <c r="E2044" t="str">
        <f>IFERROR(VLOOKUP(tbEscolas[[#This Row],[COD ETPA]],tbEtapas[],3,FALSE),"")</f>
        <v/>
      </c>
    </row>
    <row r="2045" spans="1:5" x14ac:dyDescent="0.25">
      <c r="A2045" t="str" cm="1">
        <f t="array" ref="A2045">IFERROR(INDEX(tbNucleo[ESCOLA],ROUNDUP(ROW(A2044)/TotalEtapas,0)),"")</f>
        <v/>
      </c>
      <c r="D2045" t="str">
        <f>IFERROR(VLOOKUP(tbEscolas[[#This Row],[COD ETPA]],tbEtapas[],2,FALSE),"")</f>
        <v/>
      </c>
      <c r="E2045" t="str">
        <f>IFERROR(VLOOKUP(tbEscolas[[#This Row],[COD ETPA]],tbEtapas[],3,FALSE),"")</f>
        <v/>
      </c>
    </row>
    <row r="2046" spans="1:5" x14ac:dyDescent="0.25">
      <c r="A2046" t="str" cm="1">
        <f t="array" ref="A2046">IFERROR(INDEX(tbNucleo[ESCOLA],ROUNDUP(ROW(A2045)/TotalEtapas,0)),"")</f>
        <v/>
      </c>
      <c r="D2046" t="str">
        <f>IFERROR(VLOOKUP(tbEscolas[[#This Row],[COD ETPA]],tbEtapas[],2,FALSE),"")</f>
        <v/>
      </c>
      <c r="E2046" t="str">
        <f>IFERROR(VLOOKUP(tbEscolas[[#This Row],[COD ETPA]],tbEtapas[],3,FALSE),"")</f>
        <v/>
      </c>
    </row>
    <row r="2047" spans="1:5" x14ac:dyDescent="0.25">
      <c r="A2047" t="str" cm="1">
        <f t="array" ref="A2047">IFERROR(INDEX(tbNucleo[ESCOLA],ROUNDUP(ROW(A2046)/TotalEtapas,0)),"")</f>
        <v/>
      </c>
      <c r="D2047" t="str">
        <f>IFERROR(VLOOKUP(tbEscolas[[#This Row],[COD ETPA]],tbEtapas[],2,FALSE),"")</f>
        <v/>
      </c>
      <c r="E2047" t="str">
        <f>IFERROR(VLOOKUP(tbEscolas[[#This Row],[COD ETPA]],tbEtapas[],3,FALSE),"")</f>
        <v/>
      </c>
    </row>
    <row r="2048" spans="1:5" x14ac:dyDescent="0.25">
      <c r="A2048" t="str" cm="1">
        <f t="array" ref="A2048">IFERROR(INDEX(tbNucleo[ESCOLA],ROUNDUP(ROW(A2047)/TotalEtapas,0)),"")</f>
        <v/>
      </c>
      <c r="D2048" t="str">
        <f>IFERROR(VLOOKUP(tbEscolas[[#This Row],[COD ETPA]],tbEtapas[],2,FALSE),"")</f>
        <v/>
      </c>
      <c r="E2048" t="str">
        <f>IFERROR(VLOOKUP(tbEscolas[[#This Row],[COD ETPA]],tbEtapas[],3,FALSE),"")</f>
        <v/>
      </c>
    </row>
    <row r="2049" spans="1:5" x14ac:dyDescent="0.25">
      <c r="A2049" t="str" cm="1">
        <f t="array" ref="A2049">IFERROR(INDEX(tbNucleo[ESCOLA],ROUNDUP(ROW(A2048)/TotalEtapas,0)),"")</f>
        <v/>
      </c>
      <c r="D2049" t="str">
        <f>IFERROR(VLOOKUP(tbEscolas[[#This Row],[COD ETPA]],tbEtapas[],2,FALSE),"")</f>
        <v/>
      </c>
      <c r="E2049" t="str">
        <f>IFERROR(VLOOKUP(tbEscolas[[#This Row],[COD ETPA]],tbEtapas[],3,FALSE),"")</f>
        <v/>
      </c>
    </row>
    <row r="2050" spans="1:5" x14ac:dyDescent="0.25">
      <c r="A2050" t="str" cm="1">
        <f t="array" ref="A2050">IFERROR(INDEX(tbNucleo[ESCOLA],ROUNDUP(ROW(A2049)/TotalEtapas,0)),"")</f>
        <v/>
      </c>
      <c r="D2050" t="str">
        <f>IFERROR(VLOOKUP(tbEscolas[[#This Row],[COD ETPA]],tbEtapas[],2,FALSE),"")</f>
        <v/>
      </c>
      <c r="E2050" t="str">
        <f>IFERROR(VLOOKUP(tbEscolas[[#This Row],[COD ETPA]],tbEtapas[],3,FALSE),"")</f>
        <v/>
      </c>
    </row>
    <row r="2051" spans="1:5" x14ac:dyDescent="0.25">
      <c r="A2051" t="str" cm="1">
        <f t="array" ref="A2051">IFERROR(INDEX(tbNucleo[ESCOLA],ROUNDUP(ROW(A2050)/TotalEtapas,0)),"")</f>
        <v/>
      </c>
      <c r="D2051" t="str">
        <f>IFERROR(VLOOKUP(tbEscolas[[#This Row],[COD ETPA]],tbEtapas[],2,FALSE),"")</f>
        <v/>
      </c>
      <c r="E2051" t="str">
        <f>IFERROR(VLOOKUP(tbEscolas[[#This Row],[COD ETPA]],tbEtapas[],3,FALSE),"")</f>
        <v/>
      </c>
    </row>
    <row r="2052" spans="1:5" x14ac:dyDescent="0.25">
      <c r="A2052" t="str" cm="1">
        <f t="array" ref="A2052">IFERROR(INDEX(tbNucleo[ESCOLA],ROUNDUP(ROW(A2051)/TotalEtapas,0)),"")</f>
        <v/>
      </c>
      <c r="D2052" t="str">
        <f>IFERROR(VLOOKUP(tbEscolas[[#This Row],[COD ETPA]],tbEtapas[],2,FALSE),"")</f>
        <v/>
      </c>
      <c r="E2052" t="str">
        <f>IFERROR(VLOOKUP(tbEscolas[[#This Row],[COD ETPA]],tbEtapas[],3,FALSE),"")</f>
        <v/>
      </c>
    </row>
    <row r="2053" spans="1:5" x14ac:dyDescent="0.25">
      <c r="A2053" t="str" cm="1">
        <f t="array" ref="A2053">IFERROR(INDEX(tbNucleo[ESCOLA],ROUNDUP(ROW(A2052)/TotalEtapas,0)),"")</f>
        <v/>
      </c>
      <c r="D2053" t="str">
        <f>IFERROR(VLOOKUP(tbEscolas[[#This Row],[COD ETPA]],tbEtapas[],2,FALSE),"")</f>
        <v/>
      </c>
      <c r="E2053" t="str">
        <f>IFERROR(VLOOKUP(tbEscolas[[#This Row],[COD ETPA]],tbEtapas[],3,FALSE),"")</f>
        <v/>
      </c>
    </row>
    <row r="2054" spans="1:5" x14ac:dyDescent="0.25">
      <c r="A2054" t="str" cm="1">
        <f t="array" ref="A2054">IFERROR(INDEX(tbNucleo[ESCOLA],ROUNDUP(ROW(A2053)/TotalEtapas,0)),"")</f>
        <v/>
      </c>
      <c r="D2054" t="str">
        <f>IFERROR(VLOOKUP(tbEscolas[[#This Row],[COD ETPA]],tbEtapas[],2,FALSE),"")</f>
        <v/>
      </c>
      <c r="E2054" t="str">
        <f>IFERROR(VLOOKUP(tbEscolas[[#This Row],[COD ETPA]],tbEtapas[],3,FALSE),"")</f>
        <v/>
      </c>
    </row>
    <row r="2055" spans="1:5" x14ac:dyDescent="0.25">
      <c r="A2055" t="str" cm="1">
        <f t="array" ref="A2055">IFERROR(INDEX(tbNucleo[ESCOLA],ROUNDUP(ROW(A2054)/TotalEtapas,0)),"")</f>
        <v/>
      </c>
      <c r="D2055" t="str">
        <f>IFERROR(VLOOKUP(tbEscolas[[#This Row],[COD ETPA]],tbEtapas[],2,FALSE),"")</f>
        <v/>
      </c>
      <c r="E2055" t="str">
        <f>IFERROR(VLOOKUP(tbEscolas[[#This Row],[COD ETPA]],tbEtapas[],3,FALSE),"")</f>
        <v/>
      </c>
    </row>
    <row r="2056" spans="1:5" x14ac:dyDescent="0.25">
      <c r="A2056" t="str" cm="1">
        <f t="array" ref="A2056">IFERROR(INDEX(tbNucleo[ESCOLA],ROUNDUP(ROW(A2055)/TotalEtapas,0)),"")</f>
        <v/>
      </c>
      <c r="D2056" t="str">
        <f>IFERROR(VLOOKUP(tbEscolas[[#This Row],[COD ETPA]],tbEtapas[],2,FALSE),"")</f>
        <v/>
      </c>
      <c r="E2056" t="str">
        <f>IFERROR(VLOOKUP(tbEscolas[[#This Row],[COD ETPA]],tbEtapas[],3,FALSE),"")</f>
        <v/>
      </c>
    </row>
    <row r="2057" spans="1:5" x14ac:dyDescent="0.25">
      <c r="A2057" t="str" cm="1">
        <f t="array" ref="A2057">IFERROR(INDEX(tbNucleo[ESCOLA],ROUNDUP(ROW(A2056)/TotalEtapas,0)),"")</f>
        <v/>
      </c>
      <c r="D2057" t="str">
        <f>IFERROR(VLOOKUP(tbEscolas[[#This Row],[COD ETPA]],tbEtapas[],2,FALSE),"")</f>
        <v/>
      </c>
      <c r="E2057" t="str">
        <f>IFERROR(VLOOKUP(tbEscolas[[#This Row],[COD ETPA]],tbEtapas[],3,FALSE),"")</f>
        <v/>
      </c>
    </row>
    <row r="2058" spans="1:5" x14ac:dyDescent="0.25">
      <c r="A2058" t="str" cm="1">
        <f t="array" ref="A2058">IFERROR(INDEX(tbNucleo[ESCOLA],ROUNDUP(ROW(A2057)/TotalEtapas,0)),"")</f>
        <v/>
      </c>
      <c r="D2058" t="str">
        <f>IFERROR(VLOOKUP(tbEscolas[[#This Row],[COD ETPA]],tbEtapas[],2,FALSE),"")</f>
        <v/>
      </c>
      <c r="E2058" t="str">
        <f>IFERROR(VLOOKUP(tbEscolas[[#This Row],[COD ETPA]],tbEtapas[],3,FALSE),"")</f>
        <v/>
      </c>
    </row>
    <row r="2059" spans="1:5" x14ac:dyDescent="0.25">
      <c r="A2059" t="str" cm="1">
        <f t="array" ref="A2059">IFERROR(INDEX(tbNucleo[ESCOLA],ROUNDUP(ROW(A2058)/TotalEtapas,0)),"")</f>
        <v/>
      </c>
      <c r="D2059" t="str">
        <f>IFERROR(VLOOKUP(tbEscolas[[#This Row],[COD ETPA]],tbEtapas[],2,FALSE),"")</f>
        <v/>
      </c>
      <c r="E2059" t="str">
        <f>IFERROR(VLOOKUP(tbEscolas[[#This Row],[COD ETPA]],tbEtapas[],3,FALSE),"")</f>
        <v/>
      </c>
    </row>
    <row r="2060" spans="1:5" x14ac:dyDescent="0.25">
      <c r="A2060" t="str" cm="1">
        <f t="array" ref="A2060">IFERROR(INDEX(tbNucleo[ESCOLA],ROUNDUP(ROW(A2059)/TotalEtapas,0)),"")</f>
        <v/>
      </c>
      <c r="D2060" t="str">
        <f>IFERROR(VLOOKUP(tbEscolas[[#This Row],[COD ETPA]],tbEtapas[],2,FALSE),"")</f>
        <v/>
      </c>
      <c r="E2060" t="str">
        <f>IFERROR(VLOOKUP(tbEscolas[[#This Row],[COD ETPA]],tbEtapas[],3,FALSE),"")</f>
        <v/>
      </c>
    </row>
    <row r="2061" spans="1:5" x14ac:dyDescent="0.25">
      <c r="A2061" t="str" cm="1">
        <f t="array" ref="A2061">IFERROR(INDEX(tbNucleo[ESCOLA],ROUNDUP(ROW(A2060)/TotalEtapas,0)),"")</f>
        <v/>
      </c>
      <c r="D2061" t="str">
        <f>IFERROR(VLOOKUP(tbEscolas[[#This Row],[COD ETPA]],tbEtapas[],2,FALSE),"")</f>
        <v/>
      </c>
      <c r="E2061" t="str">
        <f>IFERROR(VLOOKUP(tbEscolas[[#This Row],[COD ETPA]],tbEtapas[],3,FALSE),"")</f>
        <v/>
      </c>
    </row>
    <row r="2062" spans="1:5" x14ac:dyDescent="0.25">
      <c r="A2062" t="str" cm="1">
        <f t="array" ref="A2062">IFERROR(INDEX(tbNucleo[ESCOLA],ROUNDUP(ROW(A2061)/TotalEtapas,0)),"")</f>
        <v/>
      </c>
      <c r="D2062" t="str">
        <f>IFERROR(VLOOKUP(tbEscolas[[#This Row],[COD ETPA]],tbEtapas[],2,FALSE),"")</f>
        <v/>
      </c>
      <c r="E2062" t="str">
        <f>IFERROR(VLOOKUP(tbEscolas[[#This Row],[COD ETPA]],tbEtapas[],3,FALSE),"")</f>
        <v/>
      </c>
    </row>
    <row r="2063" spans="1:5" x14ac:dyDescent="0.25">
      <c r="A2063" t="str" cm="1">
        <f t="array" ref="A2063">IFERROR(INDEX(tbNucleo[ESCOLA],ROUNDUP(ROW(A2062)/TotalEtapas,0)),"")</f>
        <v/>
      </c>
      <c r="D2063" t="str">
        <f>IFERROR(VLOOKUP(tbEscolas[[#This Row],[COD ETPA]],tbEtapas[],2,FALSE),"")</f>
        <v/>
      </c>
      <c r="E2063" t="str">
        <f>IFERROR(VLOOKUP(tbEscolas[[#This Row],[COD ETPA]],tbEtapas[],3,FALSE),"")</f>
        <v/>
      </c>
    </row>
    <row r="2064" spans="1:5" x14ac:dyDescent="0.25">
      <c r="A2064" t="str" cm="1">
        <f t="array" ref="A2064">IFERROR(INDEX(tbNucleo[ESCOLA],ROUNDUP(ROW(A2063)/TotalEtapas,0)),"")</f>
        <v/>
      </c>
      <c r="D2064" t="str">
        <f>IFERROR(VLOOKUP(tbEscolas[[#This Row],[COD ETPA]],tbEtapas[],2,FALSE),"")</f>
        <v/>
      </c>
      <c r="E2064" t="str">
        <f>IFERROR(VLOOKUP(tbEscolas[[#This Row],[COD ETPA]],tbEtapas[],3,FALSE),"")</f>
        <v/>
      </c>
    </row>
    <row r="2065" spans="1:5" x14ac:dyDescent="0.25">
      <c r="A2065" t="str" cm="1">
        <f t="array" ref="A2065">IFERROR(INDEX(tbNucleo[ESCOLA],ROUNDUP(ROW(A2064)/TotalEtapas,0)),"")</f>
        <v/>
      </c>
      <c r="D2065" t="str">
        <f>IFERROR(VLOOKUP(tbEscolas[[#This Row],[COD ETPA]],tbEtapas[],2,FALSE),"")</f>
        <v/>
      </c>
      <c r="E2065" t="str">
        <f>IFERROR(VLOOKUP(tbEscolas[[#This Row],[COD ETPA]],tbEtapas[],3,FALSE),"")</f>
        <v/>
      </c>
    </row>
    <row r="2066" spans="1:5" x14ac:dyDescent="0.25">
      <c r="A2066" t="str" cm="1">
        <f t="array" ref="A2066">IFERROR(INDEX(tbNucleo[ESCOLA],ROUNDUP(ROW(A2065)/TotalEtapas,0)),"")</f>
        <v/>
      </c>
      <c r="D2066" t="str">
        <f>IFERROR(VLOOKUP(tbEscolas[[#This Row],[COD ETPA]],tbEtapas[],2,FALSE),"")</f>
        <v/>
      </c>
      <c r="E2066" t="str">
        <f>IFERROR(VLOOKUP(tbEscolas[[#This Row],[COD ETPA]],tbEtapas[],3,FALSE),"")</f>
        <v/>
      </c>
    </row>
    <row r="2067" spans="1:5" x14ac:dyDescent="0.25">
      <c r="A2067" t="str" cm="1">
        <f t="array" ref="A2067">IFERROR(INDEX(tbNucleo[ESCOLA],ROUNDUP(ROW(A2066)/TotalEtapas,0)),"")</f>
        <v/>
      </c>
      <c r="D2067" t="str">
        <f>IFERROR(VLOOKUP(tbEscolas[[#This Row],[COD ETPA]],tbEtapas[],2,FALSE),"")</f>
        <v/>
      </c>
      <c r="E2067" t="str">
        <f>IFERROR(VLOOKUP(tbEscolas[[#This Row],[COD ETPA]],tbEtapas[],3,FALSE),"")</f>
        <v/>
      </c>
    </row>
    <row r="2068" spans="1:5" x14ac:dyDescent="0.25">
      <c r="A2068" t="str" cm="1">
        <f t="array" ref="A2068">IFERROR(INDEX(tbNucleo[ESCOLA],ROUNDUP(ROW(A2067)/TotalEtapas,0)),"")</f>
        <v/>
      </c>
      <c r="D2068" t="str">
        <f>IFERROR(VLOOKUP(tbEscolas[[#This Row],[COD ETPA]],tbEtapas[],2,FALSE),"")</f>
        <v/>
      </c>
      <c r="E2068" t="str">
        <f>IFERROR(VLOOKUP(tbEscolas[[#This Row],[COD ETPA]],tbEtapas[],3,FALSE),"")</f>
        <v/>
      </c>
    </row>
    <row r="2069" spans="1:5" x14ac:dyDescent="0.25">
      <c r="A2069" t="str" cm="1">
        <f t="array" ref="A2069">IFERROR(INDEX(tbNucleo[ESCOLA],ROUNDUP(ROW(A2068)/TotalEtapas,0)),"")</f>
        <v/>
      </c>
      <c r="D2069" t="str">
        <f>IFERROR(VLOOKUP(tbEscolas[[#This Row],[COD ETPA]],tbEtapas[],2,FALSE),"")</f>
        <v/>
      </c>
      <c r="E2069" t="str">
        <f>IFERROR(VLOOKUP(tbEscolas[[#This Row],[COD ETPA]],tbEtapas[],3,FALSE),"")</f>
        <v/>
      </c>
    </row>
    <row r="2070" spans="1:5" x14ac:dyDescent="0.25">
      <c r="A2070" t="str" cm="1">
        <f t="array" ref="A2070">IFERROR(INDEX(tbNucleo[ESCOLA],ROUNDUP(ROW(A2069)/TotalEtapas,0)),"")</f>
        <v/>
      </c>
      <c r="D2070" t="str">
        <f>IFERROR(VLOOKUP(tbEscolas[[#This Row],[COD ETPA]],tbEtapas[],2,FALSE),"")</f>
        <v/>
      </c>
      <c r="E2070" t="str">
        <f>IFERROR(VLOOKUP(tbEscolas[[#This Row],[COD ETPA]],tbEtapas[],3,FALSE),"")</f>
        <v/>
      </c>
    </row>
    <row r="2071" spans="1:5" x14ac:dyDescent="0.25">
      <c r="A2071" t="str" cm="1">
        <f t="array" ref="A2071">IFERROR(INDEX(tbNucleo[ESCOLA],ROUNDUP(ROW(A2070)/TotalEtapas,0)),"")</f>
        <v/>
      </c>
      <c r="D2071" t="str">
        <f>IFERROR(VLOOKUP(tbEscolas[[#This Row],[COD ETPA]],tbEtapas[],2,FALSE),"")</f>
        <v/>
      </c>
      <c r="E2071" t="str">
        <f>IFERROR(VLOOKUP(tbEscolas[[#This Row],[COD ETPA]],tbEtapas[],3,FALSE),"")</f>
        <v/>
      </c>
    </row>
    <row r="2072" spans="1:5" x14ac:dyDescent="0.25">
      <c r="A2072" t="str" cm="1">
        <f t="array" ref="A2072">IFERROR(INDEX(tbNucleo[ESCOLA],ROUNDUP(ROW(A2071)/TotalEtapas,0)),"")</f>
        <v/>
      </c>
      <c r="D2072" t="str">
        <f>IFERROR(VLOOKUP(tbEscolas[[#This Row],[COD ETPA]],tbEtapas[],2,FALSE),"")</f>
        <v/>
      </c>
      <c r="E2072" t="str">
        <f>IFERROR(VLOOKUP(tbEscolas[[#This Row],[COD ETPA]],tbEtapas[],3,FALSE),"")</f>
        <v/>
      </c>
    </row>
    <row r="2073" spans="1:5" x14ac:dyDescent="0.25">
      <c r="A2073" t="str" cm="1">
        <f t="array" ref="A2073">IFERROR(INDEX(tbNucleo[ESCOLA],ROUNDUP(ROW(A2072)/TotalEtapas,0)),"")</f>
        <v/>
      </c>
      <c r="D2073" t="str">
        <f>IFERROR(VLOOKUP(tbEscolas[[#This Row],[COD ETPA]],tbEtapas[],2,FALSE),"")</f>
        <v/>
      </c>
      <c r="E2073" t="str">
        <f>IFERROR(VLOOKUP(tbEscolas[[#This Row],[COD ETPA]],tbEtapas[],3,FALSE),"")</f>
        <v/>
      </c>
    </row>
    <row r="2074" spans="1:5" x14ac:dyDescent="0.25">
      <c r="A2074" t="str" cm="1">
        <f t="array" ref="A2074">IFERROR(INDEX(tbNucleo[ESCOLA],ROUNDUP(ROW(A2073)/TotalEtapas,0)),"")</f>
        <v/>
      </c>
      <c r="D2074" t="str">
        <f>IFERROR(VLOOKUP(tbEscolas[[#This Row],[COD ETPA]],tbEtapas[],2,FALSE),"")</f>
        <v/>
      </c>
      <c r="E2074" t="str">
        <f>IFERROR(VLOOKUP(tbEscolas[[#This Row],[COD ETPA]],tbEtapas[],3,FALSE),"")</f>
        <v/>
      </c>
    </row>
    <row r="2075" spans="1:5" x14ac:dyDescent="0.25">
      <c r="A2075" t="str" cm="1">
        <f t="array" ref="A2075">IFERROR(INDEX(tbNucleo[ESCOLA],ROUNDUP(ROW(A2074)/TotalEtapas,0)),"")</f>
        <v/>
      </c>
      <c r="D2075" t="str">
        <f>IFERROR(VLOOKUP(tbEscolas[[#This Row],[COD ETPA]],tbEtapas[],2,FALSE),"")</f>
        <v/>
      </c>
      <c r="E2075" t="str">
        <f>IFERROR(VLOOKUP(tbEscolas[[#This Row],[COD ETPA]],tbEtapas[],3,FALSE),"")</f>
        <v/>
      </c>
    </row>
    <row r="2076" spans="1:5" x14ac:dyDescent="0.25">
      <c r="A2076" t="str" cm="1">
        <f t="array" ref="A2076">IFERROR(INDEX(tbNucleo[ESCOLA],ROUNDUP(ROW(A2075)/TotalEtapas,0)),"")</f>
        <v/>
      </c>
      <c r="D2076" t="str">
        <f>IFERROR(VLOOKUP(tbEscolas[[#This Row],[COD ETPA]],tbEtapas[],2,FALSE),"")</f>
        <v/>
      </c>
      <c r="E2076" t="str">
        <f>IFERROR(VLOOKUP(tbEscolas[[#This Row],[COD ETPA]],tbEtapas[],3,FALSE),"")</f>
        <v/>
      </c>
    </row>
    <row r="2077" spans="1:5" x14ac:dyDescent="0.25">
      <c r="A2077" t="str" cm="1">
        <f t="array" ref="A2077">IFERROR(INDEX(tbNucleo[ESCOLA],ROUNDUP(ROW(A2076)/TotalEtapas,0)),"")</f>
        <v/>
      </c>
      <c r="D2077" t="str">
        <f>IFERROR(VLOOKUP(tbEscolas[[#This Row],[COD ETPA]],tbEtapas[],2,FALSE),"")</f>
        <v/>
      </c>
      <c r="E2077" t="str">
        <f>IFERROR(VLOOKUP(tbEscolas[[#This Row],[COD ETPA]],tbEtapas[],3,FALSE),"")</f>
        <v/>
      </c>
    </row>
    <row r="2078" spans="1:5" x14ac:dyDescent="0.25">
      <c r="A2078" t="str" cm="1">
        <f t="array" ref="A2078">IFERROR(INDEX(tbNucleo[ESCOLA],ROUNDUP(ROW(A2077)/TotalEtapas,0)),"")</f>
        <v/>
      </c>
      <c r="D2078" t="str">
        <f>IFERROR(VLOOKUP(tbEscolas[[#This Row],[COD ETPA]],tbEtapas[],2,FALSE),"")</f>
        <v/>
      </c>
      <c r="E2078" t="str">
        <f>IFERROR(VLOOKUP(tbEscolas[[#This Row],[COD ETPA]],tbEtapas[],3,FALSE),"")</f>
        <v/>
      </c>
    </row>
    <row r="2079" spans="1:5" x14ac:dyDescent="0.25">
      <c r="A2079" t="str" cm="1">
        <f t="array" ref="A2079">IFERROR(INDEX(tbNucleo[ESCOLA],ROUNDUP(ROW(A2078)/TotalEtapas,0)),"")</f>
        <v/>
      </c>
      <c r="D2079" t="str">
        <f>IFERROR(VLOOKUP(tbEscolas[[#This Row],[COD ETPA]],tbEtapas[],2,FALSE),"")</f>
        <v/>
      </c>
      <c r="E2079" t="str">
        <f>IFERROR(VLOOKUP(tbEscolas[[#This Row],[COD ETPA]],tbEtapas[],3,FALSE),"")</f>
        <v/>
      </c>
    </row>
    <row r="2080" spans="1:5" x14ac:dyDescent="0.25">
      <c r="A2080" t="str" cm="1">
        <f t="array" ref="A2080">IFERROR(INDEX(tbNucleo[ESCOLA],ROUNDUP(ROW(A2079)/TotalEtapas,0)),"")</f>
        <v/>
      </c>
      <c r="D2080" t="str">
        <f>IFERROR(VLOOKUP(tbEscolas[[#This Row],[COD ETPA]],tbEtapas[],2,FALSE),"")</f>
        <v/>
      </c>
      <c r="E2080" t="str">
        <f>IFERROR(VLOOKUP(tbEscolas[[#This Row],[COD ETPA]],tbEtapas[],3,FALSE),"")</f>
        <v/>
      </c>
    </row>
    <row r="2081" spans="1:5" x14ac:dyDescent="0.25">
      <c r="A2081" t="str" cm="1">
        <f t="array" ref="A2081">IFERROR(INDEX(tbNucleo[ESCOLA],ROUNDUP(ROW(A2080)/TotalEtapas,0)),"")</f>
        <v/>
      </c>
      <c r="D2081" t="str">
        <f>IFERROR(VLOOKUP(tbEscolas[[#This Row],[COD ETPA]],tbEtapas[],2,FALSE),"")</f>
        <v/>
      </c>
      <c r="E2081" t="str">
        <f>IFERROR(VLOOKUP(tbEscolas[[#This Row],[COD ETPA]],tbEtapas[],3,FALSE),"")</f>
        <v/>
      </c>
    </row>
    <row r="2082" spans="1:5" x14ac:dyDescent="0.25">
      <c r="A2082" t="str" cm="1">
        <f t="array" ref="A2082">IFERROR(INDEX(tbNucleo[ESCOLA],ROUNDUP(ROW(A2081)/TotalEtapas,0)),"")</f>
        <v/>
      </c>
      <c r="D2082" t="str">
        <f>IFERROR(VLOOKUP(tbEscolas[[#This Row],[COD ETPA]],tbEtapas[],2,FALSE),"")</f>
        <v/>
      </c>
      <c r="E2082" t="str">
        <f>IFERROR(VLOOKUP(tbEscolas[[#This Row],[COD ETPA]],tbEtapas[],3,FALSE),"")</f>
        <v/>
      </c>
    </row>
    <row r="2083" spans="1:5" x14ac:dyDescent="0.25">
      <c r="A2083" t="str" cm="1">
        <f t="array" ref="A2083">IFERROR(INDEX(tbNucleo[ESCOLA],ROUNDUP(ROW(A2082)/TotalEtapas,0)),"")</f>
        <v/>
      </c>
      <c r="D2083" t="str">
        <f>IFERROR(VLOOKUP(tbEscolas[[#This Row],[COD ETPA]],tbEtapas[],2,FALSE),"")</f>
        <v/>
      </c>
      <c r="E2083" t="str">
        <f>IFERROR(VLOOKUP(tbEscolas[[#This Row],[COD ETPA]],tbEtapas[],3,FALSE),"")</f>
        <v/>
      </c>
    </row>
    <row r="2084" spans="1:5" x14ac:dyDescent="0.25">
      <c r="A2084" t="str" cm="1">
        <f t="array" ref="A2084">IFERROR(INDEX(tbNucleo[ESCOLA],ROUNDUP(ROW(A2083)/TotalEtapas,0)),"")</f>
        <v/>
      </c>
      <c r="D2084" t="str">
        <f>IFERROR(VLOOKUP(tbEscolas[[#This Row],[COD ETPA]],tbEtapas[],2,FALSE),"")</f>
        <v/>
      </c>
      <c r="E2084" t="str">
        <f>IFERROR(VLOOKUP(tbEscolas[[#This Row],[COD ETPA]],tbEtapas[],3,FALSE),"")</f>
        <v/>
      </c>
    </row>
    <row r="2085" spans="1:5" x14ac:dyDescent="0.25">
      <c r="A2085" t="str" cm="1">
        <f t="array" ref="A2085">IFERROR(INDEX(tbNucleo[ESCOLA],ROUNDUP(ROW(A2084)/TotalEtapas,0)),"")</f>
        <v/>
      </c>
      <c r="D2085" t="str">
        <f>IFERROR(VLOOKUP(tbEscolas[[#This Row],[COD ETPA]],tbEtapas[],2,FALSE),"")</f>
        <v/>
      </c>
      <c r="E2085" t="str">
        <f>IFERROR(VLOOKUP(tbEscolas[[#This Row],[COD ETPA]],tbEtapas[],3,FALSE),"")</f>
        <v/>
      </c>
    </row>
    <row r="2086" spans="1:5" x14ac:dyDescent="0.25">
      <c r="A2086" t="str" cm="1">
        <f t="array" ref="A2086">IFERROR(INDEX(tbNucleo[ESCOLA],ROUNDUP(ROW(A2085)/TotalEtapas,0)),"")</f>
        <v/>
      </c>
      <c r="D2086" t="str">
        <f>IFERROR(VLOOKUP(tbEscolas[[#This Row],[COD ETPA]],tbEtapas[],2,FALSE),"")</f>
        <v/>
      </c>
      <c r="E2086" t="str">
        <f>IFERROR(VLOOKUP(tbEscolas[[#This Row],[COD ETPA]],tbEtapas[],3,FALSE),"")</f>
        <v/>
      </c>
    </row>
    <row r="2087" spans="1:5" x14ac:dyDescent="0.25">
      <c r="A2087" t="str" cm="1">
        <f t="array" ref="A2087">IFERROR(INDEX(tbNucleo[ESCOLA],ROUNDUP(ROW(A2086)/TotalEtapas,0)),"")</f>
        <v/>
      </c>
      <c r="D2087" t="str">
        <f>IFERROR(VLOOKUP(tbEscolas[[#This Row],[COD ETPA]],tbEtapas[],2,FALSE),"")</f>
        <v/>
      </c>
      <c r="E2087" t="str">
        <f>IFERROR(VLOOKUP(tbEscolas[[#This Row],[COD ETPA]],tbEtapas[],3,FALSE),"")</f>
        <v/>
      </c>
    </row>
    <row r="2088" spans="1:5" x14ac:dyDescent="0.25">
      <c r="A2088" t="str" cm="1">
        <f t="array" ref="A2088">IFERROR(INDEX(tbNucleo[ESCOLA],ROUNDUP(ROW(A2087)/TotalEtapas,0)),"")</f>
        <v/>
      </c>
      <c r="D2088" t="str">
        <f>IFERROR(VLOOKUP(tbEscolas[[#This Row],[COD ETPA]],tbEtapas[],2,FALSE),"")</f>
        <v/>
      </c>
      <c r="E2088" t="str">
        <f>IFERROR(VLOOKUP(tbEscolas[[#This Row],[COD ETPA]],tbEtapas[],3,FALSE),"")</f>
        <v/>
      </c>
    </row>
    <row r="2089" spans="1:5" x14ac:dyDescent="0.25">
      <c r="A2089" t="str" cm="1">
        <f t="array" ref="A2089">IFERROR(INDEX(tbNucleo[ESCOLA],ROUNDUP(ROW(A2088)/TotalEtapas,0)),"")</f>
        <v/>
      </c>
      <c r="D2089" t="str">
        <f>IFERROR(VLOOKUP(tbEscolas[[#This Row],[COD ETPA]],tbEtapas[],2,FALSE),"")</f>
        <v/>
      </c>
      <c r="E2089" t="str">
        <f>IFERROR(VLOOKUP(tbEscolas[[#This Row],[COD ETPA]],tbEtapas[],3,FALSE),"")</f>
        <v/>
      </c>
    </row>
    <row r="2090" spans="1:5" x14ac:dyDescent="0.25">
      <c r="A2090" t="str" cm="1">
        <f t="array" ref="A2090">IFERROR(INDEX(tbNucleo[ESCOLA],ROUNDUP(ROW(A2089)/TotalEtapas,0)),"")</f>
        <v/>
      </c>
      <c r="D2090" t="str">
        <f>IFERROR(VLOOKUP(tbEscolas[[#This Row],[COD ETPA]],tbEtapas[],2,FALSE),"")</f>
        <v/>
      </c>
      <c r="E2090" t="str">
        <f>IFERROR(VLOOKUP(tbEscolas[[#This Row],[COD ETPA]],tbEtapas[],3,FALSE),"")</f>
        <v/>
      </c>
    </row>
    <row r="2091" spans="1:5" x14ac:dyDescent="0.25">
      <c r="A2091" t="str" cm="1">
        <f t="array" ref="A2091">IFERROR(INDEX(tbNucleo[ESCOLA],ROUNDUP(ROW(A2090)/TotalEtapas,0)),"")</f>
        <v/>
      </c>
      <c r="D2091" t="str">
        <f>IFERROR(VLOOKUP(tbEscolas[[#This Row],[COD ETPA]],tbEtapas[],2,FALSE),"")</f>
        <v/>
      </c>
      <c r="E2091" t="str">
        <f>IFERROR(VLOOKUP(tbEscolas[[#This Row],[COD ETPA]],tbEtapas[],3,FALSE),"")</f>
        <v/>
      </c>
    </row>
    <row r="2092" spans="1:5" x14ac:dyDescent="0.25">
      <c r="A2092" t="str" cm="1">
        <f t="array" ref="A2092">IFERROR(INDEX(tbNucleo[ESCOLA],ROUNDUP(ROW(A2091)/TotalEtapas,0)),"")</f>
        <v/>
      </c>
      <c r="D2092" t="str">
        <f>IFERROR(VLOOKUP(tbEscolas[[#This Row],[COD ETPA]],tbEtapas[],2,FALSE),"")</f>
        <v/>
      </c>
      <c r="E2092" t="str">
        <f>IFERROR(VLOOKUP(tbEscolas[[#This Row],[COD ETPA]],tbEtapas[],3,FALSE),"")</f>
        <v/>
      </c>
    </row>
    <row r="2093" spans="1:5" x14ac:dyDescent="0.25">
      <c r="A2093" t="str" cm="1">
        <f t="array" ref="A2093">IFERROR(INDEX(tbNucleo[ESCOLA],ROUNDUP(ROW(A2092)/TotalEtapas,0)),"")</f>
        <v/>
      </c>
      <c r="D2093" t="str">
        <f>IFERROR(VLOOKUP(tbEscolas[[#This Row],[COD ETPA]],tbEtapas[],2,FALSE),"")</f>
        <v/>
      </c>
      <c r="E2093" t="str">
        <f>IFERROR(VLOOKUP(tbEscolas[[#This Row],[COD ETPA]],tbEtapas[],3,FALSE),"")</f>
        <v/>
      </c>
    </row>
    <row r="2094" spans="1:5" x14ac:dyDescent="0.25">
      <c r="A2094" t="str" cm="1">
        <f t="array" ref="A2094">IFERROR(INDEX(tbNucleo[ESCOLA],ROUNDUP(ROW(A2093)/TotalEtapas,0)),"")</f>
        <v/>
      </c>
      <c r="D2094" t="str">
        <f>IFERROR(VLOOKUP(tbEscolas[[#This Row],[COD ETPA]],tbEtapas[],2,FALSE),"")</f>
        <v/>
      </c>
      <c r="E2094" t="str">
        <f>IFERROR(VLOOKUP(tbEscolas[[#This Row],[COD ETPA]],tbEtapas[],3,FALSE),"")</f>
        <v/>
      </c>
    </row>
    <row r="2095" spans="1:5" x14ac:dyDescent="0.25">
      <c r="A2095" t="str" cm="1">
        <f t="array" ref="A2095">IFERROR(INDEX(tbNucleo[ESCOLA],ROUNDUP(ROW(A2094)/TotalEtapas,0)),"")</f>
        <v/>
      </c>
      <c r="D2095" t="str">
        <f>IFERROR(VLOOKUP(tbEscolas[[#This Row],[COD ETPA]],tbEtapas[],2,FALSE),"")</f>
        <v/>
      </c>
      <c r="E2095" t="str">
        <f>IFERROR(VLOOKUP(tbEscolas[[#This Row],[COD ETPA]],tbEtapas[],3,FALSE),"")</f>
        <v/>
      </c>
    </row>
    <row r="2096" spans="1:5" x14ac:dyDescent="0.25">
      <c r="A2096" t="str" cm="1">
        <f t="array" ref="A2096">IFERROR(INDEX(tbNucleo[ESCOLA],ROUNDUP(ROW(A2095)/TotalEtapas,0)),"")</f>
        <v/>
      </c>
      <c r="D2096" t="str">
        <f>IFERROR(VLOOKUP(tbEscolas[[#This Row],[COD ETPA]],tbEtapas[],2,FALSE),"")</f>
        <v/>
      </c>
      <c r="E2096" t="str">
        <f>IFERROR(VLOOKUP(tbEscolas[[#This Row],[COD ETPA]],tbEtapas[],3,FALSE),"")</f>
        <v/>
      </c>
    </row>
    <row r="2097" spans="1:5" x14ac:dyDescent="0.25">
      <c r="A2097" t="str" cm="1">
        <f t="array" ref="A2097">IFERROR(INDEX(tbNucleo[ESCOLA],ROUNDUP(ROW(A2096)/TotalEtapas,0)),"")</f>
        <v/>
      </c>
      <c r="D2097" t="str">
        <f>IFERROR(VLOOKUP(tbEscolas[[#This Row],[COD ETPA]],tbEtapas[],2,FALSE),"")</f>
        <v/>
      </c>
      <c r="E2097" t="str">
        <f>IFERROR(VLOOKUP(tbEscolas[[#This Row],[COD ETPA]],tbEtapas[],3,FALSE),"")</f>
        <v/>
      </c>
    </row>
    <row r="2098" spans="1:5" x14ac:dyDescent="0.25">
      <c r="A2098" t="str" cm="1">
        <f t="array" ref="A2098">IFERROR(INDEX(tbNucleo[ESCOLA],ROUNDUP(ROW(A2097)/TotalEtapas,0)),"")</f>
        <v/>
      </c>
      <c r="D2098" t="str">
        <f>IFERROR(VLOOKUP(tbEscolas[[#This Row],[COD ETPA]],tbEtapas[],2,FALSE),"")</f>
        <v/>
      </c>
      <c r="E2098" t="str">
        <f>IFERROR(VLOOKUP(tbEscolas[[#This Row],[COD ETPA]],tbEtapas[],3,FALSE),"")</f>
        <v/>
      </c>
    </row>
    <row r="2099" spans="1:5" x14ac:dyDescent="0.25">
      <c r="A2099" t="str" cm="1">
        <f t="array" ref="A2099">IFERROR(INDEX(tbNucleo[ESCOLA],ROUNDUP(ROW(A2098)/TotalEtapas,0)),"")</f>
        <v/>
      </c>
      <c r="D2099" t="str">
        <f>IFERROR(VLOOKUP(tbEscolas[[#This Row],[COD ETPA]],tbEtapas[],2,FALSE),"")</f>
        <v/>
      </c>
      <c r="E2099" t="str">
        <f>IFERROR(VLOOKUP(tbEscolas[[#This Row],[COD ETPA]],tbEtapas[],3,FALSE),"")</f>
        <v/>
      </c>
    </row>
    <row r="2100" spans="1:5" x14ac:dyDescent="0.25">
      <c r="A2100" t="str" cm="1">
        <f t="array" ref="A2100">IFERROR(INDEX(tbNucleo[ESCOLA],ROUNDUP(ROW(A2099)/TotalEtapas,0)),"")</f>
        <v/>
      </c>
      <c r="D2100" t="str">
        <f>IFERROR(VLOOKUP(tbEscolas[[#This Row],[COD ETPA]],tbEtapas[],2,FALSE),"")</f>
        <v/>
      </c>
      <c r="E2100" t="str">
        <f>IFERROR(VLOOKUP(tbEscolas[[#This Row],[COD ETPA]],tbEtapas[],3,FALSE),"")</f>
        <v/>
      </c>
    </row>
    <row r="2101" spans="1:5" x14ac:dyDescent="0.25">
      <c r="A2101" t="str" cm="1">
        <f t="array" ref="A2101">IFERROR(INDEX(tbNucleo[ESCOLA],ROUNDUP(ROW(A2100)/TotalEtapas,0)),"")</f>
        <v/>
      </c>
      <c r="D2101" t="str">
        <f>IFERROR(VLOOKUP(tbEscolas[[#This Row],[COD ETPA]],tbEtapas[],2,FALSE),"")</f>
        <v/>
      </c>
      <c r="E2101" t="str">
        <f>IFERROR(VLOOKUP(tbEscolas[[#This Row],[COD ETPA]],tbEtapas[],3,FALSE),"")</f>
        <v/>
      </c>
    </row>
    <row r="2102" spans="1:5" x14ac:dyDescent="0.25">
      <c r="A2102" t="str" cm="1">
        <f t="array" ref="A2102">IFERROR(INDEX(tbNucleo[ESCOLA],ROUNDUP(ROW(A2101)/TotalEtapas,0)),"")</f>
        <v/>
      </c>
      <c r="D2102" t="str">
        <f>IFERROR(VLOOKUP(tbEscolas[[#This Row],[COD ETPA]],tbEtapas[],2,FALSE),"")</f>
        <v/>
      </c>
      <c r="E2102" t="str">
        <f>IFERROR(VLOOKUP(tbEscolas[[#This Row],[COD ETPA]],tbEtapas[],3,FALSE),"")</f>
        <v/>
      </c>
    </row>
    <row r="2103" spans="1:5" x14ac:dyDescent="0.25">
      <c r="A2103" t="str" cm="1">
        <f t="array" ref="A2103">IFERROR(INDEX(tbNucleo[ESCOLA],ROUNDUP(ROW(A2102)/TotalEtapas,0)),"")</f>
        <v/>
      </c>
      <c r="D2103" t="str">
        <f>IFERROR(VLOOKUP(tbEscolas[[#This Row],[COD ETPA]],tbEtapas[],2,FALSE),"")</f>
        <v/>
      </c>
      <c r="E2103" t="str">
        <f>IFERROR(VLOOKUP(tbEscolas[[#This Row],[COD ETPA]],tbEtapas[],3,FALSE),"")</f>
        <v/>
      </c>
    </row>
    <row r="2104" spans="1:5" x14ac:dyDescent="0.25">
      <c r="A2104" t="str" cm="1">
        <f t="array" ref="A2104">IFERROR(INDEX(tbNucleo[ESCOLA],ROUNDUP(ROW(A2103)/TotalEtapas,0)),"")</f>
        <v/>
      </c>
      <c r="D2104" t="str">
        <f>IFERROR(VLOOKUP(tbEscolas[[#This Row],[COD ETPA]],tbEtapas[],2,FALSE),"")</f>
        <v/>
      </c>
      <c r="E2104" t="str">
        <f>IFERROR(VLOOKUP(tbEscolas[[#This Row],[COD ETPA]],tbEtapas[],3,FALSE),"")</f>
        <v/>
      </c>
    </row>
    <row r="2105" spans="1:5" x14ac:dyDescent="0.25">
      <c r="A2105" t="str" cm="1">
        <f t="array" ref="A2105">IFERROR(INDEX(tbNucleo[ESCOLA],ROUNDUP(ROW(A2104)/TotalEtapas,0)),"")</f>
        <v/>
      </c>
      <c r="D2105" t="str">
        <f>IFERROR(VLOOKUP(tbEscolas[[#This Row],[COD ETPA]],tbEtapas[],2,FALSE),"")</f>
        <v/>
      </c>
      <c r="E2105" t="str">
        <f>IFERROR(VLOOKUP(tbEscolas[[#This Row],[COD ETPA]],tbEtapas[],3,FALSE),"")</f>
        <v/>
      </c>
    </row>
    <row r="2106" spans="1:5" x14ac:dyDescent="0.25">
      <c r="A2106" t="str" cm="1">
        <f t="array" ref="A2106">IFERROR(INDEX(tbNucleo[ESCOLA],ROUNDUP(ROW(A2105)/TotalEtapas,0)),"")</f>
        <v/>
      </c>
      <c r="D2106" t="str">
        <f>IFERROR(VLOOKUP(tbEscolas[[#This Row],[COD ETPA]],tbEtapas[],2,FALSE),"")</f>
        <v/>
      </c>
      <c r="E2106" t="str">
        <f>IFERROR(VLOOKUP(tbEscolas[[#This Row],[COD ETPA]],tbEtapas[],3,FALSE),"")</f>
        <v/>
      </c>
    </row>
    <row r="2107" spans="1:5" x14ac:dyDescent="0.25">
      <c r="A2107" t="str" cm="1">
        <f t="array" ref="A2107">IFERROR(INDEX(tbNucleo[ESCOLA],ROUNDUP(ROW(A2106)/TotalEtapas,0)),"")</f>
        <v/>
      </c>
      <c r="D2107" t="str">
        <f>IFERROR(VLOOKUP(tbEscolas[[#This Row],[COD ETPA]],tbEtapas[],2,FALSE),"")</f>
        <v/>
      </c>
      <c r="E2107" t="str">
        <f>IFERROR(VLOOKUP(tbEscolas[[#This Row],[COD ETPA]],tbEtapas[],3,FALSE),"")</f>
        <v/>
      </c>
    </row>
    <row r="2108" spans="1:5" x14ac:dyDescent="0.25">
      <c r="A2108" t="str" cm="1">
        <f t="array" ref="A2108">IFERROR(INDEX(tbNucleo[ESCOLA],ROUNDUP(ROW(A2107)/TotalEtapas,0)),"")</f>
        <v/>
      </c>
      <c r="D2108" t="str">
        <f>IFERROR(VLOOKUP(tbEscolas[[#This Row],[COD ETPA]],tbEtapas[],2,FALSE),"")</f>
        <v/>
      </c>
      <c r="E2108" t="str">
        <f>IFERROR(VLOOKUP(tbEscolas[[#This Row],[COD ETPA]],tbEtapas[],3,FALSE),"")</f>
        <v/>
      </c>
    </row>
    <row r="2109" spans="1:5" x14ac:dyDescent="0.25">
      <c r="A2109" t="str" cm="1">
        <f t="array" ref="A2109">IFERROR(INDEX(tbNucleo[ESCOLA],ROUNDUP(ROW(A2108)/TotalEtapas,0)),"")</f>
        <v/>
      </c>
      <c r="D2109" t="str">
        <f>IFERROR(VLOOKUP(tbEscolas[[#This Row],[COD ETPA]],tbEtapas[],2,FALSE),"")</f>
        <v/>
      </c>
      <c r="E2109" t="str">
        <f>IFERROR(VLOOKUP(tbEscolas[[#This Row],[COD ETPA]],tbEtapas[],3,FALSE),"")</f>
        <v/>
      </c>
    </row>
    <row r="2110" spans="1:5" x14ac:dyDescent="0.25">
      <c r="A2110" t="str" cm="1">
        <f t="array" ref="A2110">IFERROR(INDEX(tbNucleo[ESCOLA],ROUNDUP(ROW(A2109)/TotalEtapas,0)),"")</f>
        <v/>
      </c>
      <c r="D2110" t="str">
        <f>IFERROR(VLOOKUP(tbEscolas[[#This Row],[COD ETPA]],tbEtapas[],2,FALSE),"")</f>
        <v/>
      </c>
      <c r="E2110" t="str">
        <f>IFERROR(VLOOKUP(tbEscolas[[#This Row],[COD ETPA]],tbEtapas[],3,FALSE),"")</f>
        <v/>
      </c>
    </row>
    <row r="2111" spans="1:5" x14ac:dyDescent="0.25">
      <c r="A2111" t="str" cm="1">
        <f t="array" ref="A2111">IFERROR(INDEX(tbNucleo[ESCOLA],ROUNDUP(ROW(A2110)/TotalEtapas,0)),"")</f>
        <v/>
      </c>
      <c r="D2111" t="str">
        <f>IFERROR(VLOOKUP(tbEscolas[[#This Row],[COD ETPA]],tbEtapas[],2,FALSE),"")</f>
        <v/>
      </c>
      <c r="E2111" t="str">
        <f>IFERROR(VLOOKUP(tbEscolas[[#This Row],[COD ETPA]],tbEtapas[],3,FALSE),"")</f>
        <v/>
      </c>
    </row>
    <row r="2112" spans="1:5" x14ac:dyDescent="0.25">
      <c r="A2112" t="str" cm="1">
        <f t="array" ref="A2112">IFERROR(INDEX(tbNucleo[ESCOLA],ROUNDUP(ROW(A2111)/TotalEtapas,0)),"")</f>
        <v/>
      </c>
      <c r="D2112" t="str">
        <f>IFERROR(VLOOKUP(tbEscolas[[#This Row],[COD ETPA]],tbEtapas[],2,FALSE),"")</f>
        <v/>
      </c>
      <c r="E2112" t="str">
        <f>IFERROR(VLOOKUP(tbEscolas[[#This Row],[COD ETPA]],tbEtapas[],3,FALSE),"")</f>
        <v/>
      </c>
    </row>
    <row r="2113" spans="1:5" x14ac:dyDescent="0.25">
      <c r="A2113" t="str" cm="1">
        <f t="array" ref="A2113">IFERROR(INDEX(tbNucleo[ESCOLA],ROUNDUP(ROW(A2112)/TotalEtapas,0)),"")</f>
        <v/>
      </c>
      <c r="D2113" t="str">
        <f>IFERROR(VLOOKUP(tbEscolas[[#This Row],[COD ETPA]],tbEtapas[],2,FALSE),"")</f>
        <v/>
      </c>
      <c r="E2113" t="str">
        <f>IFERROR(VLOOKUP(tbEscolas[[#This Row],[COD ETPA]],tbEtapas[],3,FALSE),"")</f>
        <v/>
      </c>
    </row>
    <row r="2114" spans="1:5" x14ac:dyDescent="0.25">
      <c r="A2114" t="str" cm="1">
        <f t="array" ref="A2114">IFERROR(INDEX(tbNucleo[ESCOLA],ROUNDUP(ROW(A2113)/TotalEtapas,0)),"")</f>
        <v/>
      </c>
      <c r="D2114" t="str">
        <f>IFERROR(VLOOKUP(tbEscolas[[#This Row],[COD ETPA]],tbEtapas[],2,FALSE),"")</f>
        <v/>
      </c>
      <c r="E2114" t="str">
        <f>IFERROR(VLOOKUP(tbEscolas[[#This Row],[COD ETPA]],tbEtapas[],3,FALSE),"")</f>
        <v/>
      </c>
    </row>
    <row r="2115" spans="1:5" x14ac:dyDescent="0.25">
      <c r="A2115" t="str" cm="1">
        <f t="array" ref="A2115">IFERROR(INDEX(tbNucleo[ESCOLA],ROUNDUP(ROW(A2114)/TotalEtapas,0)),"")</f>
        <v/>
      </c>
      <c r="D2115" t="str">
        <f>IFERROR(VLOOKUP(tbEscolas[[#This Row],[COD ETPA]],tbEtapas[],2,FALSE),"")</f>
        <v/>
      </c>
      <c r="E2115" t="str">
        <f>IFERROR(VLOOKUP(tbEscolas[[#This Row],[COD ETPA]],tbEtapas[],3,FALSE),"")</f>
        <v/>
      </c>
    </row>
    <row r="2116" spans="1:5" x14ac:dyDescent="0.25">
      <c r="A2116" t="str" cm="1">
        <f t="array" ref="A2116">IFERROR(INDEX(tbNucleo[ESCOLA],ROUNDUP(ROW(A2115)/TotalEtapas,0)),"")</f>
        <v/>
      </c>
      <c r="D2116" t="str">
        <f>IFERROR(VLOOKUP(tbEscolas[[#This Row],[COD ETPA]],tbEtapas[],2,FALSE),"")</f>
        <v/>
      </c>
      <c r="E2116" t="str">
        <f>IFERROR(VLOOKUP(tbEscolas[[#This Row],[COD ETPA]],tbEtapas[],3,FALSE),"")</f>
        <v/>
      </c>
    </row>
    <row r="2117" spans="1:5" x14ac:dyDescent="0.25">
      <c r="A2117" t="str" cm="1">
        <f t="array" ref="A2117">IFERROR(INDEX(tbNucleo[ESCOLA],ROUNDUP(ROW(A2116)/TotalEtapas,0)),"")</f>
        <v/>
      </c>
      <c r="D2117" t="str">
        <f>IFERROR(VLOOKUP(tbEscolas[[#This Row],[COD ETPA]],tbEtapas[],2,FALSE),"")</f>
        <v/>
      </c>
      <c r="E2117" t="str">
        <f>IFERROR(VLOOKUP(tbEscolas[[#This Row],[COD ETPA]],tbEtapas[],3,FALSE),"")</f>
        <v/>
      </c>
    </row>
    <row r="2118" spans="1:5" x14ac:dyDescent="0.25">
      <c r="A2118" t="str" cm="1">
        <f t="array" ref="A2118">IFERROR(INDEX(tbNucleo[ESCOLA],ROUNDUP(ROW(A2117)/TotalEtapas,0)),"")</f>
        <v/>
      </c>
      <c r="D2118" t="str">
        <f>IFERROR(VLOOKUP(tbEscolas[[#This Row],[COD ETPA]],tbEtapas[],2,FALSE),"")</f>
        <v/>
      </c>
      <c r="E2118" t="str">
        <f>IFERROR(VLOOKUP(tbEscolas[[#This Row],[COD ETPA]],tbEtapas[],3,FALSE),"")</f>
        <v/>
      </c>
    </row>
    <row r="2119" spans="1:5" x14ac:dyDescent="0.25">
      <c r="A2119" t="str" cm="1">
        <f t="array" ref="A2119">IFERROR(INDEX(tbNucleo[ESCOLA],ROUNDUP(ROW(A2118)/TotalEtapas,0)),"")</f>
        <v/>
      </c>
      <c r="D2119" t="str">
        <f>IFERROR(VLOOKUP(tbEscolas[[#This Row],[COD ETPA]],tbEtapas[],2,FALSE),"")</f>
        <v/>
      </c>
      <c r="E2119" t="str">
        <f>IFERROR(VLOOKUP(tbEscolas[[#This Row],[COD ETPA]],tbEtapas[],3,FALSE),"")</f>
        <v/>
      </c>
    </row>
    <row r="2120" spans="1:5" x14ac:dyDescent="0.25">
      <c r="A2120" t="str" cm="1">
        <f t="array" ref="A2120">IFERROR(INDEX(tbNucleo[ESCOLA],ROUNDUP(ROW(A2119)/TotalEtapas,0)),"")</f>
        <v/>
      </c>
      <c r="D2120" t="str">
        <f>IFERROR(VLOOKUP(tbEscolas[[#This Row],[COD ETPA]],tbEtapas[],2,FALSE),"")</f>
        <v/>
      </c>
      <c r="E2120" t="str">
        <f>IFERROR(VLOOKUP(tbEscolas[[#This Row],[COD ETPA]],tbEtapas[],3,FALSE),"")</f>
        <v/>
      </c>
    </row>
    <row r="2121" spans="1:5" x14ac:dyDescent="0.25">
      <c r="A2121" t="str" cm="1">
        <f t="array" ref="A2121">IFERROR(INDEX(tbNucleo[ESCOLA],ROUNDUP(ROW(A2120)/TotalEtapas,0)),"")</f>
        <v/>
      </c>
      <c r="D2121" t="str">
        <f>IFERROR(VLOOKUP(tbEscolas[[#This Row],[COD ETPA]],tbEtapas[],2,FALSE),"")</f>
        <v/>
      </c>
      <c r="E2121" t="str">
        <f>IFERROR(VLOOKUP(tbEscolas[[#This Row],[COD ETPA]],tbEtapas[],3,FALSE),"")</f>
        <v/>
      </c>
    </row>
    <row r="2122" spans="1:5" x14ac:dyDescent="0.25">
      <c r="A2122" t="str" cm="1">
        <f t="array" ref="A2122">IFERROR(INDEX(tbNucleo[ESCOLA],ROUNDUP(ROW(A2121)/TotalEtapas,0)),"")</f>
        <v/>
      </c>
      <c r="D2122" t="str">
        <f>IFERROR(VLOOKUP(tbEscolas[[#This Row],[COD ETPA]],tbEtapas[],2,FALSE),"")</f>
        <v/>
      </c>
      <c r="E2122" t="str">
        <f>IFERROR(VLOOKUP(tbEscolas[[#This Row],[COD ETPA]],tbEtapas[],3,FALSE),"")</f>
        <v/>
      </c>
    </row>
    <row r="2123" spans="1:5" x14ac:dyDescent="0.25">
      <c r="A2123" t="str" cm="1">
        <f t="array" ref="A2123">IFERROR(INDEX(tbNucleo[ESCOLA],ROUNDUP(ROW(A2122)/TotalEtapas,0)),"")</f>
        <v/>
      </c>
      <c r="D2123" t="str">
        <f>IFERROR(VLOOKUP(tbEscolas[[#This Row],[COD ETPA]],tbEtapas[],2,FALSE),"")</f>
        <v/>
      </c>
      <c r="E2123" t="str">
        <f>IFERROR(VLOOKUP(tbEscolas[[#This Row],[COD ETPA]],tbEtapas[],3,FALSE),"")</f>
        <v/>
      </c>
    </row>
    <row r="2124" spans="1:5" x14ac:dyDescent="0.25">
      <c r="A2124" t="str" cm="1">
        <f t="array" ref="A2124">IFERROR(INDEX(tbNucleo[ESCOLA],ROUNDUP(ROW(A2123)/TotalEtapas,0)),"")</f>
        <v/>
      </c>
      <c r="D2124" t="str">
        <f>IFERROR(VLOOKUP(tbEscolas[[#This Row],[COD ETPA]],tbEtapas[],2,FALSE),"")</f>
        <v/>
      </c>
      <c r="E2124" t="str">
        <f>IFERROR(VLOOKUP(tbEscolas[[#This Row],[COD ETPA]],tbEtapas[],3,FALSE),"")</f>
        <v/>
      </c>
    </row>
    <row r="2125" spans="1:5" x14ac:dyDescent="0.25">
      <c r="A2125" t="str" cm="1">
        <f t="array" ref="A2125">IFERROR(INDEX(tbNucleo[ESCOLA],ROUNDUP(ROW(A2124)/TotalEtapas,0)),"")</f>
        <v/>
      </c>
      <c r="D2125" t="str">
        <f>IFERROR(VLOOKUP(tbEscolas[[#This Row],[COD ETPA]],tbEtapas[],2,FALSE),"")</f>
        <v/>
      </c>
      <c r="E2125" t="str">
        <f>IFERROR(VLOOKUP(tbEscolas[[#This Row],[COD ETPA]],tbEtapas[],3,FALSE),"")</f>
        <v/>
      </c>
    </row>
    <row r="2126" spans="1:5" x14ac:dyDescent="0.25">
      <c r="A2126" t="str" cm="1">
        <f t="array" ref="A2126">IFERROR(INDEX(tbNucleo[ESCOLA],ROUNDUP(ROW(A2125)/TotalEtapas,0)),"")</f>
        <v/>
      </c>
      <c r="D2126" t="str">
        <f>IFERROR(VLOOKUP(tbEscolas[[#This Row],[COD ETPA]],tbEtapas[],2,FALSE),"")</f>
        <v/>
      </c>
      <c r="E2126" t="str">
        <f>IFERROR(VLOOKUP(tbEscolas[[#This Row],[COD ETPA]],tbEtapas[],3,FALSE),"")</f>
        <v/>
      </c>
    </row>
    <row r="2127" spans="1:5" x14ac:dyDescent="0.25">
      <c r="A2127" t="str" cm="1">
        <f t="array" ref="A2127">IFERROR(INDEX(tbNucleo[ESCOLA],ROUNDUP(ROW(A2126)/TotalEtapas,0)),"")</f>
        <v/>
      </c>
      <c r="D2127" t="str">
        <f>IFERROR(VLOOKUP(tbEscolas[[#This Row],[COD ETPA]],tbEtapas[],2,FALSE),"")</f>
        <v/>
      </c>
      <c r="E2127" t="str">
        <f>IFERROR(VLOOKUP(tbEscolas[[#This Row],[COD ETPA]],tbEtapas[],3,FALSE),"")</f>
        <v/>
      </c>
    </row>
    <row r="2128" spans="1:5" x14ac:dyDescent="0.25">
      <c r="A2128" t="str" cm="1">
        <f t="array" ref="A2128">IFERROR(INDEX(tbNucleo[ESCOLA],ROUNDUP(ROW(A2127)/TotalEtapas,0)),"")</f>
        <v/>
      </c>
      <c r="D2128" t="str">
        <f>IFERROR(VLOOKUP(tbEscolas[[#This Row],[COD ETPA]],tbEtapas[],2,FALSE),"")</f>
        <v/>
      </c>
      <c r="E2128" t="str">
        <f>IFERROR(VLOOKUP(tbEscolas[[#This Row],[COD ETPA]],tbEtapas[],3,FALSE),"")</f>
        <v/>
      </c>
    </row>
    <row r="2129" spans="1:5" x14ac:dyDescent="0.25">
      <c r="A2129" t="str" cm="1">
        <f t="array" ref="A2129">IFERROR(INDEX(tbNucleo[ESCOLA],ROUNDUP(ROW(A2128)/TotalEtapas,0)),"")</f>
        <v/>
      </c>
      <c r="D2129" t="str">
        <f>IFERROR(VLOOKUP(tbEscolas[[#This Row],[COD ETPA]],tbEtapas[],2,FALSE),"")</f>
        <v/>
      </c>
      <c r="E2129" t="str">
        <f>IFERROR(VLOOKUP(tbEscolas[[#This Row],[COD ETPA]],tbEtapas[],3,FALSE),"")</f>
        <v/>
      </c>
    </row>
    <row r="2130" spans="1:5" x14ac:dyDescent="0.25">
      <c r="A2130" t="str" cm="1">
        <f t="array" ref="A2130">IFERROR(INDEX(tbNucleo[ESCOLA],ROUNDUP(ROW(A2129)/TotalEtapas,0)),"")</f>
        <v/>
      </c>
      <c r="D2130" t="str">
        <f>IFERROR(VLOOKUP(tbEscolas[[#This Row],[COD ETPA]],tbEtapas[],2,FALSE),"")</f>
        <v/>
      </c>
      <c r="E2130" t="str">
        <f>IFERROR(VLOOKUP(tbEscolas[[#This Row],[COD ETPA]],tbEtapas[],3,FALSE),"")</f>
        <v/>
      </c>
    </row>
    <row r="2131" spans="1:5" x14ac:dyDescent="0.25">
      <c r="A2131" t="str" cm="1">
        <f t="array" ref="A2131">IFERROR(INDEX(tbNucleo[ESCOLA],ROUNDUP(ROW(A2130)/TotalEtapas,0)),"")</f>
        <v/>
      </c>
      <c r="D2131" t="str">
        <f>IFERROR(VLOOKUP(tbEscolas[[#This Row],[COD ETPA]],tbEtapas[],2,FALSE),"")</f>
        <v/>
      </c>
      <c r="E2131" t="str">
        <f>IFERROR(VLOOKUP(tbEscolas[[#This Row],[COD ETPA]],tbEtapas[],3,FALSE),"")</f>
        <v/>
      </c>
    </row>
    <row r="2132" spans="1:5" x14ac:dyDescent="0.25">
      <c r="A2132" t="str" cm="1">
        <f t="array" ref="A2132">IFERROR(INDEX(tbNucleo[ESCOLA],ROUNDUP(ROW(A2131)/TotalEtapas,0)),"")</f>
        <v/>
      </c>
      <c r="D2132" t="str">
        <f>IFERROR(VLOOKUP(tbEscolas[[#This Row],[COD ETPA]],tbEtapas[],2,FALSE),"")</f>
        <v/>
      </c>
      <c r="E2132" t="str">
        <f>IFERROR(VLOOKUP(tbEscolas[[#This Row],[COD ETPA]],tbEtapas[],3,FALSE),"")</f>
        <v/>
      </c>
    </row>
    <row r="2133" spans="1:5" x14ac:dyDescent="0.25">
      <c r="A2133" t="str" cm="1">
        <f t="array" ref="A2133">IFERROR(INDEX(tbNucleo[ESCOLA],ROUNDUP(ROW(A2132)/TotalEtapas,0)),"")</f>
        <v/>
      </c>
      <c r="D2133" t="str">
        <f>IFERROR(VLOOKUP(tbEscolas[[#This Row],[COD ETPA]],tbEtapas[],2,FALSE),"")</f>
        <v/>
      </c>
      <c r="E2133" t="str">
        <f>IFERROR(VLOOKUP(tbEscolas[[#This Row],[COD ETPA]],tbEtapas[],3,FALSE),"")</f>
        <v/>
      </c>
    </row>
    <row r="2134" spans="1:5" x14ac:dyDescent="0.25">
      <c r="A2134" t="str" cm="1">
        <f t="array" ref="A2134">IFERROR(INDEX(tbNucleo[ESCOLA],ROUNDUP(ROW(A2133)/TotalEtapas,0)),"")</f>
        <v/>
      </c>
      <c r="D2134" t="str">
        <f>IFERROR(VLOOKUP(tbEscolas[[#This Row],[COD ETPA]],tbEtapas[],2,FALSE),"")</f>
        <v/>
      </c>
      <c r="E2134" t="str">
        <f>IFERROR(VLOOKUP(tbEscolas[[#This Row],[COD ETPA]],tbEtapas[],3,FALSE),"")</f>
        <v/>
      </c>
    </row>
    <row r="2135" spans="1:5" x14ac:dyDescent="0.25">
      <c r="A2135" t="str" cm="1">
        <f t="array" ref="A2135">IFERROR(INDEX(tbNucleo[ESCOLA],ROUNDUP(ROW(A2134)/TotalEtapas,0)),"")</f>
        <v/>
      </c>
      <c r="D2135" t="str">
        <f>IFERROR(VLOOKUP(tbEscolas[[#This Row],[COD ETPA]],tbEtapas[],2,FALSE),"")</f>
        <v/>
      </c>
      <c r="E2135" t="str">
        <f>IFERROR(VLOOKUP(tbEscolas[[#This Row],[COD ETPA]],tbEtapas[],3,FALSE),"")</f>
        <v/>
      </c>
    </row>
    <row r="2136" spans="1:5" x14ac:dyDescent="0.25">
      <c r="A2136" t="str" cm="1">
        <f t="array" ref="A2136">IFERROR(INDEX(tbNucleo[ESCOLA],ROUNDUP(ROW(A2135)/TotalEtapas,0)),"")</f>
        <v/>
      </c>
      <c r="D2136" t="str">
        <f>IFERROR(VLOOKUP(tbEscolas[[#This Row],[COD ETPA]],tbEtapas[],2,FALSE),"")</f>
        <v/>
      </c>
      <c r="E2136" t="str">
        <f>IFERROR(VLOOKUP(tbEscolas[[#This Row],[COD ETPA]],tbEtapas[],3,FALSE),"")</f>
        <v/>
      </c>
    </row>
    <row r="2137" spans="1:5" x14ac:dyDescent="0.25">
      <c r="A2137" t="str" cm="1">
        <f t="array" ref="A2137">IFERROR(INDEX(tbNucleo[ESCOLA],ROUNDUP(ROW(A2136)/TotalEtapas,0)),"")</f>
        <v/>
      </c>
      <c r="D2137" t="str">
        <f>IFERROR(VLOOKUP(tbEscolas[[#This Row],[COD ETPA]],tbEtapas[],2,FALSE),"")</f>
        <v/>
      </c>
      <c r="E2137" t="str">
        <f>IFERROR(VLOOKUP(tbEscolas[[#This Row],[COD ETPA]],tbEtapas[],3,FALSE),"")</f>
        <v/>
      </c>
    </row>
    <row r="2138" spans="1:5" x14ac:dyDescent="0.25">
      <c r="A2138" t="str" cm="1">
        <f t="array" ref="A2138">IFERROR(INDEX(tbNucleo[ESCOLA],ROUNDUP(ROW(A2137)/TotalEtapas,0)),"")</f>
        <v/>
      </c>
      <c r="D2138" t="str">
        <f>IFERROR(VLOOKUP(tbEscolas[[#This Row],[COD ETPA]],tbEtapas[],2,FALSE),"")</f>
        <v/>
      </c>
      <c r="E2138" t="str">
        <f>IFERROR(VLOOKUP(tbEscolas[[#This Row],[COD ETPA]],tbEtapas[],3,FALSE),"")</f>
        <v/>
      </c>
    </row>
    <row r="2139" spans="1:5" x14ac:dyDescent="0.25">
      <c r="A2139" t="str" cm="1">
        <f t="array" ref="A2139">IFERROR(INDEX(tbNucleo[ESCOLA],ROUNDUP(ROW(A2138)/TotalEtapas,0)),"")</f>
        <v/>
      </c>
      <c r="D2139" t="str">
        <f>IFERROR(VLOOKUP(tbEscolas[[#This Row],[COD ETPA]],tbEtapas[],2,FALSE),"")</f>
        <v/>
      </c>
      <c r="E2139" t="str">
        <f>IFERROR(VLOOKUP(tbEscolas[[#This Row],[COD ETPA]],tbEtapas[],3,FALSE),"")</f>
        <v/>
      </c>
    </row>
    <row r="2140" spans="1:5" x14ac:dyDescent="0.25">
      <c r="A2140" t="str" cm="1">
        <f t="array" ref="A2140">IFERROR(INDEX(tbNucleo[ESCOLA],ROUNDUP(ROW(A2139)/TotalEtapas,0)),"")</f>
        <v/>
      </c>
      <c r="D2140" t="str">
        <f>IFERROR(VLOOKUP(tbEscolas[[#This Row],[COD ETPA]],tbEtapas[],2,FALSE),"")</f>
        <v/>
      </c>
      <c r="E2140" t="str">
        <f>IFERROR(VLOOKUP(tbEscolas[[#This Row],[COD ETPA]],tbEtapas[],3,FALSE),"")</f>
        <v/>
      </c>
    </row>
    <row r="2141" spans="1:5" x14ac:dyDescent="0.25">
      <c r="A2141" t="str" cm="1">
        <f t="array" ref="A2141">IFERROR(INDEX(tbNucleo[ESCOLA],ROUNDUP(ROW(A2140)/TotalEtapas,0)),"")</f>
        <v/>
      </c>
      <c r="D2141" t="str">
        <f>IFERROR(VLOOKUP(tbEscolas[[#This Row],[COD ETPA]],tbEtapas[],2,FALSE),"")</f>
        <v/>
      </c>
      <c r="E2141" t="str">
        <f>IFERROR(VLOOKUP(tbEscolas[[#This Row],[COD ETPA]],tbEtapas[],3,FALSE),"")</f>
        <v/>
      </c>
    </row>
    <row r="2142" spans="1:5" x14ac:dyDescent="0.25">
      <c r="A2142" t="str" cm="1">
        <f t="array" ref="A2142">IFERROR(INDEX(tbNucleo[ESCOLA],ROUNDUP(ROW(A2141)/TotalEtapas,0)),"")</f>
        <v/>
      </c>
      <c r="D2142" t="str">
        <f>IFERROR(VLOOKUP(tbEscolas[[#This Row],[COD ETPA]],tbEtapas[],2,FALSE),"")</f>
        <v/>
      </c>
      <c r="E2142" t="str">
        <f>IFERROR(VLOOKUP(tbEscolas[[#This Row],[COD ETPA]],tbEtapas[],3,FALSE),"")</f>
        <v/>
      </c>
    </row>
    <row r="2143" spans="1:5" x14ac:dyDescent="0.25">
      <c r="A2143" t="str" cm="1">
        <f t="array" ref="A2143">IFERROR(INDEX(tbNucleo[ESCOLA],ROUNDUP(ROW(A2142)/TotalEtapas,0)),"")</f>
        <v/>
      </c>
      <c r="D2143" t="str">
        <f>IFERROR(VLOOKUP(tbEscolas[[#This Row],[COD ETPA]],tbEtapas[],2,FALSE),"")</f>
        <v/>
      </c>
      <c r="E2143" t="str">
        <f>IFERROR(VLOOKUP(tbEscolas[[#This Row],[COD ETPA]],tbEtapas[],3,FALSE),"")</f>
        <v/>
      </c>
    </row>
    <row r="2144" spans="1:5" x14ac:dyDescent="0.25">
      <c r="A2144" t="str" cm="1">
        <f t="array" ref="A2144">IFERROR(INDEX(tbNucleo[ESCOLA],ROUNDUP(ROW(A2143)/TotalEtapas,0)),"")</f>
        <v/>
      </c>
      <c r="D2144" t="str">
        <f>IFERROR(VLOOKUP(tbEscolas[[#This Row],[COD ETPA]],tbEtapas[],2,FALSE),"")</f>
        <v/>
      </c>
      <c r="E2144" t="str">
        <f>IFERROR(VLOOKUP(tbEscolas[[#This Row],[COD ETPA]],tbEtapas[],3,FALSE),"")</f>
        <v/>
      </c>
    </row>
    <row r="2145" spans="1:5" x14ac:dyDescent="0.25">
      <c r="A2145" t="str" cm="1">
        <f t="array" ref="A2145">IFERROR(INDEX(tbNucleo[ESCOLA],ROUNDUP(ROW(A2144)/TotalEtapas,0)),"")</f>
        <v/>
      </c>
      <c r="D2145" t="str">
        <f>IFERROR(VLOOKUP(tbEscolas[[#This Row],[COD ETPA]],tbEtapas[],2,FALSE),"")</f>
        <v/>
      </c>
      <c r="E2145" t="str">
        <f>IFERROR(VLOOKUP(tbEscolas[[#This Row],[COD ETPA]],tbEtapas[],3,FALSE),"")</f>
        <v/>
      </c>
    </row>
    <row r="2146" spans="1:5" x14ac:dyDescent="0.25">
      <c r="A2146" t="str" cm="1">
        <f t="array" ref="A2146">IFERROR(INDEX(tbNucleo[ESCOLA],ROUNDUP(ROW(A2145)/TotalEtapas,0)),"")</f>
        <v/>
      </c>
      <c r="D2146" t="str">
        <f>IFERROR(VLOOKUP(tbEscolas[[#This Row],[COD ETPA]],tbEtapas[],2,FALSE),"")</f>
        <v/>
      </c>
      <c r="E2146" t="str">
        <f>IFERROR(VLOOKUP(tbEscolas[[#This Row],[COD ETPA]],tbEtapas[],3,FALSE),"")</f>
        <v/>
      </c>
    </row>
    <row r="2147" spans="1:5" x14ac:dyDescent="0.25">
      <c r="A2147" t="str" cm="1">
        <f t="array" ref="A2147">IFERROR(INDEX(tbNucleo[ESCOLA],ROUNDUP(ROW(A2146)/TotalEtapas,0)),"")</f>
        <v/>
      </c>
      <c r="D2147" t="str">
        <f>IFERROR(VLOOKUP(tbEscolas[[#This Row],[COD ETPA]],tbEtapas[],2,FALSE),"")</f>
        <v/>
      </c>
      <c r="E2147" t="str">
        <f>IFERROR(VLOOKUP(tbEscolas[[#This Row],[COD ETPA]],tbEtapas[],3,FALSE),"")</f>
        <v/>
      </c>
    </row>
    <row r="2148" spans="1:5" x14ac:dyDescent="0.25">
      <c r="A2148" t="str" cm="1">
        <f t="array" ref="A2148">IFERROR(INDEX(tbNucleo[ESCOLA],ROUNDUP(ROW(A2147)/TotalEtapas,0)),"")</f>
        <v/>
      </c>
      <c r="D2148" t="str">
        <f>IFERROR(VLOOKUP(tbEscolas[[#This Row],[COD ETPA]],tbEtapas[],2,FALSE),"")</f>
        <v/>
      </c>
      <c r="E2148" t="str">
        <f>IFERROR(VLOOKUP(tbEscolas[[#This Row],[COD ETPA]],tbEtapas[],3,FALSE),"")</f>
        <v/>
      </c>
    </row>
    <row r="2149" spans="1:5" x14ac:dyDescent="0.25">
      <c r="A2149" t="str" cm="1">
        <f t="array" ref="A2149">IFERROR(INDEX(tbNucleo[ESCOLA],ROUNDUP(ROW(A2148)/TotalEtapas,0)),"")</f>
        <v/>
      </c>
      <c r="D2149" t="str">
        <f>IFERROR(VLOOKUP(tbEscolas[[#This Row],[COD ETPA]],tbEtapas[],2,FALSE),"")</f>
        <v/>
      </c>
      <c r="E2149" t="str">
        <f>IFERROR(VLOOKUP(tbEscolas[[#This Row],[COD ETPA]],tbEtapas[],3,FALSE),"")</f>
        <v/>
      </c>
    </row>
    <row r="2150" spans="1:5" x14ac:dyDescent="0.25">
      <c r="A2150" t="str" cm="1">
        <f t="array" ref="A2150">IFERROR(INDEX(tbNucleo[ESCOLA],ROUNDUP(ROW(A2149)/TotalEtapas,0)),"")</f>
        <v/>
      </c>
      <c r="D2150" t="str">
        <f>IFERROR(VLOOKUP(tbEscolas[[#This Row],[COD ETPA]],tbEtapas[],2,FALSE),"")</f>
        <v/>
      </c>
      <c r="E2150" t="str">
        <f>IFERROR(VLOOKUP(tbEscolas[[#This Row],[COD ETPA]],tbEtapas[],3,FALSE),"")</f>
        <v/>
      </c>
    </row>
    <row r="2151" spans="1:5" x14ac:dyDescent="0.25">
      <c r="A2151" t="str" cm="1">
        <f t="array" ref="A2151">IFERROR(INDEX(tbNucleo[ESCOLA],ROUNDUP(ROW(A2150)/TotalEtapas,0)),"")</f>
        <v/>
      </c>
      <c r="D2151" t="str">
        <f>IFERROR(VLOOKUP(tbEscolas[[#This Row],[COD ETPA]],tbEtapas[],2,FALSE),"")</f>
        <v/>
      </c>
      <c r="E2151" t="str">
        <f>IFERROR(VLOOKUP(tbEscolas[[#This Row],[COD ETPA]],tbEtapas[],3,FALSE),"")</f>
        <v/>
      </c>
    </row>
    <row r="2152" spans="1:5" x14ac:dyDescent="0.25">
      <c r="A2152" t="str" cm="1">
        <f t="array" ref="A2152">IFERROR(INDEX(tbNucleo[ESCOLA],ROUNDUP(ROW(A2151)/TotalEtapas,0)),"")</f>
        <v/>
      </c>
      <c r="D2152" t="str">
        <f>IFERROR(VLOOKUP(tbEscolas[[#This Row],[COD ETPA]],tbEtapas[],2,FALSE),"")</f>
        <v/>
      </c>
      <c r="E2152" t="str">
        <f>IFERROR(VLOOKUP(tbEscolas[[#This Row],[COD ETPA]],tbEtapas[],3,FALSE),"")</f>
        <v/>
      </c>
    </row>
    <row r="2153" spans="1:5" x14ac:dyDescent="0.25">
      <c r="A2153" t="str" cm="1">
        <f t="array" ref="A2153">IFERROR(INDEX(tbNucleo[ESCOLA],ROUNDUP(ROW(A2152)/TotalEtapas,0)),"")</f>
        <v/>
      </c>
      <c r="D2153" t="str">
        <f>IFERROR(VLOOKUP(tbEscolas[[#This Row],[COD ETPA]],tbEtapas[],2,FALSE),"")</f>
        <v/>
      </c>
      <c r="E2153" t="str">
        <f>IFERROR(VLOOKUP(tbEscolas[[#This Row],[COD ETPA]],tbEtapas[],3,FALSE),"")</f>
        <v/>
      </c>
    </row>
    <row r="2154" spans="1:5" x14ac:dyDescent="0.25">
      <c r="A2154" t="str" cm="1">
        <f t="array" ref="A2154">IFERROR(INDEX(tbNucleo[ESCOLA],ROUNDUP(ROW(A2153)/TotalEtapas,0)),"")</f>
        <v/>
      </c>
      <c r="D2154" t="str">
        <f>IFERROR(VLOOKUP(tbEscolas[[#This Row],[COD ETPA]],tbEtapas[],2,FALSE),"")</f>
        <v/>
      </c>
      <c r="E2154" t="str">
        <f>IFERROR(VLOOKUP(tbEscolas[[#This Row],[COD ETPA]],tbEtapas[],3,FALSE),"")</f>
        <v/>
      </c>
    </row>
    <row r="2155" spans="1:5" x14ac:dyDescent="0.25">
      <c r="A2155" t="str" cm="1">
        <f t="array" ref="A2155">IFERROR(INDEX(tbNucleo[ESCOLA],ROUNDUP(ROW(A2154)/TotalEtapas,0)),"")</f>
        <v/>
      </c>
      <c r="D2155" t="str">
        <f>IFERROR(VLOOKUP(tbEscolas[[#This Row],[COD ETPA]],tbEtapas[],2,FALSE),"")</f>
        <v/>
      </c>
      <c r="E2155" t="str">
        <f>IFERROR(VLOOKUP(tbEscolas[[#This Row],[COD ETPA]],tbEtapas[],3,FALSE),"")</f>
        <v/>
      </c>
    </row>
    <row r="2156" spans="1:5" x14ac:dyDescent="0.25">
      <c r="A2156" t="str" cm="1">
        <f t="array" ref="A2156">IFERROR(INDEX(tbNucleo[ESCOLA],ROUNDUP(ROW(A2155)/TotalEtapas,0)),"")</f>
        <v/>
      </c>
      <c r="D2156" t="str">
        <f>IFERROR(VLOOKUP(tbEscolas[[#This Row],[COD ETPA]],tbEtapas[],2,FALSE),"")</f>
        <v/>
      </c>
      <c r="E2156" t="str">
        <f>IFERROR(VLOOKUP(tbEscolas[[#This Row],[COD ETPA]],tbEtapas[],3,FALSE),"")</f>
        <v/>
      </c>
    </row>
    <row r="2157" spans="1:5" x14ac:dyDescent="0.25">
      <c r="A2157" t="str" cm="1">
        <f t="array" ref="A2157">IFERROR(INDEX(tbNucleo[ESCOLA],ROUNDUP(ROW(A2156)/TotalEtapas,0)),"")</f>
        <v/>
      </c>
      <c r="D2157" t="str">
        <f>IFERROR(VLOOKUP(tbEscolas[[#This Row],[COD ETPA]],tbEtapas[],2,FALSE),"")</f>
        <v/>
      </c>
      <c r="E2157" t="str">
        <f>IFERROR(VLOOKUP(tbEscolas[[#This Row],[COD ETPA]],tbEtapas[],3,FALSE),"")</f>
        <v/>
      </c>
    </row>
    <row r="2158" spans="1:5" x14ac:dyDescent="0.25">
      <c r="A2158" t="str" cm="1">
        <f t="array" ref="A2158">IFERROR(INDEX(tbNucleo[ESCOLA],ROUNDUP(ROW(A2157)/TotalEtapas,0)),"")</f>
        <v/>
      </c>
      <c r="D2158" t="str">
        <f>IFERROR(VLOOKUP(tbEscolas[[#This Row],[COD ETPA]],tbEtapas[],2,FALSE),"")</f>
        <v/>
      </c>
      <c r="E2158" t="str">
        <f>IFERROR(VLOOKUP(tbEscolas[[#This Row],[COD ETPA]],tbEtapas[],3,FALSE),"")</f>
        <v/>
      </c>
    </row>
    <row r="2159" spans="1:5" x14ac:dyDescent="0.25">
      <c r="A2159" t="str" cm="1">
        <f t="array" ref="A2159">IFERROR(INDEX(tbNucleo[ESCOLA],ROUNDUP(ROW(A2158)/TotalEtapas,0)),"")</f>
        <v/>
      </c>
      <c r="D2159" t="str">
        <f>IFERROR(VLOOKUP(tbEscolas[[#This Row],[COD ETPA]],tbEtapas[],2,FALSE),"")</f>
        <v/>
      </c>
      <c r="E2159" t="str">
        <f>IFERROR(VLOOKUP(tbEscolas[[#This Row],[COD ETPA]],tbEtapas[],3,FALSE),"")</f>
        <v/>
      </c>
    </row>
    <row r="2160" spans="1:5" x14ac:dyDescent="0.25">
      <c r="A2160" t="str" cm="1">
        <f t="array" ref="A2160">IFERROR(INDEX(tbNucleo[ESCOLA],ROUNDUP(ROW(A2159)/TotalEtapas,0)),"")</f>
        <v/>
      </c>
      <c r="D2160" t="str">
        <f>IFERROR(VLOOKUP(tbEscolas[[#This Row],[COD ETPA]],tbEtapas[],2,FALSE),"")</f>
        <v/>
      </c>
      <c r="E2160" t="str">
        <f>IFERROR(VLOOKUP(tbEscolas[[#This Row],[COD ETPA]],tbEtapas[],3,FALSE),"")</f>
        <v/>
      </c>
    </row>
    <row r="2161" spans="1:5" x14ac:dyDescent="0.25">
      <c r="A2161" t="str" cm="1">
        <f t="array" ref="A2161">IFERROR(INDEX(tbNucleo[ESCOLA],ROUNDUP(ROW(A2160)/TotalEtapas,0)),"")</f>
        <v/>
      </c>
      <c r="D2161" t="str">
        <f>IFERROR(VLOOKUP(tbEscolas[[#This Row],[COD ETPA]],tbEtapas[],2,FALSE),"")</f>
        <v/>
      </c>
      <c r="E2161" t="str">
        <f>IFERROR(VLOOKUP(tbEscolas[[#This Row],[COD ETPA]],tbEtapas[],3,FALSE),"")</f>
        <v/>
      </c>
    </row>
    <row r="2162" spans="1:5" x14ac:dyDescent="0.25">
      <c r="A2162" t="str" cm="1">
        <f t="array" ref="A2162">IFERROR(INDEX(tbNucleo[ESCOLA],ROUNDUP(ROW(A2161)/TotalEtapas,0)),"")</f>
        <v/>
      </c>
      <c r="D2162" t="str">
        <f>IFERROR(VLOOKUP(tbEscolas[[#This Row],[COD ETPA]],tbEtapas[],2,FALSE),"")</f>
        <v/>
      </c>
      <c r="E2162" t="str">
        <f>IFERROR(VLOOKUP(tbEscolas[[#This Row],[COD ETPA]],tbEtapas[],3,FALSE),"")</f>
        <v/>
      </c>
    </row>
    <row r="2163" spans="1:5" x14ac:dyDescent="0.25">
      <c r="A2163" t="str" cm="1">
        <f t="array" ref="A2163">IFERROR(INDEX(tbNucleo[ESCOLA],ROUNDUP(ROW(A2162)/TotalEtapas,0)),"")</f>
        <v/>
      </c>
      <c r="D2163" t="str">
        <f>IFERROR(VLOOKUP(tbEscolas[[#This Row],[COD ETPA]],tbEtapas[],2,FALSE),"")</f>
        <v/>
      </c>
      <c r="E2163" t="str">
        <f>IFERROR(VLOOKUP(tbEscolas[[#This Row],[COD ETPA]],tbEtapas[],3,FALSE),"")</f>
        <v/>
      </c>
    </row>
    <row r="2164" spans="1:5" x14ac:dyDescent="0.25">
      <c r="A2164" t="str" cm="1">
        <f t="array" ref="A2164">IFERROR(INDEX(tbNucleo[ESCOLA],ROUNDUP(ROW(A2163)/TotalEtapas,0)),"")</f>
        <v/>
      </c>
      <c r="D2164" t="str">
        <f>IFERROR(VLOOKUP(tbEscolas[[#This Row],[COD ETPA]],tbEtapas[],2,FALSE),"")</f>
        <v/>
      </c>
      <c r="E2164" t="str">
        <f>IFERROR(VLOOKUP(tbEscolas[[#This Row],[COD ETPA]],tbEtapas[],3,FALSE),"")</f>
        <v/>
      </c>
    </row>
    <row r="2165" spans="1:5" x14ac:dyDescent="0.25">
      <c r="A2165" t="str" cm="1">
        <f t="array" ref="A2165">IFERROR(INDEX(tbNucleo[ESCOLA],ROUNDUP(ROW(A2164)/TotalEtapas,0)),"")</f>
        <v/>
      </c>
      <c r="D2165" t="str">
        <f>IFERROR(VLOOKUP(tbEscolas[[#This Row],[COD ETPA]],tbEtapas[],2,FALSE),"")</f>
        <v/>
      </c>
      <c r="E2165" t="str">
        <f>IFERROR(VLOOKUP(tbEscolas[[#This Row],[COD ETPA]],tbEtapas[],3,FALSE),"")</f>
        <v/>
      </c>
    </row>
    <row r="2166" spans="1:5" x14ac:dyDescent="0.25">
      <c r="A2166" t="str" cm="1">
        <f t="array" ref="A2166">IFERROR(INDEX(tbNucleo[ESCOLA],ROUNDUP(ROW(A2165)/TotalEtapas,0)),"")</f>
        <v/>
      </c>
      <c r="D2166" t="str">
        <f>IFERROR(VLOOKUP(tbEscolas[[#This Row],[COD ETPA]],tbEtapas[],2,FALSE),"")</f>
        <v/>
      </c>
      <c r="E2166" t="str">
        <f>IFERROR(VLOOKUP(tbEscolas[[#This Row],[COD ETPA]],tbEtapas[],3,FALSE),"")</f>
        <v/>
      </c>
    </row>
    <row r="2167" spans="1:5" x14ac:dyDescent="0.25">
      <c r="A2167" t="str" cm="1">
        <f t="array" ref="A2167">IFERROR(INDEX(tbNucleo[ESCOLA],ROUNDUP(ROW(A2166)/TotalEtapas,0)),"")</f>
        <v/>
      </c>
      <c r="D2167" t="str">
        <f>IFERROR(VLOOKUP(tbEscolas[[#This Row],[COD ETPA]],tbEtapas[],2,FALSE),"")</f>
        <v/>
      </c>
      <c r="E2167" t="str">
        <f>IFERROR(VLOOKUP(tbEscolas[[#This Row],[COD ETPA]],tbEtapas[],3,FALSE),"")</f>
        <v/>
      </c>
    </row>
    <row r="2168" spans="1:5" x14ac:dyDescent="0.25">
      <c r="A2168" t="str" cm="1">
        <f t="array" ref="A2168">IFERROR(INDEX(tbNucleo[ESCOLA],ROUNDUP(ROW(A2167)/TotalEtapas,0)),"")</f>
        <v/>
      </c>
      <c r="D2168" t="str">
        <f>IFERROR(VLOOKUP(tbEscolas[[#This Row],[COD ETPA]],tbEtapas[],2,FALSE),"")</f>
        <v/>
      </c>
      <c r="E2168" t="str">
        <f>IFERROR(VLOOKUP(tbEscolas[[#This Row],[COD ETPA]],tbEtapas[],3,FALSE),"")</f>
        <v/>
      </c>
    </row>
    <row r="2169" spans="1:5" x14ac:dyDescent="0.25">
      <c r="A2169" t="str" cm="1">
        <f t="array" ref="A2169">IFERROR(INDEX(tbNucleo[ESCOLA],ROUNDUP(ROW(A2168)/TotalEtapas,0)),"")</f>
        <v/>
      </c>
      <c r="D2169" t="str">
        <f>IFERROR(VLOOKUP(tbEscolas[[#This Row],[COD ETPA]],tbEtapas[],2,FALSE),"")</f>
        <v/>
      </c>
      <c r="E2169" t="str">
        <f>IFERROR(VLOOKUP(tbEscolas[[#This Row],[COD ETPA]],tbEtapas[],3,FALSE),"")</f>
        <v/>
      </c>
    </row>
    <row r="2170" spans="1:5" x14ac:dyDescent="0.25">
      <c r="A2170" t="str" cm="1">
        <f t="array" ref="A2170">IFERROR(INDEX(tbNucleo[ESCOLA],ROUNDUP(ROW(A2169)/TotalEtapas,0)),"")</f>
        <v/>
      </c>
      <c r="D2170" t="str">
        <f>IFERROR(VLOOKUP(tbEscolas[[#This Row],[COD ETPA]],tbEtapas[],2,FALSE),"")</f>
        <v/>
      </c>
      <c r="E2170" t="str">
        <f>IFERROR(VLOOKUP(tbEscolas[[#This Row],[COD ETPA]],tbEtapas[],3,FALSE),"")</f>
        <v/>
      </c>
    </row>
    <row r="2171" spans="1:5" x14ac:dyDescent="0.25">
      <c r="A2171" t="str" cm="1">
        <f t="array" ref="A2171">IFERROR(INDEX(tbNucleo[ESCOLA],ROUNDUP(ROW(A2170)/TotalEtapas,0)),"")</f>
        <v/>
      </c>
      <c r="D2171" t="str">
        <f>IFERROR(VLOOKUP(tbEscolas[[#This Row],[COD ETPA]],tbEtapas[],2,FALSE),"")</f>
        <v/>
      </c>
      <c r="E2171" t="str">
        <f>IFERROR(VLOOKUP(tbEscolas[[#This Row],[COD ETPA]],tbEtapas[],3,FALSE),"")</f>
        <v/>
      </c>
    </row>
    <row r="2172" spans="1:5" x14ac:dyDescent="0.25">
      <c r="A2172" t="str" cm="1">
        <f t="array" ref="A2172">IFERROR(INDEX(tbNucleo[ESCOLA],ROUNDUP(ROW(A2171)/TotalEtapas,0)),"")</f>
        <v/>
      </c>
      <c r="D2172" t="str">
        <f>IFERROR(VLOOKUP(tbEscolas[[#This Row],[COD ETPA]],tbEtapas[],2,FALSE),"")</f>
        <v/>
      </c>
      <c r="E2172" t="str">
        <f>IFERROR(VLOOKUP(tbEscolas[[#This Row],[COD ETPA]],tbEtapas[],3,FALSE),"")</f>
        <v/>
      </c>
    </row>
    <row r="2173" spans="1:5" x14ac:dyDescent="0.25">
      <c r="A2173" t="str" cm="1">
        <f t="array" ref="A2173">IFERROR(INDEX(tbNucleo[ESCOLA],ROUNDUP(ROW(A2172)/TotalEtapas,0)),"")</f>
        <v/>
      </c>
      <c r="D2173" t="str">
        <f>IFERROR(VLOOKUP(tbEscolas[[#This Row],[COD ETPA]],tbEtapas[],2,FALSE),"")</f>
        <v/>
      </c>
      <c r="E2173" t="str">
        <f>IFERROR(VLOOKUP(tbEscolas[[#This Row],[COD ETPA]],tbEtapas[],3,FALSE),"")</f>
        <v/>
      </c>
    </row>
    <row r="2174" spans="1:5" x14ac:dyDescent="0.25">
      <c r="A2174" t="str" cm="1">
        <f t="array" ref="A2174">IFERROR(INDEX(tbNucleo[ESCOLA],ROUNDUP(ROW(A2173)/TotalEtapas,0)),"")</f>
        <v/>
      </c>
      <c r="D2174" t="str">
        <f>IFERROR(VLOOKUP(tbEscolas[[#This Row],[COD ETPA]],tbEtapas[],2,FALSE),"")</f>
        <v/>
      </c>
      <c r="E2174" t="str">
        <f>IFERROR(VLOOKUP(tbEscolas[[#This Row],[COD ETPA]],tbEtapas[],3,FALSE),"")</f>
        <v/>
      </c>
    </row>
    <row r="2175" spans="1:5" x14ac:dyDescent="0.25">
      <c r="A2175" t="str" cm="1">
        <f t="array" ref="A2175">IFERROR(INDEX(tbNucleo[ESCOLA],ROUNDUP(ROW(A2174)/TotalEtapas,0)),"")</f>
        <v/>
      </c>
      <c r="D2175" t="str">
        <f>IFERROR(VLOOKUP(tbEscolas[[#This Row],[COD ETPA]],tbEtapas[],2,FALSE),"")</f>
        <v/>
      </c>
      <c r="E2175" t="str">
        <f>IFERROR(VLOOKUP(tbEscolas[[#This Row],[COD ETPA]],tbEtapas[],3,FALSE),"")</f>
        <v/>
      </c>
    </row>
    <row r="2176" spans="1:5" x14ac:dyDescent="0.25">
      <c r="A2176" t="str" cm="1">
        <f t="array" ref="A2176">IFERROR(INDEX(tbNucleo[ESCOLA],ROUNDUP(ROW(A2175)/TotalEtapas,0)),"")</f>
        <v/>
      </c>
      <c r="D2176" t="str">
        <f>IFERROR(VLOOKUP(tbEscolas[[#This Row],[COD ETPA]],tbEtapas[],2,FALSE),"")</f>
        <v/>
      </c>
      <c r="E2176" t="str">
        <f>IFERROR(VLOOKUP(tbEscolas[[#This Row],[COD ETPA]],tbEtapas[],3,FALSE),"")</f>
        <v/>
      </c>
    </row>
    <row r="2177" spans="1:5" x14ac:dyDescent="0.25">
      <c r="A2177" t="str" cm="1">
        <f t="array" ref="A2177">IFERROR(INDEX(tbNucleo[ESCOLA],ROUNDUP(ROW(A2176)/TotalEtapas,0)),"")</f>
        <v/>
      </c>
      <c r="D2177" t="str">
        <f>IFERROR(VLOOKUP(tbEscolas[[#This Row],[COD ETPA]],tbEtapas[],2,FALSE),"")</f>
        <v/>
      </c>
      <c r="E2177" t="str">
        <f>IFERROR(VLOOKUP(tbEscolas[[#This Row],[COD ETPA]],tbEtapas[],3,FALSE),"")</f>
        <v/>
      </c>
    </row>
    <row r="2178" spans="1:5" x14ac:dyDescent="0.25">
      <c r="A2178" t="str" cm="1">
        <f t="array" ref="A2178">IFERROR(INDEX(tbNucleo[ESCOLA],ROUNDUP(ROW(A2177)/TotalEtapas,0)),"")</f>
        <v/>
      </c>
      <c r="D2178" t="str">
        <f>IFERROR(VLOOKUP(tbEscolas[[#This Row],[COD ETPA]],tbEtapas[],2,FALSE),"")</f>
        <v/>
      </c>
      <c r="E2178" t="str">
        <f>IFERROR(VLOOKUP(tbEscolas[[#This Row],[COD ETPA]],tbEtapas[],3,FALSE),"")</f>
        <v/>
      </c>
    </row>
    <row r="2179" spans="1:5" x14ac:dyDescent="0.25">
      <c r="A2179" t="str" cm="1">
        <f t="array" ref="A2179">IFERROR(INDEX(tbNucleo[ESCOLA],ROUNDUP(ROW(A2178)/TotalEtapas,0)),"")</f>
        <v/>
      </c>
      <c r="D2179" t="str">
        <f>IFERROR(VLOOKUP(tbEscolas[[#This Row],[COD ETPA]],tbEtapas[],2,FALSE),"")</f>
        <v/>
      </c>
      <c r="E2179" t="str">
        <f>IFERROR(VLOOKUP(tbEscolas[[#This Row],[COD ETPA]],tbEtapas[],3,FALSE),"")</f>
        <v/>
      </c>
    </row>
    <row r="2180" spans="1:5" x14ac:dyDescent="0.25">
      <c r="A2180" t="str" cm="1">
        <f t="array" ref="A2180">IFERROR(INDEX(tbNucleo[ESCOLA],ROUNDUP(ROW(A2179)/TotalEtapas,0)),"")</f>
        <v/>
      </c>
      <c r="D2180" t="str">
        <f>IFERROR(VLOOKUP(tbEscolas[[#This Row],[COD ETPA]],tbEtapas[],2,FALSE),"")</f>
        <v/>
      </c>
      <c r="E2180" t="str">
        <f>IFERROR(VLOOKUP(tbEscolas[[#This Row],[COD ETPA]],tbEtapas[],3,FALSE),"")</f>
        <v/>
      </c>
    </row>
    <row r="2181" spans="1:5" x14ac:dyDescent="0.25">
      <c r="A2181" t="str" cm="1">
        <f t="array" ref="A2181">IFERROR(INDEX(tbNucleo[ESCOLA],ROUNDUP(ROW(A2180)/TotalEtapas,0)),"")</f>
        <v/>
      </c>
      <c r="D2181" t="str">
        <f>IFERROR(VLOOKUP(tbEscolas[[#This Row],[COD ETPA]],tbEtapas[],2,FALSE),"")</f>
        <v/>
      </c>
      <c r="E2181" t="str">
        <f>IFERROR(VLOOKUP(tbEscolas[[#This Row],[COD ETPA]],tbEtapas[],3,FALSE),"")</f>
        <v/>
      </c>
    </row>
    <row r="2182" spans="1:5" x14ac:dyDescent="0.25">
      <c r="A2182" t="str" cm="1">
        <f t="array" ref="A2182">IFERROR(INDEX(tbNucleo[ESCOLA],ROUNDUP(ROW(A2181)/TotalEtapas,0)),"")</f>
        <v/>
      </c>
      <c r="D2182" t="str">
        <f>IFERROR(VLOOKUP(tbEscolas[[#This Row],[COD ETPA]],tbEtapas[],2,FALSE),"")</f>
        <v/>
      </c>
      <c r="E2182" t="str">
        <f>IFERROR(VLOOKUP(tbEscolas[[#This Row],[COD ETPA]],tbEtapas[],3,FALSE),"")</f>
        <v/>
      </c>
    </row>
    <row r="2183" spans="1:5" x14ac:dyDescent="0.25">
      <c r="A2183" t="str" cm="1">
        <f t="array" ref="A2183">IFERROR(INDEX(tbNucleo[ESCOLA],ROUNDUP(ROW(A2182)/TotalEtapas,0)),"")</f>
        <v/>
      </c>
      <c r="D2183" t="str">
        <f>IFERROR(VLOOKUP(tbEscolas[[#This Row],[COD ETPA]],tbEtapas[],2,FALSE),"")</f>
        <v/>
      </c>
      <c r="E2183" t="str">
        <f>IFERROR(VLOOKUP(tbEscolas[[#This Row],[COD ETPA]],tbEtapas[],3,FALSE),"")</f>
        <v/>
      </c>
    </row>
    <row r="2184" spans="1:5" x14ac:dyDescent="0.25">
      <c r="A2184" t="str" cm="1">
        <f t="array" ref="A2184">IFERROR(INDEX(tbNucleo[ESCOLA],ROUNDUP(ROW(A2183)/TotalEtapas,0)),"")</f>
        <v/>
      </c>
      <c r="D2184" t="str">
        <f>IFERROR(VLOOKUP(tbEscolas[[#This Row],[COD ETPA]],tbEtapas[],2,FALSE),"")</f>
        <v/>
      </c>
      <c r="E2184" t="str">
        <f>IFERROR(VLOOKUP(tbEscolas[[#This Row],[COD ETPA]],tbEtapas[],3,FALSE),"")</f>
        <v/>
      </c>
    </row>
    <row r="2185" spans="1:5" x14ac:dyDescent="0.25">
      <c r="A2185" t="str" cm="1">
        <f t="array" ref="A2185">IFERROR(INDEX(tbNucleo[ESCOLA],ROUNDUP(ROW(A2184)/TotalEtapas,0)),"")</f>
        <v/>
      </c>
      <c r="D2185" t="str">
        <f>IFERROR(VLOOKUP(tbEscolas[[#This Row],[COD ETPA]],tbEtapas[],2,FALSE),"")</f>
        <v/>
      </c>
      <c r="E2185" t="str">
        <f>IFERROR(VLOOKUP(tbEscolas[[#This Row],[COD ETPA]],tbEtapas[],3,FALSE),"")</f>
        <v/>
      </c>
    </row>
    <row r="2186" spans="1:5" x14ac:dyDescent="0.25">
      <c r="A2186" t="str" cm="1">
        <f t="array" ref="A2186">IFERROR(INDEX(tbNucleo[ESCOLA],ROUNDUP(ROW(A2185)/TotalEtapas,0)),"")</f>
        <v/>
      </c>
      <c r="D2186" t="str">
        <f>IFERROR(VLOOKUP(tbEscolas[[#This Row],[COD ETPA]],tbEtapas[],2,FALSE),"")</f>
        <v/>
      </c>
      <c r="E2186" t="str">
        <f>IFERROR(VLOOKUP(tbEscolas[[#This Row],[COD ETPA]],tbEtapas[],3,FALSE),"")</f>
        <v/>
      </c>
    </row>
    <row r="2187" spans="1:5" x14ac:dyDescent="0.25">
      <c r="A2187" t="str" cm="1">
        <f t="array" ref="A2187">IFERROR(INDEX(tbNucleo[ESCOLA],ROUNDUP(ROW(A2186)/TotalEtapas,0)),"")</f>
        <v/>
      </c>
      <c r="D2187" t="str">
        <f>IFERROR(VLOOKUP(tbEscolas[[#This Row],[COD ETPA]],tbEtapas[],2,FALSE),"")</f>
        <v/>
      </c>
      <c r="E2187" t="str">
        <f>IFERROR(VLOOKUP(tbEscolas[[#This Row],[COD ETPA]],tbEtapas[],3,FALSE),"")</f>
        <v/>
      </c>
    </row>
    <row r="2188" spans="1:5" x14ac:dyDescent="0.25">
      <c r="A2188" t="str" cm="1">
        <f t="array" ref="A2188">IFERROR(INDEX(tbNucleo[ESCOLA],ROUNDUP(ROW(A2187)/TotalEtapas,0)),"")</f>
        <v/>
      </c>
      <c r="D2188" t="str">
        <f>IFERROR(VLOOKUP(tbEscolas[[#This Row],[COD ETPA]],tbEtapas[],2,FALSE),"")</f>
        <v/>
      </c>
      <c r="E2188" t="str">
        <f>IFERROR(VLOOKUP(tbEscolas[[#This Row],[COD ETPA]],tbEtapas[],3,FALSE),"")</f>
        <v/>
      </c>
    </row>
    <row r="2189" spans="1:5" x14ac:dyDescent="0.25">
      <c r="A2189" t="str" cm="1">
        <f t="array" ref="A2189">IFERROR(INDEX(tbNucleo[ESCOLA],ROUNDUP(ROW(A2188)/TotalEtapas,0)),"")</f>
        <v/>
      </c>
      <c r="D2189" t="str">
        <f>IFERROR(VLOOKUP(tbEscolas[[#This Row],[COD ETPA]],tbEtapas[],2,FALSE),"")</f>
        <v/>
      </c>
      <c r="E2189" t="str">
        <f>IFERROR(VLOOKUP(tbEscolas[[#This Row],[COD ETPA]],tbEtapas[],3,FALSE),"")</f>
        <v/>
      </c>
    </row>
    <row r="2190" spans="1:5" x14ac:dyDescent="0.25">
      <c r="A2190" t="str" cm="1">
        <f t="array" ref="A2190">IFERROR(INDEX(tbNucleo[ESCOLA],ROUNDUP(ROW(A2189)/TotalEtapas,0)),"")</f>
        <v/>
      </c>
      <c r="D2190" t="str">
        <f>IFERROR(VLOOKUP(tbEscolas[[#This Row],[COD ETPA]],tbEtapas[],2,FALSE),"")</f>
        <v/>
      </c>
      <c r="E2190" t="str">
        <f>IFERROR(VLOOKUP(tbEscolas[[#This Row],[COD ETPA]],tbEtapas[],3,FALSE),"")</f>
        <v/>
      </c>
    </row>
    <row r="2191" spans="1:5" x14ac:dyDescent="0.25">
      <c r="A2191" t="str" cm="1">
        <f t="array" ref="A2191">IFERROR(INDEX(tbNucleo[ESCOLA],ROUNDUP(ROW(A2190)/TotalEtapas,0)),"")</f>
        <v/>
      </c>
      <c r="D2191" t="str">
        <f>IFERROR(VLOOKUP(tbEscolas[[#This Row],[COD ETPA]],tbEtapas[],2,FALSE),"")</f>
        <v/>
      </c>
      <c r="E2191" t="str">
        <f>IFERROR(VLOOKUP(tbEscolas[[#This Row],[COD ETPA]],tbEtapas[],3,FALSE),"")</f>
        <v/>
      </c>
    </row>
    <row r="2192" spans="1:5" x14ac:dyDescent="0.25">
      <c r="A2192" t="str" cm="1">
        <f t="array" ref="A2192">IFERROR(INDEX(tbNucleo[ESCOLA],ROUNDUP(ROW(A2191)/TotalEtapas,0)),"")</f>
        <v/>
      </c>
      <c r="D2192" t="str">
        <f>IFERROR(VLOOKUP(tbEscolas[[#This Row],[COD ETPA]],tbEtapas[],2,FALSE),"")</f>
        <v/>
      </c>
      <c r="E2192" t="str">
        <f>IFERROR(VLOOKUP(tbEscolas[[#This Row],[COD ETPA]],tbEtapas[],3,FALSE),"")</f>
        <v/>
      </c>
    </row>
    <row r="2193" spans="1:5" x14ac:dyDescent="0.25">
      <c r="A2193" t="str" cm="1">
        <f t="array" ref="A2193">IFERROR(INDEX(tbNucleo[ESCOLA],ROUNDUP(ROW(A2192)/TotalEtapas,0)),"")</f>
        <v/>
      </c>
      <c r="D2193" t="str">
        <f>IFERROR(VLOOKUP(tbEscolas[[#This Row],[COD ETPA]],tbEtapas[],2,FALSE),"")</f>
        <v/>
      </c>
      <c r="E2193" t="str">
        <f>IFERROR(VLOOKUP(tbEscolas[[#This Row],[COD ETPA]],tbEtapas[],3,FALSE),"")</f>
        <v/>
      </c>
    </row>
    <row r="2194" spans="1:5" x14ac:dyDescent="0.25">
      <c r="A2194" t="str" cm="1">
        <f t="array" ref="A2194">IFERROR(INDEX(tbNucleo[ESCOLA],ROUNDUP(ROW(A2193)/TotalEtapas,0)),"")</f>
        <v/>
      </c>
      <c r="D2194" t="str">
        <f>IFERROR(VLOOKUP(tbEscolas[[#This Row],[COD ETPA]],tbEtapas[],2,FALSE),"")</f>
        <v/>
      </c>
      <c r="E2194" t="str">
        <f>IFERROR(VLOOKUP(tbEscolas[[#This Row],[COD ETPA]],tbEtapas[],3,FALSE),"")</f>
        <v/>
      </c>
    </row>
    <row r="2195" spans="1:5" x14ac:dyDescent="0.25">
      <c r="A2195" t="str" cm="1">
        <f t="array" ref="A2195">IFERROR(INDEX(tbNucleo[ESCOLA],ROUNDUP(ROW(A2194)/TotalEtapas,0)),"")</f>
        <v/>
      </c>
      <c r="D2195" t="str">
        <f>IFERROR(VLOOKUP(tbEscolas[[#This Row],[COD ETPA]],tbEtapas[],2,FALSE),"")</f>
        <v/>
      </c>
      <c r="E2195" t="str">
        <f>IFERROR(VLOOKUP(tbEscolas[[#This Row],[COD ETPA]],tbEtapas[],3,FALSE),"")</f>
        <v/>
      </c>
    </row>
    <row r="2196" spans="1:5" x14ac:dyDescent="0.25">
      <c r="A2196" t="str" cm="1">
        <f t="array" ref="A2196">IFERROR(INDEX(tbNucleo[ESCOLA],ROUNDUP(ROW(A2195)/TotalEtapas,0)),"")</f>
        <v/>
      </c>
      <c r="D2196" t="str">
        <f>IFERROR(VLOOKUP(tbEscolas[[#This Row],[COD ETPA]],tbEtapas[],2,FALSE),"")</f>
        <v/>
      </c>
      <c r="E2196" t="str">
        <f>IFERROR(VLOOKUP(tbEscolas[[#This Row],[COD ETPA]],tbEtapas[],3,FALSE),"")</f>
        <v/>
      </c>
    </row>
    <row r="2197" spans="1:5" x14ac:dyDescent="0.25">
      <c r="A2197" t="str" cm="1">
        <f t="array" ref="A2197">IFERROR(INDEX(tbNucleo[ESCOLA],ROUNDUP(ROW(A2196)/TotalEtapas,0)),"")</f>
        <v/>
      </c>
      <c r="D2197" t="str">
        <f>IFERROR(VLOOKUP(tbEscolas[[#This Row],[COD ETPA]],tbEtapas[],2,FALSE),"")</f>
        <v/>
      </c>
      <c r="E2197" t="str">
        <f>IFERROR(VLOOKUP(tbEscolas[[#This Row],[COD ETPA]],tbEtapas[],3,FALSE),"")</f>
        <v/>
      </c>
    </row>
    <row r="2198" spans="1:5" x14ac:dyDescent="0.25">
      <c r="A2198" t="str" cm="1">
        <f t="array" ref="A2198">IFERROR(INDEX(tbNucleo[ESCOLA],ROUNDUP(ROW(A2197)/TotalEtapas,0)),"")</f>
        <v/>
      </c>
      <c r="D2198" t="str">
        <f>IFERROR(VLOOKUP(tbEscolas[[#This Row],[COD ETPA]],tbEtapas[],2,FALSE),"")</f>
        <v/>
      </c>
      <c r="E2198" t="str">
        <f>IFERROR(VLOOKUP(tbEscolas[[#This Row],[COD ETPA]],tbEtapas[],3,FALSE),"")</f>
        <v/>
      </c>
    </row>
    <row r="2199" spans="1:5" x14ac:dyDescent="0.25">
      <c r="A2199" t="str" cm="1">
        <f t="array" ref="A2199">IFERROR(INDEX(tbNucleo[ESCOLA],ROUNDUP(ROW(A2198)/TotalEtapas,0)),"")</f>
        <v/>
      </c>
      <c r="D2199" t="str">
        <f>IFERROR(VLOOKUP(tbEscolas[[#This Row],[COD ETPA]],tbEtapas[],2,FALSE),"")</f>
        <v/>
      </c>
      <c r="E2199" t="str">
        <f>IFERROR(VLOOKUP(tbEscolas[[#This Row],[COD ETPA]],tbEtapas[],3,FALSE),"")</f>
        <v/>
      </c>
    </row>
    <row r="2200" spans="1:5" x14ac:dyDescent="0.25">
      <c r="A2200" t="str" cm="1">
        <f t="array" ref="A2200">IFERROR(INDEX(tbNucleo[ESCOLA],ROUNDUP(ROW(A2199)/TotalEtapas,0)),"")</f>
        <v/>
      </c>
      <c r="D2200" t="str">
        <f>IFERROR(VLOOKUP(tbEscolas[[#This Row],[COD ETPA]],tbEtapas[],2,FALSE),"")</f>
        <v/>
      </c>
      <c r="E2200" t="str">
        <f>IFERROR(VLOOKUP(tbEscolas[[#This Row],[COD ETPA]],tbEtapas[],3,FALSE),"")</f>
        <v/>
      </c>
    </row>
    <row r="2201" spans="1:5" x14ac:dyDescent="0.25">
      <c r="A2201" t="str" cm="1">
        <f t="array" ref="A2201">IFERROR(INDEX(tbNucleo[ESCOLA],ROUNDUP(ROW(A2200)/TotalEtapas,0)),"")</f>
        <v/>
      </c>
      <c r="D2201" t="str">
        <f>IFERROR(VLOOKUP(tbEscolas[[#This Row],[COD ETPA]],tbEtapas[],2,FALSE),"")</f>
        <v/>
      </c>
      <c r="E2201" t="str">
        <f>IFERROR(VLOOKUP(tbEscolas[[#This Row],[COD ETPA]],tbEtapas[],3,FALSE),"")</f>
        <v/>
      </c>
    </row>
    <row r="2202" spans="1:5" x14ac:dyDescent="0.25">
      <c r="A2202" t="str" cm="1">
        <f t="array" ref="A2202">IFERROR(INDEX(tbNucleo[ESCOLA],ROUNDUP(ROW(A2201)/TotalEtapas,0)),"")</f>
        <v/>
      </c>
      <c r="D2202" t="str">
        <f>IFERROR(VLOOKUP(tbEscolas[[#This Row],[COD ETPA]],tbEtapas[],2,FALSE),"")</f>
        <v/>
      </c>
      <c r="E2202" t="str">
        <f>IFERROR(VLOOKUP(tbEscolas[[#This Row],[COD ETPA]],tbEtapas[],3,FALSE),"")</f>
        <v/>
      </c>
    </row>
    <row r="2203" spans="1:5" x14ac:dyDescent="0.25">
      <c r="A2203" t="str" cm="1">
        <f t="array" ref="A2203">IFERROR(INDEX(tbNucleo[ESCOLA],ROUNDUP(ROW(A2202)/TotalEtapas,0)),"")</f>
        <v/>
      </c>
      <c r="D2203" t="str">
        <f>IFERROR(VLOOKUP(tbEscolas[[#This Row],[COD ETPA]],tbEtapas[],2,FALSE),"")</f>
        <v/>
      </c>
      <c r="E2203" t="str">
        <f>IFERROR(VLOOKUP(tbEscolas[[#This Row],[COD ETPA]],tbEtapas[],3,FALSE),"")</f>
        <v/>
      </c>
    </row>
    <row r="2204" spans="1:5" x14ac:dyDescent="0.25">
      <c r="A2204" t="str" cm="1">
        <f t="array" ref="A2204">IFERROR(INDEX(tbNucleo[ESCOLA],ROUNDUP(ROW(A2203)/TotalEtapas,0)),"")</f>
        <v/>
      </c>
      <c r="D2204" t="str">
        <f>IFERROR(VLOOKUP(tbEscolas[[#This Row],[COD ETPA]],tbEtapas[],2,FALSE),"")</f>
        <v/>
      </c>
      <c r="E2204" t="str">
        <f>IFERROR(VLOOKUP(tbEscolas[[#This Row],[COD ETPA]],tbEtapas[],3,FALSE),"")</f>
        <v/>
      </c>
    </row>
    <row r="2205" spans="1:5" x14ac:dyDescent="0.25">
      <c r="A2205" t="str" cm="1">
        <f t="array" ref="A2205">IFERROR(INDEX(tbNucleo[ESCOLA],ROUNDUP(ROW(A2204)/TotalEtapas,0)),"")</f>
        <v/>
      </c>
      <c r="D2205" t="str">
        <f>IFERROR(VLOOKUP(tbEscolas[[#This Row],[COD ETPA]],tbEtapas[],2,FALSE),"")</f>
        <v/>
      </c>
      <c r="E2205" t="str">
        <f>IFERROR(VLOOKUP(tbEscolas[[#This Row],[COD ETPA]],tbEtapas[],3,FALSE),"")</f>
        <v/>
      </c>
    </row>
    <row r="2206" spans="1:5" x14ac:dyDescent="0.25">
      <c r="A2206" t="str" cm="1">
        <f t="array" ref="A2206">IFERROR(INDEX(tbNucleo[ESCOLA],ROUNDUP(ROW(A2205)/TotalEtapas,0)),"")</f>
        <v/>
      </c>
      <c r="D2206" t="str">
        <f>IFERROR(VLOOKUP(tbEscolas[[#This Row],[COD ETPA]],tbEtapas[],2,FALSE),"")</f>
        <v/>
      </c>
      <c r="E2206" t="str">
        <f>IFERROR(VLOOKUP(tbEscolas[[#This Row],[COD ETPA]],tbEtapas[],3,FALSE),"")</f>
        <v/>
      </c>
    </row>
    <row r="2207" spans="1:5" x14ac:dyDescent="0.25">
      <c r="A2207" t="str" cm="1">
        <f t="array" ref="A2207">IFERROR(INDEX(tbNucleo[ESCOLA],ROUNDUP(ROW(A2206)/TotalEtapas,0)),"")</f>
        <v/>
      </c>
      <c r="D2207" t="str">
        <f>IFERROR(VLOOKUP(tbEscolas[[#This Row],[COD ETPA]],tbEtapas[],2,FALSE),"")</f>
        <v/>
      </c>
      <c r="E2207" t="str">
        <f>IFERROR(VLOOKUP(tbEscolas[[#This Row],[COD ETPA]],tbEtapas[],3,FALSE),"")</f>
        <v/>
      </c>
    </row>
    <row r="2208" spans="1:5" x14ac:dyDescent="0.25">
      <c r="A2208" t="str" cm="1">
        <f t="array" ref="A2208">IFERROR(INDEX(tbNucleo[ESCOLA],ROUNDUP(ROW(A2207)/TotalEtapas,0)),"")</f>
        <v/>
      </c>
      <c r="D2208" t="str">
        <f>IFERROR(VLOOKUP(tbEscolas[[#This Row],[COD ETPA]],tbEtapas[],2,FALSE),"")</f>
        <v/>
      </c>
      <c r="E2208" t="str">
        <f>IFERROR(VLOOKUP(tbEscolas[[#This Row],[COD ETPA]],tbEtapas[],3,FALSE),"")</f>
        <v/>
      </c>
    </row>
    <row r="2209" spans="1:5" x14ac:dyDescent="0.25">
      <c r="A2209" t="str" cm="1">
        <f t="array" ref="A2209">IFERROR(INDEX(tbNucleo[ESCOLA],ROUNDUP(ROW(A2208)/TotalEtapas,0)),"")</f>
        <v/>
      </c>
      <c r="D2209" t="str">
        <f>IFERROR(VLOOKUP(tbEscolas[[#This Row],[COD ETPA]],tbEtapas[],2,FALSE),"")</f>
        <v/>
      </c>
      <c r="E2209" t="str">
        <f>IFERROR(VLOOKUP(tbEscolas[[#This Row],[COD ETPA]],tbEtapas[],3,FALSE),"")</f>
        <v/>
      </c>
    </row>
    <row r="2210" spans="1:5" x14ac:dyDescent="0.25">
      <c r="A2210" t="str" cm="1">
        <f t="array" ref="A2210">IFERROR(INDEX(tbNucleo[ESCOLA],ROUNDUP(ROW(A2209)/TotalEtapas,0)),"")</f>
        <v/>
      </c>
      <c r="D2210" t="str">
        <f>IFERROR(VLOOKUP(tbEscolas[[#This Row],[COD ETPA]],tbEtapas[],2,FALSE),"")</f>
        <v/>
      </c>
      <c r="E2210" t="str">
        <f>IFERROR(VLOOKUP(tbEscolas[[#This Row],[COD ETPA]],tbEtapas[],3,FALSE),"")</f>
        <v/>
      </c>
    </row>
    <row r="2211" spans="1:5" x14ac:dyDescent="0.25">
      <c r="A2211" t="str" cm="1">
        <f t="array" ref="A2211">IFERROR(INDEX(tbNucleo[ESCOLA],ROUNDUP(ROW(A2210)/TotalEtapas,0)),"")</f>
        <v/>
      </c>
      <c r="D2211" t="str">
        <f>IFERROR(VLOOKUP(tbEscolas[[#This Row],[COD ETPA]],tbEtapas[],2,FALSE),"")</f>
        <v/>
      </c>
      <c r="E2211" t="str">
        <f>IFERROR(VLOOKUP(tbEscolas[[#This Row],[COD ETPA]],tbEtapas[],3,FALSE),"")</f>
        <v/>
      </c>
    </row>
    <row r="2212" spans="1:5" x14ac:dyDescent="0.25">
      <c r="A2212" t="str" cm="1">
        <f t="array" ref="A2212">IFERROR(INDEX(tbNucleo[ESCOLA],ROUNDUP(ROW(A2211)/TotalEtapas,0)),"")</f>
        <v/>
      </c>
      <c r="D2212" t="str">
        <f>IFERROR(VLOOKUP(tbEscolas[[#This Row],[COD ETPA]],tbEtapas[],2,FALSE),"")</f>
        <v/>
      </c>
      <c r="E2212" t="str">
        <f>IFERROR(VLOOKUP(tbEscolas[[#This Row],[COD ETPA]],tbEtapas[],3,FALSE),"")</f>
        <v/>
      </c>
    </row>
    <row r="2213" spans="1:5" x14ac:dyDescent="0.25">
      <c r="A2213" t="str" cm="1">
        <f t="array" ref="A2213">IFERROR(INDEX(tbNucleo[ESCOLA],ROUNDUP(ROW(A2212)/TotalEtapas,0)),"")</f>
        <v/>
      </c>
      <c r="D2213" t="str">
        <f>IFERROR(VLOOKUP(tbEscolas[[#This Row],[COD ETPA]],tbEtapas[],2,FALSE),"")</f>
        <v/>
      </c>
      <c r="E2213" t="str">
        <f>IFERROR(VLOOKUP(tbEscolas[[#This Row],[COD ETPA]],tbEtapas[],3,FALSE),"")</f>
        <v/>
      </c>
    </row>
    <row r="2214" spans="1:5" x14ac:dyDescent="0.25">
      <c r="A2214" t="str" cm="1">
        <f t="array" ref="A2214">IFERROR(INDEX(tbNucleo[ESCOLA],ROUNDUP(ROW(A2213)/TotalEtapas,0)),"")</f>
        <v/>
      </c>
      <c r="D2214" t="str">
        <f>IFERROR(VLOOKUP(tbEscolas[[#This Row],[COD ETPA]],tbEtapas[],2,FALSE),"")</f>
        <v/>
      </c>
      <c r="E2214" t="str">
        <f>IFERROR(VLOOKUP(tbEscolas[[#This Row],[COD ETPA]],tbEtapas[],3,FALSE),"")</f>
        <v/>
      </c>
    </row>
    <row r="2215" spans="1:5" x14ac:dyDescent="0.25">
      <c r="A2215" t="str" cm="1">
        <f t="array" ref="A2215">IFERROR(INDEX(tbNucleo[ESCOLA],ROUNDUP(ROW(A2214)/TotalEtapas,0)),"")</f>
        <v/>
      </c>
      <c r="D2215" t="str">
        <f>IFERROR(VLOOKUP(tbEscolas[[#This Row],[COD ETPA]],tbEtapas[],2,FALSE),"")</f>
        <v/>
      </c>
      <c r="E2215" t="str">
        <f>IFERROR(VLOOKUP(tbEscolas[[#This Row],[COD ETPA]],tbEtapas[],3,FALSE),"")</f>
        <v/>
      </c>
    </row>
    <row r="2216" spans="1:5" x14ac:dyDescent="0.25">
      <c r="A2216" t="str" cm="1">
        <f t="array" ref="A2216">IFERROR(INDEX(tbNucleo[ESCOLA],ROUNDUP(ROW(A2215)/TotalEtapas,0)),"")</f>
        <v/>
      </c>
      <c r="D2216" t="str">
        <f>IFERROR(VLOOKUP(tbEscolas[[#This Row],[COD ETPA]],tbEtapas[],2,FALSE),"")</f>
        <v/>
      </c>
      <c r="E2216" t="str">
        <f>IFERROR(VLOOKUP(tbEscolas[[#This Row],[COD ETPA]],tbEtapas[],3,FALSE),"")</f>
        <v/>
      </c>
    </row>
    <row r="2217" spans="1:5" x14ac:dyDescent="0.25">
      <c r="A2217" t="str" cm="1">
        <f t="array" ref="A2217">IFERROR(INDEX(tbNucleo[ESCOLA],ROUNDUP(ROW(A2216)/TotalEtapas,0)),"")</f>
        <v/>
      </c>
      <c r="D2217" t="str">
        <f>IFERROR(VLOOKUP(tbEscolas[[#This Row],[COD ETPA]],tbEtapas[],2,FALSE),"")</f>
        <v/>
      </c>
      <c r="E2217" t="str">
        <f>IFERROR(VLOOKUP(tbEscolas[[#This Row],[COD ETPA]],tbEtapas[],3,FALSE),"")</f>
        <v/>
      </c>
    </row>
    <row r="2218" spans="1:5" x14ac:dyDescent="0.25">
      <c r="A2218" t="str" cm="1">
        <f t="array" ref="A2218">IFERROR(INDEX(tbNucleo[ESCOLA],ROUNDUP(ROW(A2217)/TotalEtapas,0)),"")</f>
        <v/>
      </c>
      <c r="D2218" t="str">
        <f>IFERROR(VLOOKUP(tbEscolas[[#This Row],[COD ETPA]],tbEtapas[],2,FALSE),"")</f>
        <v/>
      </c>
      <c r="E2218" t="str">
        <f>IFERROR(VLOOKUP(tbEscolas[[#This Row],[COD ETPA]],tbEtapas[],3,FALSE),"")</f>
        <v/>
      </c>
    </row>
    <row r="2219" spans="1:5" x14ac:dyDescent="0.25">
      <c r="A2219" t="str" cm="1">
        <f t="array" ref="A2219">IFERROR(INDEX(tbNucleo[ESCOLA],ROUNDUP(ROW(A2218)/TotalEtapas,0)),"")</f>
        <v/>
      </c>
      <c r="D2219" t="str">
        <f>IFERROR(VLOOKUP(tbEscolas[[#This Row],[COD ETPA]],tbEtapas[],2,FALSE),"")</f>
        <v/>
      </c>
      <c r="E2219" t="str">
        <f>IFERROR(VLOOKUP(tbEscolas[[#This Row],[COD ETPA]],tbEtapas[],3,FALSE),"")</f>
        <v/>
      </c>
    </row>
    <row r="2220" spans="1:5" x14ac:dyDescent="0.25">
      <c r="A2220" t="str" cm="1">
        <f t="array" ref="A2220">IFERROR(INDEX(tbNucleo[ESCOLA],ROUNDUP(ROW(A2219)/TotalEtapas,0)),"")</f>
        <v/>
      </c>
      <c r="D2220" t="str">
        <f>IFERROR(VLOOKUP(tbEscolas[[#This Row],[COD ETPA]],tbEtapas[],2,FALSE),"")</f>
        <v/>
      </c>
      <c r="E2220" t="str">
        <f>IFERROR(VLOOKUP(tbEscolas[[#This Row],[COD ETPA]],tbEtapas[],3,FALSE),"")</f>
        <v/>
      </c>
    </row>
    <row r="2221" spans="1:5" x14ac:dyDescent="0.25">
      <c r="A2221" t="str" cm="1">
        <f t="array" ref="A2221">IFERROR(INDEX(tbNucleo[ESCOLA],ROUNDUP(ROW(A2220)/TotalEtapas,0)),"")</f>
        <v/>
      </c>
      <c r="D2221" t="str">
        <f>IFERROR(VLOOKUP(tbEscolas[[#This Row],[COD ETPA]],tbEtapas[],2,FALSE),"")</f>
        <v/>
      </c>
      <c r="E2221" t="str">
        <f>IFERROR(VLOOKUP(tbEscolas[[#This Row],[COD ETPA]],tbEtapas[],3,FALSE),"")</f>
        <v/>
      </c>
    </row>
    <row r="2222" spans="1:5" x14ac:dyDescent="0.25">
      <c r="A2222" t="str" cm="1">
        <f t="array" ref="A2222">IFERROR(INDEX(tbNucleo[ESCOLA],ROUNDUP(ROW(A2221)/TotalEtapas,0)),"")</f>
        <v/>
      </c>
      <c r="D2222" t="str">
        <f>IFERROR(VLOOKUP(tbEscolas[[#This Row],[COD ETPA]],tbEtapas[],2,FALSE),"")</f>
        <v/>
      </c>
      <c r="E2222" t="str">
        <f>IFERROR(VLOOKUP(tbEscolas[[#This Row],[COD ETPA]],tbEtapas[],3,FALSE),"")</f>
        <v/>
      </c>
    </row>
    <row r="2223" spans="1:5" x14ac:dyDescent="0.25">
      <c r="A2223" t="str" cm="1">
        <f t="array" ref="A2223">IFERROR(INDEX(tbNucleo[ESCOLA],ROUNDUP(ROW(A2222)/TotalEtapas,0)),"")</f>
        <v/>
      </c>
      <c r="D2223" t="str">
        <f>IFERROR(VLOOKUP(tbEscolas[[#This Row],[COD ETPA]],tbEtapas[],2,FALSE),"")</f>
        <v/>
      </c>
      <c r="E2223" t="str">
        <f>IFERROR(VLOOKUP(tbEscolas[[#This Row],[COD ETPA]],tbEtapas[],3,FALSE),"")</f>
        <v/>
      </c>
    </row>
    <row r="2224" spans="1:5" x14ac:dyDescent="0.25">
      <c r="A2224" t="str" cm="1">
        <f t="array" ref="A2224">IFERROR(INDEX(tbNucleo[ESCOLA],ROUNDUP(ROW(A2223)/TotalEtapas,0)),"")</f>
        <v/>
      </c>
      <c r="D2224" t="str">
        <f>IFERROR(VLOOKUP(tbEscolas[[#This Row],[COD ETPA]],tbEtapas[],2,FALSE),"")</f>
        <v/>
      </c>
      <c r="E2224" t="str">
        <f>IFERROR(VLOOKUP(tbEscolas[[#This Row],[COD ETPA]],tbEtapas[],3,FALSE),"")</f>
        <v/>
      </c>
    </row>
    <row r="2225" spans="1:5" x14ac:dyDescent="0.25">
      <c r="A2225" t="str" cm="1">
        <f t="array" ref="A2225">IFERROR(INDEX(tbNucleo[ESCOLA],ROUNDUP(ROW(A2224)/TotalEtapas,0)),"")</f>
        <v/>
      </c>
      <c r="D2225" t="str">
        <f>IFERROR(VLOOKUP(tbEscolas[[#This Row],[COD ETPA]],tbEtapas[],2,FALSE),"")</f>
        <v/>
      </c>
      <c r="E2225" t="str">
        <f>IFERROR(VLOOKUP(tbEscolas[[#This Row],[COD ETPA]],tbEtapas[],3,FALSE),"")</f>
        <v/>
      </c>
    </row>
    <row r="2226" spans="1:5" x14ac:dyDescent="0.25">
      <c r="A2226" t="str" cm="1">
        <f t="array" ref="A2226">IFERROR(INDEX(tbNucleo[ESCOLA],ROUNDUP(ROW(A2225)/TotalEtapas,0)),"")</f>
        <v/>
      </c>
      <c r="D2226" t="str">
        <f>IFERROR(VLOOKUP(tbEscolas[[#This Row],[COD ETPA]],tbEtapas[],2,FALSE),"")</f>
        <v/>
      </c>
      <c r="E2226" t="str">
        <f>IFERROR(VLOOKUP(tbEscolas[[#This Row],[COD ETPA]],tbEtapas[],3,FALSE),"")</f>
        <v/>
      </c>
    </row>
    <row r="2227" spans="1:5" x14ac:dyDescent="0.25">
      <c r="A2227" t="str" cm="1">
        <f t="array" ref="A2227">IFERROR(INDEX(tbNucleo[ESCOLA],ROUNDUP(ROW(A2226)/TotalEtapas,0)),"")</f>
        <v/>
      </c>
      <c r="D2227" t="str">
        <f>IFERROR(VLOOKUP(tbEscolas[[#This Row],[COD ETPA]],tbEtapas[],2,FALSE),"")</f>
        <v/>
      </c>
      <c r="E2227" t="str">
        <f>IFERROR(VLOOKUP(tbEscolas[[#This Row],[COD ETPA]],tbEtapas[],3,FALSE),"")</f>
        <v/>
      </c>
    </row>
    <row r="2228" spans="1:5" x14ac:dyDescent="0.25">
      <c r="A2228" t="str" cm="1">
        <f t="array" ref="A2228">IFERROR(INDEX(tbNucleo[ESCOLA],ROUNDUP(ROW(A2227)/TotalEtapas,0)),"")</f>
        <v/>
      </c>
      <c r="D2228" t="str">
        <f>IFERROR(VLOOKUP(tbEscolas[[#This Row],[COD ETPA]],tbEtapas[],2,FALSE),"")</f>
        <v/>
      </c>
      <c r="E2228" t="str">
        <f>IFERROR(VLOOKUP(tbEscolas[[#This Row],[COD ETPA]],tbEtapas[],3,FALSE),"")</f>
        <v/>
      </c>
    </row>
    <row r="2229" spans="1:5" x14ac:dyDescent="0.25">
      <c r="A2229" t="str" cm="1">
        <f t="array" ref="A2229">IFERROR(INDEX(tbNucleo[ESCOLA],ROUNDUP(ROW(A2228)/TotalEtapas,0)),"")</f>
        <v/>
      </c>
      <c r="D2229" t="str">
        <f>IFERROR(VLOOKUP(tbEscolas[[#This Row],[COD ETPA]],tbEtapas[],2,FALSE),"")</f>
        <v/>
      </c>
      <c r="E2229" t="str">
        <f>IFERROR(VLOOKUP(tbEscolas[[#This Row],[COD ETPA]],tbEtapas[],3,FALSE),"")</f>
        <v/>
      </c>
    </row>
    <row r="2230" spans="1:5" x14ac:dyDescent="0.25">
      <c r="A2230" t="str" cm="1">
        <f t="array" ref="A2230">IFERROR(INDEX(tbNucleo[ESCOLA],ROUNDUP(ROW(A2229)/TotalEtapas,0)),"")</f>
        <v/>
      </c>
      <c r="D2230" t="str">
        <f>IFERROR(VLOOKUP(tbEscolas[[#This Row],[COD ETPA]],tbEtapas[],2,FALSE),"")</f>
        <v/>
      </c>
      <c r="E2230" t="str">
        <f>IFERROR(VLOOKUP(tbEscolas[[#This Row],[COD ETPA]],tbEtapas[],3,FALSE),"")</f>
        <v/>
      </c>
    </row>
    <row r="2231" spans="1:5" x14ac:dyDescent="0.25">
      <c r="A2231" t="str" cm="1">
        <f t="array" ref="A2231">IFERROR(INDEX(tbNucleo[ESCOLA],ROUNDUP(ROW(A2230)/TotalEtapas,0)),"")</f>
        <v/>
      </c>
      <c r="D2231" t="str">
        <f>IFERROR(VLOOKUP(tbEscolas[[#This Row],[COD ETPA]],tbEtapas[],2,FALSE),"")</f>
        <v/>
      </c>
      <c r="E2231" t="str">
        <f>IFERROR(VLOOKUP(tbEscolas[[#This Row],[COD ETPA]],tbEtapas[],3,FALSE),"")</f>
        <v/>
      </c>
    </row>
    <row r="2232" spans="1:5" x14ac:dyDescent="0.25">
      <c r="A2232" t="str" cm="1">
        <f t="array" ref="A2232">IFERROR(INDEX(tbNucleo[ESCOLA],ROUNDUP(ROW(A2231)/TotalEtapas,0)),"")</f>
        <v/>
      </c>
      <c r="D2232" t="str">
        <f>IFERROR(VLOOKUP(tbEscolas[[#This Row],[COD ETPA]],tbEtapas[],2,FALSE),"")</f>
        <v/>
      </c>
      <c r="E2232" t="str">
        <f>IFERROR(VLOOKUP(tbEscolas[[#This Row],[COD ETPA]],tbEtapas[],3,FALSE),"")</f>
        <v/>
      </c>
    </row>
    <row r="2233" spans="1:5" x14ac:dyDescent="0.25">
      <c r="A2233" t="str" cm="1">
        <f t="array" ref="A2233">IFERROR(INDEX(tbNucleo[ESCOLA],ROUNDUP(ROW(A2232)/TotalEtapas,0)),"")</f>
        <v/>
      </c>
      <c r="D2233" t="str">
        <f>IFERROR(VLOOKUP(tbEscolas[[#This Row],[COD ETPA]],tbEtapas[],2,FALSE),"")</f>
        <v/>
      </c>
      <c r="E2233" t="str">
        <f>IFERROR(VLOOKUP(tbEscolas[[#This Row],[COD ETPA]],tbEtapas[],3,FALSE),"")</f>
        <v/>
      </c>
    </row>
    <row r="2234" spans="1:5" x14ac:dyDescent="0.25">
      <c r="A2234" t="str" cm="1">
        <f t="array" ref="A2234">IFERROR(INDEX(tbNucleo[ESCOLA],ROUNDUP(ROW(A2233)/TotalEtapas,0)),"")</f>
        <v/>
      </c>
      <c r="D2234" t="str">
        <f>IFERROR(VLOOKUP(tbEscolas[[#This Row],[COD ETPA]],tbEtapas[],2,FALSE),"")</f>
        <v/>
      </c>
      <c r="E2234" t="str">
        <f>IFERROR(VLOOKUP(tbEscolas[[#This Row],[COD ETPA]],tbEtapas[],3,FALSE),"")</f>
        <v/>
      </c>
    </row>
    <row r="2235" spans="1:5" x14ac:dyDescent="0.25">
      <c r="A2235" t="str" cm="1">
        <f t="array" ref="A2235">IFERROR(INDEX(tbNucleo[ESCOLA],ROUNDUP(ROW(A2234)/TotalEtapas,0)),"")</f>
        <v/>
      </c>
      <c r="D2235" t="str">
        <f>IFERROR(VLOOKUP(tbEscolas[[#This Row],[COD ETPA]],tbEtapas[],2,FALSE),"")</f>
        <v/>
      </c>
      <c r="E2235" t="str">
        <f>IFERROR(VLOOKUP(tbEscolas[[#This Row],[COD ETPA]],tbEtapas[],3,FALSE),"")</f>
        <v/>
      </c>
    </row>
    <row r="2236" spans="1:5" x14ac:dyDescent="0.25">
      <c r="A2236" t="str" cm="1">
        <f t="array" ref="A2236">IFERROR(INDEX(tbNucleo[ESCOLA],ROUNDUP(ROW(A2235)/TotalEtapas,0)),"")</f>
        <v/>
      </c>
      <c r="D2236" t="str">
        <f>IFERROR(VLOOKUP(tbEscolas[[#This Row],[COD ETPA]],tbEtapas[],2,FALSE),"")</f>
        <v/>
      </c>
      <c r="E2236" t="str">
        <f>IFERROR(VLOOKUP(tbEscolas[[#This Row],[COD ETPA]],tbEtapas[],3,FALSE),"")</f>
        <v/>
      </c>
    </row>
    <row r="2237" spans="1:5" x14ac:dyDescent="0.25">
      <c r="A2237" t="str" cm="1">
        <f t="array" ref="A2237">IFERROR(INDEX(tbNucleo[ESCOLA],ROUNDUP(ROW(A2236)/TotalEtapas,0)),"")</f>
        <v/>
      </c>
      <c r="D2237" t="str">
        <f>IFERROR(VLOOKUP(tbEscolas[[#This Row],[COD ETPA]],tbEtapas[],2,FALSE),"")</f>
        <v/>
      </c>
      <c r="E2237" t="str">
        <f>IFERROR(VLOOKUP(tbEscolas[[#This Row],[COD ETPA]],tbEtapas[],3,FALSE),"")</f>
        <v/>
      </c>
    </row>
    <row r="2238" spans="1:5" x14ac:dyDescent="0.25">
      <c r="A2238" t="str" cm="1">
        <f t="array" ref="A2238">IFERROR(INDEX(tbNucleo[ESCOLA],ROUNDUP(ROW(A2237)/TotalEtapas,0)),"")</f>
        <v/>
      </c>
      <c r="D2238" t="str">
        <f>IFERROR(VLOOKUP(tbEscolas[[#This Row],[COD ETPA]],tbEtapas[],2,FALSE),"")</f>
        <v/>
      </c>
      <c r="E2238" t="str">
        <f>IFERROR(VLOOKUP(tbEscolas[[#This Row],[COD ETPA]],tbEtapas[],3,FALSE),"")</f>
        <v/>
      </c>
    </row>
    <row r="2239" spans="1:5" x14ac:dyDescent="0.25">
      <c r="A2239" t="str" cm="1">
        <f t="array" ref="A2239">IFERROR(INDEX(tbNucleo[ESCOLA],ROUNDUP(ROW(A2238)/TotalEtapas,0)),"")</f>
        <v/>
      </c>
      <c r="D2239" t="str">
        <f>IFERROR(VLOOKUP(tbEscolas[[#This Row],[COD ETPA]],tbEtapas[],2,FALSE),"")</f>
        <v/>
      </c>
      <c r="E2239" t="str">
        <f>IFERROR(VLOOKUP(tbEscolas[[#This Row],[COD ETPA]],tbEtapas[],3,FALSE),"")</f>
        <v/>
      </c>
    </row>
    <row r="2240" spans="1:5" x14ac:dyDescent="0.25">
      <c r="A2240" t="str" cm="1">
        <f t="array" ref="A2240">IFERROR(INDEX(tbNucleo[ESCOLA],ROUNDUP(ROW(A2239)/TotalEtapas,0)),"")</f>
        <v/>
      </c>
      <c r="D2240" t="str">
        <f>IFERROR(VLOOKUP(tbEscolas[[#This Row],[COD ETPA]],tbEtapas[],2,FALSE),"")</f>
        <v/>
      </c>
      <c r="E2240" t="str">
        <f>IFERROR(VLOOKUP(tbEscolas[[#This Row],[COD ETPA]],tbEtapas[],3,FALSE),"")</f>
        <v/>
      </c>
    </row>
    <row r="2241" spans="1:5" x14ac:dyDescent="0.25">
      <c r="A2241" t="str" cm="1">
        <f t="array" ref="A2241">IFERROR(INDEX(tbNucleo[ESCOLA],ROUNDUP(ROW(A2240)/TotalEtapas,0)),"")</f>
        <v/>
      </c>
      <c r="D2241" t="str">
        <f>IFERROR(VLOOKUP(tbEscolas[[#This Row],[COD ETPA]],tbEtapas[],2,FALSE),"")</f>
        <v/>
      </c>
      <c r="E2241" t="str">
        <f>IFERROR(VLOOKUP(tbEscolas[[#This Row],[COD ETPA]],tbEtapas[],3,FALSE),"")</f>
        <v/>
      </c>
    </row>
    <row r="2242" spans="1:5" x14ac:dyDescent="0.25">
      <c r="A2242" t="str" cm="1">
        <f t="array" ref="A2242">IFERROR(INDEX(tbNucleo[ESCOLA],ROUNDUP(ROW(A2241)/TotalEtapas,0)),"")</f>
        <v/>
      </c>
      <c r="D2242" t="str">
        <f>IFERROR(VLOOKUP(tbEscolas[[#This Row],[COD ETPA]],tbEtapas[],2,FALSE),"")</f>
        <v/>
      </c>
      <c r="E2242" t="str">
        <f>IFERROR(VLOOKUP(tbEscolas[[#This Row],[COD ETPA]],tbEtapas[],3,FALSE),"")</f>
        <v/>
      </c>
    </row>
    <row r="2243" spans="1:5" x14ac:dyDescent="0.25">
      <c r="A2243" t="str" cm="1">
        <f t="array" ref="A2243">IFERROR(INDEX(tbNucleo[ESCOLA],ROUNDUP(ROW(A2242)/TotalEtapas,0)),"")</f>
        <v/>
      </c>
      <c r="D2243" t="str">
        <f>IFERROR(VLOOKUP(tbEscolas[[#This Row],[COD ETPA]],tbEtapas[],2,FALSE),"")</f>
        <v/>
      </c>
      <c r="E2243" t="str">
        <f>IFERROR(VLOOKUP(tbEscolas[[#This Row],[COD ETPA]],tbEtapas[],3,FALSE),"")</f>
        <v/>
      </c>
    </row>
    <row r="2244" spans="1:5" x14ac:dyDescent="0.25">
      <c r="A2244" t="str" cm="1">
        <f t="array" ref="A2244">IFERROR(INDEX(tbNucleo[ESCOLA],ROUNDUP(ROW(A2243)/TotalEtapas,0)),"")</f>
        <v/>
      </c>
      <c r="D2244" t="str">
        <f>IFERROR(VLOOKUP(tbEscolas[[#This Row],[COD ETPA]],tbEtapas[],2,FALSE),"")</f>
        <v/>
      </c>
      <c r="E2244" t="str">
        <f>IFERROR(VLOOKUP(tbEscolas[[#This Row],[COD ETPA]],tbEtapas[],3,FALSE),"")</f>
        <v/>
      </c>
    </row>
    <row r="2245" spans="1:5" x14ac:dyDescent="0.25">
      <c r="A2245" t="str" cm="1">
        <f t="array" ref="A2245">IFERROR(INDEX(tbNucleo[ESCOLA],ROUNDUP(ROW(A2244)/TotalEtapas,0)),"")</f>
        <v/>
      </c>
      <c r="D2245" t="str">
        <f>IFERROR(VLOOKUP(tbEscolas[[#This Row],[COD ETPA]],tbEtapas[],2,FALSE),"")</f>
        <v/>
      </c>
      <c r="E2245" t="str">
        <f>IFERROR(VLOOKUP(tbEscolas[[#This Row],[COD ETPA]],tbEtapas[],3,FALSE),"")</f>
        <v/>
      </c>
    </row>
    <row r="2246" spans="1:5" x14ac:dyDescent="0.25">
      <c r="A2246" t="str" cm="1">
        <f t="array" ref="A2246">IFERROR(INDEX(tbNucleo[ESCOLA],ROUNDUP(ROW(A2245)/TotalEtapas,0)),"")</f>
        <v/>
      </c>
      <c r="D2246" t="str">
        <f>IFERROR(VLOOKUP(tbEscolas[[#This Row],[COD ETPA]],tbEtapas[],2,FALSE),"")</f>
        <v/>
      </c>
      <c r="E2246" t="str">
        <f>IFERROR(VLOOKUP(tbEscolas[[#This Row],[COD ETPA]],tbEtapas[],3,FALSE),"")</f>
        <v/>
      </c>
    </row>
    <row r="2247" spans="1:5" x14ac:dyDescent="0.25">
      <c r="A2247" t="str" cm="1">
        <f t="array" ref="A2247">IFERROR(INDEX(tbNucleo[ESCOLA],ROUNDUP(ROW(A2246)/TotalEtapas,0)),"")</f>
        <v/>
      </c>
      <c r="D2247" t="str">
        <f>IFERROR(VLOOKUP(tbEscolas[[#This Row],[COD ETPA]],tbEtapas[],2,FALSE),"")</f>
        <v/>
      </c>
      <c r="E2247" t="str">
        <f>IFERROR(VLOOKUP(tbEscolas[[#This Row],[COD ETPA]],tbEtapas[],3,FALSE),"")</f>
        <v/>
      </c>
    </row>
    <row r="2248" spans="1:5" x14ac:dyDescent="0.25">
      <c r="A2248" t="str" cm="1">
        <f t="array" ref="A2248">IFERROR(INDEX(tbNucleo[ESCOLA],ROUNDUP(ROW(A2247)/TotalEtapas,0)),"")</f>
        <v/>
      </c>
      <c r="D2248" t="str">
        <f>IFERROR(VLOOKUP(tbEscolas[[#This Row],[COD ETPA]],tbEtapas[],2,FALSE),"")</f>
        <v/>
      </c>
      <c r="E2248" t="str">
        <f>IFERROR(VLOOKUP(tbEscolas[[#This Row],[COD ETPA]],tbEtapas[],3,FALSE),"")</f>
        <v/>
      </c>
    </row>
    <row r="2249" spans="1:5" x14ac:dyDescent="0.25">
      <c r="A2249" t="str" cm="1">
        <f t="array" ref="A2249">IFERROR(INDEX(tbNucleo[ESCOLA],ROUNDUP(ROW(A2248)/TotalEtapas,0)),"")</f>
        <v/>
      </c>
      <c r="D2249" t="str">
        <f>IFERROR(VLOOKUP(tbEscolas[[#This Row],[COD ETPA]],tbEtapas[],2,FALSE),"")</f>
        <v/>
      </c>
      <c r="E2249" t="str">
        <f>IFERROR(VLOOKUP(tbEscolas[[#This Row],[COD ETPA]],tbEtapas[],3,FALSE),"")</f>
        <v/>
      </c>
    </row>
    <row r="2250" spans="1:5" x14ac:dyDescent="0.25">
      <c r="A2250" t="str" cm="1">
        <f t="array" ref="A2250">IFERROR(INDEX(tbNucleo[ESCOLA],ROUNDUP(ROW(A2249)/TotalEtapas,0)),"")</f>
        <v/>
      </c>
      <c r="D2250" t="str">
        <f>IFERROR(VLOOKUP(tbEscolas[[#This Row],[COD ETPA]],tbEtapas[],2,FALSE),"")</f>
        <v/>
      </c>
      <c r="E2250" t="str">
        <f>IFERROR(VLOOKUP(tbEscolas[[#This Row],[COD ETPA]],tbEtapas[],3,FALSE),"")</f>
        <v/>
      </c>
    </row>
    <row r="2251" spans="1:5" x14ac:dyDescent="0.25">
      <c r="A2251" t="str" cm="1">
        <f t="array" ref="A2251">IFERROR(INDEX(tbNucleo[ESCOLA],ROUNDUP(ROW(A2250)/TotalEtapas,0)),"")</f>
        <v/>
      </c>
      <c r="D2251" t="str">
        <f>IFERROR(VLOOKUP(tbEscolas[[#This Row],[COD ETPA]],tbEtapas[],2,FALSE),"")</f>
        <v/>
      </c>
      <c r="E2251" t="str">
        <f>IFERROR(VLOOKUP(tbEscolas[[#This Row],[COD ETPA]],tbEtapas[],3,FALSE),"")</f>
        <v/>
      </c>
    </row>
    <row r="2252" spans="1:5" x14ac:dyDescent="0.25">
      <c r="A2252" t="str" cm="1">
        <f t="array" ref="A2252">IFERROR(INDEX(tbNucleo[ESCOLA],ROUNDUP(ROW(A2251)/TotalEtapas,0)),"")</f>
        <v/>
      </c>
      <c r="D2252" t="str">
        <f>IFERROR(VLOOKUP(tbEscolas[[#This Row],[COD ETPA]],tbEtapas[],2,FALSE),"")</f>
        <v/>
      </c>
      <c r="E2252" t="str">
        <f>IFERROR(VLOOKUP(tbEscolas[[#This Row],[COD ETPA]],tbEtapas[],3,FALSE),"")</f>
        <v/>
      </c>
    </row>
    <row r="2253" spans="1:5" x14ac:dyDescent="0.25">
      <c r="A2253" t="str" cm="1">
        <f t="array" ref="A2253">IFERROR(INDEX(tbNucleo[ESCOLA],ROUNDUP(ROW(A2252)/TotalEtapas,0)),"")</f>
        <v/>
      </c>
      <c r="D2253" t="str">
        <f>IFERROR(VLOOKUP(tbEscolas[[#This Row],[COD ETPA]],tbEtapas[],2,FALSE),"")</f>
        <v/>
      </c>
      <c r="E2253" t="str">
        <f>IFERROR(VLOOKUP(tbEscolas[[#This Row],[COD ETPA]],tbEtapas[],3,FALSE),"")</f>
        <v/>
      </c>
    </row>
    <row r="2254" spans="1:5" x14ac:dyDescent="0.25">
      <c r="A2254" t="str" cm="1">
        <f t="array" ref="A2254">IFERROR(INDEX(tbNucleo[ESCOLA],ROUNDUP(ROW(A2253)/TotalEtapas,0)),"")</f>
        <v/>
      </c>
      <c r="D2254" t="str">
        <f>IFERROR(VLOOKUP(tbEscolas[[#This Row],[COD ETPA]],tbEtapas[],2,FALSE),"")</f>
        <v/>
      </c>
      <c r="E2254" t="str">
        <f>IFERROR(VLOOKUP(tbEscolas[[#This Row],[COD ETPA]],tbEtapas[],3,FALSE),"")</f>
        <v/>
      </c>
    </row>
    <row r="2255" spans="1:5" x14ac:dyDescent="0.25">
      <c r="A2255" t="str" cm="1">
        <f t="array" ref="A2255">IFERROR(INDEX(tbNucleo[ESCOLA],ROUNDUP(ROW(A2254)/TotalEtapas,0)),"")</f>
        <v/>
      </c>
      <c r="D2255" t="str">
        <f>IFERROR(VLOOKUP(tbEscolas[[#This Row],[COD ETPA]],tbEtapas[],2,FALSE),"")</f>
        <v/>
      </c>
      <c r="E2255" t="str">
        <f>IFERROR(VLOOKUP(tbEscolas[[#This Row],[COD ETPA]],tbEtapas[],3,FALSE),"")</f>
        <v/>
      </c>
    </row>
    <row r="2256" spans="1:5" x14ac:dyDescent="0.25">
      <c r="A2256" t="str" cm="1">
        <f t="array" ref="A2256">IFERROR(INDEX(tbNucleo[ESCOLA],ROUNDUP(ROW(A2255)/TotalEtapas,0)),"")</f>
        <v/>
      </c>
      <c r="D2256" t="str">
        <f>IFERROR(VLOOKUP(tbEscolas[[#This Row],[COD ETPA]],tbEtapas[],2,FALSE),"")</f>
        <v/>
      </c>
      <c r="E2256" t="str">
        <f>IFERROR(VLOOKUP(tbEscolas[[#This Row],[COD ETPA]],tbEtapas[],3,FALSE),"")</f>
        <v/>
      </c>
    </row>
    <row r="2257" spans="1:5" x14ac:dyDescent="0.25">
      <c r="A2257" t="str" cm="1">
        <f t="array" ref="A2257">IFERROR(INDEX(tbNucleo[ESCOLA],ROUNDUP(ROW(A2256)/TotalEtapas,0)),"")</f>
        <v/>
      </c>
      <c r="D2257" t="str">
        <f>IFERROR(VLOOKUP(tbEscolas[[#This Row],[COD ETPA]],tbEtapas[],2,FALSE),"")</f>
        <v/>
      </c>
      <c r="E2257" t="str">
        <f>IFERROR(VLOOKUP(tbEscolas[[#This Row],[COD ETPA]],tbEtapas[],3,FALSE),"")</f>
        <v/>
      </c>
    </row>
    <row r="2258" spans="1:5" x14ac:dyDescent="0.25">
      <c r="A2258" t="str" cm="1">
        <f t="array" ref="A2258">IFERROR(INDEX(tbNucleo[ESCOLA],ROUNDUP(ROW(A2257)/TotalEtapas,0)),"")</f>
        <v/>
      </c>
      <c r="D2258" t="str">
        <f>IFERROR(VLOOKUP(tbEscolas[[#This Row],[COD ETPA]],tbEtapas[],2,FALSE),"")</f>
        <v/>
      </c>
      <c r="E2258" t="str">
        <f>IFERROR(VLOOKUP(tbEscolas[[#This Row],[COD ETPA]],tbEtapas[],3,FALSE),"")</f>
        <v/>
      </c>
    </row>
    <row r="2259" spans="1:5" x14ac:dyDescent="0.25">
      <c r="A2259" t="str" cm="1">
        <f t="array" ref="A2259">IFERROR(INDEX(tbNucleo[ESCOLA],ROUNDUP(ROW(A2258)/TotalEtapas,0)),"")</f>
        <v/>
      </c>
      <c r="D2259" t="str">
        <f>IFERROR(VLOOKUP(tbEscolas[[#This Row],[COD ETPA]],tbEtapas[],2,FALSE),"")</f>
        <v/>
      </c>
      <c r="E2259" t="str">
        <f>IFERROR(VLOOKUP(tbEscolas[[#This Row],[COD ETPA]],tbEtapas[],3,FALSE),"")</f>
        <v/>
      </c>
    </row>
    <row r="2260" spans="1:5" x14ac:dyDescent="0.25">
      <c r="A2260" t="str" cm="1">
        <f t="array" ref="A2260">IFERROR(INDEX(tbNucleo[ESCOLA],ROUNDUP(ROW(A2259)/TotalEtapas,0)),"")</f>
        <v/>
      </c>
      <c r="D2260" t="str">
        <f>IFERROR(VLOOKUP(tbEscolas[[#This Row],[COD ETPA]],tbEtapas[],2,FALSE),"")</f>
        <v/>
      </c>
      <c r="E2260" t="str">
        <f>IFERROR(VLOOKUP(tbEscolas[[#This Row],[COD ETPA]],tbEtapas[],3,FALSE),"")</f>
        <v/>
      </c>
    </row>
    <row r="2261" spans="1:5" x14ac:dyDescent="0.25">
      <c r="A2261" t="str" cm="1">
        <f t="array" ref="A2261">IFERROR(INDEX(tbNucleo[ESCOLA],ROUNDUP(ROW(A2260)/TotalEtapas,0)),"")</f>
        <v/>
      </c>
      <c r="D2261" t="str">
        <f>IFERROR(VLOOKUP(tbEscolas[[#This Row],[COD ETPA]],tbEtapas[],2,FALSE),"")</f>
        <v/>
      </c>
      <c r="E2261" t="str">
        <f>IFERROR(VLOOKUP(tbEscolas[[#This Row],[COD ETPA]],tbEtapas[],3,FALSE),"")</f>
        <v/>
      </c>
    </row>
    <row r="2262" spans="1:5" x14ac:dyDescent="0.25">
      <c r="A2262" t="str" cm="1">
        <f t="array" ref="A2262">IFERROR(INDEX(tbNucleo[ESCOLA],ROUNDUP(ROW(A2261)/TotalEtapas,0)),"")</f>
        <v/>
      </c>
      <c r="D2262" t="str">
        <f>IFERROR(VLOOKUP(tbEscolas[[#This Row],[COD ETPA]],tbEtapas[],2,FALSE),"")</f>
        <v/>
      </c>
      <c r="E2262" t="str">
        <f>IFERROR(VLOOKUP(tbEscolas[[#This Row],[COD ETPA]],tbEtapas[],3,FALSE),"")</f>
        <v/>
      </c>
    </row>
    <row r="2263" spans="1:5" x14ac:dyDescent="0.25">
      <c r="A2263" t="str" cm="1">
        <f t="array" ref="A2263">IFERROR(INDEX(tbNucleo[ESCOLA],ROUNDUP(ROW(A2262)/TotalEtapas,0)),"")</f>
        <v/>
      </c>
      <c r="D2263" t="str">
        <f>IFERROR(VLOOKUP(tbEscolas[[#This Row],[COD ETPA]],tbEtapas[],2,FALSE),"")</f>
        <v/>
      </c>
      <c r="E2263" t="str">
        <f>IFERROR(VLOOKUP(tbEscolas[[#This Row],[COD ETPA]],tbEtapas[],3,FALSE),"")</f>
        <v/>
      </c>
    </row>
    <row r="2264" spans="1:5" x14ac:dyDescent="0.25">
      <c r="A2264" t="str" cm="1">
        <f t="array" ref="A2264">IFERROR(INDEX(tbNucleo[ESCOLA],ROUNDUP(ROW(A2263)/TotalEtapas,0)),"")</f>
        <v/>
      </c>
      <c r="D2264" t="str">
        <f>IFERROR(VLOOKUP(tbEscolas[[#This Row],[COD ETPA]],tbEtapas[],2,FALSE),"")</f>
        <v/>
      </c>
      <c r="E2264" t="str">
        <f>IFERROR(VLOOKUP(tbEscolas[[#This Row],[COD ETPA]],tbEtapas[],3,FALSE),"")</f>
        <v/>
      </c>
    </row>
    <row r="2265" spans="1:5" x14ac:dyDescent="0.25">
      <c r="A2265" t="str" cm="1">
        <f t="array" ref="A2265">IFERROR(INDEX(tbNucleo[ESCOLA],ROUNDUP(ROW(A2264)/TotalEtapas,0)),"")</f>
        <v/>
      </c>
      <c r="D2265" t="str">
        <f>IFERROR(VLOOKUP(tbEscolas[[#This Row],[COD ETPA]],tbEtapas[],2,FALSE),"")</f>
        <v/>
      </c>
      <c r="E2265" t="str">
        <f>IFERROR(VLOOKUP(tbEscolas[[#This Row],[COD ETPA]],tbEtapas[],3,FALSE),"")</f>
        <v/>
      </c>
    </row>
    <row r="2266" spans="1:5" x14ac:dyDescent="0.25">
      <c r="A2266" t="str" cm="1">
        <f t="array" ref="A2266">IFERROR(INDEX(tbNucleo[ESCOLA],ROUNDUP(ROW(A2265)/TotalEtapas,0)),"")</f>
        <v/>
      </c>
      <c r="D2266" t="str">
        <f>IFERROR(VLOOKUP(tbEscolas[[#This Row],[COD ETPA]],tbEtapas[],2,FALSE),"")</f>
        <v/>
      </c>
      <c r="E2266" t="str">
        <f>IFERROR(VLOOKUP(tbEscolas[[#This Row],[COD ETPA]],tbEtapas[],3,FALSE),"")</f>
        <v/>
      </c>
    </row>
    <row r="2267" spans="1:5" x14ac:dyDescent="0.25">
      <c r="A2267" t="str" cm="1">
        <f t="array" ref="A2267">IFERROR(INDEX(tbNucleo[ESCOLA],ROUNDUP(ROW(A2266)/TotalEtapas,0)),"")</f>
        <v/>
      </c>
      <c r="D2267" t="str">
        <f>IFERROR(VLOOKUP(tbEscolas[[#This Row],[COD ETPA]],tbEtapas[],2,FALSE),"")</f>
        <v/>
      </c>
      <c r="E2267" t="str">
        <f>IFERROR(VLOOKUP(tbEscolas[[#This Row],[COD ETPA]],tbEtapas[],3,FALSE),"")</f>
        <v/>
      </c>
    </row>
    <row r="2268" spans="1:5" x14ac:dyDescent="0.25">
      <c r="A2268" t="str" cm="1">
        <f t="array" ref="A2268">IFERROR(INDEX(tbNucleo[ESCOLA],ROUNDUP(ROW(A2267)/TotalEtapas,0)),"")</f>
        <v/>
      </c>
      <c r="D2268" t="str">
        <f>IFERROR(VLOOKUP(tbEscolas[[#This Row],[COD ETPA]],tbEtapas[],2,FALSE),"")</f>
        <v/>
      </c>
      <c r="E2268" t="str">
        <f>IFERROR(VLOOKUP(tbEscolas[[#This Row],[COD ETPA]],tbEtapas[],3,FALSE),"")</f>
        <v/>
      </c>
    </row>
    <row r="2269" spans="1:5" x14ac:dyDescent="0.25">
      <c r="A2269" t="str" cm="1">
        <f t="array" ref="A2269">IFERROR(INDEX(tbNucleo[ESCOLA],ROUNDUP(ROW(A2268)/TotalEtapas,0)),"")</f>
        <v/>
      </c>
      <c r="D2269" t="str">
        <f>IFERROR(VLOOKUP(tbEscolas[[#This Row],[COD ETPA]],tbEtapas[],2,FALSE),"")</f>
        <v/>
      </c>
      <c r="E2269" t="str">
        <f>IFERROR(VLOOKUP(tbEscolas[[#This Row],[COD ETPA]],tbEtapas[],3,FALSE),"")</f>
        <v/>
      </c>
    </row>
    <row r="2270" spans="1:5" x14ac:dyDescent="0.25">
      <c r="A2270" t="str" cm="1">
        <f t="array" ref="A2270">IFERROR(INDEX(tbNucleo[ESCOLA],ROUNDUP(ROW(A2269)/TotalEtapas,0)),"")</f>
        <v/>
      </c>
      <c r="D2270" t="str">
        <f>IFERROR(VLOOKUP(tbEscolas[[#This Row],[COD ETPA]],tbEtapas[],2,FALSE),"")</f>
        <v/>
      </c>
      <c r="E2270" t="str">
        <f>IFERROR(VLOOKUP(tbEscolas[[#This Row],[COD ETPA]],tbEtapas[],3,FALSE),"")</f>
        <v/>
      </c>
    </row>
    <row r="2271" spans="1:5" x14ac:dyDescent="0.25">
      <c r="A2271" t="str" cm="1">
        <f t="array" ref="A2271">IFERROR(INDEX(tbNucleo[ESCOLA],ROUNDUP(ROW(A2270)/TotalEtapas,0)),"")</f>
        <v/>
      </c>
      <c r="D2271" t="str">
        <f>IFERROR(VLOOKUP(tbEscolas[[#This Row],[COD ETPA]],tbEtapas[],2,FALSE),"")</f>
        <v/>
      </c>
      <c r="E2271" t="str">
        <f>IFERROR(VLOOKUP(tbEscolas[[#This Row],[COD ETPA]],tbEtapas[],3,FALSE),"")</f>
        <v/>
      </c>
    </row>
    <row r="2272" spans="1:5" x14ac:dyDescent="0.25">
      <c r="A2272" t="str" cm="1">
        <f t="array" ref="A2272">IFERROR(INDEX(tbNucleo[ESCOLA],ROUNDUP(ROW(A2271)/TotalEtapas,0)),"")</f>
        <v/>
      </c>
      <c r="D2272" t="str">
        <f>IFERROR(VLOOKUP(tbEscolas[[#This Row],[COD ETPA]],tbEtapas[],2,FALSE),"")</f>
        <v/>
      </c>
      <c r="E2272" t="str">
        <f>IFERROR(VLOOKUP(tbEscolas[[#This Row],[COD ETPA]],tbEtapas[],3,FALSE),"")</f>
        <v/>
      </c>
    </row>
    <row r="2273" spans="1:5" x14ac:dyDescent="0.25">
      <c r="A2273" t="str" cm="1">
        <f t="array" ref="A2273">IFERROR(INDEX(tbNucleo[ESCOLA],ROUNDUP(ROW(A2272)/TotalEtapas,0)),"")</f>
        <v/>
      </c>
      <c r="D2273" t="str">
        <f>IFERROR(VLOOKUP(tbEscolas[[#This Row],[COD ETPA]],tbEtapas[],2,FALSE),"")</f>
        <v/>
      </c>
      <c r="E2273" t="str">
        <f>IFERROR(VLOOKUP(tbEscolas[[#This Row],[COD ETPA]],tbEtapas[],3,FALSE),"")</f>
        <v/>
      </c>
    </row>
    <row r="2274" spans="1:5" x14ac:dyDescent="0.25">
      <c r="A2274" t="str" cm="1">
        <f t="array" ref="A2274">IFERROR(INDEX(tbNucleo[ESCOLA],ROUNDUP(ROW(A2273)/TotalEtapas,0)),"")</f>
        <v/>
      </c>
      <c r="D2274" t="str">
        <f>IFERROR(VLOOKUP(tbEscolas[[#This Row],[COD ETPA]],tbEtapas[],2,FALSE),"")</f>
        <v/>
      </c>
      <c r="E2274" t="str">
        <f>IFERROR(VLOOKUP(tbEscolas[[#This Row],[COD ETPA]],tbEtapas[],3,FALSE),"")</f>
        <v/>
      </c>
    </row>
    <row r="2275" spans="1:5" x14ac:dyDescent="0.25">
      <c r="A2275" t="str" cm="1">
        <f t="array" ref="A2275">IFERROR(INDEX(tbNucleo[ESCOLA],ROUNDUP(ROW(A2274)/TotalEtapas,0)),"")</f>
        <v/>
      </c>
      <c r="D2275" t="str">
        <f>IFERROR(VLOOKUP(tbEscolas[[#This Row],[COD ETPA]],tbEtapas[],2,FALSE),"")</f>
        <v/>
      </c>
      <c r="E2275" t="str">
        <f>IFERROR(VLOOKUP(tbEscolas[[#This Row],[COD ETPA]],tbEtapas[],3,FALSE),"")</f>
        <v/>
      </c>
    </row>
    <row r="2276" spans="1:5" x14ac:dyDescent="0.25">
      <c r="A2276" t="str" cm="1">
        <f t="array" ref="A2276">IFERROR(INDEX(tbNucleo[ESCOLA],ROUNDUP(ROW(A2275)/TotalEtapas,0)),"")</f>
        <v/>
      </c>
      <c r="D2276" t="str">
        <f>IFERROR(VLOOKUP(tbEscolas[[#This Row],[COD ETPA]],tbEtapas[],2,FALSE),"")</f>
        <v/>
      </c>
      <c r="E2276" t="str">
        <f>IFERROR(VLOOKUP(tbEscolas[[#This Row],[COD ETPA]],tbEtapas[],3,FALSE),"")</f>
        <v/>
      </c>
    </row>
    <row r="2277" spans="1:5" x14ac:dyDescent="0.25">
      <c r="A2277" t="str" cm="1">
        <f t="array" ref="A2277">IFERROR(INDEX(tbNucleo[ESCOLA],ROUNDUP(ROW(A2276)/TotalEtapas,0)),"")</f>
        <v/>
      </c>
      <c r="D2277" t="str">
        <f>IFERROR(VLOOKUP(tbEscolas[[#This Row],[COD ETPA]],tbEtapas[],2,FALSE),"")</f>
        <v/>
      </c>
      <c r="E2277" t="str">
        <f>IFERROR(VLOOKUP(tbEscolas[[#This Row],[COD ETPA]],tbEtapas[],3,FALSE),"")</f>
        <v/>
      </c>
    </row>
    <row r="2278" spans="1:5" x14ac:dyDescent="0.25">
      <c r="A2278" t="str" cm="1">
        <f t="array" ref="A2278">IFERROR(INDEX(tbNucleo[ESCOLA],ROUNDUP(ROW(A2277)/TotalEtapas,0)),"")</f>
        <v/>
      </c>
      <c r="D2278" t="str">
        <f>IFERROR(VLOOKUP(tbEscolas[[#This Row],[COD ETPA]],tbEtapas[],2,FALSE),"")</f>
        <v/>
      </c>
      <c r="E2278" t="str">
        <f>IFERROR(VLOOKUP(tbEscolas[[#This Row],[COD ETPA]],tbEtapas[],3,FALSE),"")</f>
        <v/>
      </c>
    </row>
    <row r="2279" spans="1:5" x14ac:dyDescent="0.25">
      <c r="A2279" t="str" cm="1">
        <f t="array" ref="A2279">IFERROR(INDEX(tbNucleo[ESCOLA],ROUNDUP(ROW(A2278)/TotalEtapas,0)),"")</f>
        <v/>
      </c>
      <c r="D2279" t="str">
        <f>IFERROR(VLOOKUP(tbEscolas[[#This Row],[COD ETPA]],tbEtapas[],2,FALSE),"")</f>
        <v/>
      </c>
      <c r="E2279" t="str">
        <f>IFERROR(VLOOKUP(tbEscolas[[#This Row],[COD ETPA]],tbEtapas[],3,FALSE),"")</f>
        <v/>
      </c>
    </row>
    <row r="2280" spans="1:5" x14ac:dyDescent="0.25">
      <c r="A2280" t="str" cm="1">
        <f t="array" ref="A2280">IFERROR(INDEX(tbNucleo[ESCOLA],ROUNDUP(ROW(A2279)/TotalEtapas,0)),"")</f>
        <v/>
      </c>
      <c r="D2280" t="str">
        <f>IFERROR(VLOOKUP(tbEscolas[[#This Row],[COD ETPA]],tbEtapas[],2,FALSE),"")</f>
        <v/>
      </c>
      <c r="E2280" t="str">
        <f>IFERROR(VLOOKUP(tbEscolas[[#This Row],[COD ETPA]],tbEtapas[],3,FALSE),"")</f>
        <v/>
      </c>
    </row>
    <row r="2281" spans="1:5" x14ac:dyDescent="0.25">
      <c r="A2281" t="str" cm="1">
        <f t="array" ref="A2281">IFERROR(INDEX(tbNucleo[ESCOLA],ROUNDUP(ROW(A2280)/TotalEtapas,0)),"")</f>
        <v/>
      </c>
      <c r="D2281" t="str">
        <f>IFERROR(VLOOKUP(tbEscolas[[#This Row],[COD ETPA]],tbEtapas[],2,FALSE),"")</f>
        <v/>
      </c>
      <c r="E2281" t="str">
        <f>IFERROR(VLOOKUP(tbEscolas[[#This Row],[COD ETPA]],tbEtapas[],3,FALSE),"")</f>
        <v/>
      </c>
    </row>
    <row r="2282" spans="1:5" x14ac:dyDescent="0.25">
      <c r="A2282" t="str" cm="1">
        <f t="array" ref="A2282">IFERROR(INDEX(tbNucleo[ESCOLA],ROUNDUP(ROW(A2281)/TotalEtapas,0)),"")</f>
        <v/>
      </c>
      <c r="D2282" t="str">
        <f>IFERROR(VLOOKUP(tbEscolas[[#This Row],[COD ETPA]],tbEtapas[],2,FALSE),"")</f>
        <v/>
      </c>
      <c r="E2282" t="str">
        <f>IFERROR(VLOOKUP(tbEscolas[[#This Row],[COD ETPA]],tbEtapas[],3,FALSE),"")</f>
        <v/>
      </c>
    </row>
    <row r="2283" spans="1:5" x14ac:dyDescent="0.25">
      <c r="A2283" t="str" cm="1">
        <f t="array" ref="A2283">IFERROR(INDEX(tbNucleo[ESCOLA],ROUNDUP(ROW(A2282)/TotalEtapas,0)),"")</f>
        <v/>
      </c>
      <c r="D2283" t="str">
        <f>IFERROR(VLOOKUP(tbEscolas[[#This Row],[COD ETPA]],tbEtapas[],2,FALSE),"")</f>
        <v/>
      </c>
      <c r="E2283" t="str">
        <f>IFERROR(VLOOKUP(tbEscolas[[#This Row],[COD ETPA]],tbEtapas[],3,FALSE),"")</f>
        <v/>
      </c>
    </row>
    <row r="2284" spans="1:5" x14ac:dyDescent="0.25">
      <c r="A2284" t="str" cm="1">
        <f t="array" ref="A2284">IFERROR(INDEX(tbNucleo[ESCOLA],ROUNDUP(ROW(A2283)/TotalEtapas,0)),"")</f>
        <v/>
      </c>
      <c r="D2284" t="str">
        <f>IFERROR(VLOOKUP(tbEscolas[[#This Row],[COD ETPA]],tbEtapas[],2,FALSE),"")</f>
        <v/>
      </c>
      <c r="E2284" t="str">
        <f>IFERROR(VLOOKUP(tbEscolas[[#This Row],[COD ETPA]],tbEtapas[],3,FALSE),"")</f>
        <v/>
      </c>
    </row>
    <row r="2285" spans="1:5" x14ac:dyDescent="0.25">
      <c r="A2285" t="str" cm="1">
        <f t="array" ref="A2285">IFERROR(INDEX(tbNucleo[ESCOLA],ROUNDUP(ROW(A2284)/TotalEtapas,0)),"")</f>
        <v/>
      </c>
      <c r="D2285" t="str">
        <f>IFERROR(VLOOKUP(tbEscolas[[#This Row],[COD ETPA]],tbEtapas[],2,FALSE),"")</f>
        <v/>
      </c>
      <c r="E2285" t="str">
        <f>IFERROR(VLOOKUP(tbEscolas[[#This Row],[COD ETPA]],tbEtapas[],3,FALSE),"")</f>
        <v/>
      </c>
    </row>
    <row r="2286" spans="1:5" x14ac:dyDescent="0.25">
      <c r="A2286" t="str" cm="1">
        <f t="array" ref="A2286">IFERROR(INDEX(tbNucleo[ESCOLA],ROUNDUP(ROW(A2285)/TotalEtapas,0)),"")</f>
        <v/>
      </c>
      <c r="D2286" t="str">
        <f>IFERROR(VLOOKUP(tbEscolas[[#This Row],[COD ETPA]],tbEtapas[],2,FALSE),"")</f>
        <v/>
      </c>
      <c r="E2286" t="str">
        <f>IFERROR(VLOOKUP(tbEscolas[[#This Row],[COD ETPA]],tbEtapas[],3,FALSE),"")</f>
        <v/>
      </c>
    </row>
    <row r="2287" spans="1:5" x14ac:dyDescent="0.25">
      <c r="A2287" t="str" cm="1">
        <f t="array" ref="A2287">IFERROR(INDEX(tbNucleo[ESCOLA],ROUNDUP(ROW(A2286)/TotalEtapas,0)),"")</f>
        <v/>
      </c>
      <c r="D2287" t="str">
        <f>IFERROR(VLOOKUP(tbEscolas[[#This Row],[COD ETPA]],tbEtapas[],2,FALSE),"")</f>
        <v/>
      </c>
      <c r="E2287" t="str">
        <f>IFERROR(VLOOKUP(tbEscolas[[#This Row],[COD ETPA]],tbEtapas[],3,FALSE),"")</f>
        <v/>
      </c>
    </row>
    <row r="2288" spans="1:5" x14ac:dyDescent="0.25">
      <c r="A2288" t="str" cm="1">
        <f t="array" ref="A2288">IFERROR(INDEX(tbNucleo[ESCOLA],ROUNDUP(ROW(A2287)/TotalEtapas,0)),"")</f>
        <v/>
      </c>
      <c r="D2288" t="str">
        <f>IFERROR(VLOOKUP(tbEscolas[[#This Row],[COD ETPA]],tbEtapas[],2,FALSE),"")</f>
        <v/>
      </c>
      <c r="E2288" t="str">
        <f>IFERROR(VLOOKUP(tbEscolas[[#This Row],[COD ETPA]],tbEtapas[],3,FALSE),"")</f>
        <v/>
      </c>
    </row>
    <row r="2289" spans="1:5" x14ac:dyDescent="0.25">
      <c r="A2289" t="str" cm="1">
        <f t="array" ref="A2289">IFERROR(INDEX(tbNucleo[ESCOLA],ROUNDUP(ROW(A2288)/TotalEtapas,0)),"")</f>
        <v/>
      </c>
      <c r="D2289" t="str">
        <f>IFERROR(VLOOKUP(tbEscolas[[#This Row],[COD ETPA]],tbEtapas[],2,FALSE),"")</f>
        <v/>
      </c>
      <c r="E2289" t="str">
        <f>IFERROR(VLOOKUP(tbEscolas[[#This Row],[COD ETPA]],tbEtapas[],3,FALSE),"")</f>
        <v/>
      </c>
    </row>
    <row r="2290" spans="1:5" x14ac:dyDescent="0.25">
      <c r="A2290" t="str" cm="1">
        <f t="array" ref="A2290">IFERROR(INDEX(tbNucleo[ESCOLA],ROUNDUP(ROW(A2289)/TotalEtapas,0)),"")</f>
        <v/>
      </c>
      <c r="D2290" t="str">
        <f>IFERROR(VLOOKUP(tbEscolas[[#This Row],[COD ETPA]],tbEtapas[],2,FALSE),"")</f>
        <v/>
      </c>
      <c r="E2290" t="str">
        <f>IFERROR(VLOOKUP(tbEscolas[[#This Row],[COD ETPA]],tbEtapas[],3,FALSE),"")</f>
        <v/>
      </c>
    </row>
    <row r="2291" spans="1:5" x14ac:dyDescent="0.25">
      <c r="A2291" t="str" cm="1">
        <f t="array" ref="A2291">IFERROR(INDEX(tbNucleo[ESCOLA],ROUNDUP(ROW(A2290)/TotalEtapas,0)),"")</f>
        <v/>
      </c>
      <c r="D2291" t="str">
        <f>IFERROR(VLOOKUP(tbEscolas[[#This Row],[COD ETPA]],tbEtapas[],2,FALSE),"")</f>
        <v/>
      </c>
      <c r="E2291" t="str">
        <f>IFERROR(VLOOKUP(tbEscolas[[#This Row],[COD ETPA]],tbEtapas[],3,FALSE),"")</f>
        <v/>
      </c>
    </row>
    <row r="2292" spans="1:5" x14ac:dyDescent="0.25">
      <c r="A2292" t="str" cm="1">
        <f t="array" ref="A2292">IFERROR(INDEX(tbNucleo[ESCOLA],ROUNDUP(ROW(A2291)/TotalEtapas,0)),"")</f>
        <v/>
      </c>
      <c r="D2292" t="str">
        <f>IFERROR(VLOOKUP(tbEscolas[[#This Row],[COD ETPA]],tbEtapas[],2,FALSE),"")</f>
        <v/>
      </c>
      <c r="E2292" t="str">
        <f>IFERROR(VLOOKUP(tbEscolas[[#This Row],[COD ETPA]],tbEtapas[],3,FALSE),"")</f>
        <v/>
      </c>
    </row>
    <row r="2293" spans="1:5" x14ac:dyDescent="0.25">
      <c r="A2293" t="str" cm="1">
        <f t="array" ref="A2293">IFERROR(INDEX(tbNucleo[ESCOLA],ROUNDUP(ROW(A2292)/TotalEtapas,0)),"")</f>
        <v/>
      </c>
      <c r="D2293" t="str">
        <f>IFERROR(VLOOKUP(tbEscolas[[#This Row],[COD ETPA]],tbEtapas[],2,FALSE),"")</f>
        <v/>
      </c>
      <c r="E2293" t="str">
        <f>IFERROR(VLOOKUP(tbEscolas[[#This Row],[COD ETPA]],tbEtapas[],3,FALSE),"")</f>
        <v/>
      </c>
    </row>
    <row r="2294" spans="1:5" x14ac:dyDescent="0.25">
      <c r="A2294" t="str" cm="1">
        <f t="array" ref="A2294">IFERROR(INDEX(tbNucleo[ESCOLA],ROUNDUP(ROW(A2293)/TotalEtapas,0)),"")</f>
        <v/>
      </c>
      <c r="D2294" t="str">
        <f>IFERROR(VLOOKUP(tbEscolas[[#This Row],[COD ETPA]],tbEtapas[],2,FALSE),"")</f>
        <v/>
      </c>
      <c r="E2294" t="str">
        <f>IFERROR(VLOOKUP(tbEscolas[[#This Row],[COD ETPA]],tbEtapas[],3,FALSE),"")</f>
        <v/>
      </c>
    </row>
    <row r="2295" spans="1:5" x14ac:dyDescent="0.25">
      <c r="A2295" t="str" cm="1">
        <f t="array" ref="A2295">IFERROR(INDEX(tbNucleo[ESCOLA],ROUNDUP(ROW(A2294)/TotalEtapas,0)),"")</f>
        <v/>
      </c>
      <c r="D2295" t="str">
        <f>IFERROR(VLOOKUP(tbEscolas[[#This Row],[COD ETPA]],tbEtapas[],2,FALSE),"")</f>
        <v/>
      </c>
      <c r="E2295" t="str">
        <f>IFERROR(VLOOKUP(tbEscolas[[#This Row],[COD ETPA]],tbEtapas[],3,FALSE),"")</f>
        <v/>
      </c>
    </row>
    <row r="2296" spans="1:5" x14ac:dyDescent="0.25">
      <c r="A2296" t="str" cm="1">
        <f t="array" ref="A2296">IFERROR(INDEX(tbNucleo[ESCOLA],ROUNDUP(ROW(A2295)/TotalEtapas,0)),"")</f>
        <v/>
      </c>
      <c r="D2296" t="str">
        <f>IFERROR(VLOOKUP(tbEscolas[[#This Row],[COD ETPA]],tbEtapas[],2,FALSE),"")</f>
        <v/>
      </c>
      <c r="E2296" t="str">
        <f>IFERROR(VLOOKUP(tbEscolas[[#This Row],[COD ETPA]],tbEtapas[],3,FALSE),"")</f>
        <v/>
      </c>
    </row>
    <row r="2297" spans="1:5" x14ac:dyDescent="0.25">
      <c r="A2297" t="str" cm="1">
        <f t="array" ref="A2297">IFERROR(INDEX(tbNucleo[ESCOLA],ROUNDUP(ROW(A2296)/TotalEtapas,0)),"")</f>
        <v/>
      </c>
      <c r="D2297" t="str">
        <f>IFERROR(VLOOKUP(tbEscolas[[#This Row],[COD ETPA]],tbEtapas[],2,FALSE),"")</f>
        <v/>
      </c>
      <c r="E2297" t="str">
        <f>IFERROR(VLOOKUP(tbEscolas[[#This Row],[COD ETPA]],tbEtapas[],3,FALSE),"")</f>
        <v/>
      </c>
    </row>
    <row r="2298" spans="1:5" x14ac:dyDescent="0.25">
      <c r="A2298" t="str" cm="1">
        <f t="array" ref="A2298">IFERROR(INDEX(tbNucleo[ESCOLA],ROUNDUP(ROW(A2297)/TotalEtapas,0)),"")</f>
        <v/>
      </c>
      <c r="D2298" t="str">
        <f>IFERROR(VLOOKUP(tbEscolas[[#This Row],[COD ETPA]],tbEtapas[],2,FALSE),"")</f>
        <v/>
      </c>
      <c r="E2298" t="str">
        <f>IFERROR(VLOOKUP(tbEscolas[[#This Row],[COD ETPA]],tbEtapas[],3,FALSE),"")</f>
        <v/>
      </c>
    </row>
    <row r="2299" spans="1:5" x14ac:dyDescent="0.25">
      <c r="A2299" t="str" cm="1">
        <f t="array" ref="A2299">IFERROR(INDEX(tbNucleo[ESCOLA],ROUNDUP(ROW(A2298)/TotalEtapas,0)),"")</f>
        <v/>
      </c>
      <c r="D2299" t="str">
        <f>IFERROR(VLOOKUP(tbEscolas[[#This Row],[COD ETPA]],tbEtapas[],2,FALSE),"")</f>
        <v/>
      </c>
      <c r="E2299" t="str">
        <f>IFERROR(VLOOKUP(tbEscolas[[#This Row],[COD ETPA]],tbEtapas[],3,FALSE),"")</f>
        <v/>
      </c>
    </row>
    <row r="2300" spans="1:5" x14ac:dyDescent="0.25">
      <c r="A2300" t="str" cm="1">
        <f t="array" ref="A2300">IFERROR(INDEX(tbNucleo[ESCOLA],ROUNDUP(ROW(A2299)/TotalEtapas,0)),"")</f>
        <v/>
      </c>
      <c r="D2300" t="str">
        <f>IFERROR(VLOOKUP(tbEscolas[[#This Row],[COD ETPA]],tbEtapas[],2,FALSE),"")</f>
        <v/>
      </c>
      <c r="E2300" t="str">
        <f>IFERROR(VLOOKUP(tbEscolas[[#This Row],[COD ETPA]],tbEtapas[],3,FALSE),"")</f>
        <v/>
      </c>
    </row>
    <row r="2301" spans="1:5" x14ac:dyDescent="0.25">
      <c r="A2301" t="str" cm="1">
        <f t="array" ref="A2301">IFERROR(INDEX(tbNucleo[ESCOLA],ROUNDUP(ROW(A2300)/TotalEtapas,0)),"")</f>
        <v/>
      </c>
      <c r="D2301" t="str">
        <f>IFERROR(VLOOKUP(tbEscolas[[#This Row],[COD ETPA]],tbEtapas[],2,FALSE),"")</f>
        <v/>
      </c>
      <c r="E2301" t="str">
        <f>IFERROR(VLOOKUP(tbEscolas[[#This Row],[COD ETPA]],tbEtapas[],3,FALSE),"")</f>
        <v/>
      </c>
    </row>
    <row r="2302" spans="1:5" x14ac:dyDescent="0.25">
      <c r="A2302" t="str" cm="1">
        <f t="array" ref="A2302">IFERROR(INDEX(tbNucleo[ESCOLA],ROUNDUP(ROW(A2301)/TotalEtapas,0)),"")</f>
        <v/>
      </c>
      <c r="D2302" t="str">
        <f>IFERROR(VLOOKUP(tbEscolas[[#This Row],[COD ETPA]],tbEtapas[],2,FALSE),"")</f>
        <v/>
      </c>
      <c r="E2302" t="str">
        <f>IFERROR(VLOOKUP(tbEscolas[[#This Row],[COD ETPA]],tbEtapas[],3,FALSE),"")</f>
        <v/>
      </c>
    </row>
    <row r="2303" spans="1:5" x14ac:dyDescent="0.25">
      <c r="A2303" t="str" cm="1">
        <f t="array" ref="A2303">IFERROR(INDEX(tbNucleo[ESCOLA],ROUNDUP(ROW(A2302)/TotalEtapas,0)),"")</f>
        <v/>
      </c>
      <c r="D2303" t="str">
        <f>IFERROR(VLOOKUP(tbEscolas[[#This Row],[COD ETPA]],tbEtapas[],2,FALSE),"")</f>
        <v/>
      </c>
      <c r="E2303" t="str">
        <f>IFERROR(VLOOKUP(tbEscolas[[#This Row],[COD ETPA]],tbEtapas[],3,FALSE),"")</f>
        <v/>
      </c>
    </row>
    <row r="2304" spans="1:5" x14ac:dyDescent="0.25">
      <c r="A2304" t="str" cm="1">
        <f t="array" ref="A2304">IFERROR(INDEX(tbNucleo[ESCOLA],ROUNDUP(ROW(A2303)/TotalEtapas,0)),"")</f>
        <v/>
      </c>
      <c r="D2304" t="str">
        <f>IFERROR(VLOOKUP(tbEscolas[[#This Row],[COD ETPA]],tbEtapas[],2,FALSE),"")</f>
        <v/>
      </c>
      <c r="E2304" t="str">
        <f>IFERROR(VLOOKUP(tbEscolas[[#This Row],[COD ETPA]],tbEtapas[],3,FALSE),"")</f>
        <v/>
      </c>
    </row>
    <row r="2305" spans="1:5" x14ac:dyDescent="0.25">
      <c r="A2305" t="str" cm="1">
        <f t="array" ref="A2305">IFERROR(INDEX(tbNucleo[ESCOLA],ROUNDUP(ROW(A2304)/TotalEtapas,0)),"")</f>
        <v/>
      </c>
      <c r="D2305" t="str">
        <f>IFERROR(VLOOKUP(tbEscolas[[#This Row],[COD ETPA]],tbEtapas[],2,FALSE),"")</f>
        <v/>
      </c>
      <c r="E2305" t="str">
        <f>IFERROR(VLOOKUP(tbEscolas[[#This Row],[COD ETPA]],tbEtapas[],3,FALSE),"")</f>
        <v/>
      </c>
    </row>
    <row r="2306" spans="1:5" x14ac:dyDescent="0.25">
      <c r="A2306" t="str" cm="1">
        <f t="array" ref="A2306">IFERROR(INDEX(tbNucleo[ESCOLA],ROUNDUP(ROW(A2305)/TotalEtapas,0)),"")</f>
        <v/>
      </c>
      <c r="D2306" t="str">
        <f>IFERROR(VLOOKUP(tbEscolas[[#This Row],[COD ETPA]],tbEtapas[],2,FALSE),"")</f>
        <v/>
      </c>
      <c r="E2306" t="str">
        <f>IFERROR(VLOOKUP(tbEscolas[[#This Row],[COD ETPA]],tbEtapas[],3,FALSE),"")</f>
        <v/>
      </c>
    </row>
    <row r="2307" spans="1:5" x14ac:dyDescent="0.25">
      <c r="A2307" t="str" cm="1">
        <f t="array" ref="A2307">IFERROR(INDEX(tbNucleo[ESCOLA],ROUNDUP(ROW(A2306)/TotalEtapas,0)),"")</f>
        <v/>
      </c>
      <c r="D2307" t="str">
        <f>IFERROR(VLOOKUP(tbEscolas[[#This Row],[COD ETPA]],tbEtapas[],2,FALSE),"")</f>
        <v/>
      </c>
      <c r="E2307" t="str">
        <f>IFERROR(VLOOKUP(tbEscolas[[#This Row],[COD ETPA]],tbEtapas[],3,FALSE),"")</f>
        <v/>
      </c>
    </row>
    <row r="2308" spans="1:5" x14ac:dyDescent="0.25">
      <c r="A2308" t="str" cm="1">
        <f t="array" ref="A2308">IFERROR(INDEX(tbNucleo[ESCOLA],ROUNDUP(ROW(A2307)/TotalEtapas,0)),"")</f>
        <v/>
      </c>
      <c r="D2308" t="str">
        <f>IFERROR(VLOOKUP(tbEscolas[[#This Row],[COD ETPA]],tbEtapas[],2,FALSE),"")</f>
        <v/>
      </c>
      <c r="E2308" t="str">
        <f>IFERROR(VLOOKUP(tbEscolas[[#This Row],[COD ETPA]],tbEtapas[],3,FALSE),"")</f>
        <v/>
      </c>
    </row>
    <row r="2309" spans="1:5" x14ac:dyDescent="0.25">
      <c r="A2309" t="str" cm="1">
        <f t="array" ref="A2309">IFERROR(INDEX(tbNucleo[ESCOLA],ROUNDUP(ROW(A2308)/TotalEtapas,0)),"")</f>
        <v/>
      </c>
      <c r="D2309" t="str">
        <f>IFERROR(VLOOKUP(tbEscolas[[#This Row],[COD ETPA]],tbEtapas[],2,FALSE),"")</f>
        <v/>
      </c>
      <c r="E2309" t="str">
        <f>IFERROR(VLOOKUP(tbEscolas[[#This Row],[COD ETPA]],tbEtapas[],3,FALSE),"")</f>
        <v/>
      </c>
    </row>
    <row r="2310" spans="1:5" x14ac:dyDescent="0.25">
      <c r="A2310" t="str" cm="1">
        <f t="array" ref="A2310">IFERROR(INDEX(tbNucleo[ESCOLA],ROUNDUP(ROW(A2309)/TotalEtapas,0)),"")</f>
        <v/>
      </c>
      <c r="D2310" t="str">
        <f>IFERROR(VLOOKUP(tbEscolas[[#This Row],[COD ETPA]],tbEtapas[],2,FALSE),"")</f>
        <v/>
      </c>
      <c r="E2310" t="str">
        <f>IFERROR(VLOOKUP(tbEscolas[[#This Row],[COD ETPA]],tbEtapas[],3,FALSE),"")</f>
        <v/>
      </c>
    </row>
    <row r="2311" spans="1:5" x14ac:dyDescent="0.25">
      <c r="A2311" t="str" cm="1">
        <f t="array" ref="A2311">IFERROR(INDEX(tbNucleo[ESCOLA],ROUNDUP(ROW(A2310)/TotalEtapas,0)),"")</f>
        <v/>
      </c>
      <c r="D2311" t="str">
        <f>IFERROR(VLOOKUP(tbEscolas[[#This Row],[COD ETPA]],tbEtapas[],2,FALSE),"")</f>
        <v/>
      </c>
      <c r="E2311" t="str">
        <f>IFERROR(VLOOKUP(tbEscolas[[#This Row],[COD ETPA]],tbEtapas[],3,FALSE),"")</f>
        <v/>
      </c>
    </row>
    <row r="2312" spans="1:5" x14ac:dyDescent="0.25">
      <c r="A2312" t="str" cm="1">
        <f t="array" ref="A2312">IFERROR(INDEX(tbNucleo[ESCOLA],ROUNDUP(ROW(A2311)/TotalEtapas,0)),"")</f>
        <v/>
      </c>
      <c r="D2312" t="str">
        <f>IFERROR(VLOOKUP(tbEscolas[[#This Row],[COD ETPA]],tbEtapas[],2,FALSE),"")</f>
        <v/>
      </c>
      <c r="E2312" t="str">
        <f>IFERROR(VLOOKUP(tbEscolas[[#This Row],[COD ETPA]],tbEtapas[],3,FALSE),"")</f>
        <v/>
      </c>
    </row>
    <row r="2313" spans="1:5" x14ac:dyDescent="0.25">
      <c r="A2313" t="str" cm="1">
        <f t="array" ref="A2313">IFERROR(INDEX(tbNucleo[ESCOLA],ROUNDUP(ROW(A2312)/TotalEtapas,0)),"")</f>
        <v/>
      </c>
      <c r="D2313" t="str">
        <f>IFERROR(VLOOKUP(tbEscolas[[#This Row],[COD ETPA]],tbEtapas[],2,FALSE),"")</f>
        <v/>
      </c>
      <c r="E2313" t="str">
        <f>IFERROR(VLOOKUP(tbEscolas[[#This Row],[COD ETPA]],tbEtapas[],3,FALSE),"")</f>
        <v/>
      </c>
    </row>
    <row r="2314" spans="1:5" x14ac:dyDescent="0.25">
      <c r="A2314" t="str" cm="1">
        <f t="array" ref="A2314">IFERROR(INDEX(tbNucleo[ESCOLA],ROUNDUP(ROW(A2313)/TotalEtapas,0)),"")</f>
        <v/>
      </c>
      <c r="D2314" t="str">
        <f>IFERROR(VLOOKUP(tbEscolas[[#This Row],[COD ETPA]],tbEtapas[],2,FALSE),"")</f>
        <v/>
      </c>
      <c r="E2314" t="str">
        <f>IFERROR(VLOOKUP(tbEscolas[[#This Row],[COD ETPA]],tbEtapas[],3,FALSE),"")</f>
        <v/>
      </c>
    </row>
    <row r="2315" spans="1:5" x14ac:dyDescent="0.25">
      <c r="A2315" t="str" cm="1">
        <f t="array" ref="A2315">IFERROR(INDEX(tbNucleo[ESCOLA],ROUNDUP(ROW(A2314)/TotalEtapas,0)),"")</f>
        <v/>
      </c>
      <c r="D2315" t="str">
        <f>IFERROR(VLOOKUP(tbEscolas[[#This Row],[COD ETPA]],tbEtapas[],2,FALSE),"")</f>
        <v/>
      </c>
      <c r="E2315" t="str">
        <f>IFERROR(VLOOKUP(tbEscolas[[#This Row],[COD ETPA]],tbEtapas[],3,FALSE),"")</f>
        <v/>
      </c>
    </row>
    <row r="2316" spans="1:5" x14ac:dyDescent="0.25">
      <c r="A2316" t="str" cm="1">
        <f t="array" ref="A2316">IFERROR(INDEX(tbNucleo[ESCOLA],ROUNDUP(ROW(A2315)/TotalEtapas,0)),"")</f>
        <v/>
      </c>
      <c r="D2316" t="str">
        <f>IFERROR(VLOOKUP(tbEscolas[[#This Row],[COD ETPA]],tbEtapas[],2,FALSE),"")</f>
        <v/>
      </c>
      <c r="E2316" t="str">
        <f>IFERROR(VLOOKUP(tbEscolas[[#This Row],[COD ETPA]],tbEtapas[],3,FALSE),"")</f>
        <v/>
      </c>
    </row>
    <row r="2317" spans="1:5" x14ac:dyDescent="0.25">
      <c r="A2317" t="str" cm="1">
        <f t="array" ref="A2317">IFERROR(INDEX(tbNucleo[ESCOLA],ROUNDUP(ROW(A2316)/TotalEtapas,0)),"")</f>
        <v/>
      </c>
      <c r="D2317" t="str">
        <f>IFERROR(VLOOKUP(tbEscolas[[#This Row],[COD ETPA]],tbEtapas[],2,FALSE),"")</f>
        <v/>
      </c>
      <c r="E2317" t="str">
        <f>IFERROR(VLOOKUP(tbEscolas[[#This Row],[COD ETPA]],tbEtapas[],3,FALSE),"")</f>
        <v/>
      </c>
    </row>
    <row r="2318" spans="1:5" x14ac:dyDescent="0.25">
      <c r="A2318" t="str" cm="1">
        <f t="array" ref="A2318">IFERROR(INDEX(tbNucleo[ESCOLA],ROUNDUP(ROW(A2317)/TotalEtapas,0)),"")</f>
        <v/>
      </c>
      <c r="D2318" t="str">
        <f>IFERROR(VLOOKUP(tbEscolas[[#This Row],[COD ETPA]],tbEtapas[],2,FALSE),"")</f>
        <v/>
      </c>
      <c r="E2318" t="str">
        <f>IFERROR(VLOOKUP(tbEscolas[[#This Row],[COD ETPA]],tbEtapas[],3,FALSE),"")</f>
        <v/>
      </c>
    </row>
    <row r="2319" spans="1:5" x14ac:dyDescent="0.25">
      <c r="A2319" t="str" cm="1">
        <f t="array" ref="A2319">IFERROR(INDEX(tbNucleo[ESCOLA],ROUNDUP(ROW(A2318)/TotalEtapas,0)),"")</f>
        <v/>
      </c>
      <c r="D2319" t="str">
        <f>IFERROR(VLOOKUP(tbEscolas[[#This Row],[COD ETPA]],tbEtapas[],2,FALSE),"")</f>
        <v/>
      </c>
      <c r="E2319" t="str">
        <f>IFERROR(VLOOKUP(tbEscolas[[#This Row],[COD ETPA]],tbEtapas[],3,FALSE),"")</f>
        <v/>
      </c>
    </row>
    <row r="2320" spans="1:5" x14ac:dyDescent="0.25">
      <c r="A2320" t="str" cm="1">
        <f t="array" ref="A2320">IFERROR(INDEX(tbNucleo[ESCOLA],ROUNDUP(ROW(A2319)/TotalEtapas,0)),"")</f>
        <v/>
      </c>
      <c r="D2320" t="str">
        <f>IFERROR(VLOOKUP(tbEscolas[[#This Row],[COD ETPA]],tbEtapas[],2,FALSE),"")</f>
        <v/>
      </c>
      <c r="E2320" t="str">
        <f>IFERROR(VLOOKUP(tbEscolas[[#This Row],[COD ETPA]],tbEtapas[],3,FALSE),"")</f>
        <v/>
      </c>
    </row>
    <row r="2321" spans="1:5" x14ac:dyDescent="0.25">
      <c r="A2321" t="str" cm="1">
        <f t="array" ref="A2321">IFERROR(INDEX(tbNucleo[ESCOLA],ROUNDUP(ROW(A2320)/TotalEtapas,0)),"")</f>
        <v/>
      </c>
      <c r="D2321" t="str">
        <f>IFERROR(VLOOKUP(tbEscolas[[#This Row],[COD ETPA]],tbEtapas[],2,FALSE),"")</f>
        <v/>
      </c>
      <c r="E2321" t="str">
        <f>IFERROR(VLOOKUP(tbEscolas[[#This Row],[COD ETPA]],tbEtapas[],3,FALSE),"")</f>
        <v/>
      </c>
    </row>
    <row r="2322" spans="1:5" x14ac:dyDescent="0.25">
      <c r="A2322" t="str" cm="1">
        <f t="array" ref="A2322">IFERROR(INDEX(tbNucleo[ESCOLA],ROUNDUP(ROW(A2321)/TotalEtapas,0)),"")</f>
        <v/>
      </c>
      <c r="D2322" t="str">
        <f>IFERROR(VLOOKUP(tbEscolas[[#This Row],[COD ETPA]],tbEtapas[],2,FALSE),"")</f>
        <v/>
      </c>
      <c r="E2322" t="str">
        <f>IFERROR(VLOOKUP(tbEscolas[[#This Row],[COD ETPA]],tbEtapas[],3,FALSE),"")</f>
        <v/>
      </c>
    </row>
    <row r="2323" spans="1:5" x14ac:dyDescent="0.25">
      <c r="A2323" t="str" cm="1">
        <f t="array" ref="A2323">IFERROR(INDEX(tbNucleo[ESCOLA],ROUNDUP(ROW(A2322)/TotalEtapas,0)),"")</f>
        <v/>
      </c>
      <c r="D2323" t="str">
        <f>IFERROR(VLOOKUP(tbEscolas[[#This Row],[COD ETPA]],tbEtapas[],2,FALSE),"")</f>
        <v/>
      </c>
      <c r="E2323" t="str">
        <f>IFERROR(VLOOKUP(tbEscolas[[#This Row],[COD ETPA]],tbEtapas[],3,FALSE),"")</f>
        <v/>
      </c>
    </row>
    <row r="2324" spans="1:5" x14ac:dyDescent="0.25">
      <c r="A2324" t="str" cm="1">
        <f t="array" ref="A2324">IFERROR(INDEX(tbNucleo[ESCOLA],ROUNDUP(ROW(A2323)/TotalEtapas,0)),"")</f>
        <v/>
      </c>
      <c r="D2324" t="str">
        <f>IFERROR(VLOOKUP(tbEscolas[[#This Row],[COD ETPA]],tbEtapas[],2,FALSE),"")</f>
        <v/>
      </c>
      <c r="E2324" t="str">
        <f>IFERROR(VLOOKUP(tbEscolas[[#This Row],[COD ETPA]],tbEtapas[],3,FALSE),"")</f>
        <v/>
      </c>
    </row>
    <row r="2325" spans="1:5" x14ac:dyDescent="0.25">
      <c r="A2325" t="str" cm="1">
        <f t="array" ref="A2325">IFERROR(INDEX(tbNucleo[ESCOLA],ROUNDUP(ROW(A2324)/TotalEtapas,0)),"")</f>
        <v/>
      </c>
      <c r="D2325" t="str">
        <f>IFERROR(VLOOKUP(tbEscolas[[#This Row],[COD ETPA]],tbEtapas[],2,FALSE),"")</f>
        <v/>
      </c>
      <c r="E2325" t="str">
        <f>IFERROR(VLOOKUP(tbEscolas[[#This Row],[COD ETPA]],tbEtapas[],3,FALSE),"")</f>
        <v/>
      </c>
    </row>
    <row r="2326" spans="1:5" x14ac:dyDescent="0.25">
      <c r="A2326" t="str" cm="1">
        <f t="array" ref="A2326">IFERROR(INDEX(tbNucleo[ESCOLA],ROUNDUP(ROW(A2325)/TotalEtapas,0)),"")</f>
        <v/>
      </c>
      <c r="D2326" t="str">
        <f>IFERROR(VLOOKUP(tbEscolas[[#This Row],[COD ETPA]],tbEtapas[],2,FALSE),"")</f>
        <v/>
      </c>
      <c r="E2326" t="str">
        <f>IFERROR(VLOOKUP(tbEscolas[[#This Row],[COD ETPA]],tbEtapas[],3,FALSE),"")</f>
        <v/>
      </c>
    </row>
    <row r="2327" spans="1:5" x14ac:dyDescent="0.25">
      <c r="A2327" t="str" cm="1">
        <f t="array" ref="A2327">IFERROR(INDEX(tbNucleo[ESCOLA],ROUNDUP(ROW(A2326)/TotalEtapas,0)),"")</f>
        <v/>
      </c>
      <c r="D2327" t="str">
        <f>IFERROR(VLOOKUP(tbEscolas[[#This Row],[COD ETPA]],tbEtapas[],2,FALSE),"")</f>
        <v/>
      </c>
      <c r="E2327" t="str">
        <f>IFERROR(VLOOKUP(tbEscolas[[#This Row],[COD ETPA]],tbEtapas[],3,FALSE),"")</f>
        <v/>
      </c>
    </row>
    <row r="2328" spans="1:5" x14ac:dyDescent="0.25">
      <c r="A2328" t="str" cm="1">
        <f t="array" ref="A2328">IFERROR(INDEX(tbNucleo[ESCOLA],ROUNDUP(ROW(A2327)/TotalEtapas,0)),"")</f>
        <v/>
      </c>
      <c r="D2328" t="str">
        <f>IFERROR(VLOOKUP(tbEscolas[[#This Row],[COD ETPA]],tbEtapas[],2,FALSE),"")</f>
        <v/>
      </c>
      <c r="E2328" t="str">
        <f>IFERROR(VLOOKUP(tbEscolas[[#This Row],[COD ETPA]],tbEtapas[],3,FALSE),"")</f>
        <v/>
      </c>
    </row>
    <row r="2329" spans="1:5" x14ac:dyDescent="0.25">
      <c r="A2329" t="str" cm="1">
        <f t="array" ref="A2329">IFERROR(INDEX(tbNucleo[ESCOLA],ROUNDUP(ROW(A2328)/TotalEtapas,0)),"")</f>
        <v/>
      </c>
      <c r="D2329" t="str">
        <f>IFERROR(VLOOKUP(tbEscolas[[#This Row],[COD ETPA]],tbEtapas[],2,FALSE),"")</f>
        <v/>
      </c>
      <c r="E2329" t="str">
        <f>IFERROR(VLOOKUP(tbEscolas[[#This Row],[COD ETPA]],tbEtapas[],3,FALSE),"")</f>
        <v/>
      </c>
    </row>
    <row r="2330" spans="1:5" x14ac:dyDescent="0.25">
      <c r="A2330" t="str" cm="1">
        <f t="array" ref="A2330">IFERROR(INDEX(tbNucleo[ESCOLA],ROUNDUP(ROW(A2329)/TotalEtapas,0)),"")</f>
        <v/>
      </c>
      <c r="D2330" t="str">
        <f>IFERROR(VLOOKUP(tbEscolas[[#This Row],[COD ETPA]],tbEtapas[],2,FALSE),"")</f>
        <v/>
      </c>
      <c r="E2330" t="str">
        <f>IFERROR(VLOOKUP(tbEscolas[[#This Row],[COD ETPA]],tbEtapas[],3,FALSE),"")</f>
        <v/>
      </c>
    </row>
    <row r="2331" spans="1:5" x14ac:dyDescent="0.25">
      <c r="A2331" t="str" cm="1">
        <f t="array" ref="A2331">IFERROR(INDEX(tbNucleo[ESCOLA],ROUNDUP(ROW(A2330)/TotalEtapas,0)),"")</f>
        <v/>
      </c>
      <c r="D2331" t="str">
        <f>IFERROR(VLOOKUP(tbEscolas[[#This Row],[COD ETPA]],tbEtapas[],2,FALSE),"")</f>
        <v/>
      </c>
      <c r="E2331" t="str">
        <f>IFERROR(VLOOKUP(tbEscolas[[#This Row],[COD ETPA]],tbEtapas[],3,FALSE),"")</f>
        <v/>
      </c>
    </row>
    <row r="2332" spans="1:5" x14ac:dyDescent="0.25">
      <c r="A2332" t="str" cm="1">
        <f t="array" ref="A2332">IFERROR(INDEX(tbNucleo[ESCOLA],ROUNDUP(ROW(A2331)/TotalEtapas,0)),"")</f>
        <v/>
      </c>
      <c r="D2332" t="str">
        <f>IFERROR(VLOOKUP(tbEscolas[[#This Row],[COD ETPA]],tbEtapas[],2,FALSE),"")</f>
        <v/>
      </c>
      <c r="E2332" t="str">
        <f>IFERROR(VLOOKUP(tbEscolas[[#This Row],[COD ETPA]],tbEtapas[],3,FALSE),"")</f>
        <v/>
      </c>
    </row>
    <row r="2333" spans="1:5" x14ac:dyDescent="0.25">
      <c r="A2333" t="str" cm="1">
        <f t="array" ref="A2333">IFERROR(INDEX(tbNucleo[ESCOLA],ROUNDUP(ROW(A2332)/TotalEtapas,0)),"")</f>
        <v/>
      </c>
      <c r="D2333" t="str">
        <f>IFERROR(VLOOKUP(tbEscolas[[#This Row],[COD ETPA]],tbEtapas[],2,FALSE),"")</f>
        <v/>
      </c>
      <c r="E2333" t="str">
        <f>IFERROR(VLOOKUP(tbEscolas[[#This Row],[COD ETPA]],tbEtapas[],3,FALSE),"")</f>
        <v/>
      </c>
    </row>
    <row r="2334" spans="1:5" x14ac:dyDescent="0.25">
      <c r="A2334" t="str" cm="1">
        <f t="array" ref="A2334">IFERROR(INDEX(tbNucleo[ESCOLA],ROUNDUP(ROW(A2333)/TotalEtapas,0)),"")</f>
        <v/>
      </c>
      <c r="D2334" t="str">
        <f>IFERROR(VLOOKUP(tbEscolas[[#This Row],[COD ETPA]],tbEtapas[],2,FALSE),"")</f>
        <v/>
      </c>
      <c r="E2334" t="str">
        <f>IFERROR(VLOOKUP(tbEscolas[[#This Row],[COD ETPA]],tbEtapas[],3,FALSE),"")</f>
        <v/>
      </c>
    </row>
    <row r="2335" spans="1:5" x14ac:dyDescent="0.25">
      <c r="A2335" t="str" cm="1">
        <f t="array" ref="A2335">IFERROR(INDEX(tbNucleo[ESCOLA],ROUNDUP(ROW(A2334)/TotalEtapas,0)),"")</f>
        <v/>
      </c>
      <c r="D2335" t="str">
        <f>IFERROR(VLOOKUP(tbEscolas[[#This Row],[COD ETPA]],tbEtapas[],2,FALSE),"")</f>
        <v/>
      </c>
      <c r="E2335" t="str">
        <f>IFERROR(VLOOKUP(tbEscolas[[#This Row],[COD ETPA]],tbEtapas[],3,FALSE),"")</f>
        <v/>
      </c>
    </row>
    <row r="2336" spans="1:5" x14ac:dyDescent="0.25">
      <c r="A2336" t="str" cm="1">
        <f t="array" ref="A2336">IFERROR(INDEX(tbNucleo[ESCOLA],ROUNDUP(ROW(A2335)/TotalEtapas,0)),"")</f>
        <v/>
      </c>
      <c r="D2336" t="str">
        <f>IFERROR(VLOOKUP(tbEscolas[[#This Row],[COD ETPA]],tbEtapas[],2,FALSE),"")</f>
        <v/>
      </c>
      <c r="E2336" t="str">
        <f>IFERROR(VLOOKUP(tbEscolas[[#This Row],[COD ETPA]],tbEtapas[],3,FALSE),"")</f>
        <v/>
      </c>
    </row>
    <row r="2337" spans="1:5" x14ac:dyDescent="0.25">
      <c r="A2337" t="str" cm="1">
        <f t="array" ref="A2337">IFERROR(INDEX(tbNucleo[ESCOLA],ROUNDUP(ROW(A2336)/TotalEtapas,0)),"")</f>
        <v/>
      </c>
      <c r="D2337" t="str">
        <f>IFERROR(VLOOKUP(tbEscolas[[#This Row],[COD ETPA]],tbEtapas[],2,FALSE),"")</f>
        <v/>
      </c>
      <c r="E2337" t="str">
        <f>IFERROR(VLOOKUP(tbEscolas[[#This Row],[COD ETPA]],tbEtapas[],3,FALSE),"")</f>
        <v/>
      </c>
    </row>
    <row r="2338" spans="1:5" x14ac:dyDescent="0.25">
      <c r="A2338" t="str" cm="1">
        <f t="array" ref="A2338">IFERROR(INDEX(tbNucleo[ESCOLA],ROUNDUP(ROW(A2337)/TotalEtapas,0)),"")</f>
        <v/>
      </c>
      <c r="D2338" t="str">
        <f>IFERROR(VLOOKUP(tbEscolas[[#This Row],[COD ETPA]],tbEtapas[],2,FALSE),"")</f>
        <v/>
      </c>
      <c r="E2338" t="str">
        <f>IFERROR(VLOOKUP(tbEscolas[[#This Row],[COD ETPA]],tbEtapas[],3,FALSE),"")</f>
        <v/>
      </c>
    </row>
    <row r="2339" spans="1:5" x14ac:dyDescent="0.25">
      <c r="A2339" t="str" cm="1">
        <f t="array" ref="A2339">IFERROR(INDEX(tbNucleo[ESCOLA],ROUNDUP(ROW(A2338)/TotalEtapas,0)),"")</f>
        <v/>
      </c>
      <c r="D2339" t="str">
        <f>IFERROR(VLOOKUP(tbEscolas[[#This Row],[COD ETPA]],tbEtapas[],2,FALSE),"")</f>
        <v/>
      </c>
      <c r="E2339" t="str">
        <f>IFERROR(VLOOKUP(tbEscolas[[#This Row],[COD ETPA]],tbEtapas[],3,FALSE),"")</f>
        <v/>
      </c>
    </row>
    <row r="2340" spans="1:5" x14ac:dyDescent="0.25">
      <c r="A2340" t="str" cm="1">
        <f t="array" ref="A2340">IFERROR(INDEX(tbNucleo[ESCOLA],ROUNDUP(ROW(A2339)/TotalEtapas,0)),"")</f>
        <v/>
      </c>
      <c r="D2340" t="str">
        <f>IFERROR(VLOOKUP(tbEscolas[[#This Row],[COD ETPA]],tbEtapas[],2,FALSE),"")</f>
        <v/>
      </c>
      <c r="E2340" t="str">
        <f>IFERROR(VLOOKUP(tbEscolas[[#This Row],[COD ETPA]],tbEtapas[],3,FALSE),"")</f>
        <v/>
      </c>
    </row>
    <row r="2341" spans="1:5" x14ac:dyDescent="0.25">
      <c r="A2341" t="str" cm="1">
        <f t="array" ref="A2341">IFERROR(INDEX(tbNucleo[ESCOLA],ROUNDUP(ROW(A2340)/TotalEtapas,0)),"")</f>
        <v/>
      </c>
      <c r="D2341" t="str">
        <f>IFERROR(VLOOKUP(tbEscolas[[#This Row],[COD ETPA]],tbEtapas[],2,FALSE),"")</f>
        <v/>
      </c>
      <c r="E2341" t="str">
        <f>IFERROR(VLOOKUP(tbEscolas[[#This Row],[COD ETPA]],tbEtapas[],3,FALSE),"")</f>
        <v/>
      </c>
    </row>
    <row r="2342" spans="1:5" x14ac:dyDescent="0.25">
      <c r="A2342" t="str" cm="1">
        <f t="array" ref="A2342">IFERROR(INDEX(tbNucleo[ESCOLA],ROUNDUP(ROW(A2341)/TotalEtapas,0)),"")</f>
        <v/>
      </c>
      <c r="D2342" t="str">
        <f>IFERROR(VLOOKUP(tbEscolas[[#This Row],[COD ETPA]],tbEtapas[],2,FALSE),"")</f>
        <v/>
      </c>
      <c r="E2342" t="str">
        <f>IFERROR(VLOOKUP(tbEscolas[[#This Row],[COD ETPA]],tbEtapas[],3,FALSE),"")</f>
        <v/>
      </c>
    </row>
    <row r="2343" spans="1:5" x14ac:dyDescent="0.25">
      <c r="A2343" t="str" cm="1">
        <f t="array" ref="A2343">IFERROR(INDEX(tbNucleo[ESCOLA],ROUNDUP(ROW(A2342)/TotalEtapas,0)),"")</f>
        <v/>
      </c>
      <c r="D2343" t="str">
        <f>IFERROR(VLOOKUP(tbEscolas[[#This Row],[COD ETPA]],tbEtapas[],2,FALSE),"")</f>
        <v/>
      </c>
      <c r="E2343" t="str">
        <f>IFERROR(VLOOKUP(tbEscolas[[#This Row],[COD ETPA]],tbEtapas[],3,FALSE),"")</f>
        <v/>
      </c>
    </row>
    <row r="2344" spans="1:5" x14ac:dyDescent="0.25">
      <c r="A2344" t="str" cm="1">
        <f t="array" ref="A2344">IFERROR(INDEX(tbNucleo[ESCOLA],ROUNDUP(ROW(A2343)/TotalEtapas,0)),"")</f>
        <v/>
      </c>
      <c r="D2344" t="str">
        <f>IFERROR(VLOOKUP(tbEscolas[[#This Row],[COD ETPA]],tbEtapas[],2,FALSE),"")</f>
        <v/>
      </c>
      <c r="E2344" t="str">
        <f>IFERROR(VLOOKUP(tbEscolas[[#This Row],[COD ETPA]],tbEtapas[],3,FALSE),"")</f>
        <v/>
      </c>
    </row>
    <row r="2345" spans="1:5" x14ac:dyDescent="0.25">
      <c r="A2345" t="str" cm="1">
        <f t="array" ref="A2345">IFERROR(INDEX(tbNucleo[ESCOLA],ROUNDUP(ROW(A2344)/TotalEtapas,0)),"")</f>
        <v/>
      </c>
      <c r="D2345" t="str">
        <f>IFERROR(VLOOKUP(tbEscolas[[#This Row],[COD ETPA]],tbEtapas[],2,FALSE),"")</f>
        <v/>
      </c>
      <c r="E2345" t="str">
        <f>IFERROR(VLOOKUP(tbEscolas[[#This Row],[COD ETPA]],tbEtapas[],3,FALSE),"")</f>
        <v/>
      </c>
    </row>
    <row r="2346" spans="1:5" x14ac:dyDescent="0.25">
      <c r="A2346" t="str" cm="1">
        <f t="array" ref="A2346">IFERROR(INDEX(tbNucleo[ESCOLA],ROUNDUP(ROW(A2345)/TotalEtapas,0)),"")</f>
        <v/>
      </c>
      <c r="D2346" t="str">
        <f>IFERROR(VLOOKUP(tbEscolas[[#This Row],[COD ETPA]],tbEtapas[],2,FALSE),"")</f>
        <v/>
      </c>
      <c r="E2346" t="str">
        <f>IFERROR(VLOOKUP(tbEscolas[[#This Row],[COD ETPA]],tbEtapas[],3,FALSE),"")</f>
        <v/>
      </c>
    </row>
    <row r="2347" spans="1:5" x14ac:dyDescent="0.25">
      <c r="A2347" t="str" cm="1">
        <f t="array" ref="A2347">IFERROR(INDEX(tbNucleo[ESCOLA],ROUNDUP(ROW(A2346)/TotalEtapas,0)),"")</f>
        <v/>
      </c>
      <c r="D2347" t="str">
        <f>IFERROR(VLOOKUP(tbEscolas[[#This Row],[COD ETPA]],tbEtapas[],2,FALSE),"")</f>
        <v/>
      </c>
      <c r="E2347" t="str">
        <f>IFERROR(VLOOKUP(tbEscolas[[#This Row],[COD ETPA]],tbEtapas[],3,FALSE),"")</f>
        <v/>
      </c>
    </row>
    <row r="2348" spans="1:5" x14ac:dyDescent="0.25">
      <c r="A2348" t="str" cm="1">
        <f t="array" ref="A2348">IFERROR(INDEX(tbNucleo[ESCOLA],ROUNDUP(ROW(A2347)/TotalEtapas,0)),"")</f>
        <v/>
      </c>
      <c r="D2348" t="str">
        <f>IFERROR(VLOOKUP(tbEscolas[[#This Row],[COD ETPA]],tbEtapas[],2,FALSE),"")</f>
        <v/>
      </c>
      <c r="E2348" t="str">
        <f>IFERROR(VLOOKUP(tbEscolas[[#This Row],[COD ETPA]],tbEtapas[],3,FALSE),"")</f>
        <v/>
      </c>
    </row>
    <row r="2349" spans="1:5" x14ac:dyDescent="0.25">
      <c r="A2349" t="str" cm="1">
        <f t="array" ref="A2349">IFERROR(INDEX(tbNucleo[ESCOLA],ROUNDUP(ROW(A2348)/TotalEtapas,0)),"")</f>
        <v/>
      </c>
      <c r="D2349" t="str">
        <f>IFERROR(VLOOKUP(tbEscolas[[#This Row],[COD ETPA]],tbEtapas[],2,FALSE),"")</f>
        <v/>
      </c>
      <c r="E2349" t="str">
        <f>IFERROR(VLOOKUP(tbEscolas[[#This Row],[COD ETPA]],tbEtapas[],3,FALSE),"")</f>
        <v/>
      </c>
    </row>
    <row r="2350" spans="1:5" x14ac:dyDescent="0.25">
      <c r="A2350" t="str" cm="1">
        <f t="array" ref="A2350">IFERROR(INDEX(tbNucleo[ESCOLA],ROUNDUP(ROW(A2349)/TotalEtapas,0)),"")</f>
        <v/>
      </c>
      <c r="D2350" t="str">
        <f>IFERROR(VLOOKUP(tbEscolas[[#This Row],[COD ETPA]],tbEtapas[],2,FALSE),"")</f>
        <v/>
      </c>
      <c r="E2350" t="str">
        <f>IFERROR(VLOOKUP(tbEscolas[[#This Row],[COD ETPA]],tbEtapas[],3,FALSE),"")</f>
        <v/>
      </c>
    </row>
    <row r="2351" spans="1:5" x14ac:dyDescent="0.25">
      <c r="A2351" t="str" cm="1">
        <f t="array" ref="A2351">IFERROR(INDEX(tbNucleo[ESCOLA],ROUNDUP(ROW(A2350)/TotalEtapas,0)),"")</f>
        <v/>
      </c>
      <c r="D2351" t="str">
        <f>IFERROR(VLOOKUP(tbEscolas[[#This Row],[COD ETPA]],tbEtapas[],2,FALSE),"")</f>
        <v/>
      </c>
      <c r="E2351" t="str">
        <f>IFERROR(VLOOKUP(tbEscolas[[#This Row],[COD ETPA]],tbEtapas[],3,FALSE),"")</f>
        <v/>
      </c>
    </row>
    <row r="2352" spans="1:5" x14ac:dyDescent="0.25">
      <c r="A2352" t="str" cm="1">
        <f t="array" ref="A2352">IFERROR(INDEX(tbNucleo[ESCOLA],ROUNDUP(ROW(A2351)/TotalEtapas,0)),"")</f>
        <v/>
      </c>
      <c r="D2352" t="str">
        <f>IFERROR(VLOOKUP(tbEscolas[[#This Row],[COD ETPA]],tbEtapas[],2,FALSE),"")</f>
        <v/>
      </c>
      <c r="E2352" t="str">
        <f>IFERROR(VLOOKUP(tbEscolas[[#This Row],[COD ETPA]],tbEtapas[],3,FALSE),"")</f>
        <v/>
      </c>
    </row>
    <row r="2353" spans="1:5" x14ac:dyDescent="0.25">
      <c r="A2353" t="str" cm="1">
        <f t="array" ref="A2353">IFERROR(INDEX(tbNucleo[ESCOLA],ROUNDUP(ROW(A2352)/TotalEtapas,0)),"")</f>
        <v/>
      </c>
      <c r="D2353" t="str">
        <f>IFERROR(VLOOKUP(tbEscolas[[#This Row],[COD ETPA]],tbEtapas[],2,FALSE),"")</f>
        <v/>
      </c>
      <c r="E2353" t="str">
        <f>IFERROR(VLOOKUP(tbEscolas[[#This Row],[COD ETPA]],tbEtapas[],3,FALSE),"")</f>
        <v/>
      </c>
    </row>
    <row r="2354" spans="1:5" x14ac:dyDescent="0.25">
      <c r="A2354" t="str" cm="1">
        <f t="array" ref="A2354">IFERROR(INDEX(tbNucleo[ESCOLA],ROUNDUP(ROW(A2353)/TotalEtapas,0)),"")</f>
        <v/>
      </c>
      <c r="D2354" t="str">
        <f>IFERROR(VLOOKUP(tbEscolas[[#This Row],[COD ETPA]],tbEtapas[],2,FALSE),"")</f>
        <v/>
      </c>
      <c r="E2354" t="str">
        <f>IFERROR(VLOOKUP(tbEscolas[[#This Row],[COD ETPA]],tbEtapas[],3,FALSE),"")</f>
        <v/>
      </c>
    </row>
    <row r="2355" spans="1:5" x14ac:dyDescent="0.25">
      <c r="A2355" t="str" cm="1">
        <f t="array" ref="A2355">IFERROR(INDEX(tbNucleo[ESCOLA],ROUNDUP(ROW(A2354)/TotalEtapas,0)),"")</f>
        <v/>
      </c>
      <c r="D2355" t="str">
        <f>IFERROR(VLOOKUP(tbEscolas[[#This Row],[COD ETPA]],tbEtapas[],2,FALSE),"")</f>
        <v/>
      </c>
      <c r="E2355" t="str">
        <f>IFERROR(VLOOKUP(tbEscolas[[#This Row],[COD ETPA]],tbEtapas[],3,FALSE),"")</f>
        <v/>
      </c>
    </row>
    <row r="2356" spans="1:5" x14ac:dyDescent="0.25">
      <c r="A2356" t="str" cm="1">
        <f t="array" ref="A2356">IFERROR(INDEX(tbNucleo[ESCOLA],ROUNDUP(ROW(A2355)/TotalEtapas,0)),"")</f>
        <v/>
      </c>
      <c r="D2356" t="str">
        <f>IFERROR(VLOOKUP(tbEscolas[[#This Row],[COD ETPA]],tbEtapas[],2,FALSE),"")</f>
        <v/>
      </c>
      <c r="E2356" t="str">
        <f>IFERROR(VLOOKUP(tbEscolas[[#This Row],[COD ETPA]],tbEtapas[],3,FALSE),"")</f>
        <v/>
      </c>
    </row>
    <row r="2357" spans="1:5" x14ac:dyDescent="0.25">
      <c r="A2357" t="str" cm="1">
        <f t="array" ref="A2357">IFERROR(INDEX(tbNucleo[ESCOLA],ROUNDUP(ROW(A2356)/TotalEtapas,0)),"")</f>
        <v/>
      </c>
      <c r="D2357" t="str">
        <f>IFERROR(VLOOKUP(tbEscolas[[#This Row],[COD ETPA]],tbEtapas[],2,FALSE),"")</f>
        <v/>
      </c>
      <c r="E2357" t="str">
        <f>IFERROR(VLOOKUP(tbEscolas[[#This Row],[COD ETPA]],tbEtapas[],3,FALSE),"")</f>
        <v/>
      </c>
    </row>
    <row r="2358" spans="1:5" x14ac:dyDescent="0.25">
      <c r="A2358" t="str" cm="1">
        <f t="array" ref="A2358">IFERROR(INDEX(tbNucleo[ESCOLA],ROUNDUP(ROW(A2357)/TotalEtapas,0)),"")</f>
        <v/>
      </c>
      <c r="D2358" t="str">
        <f>IFERROR(VLOOKUP(tbEscolas[[#This Row],[COD ETPA]],tbEtapas[],2,FALSE),"")</f>
        <v/>
      </c>
      <c r="E2358" t="str">
        <f>IFERROR(VLOOKUP(tbEscolas[[#This Row],[COD ETPA]],tbEtapas[],3,FALSE),"")</f>
        <v/>
      </c>
    </row>
    <row r="2359" spans="1:5" x14ac:dyDescent="0.25">
      <c r="A2359" t="str" cm="1">
        <f t="array" ref="A2359">IFERROR(INDEX(tbNucleo[ESCOLA],ROUNDUP(ROW(A2358)/TotalEtapas,0)),"")</f>
        <v/>
      </c>
      <c r="D2359" t="str">
        <f>IFERROR(VLOOKUP(tbEscolas[[#This Row],[COD ETPA]],tbEtapas[],2,FALSE),"")</f>
        <v/>
      </c>
      <c r="E2359" t="str">
        <f>IFERROR(VLOOKUP(tbEscolas[[#This Row],[COD ETPA]],tbEtapas[],3,FALSE),"")</f>
        <v/>
      </c>
    </row>
    <row r="2360" spans="1:5" x14ac:dyDescent="0.25">
      <c r="A2360" t="str" cm="1">
        <f t="array" ref="A2360">IFERROR(INDEX(tbNucleo[ESCOLA],ROUNDUP(ROW(A2359)/TotalEtapas,0)),"")</f>
        <v/>
      </c>
      <c r="D2360" t="str">
        <f>IFERROR(VLOOKUP(tbEscolas[[#This Row],[COD ETPA]],tbEtapas[],2,FALSE),"")</f>
        <v/>
      </c>
      <c r="E2360" t="str">
        <f>IFERROR(VLOOKUP(tbEscolas[[#This Row],[COD ETPA]],tbEtapas[],3,FALSE),"")</f>
        <v/>
      </c>
    </row>
    <row r="2361" spans="1:5" x14ac:dyDescent="0.25">
      <c r="A2361" t="str" cm="1">
        <f t="array" ref="A2361">IFERROR(INDEX(tbNucleo[ESCOLA],ROUNDUP(ROW(A2360)/TotalEtapas,0)),"")</f>
        <v/>
      </c>
      <c r="D2361" t="str">
        <f>IFERROR(VLOOKUP(tbEscolas[[#This Row],[COD ETPA]],tbEtapas[],2,FALSE),"")</f>
        <v/>
      </c>
      <c r="E2361" t="str">
        <f>IFERROR(VLOOKUP(tbEscolas[[#This Row],[COD ETPA]],tbEtapas[],3,FALSE),"")</f>
        <v/>
      </c>
    </row>
    <row r="2362" spans="1:5" x14ac:dyDescent="0.25">
      <c r="A2362" t="str" cm="1">
        <f t="array" ref="A2362">IFERROR(INDEX(tbNucleo[ESCOLA],ROUNDUP(ROW(A2361)/TotalEtapas,0)),"")</f>
        <v/>
      </c>
      <c r="D2362" t="str">
        <f>IFERROR(VLOOKUP(tbEscolas[[#This Row],[COD ETPA]],tbEtapas[],2,FALSE),"")</f>
        <v/>
      </c>
      <c r="E2362" t="str">
        <f>IFERROR(VLOOKUP(tbEscolas[[#This Row],[COD ETPA]],tbEtapas[],3,FALSE),"")</f>
        <v/>
      </c>
    </row>
    <row r="2363" spans="1:5" x14ac:dyDescent="0.25">
      <c r="A2363" t="str" cm="1">
        <f t="array" ref="A2363">IFERROR(INDEX(tbNucleo[ESCOLA],ROUNDUP(ROW(A2362)/TotalEtapas,0)),"")</f>
        <v/>
      </c>
      <c r="D2363" t="str">
        <f>IFERROR(VLOOKUP(tbEscolas[[#This Row],[COD ETPA]],tbEtapas[],2,FALSE),"")</f>
        <v/>
      </c>
      <c r="E2363" t="str">
        <f>IFERROR(VLOOKUP(tbEscolas[[#This Row],[COD ETPA]],tbEtapas[],3,FALSE),"")</f>
        <v/>
      </c>
    </row>
    <row r="2364" spans="1:5" x14ac:dyDescent="0.25">
      <c r="A2364" t="str" cm="1">
        <f t="array" ref="A2364">IFERROR(INDEX(tbNucleo[ESCOLA],ROUNDUP(ROW(A2363)/TotalEtapas,0)),"")</f>
        <v/>
      </c>
      <c r="D2364" t="str">
        <f>IFERROR(VLOOKUP(tbEscolas[[#This Row],[COD ETPA]],tbEtapas[],2,FALSE),"")</f>
        <v/>
      </c>
      <c r="E2364" t="str">
        <f>IFERROR(VLOOKUP(tbEscolas[[#This Row],[COD ETPA]],tbEtapas[],3,FALSE),"")</f>
        <v/>
      </c>
    </row>
    <row r="2365" spans="1:5" x14ac:dyDescent="0.25">
      <c r="A2365" t="str" cm="1">
        <f t="array" ref="A2365">IFERROR(INDEX(tbNucleo[ESCOLA],ROUNDUP(ROW(A2364)/TotalEtapas,0)),"")</f>
        <v/>
      </c>
      <c r="D2365" t="str">
        <f>IFERROR(VLOOKUP(tbEscolas[[#This Row],[COD ETPA]],tbEtapas[],2,FALSE),"")</f>
        <v/>
      </c>
      <c r="E2365" t="str">
        <f>IFERROR(VLOOKUP(tbEscolas[[#This Row],[COD ETPA]],tbEtapas[],3,FALSE),"")</f>
        <v/>
      </c>
    </row>
    <row r="2366" spans="1:5" x14ac:dyDescent="0.25">
      <c r="A2366" t="str" cm="1">
        <f t="array" ref="A2366">IFERROR(INDEX(tbNucleo[ESCOLA],ROUNDUP(ROW(A2365)/TotalEtapas,0)),"")</f>
        <v/>
      </c>
      <c r="D2366" t="str">
        <f>IFERROR(VLOOKUP(tbEscolas[[#This Row],[COD ETPA]],tbEtapas[],2,FALSE),"")</f>
        <v/>
      </c>
      <c r="E2366" t="str">
        <f>IFERROR(VLOOKUP(tbEscolas[[#This Row],[COD ETPA]],tbEtapas[],3,FALSE),"")</f>
        <v/>
      </c>
    </row>
    <row r="2367" spans="1:5" x14ac:dyDescent="0.25">
      <c r="A2367" t="str" cm="1">
        <f t="array" ref="A2367">IFERROR(INDEX(tbNucleo[ESCOLA],ROUNDUP(ROW(A2366)/TotalEtapas,0)),"")</f>
        <v/>
      </c>
      <c r="D2367" t="str">
        <f>IFERROR(VLOOKUP(tbEscolas[[#This Row],[COD ETPA]],tbEtapas[],2,FALSE),"")</f>
        <v/>
      </c>
      <c r="E2367" t="str">
        <f>IFERROR(VLOOKUP(tbEscolas[[#This Row],[COD ETPA]],tbEtapas[],3,FALSE),"")</f>
        <v/>
      </c>
    </row>
    <row r="2368" spans="1:5" x14ac:dyDescent="0.25">
      <c r="A2368" t="str" cm="1">
        <f t="array" ref="A2368">IFERROR(INDEX(tbNucleo[ESCOLA],ROUNDUP(ROW(A2367)/TotalEtapas,0)),"")</f>
        <v/>
      </c>
      <c r="D2368" t="str">
        <f>IFERROR(VLOOKUP(tbEscolas[[#This Row],[COD ETPA]],tbEtapas[],2,FALSE),"")</f>
        <v/>
      </c>
      <c r="E2368" t="str">
        <f>IFERROR(VLOOKUP(tbEscolas[[#This Row],[COD ETPA]],tbEtapas[],3,FALSE),"")</f>
        <v/>
      </c>
    </row>
    <row r="2369" spans="1:5" x14ac:dyDescent="0.25">
      <c r="A2369" t="str" cm="1">
        <f t="array" ref="A2369">IFERROR(INDEX(tbNucleo[ESCOLA],ROUNDUP(ROW(A2368)/TotalEtapas,0)),"")</f>
        <v/>
      </c>
      <c r="D2369" t="str">
        <f>IFERROR(VLOOKUP(tbEscolas[[#This Row],[COD ETPA]],tbEtapas[],2,FALSE),"")</f>
        <v/>
      </c>
      <c r="E2369" t="str">
        <f>IFERROR(VLOOKUP(tbEscolas[[#This Row],[COD ETPA]],tbEtapas[],3,FALSE),"")</f>
        <v/>
      </c>
    </row>
    <row r="2370" spans="1:5" x14ac:dyDescent="0.25">
      <c r="A2370" t="str" cm="1">
        <f t="array" ref="A2370">IFERROR(INDEX(tbNucleo[ESCOLA],ROUNDUP(ROW(A2369)/TotalEtapas,0)),"")</f>
        <v/>
      </c>
      <c r="D2370" t="str">
        <f>IFERROR(VLOOKUP(tbEscolas[[#This Row],[COD ETPA]],tbEtapas[],2,FALSE),"")</f>
        <v/>
      </c>
      <c r="E2370" t="str">
        <f>IFERROR(VLOOKUP(tbEscolas[[#This Row],[COD ETPA]],tbEtapas[],3,FALSE),"")</f>
        <v/>
      </c>
    </row>
    <row r="2371" spans="1:5" x14ac:dyDescent="0.25">
      <c r="A2371" t="str" cm="1">
        <f t="array" ref="A2371">IFERROR(INDEX(tbNucleo[ESCOLA],ROUNDUP(ROW(A2370)/TotalEtapas,0)),"")</f>
        <v/>
      </c>
      <c r="D2371" t="str">
        <f>IFERROR(VLOOKUP(tbEscolas[[#This Row],[COD ETPA]],tbEtapas[],2,FALSE),"")</f>
        <v/>
      </c>
      <c r="E2371" t="str">
        <f>IFERROR(VLOOKUP(tbEscolas[[#This Row],[COD ETPA]],tbEtapas[],3,FALSE),"")</f>
        <v/>
      </c>
    </row>
    <row r="2372" spans="1:5" x14ac:dyDescent="0.25">
      <c r="A2372" t="str" cm="1">
        <f t="array" ref="A2372">IFERROR(INDEX(tbNucleo[ESCOLA],ROUNDUP(ROW(A2371)/TotalEtapas,0)),"")</f>
        <v/>
      </c>
      <c r="D2372" t="str">
        <f>IFERROR(VLOOKUP(tbEscolas[[#This Row],[COD ETPA]],tbEtapas[],2,FALSE),"")</f>
        <v/>
      </c>
      <c r="E2372" t="str">
        <f>IFERROR(VLOOKUP(tbEscolas[[#This Row],[COD ETPA]],tbEtapas[],3,FALSE),"")</f>
        <v/>
      </c>
    </row>
    <row r="2373" spans="1:5" x14ac:dyDescent="0.25">
      <c r="A2373" t="str" cm="1">
        <f t="array" ref="A2373">IFERROR(INDEX(tbNucleo[ESCOLA],ROUNDUP(ROW(A2372)/TotalEtapas,0)),"")</f>
        <v/>
      </c>
      <c r="D2373" t="str">
        <f>IFERROR(VLOOKUP(tbEscolas[[#This Row],[COD ETPA]],tbEtapas[],2,FALSE),"")</f>
        <v/>
      </c>
      <c r="E2373" t="str">
        <f>IFERROR(VLOOKUP(tbEscolas[[#This Row],[COD ETPA]],tbEtapas[],3,FALSE),"")</f>
        <v/>
      </c>
    </row>
    <row r="2374" spans="1:5" x14ac:dyDescent="0.25">
      <c r="A2374" t="str" cm="1">
        <f t="array" ref="A2374">IFERROR(INDEX(tbNucleo[ESCOLA],ROUNDUP(ROW(A2373)/TotalEtapas,0)),"")</f>
        <v/>
      </c>
      <c r="D2374" t="str">
        <f>IFERROR(VLOOKUP(tbEscolas[[#This Row],[COD ETPA]],tbEtapas[],2,FALSE),"")</f>
        <v/>
      </c>
      <c r="E2374" t="str">
        <f>IFERROR(VLOOKUP(tbEscolas[[#This Row],[COD ETPA]],tbEtapas[],3,FALSE),"")</f>
        <v/>
      </c>
    </row>
    <row r="2375" spans="1:5" x14ac:dyDescent="0.25">
      <c r="A2375" t="str" cm="1">
        <f t="array" ref="A2375">IFERROR(INDEX(tbNucleo[ESCOLA],ROUNDUP(ROW(A2374)/TotalEtapas,0)),"")</f>
        <v/>
      </c>
      <c r="D2375" t="str">
        <f>IFERROR(VLOOKUP(tbEscolas[[#This Row],[COD ETPA]],tbEtapas[],2,FALSE),"")</f>
        <v/>
      </c>
      <c r="E2375" t="str">
        <f>IFERROR(VLOOKUP(tbEscolas[[#This Row],[COD ETPA]],tbEtapas[],3,FALSE),"")</f>
        <v/>
      </c>
    </row>
    <row r="2376" spans="1:5" x14ac:dyDescent="0.25">
      <c r="A2376" t="str" cm="1">
        <f t="array" ref="A2376">IFERROR(INDEX(tbNucleo[ESCOLA],ROUNDUP(ROW(A2375)/TotalEtapas,0)),"")</f>
        <v/>
      </c>
      <c r="D2376" t="str">
        <f>IFERROR(VLOOKUP(tbEscolas[[#This Row],[COD ETPA]],tbEtapas[],2,FALSE),"")</f>
        <v/>
      </c>
      <c r="E2376" t="str">
        <f>IFERROR(VLOOKUP(tbEscolas[[#This Row],[COD ETPA]],tbEtapas[],3,FALSE),"")</f>
        <v/>
      </c>
    </row>
    <row r="2377" spans="1:5" x14ac:dyDescent="0.25">
      <c r="A2377" t="str" cm="1">
        <f t="array" ref="A2377">IFERROR(INDEX(tbNucleo[ESCOLA],ROUNDUP(ROW(A2376)/TotalEtapas,0)),"")</f>
        <v/>
      </c>
      <c r="D2377" t="str">
        <f>IFERROR(VLOOKUP(tbEscolas[[#This Row],[COD ETPA]],tbEtapas[],2,FALSE),"")</f>
        <v/>
      </c>
      <c r="E2377" t="str">
        <f>IFERROR(VLOOKUP(tbEscolas[[#This Row],[COD ETPA]],tbEtapas[],3,FALSE),"")</f>
        <v/>
      </c>
    </row>
    <row r="2378" spans="1:5" x14ac:dyDescent="0.25">
      <c r="A2378" t="str" cm="1">
        <f t="array" ref="A2378">IFERROR(INDEX(tbNucleo[ESCOLA],ROUNDUP(ROW(A2377)/TotalEtapas,0)),"")</f>
        <v/>
      </c>
      <c r="D2378" t="str">
        <f>IFERROR(VLOOKUP(tbEscolas[[#This Row],[COD ETPA]],tbEtapas[],2,FALSE),"")</f>
        <v/>
      </c>
      <c r="E2378" t="str">
        <f>IFERROR(VLOOKUP(tbEscolas[[#This Row],[COD ETPA]],tbEtapas[],3,FALSE),"")</f>
        <v/>
      </c>
    </row>
    <row r="2379" spans="1:5" x14ac:dyDescent="0.25">
      <c r="A2379" t="str" cm="1">
        <f t="array" ref="A2379">IFERROR(INDEX(tbNucleo[ESCOLA],ROUNDUP(ROW(A2378)/TotalEtapas,0)),"")</f>
        <v/>
      </c>
      <c r="D2379" t="str">
        <f>IFERROR(VLOOKUP(tbEscolas[[#This Row],[COD ETPA]],tbEtapas[],2,FALSE),"")</f>
        <v/>
      </c>
      <c r="E2379" t="str">
        <f>IFERROR(VLOOKUP(tbEscolas[[#This Row],[COD ETPA]],tbEtapas[],3,FALSE),"")</f>
        <v/>
      </c>
    </row>
    <row r="2380" spans="1:5" x14ac:dyDescent="0.25">
      <c r="A2380" t="str" cm="1">
        <f t="array" ref="A2380">IFERROR(INDEX(tbNucleo[ESCOLA],ROUNDUP(ROW(A2379)/TotalEtapas,0)),"")</f>
        <v/>
      </c>
      <c r="D2380" t="str">
        <f>IFERROR(VLOOKUP(tbEscolas[[#This Row],[COD ETPA]],tbEtapas[],2,FALSE),"")</f>
        <v/>
      </c>
      <c r="E2380" t="str">
        <f>IFERROR(VLOOKUP(tbEscolas[[#This Row],[COD ETPA]],tbEtapas[],3,FALSE),"")</f>
        <v/>
      </c>
    </row>
    <row r="2381" spans="1:5" x14ac:dyDescent="0.25">
      <c r="A2381" t="str" cm="1">
        <f t="array" ref="A2381">IFERROR(INDEX(tbNucleo[ESCOLA],ROUNDUP(ROW(A2380)/TotalEtapas,0)),"")</f>
        <v/>
      </c>
      <c r="D2381" t="str">
        <f>IFERROR(VLOOKUP(tbEscolas[[#This Row],[COD ETPA]],tbEtapas[],2,FALSE),"")</f>
        <v/>
      </c>
      <c r="E2381" t="str">
        <f>IFERROR(VLOOKUP(tbEscolas[[#This Row],[COD ETPA]],tbEtapas[],3,FALSE),"")</f>
        <v/>
      </c>
    </row>
    <row r="2382" spans="1:5" x14ac:dyDescent="0.25">
      <c r="A2382" t="str" cm="1">
        <f t="array" ref="A2382">IFERROR(INDEX(tbNucleo[ESCOLA],ROUNDUP(ROW(A2381)/TotalEtapas,0)),"")</f>
        <v/>
      </c>
      <c r="D2382" t="str">
        <f>IFERROR(VLOOKUP(tbEscolas[[#This Row],[COD ETPA]],tbEtapas[],2,FALSE),"")</f>
        <v/>
      </c>
      <c r="E2382" t="str">
        <f>IFERROR(VLOOKUP(tbEscolas[[#This Row],[COD ETPA]],tbEtapas[],3,FALSE),"")</f>
        <v/>
      </c>
    </row>
    <row r="2383" spans="1:5" x14ac:dyDescent="0.25">
      <c r="A2383" t="str" cm="1">
        <f t="array" ref="A2383">IFERROR(INDEX(tbNucleo[ESCOLA],ROUNDUP(ROW(A2382)/TotalEtapas,0)),"")</f>
        <v/>
      </c>
      <c r="D2383" t="str">
        <f>IFERROR(VLOOKUP(tbEscolas[[#This Row],[COD ETPA]],tbEtapas[],2,FALSE),"")</f>
        <v/>
      </c>
      <c r="E2383" t="str">
        <f>IFERROR(VLOOKUP(tbEscolas[[#This Row],[COD ETPA]],tbEtapas[],3,FALSE),"")</f>
        <v/>
      </c>
    </row>
    <row r="2384" spans="1:5" x14ac:dyDescent="0.25">
      <c r="A2384" t="str" cm="1">
        <f t="array" ref="A2384">IFERROR(INDEX(tbNucleo[ESCOLA],ROUNDUP(ROW(A2383)/TotalEtapas,0)),"")</f>
        <v/>
      </c>
      <c r="D2384" t="str">
        <f>IFERROR(VLOOKUP(tbEscolas[[#This Row],[COD ETPA]],tbEtapas[],2,FALSE),"")</f>
        <v/>
      </c>
      <c r="E2384" t="str">
        <f>IFERROR(VLOOKUP(tbEscolas[[#This Row],[COD ETPA]],tbEtapas[],3,FALSE),"")</f>
        <v/>
      </c>
    </row>
    <row r="2385" spans="1:5" x14ac:dyDescent="0.25">
      <c r="A2385" t="str" cm="1">
        <f t="array" ref="A2385">IFERROR(INDEX(tbNucleo[ESCOLA],ROUNDUP(ROW(A2384)/TotalEtapas,0)),"")</f>
        <v/>
      </c>
      <c r="D2385" t="str">
        <f>IFERROR(VLOOKUP(tbEscolas[[#This Row],[COD ETPA]],tbEtapas[],2,FALSE),"")</f>
        <v/>
      </c>
      <c r="E2385" t="str">
        <f>IFERROR(VLOOKUP(tbEscolas[[#This Row],[COD ETPA]],tbEtapas[],3,FALSE),"")</f>
        <v/>
      </c>
    </row>
    <row r="2386" spans="1:5" x14ac:dyDescent="0.25">
      <c r="A2386" t="str" cm="1">
        <f t="array" ref="A2386">IFERROR(INDEX(tbNucleo[ESCOLA],ROUNDUP(ROW(A2385)/TotalEtapas,0)),"")</f>
        <v/>
      </c>
      <c r="D2386" t="str">
        <f>IFERROR(VLOOKUP(tbEscolas[[#This Row],[COD ETPA]],tbEtapas[],2,FALSE),"")</f>
        <v/>
      </c>
      <c r="E2386" t="str">
        <f>IFERROR(VLOOKUP(tbEscolas[[#This Row],[COD ETPA]],tbEtapas[],3,FALSE),"")</f>
        <v/>
      </c>
    </row>
    <row r="2387" spans="1:5" x14ac:dyDescent="0.25">
      <c r="A2387" t="str" cm="1">
        <f t="array" ref="A2387">IFERROR(INDEX(tbNucleo[ESCOLA],ROUNDUP(ROW(A2386)/TotalEtapas,0)),"")</f>
        <v/>
      </c>
      <c r="D2387" t="str">
        <f>IFERROR(VLOOKUP(tbEscolas[[#This Row],[COD ETPA]],tbEtapas[],2,FALSE),"")</f>
        <v/>
      </c>
      <c r="E2387" t="str">
        <f>IFERROR(VLOOKUP(tbEscolas[[#This Row],[COD ETPA]],tbEtapas[],3,FALSE),"")</f>
        <v/>
      </c>
    </row>
    <row r="2388" spans="1:5" x14ac:dyDescent="0.25">
      <c r="A2388" t="str" cm="1">
        <f t="array" ref="A2388">IFERROR(INDEX(tbNucleo[ESCOLA],ROUNDUP(ROW(A2387)/TotalEtapas,0)),"")</f>
        <v/>
      </c>
      <c r="D2388" t="str">
        <f>IFERROR(VLOOKUP(tbEscolas[[#This Row],[COD ETPA]],tbEtapas[],2,FALSE),"")</f>
        <v/>
      </c>
      <c r="E2388" t="str">
        <f>IFERROR(VLOOKUP(tbEscolas[[#This Row],[COD ETPA]],tbEtapas[],3,FALSE),"")</f>
        <v/>
      </c>
    </row>
    <row r="2389" spans="1:5" x14ac:dyDescent="0.25">
      <c r="A2389" t="str" cm="1">
        <f t="array" ref="A2389">IFERROR(INDEX(tbNucleo[ESCOLA],ROUNDUP(ROW(A2388)/TotalEtapas,0)),"")</f>
        <v/>
      </c>
      <c r="D2389" t="str">
        <f>IFERROR(VLOOKUP(tbEscolas[[#This Row],[COD ETPA]],tbEtapas[],2,FALSE),"")</f>
        <v/>
      </c>
      <c r="E2389" t="str">
        <f>IFERROR(VLOOKUP(tbEscolas[[#This Row],[COD ETPA]],tbEtapas[],3,FALSE),"")</f>
        <v/>
      </c>
    </row>
    <row r="2390" spans="1:5" x14ac:dyDescent="0.25">
      <c r="A2390" t="str" cm="1">
        <f t="array" ref="A2390">IFERROR(INDEX(tbNucleo[ESCOLA],ROUNDUP(ROW(A2389)/TotalEtapas,0)),"")</f>
        <v/>
      </c>
      <c r="D2390" t="str">
        <f>IFERROR(VLOOKUP(tbEscolas[[#This Row],[COD ETPA]],tbEtapas[],2,FALSE),"")</f>
        <v/>
      </c>
      <c r="E2390" t="str">
        <f>IFERROR(VLOOKUP(tbEscolas[[#This Row],[COD ETPA]],tbEtapas[],3,FALSE),"")</f>
        <v/>
      </c>
    </row>
    <row r="2391" spans="1:5" x14ac:dyDescent="0.25">
      <c r="A2391" t="str" cm="1">
        <f t="array" ref="A2391">IFERROR(INDEX(tbNucleo[ESCOLA],ROUNDUP(ROW(A2390)/TotalEtapas,0)),"")</f>
        <v/>
      </c>
      <c r="D2391" t="str">
        <f>IFERROR(VLOOKUP(tbEscolas[[#This Row],[COD ETPA]],tbEtapas[],2,FALSE),"")</f>
        <v/>
      </c>
      <c r="E2391" t="str">
        <f>IFERROR(VLOOKUP(tbEscolas[[#This Row],[COD ETPA]],tbEtapas[],3,FALSE),"")</f>
        <v/>
      </c>
    </row>
    <row r="2392" spans="1:5" x14ac:dyDescent="0.25">
      <c r="A2392" t="str" cm="1">
        <f t="array" ref="A2392">IFERROR(INDEX(tbNucleo[ESCOLA],ROUNDUP(ROW(A2391)/TotalEtapas,0)),"")</f>
        <v/>
      </c>
      <c r="D2392" t="str">
        <f>IFERROR(VLOOKUP(tbEscolas[[#This Row],[COD ETPA]],tbEtapas[],2,FALSE),"")</f>
        <v/>
      </c>
      <c r="E2392" t="str">
        <f>IFERROR(VLOOKUP(tbEscolas[[#This Row],[COD ETPA]],tbEtapas[],3,FALSE),"")</f>
        <v/>
      </c>
    </row>
    <row r="2393" spans="1:5" x14ac:dyDescent="0.25">
      <c r="A2393" t="str" cm="1">
        <f t="array" ref="A2393">IFERROR(INDEX(tbNucleo[ESCOLA],ROUNDUP(ROW(A2392)/TotalEtapas,0)),"")</f>
        <v/>
      </c>
      <c r="D2393" t="str">
        <f>IFERROR(VLOOKUP(tbEscolas[[#This Row],[COD ETPA]],tbEtapas[],2,FALSE),"")</f>
        <v/>
      </c>
      <c r="E2393" t="str">
        <f>IFERROR(VLOOKUP(tbEscolas[[#This Row],[COD ETPA]],tbEtapas[],3,FALSE),"")</f>
        <v/>
      </c>
    </row>
    <row r="2394" spans="1:5" x14ac:dyDescent="0.25">
      <c r="A2394" t="str" cm="1">
        <f t="array" ref="A2394">IFERROR(INDEX(tbNucleo[ESCOLA],ROUNDUP(ROW(A2393)/TotalEtapas,0)),"")</f>
        <v/>
      </c>
      <c r="D2394" t="str">
        <f>IFERROR(VLOOKUP(tbEscolas[[#This Row],[COD ETPA]],tbEtapas[],2,FALSE),"")</f>
        <v/>
      </c>
      <c r="E2394" t="str">
        <f>IFERROR(VLOOKUP(tbEscolas[[#This Row],[COD ETPA]],tbEtapas[],3,FALSE),"")</f>
        <v/>
      </c>
    </row>
    <row r="2395" spans="1:5" x14ac:dyDescent="0.25">
      <c r="A2395" t="str" cm="1">
        <f t="array" ref="A2395">IFERROR(INDEX(tbNucleo[ESCOLA],ROUNDUP(ROW(A2394)/TotalEtapas,0)),"")</f>
        <v/>
      </c>
      <c r="D2395" t="str">
        <f>IFERROR(VLOOKUP(tbEscolas[[#This Row],[COD ETPA]],tbEtapas[],2,FALSE),"")</f>
        <v/>
      </c>
      <c r="E2395" t="str">
        <f>IFERROR(VLOOKUP(tbEscolas[[#This Row],[COD ETPA]],tbEtapas[],3,FALSE),"")</f>
        <v/>
      </c>
    </row>
    <row r="2396" spans="1:5" x14ac:dyDescent="0.25">
      <c r="A2396" t="str" cm="1">
        <f t="array" ref="A2396">IFERROR(INDEX(tbNucleo[ESCOLA],ROUNDUP(ROW(A2395)/TotalEtapas,0)),"")</f>
        <v/>
      </c>
      <c r="D2396" t="str">
        <f>IFERROR(VLOOKUP(tbEscolas[[#This Row],[COD ETPA]],tbEtapas[],2,FALSE),"")</f>
        <v/>
      </c>
      <c r="E2396" t="str">
        <f>IFERROR(VLOOKUP(tbEscolas[[#This Row],[COD ETPA]],tbEtapas[],3,FALSE),"")</f>
        <v/>
      </c>
    </row>
    <row r="2397" spans="1:5" x14ac:dyDescent="0.25">
      <c r="A2397" t="str" cm="1">
        <f t="array" ref="A2397">IFERROR(INDEX(tbNucleo[ESCOLA],ROUNDUP(ROW(A2396)/TotalEtapas,0)),"")</f>
        <v/>
      </c>
      <c r="D2397" t="str">
        <f>IFERROR(VLOOKUP(tbEscolas[[#This Row],[COD ETPA]],tbEtapas[],2,FALSE),"")</f>
        <v/>
      </c>
      <c r="E2397" t="str">
        <f>IFERROR(VLOOKUP(tbEscolas[[#This Row],[COD ETPA]],tbEtapas[],3,FALSE),"")</f>
        <v/>
      </c>
    </row>
    <row r="2398" spans="1:5" x14ac:dyDescent="0.25">
      <c r="A2398" t="str" cm="1">
        <f t="array" ref="A2398">IFERROR(INDEX(tbNucleo[ESCOLA],ROUNDUP(ROW(A2397)/TotalEtapas,0)),"")</f>
        <v/>
      </c>
      <c r="D2398" t="str">
        <f>IFERROR(VLOOKUP(tbEscolas[[#This Row],[COD ETPA]],tbEtapas[],2,FALSE),"")</f>
        <v/>
      </c>
      <c r="E2398" t="str">
        <f>IFERROR(VLOOKUP(tbEscolas[[#This Row],[COD ETPA]],tbEtapas[],3,FALSE),"")</f>
        <v/>
      </c>
    </row>
    <row r="2399" spans="1:5" x14ac:dyDescent="0.25">
      <c r="A2399" t="str" cm="1">
        <f t="array" ref="A2399">IFERROR(INDEX(tbNucleo[ESCOLA],ROUNDUP(ROW(A2398)/TotalEtapas,0)),"")</f>
        <v/>
      </c>
      <c r="D2399" t="str">
        <f>IFERROR(VLOOKUP(tbEscolas[[#This Row],[COD ETPA]],tbEtapas[],2,FALSE),"")</f>
        <v/>
      </c>
      <c r="E2399" t="str">
        <f>IFERROR(VLOOKUP(tbEscolas[[#This Row],[COD ETPA]],tbEtapas[],3,FALSE),"")</f>
        <v/>
      </c>
    </row>
    <row r="2400" spans="1:5" x14ac:dyDescent="0.25">
      <c r="A2400" t="str" cm="1">
        <f t="array" ref="A2400">IFERROR(INDEX(tbNucleo[ESCOLA],ROUNDUP(ROW(A2399)/TotalEtapas,0)),"")</f>
        <v/>
      </c>
      <c r="D2400" t="str">
        <f>IFERROR(VLOOKUP(tbEscolas[[#This Row],[COD ETPA]],tbEtapas[],2,FALSE),"")</f>
        <v/>
      </c>
      <c r="E2400" t="str">
        <f>IFERROR(VLOOKUP(tbEscolas[[#This Row],[COD ETPA]],tbEtapas[],3,FALSE),"")</f>
        <v/>
      </c>
    </row>
    <row r="2401" spans="1:5" x14ac:dyDescent="0.25">
      <c r="A2401" t="str" cm="1">
        <f t="array" ref="A2401">IFERROR(INDEX(tbNucleo[ESCOLA],ROUNDUP(ROW(A2400)/TotalEtapas,0)),"")</f>
        <v/>
      </c>
      <c r="D2401" t="str">
        <f>IFERROR(VLOOKUP(tbEscolas[[#This Row],[COD ETPA]],tbEtapas[],2,FALSE),"")</f>
        <v/>
      </c>
      <c r="E2401" t="str">
        <f>IFERROR(VLOOKUP(tbEscolas[[#This Row],[COD ETPA]],tbEtapas[],3,FALSE),"")</f>
        <v/>
      </c>
    </row>
    <row r="2402" spans="1:5" x14ac:dyDescent="0.25">
      <c r="A2402" t="str" cm="1">
        <f t="array" ref="A2402">IFERROR(INDEX(tbNucleo[ESCOLA],ROUNDUP(ROW(A2401)/TotalEtapas,0)),"")</f>
        <v/>
      </c>
      <c r="D2402" t="str">
        <f>IFERROR(VLOOKUP(tbEscolas[[#This Row],[COD ETPA]],tbEtapas[],2,FALSE),"")</f>
        <v/>
      </c>
      <c r="E2402" t="str">
        <f>IFERROR(VLOOKUP(tbEscolas[[#This Row],[COD ETPA]],tbEtapas[],3,FALSE),"")</f>
        <v/>
      </c>
    </row>
    <row r="2403" spans="1:5" x14ac:dyDescent="0.25">
      <c r="A2403" t="str" cm="1">
        <f t="array" ref="A2403">IFERROR(INDEX(tbNucleo[ESCOLA],ROUNDUP(ROW(A2402)/TotalEtapas,0)),"")</f>
        <v/>
      </c>
      <c r="D2403" t="str">
        <f>IFERROR(VLOOKUP(tbEscolas[[#This Row],[COD ETPA]],tbEtapas[],2,FALSE),"")</f>
        <v/>
      </c>
      <c r="E2403" t="str">
        <f>IFERROR(VLOOKUP(tbEscolas[[#This Row],[COD ETPA]],tbEtapas[],3,FALSE),"")</f>
        <v/>
      </c>
    </row>
    <row r="2404" spans="1:5" x14ac:dyDescent="0.25">
      <c r="A2404" t="str" cm="1">
        <f t="array" ref="A2404">IFERROR(INDEX(tbNucleo[ESCOLA],ROUNDUP(ROW(A2403)/TotalEtapas,0)),"")</f>
        <v/>
      </c>
      <c r="D2404" t="str">
        <f>IFERROR(VLOOKUP(tbEscolas[[#This Row],[COD ETPA]],tbEtapas[],2,FALSE),"")</f>
        <v/>
      </c>
      <c r="E2404" t="str">
        <f>IFERROR(VLOOKUP(tbEscolas[[#This Row],[COD ETPA]],tbEtapas[],3,FALSE),"")</f>
        <v/>
      </c>
    </row>
    <row r="2405" spans="1:5" x14ac:dyDescent="0.25">
      <c r="A2405" t="str" cm="1">
        <f t="array" ref="A2405">IFERROR(INDEX(tbNucleo[ESCOLA],ROUNDUP(ROW(A2404)/TotalEtapas,0)),"")</f>
        <v/>
      </c>
      <c r="D2405" t="str">
        <f>IFERROR(VLOOKUP(tbEscolas[[#This Row],[COD ETPA]],tbEtapas[],2,FALSE),"")</f>
        <v/>
      </c>
      <c r="E2405" t="str">
        <f>IFERROR(VLOOKUP(tbEscolas[[#This Row],[COD ETPA]],tbEtapas[],3,FALSE),"")</f>
        <v/>
      </c>
    </row>
    <row r="2406" spans="1:5" x14ac:dyDescent="0.25">
      <c r="A2406" t="str" cm="1">
        <f t="array" ref="A2406">IFERROR(INDEX(tbNucleo[ESCOLA],ROUNDUP(ROW(A2405)/TotalEtapas,0)),"")</f>
        <v/>
      </c>
      <c r="D2406" t="str">
        <f>IFERROR(VLOOKUP(tbEscolas[[#This Row],[COD ETPA]],tbEtapas[],2,FALSE),"")</f>
        <v/>
      </c>
      <c r="E2406" t="str">
        <f>IFERROR(VLOOKUP(tbEscolas[[#This Row],[COD ETPA]],tbEtapas[],3,FALSE),"")</f>
        <v/>
      </c>
    </row>
    <row r="2407" spans="1:5" x14ac:dyDescent="0.25">
      <c r="A2407" t="str" cm="1">
        <f t="array" ref="A2407">IFERROR(INDEX(tbNucleo[ESCOLA],ROUNDUP(ROW(A2406)/TotalEtapas,0)),"")</f>
        <v/>
      </c>
      <c r="D2407" t="str">
        <f>IFERROR(VLOOKUP(tbEscolas[[#This Row],[COD ETPA]],tbEtapas[],2,FALSE),"")</f>
        <v/>
      </c>
      <c r="E2407" t="str">
        <f>IFERROR(VLOOKUP(tbEscolas[[#This Row],[COD ETPA]],tbEtapas[],3,FALSE),"")</f>
        <v/>
      </c>
    </row>
    <row r="2408" spans="1:5" x14ac:dyDescent="0.25">
      <c r="A2408" t="str" cm="1">
        <f t="array" ref="A2408">IFERROR(INDEX(tbNucleo[ESCOLA],ROUNDUP(ROW(A2407)/TotalEtapas,0)),"")</f>
        <v/>
      </c>
      <c r="D2408" t="str">
        <f>IFERROR(VLOOKUP(tbEscolas[[#This Row],[COD ETPA]],tbEtapas[],2,FALSE),"")</f>
        <v/>
      </c>
      <c r="E2408" t="str">
        <f>IFERROR(VLOOKUP(tbEscolas[[#This Row],[COD ETPA]],tbEtapas[],3,FALSE),"")</f>
        <v/>
      </c>
    </row>
    <row r="2409" spans="1:5" x14ac:dyDescent="0.25">
      <c r="A2409" t="str" cm="1">
        <f t="array" ref="A2409">IFERROR(INDEX(tbNucleo[ESCOLA],ROUNDUP(ROW(A2408)/TotalEtapas,0)),"")</f>
        <v/>
      </c>
      <c r="D2409" t="str">
        <f>IFERROR(VLOOKUP(tbEscolas[[#This Row],[COD ETPA]],tbEtapas[],2,FALSE),"")</f>
        <v/>
      </c>
      <c r="E2409" t="str">
        <f>IFERROR(VLOOKUP(tbEscolas[[#This Row],[COD ETPA]],tbEtapas[],3,FALSE),"")</f>
        <v/>
      </c>
    </row>
    <row r="2410" spans="1:5" x14ac:dyDescent="0.25">
      <c r="A2410" t="str" cm="1">
        <f t="array" ref="A2410">IFERROR(INDEX(tbNucleo[ESCOLA],ROUNDUP(ROW(A2409)/TotalEtapas,0)),"")</f>
        <v/>
      </c>
      <c r="D2410" t="str">
        <f>IFERROR(VLOOKUP(tbEscolas[[#This Row],[COD ETPA]],tbEtapas[],2,FALSE),"")</f>
        <v/>
      </c>
      <c r="E2410" t="str">
        <f>IFERROR(VLOOKUP(tbEscolas[[#This Row],[COD ETPA]],tbEtapas[],3,FALSE),"")</f>
        <v/>
      </c>
    </row>
    <row r="2411" spans="1:5" x14ac:dyDescent="0.25">
      <c r="A2411" t="str" cm="1">
        <f t="array" ref="A2411">IFERROR(INDEX(tbNucleo[ESCOLA],ROUNDUP(ROW(A2410)/TotalEtapas,0)),"")</f>
        <v/>
      </c>
      <c r="D2411" t="str">
        <f>IFERROR(VLOOKUP(tbEscolas[[#This Row],[COD ETPA]],tbEtapas[],2,FALSE),"")</f>
        <v/>
      </c>
      <c r="E2411" t="str">
        <f>IFERROR(VLOOKUP(tbEscolas[[#This Row],[COD ETPA]],tbEtapas[],3,FALSE),"")</f>
        <v/>
      </c>
    </row>
    <row r="2412" spans="1:5" x14ac:dyDescent="0.25">
      <c r="A2412" t="str" cm="1">
        <f t="array" ref="A2412">IFERROR(INDEX(tbNucleo[ESCOLA],ROUNDUP(ROW(A2411)/TotalEtapas,0)),"")</f>
        <v/>
      </c>
      <c r="D2412" t="str">
        <f>IFERROR(VLOOKUP(tbEscolas[[#This Row],[COD ETPA]],tbEtapas[],2,FALSE),"")</f>
        <v/>
      </c>
      <c r="E2412" t="str">
        <f>IFERROR(VLOOKUP(tbEscolas[[#This Row],[COD ETPA]],tbEtapas[],3,FALSE),"")</f>
        <v/>
      </c>
    </row>
    <row r="2413" spans="1:5" x14ac:dyDescent="0.25">
      <c r="A2413" t="str" cm="1">
        <f t="array" ref="A2413">IFERROR(INDEX(tbNucleo[ESCOLA],ROUNDUP(ROW(A2412)/TotalEtapas,0)),"")</f>
        <v/>
      </c>
      <c r="D2413" t="str">
        <f>IFERROR(VLOOKUP(tbEscolas[[#This Row],[COD ETPA]],tbEtapas[],2,FALSE),"")</f>
        <v/>
      </c>
      <c r="E2413" t="str">
        <f>IFERROR(VLOOKUP(tbEscolas[[#This Row],[COD ETPA]],tbEtapas[],3,FALSE),"")</f>
        <v/>
      </c>
    </row>
    <row r="2414" spans="1:5" x14ac:dyDescent="0.25">
      <c r="A2414" t="str" cm="1">
        <f t="array" ref="A2414">IFERROR(INDEX(tbNucleo[ESCOLA],ROUNDUP(ROW(A2413)/TotalEtapas,0)),"")</f>
        <v/>
      </c>
      <c r="D2414" t="str">
        <f>IFERROR(VLOOKUP(tbEscolas[[#This Row],[COD ETPA]],tbEtapas[],2,FALSE),"")</f>
        <v/>
      </c>
      <c r="E2414" t="str">
        <f>IFERROR(VLOOKUP(tbEscolas[[#This Row],[COD ETPA]],tbEtapas[],3,FALSE),"")</f>
        <v/>
      </c>
    </row>
    <row r="2415" spans="1:5" x14ac:dyDescent="0.25">
      <c r="A2415" t="str" cm="1">
        <f t="array" ref="A2415">IFERROR(INDEX(tbNucleo[ESCOLA],ROUNDUP(ROW(A2414)/TotalEtapas,0)),"")</f>
        <v/>
      </c>
      <c r="D2415" t="str">
        <f>IFERROR(VLOOKUP(tbEscolas[[#This Row],[COD ETPA]],tbEtapas[],2,FALSE),"")</f>
        <v/>
      </c>
      <c r="E2415" t="str">
        <f>IFERROR(VLOOKUP(tbEscolas[[#This Row],[COD ETPA]],tbEtapas[],3,FALSE),"")</f>
        <v/>
      </c>
    </row>
    <row r="2416" spans="1:5" x14ac:dyDescent="0.25">
      <c r="A2416" t="str" cm="1">
        <f t="array" ref="A2416">IFERROR(INDEX(tbNucleo[ESCOLA],ROUNDUP(ROW(A2415)/TotalEtapas,0)),"")</f>
        <v/>
      </c>
      <c r="D2416" t="str">
        <f>IFERROR(VLOOKUP(tbEscolas[[#This Row],[COD ETPA]],tbEtapas[],2,FALSE),"")</f>
        <v/>
      </c>
      <c r="E2416" t="str">
        <f>IFERROR(VLOOKUP(tbEscolas[[#This Row],[COD ETPA]],tbEtapas[],3,FALSE),"")</f>
        <v/>
      </c>
    </row>
    <row r="2417" spans="1:5" x14ac:dyDescent="0.25">
      <c r="A2417" t="str" cm="1">
        <f t="array" ref="A2417">IFERROR(INDEX(tbNucleo[ESCOLA],ROUNDUP(ROW(A2416)/TotalEtapas,0)),"")</f>
        <v/>
      </c>
      <c r="D2417" t="str">
        <f>IFERROR(VLOOKUP(tbEscolas[[#This Row],[COD ETPA]],tbEtapas[],2,FALSE),"")</f>
        <v/>
      </c>
      <c r="E2417" t="str">
        <f>IFERROR(VLOOKUP(tbEscolas[[#This Row],[COD ETPA]],tbEtapas[],3,FALSE),"")</f>
        <v/>
      </c>
    </row>
    <row r="2418" spans="1:5" x14ac:dyDescent="0.25">
      <c r="A2418" t="str" cm="1">
        <f t="array" ref="A2418">IFERROR(INDEX(tbNucleo[ESCOLA],ROUNDUP(ROW(A2417)/TotalEtapas,0)),"")</f>
        <v/>
      </c>
      <c r="D2418" t="str">
        <f>IFERROR(VLOOKUP(tbEscolas[[#This Row],[COD ETPA]],tbEtapas[],2,FALSE),"")</f>
        <v/>
      </c>
      <c r="E2418" t="str">
        <f>IFERROR(VLOOKUP(tbEscolas[[#This Row],[COD ETPA]],tbEtapas[],3,FALSE),"")</f>
        <v/>
      </c>
    </row>
    <row r="2419" spans="1:5" x14ac:dyDescent="0.25">
      <c r="A2419" t="str" cm="1">
        <f t="array" ref="A2419">IFERROR(INDEX(tbNucleo[ESCOLA],ROUNDUP(ROW(A2418)/TotalEtapas,0)),"")</f>
        <v/>
      </c>
      <c r="D2419" t="str">
        <f>IFERROR(VLOOKUP(tbEscolas[[#This Row],[COD ETPA]],tbEtapas[],2,FALSE),"")</f>
        <v/>
      </c>
      <c r="E2419" t="str">
        <f>IFERROR(VLOOKUP(tbEscolas[[#This Row],[COD ETPA]],tbEtapas[],3,FALSE),"")</f>
        <v/>
      </c>
    </row>
    <row r="2420" spans="1:5" x14ac:dyDescent="0.25">
      <c r="A2420" t="str" cm="1">
        <f t="array" ref="A2420">IFERROR(INDEX(tbNucleo[ESCOLA],ROUNDUP(ROW(A2419)/TotalEtapas,0)),"")</f>
        <v/>
      </c>
      <c r="D2420" t="str">
        <f>IFERROR(VLOOKUP(tbEscolas[[#This Row],[COD ETPA]],tbEtapas[],2,FALSE),"")</f>
        <v/>
      </c>
      <c r="E2420" t="str">
        <f>IFERROR(VLOOKUP(tbEscolas[[#This Row],[COD ETPA]],tbEtapas[],3,FALSE),"")</f>
        <v/>
      </c>
    </row>
    <row r="2421" spans="1:5" x14ac:dyDescent="0.25">
      <c r="A2421" t="str" cm="1">
        <f t="array" ref="A2421">IFERROR(INDEX(tbNucleo[ESCOLA],ROUNDUP(ROW(A2420)/TotalEtapas,0)),"")</f>
        <v/>
      </c>
      <c r="D2421" t="str">
        <f>IFERROR(VLOOKUP(tbEscolas[[#This Row],[COD ETPA]],tbEtapas[],2,FALSE),"")</f>
        <v/>
      </c>
      <c r="E2421" t="str">
        <f>IFERROR(VLOOKUP(tbEscolas[[#This Row],[COD ETPA]],tbEtapas[],3,FALSE),"")</f>
        <v/>
      </c>
    </row>
    <row r="2422" spans="1:5" x14ac:dyDescent="0.25">
      <c r="A2422" t="str" cm="1">
        <f t="array" ref="A2422">IFERROR(INDEX(tbNucleo[ESCOLA],ROUNDUP(ROW(A2421)/TotalEtapas,0)),"")</f>
        <v/>
      </c>
      <c r="D2422" t="str">
        <f>IFERROR(VLOOKUP(tbEscolas[[#This Row],[COD ETPA]],tbEtapas[],2,FALSE),"")</f>
        <v/>
      </c>
      <c r="E2422" t="str">
        <f>IFERROR(VLOOKUP(tbEscolas[[#This Row],[COD ETPA]],tbEtapas[],3,FALSE),"")</f>
        <v/>
      </c>
    </row>
    <row r="2423" spans="1:5" x14ac:dyDescent="0.25">
      <c r="A2423" t="str" cm="1">
        <f t="array" ref="A2423">IFERROR(INDEX(tbNucleo[ESCOLA],ROUNDUP(ROW(A2422)/TotalEtapas,0)),"")</f>
        <v/>
      </c>
      <c r="D2423" t="str">
        <f>IFERROR(VLOOKUP(tbEscolas[[#This Row],[COD ETPA]],tbEtapas[],2,FALSE),"")</f>
        <v/>
      </c>
      <c r="E2423" t="str">
        <f>IFERROR(VLOOKUP(tbEscolas[[#This Row],[COD ETPA]],tbEtapas[],3,FALSE),"")</f>
        <v/>
      </c>
    </row>
    <row r="2424" spans="1:5" x14ac:dyDescent="0.25">
      <c r="A2424" t="str" cm="1">
        <f t="array" ref="A2424">IFERROR(INDEX(tbNucleo[ESCOLA],ROUNDUP(ROW(A2423)/TotalEtapas,0)),"")</f>
        <v/>
      </c>
      <c r="D2424" t="str">
        <f>IFERROR(VLOOKUP(tbEscolas[[#This Row],[COD ETPA]],tbEtapas[],2,FALSE),"")</f>
        <v/>
      </c>
      <c r="E2424" t="str">
        <f>IFERROR(VLOOKUP(tbEscolas[[#This Row],[COD ETPA]],tbEtapas[],3,FALSE),"")</f>
        <v/>
      </c>
    </row>
    <row r="2425" spans="1:5" x14ac:dyDescent="0.25">
      <c r="A2425" t="str" cm="1">
        <f t="array" ref="A2425">IFERROR(INDEX(tbNucleo[ESCOLA],ROUNDUP(ROW(A2424)/TotalEtapas,0)),"")</f>
        <v/>
      </c>
      <c r="D2425" t="str">
        <f>IFERROR(VLOOKUP(tbEscolas[[#This Row],[COD ETPA]],tbEtapas[],2,FALSE),"")</f>
        <v/>
      </c>
      <c r="E2425" t="str">
        <f>IFERROR(VLOOKUP(tbEscolas[[#This Row],[COD ETPA]],tbEtapas[],3,FALSE),"")</f>
        <v/>
      </c>
    </row>
    <row r="2426" spans="1:5" x14ac:dyDescent="0.25">
      <c r="A2426" t="str" cm="1">
        <f t="array" ref="A2426">IFERROR(INDEX(tbNucleo[ESCOLA],ROUNDUP(ROW(A2425)/TotalEtapas,0)),"")</f>
        <v/>
      </c>
      <c r="D2426" t="str">
        <f>IFERROR(VLOOKUP(tbEscolas[[#This Row],[COD ETPA]],tbEtapas[],2,FALSE),"")</f>
        <v/>
      </c>
      <c r="E2426" t="str">
        <f>IFERROR(VLOOKUP(tbEscolas[[#This Row],[COD ETPA]],tbEtapas[],3,FALSE),"")</f>
        <v/>
      </c>
    </row>
    <row r="2427" spans="1:5" x14ac:dyDescent="0.25">
      <c r="A2427" t="str" cm="1">
        <f t="array" ref="A2427">IFERROR(INDEX(tbNucleo[ESCOLA],ROUNDUP(ROW(A2426)/TotalEtapas,0)),"")</f>
        <v/>
      </c>
      <c r="D2427" t="str">
        <f>IFERROR(VLOOKUP(tbEscolas[[#This Row],[COD ETPA]],tbEtapas[],2,FALSE),"")</f>
        <v/>
      </c>
      <c r="E2427" t="str">
        <f>IFERROR(VLOOKUP(tbEscolas[[#This Row],[COD ETPA]],tbEtapas[],3,FALSE),"")</f>
        <v/>
      </c>
    </row>
    <row r="2428" spans="1:5" x14ac:dyDescent="0.25">
      <c r="A2428" t="str" cm="1">
        <f t="array" ref="A2428">IFERROR(INDEX(tbNucleo[ESCOLA],ROUNDUP(ROW(A2427)/TotalEtapas,0)),"")</f>
        <v/>
      </c>
      <c r="D2428" t="str">
        <f>IFERROR(VLOOKUP(tbEscolas[[#This Row],[COD ETPA]],tbEtapas[],2,FALSE),"")</f>
        <v/>
      </c>
      <c r="E2428" t="str">
        <f>IFERROR(VLOOKUP(tbEscolas[[#This Row],[COD ETPA]],tbEtapas[],3,FALSE),"")</f>
        <v/>
      </c>
    </row>
    <row r="2429" spans="1:5" x14ac:dyDescent="0.25">
      <c r="A2429" t="str" cm="1">
        <f t="array" ref="A2429">IFERROR(INDEX(tbNucleo[ESCOLA],ROUNDUP(ROW(A2428)/TotalEtapas,0)),"")</f>
        <v/>
      </c>
      <c r="D2429" t="str">
        <f>IFERROR(VLOOKUP(tbEscolas[[#This Row],[COD ETPA]],tbEtapas[],2,FALSE),"")</f>
        <v/>
      </c>
      <c r="E2429" t="str">
        <f>IFERROR(VLOOKUP(tbEscolas[[#This Row],[COD ETPA]],tbEtapas[],3,FALSE),"")</f>
        <v/>
      </c>
    </row>
    <row r="2430" spans="1:5" x14ac:dyDescent="0.25">
      <c r="A2430" t="str" cm="1">
        <f t="array" ref="A2430">IFERROR(INDEX(tbNucleo[ESCOLA],ROUNDUP(ROW(A2429)/TotalEtapas,0)),"")</f>
        <v/>
      </c>
      <c r="D2430" t="str">
        <f>IFERROR(VLOOKUP(tbEscolas[[#This Row],[COD ETPA]],tbEtapas[],2,FALSE),"")</f>
        <v/>
      </c>
      <c r="E2430" t="str">
        <f>IFERROR(VLOOKUP(tbEscolas[[#This Row],[COD ETPA]],tbEtapas[],3,FALSE),"")</f>
        <v/>
      </c>
    </row>
    <row r="2431" spans="1:5" x14ac:dyDescent="0.25">
      <c r="A2431" t="str" cm="1">
        <f t="array" ref="A2431">IFERROR(INDEX(tbNucleo[ESCOLA],ROUNDUP(ROW(A2430)/TotalEtapas,0)),"")</f>
        <v/>
      </c>
      <c r="D2431" t="str">
        <f>IFERROR(VLOOKUP(tbEscolas[[#This Row],[COD ETPA]],tbEtapas[],2,FALSE),"")</f>
        <v/>
      </c>
      <c r="E2431" t="str">
        <f>IFERROR(VLOOKUP(tbEscolas[[#This Row],[COD ETPA]],tbEtapas[],3,FALSE),"")</f>
        <v/>
      </c>
    </row>
    <row r="2432" spans="1:5" x14ac:dyDescent="0.25">
      <c r="A2432" t="str" cm="1">
        <f t="array" ref="A2432">IFERROR(INDEX(tbNucleo[ESCOLA],ROUNDUP(ROW(A2431)/TotalEtapas,0)),"")</f>
        <v/>
      </c>
      <c r="D2432" t="str">
        <f>IFERROR(VLOOKUP(tbEscolas[[#This Row],[COD ETPA]],tbEtapas[],2,FALSE),"")</f>
        <v/>
      </c>
      <c r="E2432" t="str">
        <f>IFERROR(VLOOKUP(tbEscolas[[#This Row],[COD ETPA]],tbEtapas[],3,FALSE),"")</f>
        <v/>
      </c>
    </row>
    <row r="2433" spans="1:5" x14ac:dyDescent="0.25">
      <c r="A2433" t="str" cm="1">
        <f t="array" ref="A2433">IFERROR(INDEX(tbNucleo[ESCOLA],ROUNDUP(ROW(A2432)/TotalEtapas,0)),"")</f>
        <v/>
      </c>
      <c r="D2433" t="str">
        <f>IFERROR(VLOOKUP(tbEscolas[[#This Row],[COD ETPA]],tbEtapas[],2,FALSE),"")</f>
        <v/>
      </c>
      <c r="E2433" t="str">
        <f>IFERROR(VLOOKUP(tbEscolas[[#This Row],[COD ETPA]],tbEtapas[],3,FALSE),"")</f>
        <v/>
      </c>
    </row>
    <row r="2434" spans="1:5" x14ac:dyDescent="0.25">
      <c r="A2434" t="str" cm="1">
        <f t="array" ref="A2434">IFERROR(INDEX(tbNucleo[ESCOLA],ROUNDUP(ROW(A2433)/TotalEtapas,0)),"")</f>
        <v/>
      </c>
      <c r="D2434" t="str">
        <f>IFERROR(VLOOKUP(tbEscolas[[#This Row],[COD ETPA]],tbEtapas[],2,FALSE),"")</f>
        <v/>
      </c>
      <c r="E2434" t="str">
        <f>IFERROR(VLOOKUP(tbEscolas[[#This Row],[COD ETPA]],tbEtapas[],3,FALSE),"")</f>
        <v/>
      </c>
    </row>
    <row r="2435" spans="1:5" x14ac:dyDescent="0.25">
      <c r="A2435" t="str" cm="1">
        <f t="array" ref="A2435">IFERROR(INDEX(tbNucleo[ESCOLA],ROUNDUP(ROW(A2434)/TotalEtapas,0)),"")</f>
        <v/>
      </c>
      <c r="D2435" t="str">
        <f>IFERROR(VLOOKUP(tbEscolas[[#This Row],[COD ETPA]],tbEtapas[],2,FALSE),"")</f>
        <v/>
      </c>
      <c r="E2435" t="str">
        <f>IFERROR(VLOOKUP(tbEscolas[[#This Row],[COD ETPA]],tbEtapas[],3,FALSE),"")</f>
        <v/>
      </c>
    </row>
    <row r="2436" spans="1:5" x14ac:dyDescent="0.25">
      <c r="A2436" t="str" cm="1">
        <f t="array" ref="A2436">IFERROR(INDEX(tbNucleo[ESCOLA],ROUNDUP(ROW(A2435)/TotalEtapas,0)),"")</f>
        <v/>
      </c>
      <c r="D2436" t="str">
        <f>IFERROR(VLOOKUP(tbEscolas[[#This Row],[COD ETPA]],tbEtapas[],2,FALSE),"")</f>
        <v/>
      </c>
      <c r="E2436" t="str">
        <f>IFERROR(VLOOKUP(tbEscolas[[#This Row],[COD ETPA]],tbEtapas[],3,FALSE),"")</f>
        <v/>
      </c>
    </row>
    <row r="2437" spans="1:5" x14ac:dyDescent="0.25">
      <c r="A2437" t="str" cm="1">
        <f t="array" ref="A2437">IFERROR(INDEX(tbNucleo[ESCOLA],ROUNDUP(ROW(A2436)/TotalEtapas,0)),"")</f>
        <v/>
      </c>
      <c r="D2437" t="str">
        <f>IFERROR(VLOOKUP(tbEscolas[[#This Row],[COD ETPA]],tbEtapas[],2,FALSE),"")</f>
        <v/>
      </c>
      <c r="E2437" t="str">
        <f>IFERROR(VLOOKUP(tbEscolas[[#This Row],[COD ETPA]],tbEtapas[],3,FALSE),"")</f>
        <v/>
      </c>
    </row>
    <row r="2438" spans="1:5" x14ac:dyDescent="0.25">
      <c r="A2438" t="str" cm="1">
        <f t="array" ref="A2438">IFERROR(INDEX(tbNucleo[ESCOLA],ROUNDUP(ROW(A2437)/TotalEtapas,0)),"")</f>
        <v/>
      </c>
      <c r="D2438" t="str">
        <f>IFERROR(VLOOKUP(tbEscolas[[#This Row],[COD ETPA]],tbEtapas[],2,FALSE),"")</f>
        <v/>
      </c>
      <c r="E2438" t="str">
        <f>IFERROR(VLOOKUP(tbEscolas[[#This Row],[COD ETPA]],tbEtapas[],3,FALSE),"")</f>
        <v/>
      </c>
    </row>
    <row r="2439" spans="1:5" x14ac:dyDescent="0.25">
      <c r="A2439" t="str" cm="1">
        <f t="array" ref="A2439">IFERROR(INDEX(tbNucleo[ESCOLA],ROUNDUP(ROW(A2438)/TotalEtapas,0)),"")</f>
        <v/>
      </c>
      <c r="D2439" t="str">
        <f>IFERROR(VLOOKUP(tbEscolas[[#This Row],[COD ETPA]],tbEtapas[],2,FALSE),"")</f>
        <v/>
      </c>
      <c r="E2439" t="str">
        <f>IFERROR(VLOOKUP(tbEscolas[[#This Row],[COD ETPA]],tbEtapas[],3,FALSE),"")</f>
        <v/>
      </c>
    </row>
    <row r="2440" spans="1:5" x14ac:dyDescent="0.25">
      <c r="A2440" t="str" cm="1">
        <f t="array" ref="A2440">IFERROR(INDEX(tbNucleo[ESCOLA],ROUNDUP(ROW(A2439)/TotalEtapas,0)),"")</f>
        <v/>
      </c>
      <c r="D2440" t="str">
        <f>IFERROR(VLOOKUP(tbEscolas[[#This Row],[COD ETPA]],tbEtapas[],2,FALSE),"")</f>
        <v/>
      </c>
      <c r="E2440" t="str">
        <f>IFERROR(VLOOKUP(tbEscolas[[#This Row],[COD ETPA]],tbEtapas[],3,FALSE),"")</f>
        <v/>
      </c>
    </row>
    <row r="2441" spans="1:5" x14ac:dyDescent="0.25">
      <c r="A2441" t="str" cm="1">
        <f t="array" ref="A2441">IFERROR(INDEX(tbNucleo[ESCOLA],ROUNDUP(ROW(A2440)/TotalEtapas,0)),"")</f>
        <v/>
      </c>
      <c r="D2441" t="str">
        <f>IFERROR(VLOOKUP(tbEscolas[[#This Row],[COD ETPA]],tbEtapas[],2,FALSE),"")</f>
        <v/>
      </c>
      <c r="E2441" t="str">
        <f>IFERROR(VLOOKUP(tbEscolas[[#This Row],[COD ETPA]],tbEtapas[],3,FALSE),"")</f>
        <v/>
      </c>
    </row>
    <row r="2442" spans="1:5" x14ac:dyDescent="0.25">
      <c r="A2442" t="str" cm="1">
        <f t="array" ref="A2442">IFERROR(INDEX(tbNucleo[ESCOLA],ROUNDUP(ROW(A2441)/TotalEtapas,0)),"")</f>
        <v/>
      </c>
      <c r="D2442" t="str">
        <f>IFERROR(VLOOKUP(tbEscolas[[#This Row],[COD ETPA]],tbEtapas[],2,FALSE),"")</f>
        <v/>
      </c>
      <c r="E2442" t="str">
        <f>IFERROR(VLOOKUP(tbEscolas[[#This Row],[COD ETPA]],tbEtapas[],3,FALSE),"")</f>
        <v/>
      </c>
    </row>
    <row r="2443" spans="1:5" x14ac:dyDescent="0.25">
      <c r="A2443" t="str" cm="1">
        <f t="array" ref="A2443">IFERROR(INDEX(tbNucleo[ESCOLA],ROUNDUP(ROW(A2442)/TotalEtapas,0)),"")</f>
        <v/>
      </c>
      <c r="D2443" t="str">
        <f>IFERROR(VLOOKUP(tbEscolas[[#This Row],[COD ETPA]],tbEtapas[],2,FALSE),"")</f>
        <v/>
      </c>
      <c r="E2443" t="str">
        <f>IFERROR(VLOOKUP(tbEscolas[[#This Row],[COD ETPA]],tbEtapas[],3,FALSE),"")</f>
        <v/>
      </c>
    </row>
    <row r="2444" spans="1:5" x14ac:dyDescent="0.25">
      <c r="A2444" t="str" cm="1">
        <f t="array" ref="A2444">IFERROR(INDEX(tbNucleo[ESCOLA],ROUNDUP(ROW(A2443)/TotalEtapas,0)),"")</f>
        <v/>
      </c>
      <c r="D2444" t="str">
        <f>IFERROR(VLOOKUP(tbEscolas[[#This Row],[COD ETPA]],tbEtapas[],2,FALSE),"")</f>
        <v/>
      </c>
      <c r="E2444" t="str">
        <f>IFERROR(VLOOKUP(tbEscolas[[#This Row],[COD ETPA]],tbEtapas[],3,FALSE),"")</f>
        <v/>
      </c>
    </row>
    <row r="2445" spans="1:5" x14ac:dyDescent="0.25">
      <c r="A2445" t="str" cm="1">
        <f t="array" ref="A2445">IFERROR(INDEX(tbNucleo[ESCOLA],ROUNDUP(ROW(A2444)/TotalEtapas,0)),"")</f>
        <v/>
      </c>
      <c r="D2445" t="str">
        <f>IFERROR(VLOOKUP(tbEscolas[[#This Row],[COD ETPA]],tbEtapas[],2,FALSE),"")</f>
        <v/>
      </c>
      <c r="E2445" t="str">
        <f>IFERROR(VLOOKUP(tbEscolas[[#This Row],[COD ETPA]],tbEtapas[],3,FALSE),"")</f>
        <v/>
      </c>
    </row>
    <row r="2446" spans="1:5" x14ac:dyDescent="0.25">
      <c r="A2446" t="str" cm="1">
        <f t="array" ref="A2446">IFERROR(INDEX(tbNucleo[ESCOLA],ROUNDUP(ROW(A2445)/TotalEtapas,0)),"")</f>
        <v/>
      </c>
      <c r="D2446" t="str">
        <f>IFERROR(VLOOKUP(tbEscolas[[#This Row],[COD ETPA]],tbEtapas[],2,FALSE),"")</f>
        <v/>
      </c>
      <c r="E2446" t="str">
        <f>IFERROR(VLOOKUP(tbEscolas[[#This Row],[COD ETPA]],tbEtapas[],3,FALSE),"")</f>
        <v/>
      </c>
    </row>
    <row r="2447" spans="1:5" x14ac:dyDescent="0.25">
      <c r="A2447" t="str" cm="1">
        <f t="array" ref="A2447">IFERROR(INDEX(tbNucleo[ESCOLA],ROUNDUP(ROW(A2446)/TotalEtapas,0)),"")</f>
        <v/>
      </c>
      <c r="D2447" t="str">
        <f>IFERROR(VLOOKUP(tbEscolas[[#This Row],[COD ETPA]],tbEtapas[],2,FALSE),"")</f>
        <v/>
      </c>
      <c r="E2447" t="str">
        <f>IFERROR(VLOOKUP(tbEscolas[[#This Row],[COD ETPA]],tbEtapas[],3,FALSE),"")</f>
        <v/>
      </c>
    </row>
    <row r="2448" spans="1:5" x14ac:dyDescent="0.25">
      <c r="A2448" t="str" cm="1">
        <f t="array" ref="A2448">IFERROR(INDEX(tbNucleo[ESCOLA],ROUNDUP(ROW(A2447)/TotalEtapas,0)),"")</f>
        <v/>
      </c>
      <c r="D2448" t="str">
        <f>IFERROR(VLOOKUP(tbEscolas[[#This Row],[COD ETPA]],tbEtapas[],2,FALSE),"")</f>
        <v/>
      </c>
      <c r="E2448" t="str">
        <f>IFERROR(VLOOKUP(tbEscolas[[#This Row],[COD ETPA]],tbEtapas[],3,FALSE),"")</f>
        <v/>
      </c>
    </row>
    <row r="2449" spans="1:5" x14ac:dyDescent="0.25">
      <c r="A2449" t="str" cm="1">
        <f t="array" ref="A2449">IFERROR(INDEX(tbNucleo[ESCOLA],ROUNDUP(ROW(A2448)/TotalEtapas,0)),"")</f>
        <v/>
      </c>
      <c r="D2449" t="str">
        <f>IFERROR(VLOOKUP(tbEscolas[[#This Row],[COD ETPA]],tbEtapas[],2,FALSE),"")</f>
        <v/>
      </c>
      <c r="E2449" t="str">
        <f>IFERROR(VLOOKUP(tbEscolas[[#This Row],[COD ETPA]],tbEtapas[],3,FALSE),"")</f>
        <v/>
      </c>
    </row>
    <row r="2450" spans="1:5" x14ac:dyDescent="0.25">
      <c r="A2450" t="str" cm="1">
        <f t="array" ref="A2450">IFERROR(INDEX(tbNucleo[ESCOLA],ROUNDUP(ROW(A2449)/TotalEtapas,0)),"")</f>
        <v/>
      </c>
      <c r="D2450" t="str">
        <f>IFERROR(VLOOKUP(tbEscolas[[#This Row],[COD ETPA]],tbEtapas[],2,FALSE),"")</f>
        <v/>
      </c>
      <c r="E2450" t="str">
        <f>IFERROR(VLOOKUP(tbEscolas[[#This Row],[COD ETPA]],tbEtapas[],3,FALSE),"")</f>
        <v/>
      </c>
    </row>
    <row r="2451" spans="1:5" x14ac:dyDescent="0.25">
      <c r="A2451" t="str" cm="1">
        <f t="array" ref="A2451">IFERROR(INDEX(tbNucleo[ESCOLA],ROUNDUP(ROW(A2450)/TotalEtapas,0)),"")</f>
        <v/>
      </c>
      <c r="D2451" t="str">
        <f>IFERROR(VLOOKUP(tbEscolas[[#This Row],[COD ETPA]],tbEtapas[],2,FALSE),"")</f>
        <v/>
      </c>
      <c r="E2451" t="str">
        <f>IFERROR(VLOOKUP(tbEscolas[[#This Row],[COD ETPA]],tbEtapas[],3,FALSE),"")</f>
        <v/>
      </c>
    </row>
    <row r="2452" spans="1:5" x14ac:dyDescent="0.25">
      <c r="A2452" t="str" cm="1">
        <f t="array" ref="A2452">IFERROR(INDEX(tbNucleo[ESCOLA],ROUNDUP(ROW(A2451)/TotalEtapas,0)),"")</f>
        <v/>
      </c>
      <c r="D2452" t="str">
        <f>IFERROR(VLOOKUP(tbEscolas[[#This Row],[COD ETPA]],tbEtapas[],2,FALSE),"")</f>
        <v/>
      </c>
      <c r="E2452" t="str">
        <f>IFERROR(VLOOKUP(tbEscolas[[#This Row],[COD ETPA]],tbEtapas[],3,FALSE),"")</f>
        <v/>
      </c>
    </row>
    <row r="2453" spans="1:5" x14ac:dyDescent="0.25">
      <c r="A2453" t="str" cm="1">
        <f t="array" ref="A2453">IFERROR(INDEX(tbNucleo[ESCOLA],ROUNDUP(ROW(A2452)/TotalEtapas,0)),"")</f>
        <v/>
      </c>
      <c r="D2453" t="str">
        <f>IFERROR(VLOOKUP(tbEscolas[[#This Row],[COD ETPA]],tbEtapas[],2,FALSE),"")</f>
        <v/>
      </c>
      <c r="E2453" t="str">
        <f>IFERROR(VLOOKUP(tbEscolas[[#This Row],[COD ETPA]],tbEtapas[],3,FALSE),"")</f>
        <v/>
      </c>
    </row>
    <row r="2454" spans="1:5" x14ac:dyDescent="0.25">
      <c r="A2454" t="str" cm="1">
        <f t="array" ref="A2454">IFERROR(INDEX(tbNucleo[ESCOLA],ROUNDUP(ROW(A2453)/TotalEtapas,0)),"")</f>
        <v/>
      </c>
      <c r="D2454" t="str">
        <f>IFERROR(VLOOKUP(tbEscolas[[#This Row],[COD ETPA]],tbEtapas[],2,FALSE),"")</f>
        <v/>
      </c>
      <c r="E2454" t="str">
        <f>IFERROR(VLOOKUP(tbEscolas[[#This Row],[COD ETPA]],tbEtapas[],3,FALSE),"")</f>
        <v/>
      </c>
    </row>
    <row r="2455" spans="1:5" x14ac:dyDescent="0.25">
      <c r="A2455" t="str" cm="1">
        <f t="array" ref="A2455">IFERROR(INDEX(tbNucleo[ESCOLA],ROUNDUP(ROW(A2454)/TotalEtapas,0)),"")</f>
        <v/>
      </c>
      <c r="D2455" t="str">
        <f>IFERROR(VLOOKUP(tbEscolas[[#This Row],[COD ETPA]],tbEtapas[],2,FALSE),"")</f>
        <v/>
      </c>
      <c r="E2455" t="str">
        <f>IFERROR(VLOOKUP(tbEscolas[[#This Row],[COD ETPA]],tbEtapas[],3,FALSE),"")</f>
        <v/>
      </c>
    </row>
    <row r="2456" spans="1:5" x14ac:dyDescent="0.25">
      <c r="A2456" t="str" cm="1">
        <f t="array" ref="A2456">IFERROR(INDEX(tbNucleo[ESCOLA],ROUNDUP(ROW(A2455)/TotalEtapas,0)),"")</f>
        <v/>
      </c>
      <c r="D2456" t="str">
        <f>IFERROR(VLOOKUP(tbEscolas[[#This Row],[COD ETPA]],tbEtapas[],2,FALSE),"")</f>
        <v/>
      </c>
      <c r="E2456" t="str">
        <f>IFERROR(VLOOKUP(tbEscolas[[#This Row],[COD ETPA]],tbEtapas[],3,FALSE),"")</f>
        <v/>
      </c>
    </row>
    <row r="2457" spans="1:5" x14ac:dyDescent="0.25">
      <c r="A2457" t="str" cm="1">
        <f t="array" ref="A2457">IFERROR(INDEX(tbNucleo[ESCOLA],ROUNDUP(ROW(A2456)/TotalEtapas,0)),"")</f>
        <v/>
      </c>
      <c r="D2457" t="str">
        <f>IFERROR(VLOOKUP(tbEscolas[[#This Row],[COD ETPA]],tbEtapas[],2,FALSE),"")</f>
        <v/>
      </c>
      <c r="E2457" t="str">
        <f>IFERROR(VLOOKUP(tbEscolas[[#This Row],[COD ETPA]],tbEtapas[],3,FALSE),"")</f>
        <v/>
      </c>
    </row>
    <row r="2458" spans="1:5" x14ac:dyDescent="0.25">
      <c r="A2458" t="str" cm="1">
        <f t="array" ref="A2458">IFERROR(INDEX(tbNucleo[ESCOLA],ROUNDUP(ROW(A2457)/TotalEtapas,0)),"")</f>
        <v/>
      </c>
      <c r="D2458" t="str">
        <f>IFERROR(VLOOKUP(tbEscolas[[#This Row],[COD ETPA]],tbEtapas[],2,FALSE),"")</f>
        <v/>
      </c>
      <c r="E2458" t="str">
        <f>IFERROR(VLOOKUP(tbEscolas[[#This Row],[COD ETPA]],tbEtapas[],3,FALSE),"")</f>
        <v/>
      </c>
    </row>
    <row r="2459" spans="1:5" x14ac:dyDescent="0.25">
      <c r="A2459" t="str" cm="1">
        <f t="array" ref="A2459">IFERROR(INDEX(tbNucleo[ESCOLA],ROUNDUP(ROW(A2458)/TotalEtapas,0)),"")</f>
        <v/>
      </c>
      <c r="D2459" t="str">
        <f>IFERROR(VLOOKUP(tbEscolas[[#This Row],[COD ETPA]],tbEtapas[],2,FALSE),"")</f>
        <v/>
      </c>
      <c r="E2459" t="str">
        <f>IFERROR(VLOOKUP(tbEscolas[[#This Row],[COD ETPA]],tbEtapas[],3,FALSE),"")</f>
        <v/>
      </c>
    </row>
    <row r="2460" spans="1:5" x14ac:dyDescent="0.25">
      <c r="A2460" t="str" cm="1">
        <f t="array" ref="A2460">IFERROR(INDEX(tbNucleo[ESCOLA],ROUNDUP(ROW(A2459)/TotalEtapas,0)),"")</f>
        <v/>
      </c>
      <c r="D2460" t="str">
        <f>IFERROR(VLOOKUP(tbEscolas[[#This Row],[COD ETPA]],tbEtapas[],2,FALSE),"")</f>
        <v/>
      </c>
      <c r="E2460" t="str">
        <f>IFERROR(VLOOKUP(tbEscolas[[#This Row],[COD ETPA]],tbEtapas[],3,FALSE),"")</f>
        <v/>
      </c>
    </row>
    <row r="2461" spans="1:5" x14ac:dyDescent="0.25">
      <c r="A2461" t="str" cm="1">
        <f t="array" ref="A2461">IFERROR(INDEX(tbNucleo[ESCOLA],ROUNDUP(ROW(A2460)/TotalEtapas,0)),"")</f>
        <v/>
      </c>
      <c r="D2461" t="str">
        <f>IFERROR(VLOOKUP(tbEscolas[[#This Row],[COD ETPA]],tbEtapas[],2,FALSE),"")</f>
        <v/>
      </c>
      <c r="E2461" t="str">
        <f>IFERROR(VLOOKUP(tbEscolas[[#This Row],[COD ETPA]],tbEtapas[],3,FALSE),"")</f>
        <v/>
      </c>
    </row>
    <row r="2462" spans="1:5" x14ac:dyDescent="0.25">
      <c r="A2462" t="str" cm="1">
        <f t="array" ref="A2462">IFERROR(INDEX(tbNucleo[ESCOLA],ROUNDUP(ROW(A2461)/TotalEtapas,0)),"")</f>
        <v/>
      </c>
      <c r="D2462" t="str">
        <f>IFERROR(VLOOKUP(tbEscolas[[#This Row],[COD ETPA]],tbEtapas[],2,FALSE),"")</f>
        <v/>
      </c>
      <c r="E2462" t="str">
        <f>IFERROR(VLOOKUP(tbEscolas[[#This Row],[COD ETPA]],tbEtapas[],3,FALSE),"")</f>
        <v/>
      </c>
    </row>
    <row r="2463" spans="1:5" x14ac:dyDescent="0.25">
      <c r="A2463" t="str" cm="1">
        <f t="array" ref="A2463">IFERROR(INDEX(tbNucleo[ESCOLA],ROUNDUP(ROW(A2462)/TotalEtapas,0)),"")</f>
        <v/>
      </c>
      <c r="D2463" t="str">
        <f>IFERROR(VLOOKUP(tbEscolas[[#This Row],[COD ETPA]],tbEtapas[],2,FALSE),"")</f>
        <v/>
      </c>
      <c r="E2463" t="str">
        <f>IFERROR(VLOOKUP(tbEscolas[[#This Row],[COD ETPA]],tbEtapas[],3,FALSE),"")</f>
        <v/>
      </c>
    </row>
    <row r="2464" spans="1:5" x14ac:dyDescent="0.25">
      <c r="A2464" t="str" cm="1">
        <f t="array" ref="A2464">IFERROR(INDEX(tbNucleo[ESCOLA],ROUNDUP(ROW(A2463)/TotalEtapas,0)),"")</f>
        <v/>
      </c>
      <c r="D2464" t="str">
        <f>IFERROR(VLOOKUP(tbEscolas[[#This Row],[COD ETPA]],tbEtapas[],2,FALSE),"")</f>
        <v/>
      </c>
      <c r="E2464" t="str">
        <f>IFERROR(VLOOKUP(tbEscolas[[#This Row],[COD ETPA]],tbEtapas[],3,FALSE),"")</f>
        <v/>
      </c>
    </row>
    <row r="2465" spans="1:5" x14ac:dyDescent="0.25">
      <c r="A2465" t="str" cm="1">
        <f t="array" ref="A2465">IFERROR(INDEX(tbNucleo[ESCOLA],ROUNDUP(ROW(A2464)/TotalEtapas,0)),"")</f>
        <v/>
      </c>
      <c r="D2465" t="str">
        <f>IFERROR(VLOOKUP(tbEscolas[[#This Row],[COD ETPA]],tbEtapas[],2,FALSE),"")</f>
        <v/>
      </c>
      <c r="E2465" t="str">
        <f>IFERROR(VLOOKUP(tbEscolas[[#This Row],[COD ETPA]],tbEtapas[],3,FALSE),"")</f>
        <v/>
      </c>
    </row>
    <row r="2466" spans="1:5" x14ac:dyDescent="0.25">
      <c r="A2466" t="str" cm="1">
        <f t="array" ref="A2466">IFERROR(INDEX(tbNucleo[ESCOLA],ROUNDUP(ROW(A2465)/TotalEtapas,0)),"")</f>
        <v/>
      </c>
      <c r="D2466" t="str">
        <f>IFERROR(VLOOKUP(tbEscolas[[#This Row],[COD ETPA]],tbEtapas[],2,FALSE),"")</f>
        <v/>
      </c>
      <c r="E2466" t="str">
        <f>IFERROR(VLOOKUP(tbEscolas[[#This Row],[COD ETPA]],tbEtapas[],3,FALSE),"")</f>
        <v/>
      </c>
    </row>
    <row r="2467" spans="1:5" x14ac:dyDescent="0.25">
      <c r="A2467" t="str" cm="1">
        <f t="array" ref="A2467">IFERROR(INDEX(tbNucleo[ESCOLA],ROUNDUP(ROW(A2466)/TotalEtapas,0)),"")</f>
        <v/>
      </c>
      <c r="D2467" t="str">
        <f>IFERROR(VLOOKUP(tbEscolas[[#This Row],[COD ETPA]],tbEtapas[],2,FALSE),"")</f>
        <v/>
      </c>
      <c r="E2467" t="str">
        <f>IFERROR(VLOOKUP(tbEscolas[[#This Row],[COD ETPA]],tbEtapas[],3,FALSE),"")</f>
        <v/>
      </c>
    </row>
    <row r="2468" spans="1:5" x14ac:dyDescent="0.25">
      <c r="A2468" t="str" cm="1">
        <f t="array" ref="A2468">IFERROR(INDEX(tbNucleo[ESCOLA],ROUNDUP(ROW(A2467)/TotalEtapas,0)),"")</f>
        <v/>
      </c>
      <c r="D2468" t="str">
        <f>IFERROR(VLOOKUP(tbEscolas[[#This Row],[COD ETPA]],tbEtapas[],2,FALSE),"")</f>
        <v/>
      </c>
      <c r="E2468" t="str">
        <f>IFERROR(VLOOKUP(tbEscolas[[#This Row],[COD ETPA]],tbEtapas[],3,FALSE),"")</f>
        <v/>
      </c>
    </row>
    <row r="2469" spans="1:5" x14ac:dyDescent="0.25">
      <c r="A2469" t="str" cm="1">
        <f t="array" ref="A2469">IFERROR(INDEX(tbNucleo[ESCOLA],ROUNDUP(ROW(A2468)/TotalEtapas,0)),"")</f>
        <v/>
      </c>
      <c r="D2469" t="str">
        <f>IFERROR(VLOOKUP(tbEscolas[[#This Row],[COD ETPA]],tbEtapas[],2,FALSE),"")</f>
        <v/>
      </c>
      <c r="E2469" t="str">
        <f>IFERROR(VLOOKUP(tbEscolas[[#This Row],[COD ETPA]],tbEtapas[],3,FALSE),"")</f>
        <v/>
      </c>
    </row>
    <row r="2470" spans="1:5" x14ac:dyDescent="0.25">
      <c r="A2470" t="str" cm="1">
        <f t="array" ref="A2470">IFERROR(INDEX(tbNucleo[ESCOLA],ROUNDUP(ROW(A2469)/TotalEtapas,0)),"")</f>
        <v/>
      </c>
      <c r="D2470" t="str">
        <f>IFERROR(VLOOKUP(tbEscolas[[#This Row],[COD ETPA]],tbEtapas[],2,FALSE),"")</f>
        <v/>
      </c>
      <c r="E2470" t="str">
        <f>IFERROR(VLOOKUP(tbEscolas[[#This Row],[COD ETPA]],tbEtapas[],3,FALSE),"")</f>
        <v/>
      </c>
    </row>
    <row r="2471" spans="1:5" x14ac:dyDescent="0.25">
      <c r="A2471" t="str" cm="1">
        <f t="array" ref="A2471">IFERROR(INDEX(tbNucleo[ESCOLA],ROUNDUP(ROW(A2470)/TotalEtapas,0)),"")</f>
        <v/>
      </c>
      <c r="D2471" t="str">
        <f>IFERROR(VLOOKUP(tbEscolas[[#This Row],[COD ETPA]],tbEtapas[],2,FALSE),"")</f>
        <v/>
      </c>
      <c r="E2471" t="str">
        <f>IFERROR(VLOOKUP(tbEscolas[[#This Row],[COD ETPA]],tbEtapas[],3,FALSE),"")</f>
        <v/>
      </c>
    </row>
    <row r="2472" spans="1:5" x14ac:dyDescent="0.25">
      <c r="A2472" t="str" cm="1">
        <f t="array" ref="A2472">IFERROR(INDEX(tbNucleo[ESCOLA],ROUNDUP(ROW(A2471)/TotalEtapas,0)),"")</f>
        <v/>
      </c>
      <c r="D2472" t="str">
        <f>IFERROR(VLOOKUP(tbEscolas[[#This Row],[COD ETPA]],tbEtapas[],2,FALSE),"")</f>
        <v/>
      </c>
      <c r="E2472" t="str">
        <f>IFERROR(VLOOKUP(tbEscolas[[#This Row],[COD ETPA]],tbEtapas[],3,FALSE),"")</f>
        <v/>
      </c>
    </row>
    <row r="2473" spans="1:5" x14ac:dyDescent="0.25">
      <c r="A2473" t="str" cm="1">
        <f t="array" ref="A2473">IFERROR(INDEX(tbNucleo[ESCOLA],ROUNDUP(ROW(A2472)/TotalEtapas,0)),"")</f>
        <v/>
      </c>
      <c r="D2473" t="str">
        <f>IFERROR(VLOOKUP(tbEscolas[[#This Row],[COD ETPA]],tbEtapas[],2,FALSE),"")</f>
        <v/>
      </c>
      <c r="E2473" t="str">
        <f>IFERROR(VLOOKUP(tbEscolas[[#This Row],[COD ETPA]],tbEtapas[],3,FALSE),"")</f>
        <v/>
      </c>
    </row>
    <row r="2474" spans="1:5" x14ac:dyDescent="0.25">
      <c r="A2474" t="str" cm="1">
        <f t="array" ref="A2474">IFERROR(INDEX(tbNucleo[ESCOLA],ROUNDUP(ROW(A2473)/TotalEtapas,0)),"")</f>
        <v/>
      </c>
      <c r="D2474" t="str">
        <f>IFERROR(VLOOKUP(tbEscolas[[#This Row],[COD ETPA]],tbEtapas[],2,FALSE),"")</f>
        <v/>
      </c>
      <c r="E2474" t="str">
        <f>IFERROR(VLOOKUP(tbEscolas[[#This Row],[COD ETPA]],tbEtapas[],3,FALSE),"")</f>
        <v/>
      </c>
    </row>
    <row r="2475" spans="1:5" x14ac:dyDescent="0.25">
      <c r="A2475" t="str" cm="1">
        <f t="array" ref="A2475">IFERROR(INDEX(tbNucleo[ESCOLA],ROUNDUP(ROW(A2474)/TotalEtapas,0)),"")</f>
        <v/>
      </c>
      <c r="D2475" t="str">
        <f>IFERROR(VLOOKUP(tbEscolas[[#This Row],[COD ETPA]],tbEtapas[],2,FALSE),"")</f>
        <v/>
      </c>
      <c r="E2475" t="str">
        <f>IFERROR(VLOOKUP(tbEscolas[[#This Row],[COD ETPA]],tbEtapas[],3,FALSE),"")</f>
        <v/>
      </c>
    </row>
    <row r="2476" spans="1:5" x14ac:dyDescent="0.25">
      <c r="A2476" t="str" cm="1">
        <f t="array" ref="A2476">IFERROR(INDEX(tbNucleo[ESCOLA],ROUNDUP(ROW(A2475)/TotalEtapas,0)),"")</f>
        <v/>
      </c>
      <c r="D2476" t="str">
        <f>IFERROR(VLOOKUP(tbEscolas[[#This Row],[COD ETPA]],tbEtapas[],2,FALSE),"")</f>
        <v/>
      </c>
      <c r="E2476" t="str">
        <f>IFERROR(VLOOKUP(tbEscolas[[#This Row],[COD ETPA]],tbEtapas[],3,FALSE),"")</f>
        <v/>
      </c>
    </row>
    <row r="2477" spans="1:5" x14ac:dyDescent="0.25">
      <c r="A2477" t="str" cm="1">
        <f t="array" ref="A2477">IFERROR(INDEX(tbNucleo[ESCOLA],ROUNDUP(ROW(A2476)/TotalEtapas,0)),"")</f>
        <v/>
      </c>
      <c r="D2477" t="str">
        <f>IFERROR(VLOOKUP(tbEscolas[[#This Row],[COD ETPA]],tbEtapas[],2,FALSE),"")</f>
        <v/>
      </c>
      <c r="E2477" t="str">
        <f>IFERROR(VLOOKUP(tbEscolas[[#This Row],[COD ETPA]],tbEtapas[],3,FALSE),"")</f>
        <v/>
      </c>
    </row>
    <row r="2478" spans="1:5" x14ac:dyDescent="0.25">
      <c r="A2478" t="str" cm="1">
        <f t="array" ref="A2478">IFERROR(INDEX(tbNucleo[ESCOLA],ROUNDUP(ROW(A2477)/TotalEtapas,0)),"")</f>
        <v/>
      </c>
      <c r="D2478" t="str">
        <f>IFERROR(VLOOKUP(tbEscolas[[#This Row],[COD ETPA]],tbEtapas[],2,FALSE),"")</f>
        <v/>
      </c>
      <c r="E2478" t="str">
        <f>IFERROR(VLOOKUP(tbEscolas[[#This Row],[COD ETPA]],tbEtapas[],3,FALSE),"")</f>
        <v/>
      </c>
    </row>
    <row r="2479" spans="1:5" x14ac:dyDescent="0.25">
      <c r="A2479" t="str" cm="1">
        <f t="array" ref="A2479">IFERROR(INDEX(tbNucleo[ESCOLA],ROUNDUP(ROW(A2478)/TotalEtapas,0)),"")</f>
        <v/>
      </c>
      <c r="D2479" t="str">
        <f>IFERROR(VLOOKUP(tbEscolas[[#This Row],[COD ETPA]],tbEtapas[],2,FALSE),"")</f>
        <v/>
      </c>
      <c r="E2479" t="str">
        <f>IFERROR(VLOOKUP(tbEscolas[[#This Row],[COD ETPA]],tbEtapas[],3,FALSE),"")</f>
        <v/>
      </c>
    </row>
    <row r="2480" spans="1:5" x14ac:dyDescent="0.25">
      <c r="A2480" t="str" cm="1">
        <f t="array" ref="A2480">IFERROR(INDEX(tbNucleo[ESCOLA],ROUNDUP(ROW(A2479)/TotalEtapas,0)),"")</f>
        <v/>
      </c>
      <c r="D2480" t="str">
        <f>IFERROR(VLOOKUP(tbEscolas[[#This Row],[COD ETPA]],tbEtapas[],2,FALSE),"")</f>
        <v/>
      </c>
      <c r="E2480" t="str">
        <f>IFERROR(VLOOKUP(tbEscolas[[#This Row],[COD ETPA]],tbEtapas[],3,FALSE),"")</f>
        <v/>
      </c>
    </row>
    <row r="2481" spans="1:5" x14ac:dyDescent="0.25">
      <c r="A2481" t="str" cm="1">
        <f t="array" ref="A2481">IFERROR(INDEX(tbNucleo[ESCOLA],ROUNDUP(ROW(A2480)/TotalEtapas,0)),"")</f>
        <v/>
      </c>
      <c r="D2481" t="str">
        <f>IFERROR(VLOOKUP(tbEscolas[[#This Row],[COD ETPA]],tbEtapas[],2,FALSE),"")</f>
        <v/>
      </c>
      <c r="E2481" t="str">
        <f>IFERROR(VLOOKUP(tbEscolas[[#This Row],[COD ETPA]],tbEtapas[],3,FALSE),"")</f>
        <v/>
      </c>
    </row>
    <row r="2482" spans="1:5" x14ac:dyDescent="0.25">
      <c r="A2482" t="str" cm="1">
        <f t="array" ref="A2482">IFERROR(INDEX(tbNucleo[ESCOLA],ROUNDUP(ROW(A2481)/TotalEtapas,0)),"")</f>
        <v/>
      </c>
      <c r="D2482" t="str">
        <f>IFERROR(VLOOKUP(tbEscolas[[#This Row],[COD ETPA]],tbEtapas[],2,FALSE),"")</f>
        <v/>
      </c>
      <c r="E2482" t="str">
        <f>IFERROR(VLOOKUP(tbEscolas[[#This Row],[COD ETPA]],tbEtapas[],3,FALSE),"")</f>
        <v/>
      </c>
    </row>
    <row r="2483" spans="1:5" x14ac:dyDescent="0.25">
      <c r="A2483" t="str" cm="1">
        <f t="array" ref="A2483">IFERROR(INDEX(tbNucleo[ESCOLA],ROUNDUP(ROW(A2482)/TotalEtapas,0)),"")</f>
        <v/>
      </c>
      <c r="D2483" t="str">
        <f>IFERROR(VLOOKUP(tbEscolas[[#This Row],[COD ETPA]],tbEtapas[],2,FALSE),"")</f>
        <v/>
      </c>
      <c r="E2483" t="str">
        <f>IFERROR(VLOOKUP(tbEscolas[[#This Row],[COD ETPA]],tbEtapas[],3,FALSE),"")</f>
        <v/>
      </c>
    </row>
    <row r="2484" spans="1:5" x14ac:dyDescent="0.25">
      <c r="A2484" t="str" cm="1">
        <f t="array" ref="A2484">IFERROR(INDEX(tbNucleo[ESCOLA],ROUNDUP(ROW(A2483)/TotalEtapas,0)),"")</f>
        <v/>
      </c>
      <c r="D2484" t="str">
        <f>IFERROR(VLOOKUP(tbEscolas[[#This Row],[COD ETPA]],tbEtapas[],2,FALSE),"")</f>
        <v/>
      </c>
      <c r="E2484" t="str">
        <f>IFERROR(VLOOKUP(tbEscolas[[#This Row],[COD ETPA]],tbEtapas[],3,FALSE),"")</f>
        <v/>
      </c>
    </row>
    <row r="2485" spans="1:5" x14ac:dyDescent="0.25">
      <c r="A2485" t="str" cm="1">
        <f t="array" ref="A2485">IFERROR(INDEX(tbNucleo[ESCOLA],ROUNDUP(ROW(A2484)/TotalEtapas,0)),"")</f>
        <v/>
      </c>
      <c r="D2485" t="str">
        <f>IFERROR(VLOOKUP(tbEscolas[[#This Row],[COD ETPA]],tbEtapas[],2,FALSE),"")</f>
        <v/>
      </c>
      <c r="E2485" t="str">
        <f>IFERROR(VLOOKUP(tbEscolas[[#This Row],[COD ETPA]],tbEtapas[],3,FALSE),"")</f>
        <v/>
      </c>
    </row>
    <row r="2486" spans="1:5" x14ac:dyDescent="0.25">
      <c r="A2486" t="str" cm="1">
        <f t="array" ref="A2486">IFERROR(INDEX(tbNucleo[ESCOLA],ROUNDUP(ROW(A2485)/TotalEtapas,0)),"")</f>
        <v/>
      </c>
      <c r="D2486" t="str">
        <f>IFERROR(VLOOKUP(tbEscolas[[#This Row],[COD ETPA]],tbEtapas[],2,FALSE),"")</f>
        <v/>
      </c>
      <c r="E2486" t="str">
        <f>IFERROR(VLOOKUP(tbEscolas[[#This Row],[COD ETPA]],tbEtapas[],3,FALSE),"")</f>
        <v/>
      </c>
    </row>
    <row r="2487" spans="1:5" x14ac:dyDescent="0.25">
      <c r="A2487" t="str" cm="1">
        <f t="array" ref="A2487">IFERROR(INDEX(tbNucleo[ESCOLA],ROUNDUP(ROW(A2486)/TotalEtapas,0)),"")</f>
        <v/>
      </c>
      <c r="D2487" t="str">
        <f>IFERROR(VLOOKUP(tbEscolas[[#This Row],[COD ETPA]],tbEtapas[],2,FALSE),"")</f>
        <v/>
      </c>
      <c r="E2487" t="str">
        <f>IFERROR(VLOOKUP(tbEscolas[[#This Row],[COD ETPA]],tbEtapas[],3,FALSE),"")</f>
        <v/>
      </c>
    </row>
    <row r="2488" spans="1:5" x14ac:dyDescent="0.25">
      <c r="A2488" t="str" cm="1">
        <f t="array" ref="A2488">IFERROR(INDEX(tbNucleo[ESCOLA],ROUNDUP(ROW(A2487)/TotalEtapas,0)),"")</f>
        <v/>
      </c>
      <c r="D2488" t="str">
        <f>IFERROR(VLOOKUP(tbEscolas[[#This Row],[COD ETPA]],tbEtapas[],2,FALSE),"")</f>
        <v/>
      </c>
      <c r="E2488" t="str">
        <f>IFERROR(VLOOKUP(tbEscolas[[#This Row],[COD ETPA]],tbEtapas[],3,FALSE),"")</f>
        <v/>
      </c>
    </row>
    <row r="2489" spans="1:5" x14ac:dyDescent="0.25">
      <c r="A2489" t="str" cm="1">
        <f t="array" ref="A2489">IFERROR(INDEX(tbNucleo[ESCOLA],ROUNDUP(ROW(A2488)/TotalEtapas,0)),"")</f>
        <v/>
      </c>
      <c r="D2489" t="str">
        <f>IFERROR(VLOOKUP(tbEscolas[[#This Row],[COD ETPA]],tbEtapas[],2,FALSE),"")</f>
        <v/>
      </c>
      <c r="E2489" t="str">
        <f>IFERROR(VLOOKUP(tbEscolas[[#This Row],[COD ETPA]],tbEtapas[],3,FALSE),"")</f>
        <v/>
      </c>
    </row>
    <row r="2490" spans="1:5" x14ac:dyDescent="0.25">
      <c r="A2490" t="str" cm="1">
        <f t="array" ref="A2490">IFERROR(INDEX(tbNucleo[ESCOLA],ROUNDUP(ROW(A2489)/TotalEtapas,0)),"")</f>
        <v/>
      </c>
      <c r="D2490" t="str">
        <f>IFERROR(VLOOKUP(tbEscolas[[#This Row],[COD ETPA]],tbEtapas[],2,FALSE),"")</f>
        <v/>
      </c>
      <c r="E2490" t="str">
        <f>IFERROR(VLOOKUP(tbEscolas[[#This Row],[COD ETPA]],tbEtapas[],3,FALSE),"")</f>
        <v/>
      </c>
    </row>
    <row r="2491" spans="1:5" x14ac:dyDescent="0.25">
      <c r="A2491" t="str" cm="1">
        <f t="array" ref="A2491">IFERROR(INDEX(tbNucleo[ESCOLA],ROUNDUP(ROW(A2490)/TotalEtapas,0)),"")</f>
        <v/>
      </c>
      <c r="D2491" t="str">
        <f>IFERROR(VLOOKUP(tbEscolas[[#This Row],[COD ETPA]],tbEtapas[],2,FALSE),"")</f>
        <v/>
      </c>
      <c r="E2491" t="str">
        <f>IFERROR(VLOOKUP(tbEscolas[[#This Row],[COD ETPA]],tbEtapas[],3,FALSE),"")</f>
        <v/>
      </c>
    </row>
    <row r="2492" spans="1:5" x14ac:dyDescent="0.25">
      <c r="A2492" t="str" cm="1">
        <f t="array" ref="A2492">IFERROR(INDEX(tbNucleo[ESCOLA],ROUNDUP(ROW(A2491)/TotalEtapas,0)),"")</f>
        <v/>
      </c>
      <c r="D2492" t="str">
        <f>IFERROR(VLOOKUP(tbEscolas[[#This Row],[COD ETPA]],tbEtapas[],2,FALSE),"")</f>
        <v/>
      </c>
      <c r="E2492" t="str">
        <f>IFERROR(VLOOKUP(tbEscolas[[#This Row],[COD ETPA]],tbEtapas[],3,FALSE),"")</f>
        <v/>
      </c>
    </row>
    <row r="2493" spans="1:5" x14ac:dyDescent="0.25">
      <c r="A2493" t="str" cm="1">
        <f t="array" ref="A2493">IFERROR(INDEX(tbNucleo[ESCOLA],ROUNDUP(ROW(A2492)/TotalEtapas,0)),"")</f>
        <v/>
      </c>
      <c r="D2493" t="str">
        <f>IFERROR(VLOOKUP(tbEscolas[[#This Row],[COD ETPA]],tbEtapas[],2,FALSE),"")</f>
        <v/>
      </c>
      <c r="E2493" t="str">
        <f>IFERROR(VLOOKUP(tbEscolas[[#This Row],[COD ETPA]],tbEtapas[],3,FALSE),"")</f>
        <v/>
      </c>
    </row>
    <row r="2494" spans="1:5" x14ac:dyDescent="0.25">
      <c r="A2494" t="str" cm="1">
        <f t="array" ref="A2494">IFERROR(INDEX(tbNucleo[ESCOLA],ROUNDUP(ROW(A2493)/TotalEtapas,0)),"")</f>
        <v/>
      </c>
      <c r="D2494" t="str">
        <f>IFERROR(VLOOKUP(tbEscolas[[#This Row],[COD ETPA]],tbEtapas[],2,FALSE),"")</f>
        <v/>
      </c>
      <c r="E2494" t="str">
        <f>IFERROR(VLOOKUP(tbEscolas[[#This Row],[COD ETPA]],tbEtapas[],3,FALSE),"")</f>
        <v/>
      </c>
    </row>
    <row r="2495" spans="1:5" x14ac:dyDescent="0.25">
      <c r="A2495" t="str" cm="1">
        <f t="array" ref="A2495">IFERROR(INDEX(tbNucleo[ESCOLA],ROUNDUP(ROW(A2494)/TotalEtapas,0)),"")</f>
        <v/>
      </c>
      <c r="D2495" t="str">
        <f>IFERROR(VLOOKUP(tbEscolas[[#This Row],[COD ETPA]],tbEtapas[],2,FALSE),"")</f>
        <v/>
      </c>
      <c r="E2495" t="str">
        <f>IFERROR(VLOOKUP(tbEscolas[[#This Row],[COD ETPA]],tbEtapas[],3,FALSE),"")</f>
        <v/>
      </c>
    </row>
    <row r="2496" spans="1:5" x14ac:dyDescent="0.25">
      <c r="A2496" t="str" cm="1">
        <f t="array" ref="A2496">IFERROR(INDEX(tbNucleo[ESCOLA],ROUNDUP(ROW(A2495)/TotalEtapas,0)),"")</f>
        <v/>
      </c>
      <c r="D2496" t="str">
        <f>IFERROR(VLOOKUP(tbEscolas[[#This Row],[COD ETPA]],tbEtapas[],2,FALSE),"")</f>
        <v/>
      </c>
      <c r="E2496" t="str">
        <f>IFERROR(VLOOKUP(tbEscolas[[#This Row],[COD ETPA]],tbEtapas[],3,FALSE),"")</f>
        <v/>
      </c>
    </row>
    <row r="2497" spans="1:5" x14ac:dyDescent="0.25">
      <c r="A2497" t="str" cm="1">
        <f t="array" ref="A2497">IFERROR(INDEX(tbNucleo[ESCOLA],ROUNDUP(ROW(A2496)/TotalEtapas,0)),"")</f>
        <v/>
      </c>
      <c r="D2497" t="str">
        <f>IFERROR(VLOOKUP(tbEscolas[[#This Row],[COD ETPA]],tbEtapas[],2,FALSE),"")</f>
        <v/>
      </c>
      <c r="E2497" t="str">
        <f>IFERROR(VLOOKUP(tbEscolas[[#This Row],[COD ETPA]],tbEtapas[],3,FALSE),"")</f>
        <v/>
      </c>
    </row>
    <row r="2498" spans="1:5" x14ac:dyDescent="0.25">
      <c r="A2498" t="str" cm="1">
        <f t="array" ref="A2498">IFERROR(INDEX(tbNucleo[ESCOLA],ROUNDUP(ROW(A2497)/TotalEtapas,0)),"")</f>
        <v/>
      </c>
      <c r="D2498" t="str">
        <f>IFERROR(VLOOKUP(tbEscolas[[#This Row],[COD ETPA]],tbEtapas[],2,FALSE),"")</f>
        <v/>
      </c>
      <c r="E2498" t="str">
        <f>IFERROR(VLOOKUP(tbEscolas[[#This Row],[COD ETPA]],tbEtapas[],3,FALSE),"")</f>
        <v/>
      </c>
    </row>
    <row r="2499" spans="1:5" x14ac:dyDescent="0.25">
      <c r="A2499" t="str" cm="1">
        <f t="array" ref="A2499">IFERROR(INDEX(tbNucleo[ESCOLA],ROUNDUP(ROW(A2498)/TotalEtapas,0)),"")</f>
        <v/>
      </c>
      <c r="D2499" t="str">
        <f>IFERROR(VLOOKUP(tbEscolas[[#This Row],[COD ETPA]],tbEtapas[],2,FALSE),"")</f>
        <v/>
      </c>
      <c r="E2499" t="str">
        <f>IFERROR(VLOOKUP(tbEscolas[[#This Row],[COD ETPA]],tbEtapas[],3,FALSE),"")</f>
        <v/>
      </c>
    </row>
    <row r="2500" spans="1:5" x14ac:dyDescent="0.25">
      <c r="A2500" t="str" cm="1">
        <f t="array" ref="A2500">IFERROR(INDEX(tbNucleo[ESCOLA],ROUNDUP(ROW(A2499)/TotalEtapas,0)),"")</f>
        <v/>
      </c>
      <c r="D2500" t="str">
        <f>IFERROR(VLOOKUP(tbEscolas[[#This Row],[COD ETPA]],tbEtapas[],2,FALSE),"")</f>
        <v/>
      </c>
      <c r="E2500" t="str">
        <f>IFERROR(VLOOKUP(tbEscolas[[#This Row],[COD ETPA]],tbEtapas[],3,FALSE),"")</f>
        <v/>
      </c>
    </row>
    <row r="2501" spans="1:5" x14ac:dyDescent="0.25">
      <c r="A2501" t="str" cm="1">
        <f t="array" ref="A2501">IFERROR(INDEX(tbNucleo[ESCOLA],ROUNDUP(ROW(A2500)/TotalEtapas,0)),"")</f>
        <v/>
      </c>
      <c r="D2501" t="str">
        <f>IFERROR(VLOOKUP(tbEscolas[[#This Row],[COD ETPA]],tbEtapas[],2,FALSE),"")</f>
        <v/>
      </c>
      <c r="E2501" t="str">
        <f>IFERROR(VLOOKUP(tbEscolas[[#This Row],[COD ETPA]],tbEtapas[],3,FALSE),"")</f>
        <v/>
      </c>
    </row>
    <row r="2502" spans="1:5" x14ac:dyDescent="0.25">
      <c r="A2502" t="str" cm="1">
        <f t="array" ref="A2502">IFERROR(INDEX(tbNucleo[ESCOLA],ROUNDUP(ROW(A2501)/TotalEtapas,0)),"")</f>
        <v/>
      </c>
      <c r="D2502" t="str">
        <f>IFERROR(VLOOKUP(tbEscolas[[#This Row],[COD ETPA]],tbEtapas[],2,FALSE),"")</f>
        <v/>
      </c>
      <c r="E2502" t="str">
        <f>IFERROR(VLOOKUP(tbEscolas[[#This Row],[COD ETPA]],tbEtapas[],3,FALSE),"")</f>
        <v/>
      </c>
    </row>
    <row r="2503" spans="1:5" x14ac:dyDescent="0.25">
      <c r="A2503" t="str" cm="1">
        <f t="array" ref="A2503">IFERROR(INDEX(tbNucleo[ESCOLA],ROUNDUP(ROW(A2502)/TotalEtapas,0)),"")</f>
        <v/>
      </c>
      <c r="D2503" t="str">
        <f>IFERROR(VLOOKUP(tbEscolas[[#This Row],[COD ETPA]],tbEtapas[],2,FALSE),"")</f>
        <v/>
      </c>
      <c r="E2503" t="str">
        <f>IFERROR(VLOOKUP(tbEscolas[[#This Row],[COD ETPA]],tbEtapas[],3,FALSE),"")</f>
        <v/>
      </c>
    </row>
    <row r="2504" spans="1:5" x14ac:dyDescent="0.25">
      <c r="A2504" t="str" cm="1">
        <f t="array" ref="A2504">IFERROR(INDEX(tbNucleo[ESCOLA],ROUNDUP(ROW(A2503)/TotalEtapas,0)),"")</f>
        <v/>
      </c>
      <c r="D2504" t="str">
        <f>IFERROR(VLOOKUP(tbEscolas[[#This Row],[COD ETPA]],tbEtapas[],2,FALSE),"")</f>
        <v/>
      </c>
      <c r="E2504" t="str">
        <f>IFERROR(VLOOKUP(tbEscolas[[#This Row],[COD ETPA]],tbEtapas[],3,FALSE),"")</f>
        <v/>
      </c>
    </row>
    <row r="2505" spans="1:5" x14ac:dyDescent="0.25">
      <c r="A2505" t="str" cm="1">
        <f t="array" ref="A2505">IFERROR(INDEX(tbNucleo[ESCOLA],ROUNDUP(ROW(A2504)/TotalEtapas,0)),"")</f>
        <v/>
      </c>
      <c r="D2505" t="str">
        <f>IFERROR(VLOOKUP(tbEscolas[[#This Row],[COD ETPA]],tbEtapas[],2,FALSE),"")</f>
        <v/>
      </c>
      <c r="E2505" t="str">
        <f>IFERROR(VLOOKUP(tbEscolas[[#This Row],[COD ETPA]],tbEtapas[],3,FALSE),"")</f>
        <v/>
      </c>
    </row>
    <row r="2506" spans="1:5" x14ac:dyDescent="0.25">
      <c r="A2506" t="str" cm="1">
        <f t="array" ref="A2506">IFERROR(INDEX(tbNucleo[ESCOLA],ROUNDUP(ROW(A2505)/TotalEtapas,0)),"")</f>
        <v/>
      </c>
      <c r="D2506" t="str">
        <f>IFERROR(VLOOKUP(tbEscolas[[#This Row],[COD ETPA]],tbEtapas[],2,FALSE),"")</f>
        <v/>
      </c>
      <c r="E2506" t="str">
        <f>IFERROR(VLOOKUP(tbEscolas[[#This Row],[COD ETPA]],tbEtapas[],3,FALSE),"")</f>
        <v/>
      </c>
    </row>
    <row r="2507" spans="1:5" x14ac:dyDescent="0.25">
      <c r="A2507" t="str" cm="1">
        <f t="array" ref="A2507">IFERROR(INDEX(tbNucleo[ESCOLA],ROUNDUP(ROW(A2506)/TotalEtapas,0)),"")</f>
        <v/>
      </c>
      <c r="D2507" t="str">
        <f>IFERROR(VLOOKUP(tbEscolas[[#This Row],[COD ETPA]],tbEtapas[],2,FALSE),"")</f>
        <v/>
      </c>
      <c r="E2507" t="str">
        <f>IFERROR(VLOOKUP(tbEscolas[[#This Row],[COD ETPA]],tbEtapas[],3,FALSE),"")</f>
        <v/>
      </c>
    </row>
    <row r="2508" spans="1:5" x14ac:dyDescent="0.25">
      <c r="A2508" t="str" cm="1">
        <f t="array" ref="A2508">IFERROR(INDEX(tbNucleo[ESCOLA],ROUNDUP(ROW(A2507)/TotalEtapas,0)),"")</f>
        <v/>
      </c>
      <c r="D2508" t="str">
        <f>IFERROR(VLOOKUP(tbEscolas[[#This Row],[COD ETPA]],tbEtapas[],2,FALSE),"")</f>
        <v/>
      </c>
      <c r="E2508" t="str">
        <f>IFERROR(VLOOKUP(tbEscolas[[#This Row],[COD ETPA]],tbEtapas[],3,FALSE),"")</f>
        <v/>
      </c>
    </row>
    <row r="2509" spans="1:5" x14ac:dyDescent="0.25">
      <c r="A2509" t="str" cm="1">
        <f t="array" ref="A2509">IFERROR(INDEX(tbNucleo[ESCOLA],ROUNDUP(ROW(A2508)/TotalEtapas,0)),"")</f>
        <v/>
      </c>
      <c r="D2509" t="str">
        <f>IFERROR(VLOOKUP(tbEscolas[[#This Row],[COD ETPA]],tbEtapas[],2,FALSE),"")</f>
        <v/>
      </c>
      <c r="E2509" t="str">
        <f>IFERROR(VLOOKUP(tbEscolas[[#This Row],[COD ETPA]],tbEtapas[],3,FALSE),"")</f>
        <v/>
      </c>
    </row>
    <row r="2510" spans="1:5" x14ac:dyDescent="0.25">
      <c r="A2510" t="str" cm="1">
        <f t="array" ref="A2510">IFERROR(INDEX(tbNucleo[ESCOLA],ROUNDUP(ROW(A2509)/TotalEtapas,0)),"")</f>
        <v/>
      </c>
      <c r="D2510" t="str">
        <f>IFERROR(VLOOKUP(tbEscolas[[#This Row],[COD ETPA]],tbEtapas[],2,FALSE),"")</f>
        <v/>
      </c>
      <c r="E2510" t="str">
        <f>IFERROR(VLOOKUP(tbEscolas[[#This Row],[COD ETPA]],tbEtapas[],3,FALSE),"")</f>
        <v/>
      </c>
    </row>
    <row r="2511" spans="1:5" x14ac:dyDescent="0.25">
      <c r="A2511" t="str" cm="1">
        <f t="array" ref="A2511">IFERROR(INDEX(tbNucleo[ESCOLA],ROUNDUP(ROW(A2510)/TotalEtapas,0)),"")</f>
        <v/>
      </c>
      <c r="D2511" t="str">
        <f>IFERROR(VLOOKUP(tbEscolas[[#This Row],[COD ETPA]],tbEtapas[],2,FALSE),"")</f>
        <v/>
      </c>
      <c r="E2511" t="str">
        <f>IFERROR(VLOOKUP(tbEscolas[[#This Row],[COD ETPA]],tbEtapas[],3,FALSE),"")</f>
        <v/>
      </c>
    </row>
    <row r="2512" spans="1:5" x14ac:dyDescent="0.25">
      <c r="A2512" t="str" cm="1">
        <f t="array" ref="A2512">IFERROR(INDEX(tbNucleo[ESCOLA],ROUNDUP(ROW(A2511)/TotalEtapas,0)),"")</f>
        <v/>
      </c>
      <c r="D2512" t="str">
        <f>IFERROR(VLOOKUP(tbEscolas[[#This Row],[COD ETPA]],tbEtapas[],2,FALSE),"")</f>
        <v/>
      </c>
      <c r="E2512" t="str">
        <f>IFERROR(VLOOKUP(tbEscolas[[#This Row],[COD ETPA]],tbEtapas[],3,FALSE),"")</f>
        <v/>
      </c>
    </row>
    <row r="2513" spans="1:5" x14ac:dyDescent="0.25">
      <c r="A2513" t="str" cm="1">
        <f t="array" ref="A2513">IFERROR(INDEX(tbNucleo[ESCOLA],ROUNDUP(ROW(A2512)/TotalEtapas,0)),"")</f>
        <v/>
      </c>
      <c r="D2513" t="str">
        <f>IFERROR(VLOOKUP(tbEscolas[[#This Row],[COD ETPA]],tbEtapas[],2,FALSE),"")</f>
        <v/>
      </c>
      <c r="E2513" t="str">
        <f>IFERROR(VLOOKUP(tbEscolas[[#This Row],[COD ETPA]],tbEtapas[],3,FALSE),"")</f>
        <v/>
      </c>
    </row>
    <row r="2514" spans="1:5" x14ac:dyDescent="0.25">
      <c r="A2514" t="str" cm="1">
        <f t="array" ref="A2514">IFERROR(INDEX(tbNucleo[ESCOLA],ROUNDUP(ROW(A2513)/TotalEtapas,0)),"")</f>
        <v/>
      </c>
      <c r="D2514" t="str">
        <f>IFERROR(VLOOKUP(tbEscolas[[#This Row],[COD ETPA]],tbEtapas[],2,FALSE),"")</f>
        <v/>
      </c>
      <c r="E2514" t="str">
        <f>IFERROR(VLOOKUP(tbEscolas[[#This Row],[COD ETPA]],tbEtapas[],3,FALSE),"")</f>
        <v/>
      </c>
    </row>
    <row r="2515" spans="1:5" x14ac:dyDescent="0.25">
      <c r="A2515" t="str" cm="1">
        <f t="array" ref="A2515">IFERROR(INDEX(tbNucleo[ESCOLA],ROUNDUP(ROW(A2514)/TotalEtapas,0)),"")</f>
        <v/>
      </c>
      <c r="D2515" t="str">
        <f>IFERROR(VLOOKUP(tbEscolas[[#This Row],[COD ETPA]],tbEtapas[],2,FALSE),"")</f>
        <v/>
      </c>
      <c r="E2515" t="str">
        <f>IFERROR(VLOOKUP(tbEscolas[[#This Row],[COD ETPA]],tbEtapas[],3,FALSE),"")</f>
        <v/>
      </c>
    </row>
    <row r="2516" spans="1:5" x14ac:dyDescent="0.25">
      <c r="A2516" t="str" cm="1">
        <f t="array" ref="A2516">IFERROR(INDEX(tbNucleo[ESCOLA],ROUNDUP(ROW(A2515)/TotalEtapas,0)),"")</f>
        <v/>
      </c>
      <c r="D2516" t="str">
        <f>IFERROR(VLOOKUP(tbEscolas[[#This Row],[COD ETPA]],tbEtapas[],2,FALSE),"")</f>
        <v/>
      </c>
      <c r="E2516" t="str">
        <f>IFERROR(VLOOKUP(tbEscolas[[#This Row],[COD ETPA]],tbEtapas[],3,FALSE),"")</f>
        <v/>
      </c>
    </row>
    <row r="2517" spans="1:5" x14ac:dyDescent="0.25">
      <c r="A2517" t="str" cm="1">
        <f t="array" ref="A2517">IFERROR(INDEX(tbNucleo[ESCOLA],ROUNDUP(ROW(A2516)/TotalEtapas,0)),"")</f>
        <v/>
      </c>
      <c r="D2517" t="str">
        <f>IFERROR(VLOOKUP(tbEscolas[[#This Row],[COD ETPA]],tbEtapas[],2,FALSE),"")</f>
        <v/>
      </c>
      <c r="E2517" t="str">
        <f>IFERROR(VLOOKUP(tbEscolas[[#This Row],[COD ETPA]],tbEtapas[],3,FALSE),"")</f>
        <v/>
      </c>
    </row>
    <row r="2518" spans="1:5" x14ac:dyDescent="0.25">
      <c r="A2518" t="str" cm="1">
        <f t="array" ref="A2518">IFERROR(INDEX(tbNucleo[ESCOLA],ROUNDUP(ROW(A2517)/TotalEtapas,0)),"")</f>
        <v/>
      </c>
      <c r="D2518" t="str">
        <f>IFERROR(VLOOKUP(tbEscolas[[#This Row],[COD ETPA]],tbEtapas[],2,FALSE),"")</f>
        <v/>
      </c>
      <c r="E2518" t="str">
        <f>IFERROR(VLOOKUP(tbEscolas[[#This Row],[COD ETPA]],tbEtapas[],3,FALSE),"")</f>
        <v/>
      </c>
    </row>
    <row r="2519" spans="1:5" x14ac:dyDescent="0.25">
      <c r="A2519" t="str" cm="1">
        <f t="array" ref="A2519">IFERROR(INDEX(tbNucleo[ESCOLA],ROUNDUP(ROW(A2518)/TotalEtapas,0)),"")</f>
        <v/>
      </c>
      <c r="D2519" t="str">
        <f>IFERROR(VLOOKUP(tbEscolas[[#This Row],[COD ETPA]],tbEtapas[],2,FALSE),"")</f>
        <v/>
      </c>
      <c r="E2519" t="str">
        <f>IFERROR(VLOOKUP(tbEscolas[[#This Row],[COD ETPA]],tbEtapas[],3,FALSE),"")</f>
        <v/>
      </c>
    </row>
    <row r="2520" spans="1:5" x14ac:dyDescent="0.25">
      <c r="A2520" t="str" cm="1">
        <f t="array" ref="A2520">IFERROR(INDEX(tbNucleo[ESCOLA],ROUNDUP(ROW(A2519)/TotalEtapas,0)),"")</f>
        <v/>
      </c>
      <c r="D2520" t="str">
        <f>IFERROR(VLOOKUP(tbEscolas[[#This Row],[COD ETPA]],tbEtapas[],2,FALSE),"")</f>
        <v/>
      </c>
      <c r="E2520" t="str">
        <f>IFERROR(VLOOKUP(tbEscolas[[#This Row],[COD ETPA]],tbEtapas[],3,FALSE),"")</f>
        <v/>
      </c>
    </row>
    <row r="2521" spans="1:5" x14ac:dyDescent="0.25">
      <c r="A2521" t="str" cm="1">
        <f t="array" ref="A2521">IFERROR(INDEX(tbNucleo[ESCOLA],ROUNDUP(ROW(A2520)/TotalEtapas,0)),"")</f>
        <v/>
      </c>
      <c r="D2521" t="str">
        <f>IFERROR(VLOOKUP(tbEscolas[[#This Row],[COD ETPA]],tbEtapas[],2,FALSE),"")</f>
        <v/>
      </c>
      <c r="E2521" t="str">
        <f>IFERROR(VLOOKUP(tbEscolas[[#This Row],[COD ETPA]],tbEtapas[],3,FALSE),"")</f>
        <v/>
      </c>
    </row>
    <row r="2522" spans="1:5" x14ac:dyDescent="0.25">
      <c r="A2522" t="str" cm="1">
        <f t="array" ref="A2522">IFERROR(INDEX(tbNucleo[ESCOLA],ROUNDUP(ROW(A2521)/TotalEtapas,0)),"")</f>
        <v/>
      </c>
      <c r="D2522" t="str">
        <f>IFERROR(VLOOKUP(tbEscolas[[#This Row],[COD ETPA]],tbEtapas[],2,FALSE),"")</f>
        <v/>
      </c>
      <c r="E2522" t="str">
        <f>IFERROR(VLOOKUP(tbEscolas[[#This Row],[COD ETPA]],tbEtapas[],3,FALSE),"")</f>
        <v/>
      </c>
    </row>
    <row r="2523" spans="1:5" x14ac:dyDescent="0.25">
      <c r="A2523" t="str" cm="1">
        <f t="array" ref="A2523">IFERROR(INDEX(tbNucleo[ESCOLA],ROUNDUP(ROW(A2522)/TotalEtapas,0)),"")</f>
        <v/>
      </c>
      <c r="D2523" t="str">
        <f>IFERROR(VLOOKUP(tbEscolas[[#This Row],[COD ETPA]],tbEtapas[],2,FALSE),"")</f>
        <v/>
      </c>
      <c r="E2523" t="str">
        <f>IFERROR(VLOOKUP(tbEscolas[[#This Row],[COD ETPA]],tbEtapas[],3,FALSE),"")</f>
        <v/>
      </c>
    </row>
    <row r="2524" spans="1:5" x14ac:dyDescent="0.25">
      <c r="A2524" t="str" cm="1">
        <f t="array" ref="A2524">IFERROR(INDEX(tbNucleo[ESCOLA],ROUNDUP(ROW(A2523)/TotalEtapas,0)),"")</f>
        <v/>
      </c>
      <c r="D2524" t="str">
        <f>IFERROR(VLOOKUP(tbEscolas[[#This Row],[COD ETPA]],tbEtapas[],2,FALSE),"")</f>
        <v/>
      </c>
      <c r="E2524" t="str">
        <f>IFERROR(VLOOKUP(tbEscolas[[#This Row],[COD ETPA]],tbEtapas[],3,FALSE),"")</f>
        <v/>
      </c>
    </row>
    <row r="2525" spans="1:5" x14ac:dyDescent="0.25">
      <c r="A2525" t="str" cm="1">
        <f t="array" ref="A2525">IFERROR(INDEX(tbNucleo[ESCOLA],ROUNDUP(ROW(A2524)/TotalEtapas,0)),"")</f>
        <v/>
      </c>
      <c r="D2525" t="str">
        <f>IFERROR(VLOOKUP(tbEscolas[[#This Row],[COD ETPA]],tbEtapas[],2,FALSE),"")</f>
        <v/>
      </c>
      <c r="E2525" t="str">
        <f>IFERROR(VLOOKUP(tbEscolas[[#This Row],[COD ETPA]],tbEtapas[],3,FALSE),"")</f>
        <v/>
      </c>
    </row>
    <row r="2526" spans="1:5" x14ac:dyDescent="0.25">
      <c r="A2526" t="str" cm="1">
        <f t="array" ref="A2526">IFERROR(INDEX(tbNucleo[ESCOLA],ROUNDUP(ROW(A2525)/TotalEtapas,0)),"")</f>
        <v/>
      </c>
      <c r="D2526" t="str">
        <f>IFERROR(VLOOKUP(tbEscolas[[#This Row],[COD ETPA]],tbEtapas[],2,FALSE),"")</f>
        <v/>
      </c>
      <c r="E2526" t="str">
        <f>IFERROR(VLOOKUP(tbEscolas[[#This Row],[COD ETPA]],tbEtapas[],3,FALSE),"")</f>
        <v/>
      </c>
    </row>
    <row r="2527" spans="1:5" x14ac:dyDescent="0.25">
      <c r="A2527" t="str" cm="1">
        <f t="array" ref="A2527">IFERROR(INDEX(tbNucleo[ESCOLA],ROUNDUP(ROW(A2526)/TotalEtapas,0)),"")</f>
        <v/>
      </c>
      <c r="D2527" t="str">
        <f>IFERROR(VLOOKUP(tbEscolas[[#This Row],[COD ETPA]],tbEtapas[],2,FALSE),"")</f>
        <v/>
      </c>
      <c r="E2527" t="str">
        <f>IFERROR(VLOOKUP(tbEscolas[[#This Row],[COD ETPA]],tbEtapas[],3,FALSE),"")</f>
        <v/>
      </c>
    </row>
    <row r="2528" spans="1:5" x14ac:dyDescent="0.25">
      <c r="A2528" t="str" cm="1">
        <f t="array" ref="A2528">IFERROR(INDEX(tbNucleo[ESCOLA],ROUNDUP(ROW(A2527)/TotalEtapas,0)),"")</f>
        <v/>
      </c>
      <c r="D2528" t="str">
        <f>IFERROR(VLOOKUP(tbEscolas[[#This Row],[COD ETPA]],tbEtapas[],2,FALSE),"")</f>
        <v/>
      </c>
      <c r="E2528" t="str">
        <f>IFERROR(VLOOKUP(tbEscolas[[#This Row],[COD ETPA]],tbEtapas[],3,FALSE),"")</f>
        <v/>
      </c>
    </row>
    <row r="2529" spans="1:5" x14ac:dyDescent="0.25">
      <c r="A2529" t="str" cm="1">
        <f t="array" ref="A2529">IFERROR(INDEX(tbNucleo[ESCOLA],ROUNDUP(ROW(A2528)/TotalEtapas,0)),"")</f>
        <v/>
      </c>
      <c r="D2529" t="str">
        <f>IFERROR(VLOOKUP(tbEscolas[[#This Row],[COD ETPA]],tbEtapas[],2,FALSE),"")</f>
        <v/>
      </c>
      <c r="E2529" t="str">
        <f>IFERROR(VLOOKUP(tbEscolas[[#This Row],[COD ETPA]],tbEtapas[],3,FALSE),"")</f>
        <v/>
      </c>
    </row>
    <row r="2530" spans="1:5" x14ac:dyDescent="0.25">
      <c r="A2530" t="str" cm="1">
        <f t="array" ref="A2530">IFERROR(INDEX(tbNucleo[ESCOLA],ROUNDUP(ROW(A2529)/TotalEtapas,0)),"")</f>
        <v/>
      </c>
      <c r="D2530" t="str">
        <f>IFERROR(VLOOKUP(tbEscolas[[#This Row],[COD ETPA]],tbEtapas[],2,FALSE),"")</f>
        <v/>
      </c>
      <c r="E2530" t="str">
        <f>IFERROR(VLOOKUP(tbEscolas[[#This Row],[COD ETPA]],tbEtapas[],3,FALSE),"")</f>
        <v/>
      </c>
    </row>
    <row r="2531" spans="1:5" x14ac:dyDescent="0.25">
      <c r="A2531" t="str" cm="1">
        <f t="array" ref="A2531">IFERROR(INDEX(tbNucleo[ESCOLA],ROUNDUP(ROW(A2530)/TotalEtapas,0)),"")</f>
        <v/>
      </c>
      <c r="D2531" t="str">
        <f>IFERROR(VLOOKUP(tbEscolas[[#This Row],[COD ETPA]],tbEtapas[],2,FALSE),"")</f>
        <v/>
      </c>
      <c r="E2531" t="str">
        <f>IFERROR(VLOOKUP(tbEscolas[[#This Row],[COD ETPA]],tbEtapas[],3,FALSE),"")</f>
        <v/>
      </c>
    </row>
    <row r="2532" spans="1:5" x14ac:dyDescent="0.25">
      <c r="A2532" t="str" cm="1">
        <f t="array" ref="A2532">IFERROR(INDEX(tbNucleo[ESCOLA],ROUNDUP(ROW(A2531)/TotalEtapas,0)),"")</f>
        <v/>
      </c>
      <c r="D2532" t="str">
        <f>IFERROR(VLOOKUP(tbEscolas[[#This Row],[COD ETPA]],tbEtapas[],2,FALSE),"")</f>
        <v/>
      </c>
      <c r="E2532" t="str">
        <f>IFERROR(VLOOKUP(tbEscolas[[#This Row],[COD ETPA]],tbEtapas[],3,FALSE),"")</f>
        <v/>
      </c>
    </row>
    <row r="2533" spans="1:5" x14ac:dyDescent="0.25">
      <c r="A2533" t="str" cm="1">
        <f t="array" ref="A2533">IFERROR(INDEX(tbNucleo[ESCOLA],ROUNDUP(ROW(A2532)/TotalEtapas,0)),"")</f>
        <v/>
      </c>
      <c r="D2533" t="str">
        <f>IFERROR(VLOOKUP(tbEscolas[[#This Row],[COD ETPA]],tbEtapas[],2,FALSE),"")</f>
        <v/>
      </c>
      <c r="E2533" t="str">
        <f>IFERROR(VLOOKUP(tbEscolas[[#This Row],[COD ETPA]],tbEtapas[],3,FALSE),"")</f>
        <v/>
      </c>
    </row>
    <row r="2534" spans="1:5" x14ac:dyDescent="0.25">
      <c r="A2534" t="str" cm="1">
        <f t="array" ref="A2534">IFERROR(INDEX(tbNucleo[ESCOLA],ROUNDUP(ROW(A2533)/TotalEtapas,0)),"")</f>
        <v/>
      </c>
      <c r="D2534" t="str">
        <f>IFERROR(VLOOKUP(tbEscolas[[#This Row],[COD ETPA]],tbEtapas[],2,FALSE),"")</f>
        <v/>
      </c>
      <c r="E2534" t="str">
        <f>IFERROR(VLOOKUP(tbEscolas[[#This Row],[COD ETPA]],tbEtapas[],3,FALSE),"")</f>
        <v/>
      </c>
    </row>
    <row r="2535" spans="1:5" x14ac:dyDescent="0.25">
      <c r="A2535" t="str" cm="1">
        <f t="array" ref="A2535">IFERROR(INDEX(tbNucleo[ESCOLA],ROUNDUP(ROW(A2534)/TotalEtapas,0)),"")</f>
        <v/>
      </c>
      <c r="D2535" t="str">
        <f>IFERROR(VLOOKUP(tbEscolas[[#This Row],[COD ETPA]],tbEtapas[],2,FALSE),"")</f>
        <v/>
      </c>
      <c r="E2535" t="str">
        <f>IFERROR(VLOOKUP(tbEscolas[[#This Row],[COD ETPA]],tbEtapas[],3,FALSE),"")</f>
        <v/>
      </c>
    </row>
    <row r="2536" spans="1:5" x14ac:dyDescent="0.25">
      <c r="A2536" t="str" cm="1">
        <f t="array" ref="A2536">IFERROR(INDEX(tbNucleo[ESCOLA],ROUNDUP(ROW(A2535)/TotalEtapas,0)),"")</f>
        <v/>
      </c>
      <c r="D2536" t="str">
        <f>IFERROR(VLOOKUP(tbEscolas[[#This Row],[COD ETPA]],tbEtapas[],2,FALSE),"")</f>
        <v/>
      </c>
      <c r="E2536" t="str">
        <f>IFERROR(VLOOKUP(tbEscolas[[#This Row],[COD ETPA]],tbEtapas[],3,FALSE),"")</f>
        <v/>
      </c>
    </row>
    <row r="2537" spans="1:5" x14ac:dyDescent="0.25">
      <c r="A2537" t="str" cm="1">
        <f t="array" ref="A2537">IFERROR(INDEX(tbNucleo[ESCOLA],ROUNDUP(ROW(A2536)/TotalEtapas,0)),"")</f>
        <v/>
      </c>
      <c r="D2537" t="str">
        <f>IFERROR(VLOOKUP(tbEscolas[[#This Row],[COD ETPA]],tbEtapas[],2,FALSE),"")</f>
        <v/>
      </c>
      <c r="E2537" t="str">
        <f>IFERROR(VLOOKUP(tbEscolas[[#This Row],[COD ETPA]],tbEtapas[],3,FALSE),"")</f>
        <v/>
      </c>
    </row>
    <row r="2538" spans="1:5" x14ac:dyDescent="0.25">
      <c r="A2538" t="str" cm="1">
        <f t="array" ref="A2538">IFERROR(INDEX(tbNucleo[ESCOLA],ROUNDUP(ROW(A2537)/TotalEtapas,0)),"")</f>
        <v/>
      </c>
      <c r="D2538" t="str">
        <f>IFERROR(VLOOKUP(tbEscolas[[#This Row],[COD ETPA]],tbEtapas[],2,FALSE),"")</f>
        <v/>
      </c>
      <c r="E2538" t="str">
        <f>IFERROR(VLOOKUP(tbEscolas[[#This Row],[COD ETPA]],tbEtapas[],3,FALSE),"")</f>
        <v/>
      </c>
    </row>
    <row r="2539" spans="1:5" x14ac:dyDescent="0.25">
      <c r="A2539" t="str" cm="1">
        <f t="array" ref="A2539">IFERROR(INDEX(tbNucleo[ESCOLA],ROUNDUP(ROW(A2538)/TotalEtapas,0)),"")</f>
        <v/>
      </c>
      <c r="D2539" t="str">
        <f>IFERROR(VLOOKUP(tbEscolas[[#This Row],[COD ETPA]],tbEtapas[],2,FALSE),"")</f>
        <v/>
      </c>
      <c r="E2539" t="str">
        <f>IFERROR(VLOOKUP(tbEscolas[[#This Row],[COD ETPA]],tbEtapas[],3,FALSE),"")</f>
        <v/>
      </c>
    </row>
    <row r="2540" spans="1:5" x14ac:dyDescent="0.25">
      <c r="A2540" t="str" cm="1">
        <f t="array" ref="A2540">IFERROR(INDEX(tbNucleo[ESCOLA],ROUNDUP(ROW(A2539)/TotalEtapas,0)),"")</f>
        <v/>
      </c>
      <c r="D2540" t="str">
        <f>IFERROR(VLOOKUP(tbEscolas[[#This Row],[COD ETPA]],tbEtapas[],2,FALSE),"")</f>
        <v/>
      </c>
      <c r="E2540" t="str">
        <f>IFERROR(VLOOKUP(tbEscolas[[#This Row],[COD ETPA]],tbEtapas[],3,FALSE),"")</f>
        <v/>
      </c>
    </row>
    <row r="2541" spans="1:5" x14ac:dyDescent="0.25">
      <c r="A2541" t="str" cm="1">
        <f t="array" ref="A2541">IFERROR(INDEX(tbNucleo[ESCOLA],ROUNDUP(ROW(A2540)/TotalEtapas,0)),"")</f>
        <v/>
      </c>
      <c r="D2541" t="str">
        <f>IFERROR(VLOOKUP(tbEscolas[[#This Row],[COD ETPA]],tbEtapas[],2,FALSE),"")</f>
        <v/>
      </c>
      <c r="E2541" t="str">
        <f>IFERROR(VLOOKUP(tbEscolas[[#This Row],[COD ETPA]],tbEtapas[],3,FALSE),"")</f>
        <v/>
      </c>
    </row>
    <row r="2542" spans="1:5" x14ac:dyDescent="0.25">
      <c r="A2542" t="str" cm="1">
        <f t="array" ref="A2542">IFERROR(INDEX(tbNucleo[ESCOLA],ROUNDUP(ROW(A2541)/TotalEtapas,0)),"")</f>
        <v/>
      </c>
      <c r="D2542" t="str">
        <f>IFERROR(VLOOKUP(tbEscolas[[#This Row],[COD ETPA]],tbEtapas[],2,FALSE),"")</f>
        <v/>
      </c>
      <c r="E2542" t="str">
        <f>IFERROR(VLOOKUP(tbEscolas[[#This Row],[COD ETPA]],tbEtapas[],3,FALSE),"")</f>
        <v/>
      </c>
    </row>
    <row r="2543" spans="1:5" x14ac:dyDescent="0.25">
      <c r="A2543" t="str" cm="1">
        <f t="array" ref="A2543">IFERROR(INDEX(tbNucleo[ESCOLA],ROUNDUP(ROW(A2542)/TotalEtapas,0)),"")</f>
        <v/>
      </c>
      <c r="D2543" t="str">
        <f>IFERROR(VLOOKUP(tbEscolas[[#This Row],[COD ETPA]],tbEtapas[],2,FALSE),"")</f>
        <v/>
      </c>
      <c r="E2543" t="str">
        <f>IFERROR(VLOOKUP(tbEscolas[[#This Row],[COD ETPA]],tbEtapas[],3,FALSE),"")</f>
        <v/>
      </c>
    </row>
    <row r="2544" spans="1:5" x14ac:dyDescent="0.25">
      <c r="A2544" t="str" cm="1">
        <f t="array" ref="A2544">IFERROR(INDEX(tbNucleo[ESCOLA],ROUNDUP(ROW(A2543)/TotalEtapas,0)),"")</f>
        <v/>
      </c>
      <c r="D2544" t="str">
        <f>IFERROR(VLOOKUP(tbEscolas[[#This Row],[COD ETPA]],tbEtapas[],2,FALSE),"")</f>
        <v/>
      </c>
      <c r="E2544" t="str">
        <f>IFERROR(VLOOKUP(tbEscolas[[#This Row],[COD ETPA]],tbEtapas[],3,FALSE),"")</f>
        <v/>
      </c>
    </row>
    <row r="2545" spans="1:5" x14ac:dyDescent="0.25">
      <c r="A2545" t="str" cm="1">
        <f t="array" ref="A2545">IFERROR(INDEX(tbNucleo[ESCOLA],ROUNDUP(ROW(A2544)/TotalEtapas,0)),"")</f>
        <v/>
      </c>
      <c r="D2545" t="str">
        <f>IFERROR(VLOOKUP(tbEscolas[[#This Row],[COD ETPA]],tbEtapas[],2,FALSE),"")</f>
        <v/>
      </c>
      <c r="E2545" t="str">
        <f>IFERROR(VLOOKUP(tbEscolas[[#This Row],[COD ETPA]],tbEtapas[],3,FALSE),"")</f>
        <v/>
      </c>
    </row>
    <row r="2546" spans="1:5" x14ac:dyDescent="0.25">
      <c r="A2546" t="str" cm="1">
        <f t="array" ref="A2546">IFERROR(INDEX(tbNucleo[ESCOLA],ROUNDUP(ROW(A2545)/TotalEtapas,0)),"")</f>
        <v/>
      </c>
      <c r="D2546" t="str">
        <f>IFERROR(VLOOKUP(tbEscolas[[#This Row],[COD ETPA]],tbEtapas[],2,FALSE),"")</f>
        <v/>
      </c>
      <c r="E2546" t="str">
        <f>IFERROR(VLOOKUP(tbEscolas[[#This Row],[COD ETPA]],tbEtapas[],3,FALSE),"")</f>
        <v/>
      </c>
    </row>
    <row r="2547" spans="1:5" x14ac:dyDescent="0.25">
      <c r="A2547" t="str" cm="1">
        <f t="array" ref="A2547">IFERROR(INDEX(tbNucleo[ESCOLA],ROUNDUP(ROW(A2546)/TotalEtapas,0)),"")</f>
        <v/>
      </c>
      <c r="D2547" t="str">
        <f>IFERROR(VLOOKUP(tbEscolas[[#This Row],[COD ETPA]],tbEtapas[],2,FALSE),"")</f>
        <v/>
      </c>
      <c r="E2547" t="str">
        <f>IFERROR(VLOOKUP(tbEscolas[[#This Row],[COD ETPA]],tbEtapas[],3,FALSE),"")</f>
        <v/>
      </c>
    </row>
    <row r="2548" spans="1:5" x14ac:dyDescent="0.25">
      <c r="A2548" t="str" cm="1">
        <f t="array" ref="A2548">IFERROR(INDEX(tbNucleo[ESCOLA],ROUNDUP(ROW(A2547)/TotalEtapas,0)),"")</f>
        <v/>
      </c>
      <c r="D2548" t="str">
        <f>IFERROR(VLOOKUP(tbEscolas[[#This Row],[COD ETPA]],tbEtapas[],2,FALSE),"")</f>
        <v/>
      </c>
      <c r="E2548" t="str">
        <f>IFERROR(VLOOKUP(tbEscolas[[#This Row],[COD ETPA]],tbEtapas[],3,FALSE),"")</f>
        <v/>
      </c>
    </row>
    <row r="2549" spans="1:5" x14ac:dyDescent="0.25">
      <c r="A2549" t="str" cm="1">
        <f t="array" ref="A2549">IFERROR(INDEX(tbNucleo[ESCOLA],ROUNDUP(ROW(A2548)/TotalEtapas,0)),"")</f>
        <v/>
      </c>
      <c r="D2549" t="str">
        <f>IFERROR(VLOOKUP(tbEscolas[[#This Row],[COD ETPA]],tbEtapas[],2,FALSE),"")</f>
        <v/>
      </c>
      <c r="E2549" t="str">
        <f>IFERROR(VLOOKUP(tbEscolas[[#This Row],[COD ETPA]],tbEtapas[],3,FALSE),"")</f>
        <v/>
      </c>
    </row>
    <row r="2550" spans="1:5" x14ac:dyDescent="0.25">
      <c r="A2550" t="str" cm="1">
        <f t="array" ref="A2550">IFERROR(INDEX(tbNucleo[ESCOLA],ROUNDUP(ROW(A2549)/TotalEtapas,0)),"")</f>
        <v/>
      </c>
      <c r="D2550" t="str">
        <f>IFERROR(VLOOKUP(tbEscolas[[#This Row],[COD ETPA]],tbEtapas[],2,FALSE),"")</f>
        <v/>
      </c>
      <c r="E2550" t="str">
        <f>IFERROR(VLOOKUP(tbEscolas[[#This Row],[COD ETPA]],tbEtapas[],3,FALSE),"")</f>
        <v/>
      </c>
    </row>
    <row r="2551" spans="1:5" x14ac:dyDescent="0.25">
      <c r="A2551" t="str" cm="1">
        <f t="array" ref="A2551">IFERROR(INDEX(tbNucleo[ESCOLA],ROUNDUP(ROW(A2550)/TotalEtapas,0)),"")</f>
        <v/>
      </c>
      <c r="D2551" t="str">
        <f>IFERROR(VLOOKUP(tbEscolas[[#This Row],[COD ETPA]],tbEtapas[],2,FALSE),"")</f>
        <v/>
      </c>
      <c r="E2551" t="str">
        <f>IFERROR(VLOOKUP(tbEscolas[[#This Row],[COD ETPA]],tbEtapas[],3,FALSE),"")</f>
        <v/>
      </c>
    </row>
    <row r="2552" spans="1:5" x14ac:dyDescent="0.25">
      <c r="A2552" t="str" cm="1">
        <f t="array" ref="A2552">IFERROR(INDEX(tbNucleo[ESCOLA],ROUNDUP(ROW(A2551)/TotalEtapas,0)),"")</f>
        <v/>
      </c>
      <c r="D2552" t="str">
        <f>IFERROR(VLOOKUP(tbEscolas[[#This Row],[COD ETPA]],tbEtapas[],2,FALSE),"")</f>
        <v/>
      </c>
      <c r="E2552" t="str">
        <f>IFERROR(VLOOKUP(tbEscolas[[#This Row],[COD ETPA]],tbEtapas[],3,FALSE),"")</f>
        <v/>
      </c>
    </row>
    <row r="2553" spans="1:5" x14ac:dyDescent="0.25">
      <c r="A2553" t="str" cm="1">
        <f t="array" ref="A2553">IFERROR(INDEX(tbNucleo[ESCOLA],ROUNDUP(ROW(A2552)/TotalEtapas,0)),"")</f>
        <v/>
      </c>
      <c r="D2553" t="str">
        <f>IFERROR(VLOOKUP(tbEscolas[[#This Row],[COD ETPA]],tbEtapas[],2,FALSE),"")</f>
        <v/>
      </c>
      <c r="E2553" t="str">
        <f>IFERROR(VLOOKUP(tbEscolas[[#This Row],[COD ETPA]],tbEtapas[],3,FALSE),"")</f>
        <v/>
      </c>
    </row>
    <row r="2554" spans="1:5" x14ac:dyDescent="0.25">
      <c r="A2554" t="str" cm="1">
        <f t="array" ref="A2554">IFERROR(INDEX(tbNucleo[ESCOLA],ROUNDUP(ROW(A2553)/TotalEtapas,0)),"")</f>
        <v/>
      </c>
      <c r="D2554" t="str">
        <f>IFERROR(VLOOKUP(tbEscolas[[#This Row],[COD ETPA]],tbEtapas[],2,FALSE),"")</f>
        <v/>
      </c>
      <c r="E2554" t="str">
        <f>IFERROR(VLOOKUP(tbEscolas[[#This Row],[COD ETPA]],tbEtapas[],3,FALSE),"")</f>
        <v/>
      </c>
    </row>
    <row r="2555" spans="1:5" x14ac:dyDescent="0.25">
      <c r="A2555" t="str" cm="1">
        <f t="array" ref="A2555">IFERROR(INDEX(tbNucleo[ESCOLA],ROUNDUP(ROW(A2554)/TotalEtapas,0)),"")</f>
        <v/>
      </c>
      <c r="D2555" t="str">
        <f>IFERROR(VLOOKUP(tbEscolas[[#This Row],[COD ETPA]],tbEtapas[],2,FALSE),"")</f>
        <v/>
      </c>
      <c r="E2555" t="str">
        <f>IFERROR(VLOOKUP(tbEscolas[[#This Row],[COD ETPA]],tbEtapas[],3,FALSE),"")</f>
        <v/>
      </c>
    </row>
    <row r="2556" spans="1:5" x14ac:dyDescent="0.25">
      <c r="A2556" t="str" cm="1">
        <f t="array" ref="A2556">IFERROR(INDEX(tbNucleo[ESCOLA],ROUNDUP(ROW(A2555)/TotalEtapas,0)),"")</f>
        <v/>
      </c>
      <c r="D2556" t="str">
        <f>IFERROR(VLOOKUP(tbEscolas[[#This Row],[COD ETPA]],tbEtapas[],2,FALSE),"")</f>
        <v/>
      </c>
      <c r="E2556" t="str">
        <f>IFERROR(VLOOKUP(tbEscolas[[#This Row],[COD ETPA]],tbEtapas[],3,FALSE),"")</f>
        <v/>
      </c>
    </row>
    <row r="2557" spans="1:5" x14ac:dyDescent="0.25">
      <c r="A2557" t="str" cm="1">
        <f t="array" ref="A2557">IFERROR(INDEX(tbNucleo[ESCOLA],ROUNDUP(ROW(A2556)/TotalEtapas,0)),"")</f>
        <v/>
      </c>
      <c r="D2557" t="str">
        <f>IFERROR(VLOOKUP(tbEscolas[[#This Row],[COD ETPA]],tbEtapas[],2,FALSE),"")</f>
        <v/>
      </c>
      <c r="E2557" t="str">
        <f>IFERROR(VLOOKUP(tbEscolas[[#This Row],[COD ETPA]],tbEtapas[],3,FALSE),"")</f>
        <v/>
      </c>
    </row>
    <row r="2558" spans="1:5" x14ac:dyDescent="0.25">
      <c r="A2558" t="str" cm="1">
        <f t="array" ref="A2558">IFERROR(INDEX(tbNucleo[ESCOLA],ROUNDUP(ROW(A2557)/TotalEtapas,0)),"")</f>
        <v/>
      </c>
      <c r="D2558" t="str">
        <f>IFERROR(VLOOKUP(tbEscolas[[#This Row],[COD ETPA]],tbEtapas[],2,FALSE),"")</f>
        <v/>
      </c>
      <c r="E2558" t="str">
        <f>IFERROR(VLOOKUP(tbEscolas[[#This Row],[COD ETPA]],tbEtapas[],3,FALSE),"")</f>
        <v/>
      </c>
    </row>
    <row r="2559" spans="1:5" x14ac:dyDescent="0.25">
      <c r="A2559" t="str" cm="1">
        <f t="array" ref="A2559">IFERROR(INDEX(tbNucleo[ESCOLA],ROUNDUP(ROW(A2558)/TotalEtapas,0)),"")</f>
        <v/>
      </c>
      <c r="D2559" t="str">
        <f>IFERROR(VLOOKUP(tbEscolas[[#This Row],[COD ETPA]],tbEtapas[],2,FALSE),"")</f>
        <v/>
      </c>
      <c r="E2559" t="str">
        <f>IFERROR(VLOOKUP(tbEscolas[[#This Row],[COD ETPA]],tbEtapas[],3,FALSE),"")</f>
        <v/>
      </c>
    </row>
    <row r="2560" spans="1:5" x14ac:dyDescent="0.25">
      <c r="A2560" t="str" cm="1">
        <f t="array" ref="A2560">IFERROR(INDEX(tbNucleo[ESCOLA],ROUNDUP(ROW(A2559)/TotalEtapas,0)),"")</f>
        <v/>
      </c>
      <c r="D2560" t="str">
        <f>IFERROR(VLOOKUP(tbEscolas[[#This Row],[COD ETPA]],tbEtapas[],2,FALSE),"")</f>
        <v/>
      </c>
      <c r="E2560" t="str">
        <f>IFERROR(VLOOKUP(tbEscolas[[#This Row],[COD ETPA]],tbEtapas[],3,FALSE),"")</f>
        <v/>
      </c>
    </row>
    <row r="2561" spans="1:5" x14ac:dyDescent="0.25">
      <c r="A2561" t="str" cm="1">
        <f t="array" ref="A2561">IFERROR(INDEX(tbNucleo[ESCOLA],ROUNDUP(ROW(A2560)/TotalEtapas,0)),"")</f>
        <v/>
      </c>
      <c r="D2561" t="str">
        <f>IFERROR(VLOOKUP(tbEscolas[[#This Row],[COD ETPA]],tbEtapas[],2,FALSE),"")</f>
        <v/>
      </c>
      <c r="E2561" t="str">
        <f>IFERROR(VLOOKUP(tbEscolas[[#This Row],[COD ETPA]],tbEtapas[],3,FALSE),"")</f>
        <v/>
      </c>
    </row>
    <row r="2562" spans="1:5" x14ac:dyDescent="0.25">
      <c r="A2562" t="str" cm="1">
        <f t="array" ref="A2562">IFERROR(INDEX(tbNucleo[ESCOLA],ROUNDUP(ROW(A2561)/TotalEtapas,0)),"")</f>
        <v/>
      </c>
      <c r="D2562" t="str">
        <f>IFERROR(VLOOKUP(tbEscolas[[#This Row],[COD ETPA]],tbEtapas[],2,FALSE),"")</f>
        <v/>
      </c>
      <c r="E2562" t="str">
        <f>IFERROR(VLOOKUP(tbEscolas[[#This Row],[COD ETPA]],tbEtapas[],3,FALSE),"")</f>
        <v/>
      </c>
    </row>
    <row r="2563" spans="1:5" x14ac:dyDescent="0.25">
      <c r="A2563" t="str" cm="1">
        <f t="array" ref="A2563">IFERROR(INDEX(tbNucleo[ESCOLA],ROUNDUP(ROW(A2562)/TotalEtapas,0)),"")</f>
        <v/>
      </c>
      <c r="D2563" t="str">
        <f>IFERROR(VLOOKUP(tbEscolas[[#This Row],[COD ETPA]],tbEtapas[],2,FALSE),"")</f>
        <v/>
      </c>
      <c r="E2563" t="str">
        <f>IFERROR(VLOOKUP(tbEscolas[[#This Row],[COD ETPA]],tbEtapas[],3,FALSE),"")</f>
        <v/>
      </c>
    </row>
    <row r="2564" spans="1:5" x14ac:dyDescent="0.25">
      <c r="A2564" t="str" cm="1">
        <f t="array" ref="A2564">IFERROR(INDEX(tbNucleo[ESCOLA],ROUNDUP(ROW(A2563)/TotalEtapas,0)),"")</f>
        <v/>
      </c>
      <c r="D2564" t="str">
        <f>IFERROR(VLOOKUP(tbEscolas[[#This Row],[COD ETPA]],tbEtapas[],2,FALSE),"")</f>
        <v/>
      </c>
      <c r="E2564" t="str">
        <f>IFERROR(VLOOKUP(tbEscolas[[#This Row],[COD ETPA]],tbEtapas[],3,FALSE),"")</f>
        <v/>
      </c>
    </row>
    <row r="2565" spans="1:5" x14ac:dyDescent="0.25">
      <c r="A2565" t="str" cm="1">
        <f t="array" ref="A2565">IFERROR(INDEX(tbNucleo[ESCOLA],ROUNDUP(ROW(A2564)/TotalEtapas,0)),"")</f>
        <v/>
      </c>
      <c r="D2565" t="str">
        <f>IFERROR(VLOOKUP(tbEscolas[[#This Row],[COD ETPA]],tbEtapas[],2,FALSE),"")</f>
        <v/>
      </c>
      <c r="E2565" t="str">
        <f>IFERROR(VLOOKUP(tbEscolas[[#This Row],[COD ETPA]],tbEtapas[],3,FALSE),"")</f>
        <v/>
      </c>
    </row>
    <row r="2566" spans="1:5" x14ac:dyDescent="0.25">
      <c r="A2566" t="str" cm="1">
        <f t="array" ref="A2566">IFERROR(INDEX(tbNucleo[ESCOLA],ROUNDUP(ROW(A2565)/TotalEtapas,0)),"")</f>
        <v/>
      </c>
      <c r="D2566" t="str">
        <f>IFERROR(VLOOKUP(tbEscolas[[#This Row],[COD ETPA]],tbEtapas[],2,FALSE),"")</f>
        <v/>
      </c>
      <c r="E2566" t="str">
        <f>IFERROR(VLOOKUP(tbEscolas[[#This Row],[COD ETPA]],tbEtapas[],3,FALSE),"")</f>
        <v/>
      </c>
    </row>
    <row r="2567" spans="1:5" x14ac:dyDescent="0.25">
      <c r="A2567" t="str" cm="1">
        <f t="array" ref="A2567">IFERROR(INDEX(tbNucleo[ESCOLA],ROUNDUP(ROW(A2566)/TotalEtapas,0)),"")</f>
        <v/>
      </c>
      <c r="D2567" t="str">
        <f>IFERROR(VLOOKUP(tbEscolas[[#This Row],[COD ETPA]],tbEtapas[],2,FALSE),"")</f>
        <v/>
      </c>
      <c r="E2567" t="str">
        <f>IFERROR(VLOOKUP(tbEscolas[[#This Row],[COD ETPA]],tbEtapas[],3,FALSE),"")</f>
        <v/>
      </c>
    </row>
    <row r="2568" spans="1:5" x14ac:dyDescent="0.25">
      <c r="A2568" t="str" cm="1">
        <f t="array" ref="A2568">IFERROR(INDEX(tbNucleo[ESCOLA],ROUNDUP(ROW(A2567)/TotalEtapas,0)),"")</f>
        <v/>
      </c>
      <c r="D2568" t="str">
        <f>IFERROR(VLOOKUP(tbEscolas[[#This Row],[COD ETPA]],tbEtapas[],2,FALSE),"")</f>
        <v/>
      </c>
      <c r="E2568" t="str">
        <f>IFERROR(VLOOKUP(tbEscolas[[#This Row],[COD ETPA]],tbEtapas[],3,FALSE),"")</f>
        <v/>
      </c>
    </row>
    <row r="2569" spans="1:5" x14ac:dyDescent="0.25">
      <c r="A2569" t="str" cm="1">
        <f t="array" ref="A2569">IFERROR(INDEX(tbNucleo[ESCOLA],ROUNDUP(ROW(A2568)/TotalEtapas,0)),"")</f>
        <v/>
      </c>
      <c r="D2569" t="str">
        <f>IFERROR(VLOOKUP(tbEscolas[[#This Row],[COD ETPA]],tbEtapas[],2,FALSE),"")</f>
        <v/>
      </c>
      <c r="E2569" t="str">
        <f>IFERROR(VLOOKUP(tbEscolas[[#This Row],[COD ETPA]],tbEtapas[],3,FALSE),"")</f>
        <v/>
      </c>
    </row>
    <row r="2570" spans="1:5" x14ac:dyDescent="0.25">
      <c r="A2570" t="str" cm="1">
        <f t="array" ref="A2570">IFERROR(INDEX(tbNucleo[ESCOLA],ROUNDUP(ROW(A2569)/TotalEtapas,0)),"")</f>
        <v/>
      </c>
      <c r="D2570" t="str">
        <f>IFERROR(VLOOKUP(tbEscolas[[#This Row],[COD ETPA]],tbEtapas[],2,FALSE),"")</f>
        <v/>
      </c>
      <c r="E2570" t="str">
        <f>IFERROR(VLOOKUP(tbEscolas[[#This Row],[COD ETPA]],tbEtapas[],3,FALSE),"")</f>
        <v/>
      </c>
    </row>
    <row r="2571" spans="1:5" x14ac:dyDescent="0.25">
      <c r="A2571" t="str" cm="1">
        <f t="array" ref="A2571">IFERROR(INDEX(tbNucleo[ESCOLA],ROUNDUP(ROW(A2570)/TotalEtapas,0)),"")</f>
        <v/>
      </c>
      <c r="D2571" t="str">
        <f>IFERROR(VLOOKUP(tbEscolas[[#This Row],[COD ETPA]],tbEtapas[],2,FALSE),"")</f>
        <v/>
      </c>
      <c r="E2571" t="str">
        <f>IFERROR(VLOOKUP(tbEscolas[[#This Row],[COD ETPA]],tbEtapas[],3,FALSE),"")</f>
        <v/>
      </c>
    </row>
    <row r="2572" spans="1:5" x14ac:dyDescent="0.25">
      <c r="A2572" t="str" cm="1">
        <f t="array" ref="A2572">IFERROR(INDEX(tbNucleo[ESCOLA],ROUNDUP(ROW(A2571)/TotalEtapas,0)),"")</f>
        <v/>
      </c>
      <c r="D2572" t="str">
        <f>IFERROR(VLOOKUP(tbEscolas[[#This Row],[COD ETPA]],tbEtapas[],2,FALSE),"")</f>
        <v/>
      </c>
      <c r="E2572" t="str">
        <f>IFERROR(VLOOKUP(tbEscolas[[#This Row],[COD ETPA]],tbEtapas[],3,FALSE),"")</f>
        <v/>
      </c>
    </row>
    <row r="2573" spans="1:5" x14ac:dyDescent="0.25">
      <c r="A2573" t="str" cm="1">
        <f t="array" ref="A2573">IFERROR(INDEX(tbNucleo[ESCOLA],ROUNDUP(ROW(A2572)/TotalEtapas,0)),"")</f>
        <v/>
      </c>
      <c r="D2573" t="str">
        <f>IFERROR(VLOOKUP(tbEscolas[[#This Row],[COD ETPA]],tbEtapas[],2,FALSE),"")</f>
        <v/>
      </c>
      <c r="E2573" t="str">
        <f>IFERROR(VLOOKUP(tbEscolas[[#This Row],[COD ETPA]],tbEtapas[],3,FALSE),"")</f>
        <v/>
      </c>
    </row>
    <row r="2574" spans="1:5" x14ac:dyDescent="0.25">
      <c r="A2574" t="str" cm="1">
        <f t="array" ref="A2574">IFERROR(INDEX(tbNucleo[ESCOLA],ROUNDUP(ROW(A2573)/TotalEtapas,0)),"")</f>
        <v/>
      </c>
      <c r="D2574" t="str">
        <f>IFERROR(VLOOKUP(tbEscolas[[#This Row],[COD ETPA]],tbEtapas[],2,FALSE),"")</f>
        <v/>
      </c>
      <c r="E2574" t="str">
        <f>IFERROR(VLOOKUP(tbEscolas[[#This Row],[COD ETPA]],tbEtapas[],3,FALSE),"")</f>
        <v/>
      </c>
    </row>
    <row r="2575" spans="1:5" x14ac:dyDescent="0.25">
      <c r="A2575" t="str" cm="1">
        <f t="array" ref="A2575">IFERROR(INDEX(tbNucleo[ESCOLA],ROUNDUP(ROW(A2574)/TotalEtapas,0)),"")</f>
        <v/>
      </c>
      <c r="D2575" t="str">
        <f>IFERROR(VLOOKUP(tbEscolas[[#This Row],[COD ETPA]],tbEtapas[],2,FALSE),"")</f>
        <v/>
      </c>
      <c r="E2575" t="str">
        <f>IFERROR(VLOOKUP(tbEscolas[[#This Row],[COD ETPA]],tbEtapas[],3,FALSE),"")</f>
        <v/>
      </c>
    </row>
    <row r="2576" spans="1:5" x14ac:dyDescent="0.25">
      <c r="A2576" t="str" cm="1">
        <f t="array" ref="A2576">IFERROR(INDEX(tbNucleo[ESCOLA],ROUNDUP(ROW(A2575)/TotalEtapas,0)),"")</f>
        <v/>
      </c>
      <c r="D2576" t="str">
        <f>IFERROR(VLOOKUP(tbEscolas[[#This Row],[COD ETPA]],tbEtapas[],2,FALSE),"")</f>
        <v/>
      </c>
      <c r="E2576" t="str">
        <f>IFERROR(VLOOKUP(tbEscolas[[#This Row],[COD ETPA]],tbEtapas[],3,FALSE),"")</f>
        <v/>
      </c>
    </row>
    <row r="2577" spans="1:5" x14ac:dyDescent="0.25">
      <c r="A2577" t="str" cm="1">
        <f t="array" ref="A2577">IFERROR(INDEX(tbNucleo[ESCOLA],ROUNDUP(ROW(A2576)/TotalEtapas,0)),"")</f>
        <v/>
      </c>
      <c r="D2577" t="str">
        <f>IFERROR(VLOOKUP(tbEscolas[[#This Row],[COD ETPA]],tbEtapas[],2,FALSE),"")</f>
        <v/>
      </c>
      <c r="E2577" t="str">
        <f>IFERROR(VLOOKUP(tbEscolas[[#This Row],[COD ETPA]],tbEtapas[],3,FALSE),"")</f>
        <v/>
      </c>
    </row>
    <row r="2578" spans="1:5" x14ac:dyDescent="0.25">
      <c r="A2578" t="str" cm="1">
        <f t="array" ref="A2578">IFERROR(INDEX(tbNucleo[ESCOLA],ROUNDUP(ROW(A2577)/TotalEtapas,0)),"")</f>
        <v/>
      </c>
      <c r="D2578" t="str">
        <f>IFERROR(VLOOKUP(tbEscolas[[#This Row],[COD ETPA]],tbEtapas[],2,FALSE),"")</f>
        <v/>
      </c>
      <c r="E2578" t="str">
        <f>IFERROR(VLOOKUP(tbEscolas[[#This Row],[COD ETPA]],tbEtapas[],3,FALSE),"")</f>
        <v/>
      </c>
    </row>
    <row r="2579" spans="1:5" x14ac:dyDescent="0.25">
      <c r="A2579" t="str" cm="1">
        <f t="array" ref="A2579">IFERROR(INDEX(tbNucleo[ESCOLA],ROUNDUP(ROW(A2578)/TotalEtapas,0)),"")</f>
        <v/>
      </c>
      <c r="D2579" t="str">
        <f>IFERROR(VLOOKUP(tbEscolas[[#This Row],[COD ETPA]],tbEtapas[],2,FALSE),"")</f>
        <v/>
      </c>
      <c r="E2579" t="str">
        <f>IFERROR(VLOOKUP(tbEscolas[[#This Row],[COD ETPA]],tbEtapas[],3,FALSE),"")</f>
        <v/>
      </c>
    </row>
    <row r="2580" spans="1:5" x14ac:dyDescent="0.25">
      <c r="A2580" t="str" cm="1">
        <f t="array" ref="A2580">IFERROR(INDEX(tbNucleo[ESCOLA],ROUNDUP(ROW(A2579)/TotalEtapas,0)),"")</f>
        <v/>
      </c>
      <c r="D2580" t="str">
        <f>IFERROR(VLOOKUP(tbEscolas[[#This Row],[COD ETPA]],tbEtapas[],2,FALSE),"")</f>
        <v/>
      </c>
      <c r="E2580" t="str">
        <f>IFERROR(VLOOKUP(tbEscolas[[#This Row],[COD ETPA]],tbEtapas[],3,FALSE),"")</f>
        <v/>
      </c>
    </row>
    <row r="2581" spans="1:5" x14ac:dyDescent="0.25">
      <c r="A2581" t="str" cm="1">
        <f t="array" ref="A2581">IFERROR(INDEX(tbNucleo[ESCOLA],ROUNDUP(ROW(A2580)/TotalEtapas,0)),"")</f>
        <v/>
      </c>
      <c r="D2581" t="str">
        <f>IFERROR(VLOOKUP(tbEscolas[[#This Row],[COD ETPA]],tbEtapas[],2,FALSE),"")</f>
        <v/>
      </c>
      <c r="E2581" t="str">
        <f>IFERROR(VLOOKUP(tbEscolas[[#This Row],[COD ETPA]],tbEtapas[],3,FALSE),"")</f>
        <v/>
      </c>
    </row>
    <row r="2582" spans="1:5" x14ac:dyDescent="0.25">
      <c r="A2582" t="str" cm="1">
        <f t="array" ref="A2582">IFERROR(INDEX(tbNucleo[ESCOLA],ROUNDUP(ROW(A2581)/TotalEtapas,0)),"")</f>
        <v/>
      </c>
      <c r="D2582" t="str">
        <f>IFERROR(VLOOKUP(tbEscolas[[#This Row],[COD ETPA]],tbEtapas[],2,FALSE),"")</f>
        <v/>
      </c>
      <c r="E2582" t="str">
        <f>IFERROR(VLOOKUP(tbEscolas[[#This Row],[COD ETPA]],tbEtapas[],3,FALSE),"")</f>
        <v/>
      </c>
    </row>
    <row r="2583" spans="1:5" x14ac:dyDescent="0.25">
      <c r="A2583" t="str" cm="1">
        <f t="array" ref="A2583">IFERROR(INDEX(tbNucleo[ESCOLA],ROUNDUP(ROW(A2582)/TotalEtapas,0)),"")</f>
        <v/>
      </c>
      <c r="D2583" t="str">
        <f>IFERROR(VLOOKUP(tbEscolas[[#This Row],[COD ETPA]],tbEtapas[],2,FALSE),"")</f>
        <v/>
      </c>
      <c r="E2583" t="str">
        <f>IFERROR(VLOOKUP(tbEscolas[[#This Row],[COD ETPA]],tbEtapas[],3,FALSE),"")</f>
        <v/>
      </c>
    </row>
    <row r="2584" spans="1:5" x14ac:dyDescent="0.25">
      <c r="A2584" t="str" cm="1">
        <f t="array" ref="A2584">IFERROR(INDEX(tbNucleo[ESCOLA],ROUNDUP(ROW(A2583)/TotalEtapas,0)),"")</f>
        <v/>
      </c>
      <c r="D2584" t="str">
        <f>IFERROR(VLOOKUP(tbEscolas[[#This Row],[COD ETPA]],tbEtapas[],2,FALSE),"")</f>
        <v/>
      </c>
      <c r="E2584" t="str">
        <f>IFERROR(VLOOKUP(tbEscolas[[#This Row],[COD ETPA]],tbEtapas[],3,FALSE),"")</f>
        <v/>
      </c>
    </row>
    <row r="2585" spans="1:5" x14ac:dyDescent="0.25">
      <c r="A2585" t="str" cm="1">
        <f t="array" ref="A2585">IFERROR(INDEX(tbNucleo[ESCOLA],ROUNDUP(ROW(A2584)/TotalEtapas,0)),"")</f>
        <v/>
      </c>
      <c r="D2585" t="str">
        <f>IFERROR(VLOOKUP(tbEscolas[[#This Row],[COD ETPA]],tbEtapas[],2,FALSE),"")</f>
        <v/>
      </c>
      <c r="E2585" t="str">
        <f>IFERROR(VLOOKUP(tbEscolas[[#This Row],[COD ETPA]],tbEtapas[],3,FALSE),"")</f>
        <v/>
      </c>
    </row>
    <row r="2586" spans="1:5" x14ac:dyDescent="0.25">
      <c r="A2586" t="str" cm="1">
        <f t="array" ref="A2586">IFERROR(INDEX(tbNucleo[ESCOLA],ROUNDUP(ROW(A2585)/TotalEtapas,0)),"")</f>
        <v/>
      </c>
      <c r="D2586" t="str">
        <f>IFERROR(VLOOKUP(tbEscolas[[#This Row],[COD ETPA]],tbEtapas[],2,FALSE),"")</f>
        <v/>
      </c>
      <c r="E2586" t="str">
        <f>IFERROR(VLOOKUP(tbEscolas[[#This Row],[COD ETPA]],tbEtapas[],3,FALSE),"")</f>
        <v/>
      </c>
    </row>
    <row r="2587" spans="1:5" x14ac:dyDescent="0.25">
      <c r="A2587" t="str" cm="1">
        <f t="array" ref="A2587">IFERROR(INDEX(tbNucleo[ESCOLA],ROUNDUP(ROW(A2586)/TotalEtapas,0)),"")</f>
        <v/>
      </c>
      <c r="D2587" t="str">
        <f>IFERROR(VLOOKUP(tbEscolas[[#This Row],[COD ETPA]],tbEtapas[],2,FALSE),"")</f>
        <v/>
      </c>
      <c r="E2587" t="str">
        <f>IFERROR(VLOOKUP(tbEscolas[[#This Row],[COD ETPA]],tbEtapas[],3,FALSE),"")</f>
        <v/>
      </c>
    </row>
    <row r="2588" spans="1:5" x14ac:dyDescent="0.25">
      <c r="A2588" t="str" cm="1">
        <f t="array" ref="A2588">IFERROR(INDEX(tbNucleo[ESCOLA],ROUNDUP(ROW(A2587)/TotalEtapas,0)),"")</f>
        <v/>
      </c>
      <c r="D2588" t="str">
        <f>IFERROR(VLOOKUP(tbEscolas[[#This Row],[COD ETPA]],tbEtapas[],2,FALSE),"")</f>
        <v/>
      </c>
      <c r="E2588" t="str">
        <f>IFERROR(VLOOKUP(tbEscolas[[#This Row],[COD ETPA]],tbEtapas[],3,FALSE),"")</f>
        <v/>
      </c>
    </row>
    <row r="2589" spans="1:5" x14ac:dyDescent="0.25">
      <c r="A2589" t="str" cm="1">
        <f t="array" ref="A2589">IFERROR(INDEX(tbNucleo[ESCOLA],ROUNDUP(ROW(A2588)/TotalEtapas,0)),"")</f>
        <v/>
      </c>
      <c r="D2589" t="str">
        <f>IFERROR(VLOOKUP(tbEscolas[[#This Row],[COD ETPA]],tbEtapas[],2,FALSE),"")</f>
        <v/>
      </c>
      <c r="E2589" t="str">
        <f>IFERROR(VLOOKUP(tbEscolas[[#This Row],[COD ETPA]],tbEtapas[],3,FALSE),"")</f>
        <v/>
      </c>
    </row>
    <row r="2590" spans="1:5" x14ac:dyDescent="0.25">
      <c r="A2590" t="str" cm="1">
        <f t="array" ref="A2590">IFERROR(INDEX(tbNucleo[ESCOLA],ROUNDUP(ROW(A2589)/TotalEtapas,0)),"")</f>
        <v/>
      </c>
      <c r="D2590" t="str">
        <f>IFERROR(VLOOKUP(tbEscolas[[#This Row],[COD ETPA]],tbEtapas[],2,FALSE),"")</f>
        <v/>
      </c>
      <c r="E2590" t="str">
        <f>IFERROR(VLOOKUP(tbEscolas[[#This Row],[COD ETPA]],tbEtapas[],3,FALSE),"")</f>
        <v/>
      </c>
    </row>
    <row r="2591" spans="1:5" x14ac:dyDescent="0.25">
      <c r="A2591" t="str" cm="1">
        <f t="array" ref="A2591">IFERROR(INDEX(tbNucleo[ESCOLA],ROUNDUP(ROW(A2590)/TotalEtapas,0)),"")</f>
        <v/>
      </c>
      <c r="D2591" t="str">
        <f>IFERROR(VLOOKUP(tbEscolas[[#This Row],[COD ETPA]],tbEtapas[],2,FALSE),"")</f>
        <v/>
      </c>
      <c r="E2591" t="str">
        <f>IFERROR(VLOOKUP(tbEscolas[[#This Row],[COD ETPA]],tbEtapas[],3,FALSE),"")</f>
        <v/>
      </c>
    </row>
    <row r="2592" spans="1:5" x14ac:dyDescent="0.25">
      <c r="A2592" t="str" cm="1">
        <f t="array" ref="A2592">IFERROR(INDEX(tbNucleo[ESCOLA],ROUNDUP(ROW(A2591)/TotalEtapas,0)),"")</f>
        <v/>
      </c>
      <c r="D2592" t="str">
        <f>IFERROR(VLOOKUP(tbEscolas[[#This Row],[COD ETPA]],tbEtapas[],2,FALSE),"")</f>
        <v/>
      </c>
      <c r="E2592" t="str">
        <f>IFERROR(VLOOKUP(tbEscolas[[#This Row],[COD ETPA]],tbEtapas[],3,FALSE),"")</f>
        <v/>
      </c>
    </row>
    <row r="2593" spans="1:5" x14ac:dyDescent="0.25">
      <c r="A2593" t="str" cm="1">
        <f t="array" ref="A2593">IFERROR(INDEX(tbNucleo[ESCOLA],ROUNDUP(ROW(A2592)/TotalEtapas,0)),"")</f>
        <v/>
      </c>
      <c r="D2593" t="str">
        <f>IFERROR(VLOOKUP(tbEscolas[[#This Row],[COD ETPA]],tbEtapas[],2,FALSE),"")</f>
        <v/>
      </c>
      <c r="E2593" t="str">
        <f>IFERROR(VLOOKUP(tbEscolas[[#This Row],[COD ETPA]],tbEtapas[],3,FALSE),"")</f>
        <v/>
      </c>
    </row>
    <row r="2594" spans="1:5" x14ac:dyDescent="0.25">
      <c r="A2594" t="str" cm="1">
        <f t="array" ref="A2594">IFERROR(INDEX(tbNucleo[ESCOLA],ROUNDUP(ROW(A2593)/TotalEtapas,0)),"")</f>
        <v/>
      </c>
      <c r="D2594" t="str">
        <f>IFERROR(VLOOKUP(tbEscolas[[#This Row],[COD ETPA]],tbEtapas[],2,FALSE),"")</f>
        <v/>
      </c>
      <c r="E2594" t="str">
        <f>IFERROR(VLOOKUP(tbEscolas[[#This Row],[COD ETPA]],tbEtapas[],3,FALSE),"")</f>
        <v/>
      </c>
    </row>
    <row r="2595" spans="1:5" x14ac:dyDescent="0.25">
      <c r="A2595" t="str" cm="1">
        <f t="array" ref="A2595">IFERROR(INDEX(tbNucleo[ESCOLA],ROUNDUP(ROW(A2594)/TotalEtapas,0)),"")</f>
        <v/>
      </c>
      <c r="D2595" t="str">
        <f>IFERROR(VLOOKUP(tbEscolas[[#This Row],[COD ETPA]],tbEtapas[],2,FALSE),"")</f>
        <v/>
      </c>
      <c r="E2595" t="str">
        <f>IFERROR(VLOOKUP(tbEscolas[[#This Row],[COD ETPA]],tbEtapas[],3,FALSE),"")</f>
        <v/>
      </c>
    </row>
    <row r="2596" spans="1:5" x14ac:dyDescent="0.25">
      <c r="A2596" t="str" cm="1">
        <f t="array" ref="A2596">IFERROR(INDEX(tbNucleo[ESCOLA],ROUNDUP(ROW(A2595)/TotalEtapas,0)),"")</f>
        <v/>
      </c>
      <c r="D2596" t="str">
        <f>IFERROR(VLOOKUP(tbEscolas[[#This Row],[COD ETPA]],tbEtapas[],2,FALSE),"")</f>
        <v/>
      </c>
      <c r="E2596" t="str">
        <f>IFERROR(VLOOKUP(tbEscolas[[#This Row],[COD ETPA]],tbEtapas[],3,FALSE),"")</f>
        <v/>
      </c>
    </row>
    <row r="2597" spans="1:5" x14ac:dyDescent="0.25">
      <c r="A2597" t="str" cm="1">
        <f t="array" ref="A2597">IFERROR(INDEX(tbNucleo[ESCOLA],ROUNDUP(ROW(A2596)/TotalEtapas,0)),"")</f>
        <v/>
      </c>
      <c r="D2597" t="str">
        <f>IFERROR(VLOOKUP(tbEscolas[[#This Row],[COD ETPA]],tbEtapas[],2,FALSE),"")</f>
        <v/>
      </c>
      <c r="E2597" t="str">
        <f>IFERROR(VLOOKUP(tbEscolas[[#This Row],[COD ETPA]],tbEtapas[],3,FALSE),"")</f>
        <v/>
      </c>
    </row>
    <row r="2598" spans="1:5" x14ac:dyDescent="0.25">
      <c r="A2598" t="str" cm="1">
        <f t="array" ref="A2598">IFERROR(INDEX(tbNucleo[ESCOLA],ROUNDUP(ROW(A2597)/TotalEtapas,0)),"")</f>
        <v/>
      </c>
      <c r="D2598" t="str">
        <f>IFERROR(VLOOKUP(tbEscolas[[#This Row],[COD ETPA]],tbEtapas[],2,FALSE),"")</f>
        <v/>
      </c>
      <c r="E2598" t="str">
        <f>IFERROR(VLOOKUP(tbEscolas[[#This Row],[COD ETPA]],tbEtapas[],3,FALSE),"")</f>
        <v/>
      </c>
    </row>
    <row r="2599" spans="1:5" x14ac:dyDescent="0.25">
      <c r="A2599" t="str" cm="1">
        <f t="array" ref="A2599">IFERROR(INDEX(tbNucleo[ESCOLA],ROUNDUP(ROW(A2598)/TotalEtapas,0)),"")</f>
        <v/>
      </c>
      <c r="D2599" t="str">
        <f>IFERROR(VLOOKUP(tbEscolas[[#This Row],[COD ETPA]],tbEtapas[],2,FALSE),"")</f>
        <v/>
      </c>
      <c r="E2599" t="str">
        <f>IFERROR(VLOOKUP(tbEscolas[[#This Row],[COD ETPA]],tbEtapas[],3,FALSE),"")</f>
        <v/>
      </c>
    </row>
    <row r="2600" spans="1:5" x14ac:dyDescent="0.25">
      <c r="A2600" t="str" cm="1">
        <f t="array" ref="A2600">IFERROR(INDEX(tbNucleo[ESCOLA],ROUNDUP(ROW(A2599)/TotalEtapas,0)),"")</f>
        <v/>
      </c>
      <c r="D2600" t="str">
        <f>IFERROR(VLOOKUP(tbEscolas[[#This Row],[COD ETPA]],tbEtapas[],2,FALSE),"")</f>
        <v/>
      </c>
      <c r="E2600" t="str">
        <f>IFERROR(VLOOKUP(tbEscolas[[#This Row],[COD ETPA]],tbEtapas[],3,FALSE),"")</f>
        <v/>
      </c>
    </row>
    <row r="2601" spans="1:5" x14ac:dyDescent="0.25">
      <c r="A2601" t="str" cm="1">
        <f t="array" ref="A2601">IFERROR(INDEX(tbNucleo[ESCOLA],ROUNDUP(ROW(A2600)/TotalEtapas,0)),"")</f>
        <v/>
      </c>
      <c r="D2601" t="str">
        <f>IFERROR(VLOOKUP(tbEscolas[[#This Row],[COD ETPA]],tbEtapas[],2,FALSE),"")</f>
        <v/>
      </c>
      <c r="E2601" t="str">
        <f>IFERROR(VLOOKUP(tbEscolas[[#This Row],[COD ETPA]],tbEtapas[],3,FALSE),"")</f>
        <v/>
      </c>
    </row>
    <row r="2602" spans="1:5" x14ac:dyDescent="0.25">
      <c r="A2602" t="str" cm="1">
        <f t="array" ref="A2602">IFERROR(INDEX(tbNucleo[ESCOLA],ROUNDUP(ROW(A2601)/TotalEtapas,0)),"")</f>
        <v/>
      </c>
      <c r="D2602" t="str">
        <f>IFERROR(VLOOKUP(tbEscolas[[#This Row],[COD ETPA]],tbEtapas[],2,FALSE),"")</f>
        <v/>
      </c>
      <c r="E2602" t="str">
        <f>IFERROR(VLOOKUP(tbEscolas[[#This Row],[COD ETPA]],tbEtapas[],3,FALSE),"")</f>
        <v/>
      </c>
    </row>
    <row r="2603" spans="1:5" x14ac:dyDescent="0.25">
      <c r="A2603" t="str" cm="1">
        <f t="array" ref="A2603">IFERROR(INDEX(tbNucleo[ESCOLA],ROUNDUP(ROW(A2602)/TotalEtapas,0)),"")</f>
        <v/>
      </c>
      <c r="D2603" t="str">
        <f>IFERROR(VLOOKUP(tbEscolas[[#This Row],[COD ETPA]],tbEtapas[],2,FALSE),"")</f>
        <v/>
      </c>
      <c r="E2603" t="str">
        <f>IFERROR(VLOOKUP(tbEscolas[[#This Row],[COD ETPA]],tbEtapas[],3,FALSE),"")</f>
        <v/>
      </c>
    </row>
    <row r="2604" spans="1:5" x14ac:dyDescent="0.25">
      <c r="A2604" t="str" cm="1">
        <f t="array" ref="A2604">IFERROR(INDEX(tbNucleo[ESCOLA],ROUNDUP(ROW(A2603)/TotalEtapas,0)),"")</f>
        <v/>
      </c>
      <c r="D2604" t="str">
        <f>IFERROR(VLOOKUP(tbEscolas[[#This Row],[COD ETPA]],tbEtapas[],2,FALSE),"")</f>
        <v/>
      </c>
      <c r="E2604" t="str">
        <f>IFERROR(VLOOKUP(tbEscolas[[#This Row],[COD ETPA]],tbEtapas[],3,FALSE),"")</f>
        <v/>
      </c>
    </row>
    <row r="2605" spans="1:5" x14ac:dyDescent="0.25">
      <c r="A2605" t="str" cm="1">
        <f t="array" ref="A2605">IFERROR(INDEX(tbNucleo[ESCOLA],ROUNDUP(ROW(A2604)/TotalEtapas,0)),"")</f>
        <v/>
      </c>
      <c r="D2605" t="str">
        <f>IFERROR(VLOOKUP(tbEscolas[[#This Row],[COD ETPA]],tbEtapas[],2,FALSE),"")</f>
        <v/>
      </c>
      <c r="E2605" t="str">
        <f>IFERROR(VLOOKUP(tbEscolas[[#This Row],[COD ETPA]],tbEtapas[],3,FALSE),"")</f>
        <v/>
      </c>
    </row>
    <row r="2606" spans="1:5" x14ac:dyDescent="0.25">
      <c r="A2606" t="str" cm="1">
        <f t="array" ref="A2606">IFERROR(INDEX(tbNucleo[ESCOLA],ROUNDUP(ROW(A2605)/TotalEtapas,0)),"")</f>
        <v/>
      </c>
      <c r="D2606" t="str">
        <f>IFERROR(VLOOKUP(tbEscolas[[#This Row],[COD ETPA]],tbEtapas[],2,FALSE),"")</f>
        <v/>
      </c>
      <c r="E2606" t="str">
        <f>IFERROR(VLOOKUP(tbEscolas[[#This Row],[COD ETPA]],tbEtapas[],3,FALSE),"")</f>
        <v/>
      </c>
    </row>
    <row r="2607" spans="1:5" x14ac:dyDescent="0.25">
      <c r="A2607" t="str" cm="1">
        <f t="array" ref="A2607">IFERROR(INDEX(tbNucleo[ESCOLA],ROUNDUP(ROW(A2606)/TotalEtapas,0)),"")</f>
        <v/>
      </c>
      <c r="D2607" t="str">
        <f>IFERROR(VLOOKUP(tbEscolas[[#This Row],[COD ETPA]],tbEtapas[],2,FALSE),"")</f>
        <v/>
      </c>
      <c r="E2607" t="str">
        <f>IFERROR(VLOOKUP(tbEscolas[[#This Row],[COD ETPA]],tbEtapas[],3,FALSE),"")</f>
        <v/>
      </c>
    </row>
    <row r="2608" spans="1:5" x14ac:dyDescent="0.25">
      <c r="A2608" t="str" cm="1">
        <f t="array" ref="A2608">IFERROR(INDEX(tbNucleo[ESCOLA],ROUNDUP(ROW(A2607)/TotalEtapas,0)),"")</f>
        <v/>
      </c>
      <c r="D2608" t="str">
        <f>IFERROR(VLOOKUP(tbEscolas[[#This Row],[COD ETPA]],tbEtapas[],2,FALSE),"")</f>
        <v/>
      </c>
      <c r="E2608" t="str">
        <f>IFERROR(VLOOKUP(tbEscolas[[#This Row],[COD ETPA]],tbEtapas[],3,FALSE),"")</f>
        <v/>
      </c>
    </row>
    <row r="2609" spans="1:5" x14ac:dyDescent="0.25">
      <c r="A2609" t="str" cm="1">
        <f t="array" ref="A2609">IFERROR(INDEX(tbNucleo[ESCOLA],ROUNDUP(ROW(A2608)/TotalEtapas,0)),"")</f>
        <v/>
      </c>
      <c r="D2609" t="str">
        <f>IFERROR(VLOOKUP(tbEscolas[[#This Row],[COD ETPA]],tbEtapas[],2,FALSE),"")</f>
        <v/>
      </c>
      <c r="E2609" t="str">
        <f>IFERROR(VLOOKUP(tbEscolas[[#This Row],[COD ETPA]],tbEtapas[],3,FALSE),"")</f>
        <v/>
      </c>
    </row>
    <row r="2610" spans="1:5" x14ac:dyDescent="0.25">
      <c r="A2610" t="str" cm="1">
        <f t="array" ref="A2610">IFERROR(INDEX(tbNucleo[ESCOLA],ROUNDUP(ROW(A2609)/TotalEtapas,0)),"")</f>
        <v/>
      </c>
      <c r="D2610" t="str">
        <f>IFERROR(VLOOKUP(tbEscolas[[#This Row],[COD ETPA]],tbEtapas[],2,FALSE),"")</f>
        <v/>
      </c>
      <c r="E2610" t="str">
        <f>IFERROR(VLOOKUP(tbEscolas[[#This Row],[COD ETPA]],tbEtapas[],3,FALSE),"")</f>
        <v/>
      </c>
    </row>
    <row r="2611" spans="1:5" x14ac:dyDescent="0.25">
      <c r="A2611" t="str" cm="1">
        <f t="array" ref="A2611">IFERROR(INDEX(tbNucleo[ESCOLA],ROUNDUP(ROW(A2610)/TotalEtapas,0)),"")</f>
        <v/>
      </c>
      <c r="D2611" t="str">
        <f>IFERROR(VLOOKUP(tbEscolas[[#This Row],[COD ETPA]],tbEtapas[],2,FALSE),"")</f>
        <v/>
      </c>
      <c r="E2611" t="str">
        <f>IFERROR(VLOOKUP(tbEscolas[[#This Row],[COD ETPA]],tbEtapas[],3,FALSE),"")</f>
        <v/>
      </c>
    </row>
    <row r="2612" spans="1:5" x14ac:dyDescent="0.25">
      <c r="A2612" t="str" cm="1">
        <f t="array" ref="A2612">IFERROR(INDEX(tbNucleo[ESCOLA],ROUNDUP(ROW(A2611)/TotalEtapas,0)),"")</f>
        <v/>
      </c>
      <c r="D2612" t="str">
        <f>IFERROR(VLOOKUP(tbEscolas[[#This Row],[COD ETPA]],tbEtapas[],2,FALSE),"")</f>
        <v/>
      </c>
      <c r="E2612" t="str">
        <f>IFERROR(VLOOKUP(tbEscolas[[#This Row],[COD ETPA]],tbEtapas[],3,FALSE),"")</f>
        <v/>
      </c>
    </row>
    <row r="2613" spans="1:5" x14ac:dyDescent="0.25">
      <c r="A2613" t="str" cm="1">
        <f t="array" ref="A2613">IFERROR(INDEX(tbNucleo[ESCOLA],ROUNDUP(ROW(A2612)/TotalEtapas,0)),"")</f>
        <v/>
      </c>
      <c r="D2613" t="str">
        <f>IFERROR(VLOOKUP(tbEscolas[[#This Row],[COD ETPA]],tbEtapas[],2,FALSE),"")</f>
        <v/>
      </c>
      <c r="E2613" t="str">
        <f>IFERROR(VLOOKUP(tbEscolas[[#This Row],[COD ETPA]],tbEtapas[],3,FALSE),"")</f>
        <v/>
      </c>
    </row>
    <row r="2614" spans="1:5" x14ac:dyDescent="0.25">
      <c r="A2614" t="str" cm="1">
        <f t="array" ref="A2614">IFERROR(INDEX(tbNucleo[ESCOLA],ROUNDUP(ROW(A2613)/TotalEtapas,0)),"")</f>
        <v/>
      </c>
      <c r="D2614" t="str">
        <f>IFERROR(VLOOKUP(tbEscolas[[#This Row],[COD ETPA]],tbEtapas[],2,FALSE),"")</f>
        <v/>
      </c>
      <c r="E2614" t="str">
        <f>IFERROR(VLOOKUP(tbEscolas[[#This Row],[COD ETPA]],tbEtapas[],3,FALSE),"")</f>
        <v/>
      </c>
    </row>
    <row r="2615" spans="1:5" x14ac:dyDescent="0.25">
      <c r="A2615" t="str" cm="1">
        <f t="array" ref="A2615">IFERROR(INDEX(tbNucleo[ESCOLA],ROUNDUP(ROW(A2614)/TotalEtapas,0)),"")</f>
        <v/>
      </c>
      <c r="D2615" t="str">
        <f>IFERROR(VLOOKUP(tbEscolas[[#This Row],[COD ETPA]],tbEtapas[],2,FALSE),"")</f>
        <v/>
      </c>
      <c r="E2615" t="str">
        <f>IFERROR(VLOOKUP(tbEscolas[[#This Row],[COD ETPA]],tbEtapas[],3,FALSE),"")</f>
        <v/>
      </c>
    </row>
    <row r="2616" spans="1:5" x14ac:dyDescent="0.25">
      <c r="A2616" t="str" cm="1">
        <f t="array" ref="A2616">IFERROR(INDEX(tbNucleo[ESCOLA],ROUNDUP(ROW(A2615)/TotalEtapas,0)),"")</f>
        <v/>
      </c>
      <c r="D2616" t="str">
        <f>IFERROR(VLOOKUP(tbEscolas[[#This Row],[COD ETPA]],tbEtapas[],2,FALSE),"")</f>
        <v/>
      </c>
      <c r="E2616" t="str">
        <f>IFERROR(VLOOKUP(tbEscolas[[#This Row],[COD ETPA]],tbEtapas[],3,FALSE),"")</f>
        <v/>
      </c>
    </row>
    <row r="2617" spans="1:5" x14ac:dyDescent="0.25">
      <c r="A2617" t="str" cm="1">
        <f t="array" ref="A2617">IFERROR(INDEX(tbNucleo[ESCOLA],ROUNDUP(ROW(A2616)/TotalEtapas,0)),"")</f>
        <v/>
      </c>
      <c r="D2617" t="str">
        <f>IFERROR(VLOOKUP(tbEscolas[[#This Row],[COD ETPA]],tbEtapas[],2,FALSE),"")</f>
        <v/>
      </c>
      <c r="E2617" t="str">
        <f>IFERROR(VLOOKUP(tbEscolas[[#This Row],[COD ETPA]],tbEtapas[],3,FALSE),"")</f>
        <v/>
      </c>
    </row>
    <row r="2618" spans="1:5" x14ac:dyDescent="0.25">
      <c r="A2618" t="str" cm="1">
        <f t="array" ref="A2618">IFERROR(INDEX(tbNucleo[ESCOLA],ROUNDUP(ROW(A2617)/TotalEtapas,0)),"")</f>
        <v/>
      </c>
      <c r="D2618" t="str">
        <f>IFERROR(VLOOKUP(tbEscolas[[#This Row],[COD ETPA]],tbEtapas[],2,FALSE),"")</f>
        <v/>
      </c>
      <c r="E2618" t="str">
        <f>IFERROR(VLOOKUP(tbEscolas[[#This Row],[COD ETPA]],tbEtapas[],3,FALSE),"")</f>
        <v/>
      </c>
    </row>
    <row r="2619" spans="1:5" x14ac:dyDescent="0.25">
      <c r="A2619" t="str" cm="1">
        <f t="array" ref="A2619">IFERROR(INDEX(tbNucleo[ESCOLA],ROUNDUP(ROW(A2618)/TotalEtapas,0)),"")</f>
        <v/>
      </c>
      <c r="D2619" t="str">
        <f>IFERROR(VLOOKUP(tbEscolas[[#This Row],[COD ETPA]],tbEtapas[],2,FALSE),"")</f>
        <v/>
      </c>
      <c r="E2619" t="str">
        <f>IFERROR(VLOOKUP(tbEscolas[[#This Row],[COD ETPA]],tbEtapas[],3,FALSE),"")</f>
        <v/>
      </c>
    </row>
    <row r="2620" spans="1:5" x14ac:dyDescent="0.25">
      <c r="A2620" t="str" cm="1">
        <f t="array" ref="A2620">IFERROR(INDEX(tbNucleo[ESCOLA],ROUNDUP(ROW(A2619)/TotalEtapas,0)),"")</f>
        <v/>
      </c>
      <c r="D2620" t="str">
        <f>IFERROR(VLOOKUP(tbEscolas[[#This Row],[COD ETPA]],tbEtapas[],2,FALSE),"")</f>
        <v/>
      </c>
      <c r="E2620" t="str">
        <f>IFERROR(VLOOKUP(tbEscolas[[#This Row],[COD ETPA]],tbEtapas[],3,FALSE),"")</f>
        <v/>
      </c>
    </row>
    <row r="2621" spans="1:5" x14ac:dyDescent="0.25">
      <c r="A2621" t="str" cm="1">
        <f t="array" ref="A2621">IFERROR(INDEX(tbNucleo[ESCOLA],ROUNDUP(ROW(A2620)/TotalEtapas,0)),"")</f>
        <v/>
      </c>
      <c r="D2621" t="str">
        <f>IFERROR(VLOOKUP(tbEscolas[[#This Row],[COD ETPA]],tbEtapas[],2,FALSE),"")</f>
        <v/>
      </c>
      <c r="E2621" t="str">
        <f>IFERROR(VLOOKUP(tbEscolas[[#This Row],[COD ETPA]],tbEtapas[],3,FALSE),"")</f>
        <v/>
      </c>
    </row>
    <row r="2622" spans="1:5" x14ac:dyDescent="0.25">
      <c r="A2622" t="str" cm="1">
        <f t="array" ref="A2622">IFERROR(INDEX(tbNucleo[ESCOLA],ROUNDUP(ROW(A2621)/TotalEtapas,0)),"")</f>
        <v/>
      </c>
      <c r="D2622" t="str">
        <f>IFERROR(VLOOKUP(tbEscolas[[#This Row],[COD ETPA]],tbEtapas[],2,FALSE),"")</f>
        <v/>
      </c>
      <c r="E2622" t="str">
        <f>IFERROR(VLOOKUP(tbEscolas[[#This Row],[COD ETPA]],tbEtapas[],3,FALSE),"")</f>
        <v/>
      </c>
    </row>
    <row r="2623" spans="1:5" x14ac:dyDescent="0.25">
      <c r="A2623" t="str" cm="1">
        <f t="array" ref="A2623">IFERROR(INDEX(tbNucleo[ESCOLA],ROUNDUP(ROW(A2622)/TotalEtapas,0)),"")</f>
        <v/>
      </c>
      <c r="D2623" t="str">
        <f>IFERROR(VLOOKUP(tbEscolas[[#This Row],[COD ETPA]],tbEtapas[],2,FALSE),"")</f>
        <v/>
      </c>
      <c r="E2623" t="str">
        <f>IFERROR(VLOOKUP(tbEscolas[[#This Row],[COD ETPA]],tbEtapas[],3,FALSE),"")</f>
        <v/>
      </c>
    </row>
    <row r="2624" spans="1:5" x14ac:dyDescent="0.25">
      <c r="A2624" t="str" cm="1">
        <f t="array" ref="A2624">IFERROR(INDEX(tbNucleo[ESCOLA],ROUNDUP(ROW(A2623)/TotalEtapas,0)),"")</f>
        <v/>
      </c>
      <c r="D2624" t="str">
        <f>IFERROR(VLOOKUP(tbEscolas[[#This Row],[COD ETPA]],tbEtapas[],2,FALSE),"")</f>
        <v/>
      </c>
      <c r="E2624" t="str">
        <f>IFERROR(VLOOKUP(tbEscolas[[#This Row],[COD ETPA]],tbEtapas[],3,FALSE),"")</f>
        <v/>
      </c>
    </row>
    <row r="2625" spans="1:5" x14ac:dyDescent="0.25">
      <c r="A2625" t="str" cm="1">
        <f t="array" ref="A2625">IFERROR(INDEX(tbNucleo[ESCOLA],ROUNDUP(ROW(A2624)/TotalEtapas,0)),"")</f>
        <v/>
      </c>
      <c r="D2625" t="str">
        <f>IFERROR(VLOOKUP(tbEscolas[[#This Row],[COD ETPA]],tbEtapas[],2,FALSE),"")</f>
        <v/>
      </c>
      <c r="E2625" t="str">
        <f>IFERROR(VLOOKUP(tbEscolas[[#This Row],[COD ETPA]],tbEtapas[],3,FALSE),"")</f>
        <v/>
      </c>
    </row>
    <row r="2626" spans="1:5" x14ac:dyDescent="0.25">
      <c r="A2626" t="str" cm="1">
        <f t="array" ref="A2626">IFERROR(INDEX(tbNucleo[ESCOLA],ROUNDUP(ROW(A2625)/TotalEtapas,0)),"")</f>
        <v/>
      </c>
      <c r="D2626" t="str">
        <f>IFERROR(VLOOKUP(tbEscolas[[#This Row],[COD ETPA]],tbEtapas[],2,FALSE),"")</f>
        <v/>
      </c>
      <c r="E2626" t="str">
        <f>IFERROR(VLOOKUP(tbEscolas[[#This Row],[COD ETPA]],tbEtapas[],3,FALSE),"")</f>
        <v/>
      </c>
    </row>
    <row r="2627" spans="1:5" x14ac:dyDescent="0.25">
      <c r="A2627" t="str" cm="1">
        <f t="array" ref="A2627">IFERROR(INDEX(tbNucleo[ESCOLA],ROUNDUP(ROW(A2626)/TotalEtapas,0)),"")</f>
        <v/>
      </c>
      <c r="D2627" t="str">
        <f>IFERROR(VLOOKUP(tbEscolas[[#This Row],[COD ETPA]],tbEtapas[],2,FALSE),"")</f>
        <v/>
      </c>
      <c r="E2627" t="str">
        <f>IFERROR(VLOOKUP(tbEscolas[[#This Row],[COD ETPA]],tbEtapas[],3,FALSE),"")</f>
        <v/>
      </c>
    </row>
    <row r="2628" spans="1:5" x14ac:dyDescent="0.25">
      <c r="A2628" t="str" cm="1">
        <f t="array" ref="A2628">IFERROR(INDEX(tbNucleo[ESCOLA],ROUNDUP(ROW(A2627)/TotalEtapas,0)),"")</f>
        <v/>
      </c>
      <c r="D2628" t="str">
        <f>IFERROR(VLOOKUP(tbEscolas[[#This Row],[COD ETPA]],tbEtapas[],2,FALSE),"")</f>
        <v/>
      </c>
      <c r="E2628" t="str">
        <f>IFERROR(VLOOKUP(tbEscolas[[#This Row],[COD ETPA]],tbEtapas[],3,FALSE),"")</f>
        <v/>
      </c>
    </row>
    <row r="2629" spans="1:5" x14ac:dyDescent="0.25">
      <c r="A2629" t="str" cm="1">
        <f t="array" ref="A2629">IFERROR(INDEX(tbNucleo[ESCOLA],ROUNDUP(ROW(A2628)/TotalEtapas,0)),"")</f>
        <v/>
      </c>
      <c r="D2629" t="str">
        <f>IFERROR(VLOOKUP(tbEscolas[[#This Row],[COD ETPA]],tbEtapas[],2,FALSE),"")</f>
        <v/>
      </c>
      <c r="E2629" t="str">
        <f>IFERROR(VLOOKUP(tbEscolas[[#This Row],[COD ETPA]],tbEtapas[],3,FALSE),"")</f>
        <v/>
      </c>
    </row>
    <row r="2630" spans="1:5" x14ac:dyDescent="0.25">
      <c r="A2630" t="str" cm="1">
        <f t="array" ref="A2630">IFERROR(INDEX(tbNucleo[ESCOLA],ROUNDUP(ROW(A2629)/TotalEtapas,0)),"")</f>
        <v/>
      </c>
      <c r="D2630" t="str">
        <f>IFERROR(VLOOKUP(tbEscolas[[#This Row],[COD ETPA]],tbEtapas[],2,FALSE),"")</f>
        <v/>
      </c>
      <c r="E2630" t="str">
        <f>IFERROR(VLOOKUP(tbEscolas[[#This Row],[COD ETPA]],tbEtapas[],3,FALSE),"")</f>
        <v/>
      </c>
    </row>
    <row r="2631" spans="1:5" x14ac:dyDescent="0.25">
      <c r="A2631" t="str" cm="1">
        <f t="array" ref="A2631">IFERROR(INDEX(tbNucleo[ESCOLA],ROUNDUP(ROW(A2630)/TotalEtapas,0)),"")</f>
        <v/>
      </c>
      <c r="D2631" t="str">
        <f>IFERROR(VLOOKUP(tbEscolas[[#This Row],[COD ETPA]],tbEtapas[],2,FALSE),"")</f>
        <v/>
      </c>
      <c r="E2631" t="str">
        <f>IFERROR(VLOOKUP(tbEscolas[[#This Row],[COD ETPA]],tbEtapas[],3,FALSE),"")</f>
        <v/>
      </c>
    </row>
    <row r="2632" spans="1:5" x14ac:dyDescent="0.25">
      <c r="A2632" t="str" cm="1">
        <f t="array" ref="A2632">IFERROR(INDEX(tbNucleo[ESCOLA],ROUNDUP(ROW(A2631)/TotalEtapas,0)),"")</f>
        <v/>
      </c>
      <c r="D2632" t="str">
        <f>IFERROR(VLOOKUP(tbEscolas[[#This Row],[COD ETPA]],tbEtapas[],2,FALSE),"")</f>
        <v/>
      </c>
      <c r="E2632" t="str">
        <f>IFERROR(VLOOKUP(tbEscolas[[#This Row],[COD ETPA]],tbEtapas[],3,FALSE),"")</f>
        <v/>
      </c>
    </row>
    <row r="2633" spans="1:5" x14ac:dyDescent="0.25">
      <c r="A2633" t="str" cm="1">
        <f t="array" ref="A2633">IFERROR(INDEX(tbNucleo[ESCOLA],ROUNDUP(ROW(A2632)/TotalEtapas,0)),"")</f>
        <v/>
      </c>
      <c r="D2633" t="str">
        <f>IFERROR(VLOOKUP(tbEscolas[[#This Row],[COD ETPA]],tbEtapas[],2,FALSE),"")</f>
        <v/>
      </c>
      <c r="E2633" t="str">
        <f>IFERROR(VLOOKUP(tbEscolas[[#This Row],[COD ETPA]],tbEtapas[],3,FALSE),"")</f>
        <v/>
      </c>
    </row>
    <row r="2634" spans="1:5" x14ac:dyDescent="0.25">
      <c r="A2634" t="str" cm="1">
        <f t="array" ref="A2634">IFERROR(INDEX(tbNucleo[ESCOLA],ROUNDUP(ROW(A2633)/TotalEtapas,0)),"")</f>
        <v/>
      </c>
      <c r="D2634" t="str">
        <f>IFERROR(VLOOKUP(tbEscolas[[#This Row],[COD ETPA]],tbEtapas[],2,FALSE),"")</f>
        <v/>
      </c>
      <c r="E2634" t="str">
        <f>IFERROR(VLOOKUP(tbEscolas[[#This Row],[COD ETPA]],tbEtapas[],3,FALSE),"")</f>
        <v/>
      </c>
    </row>
    <row r="2635" spans="1:5" x14ac:dyDescent="0.25">
      <c r="A2635" t="str" cm="1">
        <f t="array" ref="A2635">IFERROR(INDEX(tbNucleo[ESCOLA],ROUNDUP(ROW(A2634)/TotalEtapas,0)),"")</f>
        <v/>
      </c>
      <c r="D2635" t="str">
        <f>IFERROR(VLOOKUP(tbEscolas[[#This Row],[COD ETPA]],tbEtapas[],2,FALSE),"")</f>
        <v/>
      </c>
      <c r="E2635" t="str">
        <f>IFERROR(VLOOKUP(tbEscolas[[#This Row],[COD ETPA]],tbEtapas[],3,FALSE),"")</f>
        <v/>
      </c>
    </row>
    <row r="2636" spans="1:5" x14ac:dyDescent="0.25">
      <c r="A2636" t="str" cm="1">
        <f t="array" ref="A2636">IFERROR(INDEX(tbNucleo[ESCOLA],ROUNDUP(ROW(A2635)/TotalEtapas,0)),"")</f>
        <v/>
      </c>
      <c r="D2636" t="str">
        <f>IFERROR(VLOOKUP(tbEscolas[[#This Row],[COD ETPA]],tbEtapas[],2,FALSE),"")</f>
        <v/>
      </c>
      <c r="E2636" t="str">
        <f>IFERROR(VLOOKUP(tbEscolas[[#This Row],[COD ETPA]],tbEtapas[],3,FALSE),"")</f>
        <v/>
      </c>
    </row>
    <row r="2637" spans="1:5" x14ac:dyDescent="0.25">
      <c r="A2637" t="str" cm="1">
        <f t="array" ref="A2637">IFERROR(INDEX(tbNucleo[ESCOLA],ROUNDUP(ROW(A2636)/TotalEtapas,0)),"")</f>
        <v/>
      </c>
      <c r="D2637" t="str">
        <f>IFERROR(VLOOKUP(tbEscolas[[#This Row],[COD ETPA]],tbEtapas[],2,FALSE),"")</f>
        <v/>
      </c>
      <c r="E2637" t="str">
        <f>IFERROR(VLOOKUP(tbEscolas[[#This Row],[COD ETPA]],tbEtapas[],3,FALSE),"")</f>
        <v/>
      </c>
    </row>
    <row r="2638" spans="1:5" x14ac:dyDescent="0.25">
      <c r="A2638" t="str" cm="1">
        <f t="array" ref="A2638">IFERROR(INDEX(tbNucleo[ESCOLA],ROUNDUP(ROW(A2637)/TotalEtapas,0)),"")</f>
        <v/>
      </c>
      <c r="D2638" t="str">
        <f>IFERROR(VLOOKUP(tbEscolas[[#This Row],[COD ETPA]],tbEtapas[],2,FALSE),"")</f>
        <v/>
      </c>
      <c r="E2638" t="str">
        <f>IFERROR(VLOOKUP(tbEscolas[[#This Row],[COD ETPA]],tbEtapas[],3,FALSE),"")</f>
        <v/>
      </c>
    </row>
    <row r="2639" spans="1:5" x14ac:dyDescent="0.25">
      <c r="A2639" t="str" cm="1">
        <f t="array" ref="A2639">IFERROR(INDEX(tbNucleo[ESCOLA],ROUNDUP(ROW(A2638)/TotalEtapas,0)),"")</f>
        <v/>
      </c>
      <c r="D2639" t="str">
        <f>IFERROR(VLOOKUP(tbEscolas[[#This Row],[COD ETPA]],tbEtapas[],2,FALSE),"")</f>
        <v/>
      </c>
      <c r="E2639" t="str">
        <f>IFERROR(VLOOKUP(tbEscolas[[#This Row],[COD ETPA]],tbEtapas[],3,FALSE),"")</f>
        <v/>
      </c>
    </row>
    <row r="2640" spans="1:5" x14ac:dyDescent="0.25">
      <c r="A2640" t="str" cm="1">
        <f t="array" ref="A2640">IFERROR(INDEX(tbNucleo[ESCOLA],ROUNDUP(ROW(A2639)/TotalEtapas,0)),"")</f>
        <v/>
      </c>
      <c r="D2640" t="str">
        <f>IFERROR(VLOOKUP(tbEscolas[[#This Row],[COD ETPA]],tbEtapas[],2,FALSE),"")</f>
        <v/>
      </c>
      <c r="E2640" t="str">
        <f>IFERROR(VLOOKUP(tbEscolas[[#This Row],[COD ETPA]],tbEtapas[],3,FALSE),"")</f>
        <v/>
      </c>
    </row>
    <row r="2641" spans="1:5" x14ac:dyDescent="0.25">
      <c r="A2641" t="str" cm="1">
        <f t="array" ref="A2641">IFERROR(INDEX(tbNucleo[ESCOLA],ROUNDUP(ROW(A2640)/TotalEtapas,0)),"")</f>
        <v/>
      </c>
      <c r="D2641" t="str">
        <f>IFERROR(VLOOKUP(tbEscolas[[#This Row],[COD ETPA]],tbEtapas[],2,FALSE),"")</f>
        <v/>
      </c>
      <c r="E2641" t="str">
        <f>IFERROR(VLOOKUP(tbEscolas[[#This Row],[COD ETPA]],tbEtapas[],3,FALSE),"")</f>
        <v/>
      </c>
    </row>
    <row r="2642" spans="1:5" x14ac:dyDescent="0.25">
      <c r="A2642" t="str" cm="1">
        <f t="array" ref="A2642">IFERROR(INDEX(tbNucleo[ESCOLA],ROUNDUP(ROW(A2641)/TotalEtapas,0)),"")</f>
        <v/>
      </c>
      <c r="D2642" t="str">
        <f>IFERROR(VLOOKUP(tbEscolas[[#This Row],[COD ETPA]],tbEtapas[],2,FALSE),"")</f>
        <v/>
      </c>
      <c r="E2642" t="str">
        <f>IFERROR(VLOOKUP(tbEscolas[[#This Row],[COD ETPA]],tbEtapas[],3,FALSE),"")</f>
        <v/>
      </c>
    </row>
    <row r="2643" spans="1:5" x14ac:dyDescent="0.25">
      <c r="A2643" t="str" cm="1">
        <f t="array" ref="A2643">IFERROR(INDEX(tbNucleo[ESCOLA],ROUNDUP(ROW(A2642)/TotalEtapas,0)),"")</f>
        <v/>
      </c>
      <c r="D2643" t="str">
        <f>IFERROR(VLOOKUP(tbEscolas[[#This Row],[COD ETPA]],tbEtapas[],2,FALSE),"")</f>
        <v/>
      </c>
      <c r="E2643" t="str">
        <f>IFERROR(VLOOKUP(tbEscolas[[#This Row],[COD ETPA]],tbEtapas[],3,FALSE),"")</f>
        <v/>
      </c>
    </row>
    <row r="2644" spans="1:5" x14ac:dyDescent="0.25">
      <c r="A2644" t="str" cm="1">
        <f t="array" ref="A2644">IFERROR(INDEX(tbNucleo[ESCOLA],ROUNDUP(ROW(A2643)/TotalEtapas,0)),"")</f>
        <v/>
      </c>
      <c r="D2644" t="str">
        <f>IFERROR(VLOOKUP(tbEscolas[[#This Row],[COD ETPA]],tbEtapas[],2,FALSE),"")</f>
        <v/>
      </c>
      <c r="E2644" t="str">
        <f>IFERROR(VLOOKUP(tbEscolas[[#This Row],[COD ETPA]],tbEtapas[],3,FALSE),"")</f>
        <v/>
      </c>
    </row>
    <row r="2645" spans="1:5" x14ac:dyDescent="0.25">
      <c r="A2645" t="str" cm="1">
        <f t="array" ref="A2645">IFERROR(INDEX(tbNucleo[ESCOLA],ROUNDUP(ROW(A2644)/TotalEtapas,0)),"")</f>
        <v/>
      </c>
      <c r="D2645" t="str">
        <f>IFERROR(VLOOKUP(tbEscolas[[#This Row],[COD ETPA]],tbEtapas[],2,FALSE),"")</f>
        <v/>
      </c>
      <c r="E2645" t="str">
        <f>IFERROR(VLOOKUP(tbEscolas[[#This Row],[COD ETPA]],tbEtapas[],3,FALSE),"")</f>
        <v/>
      </c>
    </row>
    <row r="2646" spans="1:5" x14ac:dyDescent="0.25">
      <c r="A2646" t="str" cm="1">
        <f t="array" ref="A2646">IFERROR(INDEX(tbNucleo[ESCOLA],ROUNDUP(ROW(A2645)/TotalEtapas,0)),"")</f>
        <v/>
      </c>
      <c r="D2646" t="str">
        <f>IFERROR(VLOOKUP(tbEscolas[[#This Row],[COD ETPA]],tbEtapas[],2,FALSE),"")</f>
        <v/>
      </c>
      <c r="E2646" t="str">
        <f>IFERROR(VLOOKUP(tbEscolas[[#This Row],[COD ETPA]],tbEtapas[],3,FALSE),"")</f>
        <v/>
      </c>
    </row>
    <row r="2647" spans="1:5" x14ac:dyDescent="0.25">
      <c r="A2647" t="str" cm="1">
        <f t="array" ref="A2647">IFERROR(INDEX(tbNucleo[ESCOLA],ROUNDUP(ROW(A2646)/TotalEtapas,0)),"")</f>
        <v/>
      </c>
      <c r="D2647" t="str">
        <f>IFERROR(VLOOKUP(tbEscolas[[#This Row],[COD ETPA]],tbEtapas[],2,FALSE),"")</f>
        <v/>
      </c>
      <c r="E2647" t="str">
        <f>IFERROR(VLOOKUP(tbEscolas[[#This Row],[COD ETPA]],tbEtapas[],3,FALSE),"")</f>
        <v/>
      </c>
    </row>
    <row r="2648" spans="1:5" x14ac:dyDescent="0.25">
      <c r="A2648" t="str" cm="1">
        <f t="array" ref="A2648">IFERROR(INDEX(tbNucleo[ESCOLA],ROUNDUP(ROW(A2647)/TotalEtapas,0)),"")</f>
        <v/>
      </c>
      <c r="D2648" t="str">
        <f>IFERROR(VLOOKUP(tbEscolas[[#This Row],[COD ETPA]],tbEtapas[],2,FALSE),"")</f>
        <v/>
      </c>
      <c r="E2648" t="str">
        <f>IFERROR(VLOOKUP(tbEscolas[[#This Row],[COD ETPA]],tbEtapas[],3,FALSE),"")</f>
        <v/>
      </c>
    </row>
    <row r="2649" spans="1:5" x14ac:dyDescent="0.25">
      <c r="A2649" t="str" cm="1">
        <f t="array" ref="A2649">IFERROR(INDEX(tbNucleo[ESCOLA],ROUNDUP(ROW(A2648)/TotalEtapas,0)),"")</f>
        <v/>
      </c>
      <c r="D2649" t="str">
        <f>IFERROR(VLOOKUP(tbEscolas[[#This Row],[COD ETPA]],tbEtapas[],2,FALSE),"")</f>
        <v/>
      </c>
      <c r="E2649" t="str">
        <f>IFERROR(VLOOKUP(tbEscolas[[#This Row],[COD ETPA]],tbEtapas[],3,FALSE),"")</f>
        <v/>
      </c>
    </row>
    <row r="2650" spans="1:5" x14ac:dyDescent="0.25">
      <c r="A2650" t="str" cm="1">
        <f t="array" ref="A2650">IFERROR(INDEX(tbNucleo[ESCOLA],ROUNDUP(ROW(A2649)/TotalEtapas,0)),"")</f>
        <v/>
      </c>
      <c r="D2650" t="str">
        <f>IFERROR(VLOOKUP(tbEscolas[[#This Row],[COD ETPA]],tbEtapas[],2,FALSE),"")</f>
        <v/>
      </c>
      <c r="E2650" t="str">
        <f>IFERROR(VLOOKUP(tbEscolas[[#This Row],[COD ETPA]],tbEtapas[],3,FALSE),"")</f>
        <v/>
      </c>
    </row>
    <row r="2651" spans="1:5" x14ac:dyDescent="0.25">
      <c r="A2651" t="str" cm="1">
        <f t="array" ref="A2651">IFERROR(INDEX(tbNucleo[ESCOLA],ROUNDUP(ROW(A2650)/TotalEtapas,0)),"")</f>
        <v/>
      </c>
      <c r="D2651" t="str">
        <f>IFERROR(VLOOKUP(tbEscolas[[#This Row],[COD ETPA]],tbEtapas[],2,FALSE),"")</f>
        <v/>
      </c>
      <c r="E2651" t="str">
        <f>IFERROR(VLOOKUP(tbEscolas[[#This Row],[COD ETPA]],tbEtapas[],3,FALSE),"")</f>
        <v/>
      </c>
    </row>
    <row r="2652" spans="1:5" x14ac:dyDescent="0.25">
      <c r="A2652" t="str" cm="1">
        <f t="array" ref="A2652">IFERROR(INDEX(tbNucleo[ESCOLA],ROUNDUP(ROW(A2651)/TotalEtapas,0)),"")</f>
        <v/>
      </c>
      <c r="D2652" t="str">
        <f>IFERROR(VLOOKUP(tbEscolas[[#This Row],[COD ETPA]],tbEtapas[],2,FALSE),"")</f>
        <v/>
      </c>
      <c r="E2652" t="str">
        <f>IFERROR(VLOOKUP(tbEscolas[[#This Row],[COD ETPA]],tbEtapas[],3,FALSE),"")</f>
        <v/>
      </c>
    </row>
    <row r="2653" spans="1:5" x14ac:dyDescent="0.25">
      <c r="A2653" t="str" cm="1">
        <f t="array" ref="A2653">IFERROR(INDEX(tbNucleo[ESCOLA],ROUNDUP(ROW(A2652)/TotalEtapas,0)),"")</f>
        <v/>
      </c>
      <c r="D2653" t="str">
        <f>IFERROR(VLOOKUP(tbEscolas[[#This Row],[COD ETPA]],tbEtapas[],2,FALSE),"")</f>
        <v/>
      </c>
      <c r="E2653" t="str">
        <f>IFERROR(VLOOKUP(tbEscolas[[#This Row],[COD ETPA]],tbEtapas[],3,FALSE),"")</f>
        <v/>
      </c>
    </row>
    <row r="2654" spans="1:5" x14ac:dyDescent="0.25">
      <c r="A2654" t="str" cm="1">
        <f t="array" ref="A2654">IFERROR(INDEX(tbNucleo[ESCOLA],ROUNDUP(ROW(A2653)/TotalEtapas,0)),"")</f>
        <v/>
      </c>
      <c r="D2654" t="str">
        <f>IFERROR(VLOOKUP(tbEscolas[[#This Row],[COD ETPA]],tbEtapas[],2,FALSE),"")</f>
        <v/>
      </c>
      <c r="E2654" t="str">
        <f>IFERROR(VLOOKUP(tbEscolas[[#This Row],[COD ETPA]],tbEtapas[],3,FALSE),"")</f>
        <v/>
      </c>
    </row>
    <row r="2655" spans="1:5" x14ac:dyDescent="0.25">
      <c r="A2655" t="str" cm="1">
        <f t="array" ref="A2655">IFERROR(INDEX(tbNucleo[ESCOLA],ROUNDUP(ROW(A2654)/TotalEtapas,0)),"")</f>
        <v/>
      </c>
      <c r="D2655" t="str">
        <f>IFERROR(VLOOKUP(tbEscolas[[#This Row],[COD ETPA]],tbEtapas[],2,FALSE),"")</f>
        <v/>
      </c>
      <c r="E2655" t="str">
        <f>IFERROR(VLOOKUP(tbEscolas[[#This Row],[COD ETPA]],tbEtapas[],3,FALSE),"")</f>
        <v/>
      </c>
    </row>
    <row r="2656" spans="1:5" x14ac:dyDescent="0.25">
      <c r="A2656" t="str" cm="1">
        <f t="array" ref="A2656">IFERROR(INDEX(tbNucleo[ESCOLA],ROUNDUP(ROW(A2655)/TotalEtapas,0)),"")</f>
        <v/>
      </c>
      <c r="D2656" t="str">
        <f>IFERROR(VLOOKUP(tbEscolas[[#This Row],[COD ETPA]],tbEtapas[],2,FALSE),"")</f>
        <v/>
      </c>
      <c r="E2656" t="str">
        <f>IFERROR(VLOOKUP(tbEscolas[[#This Row],[COD ETPA]],tbEtapas[],3,FALSE),"")</f>
        <v/>
      </c>
    </row>
    <row r="2657" spans="1:5" x14ac:dyDescent="0.25">
      <c r="A2657" t="str" cm="1">
        <f t="array" ref="A2657">IFERROR(INDEX(tbNucleo[ESCOLA],ROUNDUP(ROW(A2656)/TotalEtapas,0)),"")</f>
        <v/>
      </c>
      <c r="D2657" t="str">
        <f>IFERROR(VLOOKUP(tbEscolas[[#This Row],[COD ETPA]],tbEtapas[],2,FALSE),"")</f>
        <v/>
      </c>
      <c r="E2657" t="str">
        <f>IFERROR(VLOOKUP(tbEscolas[[#This Row],[COD ETPA]],tbEtapas[],3,FALSE),"")</f>
        <v/>
      </c>
    </row>
    <row r="2658" spans="1:5" x14ac:dyDescent="0.25">
      <c r="A2658" t="str" cm="1">
        <f t="array" ref="A2658">IFERROR(INDEX(tbNucleo[ESCOLA],ROUNDUP(ROW(A2657)/TotalEtapas,0)),"")</f>
        <v/>
      </c>
      <c r="D2658" t="str">
        <f>IFERROR(VLOOKUP(tbEscolas[[#This Row],[COD ETPA]],tbEtapas[],2,FALSE),"")</f>
        <v/>
      </c>
      <c r="E2658" t="str">
        <f>IFERROR(VLOOKUP(tbEscolas[[#This Row],[COD ETPA]],tbEtapas[],3,FALSE),"")</f>
        <v/>
      </c>
    </row>
    <row r="2659" spans="1:5" x14ac:dyDescent="0.25">
      <c r="A2659" t="str" cm="1">
        <f t="array" ref="A2659">IFERROR(INDEX(tbNucleo[ESCOLA],ROUNDUP(ROW(A2658)/TotalEtapas,0)),"")</f>
        <v/>
      </c>
      <c r="D2659" t="str">
        <f>IFERROR(VLOOKUP(tbEscolas[[#This Row],[COD ETPA]],tbEtapas[],2,FALSE),"")</f>
        <v/>
      </c>
      <c r="E2659" t="str">
        <f>IFERROR(VLOOKUP(tbEscolas[[#This Row],[COD ETPA]],tbEtapas[],3,FALSE),"")</f>
        <v/>
      </c>
    </row>
    <row r="2660" spans="1:5" x14ac:dyDescent="0.25">
      <c r="A2660" t="str" cm="1">
        <f t="array" ref="A2660">IFERROR(INDEX(tbNucleo[ESCOLA],ROUNDUP(ROW(A2659)/TotalEtapas,0)),"")</f>
        <v/>
      </c>
      <c r="D2660" t="str">
        <f>IFERROR(VLOOKUP(tbEscolas[[#This Row],[COD ETPA]],tbEtapas[],2,FALSE),"")</f>
        <v/>
      </c>
      <c r="E2660" t="str">
        <f>IFERROR(VLOOKUP(tbEscolas[[#This Row],[COD ETPA]],tbEtapas[],3,FALSE),"")</f>
        <v/>
      </c>
    </row>
    <row r="2661" spans="1:5" x14ac:dyDescent="0.25">
      <c r="A2661" t="str" cm="1">
        <f t="array" ref="A2661">IFERROR(INDEX(tbNucleo[ESCOLA],ROUNDUP(ROW(A2660)/TotalEtapas,0)),"")</f>
        <v/>
      </c>
      <c r="D2661" t="str">
        <f>IFERROR(VLOOKUP(tbEscolas[[#This Row],[COD ETPA]],tbEtapas[],2,FALSE),"")</f>
        <v/>
      </c>
      <c r="E2661" t="str">
        <f>IFERROR(VLOOKUP(tbEscolas[[#This Row],[COD ETPA]],tbEtapas[],3,FALSE),"")</f>
        <v/>
      </c>
    </row>
    <row r="2662" spans="1:5" x14ac:dyDescent="0.25">
      <c r="A2662" t="str" cm="1">
        <f t="array" ref="A2662">IFERROR(INDEX(tbNucleo[ESCOLA],ROUNDUP(ROW(A2661)/TotalEtapas,0)),"")</f>
        <v/>
      </c>
      <c r="D2662" t="str">
        <f>IFERROR(VLOOKUP(tbEscolas[[#This Row],[COD ETPA]],tbEtapas[],2,FALSE),"")</f>
        <v/>
      </c>
      <c r="E2662" t="str">
        <f>IFERROR(VLOOKUP(tbEscolas[[#This Row],[COD ETPA]],tbEtapas[],3,FALSE),"")</f>
        <v/>
      </c>
    </row>
    <row r="2663" spans="1:5" x14ac:dyDescent="0.25">
      <c r="A2663" t="str" cm="1">
        <f t="array" ref="A2663">IFERROR(INDEX(tbNucleo[ESCOLA],ROUNDUP(ROW(A2662)/TotalEtapas,0)),"")</f>
        <v/>
      </c>
      <c r="D2663" t="str">
        <f>IFERROR(VLOOKUP(tbEscolas[[#This Row],[COD ETPA]],tbEtapas[],2,FALSE),"")</f>
        <v/>
      </c>
      <c r="E2663" t="str">
        <f>IFERROR(VLOOKUP(tbEscolas[[#This Row],[COD ETPA]],tbEtapas[],3,FALSE),"")</f>
        <v/>
      </c>
    </row>
    <row r="2664" spans="1:5" x14ac:dyDescent="0.25">
      <c r="A2664" t="str" cm="1">
        <f t="array" ref="A2664">IFERROR(INDEX(tbNucleo[ESCOLA],ROUNDUP(ROW(A2663)/TotalEtapas,0)),"")</f>
        <v/>
      </c>
      <c r="D2664" t="str">
        <f>IFERROR(VLOOKUP(tbEscolas[[#This Row],[COD ETPA]],tbEtapas[],2,FALSE),"")</f>
        <v/>
      </c>
      <c r="E2664" t="str">
        <f>IFERROR(VLOOKUP(tbEscolas[[#This Row],[COD ETPA]],tbEtapas[],3,FALSE),"")</f>
        <v/>
      </c>
    </row>
    <row r="2665" spans="1:5" x14ac:dyDescent="0.25">
      <c r="A2665" t="str" cm="1">
        <f t="array" ref="A2665">IFERROR(INDEX(tbNucleo[ESCOLA],ROUNDUP(ROW(A2664)/TotalEtapas,0)),"")</f>
        <v/>
      </c>
      <c r="D2665" t="str">
        <f>IFERROR(VLOOKUP(tbEscolas[[#This Row],[COD ETPA]],tbEtapas[],2,FALSE),"")</f>
        <v/>
      </c>
      <c r="E2665" t="str">
        <f>IFERROR(VLOOKUP(tbEscolas[[#This Row],[COD ETPA]],tbEtapas[],3,FALSE),"")</f>
        <v/>
      </c>
    </row>
    <row r="2666" spans="1:5" x14ac:dyDescent="0.25">
      <c r="A2666" t="str" cm="1">
        <f t="array" ref="A2666">IFERROR(INDEX(tbNucleo[ESCOLA],ROUNDUP(ROW(A2665)/TotalEtapas,0)),"")</f>
        <v/>
      </c>
      <c r="D2666" t="str">
        <f>IFERROR(VLOOKUP(tbEscolas[[#This Row],[COD ETPA]],tbEtapas[],2,FALSE),"")</f>
        <v/>
      </c>
      <c r="E2666" t="str">
        <f>IFERROR(VLOOKUP(tbEscolas[[#This Row],[COD ETPA]],tbEtapas[],3,FALSE),"")</f>
        <v/>
      </c>
    </row>
    <row r="2667" spans="1:5" x14ac:dyDescent="0.25">
      <c r="A2667" t="str" cm="1">
        <f t="array" ref="A2667">IFERROR(INDEX(tbNucleo[ESCOLA],ROUNDUP(ROW(A2666)/TotalEtapas,0)),"")</f>
        <v/>
      </c>
      <c r="D2667" t="str">
        <f>IFERROR(VLOOKUP(tbEscolas[[#This Row],[COD ETPA]],tbEtapas[],2,FALSE),"")</f>
        <v/>
      </c>
      <c r="E2667" t="str">
        <f>IFERROR(VLOOKUP(tbEscolas[[#This Row],[COD ETPA]],tbEtapas[],3,FALSE),"")</f>
        <v/>
      </c>
    </row>
    <row r="2668" spans="1:5" x14ac:dyDescent="0.25">
      <c r="A2668" t="str" cm="1">
        <f t="array" ref="A2668">IFERROR(INDEX(tbNucleo[ESCOLA],ROUNDUP(ROW(A2667)/TotalEtapas,0)),"")</f>
        <v/>
      </c>
      <c r="D2668" t="str">
        <f>IFERROR(VLOOKUP(tbEscolas[[#This Row],[COD ETPA]],tbEtapas[],2,FALSE),"")</f>
        <v/>
      </c>
      <c r="E2668" t="str">
        <f>IFERROR(VLOOKUP(tbEscolas[[#This Row],[COD ETPA]],tbEtapas[],3,FALSE),"")</f>
        <v/>
      </c>
    </row>
    <row r="2669" spans="1:5" x14ac:dyDescent="0.25">
      <c r="A2669" t="str" cm="1">
        <f t="array" ref="A2669">IFERROR(INDEX(tbNucleo[ESCOLA],ROUNDUP(ROW(A2668)/TotalEtapas,0)),"")</f>
        <v/>
      </c>
      <c r="D2669" t="str">
        <f>IFERROR(VLOOKUP(tbEscolas[[#This Row],[COD ETPA]],tbEtapas[],2,FALSE),"")</f>
        <v/>
      </c>
      <c r="E2669" t="str">
        <f>IFERROR(VLOOKUP(tbEscolas[[#This Row],[COD ETPA]],tbEtapas[],3,FALSE),"")</f>
        <v/>
      </c>
    </row>
    <row r="2670" spans="1:5" x14ac:dyDescent="0.25">
      <c r="A2670" t="str" cm="1">
        <f t="array" ref="A2670">IFERROR(INDEX(tbNucleo[ESCOLA],ROUNDUP(ROW(A2669)/TotalEtapas,0)),"")</f>
        <v/>
      </c>
      <c r="D2670" t="str">
        <f>IFERROR(VLOOKUP(tbEscolas[[#This Row],[COD ETPA]],tbEtapas[],2,FALSE),"")</f>
        <v/>
      </c>
      <c r="E2670" t="str">
        <f>IFERROR(VLOOKUP(tbEscolas[[#This Row],[COD ETPA]],tbEtapas[],3,FALSE),"")</f>
        <v/>
      </c>
    </row>
    <row r="2671" spans="1:5" x14ac:dyDescent="0.25">
      <c r="A2671" t="str" cm="1">
        <f t="array" ref="A2671">IFERROR(INDEX(tbNucleo[ESCOLA],ROUNDUP(ROW(A2670)/TotalEtapas,0)),"")</f>
        <v/>
      </c>
      <c r="D2671" t="str">
        <f>IFERROR(VLOOKUP(tbEscolas[[#This Row],[COD ETPA]],tbEtapas[],2,FALSE),"")</f>
        <v/>
      </c>
      <c r="E2671" t="str">
        <f>IFERROR(VLOOKUP(tbEscolas[[#This Row],[COD ETPA]],tbEtapas[],3,FALSE),"")</f>
        <v/>
      </c>
    </row>
    <row r="2672" spans="1:5" x14ac:dyDescent="0.25">
      <c r="A2672" t="str" cm="1">
        <f t="array" ref="A2672">IFERROR(INDEX(tbNucleo[ESCOLA],ROUNDUP(ROW(A2671)/TotalEtapas,0)),"")</f>
        <v/>
      </c>
      <c r="D2672" t="str">
        <f>IFERROR(VLOOKUP(tbEscolas[[#This Row],[COD ETPA]],tbEtapas[],2,FALSE),"")</f>
        <v/>
      </c>
      <c r="E2672" t="str">
        <f>IFERROR(VLOOKUP(tbEscolas[[#This Row],[COD ETPA]],tbEtapas[],3,FALSE),"")</f>
        <v/>
      </c>
    </row>
    <row r="2673" spans="1:5" x14ac:dyDescent="0.25">
      <c r="A2673" t="str" cm="1">
        <f t="array" ref="A2673">IFERROR(INDEX(tbNucleo[ESCOLA],ROUNDUP(ROW(A2672)/TotalEtapas,0)),"")</f>
        <v/>
      </c>
      <c r="D2673" t="str">
        <f>IFERROR(VLOOKUP(tbEscolas[[#This Row],[COD ETPA]],tbEtapas[],2,FALSE),"")</f>
        <v/>
      </c>
      <c r="E2673" t="str">
        <f>IFERROR(VLOOKUP(tbEscolas[[#This Row],[COD ETPA]],tbEtapas[],3,FALSE),"")</f>
        <v/>
      </c>
    </row>
    <row r="2674" spans="1:5" x14ac:dyDescent="0.25">
      <c r="A2674" t="str" cm="1">
        <f t="array" ref="A2674">IFERROR(INDEX(tbNucleo[ESCOLA],ROUNDUP(ROW(A2673)/TotalEtapas,0)),"")</f>
        <v/>
      </c>
      <c r="D2674" t="str">
        <f>IFERROR(VLOOKUP(tbEscolas[[#This Row],[COD ETPA]],tbEtapas[],2,FALSE),"")</f>
        <v/>
      </c>
      <c r="E2674" t="str">
        <f>IFERROR(VLOOKUP(tbEscolas[[#This Row],[COD ETPA]],tbEtapas[],3,FALSE),"")</f>
        <v/>
      </c>
    </row>
    <row r="2675" spans="1:5" x14ac:dyDescent="0.25">
      <c r="A2675" t="str" cm="1">
        <f t="array" ref="A2675">IFERROR(INDEX(tbNucleo[ESCOLA],ROUNDUP(ROW(A2674)/TotalEtapas,0)),"")</f>
        <v/>
      </c>
      <c r="D2675" t="str">
        <f>IFERROR(VLOOKUP(tbEscolas[[#This Row],[COD ETPA]],tbEtapas[],2,FALSE),"")</f>
        <v/>
      </c>
      <c r="E2675" t="str">
        <f>IFERROR(VLOOKUP(tbEscolas[[#This Row],[COD ETPA]],tbEtapas[],3,FALSE),"")</f>
        <v/>
      </c>
    </row>
    <row r="2676" spans="1:5" x14ac:dyDescent="0.25">
      <c r="A2676" t="str" cm="1">
        <f t="array" ref="A2676">IFERROR(INDEX(tbNucleo[ESCOLA],ROUNDUP(ROW(A2675)/TotalEtapas,0)),"")</f>
        <v/>
      </c>
      <c r="D2676" t="str">
        <f>IFERROR(VLOOKUP(tbEscolas[[#This Row],[COD ETPA]],tbEtapas[],2,FALSE),"")</f>
        <v/>
      </c>
      <c r="E2676" t="str">
        <f>IFERROR(VLOOKUP(tbEscolas[[#This Row],[COD ETPA]],tbEtapas[],3,FALSE),"")</f>
        <v/>
      </c>
    </row>
    <row r="2677" spans="1:5" x14ac:dyDescent="0.25">
      <c r="A2677" t="str" cm="1">
        <f t="array" ref="A2677">IFERROR(INDEX(tbNucleo[ESCOLA],ROUNDUP(ROW(A2676)/TotalEtapas,0)),"")</f>
        <v/>
      </c>
      <c r="D2677" t="str">
        <f>IFERROR(VLOOKUP(tbEscolas[[#This Row],[COD ETPA]],tbEtapas[],2,FALSE),"")</f>
        <v/>
      </c>
      <c r="E2677" t="str">
        <f>IFERROR(VLOOKUP(tbEscolas[[#This Row],[COD ETPA]],tbEtapas[],3,FALSE),"")</f>
        <v/>
      </c>
    </row>
    <row r="2678" spans="1:5" x14ac:dyDescent="0.25">
      <c r="A2678" t="str" cm="1">
        <f t="array" ref="A2678">IFERROR(INDEX(tbNucleo[ESCOLA],ROUNDUP(ROW(A2677)/TotalEtapas,0)),"")</f>
        <v/>
      </c>
      <c r="D2678" t="str">
        <f>IFERROR(VLOOKUP(tbEscolas[[#This Row],[COD ETPA]],tbEtapas[],2,FALSE),"")</f>
        <v/>
      </c>
      <c r="E2678" t="str">
        <f>IFERROR(VLOOKUP(tbEscolas[[#This Row],[COD ETPA]],tbEtapas[],3,FALSE),"")</f>
        <v/>
      </c>
    </row>
    <row r="2679" spans="1:5" x14ac:dyDescent="0.25">
      <c r="A2679" t="str" cm="1">
        <f t="array" ref="A2679">IFERROR(INDEX(tbNucleo[ESCOLA],ROUNDUP(ROW(A2678)/TotalEtapas,0)),"")</f>
        <v/>
      </c>
      <c r="D2679" t="str">
        <f>IFERROR(VLOOKUP(tbEscolas[[#This Row],[COD ETPA]],tbEtapas[],2,FALSE),"")</f>
        <v/>
      </c>
      <c r="E2679" t="str">
        <f>IFERROR(VLOOKUP(tbEscolas[[#This Row],[COD ETPA]],tbEtapas[],3,FALSE),"")</f>
        <v/>
      </c>
    </row>
    <row r="2680" spans="1:5" x14ac:dyDescent="0.25">
      <c r="A2680" t="str" cm="1">
        <f t="array" ref="A2680">IFERROR(INDEX(tbNucleo[ESCOLA],ROUNDUP(ROW(A2679)/TotalEtapas,0)),"")</f>
        <v/>
      </c>
      <c r="D2680" t="str">
        <f>IFERROR(VLOOKUP(tbEscolas[[#This Row],[COD ETPA]],tbEtapas[],2,FALSE),"")</f>
        <v/>
      </c>
      <c r="E2680" t="str">
        <f>IFERROR(VLOOKUP(tbEscolas[[#This Row],[COD ETPA]],tbEtapas[],3,FALSE),"")</f>
        <v/>
      </c>
    </row>
    <row r="2681" spans="1:5" x14ac:dyDescent="0.25">
      <c r="A2681" t="str" cm="1">
        <f t="array" ref="A2681">IFERROR(INDEX(tbNucleo[ESCOLA],ROUNDUP(ROW(A2680)/TotalEtapas,0)),"")</f>
        <v/>
      </c>
      <c r="D2681" t="str">
        <f>IFERROR(VLOOKUP(tbEscolas[[#This Row],[COD ETPA]],tbEtapas[],2,FALSE),"")</f>
        <v/>
      </c>
      <c r="E2681" t="str">
        <f>IFERROR(VLOOKUP(tbEscolas[[#This Row],[COD ETPA]],tbEtapas[],3,FALSE),"")</f>
        <v/>
      </c>
    </row>
    <row r="2682" spans="1:5" x14ac:dyDescent="0.25">
      <c r="A2682" t="str" cm="1">
        <f t="array" ref="A2682">IFERROR(INDEX(tbNucleo[ESCOLA],ROUNDUP(ROW(A2681)/TotalEtapas,0)),"")</f>
        <v/>
      </c>
      <c r="D2682" t="str">
        <f>IFERROR(VLOOKUP(tbEscolas[[#This Row],[COD ETPA]],tbEtapas[],2,FALSE),"")</f>
        <v/>
      </c>
      <c r="E2682" t="str">
        <f>IFERROR(VLOOKUP(tbEscolas[[#This Row],[COD ETPA]],tbEtapas[],3,FALSE),"")</f>
        <v/>
      </c>
    </row>
    <row r="2683" spans="1:5" x14ac:dyDescent="0.25">
      <c r="A2683" t="str" cm="1">
        <f t="array" ref="A2683">IFERROR(INDEX(tbNucleo[ESCOLA],ROUNDUP(ROW(A2682)/TotalEtapas,0)),"")</f>
        <v/>
      </c>
      <c r="D2683" t="str">
        <f>IFERROR(VLOOKUP(tbEscolas[[#This Row],[COD ETPA]],tbEtapas[],2,FALSE),"")</f>
        <v/>
      </c>
      <c r="E2683" t="str">
        <f>IFERROR(VLOOKUP(tbEscolas[[#This Row],[COD ETPA]],tbEtapas[],3,FALSE),"")</f>
        <v/>
      </c>
    </row>
    <row r="2684" spans="1:5" x14ac:dyDescent="0.25">
      <c r="A2684" t="str" cm="1">
        <f t="array" ref="A2684">IFERROR(INDEX(tbNucleo[ESCOLA],ROUNDUP(ROW(A2683)/TotalEtapas,0)),"")</f>
        <v/>
      </c>
      <c r="D2684" t="str">
        <f>IFERROR(VLOOKUP(tbEscolas[[#This Row],[COD ETPA]],tbEtapas[],2,FALSE),"")</f>
        <v/>
      </c>
      <c r="E2684" t="str">
        <f>IFERROR(VLOOKUP(tbEscolas[[#This Row],[COD ETPA]],tbEtapas[],3,FALSE),"")</f>
        <v/>
      </c>
    </row>
    <row r="2685" spans="1:5" x14ac:dyDescent="0.25">
      <c r="A2685" t="str" cm="1">
        <f t="array" ref="A2685">IFERROR(INDEX(tbNucleo[ESCOLA],ROUNDUP(ROW(A2684)/TotalEtapas,0)),"")</f>
        <v/>
      </c>
      <c r="D2685" t="str">
        <f>IFERROR(VLOOKUP(tbEscolas[[#This Row],[COD ETPA]],tbEtapas[],2,FALSE),"")</f>
        <v/>
      </c>
      <c r="E2685" t="str">
        <f>IFERROR(VLOOKUP(tbEscolas[[#This Row],[COD ETPA]],tbEtapas[],3,FALSE),"")</f>
        <v/>
      </c>
    </row>
    <row r="2686" spans="1:5" x14ac:dyDescent="0.25">
      <c r="A2686" t="str" cm="1">
        <f t="array" ref="A2686">IFERROR(INDEX(tbNucleo[ESCOLA],ROUNDUP(ROW(A2685)/TotalEtapas,0)),"")</f>
        <v/>
      </c>
      <c r="D2686" t="str">
        <f>IFERROR(VLOOKUP(tbEscolas[[#This Row],[COD ETPA]],tbEtapas[],2,FALSE),"")</f>
        <v/>
      </c>
      <c r="E2686" t="str">
        <f>IFERROR(VLOOKUP(tbEscolas[[#This Row],[COD ETPA]],tbEtapas[],3,FALSE),"")</f>
        <v/>
      </c>
    </row>
    <row r="2687" spans="1:5" x14ac:dyDescent="0.25">
      <c r="A2687" t="str" cm="1">
        <f t="array" ref="A2687">IFERROR(INDEX(tbNucleo[ESCOLA],ROUNDUP(ROW(A2686)/TotalEtapas,0)),"")</f>
        <v/>
      </c>
      <c r="D2687" t="str">
        <f>IFERROR(VLOOKUP(tbEscolas[[#This Row],[COD ETPA]],tbEtapas[],2,FALSE),"")</f>
        <v/>
      </c>
      <c r="E2687" t="str">
        <f>IFERROR(VLOOKUP(tbEscolas[[#This Row],[COD ETPA]],tbEtapas[],3,FALSE),"")</f>
        <v/>
      </c>
    </row>
    <row r="2688" spans="1:5" x14ac:dyDescent="0.25">
      <c r="A2688" t="str" cm="1">
        <f t="array" ref="A2688">IFERROR(INDEX(tbNucleo[ESCOLA],ROUNDUP(ROW(A2687)/TotalEtapas,0)),"")</f>
        <v/>
      </c>
      <c r="D2688" t="str">
        <f>IFERROR(VLOOKUP(tbEscolas[[#This Row],[COD ETPA]],tbEtapas[],2,FALSE),"")</f>
        <v/>
      </c>
      <c r="E2688" t="str">
        <f>IFERROR(VLOOKUP(tbEscolas[[#This Row],[COD ETPA]],tbEtapas[],3,FALSE),"")</f>
        <v/>
      </c>
    </row>
    <row r="2689" spans="1:5" x14ac:dyDescent="0.25">
      <c r="A2689" t="str" cm="1">
        <f t="array" ref="A2689">IFERROR(INDEX(tbNucleo[ESCOLA],ROUNDUP(ROW(A2688)/TotalEtapas,0)),"")</f>
        <v/>
      </c>
      <c r="D2689" t="str">
        <f>IFERROR(VLOOKUP(tbEscolas[[#This Row],[COD ETPA]],tbEtapas[],2,FALSE),"")</f>
        <v/>
      </c>
      <c r="E2689" t="str">
        <f>IFERROR(VLOOKUP(tbEscolas[[#This Row],[COD ETPA]],tbEtapas[],3,FALSE),"")</f>
        <v/>
      </c>
    </row>
    <row r="2690" spans="1:5" x14ac:dyDescent="0.25">
      <c r="A2690" t="str" cm="1">
        <f t="array" ref="A2690">IFERROR(INDEX(tbNucleo[ESCOLA],ROUNDUP(ROW(A2689)/TotalEtapas,0)),"")</f>
        <v/>
      </c>
      <c r="D2690" t="str">
        <f>IFERROR(VLOOKUP(tbEscolas[[#This Row],[COD ETPA]],tbEtapas[],2,FALSE),"")</f>
        <v/>
      </c>
      <c r="E2690" t="str">
        <f>IFERROR(VLOOKUP(tbEscolas[[#This Row],[COD ETPA]],tbEtapas[],3,FALSE),"")</f>
        <v/>
      </c>
    </row>
    <row r="2691" spans="1:5" x14ac:dyDescent="0.25">
      <c r="A2691" t="str" cm="1">
        <f t="array" ref="A2691">IFERROR(INDEX(tbNucleo[ESCOLA],ROUNDUP(ROW(A2690)/TotalEtapas,0)),"")</f>
        <v/>
      </c>
      <c r="D2691" t="str">
        <f>IFERROR(VLOOKUP(tbEscolas[[#This Row],[COD ETPA]],tbEtapas[],2,FALSE),"")</f>
        <v/>
      </c>
      <c r="E2691" t="str">
        <f>IFERROR(VLOOKUP(tbEscolas[[#This Row],[COD ETPA]],tbEtapas[],3,FALSE),"")</f>
        <v/>
      </c>
    </row>
    <row r="2692" spans="1:5" x14ac:dyDescent="0.25">
      <c r="A2692" t="str" cm="1">
        <f t="array" ref="A2692">IFERROR(INDEX(tbNucleo[ESCOLA],ROUNDUP(ROW(A2691)/TotalEtapas,0)),"")</f>
        <v/>
      </c>
      <c r="D2692" t="str">
        <f>IFERROR(VLOOKUP(tbEscolas[[#This Row],[COD ETPA]],tbEtapas[],2,FALSE),"")</f>
        <v/>
      </c>
      <c r="E2692" t="str">
        <f>IFERROR(VLOOKUP(tbEscolas[[#This Row],[COD ETPA]],tbEtapas[],3,FALSE),"")</f>
        <v/>
      </c>
    </row>
    <row r="2693" spans="1:5" x14ac:dyDescent="0.25">
      <c r="A2693" t="str" cm="1">
        <f t="array" ref="A2693">IFERROR(INDEX(tbNucleo[ESCOLA],ROUNDUP(ROW(A2692)/TotalEtapas,0)),"")</f>
        <v/>
      </c>
      <c r="D2693" t="str">
        <f>IFERROR(VLOOKUP(tbEscolas[[#This Row],[COD ETPA]],tbEtapas[],2,FALSE),"")</f>
        <v/>
      </c>
      <c r="E2693" t="str">
        <f>IFERROR(VLOOKUP(tbEscolas[[#This Row],[COD ETPA]],tbEtapas[],3,FALSE),"")</f>
        <v/>
      </c>
    </row>
    <row r="2694" spans="1:5" x14ac:dyDescent="0.25">
      <c r="A2694" t="str" cm="1">
        <f t="array" ref="A2694">IFERROR(INDEX(tbNucleo[ESCOLA],ROUNDUP(ROW(A2693)/TotalEtapas,0)),"")</f>
        <v/>
      </c>
      <c r="D2694" t="str">
        <f>IFERROR(VLOOKUP(tbEscolas[[#This Row],[COD ETPA]],tbEtapas[],2,FALSE),"")</f>
        <v/>
      </c>
      <c r="E2694" t="str">
        <f>IFERROR(VLOOKUP(tbEscolas[[#This Row],[COD ETPA]],tbEtapas[],3,FALSE),"")</f>
        <v/>
      </c>
    </row>
    <row r="2695" spans="1:5" x14ac:dyDescent="0.25">
      <c r="A2695" t="str" cm="1">
        <f t="array" ref="A2695">IFERROR(INDEX(tbNucleo[ESCOLA],ROUNDUP(ROW(A2694)/TotalEtapas,0)),"")</f>
        <v/>
      </c>
      <c r="D2695" t="str">
        <f>IFERROR(VLOOKUP(tbEscolas[[#This Row],[COD ETPA]],tbEtapas[],2,FALSE),"")</f>
        <v/>
      </c>
      <c r="E2695" t="str">
        <f>IFERROR(VLOOKUP(tbEscolas[[#This Row],[COD ETPA]],tbEtapas[],3,FALSE),"")</f>
        <v/>
      </c>
    </row>
    <row r="2696" spans="1:5" x14ac:dyDescent="0.25">
      <c r="A2696" t="str" cm="1">
        <f t="array" ref="A2696">IFERROR(INDEX(tbNucleo[ESCOLA],ROUNDUP(ROW(A2695)/TotalEtapas,0)),"")</f>
        <v/>
      </c>
      <c r="D2696" t="str">
        <f>IFERROR(VLOOKUP(tbEscolas[[#This Row],[COD ETPA]],tbEtapas[],2,FALSE),"")</f>
        <v/>
      </c>
      <c r="E2696" t="str">
        <f>IFERROR(VLOOKUP(tbEscolas[[#This Row],[COD ETPA]],tbEtapas[],3,FALSE),"")</f>
        <v/>
      </c>
    </row>
    <row r="2697" spans="1:5" x14ac:dyDescent="0.25">
      <c r="A2697" t="str" cm="1">
        <f t="array" ref="A2697">IFERROR(INDEX(tbNucleo[ESCOLA],ROUNDUP(ROW(A2696)/TotalEtapas,0)),"")</f>
        <v/>
      </c>
      <c r="D2697" t="str">
        <f>IFERROR(VLOOKUP(tbEscolas[[#This Row],[COD ETPA]],tbEtapas[],2,FALSE),"")</f>
        <v/>
      </c>
      <c r="E2697" t="str">
        <f>IFERROR(VLOOKUP(tbEscolas[[#This Row],[COD ETPA]],tbEtapas[],3,FALSE),"")</f>
        <v/>
      </c>
    </row>
    <row r="2698" spans="1:5" x14ac:dyDescent="0.25">
      <c r="A2698" t="str" cm="1">
        <f t="array" ref="A2698">IFERROR(INDEX(tbNucleo[ESCOLA],ROUNDUP(ROW(A2697)/TotalEtapas,0)),"")</f>
        <v/>
      </c>
      <c r="D2698" t="str">
        <f>IFERROR(VLOOKUP(tbEscolas[[#This Row],[COD ETPA]],tbEtapas[],2,FALSE),"")</f>
        <v/>
      </c>
      <c r="E2698" t="str">
        <f>IFERROR(VLOOKUP(tbEscolas[[#This Row],[COD ETPA]],tbEtapas[],3,FALSE),"")</f>
        <v/>
      </c>
    </row>
    <row r="2699" spans="1:5" x14ac:dyDescent="0.25">
      <c r="A2699" t="str" cm="1">
        <f t="array" ref="A2699">IFERROR(INDEX(tbNucleo[ESCOLA],ROUNDUP(ROW(A2698)/TotalEtapas,0)),"")</f>
        <v/>
      </c>
      <c r="D2699" t="str">
        <f>IFERROR(VLOOKUP(tbEscolas[[#This Row],[COD ETPA]],tbEtapas[],2,FALSE),"")</f>
        <v/>
      </c>
      <c r="E2699" t="str">
        <f>IFERROR(VLOOKUP(tbEscolas[[#This Row],[COD ETPA]],tbEtapas[],3,FALSE),"")</f>
        <v/>
      </c>
    </row>
    <row r="2700" spans="1:5" x14ac:dyDescent="0.25">
      <c r="A2700" t="str" cm="1">
        <f t="array" ref="A2700">IFERROR(INDEX(tbNucleo[ESCOLA],ROUNDUP(ROW(A2699)/TotalEtapas,0)),"")</f>
        <v/>
      </c>
      <c r="D2700" t="str">
        <f>IFERROR(VLOOKUP(tbEscolas[[#This Row],[COD ETPA]],tbEtapas[],2,FALSE),"")</f>
        <v/>
      </c>
      <c r="E2700" t="str">
        <f>IFERROR(VLOOKUP(tbEscolas[[#This Row],[COD ETPA]],tbEtapas[],3,FALSE),"")</f>
        <v/>
      </c>
    </row>
    <row r="2701" spans="1:5" x14ac:dyDescent="0.25">
      <c r="A2701" t="str" cm="1">
        <f t="array" ref="A2701">IFERROR(INDEX(tbNucleo[ESCOLA],ROUNDUP(ROW(A2700)/TotalEtapas,0)),"")</f>
        <v/>
      </c>
      <c r="D2701" t="str">
        <f>IFERROR(VLOOKUP(tbEscolas[[#This Row],[COD ETPA]],tbEtapas[],2,FALSE),"")</f>
        <v/>
      </c>
      <c r="E2701" t="str">
        <f>IFERROR(VLOOKUP(tbEscolas[[#This Row],[COD ETPA]],tbEtapas[],3,FALSE),"")</f>
        <v/>
      </c>
    </row>
    <row r="2702" spans="1:5" x14ac:dyDescent="0.25">
      <c r="A2702" t="str" cm="1">
        <f t="array" ref="A2702">IFERROR(INDEX(tbNucleo[ESCOLA],ROUNDUP(ROW(A2701)/TotalEtapas,0)),"")</f>
        <v/>
      </c>
      <c r="D2702" t="str">
        <f>IFERROR(VLOOKUP(tbEscolas[[#This Row],[COD ETPA]],tbEtapas[],2,FALSE),"")</f>
        <v/>
      </c>
      <c r="E2702" t="str">
        <f>IFERROR(VLOOKUP(tbEscolas[[#This Row],[COD ETPA]],tbEtapas[],3,FALSE),"")</f>
        <v/>
      </c>
    </row>
    <row r="2703" spans="1:5" x14ac:dyDescent="0.25">
      <c r="A2703" t="str" cm="1">
        <f t="array" ref="A2703">IFERROR(INDEX(tbNucleo[ESCOLA],ROUNDUP(ROW(A2702)/TotalEtapas,0)),"")</f>
        <v/>
      </c>
      <c r="D2703" t="str">
        <f>IFERROR(VLOOKUP(tbEscolas[[#This Row],[COD ETPA]],tbEtapas[],2,FALSE),"")</f>
        <v/>
      </c>
      <c r="E2703" t="str">
        <f>IFERROR(VLOOKUP(tbEscolas[[#This Row],[COD ETPA]],tbEtapas[],3,FALSE),"")</f>
        <v/>
      </c>
    </row>
    <row r="2704" spans="1:5" x14ac:dyDescent="0.25">
      <c r="A2704" t="str" cm="1">
        <f t="array" ref="A2704">IFERROR(INDEX(tbNucleo[ESCOLA],ROUNDUP(ROW(A2703)/TotalEtapas,0)),"")</f>
        <v/>
      </c>
      <c r="D2704" t="str">
        <f>IFERROR(VLOOKUP(tbEscolas[[#This Row],[COD ETPA]],tbEtapas[],2,FALSE),"")</f>
        <v/>
      </c>
      <c r="E2704" t="str">
        <f>IFERROR(VLOOKUP(tbEscolas[[#This Row],[COD ETPA]],tbEtapas[],3,FALSE),"")</f>
        <v/>
      </c>
    </row>
    <row r="2705" spans="1:5" x14ac:dyDescent="0.25">
      <c r="A2705" t="str" cm="1">
        <f t="array" ref="A2705">IFERROR(INDEX(tbNucleo[ESCOLA],ROUNDUP(ROW(A2704)/TotalEtapas,0)),"")</f>
        <v/>
      </c>
      <c r="D2705" t="str">
        <f>IFERROR(VLOOKUP(tbEscolas[[#This Row],[COD ETPA]],tbEtapas[],2,FALSE),"")</f>
        <v/>
      </c>
      <c r="E2705" t="str">
        <f>IFERROR(VLOOKUP(tbEscolas[[#This Row],[COD ETPA]],tbEtapas[],3,FALSE),"")</f>
        <v/>
      </c>
    </row>
    <row r="2706" spans="1:5" x14ac:dyDescent="0.25">
      <c r="A2706" t="str" cm="1">
        <f t="array" ref="A2706">IFERROR(INDEX(tbNucleo[ESCOLA],ROUNDUP(ROW(A2705)/TotalEtapas,0)),"")</f>
        <v/>
      </c>
      <c r="D2706" t="str">
        <f>IFERROR(VLOOKUP(tbEscolas[[#This Row],[COD ETPA]],tbEtapas[],2,FALSE),"")</f>
        <v/>
      </c>
      <c r="E2706" t="str">
        <f>IFERROR(VLOOKUP(tbEscolas[[#This Row],[COD ETPA]],tbEtapas[],3,FALSE),"")</f>
        <v/>
      </c>
    </row>
    <row r="2707" spans="1:5" x14ac:dyDescent="0.25">
      <c r="A2707" t="str" cm="1">
        <f t="array" ref="A2707">IFERROR(INDEX(tbNucleo[ESCOLA],ROUNDUP(ROW(A2706)/TotalEtapas,0)),"")</f>
        <v/>
      </c>
      <c r="D2707" t="str">
        <f>IFERROR(VLOOKUP(tbEscolas[[#This Row],[COD ETPA]],tbEtapas[],2,FALSE),"")</f>
        <v/>
      </c>
      <c r="E2707" t="str">
        <f>IFERROR(VLOOKUP(tbEscolas[[#This Row],[COD ETPA]],tbEtapas[],3,FALSE),"")</f>
        <v/>
      </c>
    </row>
    <row r="2708" spans="1:5" x14ac:dyDescent="0.25">
      <c r="A2708" t="str" cm="1">
        <f t="array" ref="A2708">IFERROR(INDEX(tbNucleo[ESCOLA],ROUNDUP(ROW(A2707)/TotalEtapas,0)),"")</f>
        <v/>
      </c>
      <c r="D2708" t="str">
        <f>IFERROR(VLOOKUP(tbEscolas[[#This Row],[COD ETPA]],tbEtapas[],2,FALSE),"")</f>
        <v/>
      </c>
      <c r="E2708" t="str">
        <f>IFERROR(VLOOKUP(tbEscolas[[#This Row],[COD ETPA]],tbEtapas[],3,FALSE),"")</f>
        <v/>
      </c>
    </row>
    <row r="2709" spans="1:5" x14ac:dyDescent="0.25">
      <c r="A2709" t="str" cm="1">
        <f t="array" ref="A2709">IFERROR(INDEX(tbNucleo[ESCOLA],ROUNDUP(ROW(A2708)/TotalEtapas,0)),"")</f>
        <v/>
      </c>
      <c r="D2709" t="str">
        <f>IFERROR(VLOOKUP(tbEscolas[[#This Row],[COD ETPA]],tbEtapas[],2,FALSE),"")</f>
        <v/>
      </c>
      <c r="E2709" t="str">
        <f>IFERROR(VLOOKUP(tbEscolas[[#This Row],[COD ETPA]],tbEtapas[],3,FALSE),"")</f>
        <v/>
      </c>
    </row>
    <row r="2710" spans="1:5" x14ac:dyDescent="0.25">
      <c r="A2710" t="str" cm="1">
        <f t="array" ref="A2710">IFERROR(INDEX(tbNucleo[ESCOLA],ROUNDUP(ROW(A2709)/TotalEtapas,0)),"")</f>
        <v/>
      </c>
      <c r="D2710" t="str">
        <f>IFERROR(VLOOKUP(tbEscolas[[#This Row],[COD ETPA]],tbEtapas[],2,FALSE),"")</f>
        <v/>
      </c>
      <c r="E2710" t="str">
        <f>IFERROR(VLOOKUP(tbEscolas[[#This Row],[COD ETPA]],tbEtapas[],3,FALSE),"")</f>
        <v/>
      </c>
    </row>
    <row r="2711" spans="1:5" x14ac:dyDescent="0.25">
      <c r="A2711" t="str" cm="1">
        <f t="array" ref="A2711">IFERROR(INDEX(tbNucleo[ESCOLA],ROUNDUP(ROW(A2710)/TotalEtapas,0)),"")</f>
        <v/>
      </c>
      <c r="D2711" t="str">
        <f>IFERROR(VLOOKUP(tbEscolas[[#This Row],[COD ETPA]],tbEtapas[],2,FALSE),"")</f>
        <v/>
      </c>
      <c r="E2711" t="str">
        <f>IFERROR(VLOOKUP(tbEscolas[[#This Row],[COD ETPA]],tbEtapas[],3,FALSE),"")</f>
        <v/>
      </c>
    </row>
    <row r="2712" spans="1:5" x14ac:dyDescent="0.25">
      <c r="A2712" t="str" cm="1">
        <f t="array" ref="A2712">IFERROR(INDEX(tbNucleo[ESCOLA],ROUNDUP(ROW(A2711)/TotalEtapas,0)),"")</f>
        <v/>
      </c>
      <c r="D2712" t="str">
        <f>IFERROR(VLOOKUP(tbEscolas[[#This Row],[COD ETPA]],tbEtapas[],2,FALSE),"")</f>
        <v/>
      </c>
      <c r="E2712" t="str">
        <f>IFERROR(VLOOKUP(tbEscolas[[#This Row],[COD ETPA]],tbEtapas[],3,FALSE),"")</f>
        <v/>
      </c>
    </row>
    <row r="2713" spans="1:5" x14ac:dyDescent="0.25">
      <c r="A2713" t="str" cm="1">
        <f t="array" ref="A2713">IFERROR(INDEX(tbNucleo[ESCOLA],ROUNDUP(ROW(A2712)/TotalEtapas,0)),"")</f>
        <v/>
      </c>
      <c r="D2713" t="str">
        <f>IFERROR(VLOOKUP(tbEscolas[[#This Row],[COD ETPA]],tbEtapas[],2,FALSE),"")</f>
        <v/>
      </c>
      <c r="E2713" t="str">
        <f>IFERROR(VLOOKUP(tbEscolas[[#This Row],[COD ETPA]],tbEtapas[],3,FALSE),"")</f>
        <v/>
      </c>
    </row>
    <row r="2714" spans="1:5" x14ac:dyDescent="0.25">
      <c r="A2714" t="str" cm="1">
        <f t="array" ref="A2714">IFERROR(INDEX(tbNucleo[ESCOLA],ROUNDUP(ROW(A2713)/TotalEtapas,0)),"")</f>
        <v/>
      </c>
      <c r="D2714" t="str">
        <f>IFERROR(VLOOKUP(tbEscolas[[#This Row],[COD ETPA]],tbEtapas[],2,FALSE),"")</f>
        <v/>
      </c>
      <c r="E2714" t="str">
        <f>IFERROR(VLOOKUP(tbEscolas[[#This Row],[COD ETPA]],tbEtapas[],3,FALSE),"")</f>
        <v/>
      </c>
    </row>
    <row r="2715" spans="1:5" x14ac:dyDescent="0.25">
      <c r="A2715" t="str" cm="1">
        <f t="array" ref="A2715">IFERROR(INDEX(tbNucleo[ESCOLA],ROUNDUP(ROW(A2714)/TotalEtapas,0)),"")</f>
        <v/>
      </c>
      <c r="D2715" t="str">
        <f>IFERROR(VLOOKUP(tbEscolas[[#This Row],[COD ETPA]],tbEtapas[],2,FALSE),"")</f>
        <v/>
      </c>
      <c r="E2715" t="str">
        <f>IFERROR(VLOOKUP(tbEscolas[[#This Row],[COD ETPA]],tbEtapas[],3,FALSE),"")</f>
        <v/>
      </c>
    </row>
    <row r="2716" spans="1:5" x14ac:dyDescent="0.25">
      <c r="A2716" t="str" cm="1">
        <f t="array" ref="A2716">IFERROR(INDEX(tbNucleo[ESCOLA],ROUNDUP(ROW(A2715)/TotalEtapas,0)),"")</f>
        <v/>
      </c>
      <c r="D2716" t="str">
        <f>IFERROR(VLOOKUP(tbEscolas[[#This Row],[COD ETPA]],tbEtapas[],2,FALSE),"")</f>
        <v/>
      </c>
      <c r="E2716" t="str">
        <f>IFERROR(VLOOKUP(tbEscolas[[#This Row],[COD ETPA]],tbEtapas[],3,FALSE),"")</f>
        <v/>
      </c>
    </row>
    <row r="2717" spans="1:5" x14ac:dyDescent="0.25">
      <c r="A2717" t="str" cm="1">
        <f t="array" ref="A2717">IFERROR(INDEX(tbNucleo[ESCOLA],ROUNDUP(ROW(A2716)/TotalEtapas,0)),"")</f>
        <v/>
      </c>
      <c r="D2717" t="str">
        <f>IFERROR(VLOOKUP(tbEscolas[[#This Row],[COD ETPA]],tbEtapas[],2,FALSE),"")</f>
        <v/>
      </c>
      <c r="E2717" t="str">
        <f>IFERROR(VLOOKUP(tbEscolas[[#This Row],[COD ETPA]],tbEtapas[],3,FALSE),"")</f>
        <v/>
      </c>
    </row>
    <row r="2718" spans="1:5" x14ac:dyDescent="0.25">
      <c r="A2718" t="str" cm="1">
        <f t="array" ref="A2718">IFERROR(INDEX(tbNucleo[ESCOLA],ROUNDUP(ROW(A2717)/TotalEtapas,0)),"")</f>
        <v/>
      </c>
      <c r="D2718" t="str">
        <f>IFERROR(VLOOKUP(tbEscolas[[#This Row],[COD ETPA]],tbEtapas[],2,FALSE),"")</f>
        <v/>
      </c>
      <c r="E2718" t="str">
        <f>IFERROR(VLOOKUP(tbEscolas[[#This Row],[COD ETPA]],tbEtapas[],3,FALSE),"")</f>
        <v/>
      </c>
    </row>
    <row r="2719" spans="1:5" x14ac:dyDescent="0.25">
      <c r="A2719" t="str" cm="1">
        <f t="array" ref="A2719">IFERROR(INDEX(tbNucleo[ESCOLA],ROUNDUP(ROW(A2718)/TotalEtapas,0)),"")</f>
        <v/>
      </c>
      <c r="D2719" t="str">
        <f>IFERROR(VLOOKUP(tbEscolas[[#This Row],[COD ETPA]],tbEtapas[],2,FALSE),"")</f>
        <v/>
      </c>
      <c r="E2719" t="str">
        <f>IFERROR(VLOOKUP(tbEscolas[[#This Row],[COD ETPA]],tbEtapas[],3,FALSE),"")</f>
        <v/>
      </c>
    </row>
    <row r="2720" spans="1:5" x14ac:dyDescent="0.25">
      <c r="A2720" t="str" cm="1">
        <f t="array" ref="A2720">IFERROR(INDEX(tbNucleo[ESCOLA],ROUNDUP(ROW(A2719)/TotalEtapas,0)),"")</f>
        <v/>
      </c>
      <c r="D2720" t="str">
        <f>IFERROR(VLOOKUP(tbEscolas[[#This Row],[COD ETPA]],tbEtapas[],2,FALSE),"")</f>
        <v/>
      </c>
      <c r="E2720" t="str">
        <f>IFERROR(VLOOKUP(tbEscolas[[#This Row],[COD ETPA]],tbEtapas[],3,FALSE),"")</f>
        <v/>
      </c>
    </row>
    <row r="2721" spans="1:5" x14ac:dyDescent="0.25">
      <c r="A2721" t="str" cm="1">
        <f t="array" ref="A2721">IFERROR(INDEX(tbNucleo[ESCOLA],ROUNDUP(ROW(A2720)/TotalEtapas,0)),"")</f>
        <v/>
      </c>
      <c r="D2721" t="str">
        <f>IFERROR(VLOOKUP(tbEscolas[[#This Row],[COD ETPA]],tbEtapas[],2,FALSE),"")</f>
        <v/>
      </c>
      <c r="E2721" t="str">
        <f>IFERROR(VLOOKUP(tbEscolas[[#This Row],[COD ETPA]],tbEtapas[],3,FALSE),"")</f>
        <v/>
      </c>
    </row>
    <row r="2722" spans="1:5" x14ac:dyDescent="0.25">
      <c r="A2722" t="str" cm="1">
        <f t="array" ref="A2722">IFERROR(INDEX(tbNucleo[ESCOLA],ROUNDUP(ROW(A2721)/TotalEtapas,0)),"")</f>
        <v/>
      </c>
      <c r="D2722" t="str">
        <f>IFERROR(VLOOKUP(tbEscolas[[#This Row],[COD ETPA]],tbEtapas[],2,FALSE),"")</f>
        <v/>
      </c>
      <c r="E2722" t="str">
        <f>IFERROR(VLOOKUP(tbEscolas[[#This Row],[COD ETPA]],tbEtapas[],3,FALSE),"")</f>
        <v/>
      </c>
    </row>
    <row r="2723" spans="1:5" x14ac:dyDescent="0.25">
      <c r="A2723" t="str" cm="1">
        <f t="array" ref="A2723">IFERROR(INDEX(tbNucleo[ESCOLA],ROUNDUP(ROW(A2722)/TotalEtapas,0)),"")</f>
        <v/>
      </c>
      <c r="D2723" t="str">
        <f>IFERROR(VLOOKUP(tbEscolas[[#This Row],[COD ETPA]],tbEtapas[],2,FALSE),"")</f>
        <v/>
      </c>
      <c r="E2723" t="str">
        <f>IFERROR(VLOOKUP(tbEscolas[[#This Row],[COD ETPA]],tbEtapas[],3,FALSE),"")</f>
        <v/>
      </c>
    </row>
    <row r="2724" spans="1:5" x14ac:dyDescent="0.25">
      <c r="A2724" t="str" cm="1">
        <f t="array" ref="A2724">IFERROR(INDEX(tbNucleo[ESCOLA],ROUNDUP(ROW(A2723)/TotalEtapas,0)),"")</f>
        <v/>
      </c>
      <c r="D2724" t="str">
        <f>IFERROR(VLOOKUP(tbEscolas[[#This Row],[COD ETPA]],tbEtapas[],2,FALSE),"")</f>
        <v/>
      </c>
      <c r="E2724" t="str">
        <f>IFERROR(VLOOKUP(tbEscolas[[#This Row],[COD ETPA]],tbEtapas[],3,FALSE),"")</f>
        <v/>
      </c>
    </row>
    <row r="2725" spans="1:5" x14ac:dyDescent="0.25">
      <c r="A2725" t="str" cm="1">
        <f t="array" ref="A2725">IFERROR(INDEX(tbNucleo[ESCOLA],ROUNDUP(ROW(A2724)/TotalEtapas,0)),"")</f>
        <v/>
      </c>
      <c r="D2725" t="str">
        <f>IFERROR(VLOOKUP(tbEscolas[[#This Row],[COD ETPA]],tbEtapas[],2,FALSE),"")</f>
        <v/>
      </c>
      <c r="E2725" t="str">
        <f>IFERROR(VLOOKUP(tbEscolas[[#This Row],[COD ETPA]],tbEtapas[],3,FALSE),"")</f>
        <v/>
      </c>
    </row>
    <row r="2726" spans="1:5" x14ac:dyDescent="0.25">
      <c r="A2726" t="str" cm="1">
        <f t="array" ref="A2726">IFERROR(INDEX(tbNucleo[ESCOLA],ROUNDUP(ROW(A2725)/TotalEtapas,0)),"")</f>
        <v/>
      </c>
      <c r="D2726" t="str">
        <f>IFERROR(VLOOKUP(tbEscolas[[#This Row],[COD ETPA]],tbEtapas[],2,FALSE),"")</f>
        <v/>
      </c>
      <c r="E2726" t="str">
        <f>IFERROR(VLOOKUP(tbEscolas[[#This Row],[COD ETPA]],tbEtapas[],3,FALSE),"")</f>
        <v/>
      </c>
    </row>
    <row r="2727" spans="1:5" x14ac:dyDescent="0.25">
      <c r="A2727" t="str" cm="1">
        <f t="array" ref="A2727">IFERROR(INDEX(tbNucleo[ESCOLA],ROUNDUP(ROW(A2726)/TotalEtapas,0)),"")</f>
        <v/>
      </c>
      <c r="D2727" t="str">
        <f>IFERROR(VLOOKUP(tbEscolas[[#This Row],[COD ETPA]],tbEtapas[],2,FALSE),"")</f>
        <v/>
      </c>
      <c r="E2727" t="str">
        <f>IFERROR(VLOOKUP(tbEscolas[[#This Row],[COD ETPA]],tbEtapas[],3,FALSE),"")</f>
        <v/>
      </c>
    </row>
    <row r="2728" spans="1:5" x14ac:dyDescent="0.25">
      <c r="A2728" t="str" cm="1">
        <f t="array" ref="A2728">IFERROR(INDEX(tbNucleo[ESCOLA],ROUNDUP(ROW(A2727)/TotalEtapas,0)),"")</f>
        <v/>
      </c>
      <c r="D2728" t="str">
        <f>IFERROR(VLOOKUP(tbEscolas[[#This Row],[COD ETPA]],tbEtapas[],2,FALSE),"")</f>
        <v/>
      </c>
      <c r="E2728" t="str">
        <f>IFERROR(VLOOKUP(tbEscolas[[#This Row],[COD ETPA]],tbEtapas[],3,FALSE),"")</f>
        <v/>
      </c>
    </row>
    <row r="2729" spans="1:5" x14ac:dyDescent="0.25">
      <c r="A2729" t="str" cm="1">
        <f t="array" ref="A2729">IFERROR(INDEX(tbNucleo[ESCOLA],ROUNDUP(ROW(A2728)/TotalEtapas,0)),"")</f>
        <v/>
      </c>
      <c r="D2729" t="str">
        <f>IFERROR(VLOOKUP(tbEscolas[[#This Row],[COD ETPA]],tbEtapas[],2,FALSE),"")</f>
        <v/>
      </c>
      <c r="E2729" t="str">
        <f>IFERROR(VLOOKUP(tbEscolas[[#This Row],[COD ETPA]],tbEtapas[],3,FALSE),"")</f>
        <v/>
      </c>
    </row>
    <row r="2730" spans="1:5" x14ac:dyDescent="0.25">
      <c r="A2730" t="str" cm="1">
        <f t="array" ref="A2730">IFERROR(INDEX(tbNucleo[ESCOLA],ROUNDUP(ROW(A2729)/TotalEtapas,0)),"")</f>
        <v/>
      </c>
      <c r="D2730" t="str">
        <f>IFERROR(VLOOKUP(tbEscolas[[#This Row],[COD ETPA]],tbEtapas[],2,FALSE),"")</f>
        <v/>
      </c>
      <c r="E2730" t="str">
        <f>IFERROR(VLOOKUP(tbEscolas[[#This Row],[COD ETPA]],tbEtapas[],3,FALSE),"")</f>
        <v/>
      </c>
    </row>
    <row r="2731" spans="1:5" x14ac:dyDescent="0.25">
      <c r="A2731" t="str" cm="1">
        <f t="array" ref="A2731">IFERROR(INDEX(tbNucleo[ESCOLA],ROUNDUP(ROW(A2730)/TotalEtapas,0)),"")</f>
        <v/>
      </c>
      <c r="D2731" t="str">
        <f>IFERROR(VLOOKUP(tbEscolas[[#This Row],[COD ETPA]],tbEtapas[],2,FALSE),"")</f>
        <v/>
      </c>
      <c r="E2731" t="str">
        <f>IFERROR(VLOOKUP(tbEscolas[[#This Row],[COD ETPA]],tbEtapas[],3,FALSE),"")</f>
        <v/>
      </c>
    </row>
    <row r="2732" spans="1:5" x14ac:dyDescent="0.25">
      <c r="A2732" t="str" cm="1">
        <f t="array" ref="A2732">IFERROR(INDEX(tbNucleo[ESCOLA],ROUNDUP(ROW(A2731)/TotalEtapas,0)),"")</f>
        <v/>
      </c>
      <c r="D2732" t="str">
        <f>IFERROR(VLOOKUP(tbEscolas[[#This Row],[COD ETPA]],tbEtapas[],2,FALSE),"")</f>
        <v/>
      </c>
      <c r="E2732" t="str">
        <f>IFERROR(VLOOKUP(tbEscolas[[#This Row],[COD ETPA]],tbEtapas[],3,FALSE),"")</f>
        <v/>
      </c>
    </row>
    <row r="2733" spans="1:5" x14ac:dyDescent="0.25">
      <c r="A2733" t="str" cm="1">
        <f t="array" ref="A2733">IFERROR(INDEX(tbNucleo[ESCOLA],ROUNDUP(ROW(A2732)/TotalEtapas,0)),"")</f>
        <v/>
      </c>
      <c r="D2733" t="str">
        <f>IFERROR(VLOOKUP(tbEscolas[[#This Row],[COD ETPA]],tbEtapas[],2,FALSE),"")</f>
        <v/>
      </c>
      <c r="E2733" t="str">
        <f>IFERROR(VLOOKUP(tbEscolas[[#This Row],[COD ETPA]],tbEtapas[],3,FALSE),"")</f>
        <v/>
      </c>
    </row>
    <row r="2734" spans="1:5" x14ac:dyDescent="0.25">
      <c r="A2734" t="str" cm="1">
        <f t="array" ref="A2734">IFERROR(INDEX(tbNucleo[ESCOLA],ROUNDUP(ROW(A2733)/TotalEtapas,0)),"")</f>
        <v/>
      </c>
      <c r="D2734" t="str">
        <f>IFERROR(VLOOKUP(tbEscolas[[#This Row],[COD ETPA]],tbEtapas[],2,FALSE),"")</f>
        <v/>
      </c>
      <c r="E2734" t="str">
        <f>IFERROR(VLOOKUP(tbEscolas[[#This Row],[COD ETPA]],tbEtapas[],3,FALSE),"")</f>
        <v/>
      </c>
    </row>
    <row r="2735" spans="1:5" x14ac:dyDescent="0.25">
      <c r="A2735" t="str" cm="1">
        <f t="array" ref="A2735">IFERROR(INDEX(tbNucleo[ESCOLA],ROUNDUP(ROW(A2734)/TotalEtapas,0)),"")</f>
        <v/>
      </c>
      <c r="D2735" t="str">
        <f>IFERROR(VLOOKUP(tbEscolas[[#This Row],[COD ETPA]],tbEtapas[],2,FALSE),"")</f>
        <v/>
      </c>
      <c r="E2735" t="str">
        <f>IFERROR(VLOOKUP(tbEscolas[[#This Row],[COD ETPA]],tbEtapas[],3,FALSE),"")</f>
        <v/>
      </c>
    </row>
    <row r="2736" spans="1:5" x14ac:dyDescent="0.25">
      <c r="A2736" t="str" cm="1">
        <f t="array" ref="A2736">IFERROR(INDEX(tbNucleo[ESCOLA],ROUNDUP(ROW(A2735)/TotalEtapas,0)),"")</f>
        <v/>
      </c>
      <c r="D2736" t="str">
        <f>IFERROR(VLOOKUP(tbEscolas[[#This Row],[COD ETPA]],tbEtapas[],2,FALSE),"")</f>
        <v/>
      </c>
      <c r="E2736" t="str">
        <f>IFERROR(VLOOKUP(tbEscolas[[#This Row],[COD ETPA]],tbEtapas[],3,FALSE),"")</f>
        <v/>
      </c>
    </row>
    <row r="2737" spans="1:5" x14ac:dyDescent="0.25">
      <c r="A2737" t="str" cm="1">
        <f t="array" ref="A2737">IFERROR(INDEX(tbNucleo[ESCOLA],ROUNDUP(ROW(A2736)/TotalEtapas,0)),"")</f>
        <v/>
      </c>
      <c r="D2737" t="str">
        <f>IFERROR(VLOOKUP(tbEscolas[[#This Row],[COD ETPA]],tbEtapas[],2,FALSE),"")</f>
        <v/>
      </c>
      <c r="E2737" t="str">
        <f>IFERROR(VLOOKUP(tbEscolas[[#This Row],[COD ETPA]],tbEtapas[],3,FALSE),"")</f>
        <v/>
      </c>
    </row>
    <row r="2738" spans="1:5" x14ac:dyDescent="0.25">
      <c r="A2738" t="str" cm="1">
        <f t="array" ref="A2738">IFERROR(INDEX(tbNucleo[ESCOLA],ROUNDUP(ROW(A2737)/TotalEtapas,0)),"")</f>
        <v/>
      </c>
      <c r="D2738" t="str">
        <f>IFERROR(VLOOKUP(tbEscolas[[#This Row],[COD ETPA]],tbEtapas[],2,FALSE),"")</f>
        <v/>
      </c>
      <c r="E2738" t="str">
        <f>IFERROR(VLOOKUP(tbEscolas[[#This Row],[COD ETPA]],tbEtapas[],3,FALSE),"")</f>
        <v/>
      </c>
    </row>
    <row r="2739" spans="1:5" x14ac:dyDescent="0.25">
      <c r="A2739" t="str" cm="1">
        <f t="array" ref="A2739">IFERROR(INDEX(tbNucleo[ESCOLA],ROUNDUP(ROW(A2738)/TotalEtapas,0)),"")</f>
        <v/>
      </c>
      <c r="D2739" t="str">
        <f>IFERROR(VLOOKUP(tbEscolas[[#This Row],[COD ETPA]],tbEtapas[],2,FALSE),"")</f>
        <v/>
      </c>
      <c r="E2739" t="str">
        <f>IFERROR(VLOOKUP(tbEscolas[[#This Row],[COD ETPA]],tbEtapas[],3,FALSE),"")</f>
        <v/>
      </c>
    </row>
    <row r="2740" spans="1:5" x14ac:dyDescent="0.25">
      <c r="A2740" t="str" cm="1">
        <f t="array" ref="A2740">IFERROR(INDEX(tbNucleo[ESCOLA],ROUNDUP(ROW(A2739)/TotalEtapas,0)),"")</f>
        <v/>
      </c>
      <c r="D2740" t="str">
        <f>IFERROR(VLOOKUP(tbEscolas[[#This Row],[COD ETPA]],tbEtapas[],2,FALSE),"")</f>
        <v/>
      </c>
      <c r="E2740" t="str">
        <f>IFERROR(VLOOKUP(tbEscolas[[#This Row],[COD ETPA]],tbEtapas[],3,FALSE),"")</f>
        <v/>
      </c>
    </row>
    <row r="2741" spans="1:5" x14ac:dyDescent="0.25">
      <c r="A2741" t="str" cm="1">
        <f t="array" ref="A2741">IFERROR(INDEX(tbNucleo[ESCOLA],ROUNDUP(ROW(A2740)/TotalEtapas,0)),"")</f>
        <v/>
      </c>
      <c r="D2741" t="str">
        <f>IFERROR(VLOOKUP(tbEscolas[[#This Row],[COD ETPA]],tbEtapas[],2,FALSE),"")</f>
        <v/>
      </c>
      <c r="E2741" t="str">
        <f>IFERROR(VLOOKUP(tbEscolas[[#This Row],[COD ETPA]],tbEtapas[],3,FALSE),"")</f>
        <v/>
      </c>
    </row>
    <row r="2742" spans="1:5" x14ac:dyDescent="0.25">
      <c r="A2742" t="str" cm="1">
        <f t="array" ref="A2742">IFERROR(INDEX(tbNucleo[ESCOLA],ROUNDUP(ROW(A2741)/TotalEtapas,0)),"")</f>
        <v/>
      </c>
      <c r="D2742" t="str">
        <f>IFERROR(VLOOKUP(tbEscolas[[#This Row],[COD ETPA]],tbEtapas[],2,FALSE),"")</f>
        <v/>
      </c>
      <c r="E2742" t="str">
        <f>IFERROR(VLOOKUP(tbEscolas[[#This Row],[COD ETPA]],tbEtapas[],3,FALSE),"")</f>
        <v/>
      </c>
    </row>
    <row r="2743" spans="1:5" x14ac:dyDescent="0.25">
      <c r="A2743" t="str" cm="1">
        <f t="array" ref="A2743">IFERROR(INDEX(tbNucleo[ESCOLA],ROUNDUP(ROW(A2742)/TotalEtapas,0)),"")</f>
        <v/>
      </c>
      <c r="D2743" t="str">
        <f>IFERROR(VLOOKUP(tbEscolas[[#This Row],[COD ETPA]],tbEtapas[],2,FALSE),"")</f>
        <v/>
      </c>
      <c r="E2743" t="str">
        <f>IFERROR(VLOOKUP(tbEscolas[[#This Row],[COD ETPA]],tbEtapas[],3,FALSE),"")</f>
        <v/>
      </c>
    </row>
    <row r="2744" spans="1:5" x14ac:dyDescent="0.25">
      <c r="A2744" t="str" cm="1">
        <f t="array" ref="A2744">IFERROR(INDEX(tbNucleo[ESCOLA],ROUNDUP(ROW(A2743)/TotalEtapas,0)),"")</f>
        <v/>
      </c>
      <c r="D2744" t="str">
        <f>IFERROR(VLOOKUP(tbEscolas[[#This Row],[COD ETPA]],tbEtapas[],2,FALSE),"")</f>
        <v/>
      </c>
      <c r="E2744" t="str">
        <f>IFERROR(VLOOKUP(tbEscolas[[#This Row],[COD ETPA]],tbEtapas[],3,FALSE),"")</f>
        <v/>
      </c>
    </row>
    <row r="2745" spans="1:5" x14ac:dyDescent="0.25">
      <c r="A2745" t="str" cm="1">
        <f t="array" ref="A2745">IFERROR(INDEX(tbNucleo[ESCOLA],ROUNDUP(ROW(A2744)/TotalEtapas,0)),"")</f>
        <v/>
      </c>
      <c r="D2745" t="str">
        <f>IFERROR(VLOOKUP(tbEscolas[[#This Row],[COD ETPA]],tbEtapas[],2,FALSE),"")</f>
        <v/>
      </c>
      <c r="E2745" t="str">
        <f>IFERROR(VLOOKUP(tbEscolas[[#This Row],[COD ETPA]],tbEtapas[],3,FALSE),"")</f>
        <v/>
      </c>
    </row>
    <row r="2746" spans="1:5" x14ac:dyDescent="0.25">
      <c r="A2746" t="str" cm="1">
        <f t="array" ref="A2746">IFERROR(INDEX(tbNucleo[ESCOLA],ROUNDUP(ROW(A2745)/TotalEtapas,0)),"")</f>
        <v/>
      </c>
      <c r="D2746" t="str">
        <f>IFERROR(VLOOKUP(tbEscolas[[#This Row],[COD ETPA]],tbEtapas[],2,FALSE),"")</f>
        <v/>
      </c>
      <c r="E2746" t="str">
        <f>IFERROR(VLOOKUP(tbEscolas[[#This Row],[COD ETPA]],tbEtapas[],3,FALSE),"")</f>
        <v/>
      </c>
    </row>
    <row r="2747" spans="1:5" x14ac:dyDescent="0.25">
      <c r="A2747" t="str" cm="1">
        <f t="array" ref="A2747">IFERROR(INDEX(tbNucleo[ESCOLA],ROUNDUP(ROW(A2746)/TotalEtapas,0)),"")</f>
        <v/>
      </c>
      <c r="D2747" t="str">
        <f>IFERROR(VLOOKUP(tbEscolas[[#This Row],[COD ETPA]],tbEtapas[],2,FALSE),"")</f>
        <v/>
      </c>
      <c r="E2747" t="str">
        <f>IFERROR(VLOOKUP(tbEscolas[[#This Row],[COD ETPA]],tbEtapas[],3,FALSE),"")</f>
        <v/>
      </c>
    </row>
    <row r="2748" spans="1:5" x14ac:dyDescent="0.25">
      <c r="A2748" t="str" cm="1">
        <f t="array" ref="A2748">IFERROR(INDEX(tbNucleo[ESCOLA],ROUNDUP(ROW(A2747)/TotalEtapas,0)),"")</f>
        <v/>
      </c>
      <c r="D2748" t="str">
        <f>IFERROR(VLOOKUP(tbEscolas[[#This Row],[COD ETPA]],tbEtapas[],2,FALSE),"")</f>
        <v/>
      </c>
      <c r="E2748" t="str">
        <f>IFERROR(VLOOKUP(tbEscolas[[#This Row],[COD ETPA]],tbEtapas[],3,FALSE),"")</f>
        <v/>
      </c>
    </row>
    <row r="2749" spans="1:5" x14ac:dyDescent="0.25">
      <c r="A2749" t="str" cm="1">
        <f t="array" ref="A2749">IFERROR(INDEX(tbNucleo[ESCOLA],ROUNDUP(ROW(A2748)/TotalEtapas,0)),"")</f>
        <v/>
      </c>
      <c r="D2749" t="str">
        <f>IFERROR(VLOOKUP(tbEscolas[[#This Row],[COD ETPA]],tbEtapas[],2,FALSE),"")</f>
        <v/>
      </c>
      <c r="E2749" t="str">
        <f>IFERROR(VLOOKUP(tbEscolas[[#This Row],[COD ETPA]],tbEtapas[],3,FALSE),"")</f>
        <v/>
      </c>
    </row>
    <row r="2750" spans="1:5" x14ac:dyDescent="0.25">
      <c r="A2750" t="str" cm="1">
        <f t="array" ref="A2750">IFERROR(INDEX(tbNucleo[ESCOLA],ROUNDUP(ROW(A2749)/TotalEtapas,0)),"")</f>
        <v/>
      </c>
      <c r="D2750" t="str">
        <f>IFERROR(VLOOKUP(tbEscolas[[#This Row],[COD ETPA]],tbEtapas[],2,FALSE),"")</f>
        <v/>
      </c>
      <c r="E2750" t="str">
        <f>IFERROR(VLOOKUP(tbEscolas[[#This Row],[COD ETPA]],tbEtapas[],3,FALSE),"")</f>
        <v/>
      </c>
    </row>
    <row r="2751" spans="1:5" x14ac:dyDescent="0.25">
      <c r="A2751" t="str" cm="1">
        <f t="array" ref="A2751">IFERROR(INDEX(tbNucleo[ESCOLA],ROUNDUP(ROW(A2750)/TotalEtapas,0)),"")</f>
        <v/>
      </c>
      <c r="D2751" t="str">
        <f>IFERROR(VLOOKUP(tbEscolas[[#This Row],[COD ETPA]],tbEtapas[],2,FALSE),"")</f>
        <v/>
      </c>
      <c r="E2751" t="str">
        <f>IFERROR(VLOOKUP(tbEscolas[[#This Row],[COD ETPA]],tbEtapas[],3,FALSE),"")</f>
        <v/>
      </c>
    </row>
    <row r="2752" spans="1:5" x14ac:dyDescent="0.25">
      <c r="A2752" t="str" cm="1">
        <f t="array" ref="A2752">IFERROR(INDEX(tbNucleo[ESCOLA],ROUNDUP(ROW(A2751)/TotalEtapas,0)),"")</f>
        <v/>
      </c>
      <c r="D2752" t="str">
        <f>IFERROR(VLOOKUP(tbEscolas[[#This Row],[COD ETPA]],tbEtapas[],2,FALSE),"")</f>
        <v/>
      </c>
      <c r="E2752" t="str">
        <f>IFERROR(VLOOKUP(tbEscolas[[#This Row],[COD ETPA]],tbEtapas[],3,FALSE),"")</f>
        <v/>
      </c>
    </row>
    <row r="2753" spans="1:5" x14ac:dyDescent="0.25">
      <c r="A2753" t="str" cm="1">
        <f t="array" ref="A2753">IFERROR(INDEX(tbNucleo[ESCOLA],ROUNDUP(ROW(A2752)/TotalEtapas,0)),"")</f>
        <v/>
      </c>
      <c r="D2753" t="str">
        <f>IFERROR(VLOOKUP(tbEscolas[[#This Row],[COD ETPA]],tbEtapas[],2,FALSE),"")</f>
        <v/>
      </c>
      <c r="E2753" t="str">
        <f>IFERROR(VLOOKUP(tbEscolas[[#This Row],[COD ETPA]],tbEtapas[],3,FALSE),"")</f>
        <v/>
      </c>
    </row>
    <row r="2754" spans="1:5" x14ac:dyDescent="0.25">
      <c r="A2754" t="str" cm="1">
        <f t="array" ref="A2754">IFERROR(INDEX(tbNucleo[ESCOLA],ROUNDUP(ROW(A2753)/TotalEtapas,0)),"")</f>
        <v/>
      </c>
      <c r="D2754" t="str">
        <f>IFERROR(VLOOKUP(tbEscolas[[#This Row],[COD ETPA]],tbEtapas[],2,FALSE),"")</f>
        <v/>
      </c>
      <c r="E2754" t="str">
        <f>IFERROR(VLOOKUP(tbEscolas[[#This Row],[COD ETPA]],tbEtapas[],3,FALSE),"")</f>
        <v/>
      </c>
    </row>
    <row r="2755" spans="1:5" x14ac:dyDescent="0.25">
      <c r="A2755" t="str" cm="1">
        <f t="array" ref="A2755">IFERROR(INDEX(tbNucleo[ESCOLA],ROUNDUP(ROW(A2754)/TotalEtapas,0)),"")</f>
        <v/>
      </c>
      <c r="D2755" t="str">
        <f>IFERROR(VLOOKUP(tbEscolas[[#This Row],[COD ETPA]],tbEtapas[],2,FALSE),"")</f>
        <v/>
      </c>
      <c r="E2755" t="str">
        <f>IFERROR(VLOOKUP(tbEscolas[[#This Row],[COD ETPA]],tbEtapas[],3,FALSE),"")</f>
        <v/>
      </c>
    </row>
    <row r="2756" spans="1:5" x14ac:dyDescent="0.25">
      <c r="A2756" t="str" cm="1">
        <f t="array" ref="A2756">IFERROR(INDEX(tbNucleo[ESCOLA],ROUNDUP(ROW(A2755)/TotalEtapas,0)),"")</f>
        <v/>
      </c>
      <c r="D2756" t="str">
        <f>IFERROR(VLOOKUP(tbEscolas[[#This Row],[COD ETPA]],tbEtapas[],2,FALSE),"")</f>
        <v/>
      </c>
      <c r="E2756" t="str">
        <f>IFERROR(VLOOKUP(tbEscolas[[#This Row],[COD ETPA]],tbEtapas[],3,FALSE),"")</f>
        <v/>
      </c>
    </row>
    <row r="2757" spans="1:5" x14ac:dyDescent="0.25">
      <c r="A2757" t="str" cm="1">
        <f t="array" ref="A2757">IFERROR(INDEX(tbNucleo[ESCOLA],ROUNDUP(ROW(A2756)/TotalEtapas,0)),"")</f>
        <v/>
      </c>
      <c r="D2757" t="str">
        <f>IFERROR(VLOOKUP(tbEscolas[[#This Row],[COD ETPA]],tbEtapas[],2,FALSE),"")</f>
        <v/>
      </c>
      <c r="E2757" t="str">
        <f>IFERROR(VLOOKUP(tbEscolas[[#This Row],[COD ETPA]],tbEtapas[],3,FALSE),"")</f>
        <v/>
      </c>
    </row>
    <row r="2758" spans="1:5" x14ac:dyDescent="0.25">
      <c r="A2758" t="str" cm="1">
        <f t="array" ref="A2758">IFERROR(INDEX(tbNucleo[ESCOLA],ROUNDUP(ROW(A2757)/TotalEtapas,0)),"")</f>
        <v/>
      </c>
      <c r="D2758" t="str">
        <f>IFERROR(VLOOKUP(tbEscolas[[#This Row],[COD ETPA]],tbEtapas[],2,FALSE),"")</f>
        <v/>
      </c>
      <c r="E2758" t="str">
        <f>IFERROR(VLOOKUP(tbEscolas[[#This Row],[COD ETPA]],tbEtapas[],3,FALSE),"")</f>
        <v/>
      </c>
    </row>
    <row r="2759" spans="1:5" x14ac:dyDescent="0.25">
      <c r="A2759" t="str" cm="1">
        <f t="array" ref="A2759">IFERROR(INDEX(tbNucleo[ESCOLA],ROUNDUP(ROW(A2758)/TotalEtapas,0)),"")</f>
        <v/>
      </c>
      <c r="D2759" t="str">
        <f>IFERROR(VLOOKUP(tbEscolas[[#This Row],[COD ETPA]],tbEtapas[],2,FALSE),"")</f>
        <v/>
      </c>
      <c r="E2759" t="str">
        <f>IFERROR(VLOOKUP(tbEscolas[[#This Row],[COD ETPA]],tbEtapas[],3,FALSE),"")</f>
        <v/>
      </c>
    </row>
    <row r="2760" spans="1:5" x14ac:dyDescent="0.25">
      <c r="A2760" t="str" cm="1">
        <f t="array" ref="A2760">IFERROR(INDEX(tbNucleo[ESCOLA],ROUNDUP(ROW(A2759)/TotalEtapas,0)),"")</f>
        <v/>
      </c>
      <c r="D2760" t="str">
        <f>IFERROR(VLOOKUP(tbEscolas[[#This Row],[COD ETPA]],tbEtapas[],2,FALSE),"")</f>
        <v/>
      </c>
      <c r="E2760" t="str">
        <f>IFERROR(VLOOKUP(tbEscolas[[#This Row],[COD ETPA]],tbEtapas[],3,FALSE),"")</f>
        <v/>
      </c>
    </row>
    <row r="2761" spans="1:5" x14ac:dyDescent="0.25">
      <c r="A2761" t="str" cm="1">
        <f t="array" ref="A2761">IFERROR(INDEX(tbNucleo[ESCOLA],ROUNDUP(ROW(A2760)/TotalEtapas,0)),"")</f>
        <v/>
      </c>
      <c r="D2761" t="str">
        <f>IFERROR(VLOOKUP(tbEscolas[[#This Row],[COD ETPA]],tbEtapas[],2,FALSE),"")</f>
        <v/>
      </c>
      <c r="E2761" t="str">
        <f>IFERROR(VLOOKUP(tbEscolas[[#This Row],[COD ETPA]],tbEtapas[],3,FALSE),"")</f>
        <v/>
      </c>
    </row>
    <row r="2762" spans="1:5" x14ac:dyDescent="0.25">
      <c r="A2762" t="str" cm="1">
        <f t="array" ref="A2762">IFERROR(INDEX(tbNucleo[ESCOLA],ROUNDUP(ROW(A2761)/TotalEtapas,0)),"")</f>
        <v/>
      </c>
      <c r="D2762" t="str">
        <f>IFERROR(VLOOKUP(tbEscolas[[#This Row],[COD ETPA]],tbEtapas[],2,FALSE),"")</f>
        <v/>
      </c>
      <c r="E2762" t="str">
        <f>IFERROR(VLOOKUP(tbEscolas[[#This Row],[COD ETPA]],tbEtapas[],3,FALSE),"")</f>
        <v/>
      </c>
    </row>
    <row r="2763" spans="1:5" x14ac:dyDescent="0.25">
      <c r="A2763" t="str" cm="1">
        <f t="array" ref="A2763">IFERROR(INDEX(tbNucleo[ESCOLA],ROUNDUP(ROW(A2762)/TotalEtapas,0)),"")</f>
        <v/>
      </c>
      <c r="D2763" t="str">
        <f>IFERROR(VLOOKUP(tbEscolas[[#This Row],[COD ETPA]],tbEtapas[],2,FALSE),"")</f>
        <v/>
      </c>
      <c r="E2763" t="str">
        <f>IFERROR(VLOOKUP(tbEscolas[[#This Row],[COD ETPA]],tbEtapas[],3,FALSE),"")</f>
        <v/>
      </c>
    </row>
    <row r="2764" spans="1:5" x14ac:dyDescent="0.25">
      <c r="A2764" t="str" cm="1">
        <f t="array" ref="A2764">IFERROR(INDEX(tbNucleo[ESCOLA],ROUNDUP(ROW(A2763)/TotalEtapas,0)),"")</f>
        <v/>
      </c>
      <c r="D2764" t="str">
        <f>IFERROR(VLOOKUP(tbEscolas[[#This Row],[COD ETPA]],tbEtapas[],2,FALSE),"")</f>
        <v/>
      </c>
      <c r="E2764" t="str">
        <f>IFERROR(VLOOKUP(tbEscolas[[#This Row],[COD ETPA]],tbEtapas[],3,FALSE),"")</f>
        <v/>
      </c>
    </row>
    <row r="2765" spans="1:5" x14ac:dyDescent="0.25">
      <c r="A2765" t="str" cm="1">
        <f t="array" ref="A2765">IFERROR(INDEX(tbNucleo[ESCOLA],ROUNDUP(ROW(A2764)/TotalEtapas,0)),"")</f>
        <v/>
      </c>
      <c r="D2765" t="str">
        <f>IFERROR(VLOOKUP(tbEscolas[[#This Row],[COD ETPA]],tbEtapas[],2,FALSE),"")</f>
        <v/>
      </c>
      <c r="E2765" t="str">
        <f>IFERROR(VLOOKUP(tbEscolas[[#This Row],[COD ETPA]],tbEtapas[],3,FALSE),"")</f>
        <v/>
      </c>
    </row>
    <row r="2766" spans="1:5" x14ac:dyDescent="0.25">
      <c r="A2766" t="str" cm="1">
        <f t="array" ref="A2766">IFERROR(INDEX(tbNucleo[ESCOLA],ROUNDUP(ROW(A2765)/TotalEtapas,0)),"")</f>
        <v/>
      </c>
      <c r="D2766" t="str">
        <f>IFERROR(VLOOKUP(tbEscolas[[#This Row],[COD ETPA]],tbEtapas[],2,FALSE),"")</f>
        <v/>
      </c>
      <c r="E2766" t="str">
        <f>IFERROR(VLOOKUP(tbEscolas[[#This Row],[COD ETPA]],tbEtapas[],3,FALSE),"")</f>
        <v/>
      </c>
    </row>
    <row r="2767" spans="1:5" x14ac:dyDescent="0.25">
      <c r="A2767" t="str" cm="1">
        <f t="array" ref="A2767">IFERROR(INDEX(tbNucleo[ESCOLA],ROUNDUP(ROW(A2766)/TotalEtapas,0)),"")</f>
        <v/>
      </c>
      <c r="D2767" t="str">
        <f>IFERROR(VLOOKUP(tbEscolas[[#This Row],[COD ETPA]],tbEtapas[],2,FALSE),"")</f>
        <v/>
      </c>
      <c r="E2767" t="str">
        <f>IFERROR(VLOOKUP(tbEscolas[[#This Row],[COD ETPA]],tbEtapas[],3,FALSE),"")</f>
        <v/>
      </c>
    </row>
    <row r="2768" spans="1:5" x14ac:dyDescent="0.25">
      <c r="A2768" t="str" cm="1">
        <f t="array" ref="A2768">IFERROR(INDEX(tbNucleo[ESCOLA],ROUNDUP(ROW(A2767)/TotalEtapas,0)),"")</f>
        <v/>
      </c>
      <c r="D2768" t="str">
        <f>IFERROR(VLOOKUP(tbEscolas[[#This Row],[COD ETPA]],tbEtapas[],2,FALSE),"")</f>
        <v/>
      </c>
      <c r="E2768" t="str">
        <f>IFERROR(VLOOKUP(tbEscolas[[#This Row],[COD ETPA]],tbEtapas[],3,FALSE),"")</f>
        <v/>
      </c>
    </row>
    <row r="2769" spans="1:5" x14ac:dyDescent="0.25">
      <c r="A2769" t="str" cm="1">
        <f t="array" ref="A2769">IFERROR(INDEX(tbNucleo[ESCOLA],ROUNDUP(ROW(A2768)/TotalEtapas,0)),"")</f>
        <v/>
      </c>
      <c r="D2769" t="str">
        <f>IFERROR(VLOOKUP(tbEscolas[[#This Row],[COD ETPA]],tbEtapas[],2,FALSE),"")</f>
        <v/>
      </c>
      <c r="E2769" t="str">
        <f>IFERROR(VLOOKUP(tbEscolas[[#This Row],[COD ETPA]],tbEtapas[],3,FALSE),"")</f>
        <v/>
      </c>
    </row>
    <row r="2770" spans="1:5" x14ac:dyDescent="0.25">
      <c r="A2770" t="str" cm="1">
        <f t="array" ref="A2770">IFERROR(INDEX(tbNucleo[ESCOLA],ROUNDUP(ROW(A2769)/TotalEtapas,0)),"")</f>
        <v/>
      </c>
      <c r="D2770" t="str">
        <f>IFERROR(VLOOKUP(tbEscolas[[#This Row],[COD ETPA]],tbEtapas[],2,FALSE),"")</f>
        <v/>
      </c>
      <c r="E2770" t="str">
        <f>IFERROR(VLOOKUP(tbEscolas[[#This Row],[COD ETPA]],tbEtapas[],3,FALSE),"")</f>
        <v/>
      </c>
    </row>
    <row r="2771" spans="1:5" x14ac:dyDescent="0.25">
      <c r="A2771" t="str" cm="1">
        <f t="array" ref="A2771">IFERROR(INDEX(tbNucleo[ESCOLA],ROUNDUP(ROW(A2770)/TotalEtapas,0)),"")</f>
        <v/>
      </c>
      <c r="D2771" t="str">
        <f>IFERROR(VLOOKUP(tbEscolas[[#This Row],[COD ETPA]],tbEtapas[],2,FALSE),"")</f>
        <v/>
      </c>
      <c r="E2771" t="str">
        <f>IFERROR(VLOOKUP(tbEscolas[[#This Row],[COD ETPA]],tbEtapas[],3,FALSE),"")</f>
        <v/>
      </c>
    </row>
    <row r="2772" spans="1:5" x14ac:dyDescent="0.25">
      <c r="A2772" t="str" cm="1">
        <f t="array" ref="A2772">IFERROR(INDEX(tbNucleo[ESCOLA],ROUNDUP(ROW(A2771)/TotalEtapas,0)),"")</f>
        <v/>
      </c>
      <c r="D2772" t="str">
        <f>IFERROR(VLOOKUP(tbEscolas[[#This Row],[COD ETPA]],tbEtapas[],2,FALSE),"")</f>
        <v/>
      </c>
      <c r="E2772" t="str">
        <f>IFERROR(VLOOKUP(tbEscolas[[#This Row],[COD ETPA]],tbEtapas[],3,FALSE),"")</f>
        <v/>
      </c>
    </row>
    <row r="2773" spans="1:5" x14ac:dyDescent="0.25">
      <c r="A2773" t="str" cm="1">
        <f t="array" ref="A2773">IFERROR(INDEX(tbNucleo[ESCOLA],ROUNDUP(ROW(A2772)/TotalEtapas,0)),"")</f>
        <v/>
      </c>
      <c r="D2773" t="str">
        <f>IFERROR(VLOOKUP(tbEscolas[[#This Row],[COD ETPA]],tbEtapas[],2,FALSE),"")</f>
        <v/>
      </c>
      <c r="E2773" t="str">
        <f>IFERROR(VLOOKUP(tbEscolas[[#This Row],[COD ETPA]],tbEtapas[],3,FALSE),"")</f>
        <v/>
      </c>
    </row>
    <row r="2774" spans="1:5" x14ac:dyDescent="0.25">
      <c r="A2774" t="str" cm="1">
        <f t="array" ref="A2774">IFERROR(INDEX(tbNucleo[ESCOLA],ROUNDUP(ROW(A2773)/TotalEtapas,0)),"")</f>
        <v/>
      </c>
      <c r="D2774" t="str">
        <f>IFERROR(VLOOKUP(tbEscolas[[#This Row],[COD ETPA]],tbEtapas[],2,FALSE),"")</f>
        <v/>
      </c>
      <c r="E2774" t="str">
        <f>IFERROR(VLOOKUP(tbEscolas[[#This Row],[COD ETPA]],tbEtapas[],3,FALSE),"")</f>
        <v/>
      </c>
    </row>
    <row r="2775" spans="1:5" x14ac:dyDescent="0.25">
      <c r="A2775" t="str" cm="1">
        <f t="array" ref="A2775">IFERROR(INDEX(tbNucleo[ESCOLA],ROUNDUP(ROW(A2774)/TotalEtapas,0)),"")</f>
        <v/>
      </c>
      <c r="D2775" t="str">
        <f>IFERROR(VLOOKUP(tbEscolas[[#This Row],[COD ETPA]],tbEtapas[],2,FALSE),"")</f>
        <v/>
      </c>
      <c r="E2775" t="str">
        <f>IFERROR(VLOOKUP(tbEscolas[[#This Row],[COD ETPA]],tbEtapas[],3,FALSE),"")</f>
        <v/>
      </c>
    </row>
    <row r="2776" spans="1:5" x14ac:dyDescent="0.25">
      <c r="A2776" t="str" cm="1">
        <f t="array" ref="A2776">IFERROR(INDEX(tbNucleo[ESCOLA],ROUNDUP(ROW(A2775)/TotalEtapas,0)),"")</f>
        <v/>
      </c>
      <c r="D2776" t="str">
        <f>IFERROR(VLOOKUP(tbEscolas[[#This Row],[COD ETPA]],tbEtapas[],2,FALSE),"")</f>
        <v/>
      </c>
      <c r="E2776" t="str">
        <f>IFERROR(VLOOKUP(tbEscolas[[#This Row],[COD ETPA]],tbEtapas[],3,FALSE),"")</f>
        <v/>
      </c>
    </row>
    <row r="2777" spans="1:5" x14ac:dyDescent="0.25">
      <c r="A2777" t="str" cm="1">
        <f t="array" ref="A2777">IFERROR(INDEX(tbNucleo[ESCOLA],ROUNDUP(ROW(A2776)/TotalEtapas,0)),"")</f>
        <v/>
      </c>
      <c r="D2777" t="str">
        <f>IFERROR(VLOOKUP(tbEscolas[[#This Row],[COD ETPA]],tbEtapas[],2,FALSE),"")</f>
        <v/>
      </c>
      <c r="E2777" t="str">
        <f>IFERROR(VLOOKUP(tbEscolas[[#This Row],[COD ETPA]],tbEtapas[],3,FALSE),"")</f>
        <v/>
      </c>
    </row>
    <row r="2778" spans="1:5" x14ac:dyDescent="0.25">
      <c r="A2778" t="str" cm="1">
        <f t="array" ref="A2778">IFERROR(INDEX(tbNucleo[ESCOLA],ROUNDUP(ROW(A2777)/TotalEtapas,0)),"")</f>
        <v/>
      </c>
      <c r="D2778" t="str">
        <f>IFERROR(VLOOKUP(tbEscolas[[#This Row],[COD ETPA]],tbEtapas[],2,FALSE),"")</f>
        <v/>
      </c>
      <c r="E2778" t="str">
        <f>IFERROR(VLOOKUP(tbEscolas[[#This Row],[COD ETPA]],tbEtapas[],3,FALSE),"")</f>
        <v/>
      </c>
    </row>
    <row r="2779" spans="1:5" x14ac:dyDescent="0.25">
      <c r="A2779" t="str" cm="1">
        <f t="array" ref="A2779">IFERROR(INDEX(tbNucleo[ESCOLA],ROUNDUP(ROW(A2778)/TotalEtapas,0)),"")</f>
        <v/>
      </c>
      <c r="D2779" t="str">
        <f>IFERROR(VLOOKUP(tbEscolas[[#This Row],[COD ETPA]],tbEtapas[],2,FALSE),"")</f>
        <v/>
      </c>
      <c r="E2779" t="str">
        <f>IFERROR(VLOOKUP(tbEscolas[[#This Row],[COD ETPA]],tbEtapas[],3,FALSE),"")</f>
        <v/>
      </c>
    </row>
    <row r="2780" spans="1:5" x14ac:dyDescent="0.25">
      <c r="A2780" t="str" cm="1">
        <f t="array" ref="A2780">IFERROR(INDEX(tbNucleo[ESCOLA],ROUNDUP(ROW(A2779)/TotalEtapas,0)),"")</f>
        <v/>
      </c>
      <c r="D2780" t="str">
        <f>IFERROR(VLOOKUP(tbEscolas[[#This Row],[COD ETPA]],tbEtapas[],2,FALSE),"")</f>
        <v/>
      </c>
      <c r="E2780" t="str">
        <f>IFERROR(VLOOKUP(tbEscolas[[#This Row],[COD ETPA]],tbEtapas[],3,FALSE),"")</f>
        <v/>
      </c>
    </row>
    <row r="2781" spans="1:5" x14ac:dyDescent="0.25">
      <c r="A2781" t="str" cm="1">
        <f t="array" ref="A2781">IFERROR(INDEX(tbNucleo[ESCOLA],ROUNDUP(ROW(A2780)/TotalEtapas,0)),"")</f>
        <v/>
      </c>
      <c r="D2781" t="str">
        <f>IFERROR(VLOOKUP(tbEscolas[[#This Row],[COD ETPA]],tbEtapas[],2,FALSE),"")</f>
        <v/>
      </c>
      <c r="E2781" t="str">
        <f>IFERROR(VLOOKUP(tbEscolas[[#This Row],[COD ETPA]],tbEtapas[],3,FALSE),"")</f>
        <v/>
      </c>
    </row>
    <row r="2782" spans="1:5" x14ac:dyDescent="0.25">
      <c r="A2782" t="str" cm="1">
        <f t="array" ref="A2782">IFERROR(INDEX(tbNucleo[ESCOLA],ROUNDUP(ROW(A2781)/TotalEtapas,0)),"")</f>
        <v/>
      </c>
      <c r="D2782" t="str">
        <f>IFERROR(VLOOKUP(tbEscolas[[#This Row],[COD ETPA]],tbEtapas[],2,FALSE),"")</f>
        <v/>
      </c>
      <c r="E2782" t="str">
        <f>IFERROR(VLOOKUP(tbEscolas[[#This Row],[COD ETPA]],tbEtapas[],3,FALSE),"")</f>
        <v/>
      </c>
    </row>
    <row r="2783" spans="1:5" x14ac:dyDescent="0.25">
      <c r="A2783" t="str" cm="1">
        <f t="array" ref="A2783">IFERROR(INDEX(tbNucleo[ESCOLA],ROUNDUP(ROW(A2782)/TotalEtapas,0)),"")</f>
        <v/>
      </c>
      <c r="D2783" t="str">
        <f>IFERROR(VLOOKUP(tbEscolas[[#This Row],[COD ETPA]],tbEtapas[],2,FALSE),"")</f>
        <v/>
      </c>
      <c r="E2783" t="str">
        <f>IFERROR(VLOOKUP(tbEscolas[[#This Row],[COD ETPA]],tbEtapas[],3,FALSE),"")</f>
        <v/>
      </c>
    </row>
    <row r="2784" spans="1:5" x14ac:dyDescent="0.25">
      <c r="A2784" t="str" cm="1">
        <f t="array" ref="A2784">IFERROR(INDEX(tbNucleo[ESCOLA],ROUNDUP(ROW(A2783)/TotalEtapas,0)),"")</f>
        <v/>
      </c>
      <c r="D2784" t="str">
        <f>IFERROR(VLOOKUP(tbEscolas[[#This Row],[COD ETPA]],tbEtapas[],2,FALSE),"")</f>
        <v/>
      </c>
      <c r="E2784" t="str">
        <f>IFERROR(VLOOKUP(tbEscolas[[#This Row],[COD ETPA]],tbEtapas[],3,FALSE),"")</f>
        <v/>
      </c>
    </row>
    <row r="2785" spans="1:5" x14ac:dyDescent="0.25">
      <c r="A2785" t="str" cm="1">
        <f t="array" ref="A2785">IFERROR(INDEX(tbNucleo[ESCOLA],ROUNDUP(ROW(A2784)/TotalEtapas,0)),"")</f>
        <v/>
      </c>
      <c r="D2785" t="str">
        <f>IFERROR(VLOOKUP(tbEscolas[[#This Row],[COD ETPA]],tbEtapas[],2,FALSE),"")</f>
        <v/>
      </c>
      <c r="E2785" t="str">
        <f>IFERROR(VLOOKUP(tbEscolas[[#This Row],[COD ETPA]],tbEtapas[],3,FALSE),"")</f>
        <v/>
      </c>
    </row>
    <row r="2786" spans="1:5" x14ac:dyDescent="0.25">
      <c r="A2786" t="str" cm="1">
        <f t="array" ref="A2786">IFERROR(INDEX(tbNucleo[ESCOLA],ROUNDUP(ROW(A2785)/TotalEtapas,0)),"")</f>
        <v/>
      </c>
      <c r="D2786" t="str">
        <f>IFERROR(VLOOKUP(tbEscolas[[#This Row],[COD ETPA]],tbEtapas[],2,FALSE),"")</f>
        <v/>
      </c>
      <c r="E2786" t="str">
        <f>IFERROR(VLOOKUP(tbEscolas[[#This Row],[COD ETPA]],tbEtapas[],3,FALSE),"")</f>
        <v/>
      </c>
    </row>
    <row r="2787" spans="1:5" x14ac:dyDescent="0.25">
      <c r="A2787" t="str" cm="1">
        <f t="array" ref="A2787">IFERROR(INDEX(tbNucleo[ESCOLA],ROUNDUP(ROW(A2786)/TotalEtapas,0)),"")</f>
        <v/>
      </c>
      <c r="D2787" t="str">
        <f>IFERROR(VLOOKUP(tbEscolas[[#This Row],[COD ETPA]],tbEtapas[],2,FALSE),"")</f>
        <v/>
      </c>
      <c r="E2787" t="str">
        <f>IFERROR(VLOOKUP(tbEscolas[[#This Row],[COD ETPA]],tbEtapas[],3,FALSE),"")</f>
        <v/>
      </c>
    </row>
    <row r="2788" spans="1:5" x14ac:dyDescent="0.25">
      <c r="A2788" t="str" cm="1">
        <f t="array" ref="A2788">IFERROR(INDEX(tbNucleo[ESCOLA],ROUNDUP(ROW(A2787)/TotalEtapas,0)),"")</f>
        <v/>
      </c>
      <c r="D2788" t="str">
        <f>IFERROR(VLOOKUP(tbEscolas[[#This Row],[COD ETPA]],tbEtapas[],2,FALSE),"")</f>
        <v/>
      </c>
      <c r="E2788" t="str">
        <f>IFERROR(VLOOKUP(tbEscolas[[#This Row],[COD ETPA]],tbEtapas[],3,FALSE),"")</f>
        <v/>
      </c>
    </row>
    <row r="2789" spans="1:5" x14ac:dyDescent="0.25">
      <c r="A2789" t="str" cm="1">
        <f t="array" ref="A2789">IFERROR(INDEX(tbNucleo[ESCOLA],ROUNDUP(ROW(A2788)/TotalEtapas,0)),"")</f>
        <v/>
      </c>
      <c r="D2789" t="str">
        <f>IFERROR(VLOOKUP(tbEscolas[[#This Row],[COD ETPA]],tbEtapas[],2,FALSE),"")</f>
        <v/>
      </c>
      <c r="E2789" t="str">
        <f>IFERROR(VLOOKUP(tbEscolas[[#This Row],[COD ETPA]],tbEtapas[],3,FALSE),"")</f>
        <v/>
      </c>
    </row>
    <row r="2790" spans="1:5" x14ac:dyDescent="0.25">
      <c r="A2790" t="str" cm="1">
        <f t="array" ref="A2790">IFERROR(INDEX(tbNucleo[ESCOLA],ROUNDUP(ROW(A2789)/TotalEtapas,0)),"")</f>
        <v/>
      </c>
      <c r="D2790" t="str">
        <f>IFERROR(VLOOKUP(tbEscolas[[#This Row],[COD ETPA]],tbEtapas[],2,FALSE),"")</f>
        <v/>
      </c>
      <c r="E2790" t="str">
        <f>IFERROR(VLOOKUP(tbEscolas[[#This Row],[COD ETPA]],tbEtapas[],3,FALSE),"")</f>
        <v/>
      </c>
    </row>
    <row r="2791" spans="1:5" x14ac:dyDescent="0.25">
      <c r="A2791" t="str" cm="1">
        <f t="array" ref="A2791">IFERROR(INDEX(tbNucleo[ESCOLA],ROUNDUP(ROW(A2790)/TotalEtapas,0)),"")</f>
        <v/>
      </c>
      <c r="D2791" t="str">
        <f>IFERROR(VLOOKUP(tbEscolas[[#This Row],[COD ETPA]],tbEtapas[],2,FALSE),"")</f>
        <v/>
      </c>
      <c r="E2791" t="str">
        <f>IFERROR(VLOOKUP(tbEscolas[[#This Row],[COD ETPA]],tbEtapas[],3,FALSE),"")</f>
        <v/>
      </c>
    </row>
    <row r="2792" spans="1:5" x14ac:dyDescent="0.25">
      <c r="A2792" t="str" cm="1">
        <f t="array" ref="A2792">IFERROR(INDEX(tbNucleo[ESCOLA],ROUNDUP(ROW(A2791)/TotalEtapas,0)),"")</f>
        <v/>
      </c>
      <c r="D2792" t="str">
        <f>IFERROR(VLOOKUP(tbEscolas[[#This Row],[COD ETPA]],tbEtapas[],2,FALSE),"")</f>
        <v/>
      </c>
      <c r="E2792" t="str">
        <f>IFERROR(VLOOKUP(tbEscolas[[#This Row],[COD ETPA]],tbEtapas[],3,FALSE),"")</f>
        <v/>
      </c>
    </row>
    <row r="2793" spans="1:5" x14ac:dyDescent="0.25">
      <c r="A2793" t="str" cm="1">
        <f t="array" ref="A2793">IFERROR(INDEX(tbNucleo[ESCOLA],ROUNDUP(ROW(A2792)/TotalEtapas,0)),"")</f>
        <v/>
      </c>
      <c r="D2793" t="str">
        <f>IFERROR(VLOOKUP(tbEscolas[[#This Row],[COD ETPA]],tbEtapas[],2,FALSE),"")</f>
        <v/>
      </c>
      <c r="E2793" t="str">
        <f>IFERROR(VLOOKUP(tbEscolas[[#This Row],[COD ETPA]],tbEtapas[],3,FALSE),"")</f>
        <v/>
      </c>
    </row>
    <row r="2794" spans="1:5" x14ac:dyDescent="0.25">
      <c r="A2794" t="str" cm="1">
        <f t="array" ref="A2794">IFERROR(INDEX(tbNucleo[ESCOLA],ROUNDUP(ROW(A2793)/TotalEtapas,0)),"")</f>
        <v/>
      </c>
      <c r="D2794" t="str">
        <f>IFERROR(VLOOKUP(tbEscolas[[#This Row],[COD ETPA]],tbEtapas[],2,FALSE),"")</f>
        <v/>
      </c>
      <c r="E2794" t="str">
        <f>IFERROR(VLOOKUP(tbEscolas[[#This Row],[COD ETPA]],tbEtapas[],3,FALSE),"")</f>
        <v/>
      </c>
    </row>
    <row r="2795" spans="1:5" x14ac:dyDescent="0.25">
      <c r="A2795" t="str" cm="1">
        <f t="array" ref="A2795">IFERROR(INDEX(tbNucleo[ESCOLA],ROUNDUP(ROW(A2794)/TotalEtapas,0)),"")</f>
        <v/>
      </c>
      <c r="D2795" t="str">
        <f>IFERROR(VLOOKUP(tbEscolas[[#This Row],[COD ETPA]],tbEtapas[],2,FALSE),"")</f>
        <v/>
      </c>
      <c r="E2795" t="str">
        <f>IFERROR(VLOOKUP(tbEscolas[[#This Row],[COD ETPA]],tbEtapas[],3,FALSE),"")</f>
        <v/>
      </c>
    </row>
    <row r="2796" spans="1:5" x14ac:dyDescent="0.25">
      <c r="A2796" t="str" cm="1">
        <f t="array" ref="A2796">IFERROR(INDEX(tbNucleo[ESCOLA],ROUNDUP(ROW(A2795)/TotalEtapas,0)),"")</f>
        <v/>
      </c>
      <c r="D2796" t="str">
        <f>IFERROR(VLOOKUP(tbEscolas[[#This Row],[COD ETPA]],tbEtapas[],2,FALSE),"")</f>
        <v/>
      </c>
      <c r="E2796" t="str">
        <f>IFERROR(VLOOKUP(tbEscolas[[#This Row],[COD ETPA]],tbEtapas[],3,FALSE),"")</f>
        <v/>
      </c>
    </row>
    <row r="2797" spans="1:5" x14ac:dyDescent="0.25">
      <c r="A2797" t="str" cm="1">
        <f t="array" ref="A2797">IFERROR(INDEX(tbNucleo[ESCOLA],ROUNDUP(ROW(A2796)/TotalEtapas,0)),"")</f>
        <v/>
      </c>
      <c r="D2797" t="str">
        <f>IFERROR(VLOOKUP(tbEscolas[[#This Row],[COD ETPA]],tbEtapas[],2,FALSE),"")</f>
        <v/>
      </c>
      <c r="E2797" t="str">
        <f>IFERROR(VLOOKUP(tbEscolas[[#This Row],[COD ETPA]],tbEtapas[],3,FALSE),"")</f>
        <v/>
      </c>
    </row>
    <row r="2798" spans="1:5" x14ac:dyDescent="0.25">
      <c r="A2798" t="str" cm="1">
        <f t="array" ref="A2798">IFERROR(INDEX(tbNucleo[ESCOLA],ROUNDUP(ROW(A2797)/TotalEtapas,0)),"")</f>
        <v/>
      </c>
      <c r="D2798" t="str">
        <f>IFERROR(VLOOKUP(tbEscolas[[#This Row],[COD ETPA]],tbEtapas[],2,FALSE),"")</f>
        <v/>
      </c>
      <c r="E2798" t="str">
        <f>IFERROR(VLOOKUP(tbEscolas[[#This Row],[COD ETPA]],tbEtapas[],3,FALSE),"")</f>
        <v/>
      </c>
    </row>
    <row r="2799" spans="1:5" x14ac:dyDescent="0.25">
      <c r="A2799" t="str" cm="1">
        <f t="array" ref="A2799">IFERROR(INDEX(tbNucleo[ESCOLA],ROUNDUP(ROW(A2798)/TotalEtapas,0)),"")</f>
        <v/>
      </c>
      <c r="D2799" t="str">
        <f>IFERROR(VLOOKUP(tbEscolas[[#This Row],[COD ETPA]],tbEtapas[],2,FALSE),"")</f>
        <v/>
      </c>
      <c r="E2799" t="str">
        <f>IFERROR(VLOOKUP(tbEscolas[[#This Row],[COD ETPA]],tbEtapas[],3,FALSE),"")</f>
        <v/>
      </c>
    </row>
    <row r="2800" spans="1:5" x14ac:dyDescent="0.25">
      <c r="A2800" t="str" cm="1">
        <f t="array" ref="A2800">IFERROR(INDEX(tbNucleo[ESCOLA],ROUNDUP(ROW(A2799)/TotalEtapas,0)),"")</f>
        <v/>
      </c>
      <c r="D2800" t="str">
        <f>IFERROR(VLOOKUP(tbEscolas[[#This Row],[COD ETPA]],tbEtapas[],2,FALSE),"")</f>
        <v/>
      </c>
      <c r="E2800" t="str">
        <f>IFERROR(VLOOKUP(tbEscolas[[#This Row],[COD ETPA]],tbEtapas[],3,FALSE),"")</f>
        <v/>
      </c>
    </row>
    <row r="2801" spans="1:5" x14ac:dyDescent="0.25">
      <c r="A2801" t="str" cm="1">
        <f t="array" ref="A2801">IFERROR(INDEX(tbNucleo[ESCOLA],ROUNDUP(ROW(A2800)/TotalEtapas,0)),"")</f>
        <v/>
      </c>
      <c r="D2801" t="str">
        <f>IFERROR(VLOOKUP(tbEscolas[[#This Row],[COD ETPA]],tbEtapas[],2,FALSE),"")</f>
        <v/>
      </c>
      <c r="E2801" t="str">
        <f>IFERROR(VLOOKUP(tbEscolas[[#This Row],[COD ETPA]],tbEtapas[],3,FALSE),"")</f>
        <v/>
      </c>
    </row>
    <row r="2802" spans="1:5" x14ac:dyDescent="0.25">
      <c r="A2802" t="str" cm="1">
        <f t="array" ref="A2802">IFERROR(INDEX(tbNucleo[ESCOLA],ROUNDUP(ROW(A2801)/TotalEtapas,0)),"")</f>
        <v/>
      </c>
      <c r="D2802" t="str">
        <f>IFERROR(VLOOKUP(tbEscolas[[#This Row],[COD ETPA]],tbEtapas[],2,FALSE),"")</f>
        <v/>
      </c>
      <c r="E2802" t="str">
        <f>IFERROR(VLOOKUP(tbEscolas[[#This Row],[COD ETPA]],tbEtapas[],3,FALSE),"")</f>
        <v/>
      </c>
    </row>
    <row r="2803" spans="1:5" x14ac:dyDescent="0.25">
      <c r="A2803" t="str" cm="1">
        <f t="array" ref="A2803">IFERROR(INDEX(tbNucleo[ESCOLA],ROUNDUP(ROW(A2802)/TotalEtapas,0)),"")</f>
        <v/>
      </c>
      <c r="D2803" t="str">
        <f>IFERROR(VLOOKUP(tbEscolas[[#This Row],[COD ETPA]],tbEtapas[],2,FALSE),"")</f>
        <v/>
      </c>
      <c r="E2803" t="str">
        <f>IFERROR(VLOOKUP(tbEscolas[[#This Row],[COD ETPA]],tbEtapas[],3,FALSE),"")</f>
        <v/>
      </c>
    </row>
    <row r="2804" spans="1:5" x14ac:dyDescent="0.25">
      <c r="A2804" t="str" cm="1">
        <f t="array" ref="A2804">IFERROR(INDEX(tbNucleo[ESCOLA],ROUNDUP(ROW(A2803)/TotalEtapas,0)),"")</f>
        <v/>
      </c>
      <c r="D2804" t="str">
        <f>IFERROR(VLOOKUP(tbEscolas[[#This Row],[COD ETPA]],tbEtapas[],2,FALSE),"")</f>
        <v/>
      </c>
      <c r="E2804" t="str">
        <f>IFERROR(VLOOKUP(tbEscolas[[#This Row],[COD ETPA]],tbEtapas[],3,FALSE),"")</f>
        <v/>
      </c>
    </row>
    <row r="2805" spans="1:5" x14ac:dyDescent="0.25">
      <c r="A2805" t="str" cm="1">
        <f t="array" ref="A2805">IFERROR(INDEX(tbNucleo[ESCOLA],ROUNDUP(ROW(A2804)/TotalEtapas,0)),"")</f>
        <v/>
      </c>
      <c r="D2805" t="str">
        <f>IFERROR(VLOOKUP(tbEscolas[[#This Row],[COD ETPA]],tbEtapas[],2,FALSE),"")</f>
        <v/>
      </c>
      <c r="E2805" t="str">
        <f>IFERROR(VLOOKUP(tbEscolas[[#This Row],[COD ETPA]],tbEtapas[],3,FALSE),"")</f>
        <v/>
      </c>
    </row>
    <row r="2806" spans="1:5" x14ac:dyDescent="0.25">
      <c r="A2806" t="str" cm="1">
        <f t="array" ref="A2806">IFERROR(INDEX(tbNucleo[ESCOLA],ROUNDUP(ROW(A2805)/TotalEtapas,0)),"")</f>
        <v/>
      </c>
      <c r="D2806" t="str">
        <f>IFERROR(VLOOKUP(tbEscolas[[#This Row],[COD ETPA]],tbEtapas[],2,FALSE),"")</f>
        <v/>
      </c>
      <c r="E2806" t="str">
        <f>IFERROR(VLOOKUP(tbEscolas[[#This Row],[COD ETPA]],tbEtapas[],3,FALSE),"")</f>
        <v/>
      </c>
    </row>
    <row r="2807" spans="1:5" x14ac:dyDescent="0.25">
      <c r="A2807" t="str" cm="1">
        <f t="array" ref="A2807">IFERROR(INDEX(tbNucleo[ESCOLA],ROUNDUP(ROW(A2806)/TotalEtapas,0)),"")</f>
        <v/>
      </c>
      <c r="D2807" t="str">
        <f>IFERROR(VLOOKUP(tbEscolas[[#This Row],[COD ETPA]],tbEtapas[],2,FALSE),"")</f>
        <v/>
      </c>
      <c r="E2807" t="str">
        <f>IFERROR(VLOOKUP(tbEscolas[[#This Row],[COD ETPA]],tbEtapas[],3,FALSE),"")</f>
        <v/>
      </c>
    </row>
    <row r="2808" spans="1:5" x14ac:dyDescent="0.25">
      <c r="A2808" t="str" cm="1">
        <f t="array" ref="A2808">IFERROR(INDEX(tbNucleo[ESCOLA],ROUNDUP(ROW(A2807)/TotalEtapas,0)),"")</f>
        <v/>
      </c>
      <c r="D2808" t="str">
        <f>IFERROR(VLOOKUP(tbEscolas[[#This Row],[COD ETPA]],tbEtapas[],2,FALSE),"")</f>
        <v/>
      </c>
      <c r="E2808" t="str">
        <f>IFERROR(VLOOKUP(tbEscolas[[#This Row],[COD ETPA]],tbEtapas[],3,FALSE),"")</f>
        <v/>
      </c>
    </row>
    <row r="2809" spans="1:5" x14ac:dyDescent="0.25">
      <c r="A2809" t="str" cm="1">
        <f t="array" ref="A2809">IFERROR(INDEX(tbNucleo[ESCOLA],ROUNDUP(ROW(A2808)/TotalEtapas,0)),"")</f>
        <v/>
      </c>
      <c r="D2809" t="str">
        <f>IFERROR(VLOOKUP(tbEscolas[[#This Row],[COD ETPA]],tbEtapas[],2,FALSE),"")</f>
        <v/>
      </c>
      <c r="E2809" t="str">
        <f>IFERROR(VLOOKUP(tbEscolas[[#This Row],[COD ETPA]],tbEtapas[],3,FALSE),"")</f>
        <v/>
      </c>
    </row>
    <row r="2810" spans="1:5" x14ac:dyDescent="0.25">
      <c r="A2810" t="str" cm="1">
        <f t="array" ref="A2810">IFERROR(INDEX(tbNucleo[ESCOLA],ROUNDUP(ROW(A2809)/TotalEtapas,0)),"")</f>
        <v/>
      </c>
      <c r="D2810" t="str">
        <f>IFERROR(VLOOKUP(tbEscolas[[#This Row],[COD ETPA]],tbEtapas[],2,FALSE),"")</f>
        <v/>
      </c>
      <c r="E2810" t="str">
        <f>IFERROR(VLOOKUP(tbEscolas[[#This Row],[COD ETPA]],tbEtapas[],3,FALSE),"")</f>
        <v/>
      </c>
    </row>
    <row r="2811" spans="1:5" x14ac:dyDescent="0.25">
      <c r="A2811" t="str" cm="1">
        <f t="array" ref="A2811">IFERROR(INDEX(tbNucleo[ESCOLA],ROUNDUP(ROW(A2810)/TotalEtapas,0)),"")</f>
        <v/>
      </c>
      <c r="D2811" t="str">
        <f>IFERROR(VLOOKUP(tbEscolas[[#This Row],[COD ETPA]],tbEtapas[],2,FALSE),"")</f>
        <v/>
      </c>
      <c r="E2811" t="str">
        <f>IFERROR(VLOOKUP(tbEscolas[[#This Row],[COD ETPA]],tbEtapas[],3,FALSE),"")</f>
        <v/>
      </c>
    </row>
    <row r="2812" spans="1:5" x14ac:dyDescent="0.25">
      <c r="A2812" t="str" cm="1">
        <f t="array" ref="A2812">IFERROR(INDEX(tbNucleo[ESCOLA],ROUNDUP(ROW(A2811)/TotalEtapas,0)),"")</f>
        <v/>
      </c>
      <c r="D2812" t="str">
        <f>IFERROR(VLOOKUP(tbEscolas[[#This Row],[COD ETPA]],tbEtapas[],2,FALSE),"")</f>
        <v/>
      </c>
      <c r="E2812" t="str">
        <f>IFERROR(VLOOKUP(tbEscolas[[#This Row],[COD ETPA]],tbEtapas[],3,FALSE),"")</f>
        <v/>
      </c>
    </row>
    <row r="2813" spans="1:5" x14ac:dyDescent="0.25">
      <c r="A2813" t="str" cm="1">
        <f t="array" ref="A2813">IFERROR(INDEX(tbNucleo[ESCOLA],ROUNDUP(ROW(A2812)/TotalEtapas,0)),"")</f>
        <v/>
      </c>
      <c r="D2813" t="str">
        <f>IFERROR(VLOOKUP(tbEscolas[[#This Row],[COD ETPA]],tbEtapas[],2,FALSE),"")</f>
        <v/>
      </c>
      <c r="E2813" t="str">
        <f>IFERROR(VLOOKUP(tbEscolas[[#This Row],[COD ETPA]],tbEtapas[],3,FALSE),"")</f>
        <v/>
      </c>
    </row>
    <row r="2814" spans="1:5" x14ac:dyDescent="0.25">
      <c r="A2814" t="str" cm="1">
        <f t="array" ref="A2814">IFERROR(INDEX(tbNucleo[ESCOLA],ROUNDUP(ROW(A2813)/TotalEtapas,0)),"")</f>
        <v/>
      </c>
      <c r="D2814" t="str">
        <f>IFERROR(VLOOKUP(tbEscolas[[#This Row],[COD ETPA]],tbEtapas[],2,FALSE),"")</f>
        <v/>
      </c>
      <c r="E2814" t="str">
        <f>IFERROR(VLOOKUP(tbEscolas[[#This Row],[COD ETPA]],tbEtapas[],3,FALSE),"")</f>
        <v/>
      </c>
    </row>
    <row r="2815" spans="1:5" x14ac:dyDescent="0.25">
      <c r="A2815" t="str" cm="1">
        <f t="array" ref="A2815">IFERROR(INDEX(tbNucleo[ESCOLA],ROUNDUP(ROW(A2814)/TotalEtapas,0)),"")</f>
        <v/>
      </c>
      <c r="D2815" t="str">
        <f>IFERROR(VLOOKUP(tbEscolas[[#This Row],[COD ETPA]],tbEtapas[],2,FALSE),"")</f>
        <v/>
      </c>
      <c r="E2815" t="str">
        <f>IFERROR(VLOOKUP(tbEscolas[[#This Row],[COD ETPA]],tbEtapas[],3,FALSE),"")</f>
        <v/>
      </c>
    </row>
    <row r="2816" spans="1:5" x14ac:dyDescent="0.25">
      <c r="A2816" t="str" cm="1">
        <f t="array" ref="A2816">IFERROR(INDEX(tbNucleo[ESCOLA],ROUNDUP(ROW(A2815)/TotalEtapas,0)),"")</f>
        <v/>
      </c>
      <c r="D2816" t="str">
        <f>IFERROR(VLOOKUP(tbEscolas[[#This Row],[COD ETPA]],tbEtapas[],2,FALSE),"")</f>
        <v/>
      </c>
      <c r="E2816" t="str">
        <f>IFERROR(VLOOKUP(tbEscolas[[#This Row],[COD ETPA]],tbEtapas[],3,FALSE),"")</f>
        <v/>
      </c>
    </row>
    <row r="2817" spans="1:5" x14ac:dyDescent="0.25">
      <c r="A2817" t="str" cm="1">
        <f t="array" ref="A2817">IFERROR(INDEX(tbNucleo[ESCOLA],ROUNDUP(ROW(A2816)/TotalEtapas,0)),"")</f>
        <v/>
      </c>
      <c r="D2817" t="str">
        <f>IFERROR(VLOOKUP(tbEscolas[[#This Row],[COD ETPA]],tbEtapas[],2,FALSE),"")</f>
        <v/>
      </c>
      <c r="E2817" t="str">
        <f>IFERROR(VLOOKUP(tbEscolas[[#This Row],[COD ETPA]],tbEtapas[],3,FALSE),"")</f>
        <v/>
      </c>
    </row>
    <row r="2818" spans="1:5" x14ac:dyDescent="0.25">
      <c r="A2818" t="str" cm="1">
        <f t="array" ref="A2818">IFERROR(INDEX(tbNucleo[ESCOLA],ROUNDUP(ROW(A2817)/TotalEtapas,0)),"")</f>
        <v/>
      </c>
      <c r="D2818" t="str">
        <f>IFERROR(VLOOKUP(tbEscolas[[#This Row],[COD ETPA]],tbEtapas[],2,FALSE),"")</f>
        <v/>
      </c>
      <c r="E2818" t="str">
        <f>IFERROR(VLOOKUP(tbEscolas[[#This Row],[COD ETPA]],tbEtapas[],3,FALSE),"")</f>
        <v/>
      </c>
    </row>
    <row r="2819" spans="1:5" x14ac:dyDescent="0.25">
      <c r="A2819" t="str" cm="1">
        <f t="array" ref="A2819">IFERROR(INDEX(tbNucleo[ESCOLA],ROUNDUP(ROW(A2818)/TotalEtapas,0)),"")</f>
        <v/>
      </c>
      <c r="D2819" t="str">
        <f>IFERROR(VLOOKUP(tbEscolas[[#This Row],[COD ETPA]],tbEtapas[],2,FALSE),"")</f>
        <v/>
      </c>
      <c r="E2819" t="str">
        <f>IFERROR(VLOOKUP(tbEscolas[[#This Row],[COD ETPA]],tbEtapas[],3,FALSE),"")</f>
        <v/>
      </c>
    </row>
    <row r="2820" spans="1:5" x14ac:dyDescent="0.25">
      <c r="A2820" t="str" cm="1">
        <f t="array" ref="A2820">IFERROR(INDEX(tbNucleo[ESCOLA],ROUNDUP(ROW(A2819)/TotalEtapas,0)),"")</f>
        <v/>
      </c>
      <c r="D2820" t="str">
        <f>IFERROR(VLOOKUP(tbEscolas[[#This Row],[COD ETPA]],tbEtapas[],2,FALSE),"")</f>
        <v/>
      </c>
      <c r="E2820" t="str">
        <f>IFERROR(VLOOKUP(tbEscolas[[#This Row],[COD ETPA]],tbEtapas[],3,FALSE),"")</f>
        <v/>
      </c>
    </row>
    <row r="2821" spans="1:5" x14ac:dyDescent="0.25">
      <c r="A2821" t="str" cm="1">
        <f t="array" ref="A2821">IFERROR(INDEX(tbNucleo[ESCOLA],ROUNDUP(ROW(A2820)/TotalEtapas,0)),"")</f>
        <v/>
      </c>
      <c r="D2821" t="str">
        <f>IFERROR(VLOOKUP(tbEscolas[[#This Row],[COD ETPA]],tbEtapas[],2,FALSE),"")</f>
        <v/>
      </c>
      <c r="E2821" t="str">
        <f>IFERROR(VLOOKUP(tbEscolas[[#This Row],[COD ETPA]],tbEtapas[],3,FALSE),"")</f>
        <v/>
      </c>
    </row>
    <row r="2822" spans="1:5" x14ac:dyDescent="0.25">
      <c r="A2822" t="str" cm="1">
        <f t="array" ref="A2822">IFERROR(INDEX(tbNucleo[ESCOLA],ROUNDUP(ROW(A2821)/TotalEtapas,0)),"")</f>
        <v/>
      </c>
      <c r="D2822" t="str">
        <f>IFERROR(VLOOKUP(tbEscolas[[#This Row],[COD ETPA]],tbEtapas[],2,FALSE),"")</f>
        <v/>
      </c>
      <c r="E2822" t="str">
        <f>IFERROR(VLOOKUP(tbEscolas[[#This Row],[COD ETPA]],tbEtapas[],3,FALSE),"")</f>
        <v/>
      </c>
    </row>
    <row r="2823" spans="1:5" x14ac:dyDescent="0.25">
      <c r="A2823" t="str" cm="1">
        <f t="array" ref="A2823">IFERROR(INDEX(tbNucleo[ESCOLA],ROUNDUP(ROW(A2822)/TotalEtapas,0)),"")</f>
        <v/>
      </c>
      <c r="D2823" t="str">
        <f>IFERROR(VLOOKUP(tbEscolas[[#This Row],[COD ETPA]],tbEtapas[],2,FALSE),"")</f>
        <v/>
      </c>
      <c r="E2823" t="str">
        <f>IFERROR(VLOOKUP(tbEscolas[[#This Row],[COD ETPA]],tbEtapas[],3,FALSE),"")</f>
        <v/>
      </c>
    </row>
    <row r="2824" spans="1:5" x14ac:dyDescent="0.25">
      <c r="A2824" t="str" cm="1">
        <f t="array" ref="A2824">IFERROR(INDEX(tbNucleo[ESCOLA],ROUNDUP(ROW(A2823)/TotalEtapas,0)),"")</f>
        <v/>
      </c>
      <c r="D2824" t="str">
        <f>IFERROR(VLOOKUP(tbEscolas[[#This Row],[COD ETPA]],tbEtapas[],2,FALSE),"")</f>
        <v/>
      </c>
      <c r="E2824" t="str">
        <f>IFERROR(VLOOKUP(tbEscolas[[#This Row],[COD ETPA]],tbEtapas[],3,FALSE),"")</f>
        <v/>
      </c>
    </row>
    <row r="2825" spans="1:5" x14ac:dyDescent="0.25">
      <c r="A2825" t="str" cm="1">
        <f t="array" ref="A2825">IFERROR(INDEX(tbNucleo[ESCOLA],ROUNDUP(ROW(A2824)/TotalEtapas,0)),"")</f>
        <v/>
      </c>
      <c r="D2825" t="str">
        <f>IFERROR(VLOOKUP(tbEscolas[[#This Row],[COD ETPA]],tbEtapas[],2,FALSE),"")</f>
        <v/>
      </c>
      <c r="E2825" t="str">
        <f>IFERROR(VLOOKUP(tbEscolas[[#This Row],[COD ETPA]],tbEtapas[],3,FALSE),"")</f>
        <v/>
      </c>
    </row>
    <row r="2826" spans="1:5" x14ac:dyDescent="0.25">
      <c r="A2826" t="str" cm="1">
        <f t="array" ref="A2826">IFERROR(INDEX(tbNucleo[ESCOLA],ROUNDUP(ROW(A2825)/TotalEtapas,0)),"")</f>
        <v/>
      </c>
      <c r="D2826" t="str">
        <f>IFERROR(VLOOKUP(tbEscolas[[#This Row],[COD ETPA]],tbEtapas[],2,FALSE),"")</f>
        <v/>
      </c>
      <c r="E2826" t="str">
        <f>IFERROR(VLOOKUP(tbEscolas[[#This Row],[COD ETPA]],tbEtapas[],3,FALSE),"")</f>
        <v/>
      </c>
    </row>
    <row r="2827" spans="1:5" x14ac:dyDescent="0.25">
      <c r="A2827" t="str" cm="1">
        <f t="array" ref="A2827">IFERROR(INDEX(tbNucleo[ESCOLA],ROUNDUP(ROW(A2826)/TotalEtapas,0)),"")</f>
        <v/>
      </c>
      <c r="D2827" t="str">
        <f>IFERROR(VLOOKUP(tbEscolas[[#This Row],[COD ETPA]],tbEtapas[],2,FALSE),"")</f>
        <v/>
      </c>
      <c r="E2827" t="str">
        <f>IFERROR(VLOOKUP(tbEscolas[[#This Row],[COD ETPA]],tbEtapas[],3,FALSE),"")</f>
        <v/>
      </c>
    </row>
    <row r="2828" spans="1:5" x14ac:dyDescent="0.25">
      <c r="A2828" t="str" cm="1">
        <f t="array" ref="A2828">IFERROR(INDEX(tbNucleo[ESCOLA],ROUNDUP(ROW(A2827)/TotalEtapas,0)),"")</f>
        <v/>
      </c>
      <c r="D2828" t="str">
        <f>IFERROR(VLOOKUP(tbEscolas[[#This Row],[COD ETPA]],tbEtapas[],2,FALSE),"")</f>
        <v/>
      </c>
      <c r="E2828" t="str">
        <f>IFERROR(VLOOKUP(tbEscolas[[#This Row],[COD ETPA]],tbEtapas[],3,FALSE),"")</f>
        <v/>
      </c>
    </row>
    <row r="2829" spans="1:5" x14ac:dyDescent="0.25">
      <c r="A2829" t="str" cm="1">
        <f t="array" ref="A2829">IFERROR(INDEX(tbNucleo[ESCOLA],ROUNDUP(ROW(A2828)/TotalEtapas,0)),"")</f>
        <v/>
      </c>
      <c r="D2829" t="str">
        <f>IFERROR(VLOOKUP(tbEscolas[[#This Row],[COD ETPA]],tbEtapas[],2,FALSE),"")</f>
        <v/>
      </c>
      <c r="E2829" t="str">
        <f>IFERROR(VLOOKUP(tbEscolas[[#This Row],[COD ETPA]],tbEtapas[],3,FALSE),"")</f>
        <v/>
      </c>
    </row>
    <row r="2830" spans="1:5" x14ac:dyDescent="0.25">
      <c r="A2830" t="str" cm="1">
        <f t="array" ref="A2830">IFERROR(INDEX(tbNucleo[ESCOLA],ROUNDUP(ROW(A2829)/TotalEtapas,0)),"")</f>
        <v/>
      </c>
      <c r="D2830" t="str">
        <f>IFERROR(VLOOKUP(tbEscolas[[#This Row],[COD ETPA]],tbEtapas[],2,FALSE),"")</f>
        <v/>
      </c>
      <c r="E2830" t="str">
        <f>IFERROR(VLOOKUP(tbEscolas[[#This Row],[COD ETPA]],tbEtapas[],3,FALSE),"")</f>
        <v/>
      </c>
    </row>
    <row r="2831" spans="1:5" x14ac:dyDescent="0.25">
      <c r="A2831" t="str" cm="1">
        <f t="array" ref="A2831">IFERROR(INDEX(tbNucleo[ESCOLA],ROUNDUP(ROW(A2830)/TotalEtapas,0)),"")</f>
        <v/>
      </c>
      <c r="D2831" t="str">
        <f>IFERROR(VLOOKUP(tbEscolas[[#This Row],[COD ETPA]],tbEtapas[],2,FALSE),"")</f>
        <v/>
      </c>
      <c r="E2831" t="str">
        <f>IFERROR(VLOOKUP(tbEscolas[[#This Row],[COD ETPA]],tbEtapas[],3,FALSE),"")</f>
        <v/>
      </c>
    </row>
    <row r="2832" spans="1:5" x14ac:dyDescent="0.25">
      <c r="A2832" t="str" cm="1">
        <f t="array" ref="A2832">IFERROR(INDEX(tbNucleo[ESCOLA],ROUNDUP(ROW(A2831)/TotalEtapas,0)),"")</f>
        <v/>
      </c>
      <c r="D2832" t="str">
        <f>IFERROR(VLOOKUP(tbEscolas[[#This Row],[COD ETPA]],tbEtapas[],2,FALSE),"")</f>
        <v/>
      </c>
      <c r="E2832" t="str">
        <f>IFERROR(VLOOKUP(tbEscolas[[#This Row],[COD ETPA]],tbEtapas[],3,FALSE),"")</f>
        <v/>
      </c>
    </row>
    <row r="2833" spans="1:5" x14ac:dyDescent="0.25">
      <c r="A2833" t="str" cm="1">
        <f t="array" ref="A2833">IFERROR(INDEX(tbNucleo[ESCOLA],ROUNDUP(ROW(A2832)/TotalEtapas,0)),"")</f>
        <v/>
      </c>
      <c r="D2833" t="str">
        <f>IFERROR(VLOOKUP(tbEscolas[[#This Row],[COD ETPA]],tbEtapas[],2,FALSE),"")</f>
        <v/>
      </c>
      <c r="E2833" t="str">
        <f>IFERROR(VLOOKUP(tbEscolas[[#This Row],[COD ETPA]],tbEtapas[],3,FALSE),"")</f>
        <v/>
      </c>
    </row>
    <row r="2834" spans="1:5" x14ac:dyDescent="0.25">
      <c r="A2834" t="str" cm="1">
        <f t="array" ref="A2834">IFERROR(INDEX(tbNucleo[ESCOLA],ROUNDUP(ROW(A2833)/TotalEtapas,0)),"")</f>
        <v/>
      </c>
      <c r="D2834" t="str">
        <f>IFERROR(VLOOKUP(tbEscolas[[#This Row],[COD ETPA]],tbEtapas[],2,FALSE),"")</f>
        <v/>
      </c>
      <c r="E2834" t="str">
        <f>IFERROR(VLOOKUP(tbEscolas[[#This Row],[COD ETPA]],tbEtapas[],3,FALSE),"")</f>
        <v/>
      </c>
    </row>
    <row r="2835" spans="1:5" x14ac:dyDescent="0.25">
      <c r="A2835" t="str" cm="1">
        <f t="array" ref="A2835">IFERROR(INDEX(tbNucleo[ESCOLA],ROUNDUP(ROW(A2834)/TotalEtapas,0)),"")</f>
        <v/>
      </c>
      <c r="D2835" t="str">
        <f>IFERROR(VLOOKUP(tbEscolas[[#This Row],[COD ETPA]],tbEtapas[],2,FALSE),"")</f>
        <v/>
      </c>
      <c r="E2835" t="str">
        <f>IFERROR(VLOOKUP(tbEscolas[[#This Row],[COD ETPA]],tbEtapas[],3,FALSE),"")</f>
        <v/>
      </c>
    </row>
    <row r="2836" spans="1:5" x14ac:dyDescent="0.25">
      <c r="A2836" t="str" cm="1">
        <f t="array" ref="A2836">IFERROR(INDEX(tbNucleo[ESCOLA],ROUNDUP(ROW(A2835)/TotalEtapas,0)),"")</f>
        <v/>
      </c>
      <c r="D2836" t="str">
        <f>IFERROR(VLOOKUP(tbEscolas[[#This Row],[COD ETPA]],tbEtapas[],2,FALSE),"")</f>
        <v/>
      </c>
      <c r="E2836" t="str">
        <f>IFERROR(VLOOKUP(tbEscolas[[#This Row],[COD ETPA]],tbEtapas[],3,FALSE),"")</f>
        <v/>
      </c>
    </row>
    <row r="2837" spans="1:5" x14ac:dyDescent="0.25">
      <c r="A2837" t="str" cm="1">
        <f t="array" ref="A2837">IFERROR(INDEX(tbNucleo[ESCOLA],ROUNDUP(ROW(A2836)/TotalEtapas,0)),"")</f>
        <v/>
      </c>
      <c r="D2837" t="str">
        <f>IFERROR(VLOOKUP(tbEscolas[[#This Row],[COD ETPA]],tbEtapas[],2,FALSE),"")</f>
        <v/>
      </c>
      <c r="E2837" t="str">
        <f>IFERROR(VLOOKUP(tbEscolas[[#This Row],[COD ETPA]],tbEtapas[],3,FALSE),"")</f>
        <v/>
      </c>
    </row>
    <row r="2838" spans="1:5" x14ac:dyDescent="0.25">
      <c r="A2838" t="str" cm="1">
        <f t="array" ref="A2838">IFERROR(INDEX(tbNucleo[ESCOLA],ROUNDUP(ROW(A2837)/TotalEtapas,0)),"")</f>
        <v/>
      </c>
      <c r="D2838" t="str">
        <f>IFERROR(VLOOKUP(tbEscolas[[#This Row],[COD ETPA]],tbEtapas[],2,FALSE),"")</f>
        <v/>
      </c>
      <c r="E2838" t="str">
        <f>IFERROR(VLOOKUP(tbEscolas[[#This Row],[COD ETPA]],tbEtapas[],3,FALSE),"")</f>
        <v/>
      </c>
    </row>
    <row r="2839" spans="1:5" x14ac:dyDescent="0.25">
      <c r="A2839" t="str" cm="1">
        <f t="array" ref="A2839">IFERROR(INDEX(tbNucleo[ESCOLA],ROUNDUP(ROW(A2838)/TotalEtapas,0)),"")</f>
        <v/>
      </c>
      <c r="D2839" t="str">
        <f>IFERROR(VLOOKUP(tbEscolas[[#This Row],[COD ETPA]],tbEtapas[],2,FALSE),"")</f>
        <v/>
      </c>
      <c r="E2839" t="str">
        <f>IFERROR(VLOOKUP(tbEscolas[[#This Row],[COD ETPA]],tbEtapas[],3,FALSE),"")</f>
        <v/>
      </c>
    </row>
    <row r="2840" spans="1:5" x14ac:dyDescent="0.25">
      <c r="A2840" t="str" cm="1">
        <f t="array" ref="A2840">IFERROR(INDEX(tbNucleo[ESCOLA],ROUNDUP(ROW(A2839)/TotalEtapas,0)),"")</f>
        <v/>
      </c>
      <c r="D2840" t="str">
        <f>IFERROR(VLOOKUP(tbEscolas[[#This Row],[COD ETPA]],tbEtapas[],2,FALSE),"")</f>
        <v/>
      </c>
      <c r="E2840" t="str">
        <f>IFERROR(VLOOKUP(tbEscolas[[#This Row],[COD ETPA]],tbEtapas[],3,FALSE),"")</f>
        <v/>
      </c>
    </row>
    <row r="2841" spans="1:5" x14ac:dyDescent="0.25">
      <c r="A2841" t="str" cm="1">
        <f t="array" ref="A2841">IFERROR(INDEX(tbNucleo[ESCOLA],ROUNDUP(ROW(A2840)/TotalEtapas,0)),"")</f>
        <v/>
      </c>
      <c r="D2841" t="str">
        <f>IFERROR(VLOOKUP(tbEscolas[[#This Row],[COD ETPA]],tbEtapas[],2,FALSE),"")</f>
        <v/>
      </c>
      <c r="E2841" t="str">
        <f>IFERROR(VLOOKUP(tbEscolas[[#This Row],[COD ETPA]],tbEtapas[],3,FALSE),"")</f>
        <v/>
      </c>
    </row>
    <row r="2842" spans="1:5" x14ac:dyDescent="0.25">
      <c r="A2842" t="str" cm="1">
        <f t="array" ref="A2842">IFERROR(INDEX(tbNucleo[ESCOLA],ROUNDUP(ROW(A2841)/TotalEtapas,0)),"")</f>
        <v/>
      </c>
      <c r="D2842" t="str">
        <f>IFERROR(VLOOKUP(tbEscolas[[#This Row],[COD ETPA]],tbEtapas[],2,FALSE),"")</f>
        <v/>
      </c>
      <c r="E2842" t="str">
        <f>IFERROR(VLOOKUP(tbEscolas[[#This Row],[COD ETPA]],tbEtapas[],3,FALSE),"")</f>
        <v/>
      </c>
    </row>
    <row r="2843" spans="1:5" x14ac:dyDescent="0.25">
      <c r="A2843" t="str" cm="1">
        <f t="array" ref="A2843">IFERROR(INDEX(tbNucleo[ESCOLA],ROUNDUP(ROW(A2842)/TotalEtapas,0)),"")</f>
        <v/>
      </c>
      <c r="D2843" t="str">
        <f>IFERROR(VLOOKUP(tbEscolas[[#This Row],[COD ETPA]],tbEtapas[],2,FALSE),"")</f>
        <v/>
      </c>
      <c r="E2843" t="str">
        <f>IFERROR(VLOOKUP(tbEscolas[[#This Row],[COD ETPA]],tbEtapas[],3,FALSE),"")</f>
        <v/>
      </c>
    </row>
    <row r="2844" spans="1:5" x14ac:dyDescent="0.25">
      <c r="A2844" t="str" cm="1">
        <f t="array" ref="A2844">IFERROR(INDEX(tbNucleo[ESCOLA],ROUNDUP(ROW(A2843)/TotalEtapas,0)),"")</f>
        <v/>
      </c>
      <c r="D2844" t="str">
        <f>IFERROR(VLOOKUP(tbEscolas[[#This Row],[COD ETPA]],tbEtapas[],2,FALSE),"")</f>
        <v/>
      </c>
      <c r="E2844" t="str">
        <f>IFERROR(VLOOKUP(tbEscolas[[#This Row],[COD ETPA]],tbEtapas[],3,FALSE),"")</f>
        <v/>
      </c>
    </row>
    <row r="2845" spans="1:5" x14ac:dyDescent="0.25">
      <c r="A2845" t="str" cm="1">
        <f t="array" ref="A2845">IFERROR(INDEX(tbNucleo[ESCOLA],ROUNDUP(ROW(A2844)/TotalEtapas,0)),"")</f>
        <v/>
      </c>
      <c r="D2845" t="str">
        <f>IFERROR(VLOOKUP(tbEscolas[[#This Row],[COD ETPA]],tbEtapas[],2,FALSE),"")</f>
        <v/>
      </c>
      <c r="E2845" t="str">
        <f>IFERROR(VLOOKUP(tbEscolas[[#This Row],[COD ETPA]],tbEtapas[],3,FALSE),"")</f>
        <v/>
      </c>
    </row>
    <row r="2846" spans="1:5" x14ac:dyDescent="0.25">
      <c r="A2846" t="str" cm="1">
        <f t="array" ref="A2846">IFERROR(INDEX(tbNucleo[ESCOLA],ROUNDUP(ROW(A2845)/TotalEtapas,0)),"")</f>
        <v/>
      </c>
      <c r="D2846" t="str">
        <f>IFERROR(VLOOKUP(tbEscolas[[#This Row],[COD ETPA]],tbEtapas[],2,FALSE),"")</f>
        <v/>
      </c>
      <c r="E2846" t="str">
        <f>IFERROR(VLOOKUP(tbEscolas[[#This Row],[COD ETPA]],tbEtapas[],3,FALSE),"")</f>
        <v/>
      </c>
    </row>
    <row r="2847" spans="1:5" x14ac:dyDescent="0.25">
      <c r="A2847" t="str" cm="1">
        <f t="array" ref="A2847">IFERROR(INDEX(tbNucleo[ESCOLA],ROUNDUP(ROW(A2846)/TotalEtapas,0)),"")</f>
        <v/>
      </c>
      <c r="D2847" t="str">
        <f>IFERROR(VLOOKUP(tbEscolas[[#This Row],[COD ETPA]],tbEtapas[],2,FALSE),"")</f>
        <v/>
      </c>
      <c r="E2847" t="str">
        <f>IFERROR(VLOOKUP(tbEscolas[[#This Row],[COD ETPA]],tbEtapas[],3,FALSE),"")</f>
        <v/>
      </c>
    </row>
    <row r="2848" spans="1:5" x14ac:dyDescent="0.25">
      <c r="A2848" t="str" cm="1">
        <f t="array" ref="A2848">IFERROR(INDEX(tbNucleo[ESCOLA],ROUNDUP(ROW(A2847)/TotalEtapas,0)),"")</f>
        <v/>
      </c>
      <c r="D2848" t="str">
        <f>IFERROR(VLOOKUP(tbEscolas[[#This Row],[COD ETPA]],tbEtapas[],2,FALSE),"")</f>
        <v/>
      </c>
      <c r="E2848" t="str">
        <f>IFERROR(VLOOKUP(tbEscolas[[#This Row],[COD ETPA]],tbEtapas[],3,FALSE),"")</f>
        <v/>
      </c>
    </row>
    <row r="2849" spans="1:5" x14ac:dyDescent="0.25">
      <c r="A2849" t="str" cm="1">
        <f t="array" ref="A2849">IFERROR(INDEX(tbNucleo[ESCOLA],ROUNDUP(ROW(A2848)/TotalEtapas,0)),"")</f>
        <v/>
      </c>
      <c r="D2849" t="str">
        <f>IFERROR(VLOOKUP(tbEscolas[[#This Row],[COD ETPA]],tbEtapas[],2,FALSE),"")</f>
        <v/>
      </c>
      <c r="E2849" t="str">
        <f>IFERROR(VLOOKUP(tbEscolas[[#This Row],[COD ETPA]],tbEtapas[],3,FALSE),"")</f>
        <v/>
      </c>
    </row>
    <row r="2850" spans="1:5" x14ac:dyDescent="0.25">
      <c r="A2850" t="str" cm="1">
        <f t="array" ref="A2850">IFERROR(INDEX(tbNucleo[ESCOLA],ROUNDUP(ROW(A2849)/TotalEtapas,0)),"")</f>
        <v/>
      </c>
      <c r="D2850" t="str">
        <f>IFERROR(VLOOKUP(tbEscolas[[#This Row],[COD ETPA]],tbEtapas[],2,FALSE),"")</f>
        <v/>
      </c>
      <c r="E2850" t="str">
        <f>IFERROR(VLOOKUP(tbEscolas[[#This Row],[COD ETPA]],tbEtapas[],3,FALSE),"")</f>
        <v/>
      </c>
    </row>
    <row r="2851" spans="1:5" x14ac:dyDescent="0.25">
      <c r="A2851" t="str" cm="1">
        <f t="array" ref="A2851">IFERROR(INDEX(tbNucleo[ESCOLA],ROUNDUP(ROW(A2850)/TotalEtapas,0)),"")</f>
        <v/>
      </c>
      <c r="D2851" t="str">
        <f>IFERROR(VLOOKUP(tbEscolas[[#This Row],[COD ETPA]],tbEtapas[],2,FALSE),"")</f>
        <v/>
      </c>
      <c r="E2851" t="str">
        <f>IFERROR(VLOOKUP(tbEscolas[[#This Row],[COD ETPA]],tbEtapas[],3,FALSE),"")</f>
        <v/>
      </c>
    </row>
    <row r="2852" spans="1:5" x14ac:dyDescent="0.25">
      <c r="A2852" t="str" cm="1">
        <f t="array" ref="A2852">IFERROR(INDEX(tbNucleo[ESCOLA],ROUNDUP(ROW(A2851)/TotalEtapas,0)),"")</f>
        <v/>
      </c>
      <c r="D2852" t="str">
        <f>IFERROR(VLOOKUP(tbEscolas[[#This Row],[COD ETPA]],tbEtapas[],2,FALSE),"")</f>
        <v/>
      </c>
      <c r="E2852" t="str">
        <f>IFERROR(VLOOKUP(tbEscolas[[#This Row],[COD ETPA]],tbEtapas[],3,FALSE),"")</f>
        <v/>
      </c>
    </row>
    <row r="2853" spans="1:5" x14ac:dyDescent="0.25">
      <c r="A2853" t="str" cm="1">
        <f t="array" ref="A2853">IFERROR(INDEX(tbNucleo[ESCOLA],ROUNDUP(ROW(A2852)/TotalEtapas,0)),"")</f>
        <v/>
      </c>
      <c r="D2853" t="str">
        <f>IFERROR(VLOOKUP(tbEscolas[[#This Row],[COD ETPA]],tbEtapas[],2,FALSE),"")</f>
        <v/>
      </c>
      <c r="E2853" t="str">
        <f>IFERROR(VLOOKUP(tbEscolas[[#This Row],[COD ETPA]],tbEtapas[],3,FALSE),"")</f>
        <v/>
      </c>
    </row>
    <row r="2854" spans="1:5" x14ac:dyDescent="0.25">
      <c r="A2854" t="str" cm="1">
        <f t="array" ref="A2854">IFERROR(INDEX(tbNucleo[ESCOLA],ROUNDUP(ROW(A2853)/TotalEtapas,0)),"")</f>
        <v/>
      </c>
      <c r="D2854" t="str">
        <f>IFERROR(VLOOKUP(tbEscolas[[#This Row],[COD ETPA]],tbEtapas[],2,FALSE),"")</f>
        <v/>
      </c>
      <c r="E2854" t="str">
        <f>IFERROR(VLOOKUP(tbEscolas[[#This Row],[COD ETPA]],tbEtapas[],3,FALSE),"")</f>
        <v/>
      </c>
    </row>
    <row r="2855" spans="1:5" x14ac:dyDescent="0.25">
      <c r="A2855" t="str" cm="1">
        <f t="array" ref="A2855">IFERROR(INDEX(tbNucleo[ESCOLA],ROUNDUP(ROW(A2854)/TotalEtapas,0)),"")</f>
        <v/>
      </c>
      <c r="D2855" t="str">
        <f>IFERROR(VLOOKUP(tbEscolas[[#This Row],[COD ETPA]],tbEtapas[],2,FALSE),"")</f>
        <v/>
      </c>
      <c r="E2855" t="str">
        <f>IFERROR(VLOOKUP(tbEscolas[[#This Row],[COD ETPA]],tbEtapas[],3,FALSE),"")</f>
        <v/>
      </c>
    </row>
    <row r="2856" spans="1:5" x14ac:dyDescent="0.25">
      <c r="A2856" t="str" cm="1">
        <f t="array" ref="A2856">IFERROR(INDEX(tbNucleo[ESCOLA],ROUNDUP(ROW(A2855)/TotalEtapas,0)),"")</f>
        <v/>
      </c>
      <c r="D2856" t="str">
        <f>IFERROR(VLOOKUP(tbEscolas[[#This Row],[COD ETPA]],tbEtapas[],2,FALSE),"")</f>
        <v/>
      </c>
      <c r="E2856" t="str">
        <f>IFERROR(VLOOKUP(tbEscolas[[#This Row],[COD ETPA]],tbEtapas[],3,FALSE),"")</f>
        <v/>
      </c>
    </row>
    <row r="2857" spans="1:5" x14ac:dyDescent="0.25">
      <c r="A2857" t="str" cm="1">
        <f t="array" ref="A2857">IFERROR(INDEX(tbNucleo[ESCOLA],ROUNDUP(ROW(A2856)/TotalEtapas,0)),"")</f>
        <v/>
      </c>
      <c r="D2857" t="str">
        <f>IFERROR(VLOOKUP(tbEscolas[[#This Row],[COD ETPA]],tbEtapas[],2,FALSE),"")</f>
        <v/>
      </c>
      <c r="E2857" t="str">
        <f>IFERROR(VLOOKUP(tbEscolas[[#This Row],[COD ETPA]],tbEtapas[],3,FALSE),"")</f>
        <v/>
      </c>
    </row>
    <row r="2858" spans="1:5" x14ac:dyDescent="0.25">
      <c r="A2858" t="str" cm="1">
        <f t="array" ref="A2858">IFERROR(INDEX(tbNucleo[ESCOLA],ROUNDUP(ROW(A2857)/TotalEtapas,0)),"")</f>
        <v/>
      </c>
      <c r="D2858" t="str">
        <f>IFERROR(VLOOKUP(tbEscolas[[#This Row],[COD ETPA]],tbEtapas[],2,FALSE),"")</f>
        <v/>
      </c>
      <c r="E2858" t="str">
        <f>IFERROR(VLOOKUP(tbEscolas[[#This Row],[COD ETPA]],tbEtapas[],3,FALSE),"")</f>
        <v/>
      </c>
    </row>
    <row r="2859" spans="1:5" x14ac:dyDescent="0.25">
      <c r="A2859" t="str" cm="1">
        <f t="array" ref="A2859">IFERROR(INDEX(tbNucleo[ESCOLA],ROUNDUP(ROW(A2858)/TotalEtapas,0)),"")</f>
        <v/>
      </c>
      <c r="D2859" t="str">
        <f>IFERROR(VLOOKUP(tbEscolas[[#This Row],[COD ETPA]],tbEtapas[],2,FALSE),"")</f>
        <v/>
      </c>
      <c r="E2859" t="str">
        <f>IFERROR(VLOOKUP(tbEscolas[[#This Row],[COD ETPA]],tbEtapas[],3,FALSE),"")</f>
        <v/>
      </c>
    </row>
    <row r="2860" spans="1:5" x14ac:dyDescent="0.25">
      <c r="A2860" t="str" cm="1">
        <f t="array" ref="A2860">IFERROR(INDEX(tbNucleo[ESCOLA],ROUNDUP(ROW(A2859)/TotalEtapas,0)),"")</f>
        <v/>
      </c>
      <c r="D2860" t="str">
        <f>IFERROR(VLOOKUP(tbEscolas[[#This Row],[COD ETPA]],tbEtapas[],2,FALSE),"")</f>
        <v/>
      </c>
      <c r="E2860" t="str">
        <f>IFERROR(VLOOKUP(tbEscolas[[#This Row],[COD ETPA]],tbEtapas[],3,FALSE),"")</f>
        <v/>
      </c>
    </row>
    <row r="2861" spans="1:5" x14ac:dyDescent="0.25">
      <c r="A2861" t="str" cm="1">
        <f t="array" ref="A2861">IFERROR(INDEX(tbNucleo[ESCOLA],ROUNDUP(ROW(A2860)/TotalEtapas,0)),"")</f>
        <v/>
      </c>
      <c r="D2861" t="str">
        <f>IFERROR(VLOOKUP(tbEscolas[[#This Row],[COD ETPA]],tbEtapas[],2,FALSE),"")</f>
        <v/>
      </c>
      <c r="E2861" t="str">
        <f>IFERROR(VLOOKUP(tbEscolas[[#This Row],[COD ETPA]],tbEtapas[],3,FALSE),"")</f>
        <v/>
      </c>
    </row>
    <row r="2862" spans="1:5" x14ac:dyDescent="0.25">
      <c r="A2862" t="str" cm="1">
        <f t="array" ref="A2862">IFERROR(INDEX(tbNucleo[ESCOLA],ROUNDUP(ROW(A2861)/TotalEtapas,0)),"")</f>
        <v/>
      </c>
      <c r="D2862" t="str">
        <f>IFERROR(VLOOKUP(tbEscolas[[#This Row],[COD ETPA]],tbEtapas[],2,FALSE),"")</f>
        <v/>
      </c>
      <c r="E2862" t="str">
        <f>IFERROR(VLOOKUP(tbEscolas[[#This Row],[COD ETPA]],tbEtapas[],3,FALSE),"")</f>
        <v/>
      </c>
    </row>
    <row r="2863" spans="1:5" x14ac:dyDescent="0.25">
      <c r="A2863" t="str" cm="1">
        <f t="array" ref="A2863">IFERROR(INDEX(tbNucleo[ESCOLA],ROUNDUP(ROW(A2862)/TotalEtapas,0)),"")</f>
        <v/>
      </c>
      <c r="D2863" t="str">
        <f>IFERROR(VLOOKUP(tbEscolas[[#This Row],[COD ETPA]],tbEtapas[],2,FALSE),"")</f>
        <v/>
      </c>
      <c r="E2863" t="str">
        <f>IFERROR(VLOOKUP(tbEscolas[[#This Row],[COD ETPA]],tbEtapas[],3,FALSE),"")</f>
        <v/>
      </c>
    </row>
    <row r="2864" spans="1:5" x14ac:dyDescent="0.25">
      <c r="A2864" t="str" cm="1">
        <f t="array" ref="A2864">IFERROR(INDEX(tbNucleo[ESCOLA],ROUNDUP(ROW(A2863)/TotalEtapas,0)),"")</f>
        <v/>
      </c>
      <c r="D2864" t="str">
        <f>IFERROR(VLOOKUP(tbEscolas[[#This Row],[COD ETPA]],tbEtapas[],2,FALSE),"")</f>
        <v/>
      </c>
      <c r="E2864" t="str">
        <f>IFERROR(VLOOKUP(tbEscolas[[#This Row],[COD ETPA]],tbEtapas[],3,FALSE),"")</f>
        <v/>
      </c>
    </row>
    <row r="2865" spans="1:5" x14ac:dyDescent="0.25">
      <c r="A2865" t="str" cm="1">
        <f t="array" ref="A2865">IFERROR(INDEX(tbNucleo[ESCOLA],ROUNDUP(ROW(A2864)/TotalEtapas,0)),"")</f>
        <v/>
      </c>
      <c r="D2865" t="str">
        <f>IFERROR(VLOOKUP(tbEscolas[[#This Row],[COD ETPA]],tbEtapas[],2,FALSE),"")</f>
        <v/>
      </c>
      <c r="E2865" t="str">
        <f>IFERROR(VLOOKUP(tbEscolas[[#This Row],[COD ETPA]],tbEtapas[],3,FALSE),"")</f>
        <v/>
      </c>
    </row>
    <row r="2866" spans="1:5" x14ac:dyDescent="0.25">
      <c r="A2866" t="str" cm="1">
        <f t="array" ref="A2866">IFERROR(INDEX(tbNucleo[ESCOLA],ROUNDUP(ROW(A2865)/TotalEtapas,0)),"")</f>
        <v/>
      </c>
      <c r="D2866" t="str">
        <f>IFERROR(VLOOKUP(tbEscolas[[#This Row],[COD ETPA]],tbEtapas[],2,FALSE),"")</f>
        <v/>
      </c>
      <c r="E2866" t="str">
        <f>IFERROR(VLOOKUP(tbEscolas[[#This Row],[COD ETPA]],tbEtapas[],3,FALSE),"")</f>
        <v/>
      </c>
    </row>
    <row r="2867" spans="1:5" x14ac:dyDescent="0.25">
      <c r="A2867" t="str" cm="1">
        <f t="array" ref="A2867">IFERROR(INDEX(tbNucleo[ESCOLA],ROUNDUP(ROW(A2866)/TotalEtapas,0)),"")</f>
        <v/>
      </c>
      <c r="D2867" t="str">
        <f>IFERROR(VLOOKUP(tbEscolas[[#This Row],[COD ETPA]],tbEtapas[],2,FALSE),"")</f>
        <v/>
      </c>
      <c r="E2867" t="str">
        <f>IFERROR(VLOOKUP(tbEscolas[[#This Row],[COD ETPA]],tbEtapas[],3,FALSE),"")</f>
        <v/>
      </c>
    </row>
    <row r="2868" spans="1:5" x14ac:dyDescent="0.25">
      <c r="A2868" t="str" cm="1">
        <f t="array" ref="A2868">IFERROR(INDEX(tbNucleo[ESCOLA],ROUNDUP(ROW(A2867)/TotalEtapas,0)),"")</f>
        <v/>
      </c>
      <c r="D2868" t="str">
        <f>IFERROR(VLOOKUP(tbEscolas[[#This Row],[COD ETPA]],tbEtapas[],2,FALSE),"")</f>
        <v/>
      </c>
      <c r="E2868" t="str">
        <f>IFERROR(VLOOKUP(tbEscolas[[#This Row],[COD ETPA]],tbEtapas[],3,FALSE),"")</f>
        <v/>
      </c>
    </row>
    <row r="2869" spans="1:5" x14ac:dyDescent="0.25">
      <c r="A2869" t="str" cm="1">
        <f t="array" ref="A2869">IFERROR(INDEX(tbNucleo[ESCOLA],ROUNDUP(ROW(A2868)/TotalEtapas,0)),"")</f>
        <v/>
      </c>
      <c r="D2869" t="str">
        <f>IFERROR(VLOOKUP(tbEscolas[[#This Row],[COD ETPA]],tbEtapas[],2,FALSE),"")</f>
        <v/>
      </c>
      <c r="E2869" t="str">
        <f>IFERROR(VLOOKUP(tbEscolas[[#This Row],[COD ETPA]],tbEtapas[],3,FALSE),"")</f>
        <v/>
      </c>
    </row>
    <row r="2870" spans="1:5" x14ac:dyDescent="0.25">
      <c r="A2870" t="str" cm="1">
        <f t="array" ref="A2870">IFERROR(INDEX(tbNucleo[ESCOLA],ROUNDUP(ROW(A2869)/TotalEtapas,0)),"")</f>
        <v/>
      </c>
      <c r="D2870" t="str">
        <f>IFERROR(VLOOKUP(tbEscolas[[#This Row],[COD ETPA]],tbEtapas[],2,FALSE),"")</f>
        <v/>
      </c>
      <c r="E2870" t="str">
        <f>IFERROR(VLOOKUP(tbEscolas[[#This Row],[COD ETPA]],tbEtapas[],3,FALSE),"")</f>
        <v/>
      </c>
    </row>
    <row r="2871" spans="1:5" x14ac:dyDescent="0.25">
      <c r="A2871" t="str" cm="1">
        <f t="array" ref="A2871">IFERROR(INDEX(tbNucleo[ESCOLA],ROUNDUP(ROW(A2870)/TotalEtapas,0)),"")</f>
        <v/>
      </c>
      <c r="D2871" t="str">
        <f>IFERROR(VLOOKUP(tbEscolas[[#This Row],[COD ETPA]],tbEtapas[],2,FALSE),"")</f>
        <v/>
      </c>
      <c r="E2871" t="str">
        <f>IFERROR(VLOOKUP(tbEscolas[[#This Row],[COD ETPA]],tbEtapas[],3,FALSE),"")</f>
        <v/>
      </c>
    </row>
    <row r="2872" spans="1:5" x14ac:dyDescent="0.25">
      <c r="A2872" t="str" cm="1">
        <f t="array" ref="A2872">IFERROR(INDEX(tbNucleo[ESCOLA],ROUNDUP(ROW(A2871)/TotalEtapas,0)),"")</f>
        <v/>
      </c>
      <c r="D2872" t="str">
        <f>IFERROR(VLOOKUP(tbEscolas[[#This Row],[COD ETPA]],tbEtapas[],2,FALSE),"")</f>
        <v/>
      </c>
      <c r="E2872" t="str">
        <f>IFERROR(VLOOKUP(tbEscolas[[#This Row],[COD ETPA]],tbEtapas[],3,FALSE),"")</f>
        <v/>
      </c>
    </row>
    <row r="2873" spans="1:5" x14ac:dyDescent="0.25">
      <c r="A2873" t="str" cm="1">
        <f t="array" ref="A2873">IFERROR(INDEX(tbNucleo[ESCOLA],ROUNDUP(ROW(A2872)/TotalEtapas,0)),"")</f>
        <v/>
      </c>
      <c r="D2873" t="str">
        <f>IFERROR(VLOOKUP(tbEscolas[[#This Row],[COD ETPA]],tbEtapas[],2,FALSE),"")</f>
        <v/>
      </c>
      <c r="E2873" t="str">
        <f>IFERROR(VLOOKUP(tbEscolas[[#This Row],[COD ETPA]],tbEtapas[],3,FALSE),"")</f>
        <v/>
      </c>
    </row>
    <row r="2874" spans="1:5" x14ac:dyDescent="0.25">
      <c r="A2874" t="str" cm="1">
        <f t="array" ref="A2874">IFERROR(INDEX(tbNucleo[ESCOLA],ROUNDUP(ROW(A2873)/TotalEtapas,0)),"")</f>
        <v/>
      </c>
      <c r="D2874" t="str">
        <f>IFERROR(VLOOKUP(tbEscolas[[#This Row],[COD ETPA]],tbEtapas[],2,FALSE),"")</f>
        <v/>
      </c>
      <c r="E2874" t="str">
        <f>IFERROR(VLOOKUP(tbEscolas[[#This Row],[COD ETPA]],tbEtapas[],3,FALSE),"")</f>
        <v/>
      </c>
    </row>
    <row r="2875" spans="1:5" x14ac:dyDescent="0.25">
      <c r="A2875" t="str" cm="1">
        <f t="array" ref="A2875">IFERROR(INDEX(tbNucleo[ESCOLA],ROUNDUP(ROW(A2874)/TotalEtapas,0)),"")</f>
        <v/>
      </c>
      <c r="D2875" t="str">
        <f>IFERROR(VLOOKUP(tbEscolas[[#This Row],[COD ETPA]],tbEtapas[],2,FALSE),"")</f>
        <v/>
      </c>
      <c r="E2875" t="str">
        <f>IFERROR(VLOOKUP(tbEscolas[[#This Row],[COD ETPA]],tbEtapas[],3,FALSE),"")</f>
        <v/>
      </c>
    </row>
    <row r="2876" spans="1:5" x14ac:dyDescent="0.25">
      <c r="A2876" t="str" cm="1">
        <f t="array" ref="A2876">IFERROR(INDEX(tbNucleo[ESCOLA],ROUNDUP(ROW(A2875)/TotalEtapas,0)),"")</f>
        <v/>
      </c>
      <c r="D2876" t="str">
        <f>IFERROR(VLOOKUP(tbEscolas[[#This Row],[COD ETPA]],tbEtapas[],2,FALSE),"")</f>
        <v/>
      </c>
      <c r="E2876" t="str">
        <f>IFERROR(VLOOKUP(tbEscolas[[#This Row],[COD ETPA]],tbEtapas[],3,FALSE),"")</f>
        <v/>
      </c>
    </row>
    <row r="2877" spans="1:5" x14ac:dyDescent="0.25">
      <c r="A2877" t="str" cm="1">
        <f t="array" ref="A2877">IFERROR(INDEX(tbNucleo[ESCOLA],ROUNDUP(ROW(A2876)/TotalEtapas,0)),"")</f>
        <v/>
      </c>
      <c r="D2877" t="str">
        <f>IFERROR(VLOOKUP(tbEscolas[[#This Row],[COD ETPA]],tbEtapas[],2,FALSE),"")</f>
        <v/>
      </c>
      <c r="E2877" t="str">
        <f>IFERROR(VLOOKUP(tbEscolas[[#This Row],[COD ETPA]],tbEtapas[],3,FALSE),"")</f>
        <v/>
      </c>
    </row>
    <row r="2878" spans="1:5" x14ac:dyDescent="0.25">
      <c r="A2878" t="str" cm="1">
        <f t="array" ref="A2878">IFERROR(INDEX(tbNucleo[ESCOLA],ROUNDUP(ROW(A2877)/TotalEtapas,0)),"")</f>
        <v/>
      </c>
      <c r="D2878" t="str">
        <f>IFERROR(VLOOKUP(tbEscolas[[#This Row],[COD ETPA]],tbEtapas[],2,FALSE),"")</f>
        <v/>
      </c>
      <c r="E2878" t="str">
        <f>IFERROR(VLOOKUP(tbEscolas[[#This Row],[COD ETPA]],tbEtapas[],3,FALSE),"")</f>
        <v/>
      </c>
    </row>
    <row r="2879" spans="1:5" x14ac:dyDescent="0.25">
      <c r="A2879" t="str" cm="1">
        <f t="array" ref="A2879">IFERROR(INDEX(tbNucleo[ESCOLA],ROUNDUP(ROW(A2878)/TotalEtapas,0)),"")</f>
        <v/>
      </c>
      <c r="D2879" t="str">
        <f>IFERROR(VLOOKUP(tbEscolas[[#This Row],[COD ETPA]],tbEtapas[],2,FALSE),"")</f>
        <v/>
      </c>
      <c r="E2879" t="str">
        <f>IFERROR(VLOOKUP(tbEscolas[[#This Row],[COD ETPA]],tbEtapas[],3,FALSE),"")</f>
        <v/>
      </c>
    </row>
    <row r="2880" spans="1:5" x14ac:dyDescent="0.25">
      <c r="A2880" t="str" cm="1">
        <f t="array" ref="A2880">IFERROR(INDEX(tbNucleo[ESCOLA],ROUNDUP(ROW(A2879)/TotalEtapas,0)),"")</f>
        <v/>
      </c>
      <c r="D2880" t="str">
        <f>IFERROR(VLOOKUP(tbEscolas[[#This Row],[COD ETPA]],tbEtapas[],2,FALSE),"")</f>
        <v/>
      </c>
      <c r="E2880" t="str">
        <f>IFERROR(VLOOKUP(tbEscolas[[#This Row],[COD ETPA]],tbEtapas[],3,FALSE),"")</f>
        <v/>
      </c>
    </row>
    <row r="2881" spans="1:5" x14ac:dyDescent="0.25">
      <c r="A2881" t="str" cm="1">
        <f t="array" ref="A2881">IFERROR(INDEX(tbNucleo[ESCOLA],ROUNDUP(ROW(A2880)/TotalEtapas,0)),"")</f>
        <v/>
      </c>
      <c r="D2881" t="str">
        <f>IFERROR(VLOOKUP(tbEscolas[[#This Row],[COD ETPA]],tbEtapas[],2,FALSE),"")</f>
        <v/>
      </c>
      <c r="E2881" t="str">
        <f>IFERROR(VLOOKUP(tbEscolas[[#This Row],[COD ETPA]],tbEtapas[],3,FALSE),"")</f>
        <v/>
      </c>
    </row>
    <row r="2882" spans="1:5" x14ac:dyDescent="0.25">
      <c r="A2882" t="str" cm="1">
        <f t="array" ref="A2882">IFERROR(INDEX(tbNucleo[ESCOLA],ROUNDUP(ROW(A2881)/TotalEtapas,0)),"")</f>
        <v/>
      </c>
      <c r="D2882" t="str">
        <f>IFERROR(VLOOKUP(tbEscolas[[#This Row],[COD ETPA]],tbEtapas[],2,FALSE),"")</f>
        <v/>
      </c>
      <c r="E2882" t="str">
        <f>IFERROR(VLOOKUP(tbEscolas[[#This Row],[COD ETPA]],tbEtapas[],3,FALSE),"")</f>
        <v/>
      </c>
    </row>
    <row r="2883" spans="1:5" x14ac:dyDescent="0.25">
      <c r="A2883" t="str" cm="1">
        <f t="array" ref="A2883">IFERROR(INDEX(tbNucleo[ESCOLA],ROUNDUP(ROW(A2882)/TotalEtapas,0)),"")</f>
        <v/>
      </c>
      <c r="D2883" t="str">
        <f>IFERROR(VLOOKUP(tbEscolas[[#This Row],[COD ETPA]],tbEtapas[],2,FALSE),"")</f>
        <v/>
      </c>
      <c r="E2883" t="str">
        <f>IFERROR(VLOOKUP(tbEscolas[[#This Row],[COD ETPA]],tbEtapas[],3,FALSE),"")</f>
        <v/>
      </c>
    </row>
    <row r="2884" spans="1:5" x14ac:dyDescent="0.25">
      <c r="A2884" t="str" cm="1">
        <f t="array" ref="A2884">IFERROR(INDEX(tbNucleo[ESCOLA],ROUNDUP(ROW(A2883)/TotalEtapas,0)),"")</f>
        <v/>
      </c>
      <c r="D2884" t="str">
        <f>IFERROR(VLOOKUP(tbEscolas[[#This Row],[COD ETPA]],tbEtapas[],2,FALSE),"")</f>
        <v/>
      </c>
      <c r="E2884" t="str">
        <f>IFERROR(VLOOKUP(tbEscolas[[#This Row],[COD ETPA]],tbEtapas[],3,FALSE),"")</f>
        <v/>
      </c>
    </row>
    <row r="2885" spans="1:5" x14ac:dyDescent="0.25">
      <c r="A2885" t="str" cm="1">
        <f t="array" ref="A2885">IFERROR(INDEX(tbNucleo[ESCOLA],ROUNDUP(ROW(A2884)/TotalEtapas,0)),"")</f>
        <v/>
      </c>
      <c r="D2885" t="str">
        <f>IFERROR(VLOOKUP(tbEscolas[[#This Row],[COD ETPA]],tbEtapas[],2,FALSE),"")</f>
        <v/>
      </c>
      <c r="E2885" t="str">
        <f>IFERROR(VLOOKUP(tbEscolas[[#This Row],[COD ETPA]],tbEtapas[],3,FALSE),"")</f>
        <v/>
      </c>
    </row>
    <row r="2886" spans="1:5" x14ac:dyDescent="0.25">
      <c r="A2886" t="str" cm="1">
        <f t="array" ref="A2886">IFERROR(INDEX(tbNucleo[ESCOLA],ROUNDUP(ROW(A2885)/TotalEtapas,0)),"")</f>
        <v/>
      </c>
      <c r="D2886" t="str">
        <f>IFERROR(VLOOKUP(tbEscolas[[#This Row],[COD ETPA]],tbEtapas[],2,FALSE),"")</f>
        <v/>
      </c>
      <c r="E2886" t="str">
        <f>IFERROR(VLOOKUP(tbEscolas[[#This Row],[COD ETPA]],tbEtapas[],3,FALSE),"")</f>
        <v/>
      </c>
    </row>
    <row r="2887" spans="1:5" x14ac:dyDescent="0.25">
      <c r="A2887" t="str" cm="1">
        <f t="array" ref="A2887">IFERROR(INDEX(tbNucleo[ESCOLA],ROUNDUP(ROW(A2886)/TotalEtapas,0)),"")</f>
        <v/>
      </c>
      <c r="D2887" t="str">
        <f>IFERROR(VLOOKUP(tbEscolas[[#This Row],[COD ETPA]],tbEtapas[],2,FALSE),"")</f>
        <v/>
      </c>
      <c r="E2887" t="str">
        <f>IFERROR(VLOOKUP(tbEscolas[[#This Row],[COD ETPA]],tbEtapas[],3,FALSE),"")</f>
        <v/>
      </c>
    </row>
    <row r="2888" spans="1:5" x14ac:dyDescent="0.25">
      <c r="A2888" t="str" cm="1">
        <f t="array" ref="A2888">IFERROR(INDEX(tbNucleo[ESCOLA],ROUNDUP(ROW(A2887)/TotalEtapas,0)),"")</f>
        <v/>
      </c>
      <c r="D2888" t="str">
        <f>IFERROR(VLOOKUP(tbEscolas[[#This Row],[COD ETPA]],tbEtapas[],2,FALSE),"")</f>
        <v/>
      </c>
      <c r="E2888" t="str">
        <f>IFERROR(VLOOKUP(tbEscolas[[#This Row],[COD ETPA]],tbEtapas[],3,FALSE),"")</f>
        <v/>
      </c>
    </row>
    <row r="2889" spans="1:5" x14ac:dyDescent="0.25">
      <c r="A2889" t="str" cm="1">
        <f t="array" ref="A2889">IFERROR(INDEX(tbNucleo[ESCOLA],ROUNDUP(ROW(A2888)/TotalEtapas,0)),"")</f>
        <v/>
      </c>
      <c r="D2889" t="str">
        <f>IFERROR(VLOOKUP(tbEscolas[[#This Row],[COD ETPA]],tbEtapas[],2,FALSE),"")</f>
        <v/>
      </c>
      <c r="E2889" t="str">
        <f>IFERROR(VLOOKUP(tbEscolas[[#This Row],[COD ETPA]],tbEtapas[],3,FALSE),"")</f>
        <v/>
      </c>
    </row>
    <row r="2890" spans="1:5" x14ac:dyDescent="0.25">
      <c r="A2890" t="str" cm="1">
        <f t="array" ref="A2890">IFERROR(INDEX(tbNucleo[ESCOLA],ROUNDUP(ROW(A2889)/TotalEtapas,0)),"")</f>
        <v/>
      </c>
      <c r="D2890" t="str">
        <f>IFERROR(VLOOKUP(tbEscolas[[#This Row],[COD ETPA]],tbEtapas[],2,FALSE),"")</f>
        <v/>
      </c>
      <c r="E2890" t="str">
        <f>IFERROR(VLOOKUP(tbEscolas[[#This Row],[COD ETPA]],tbEtapas[],3,FALSE),"")</f>
        <v/>
      </c>
    </row>
    <row r="2891" spans="1:5" x14ac:dyDescent="0.25">
      <c r="A2891" t="str" cm="1">
        <f t="array" ref="A2891">IFERROR(INDEX(tbNucleo[ESCOLA],ROUNDUP(ROW(A2890)/TotalEtapas,0)),"")</f>
        <v/>
      </c>
      <c r="D2891" t="str">
        <f>IFERROR(VLOOKUP(tbEscolas[[#This Row],[COD ETPA]],tbEtapas[],2,FALSE),"")</f>
        <v/>
      </c>
      <c r="E2891" t="str">
        <f>IFERROR(VLOOKUP(tbEscolas[[#This Row],[COD ETPA]],tbEtapas[],3,FALSE),"")</f>
        <v/>
      </c>
    </row>
    <row r="2892" spans="1:5" x14ac:dyDescent="0.25">
      <c r="A2892" t="str" cm="1">
        <f t="array" ref="A2892">IFERROR(INDEX(tbNucleo[ESCOLA],ROUNDUP(ROW(A2891)/TotalEtapas,0)),"")</f>
        <v/>
      </c>
      <c r="D2892" t="str">
        <f>IFERROR(VLOOKUP(tbEscolas[[#This Row],[COD ETPA]],tbEtapas[],2,FALSE),"")</f>
        <v/>
      </c>
      <c r="E2892" t="str">
        <f>IFERROR(VLOOKUP(tbEscolas[[#This Row],[COD ETPA]],tbEtapas[],3,FALSE),"")</f>
        <v/>
      </c>
    </row>
    <row r="2893" spans="1:5" x14ac:dyDescent="0.25">
      <c r="A2893" t="str" cm="1">
        <f t="array" ref="A2893">IFERROR(INDEX(tbNucleo[ESCOLA],ROUNDUP(ROW(A2892)/TotalEtapas,0)),"")</f>
        <v/>
      </c>
      <c r="D2893" t="str">
        <f>IFERROR(VLOOKUP(tbEscolas[[#This Row],[COD ETPA]],tbEtapas[],2,FALSE),"")</f>
        <v/>
      </c>
      <c r="E2893" t="str">
        <f>IFERROR(VLOOKUP(tbEscolas[[#This Row],[COD ETPA]],tbEtapas[],3,FALSE),"")</f>
        <v/>
      </c>
    </row>
    <row r="2894" spans="1:5" x14ac:dyDescent="0.25">
      <c r="A2894" t="str" cm="1">
        <f t="array" ref="A2894">IFERROR(INDEX(tbNucleo[ESCOLA],ROUNDUP(ROW(A2893)/TotalEtapas,0)),"")</f>
        <v/>
      </c>
      <c r="D2894" t="str">
        <f>IFERROR(VLOOKUP(tbEscolas[[#This Row],[COD ETPA]],tbEtapas[],2,FALSE),"")</f>
        <v/>
      </c>
      <c r="E2894" t="str">
        <f>IFERROR(VLOOKUP(tbEscolas[[#This Row],[COD ETPA]],tbEtapas[],3,FALSE),"")</f>
        <v/>
      </c>
    </row>
    <row r="2895" spans="1:5" x14ac:dyDescent="0.25">
      <c r="A2895" t="str" cm="1">
        <f t="array" ref="A2895">IFERROR(INDEX(tbNucleo[ESCOLA],ROUNDUP(ROW(A2894)/TotalEtapas,0)),"")</f>
        <v/>
      </c>
      <c r="D2895" t="str">
        <f>IFERROR(VLOOKUP(tbEscolas[[#This Row],[COD ETPA]],tbEtapas[],2,FALSE),"")</f>
        <v/>
      </c>
      <c r="E2895" t="str">
        <f>IFERROR(VLOOKUP(tbEscolas[[#This Row],[COD ETPA]],tbEtapas[],3,FALSE),"")</f>
        <v/>
      </c>
    </row>
    <row r="2896" spans="1:5" x14ac:dyDescent="0.25">
      <c r="A2896" t="str" cm="1">
        <f t="array" ref="A2896">IFERROR(INDEX(tbNucleo[ESCOLA],ROUNDUP(ROW(A2895)/TotalEtapas,0)),"")</f>
        <v/>
      </c>
      <c r="D2896" t="str">
        <f>IFERROR(VLOOKUP(tbEscolas[[#This Row],[COD ETPA]],tbEtapas[],2,FALSE),"")</f>
        <v/>
      </c>
      <c r="E2896" t="str">
        <f>IFERROR(VLOOKUP(tbEscolas[[#This Row],[COD ETPA]],tbEtapas[],3,FALSE),"")</f>
        <v/>
      </c>
    </row>
    <row r="2897" spans="1:5" x14ac:dyDescent="0.25">
      <c r="A2897" t="str" cm="1">
        <f t="array" ref="A2897">IFERROR(INDEX(tbNucleo[ESCOLA],ROUNDUP(ROW(A2896)/TotalEtapas,0)),"")</f>
        <v/>
      </c>
      <c r="D2897" t="str">
        <f>IFERROR(VLOOKUP(tbEscolas[[#This Row],[COD ETPA]],tbEtapas[],2,FALSE),"")</f>
        <v/>
      </c>
      <c r="E2897" t="str">
        <f>IFERROR(VLOOKUP(tbEscolas[[#This Row],[COD ETPA]],tbEtapas[],3,FALSE),"")</f>
        <v/>
      </c>
    </row>
    <row r="2898" spans="1:5" x14ac:dyDescent="0.25">
      <c r="A2898" t="str" cm="1">
        <f t="array" ref="A2898">IFERROR(INDEX(tbNucleo[ESCOLA],ROUNDUP(ROW(A2897)/TotalEtapas,0)),"")</f>
        <v/>
      </c>
      <c r="D2898" t="str">
        <f>IFERROR(VLOOKUP(tbEscolas[[#This Row],[COD ETPA]],tbEtapas[],2,FALSE),"")</f>
        <v/>
      </c>
      <c r="E2898" t="str">
        <f>IFERROR(VLOOKUP(tbEscolas[[#This Row],[COD ETPA]],tbEtapas[],3,FALSE),"")</f>
        <v/>
      </c>
    </row>
    <row r="2899" spans="1:5" x14ac:dyDescent="0.25">
      <c r="A2899" t="str" cm="1">
        <f t="array" ref="A2899">IFERROR(INDEX(tbNucleo[ESCOLA],ROUNDUP(ROW(A2898)/TotalEtapas,0)),"")</f>
        <v/>
      </c>
      <c r="D2899" t="str">
        <f>IFERROR(VLOOKUP(tbEscolas[[#This Row],[COD ETPA]],tbEtapas[],2,FALSE),"")</f>
        <v/>
      </c>
      <c r="E2899" t="str">
        <f>IFERROR(VLOOKUP(tbEscolas[[#This Row],[COD ETPA]],tbEtapas[],3,FALSE),"")</f>
        <v/>
      </c>
    </row>
    <row r="2900" spans="1:5" x14ac:dyDescent="0.25">
      <c r="A2900" t="str" cm="1">
        <f t="array" ref="A2900">IFERROR(INDEX(tbNucleo[ESCOLA],ROUNDUP(ROW(A2899)/TotalEtapas,0)),"")</f>
        <v/>
      </c>
      <c r="D2900" t="str">
        <f>IFERROR(VLOOKUP(tbEscolas[[#This Row],[COD ETPA]],tbEtapas[],2,FALSE),"")</f>
        <v/>
      </c>
      <c r="E2900" t="str">
        <f>IFERROR(VLOOKUP(tbEscolas[[#This Row],[COD ETPA]],tbEtapas[],3,FALSE),"")</f>
        <v/>
      </c>
    </row>
    <row r="2901" spans="1:5" x14ac:dyDescent="0.25">
      <c r="A2901" t="str" cm="1">
        <f t="array" ref="A2901">IFERROR(INDEX(tbNucleo[ESCOLA],ROUNDUP(ROW(A2900)/TotalEtapas,0)),"")</f>
        <v/>
      </c>
      <c r="D2901" t="str">
        <f>IFERROR(VLOOKUP(tbEscolas[[#This Row],[COD ETPA]],tbEtapas[],2,FALSE),"")</f>
        <v/>
      </c>
      <c r="E2901" t="str">
        <f>IFERROR(VLOOKUP(tbEscolas[[#This Row],[COD ETPA]],tbEtapas[],3,FALSE),"")</f>
        <v/>
      </c>
    </row>
    <row r="2902" spans="1:5" x14ac:dyDescent="0.25">
      <c r="A2902" t="str" cm="1">
        <f t="array" ref="A2902">IFERROR(INDEX(tbNucleo[ESCOLA],ROUNDUP(ROW(A2901)/TotalEtapas,0)),"")</f>
        <v/>
      </c>
      <c r="D2902" t="str">
        <f>IFERROR(VLOOKUP(tbEscolas[[#This Row],[COD ETPA]],tbEtapas[],2,FALSE),"")</f>
        <v/>
      </c>
      <c r="E2902" t="str">
        <f>IFERROR(VLOOKUP(tbEscolas[[#This Row],[COD ETPA]],tbEtapas[],3,FALSE),"")</f>
        <v/>
      </c>
    </row>
    <row r="2903" spans="1:5" x14ac:dyDescent="0.25">
      <c r="A2903" t="str" cm="1">
        <f t="array" ref="A2903">IFERROR(INDEX(tbNucleo[ESCOLA],ROUNDUP(ROW(A2902)/TotalEtapas,0)),"")</f>
        <v/>
      </c>
      <c r="D2903" t="str">
        <f>IFERROR(VLOOKUP(tbEscolas[[#This Row],[COD ETPA]],tbEtapas[],2,FALSE),"")</f>
        <v/>
      </c>
      <c r="E2903" t="str">
        <f>IFERROR(VLOOKUP(tbEscolas[[#This Row],[COD ETPA]],tbEtapas[],3,FALSE),"")</f>
        <v/>
      </c>
    </row>
    <row r="2904" spans="1:5" x14ac:dyDescent="0.25">
      <c r="A2904" t="str" cm="1">
        <f t="array" ref="A2904">IFERROR(INDEX(tbNucleo[ESCOLA],ROUNDUP(ROW(A2903)/TotalEtapas,0)),"")</f>
        <v/>
      </c>
      <c r="D2904" t="str">
        <f>IFERROR(VLOOKUP(tbEscolas[[#This Row],[COD ETPA]],tbEtapas[],2,FALSE),"")</f>
        <v/>
      </c>
      <c r="E2904" t="str">
        <f>IFERROR(VLOOKUP(tbEscolas[[#This Row],[COD ETPA]],tbEtapas[],3,FALSE),"")</f>
        <v/>
      </c>
    </row>
    <row r="2905" spans="1:5" x14ac:dyDescent="0.25">
      <c r="A2905" t="str" cm="1">
        <f t="array" ref="A2905">IFERROR(INDEX(tbNucleo[ESCOLA],ROUNDUP(ROW(A2904)/TotalEtapas,0)),"")</f>
        <v/>
      </c>
      <c r="D2905" t="str">
        <f>IFERROR(VLOOKUP(tbEscolas[[#This Row],[COD ETPA]],tbEtapas[],2,FALSE),"")</f>
        <v/>
      </c>
      <c r="E2905" t="str">
        <f>IFERROR(VLOOKUP(tbEscolas[[#This Row],[COD ETPA]],tbEtapas[],3,FALSE),"")</f>
        <v/>
      </c>
    </row>
    <row r="2906" spans="1:5" x14ac:dyDescent="0.25">
      <c r="A2906" t="str" cm="1">
        <f t="array" ref="A2906">IFERROR(INDEX(tbNucleo[ESCOLA],ROUNDUP(ROW(A2905)/TotalEtapas,0)),"")</f>
        <v/>
      </c>
      <c r="D2906" t="str">
        <f>IFERROR(VLOOKUP(tbEscolas[[#This Row],[COD ETPA]],tbEtapas[],2,FALSE),"")</f>
        <v/>
      </c>
      <c r="E2906" t="str">
        <f>IFERROR(VLOOKUP(tbEscolas[[#This Row],[COD ETPA]],tbEtapas[],3,FALSE),"")</f>
        <v/>
      </c>
    </row>
    <row r="2907" spans="1:5" x14ac:dyDescent="0.25">
      <c r="A2907" t="str" cm="1">
        <f t="array" ref="A2907">IFERROR(INDEX(tbNucleo[ESCOLA],ROUNDUP(ROW(A2906)/TotalEtapas,0)),"")</f>
        <v/>
      </c>
      <c r="D2907" t="str">
        <f>IFERROR(VLOOKUP(tbEscolas[[#This Row],[COD ETPA]],tbEtapas[],2,FALSE),"")</f>
        <v/>
      </c>
      <c r="E2907" t="str">
        <f>IFERROR(VLOOKUP(tbEscolas[[#This Row],[COD ETPA]],tbEtapas[],3,FALSE),"")</f>
        <v/>
      </c>
    </row>
    <row r="2908" spans="1:5" x14ac:dyDescent="0.25">
      <c r="A2908" t="str" cm="1">
        <f t="array" ref="A2908">IFERROR(INDEX(tbNucleo[ESCOLA],ROUNDUP(ROW(A2907)/TotalEtapas,0)),"")</f>
        <v/>
      </c>
      <c r="D2908" t="str">
        <f>IFERROR(VLOOKUP(tbEscolas[[#This Row],[COD ETPA]],tbEtapas[],2,FALSE),"")</f>
        <v/>
      </c>
      <c r="E2908" t="str">
        <f>IFERROR(VLOOKUP(tbEscolas[[#This Row],[COD ETPA]],tbEtapas[],3,FALSE),"")</f>
        <v/>
      </c>
    </row>
    <row r="2909" spans="1:5" x14ac:dyDescent="0.25">
      <c r="A2909" t="str" cm="1">
        <f t="array" ref="A2909">IFERROR(INDEX(tbNucleo[ESCOLA],ROUNDUP(ROW(A2908)/TotalEtapas,0)),"")</f>
        <v/>
      </c>
      <c r="D2909" t="str">
        <f>IFERROR(VLOOKUP(tbEscolas[[#This Row],[COD ETPA]],tbEtapas[],2,FALSE),"")</f>
        <v/>
      </c>
      <c r="E2909" t="str">
        <f>IFERROR(VLOOKUP(tbEscolas[[#This Row],[COD ETPA]],tbEtapas[],3,FALSE),"")</f>
        <v/>
      </c>
    </row>
    <row r="2910" spans="1:5" x14ac:dyDescent="0.25">
      <c r="A2910" t="str" cm="1">
        <f t="array" ref="A2910">IFERROR(INDEX(tbNucleo[ESCOLA],ROUNDUP(ROW(A2909)/TotalEtapas,0)),"")</f>
        <v/>
      </c>
      <c r="D2910" t="str">
        <f>IFERROR(VLOOKUP(tbEscolas[[#This Row],[COD ETPA]],tbEtapas[],2,FALSE),"")</f>
        <v/>
      </c>
      <c r="E2910" t="str">
        <f>IFERROR(VLOOKUP(tbEscolas[[#This Row],[COD ETPA]],tbEtapas[],3,FALSE),"")</f>
        <v/>
      </c>
    </row>
    <row r="2911" spans="1:5" x14ac:dyDescent="0.25">
      <c r="A2911" t="str" cm="1">
        <f t="array" ref="A2911">IFERROR(INDEX(tbNucleo[ESCOLA],ROUNDUP(ROW(A2910)/TotalEtapas,0)),"")</f>
        <v/>
      </c>
      <c r="D2911" t="str">
        <f>IFERROR(VLOOKUP(tbEscolas[[#This Row],[COD ETPA]],tbEtapas[],2,FALSE),"")</f>
        <v/>
      </c>
      <c r="E2911" t="str">
        <f>IFERROR(VLOOKUP(tbEscolas[[#This Row],[COD ETPA]],tbEtapas[],3,FALSE),"")</f>
        <v/>
      </c>
    </row>
    <row r="2912" spans="1:5" x14ac:dyDescent="0.25">
      <c r="A2912" t="str" cm="1">
        <f t="array" ref="A2912">IFERROR(INDEX(tbNucleo[ESCOLA],ROUNDUP(ROW(A2911)/TotalEtapas,0)),"")</f>
        <v/>
      </c>
      <c r="D2912" t="str">
        <f>IFERROR(VLOOKUP(tbEscolas[[#This Row],[COD ETPA]],tbEtapas[],2,FALSE),"")</f>
        <v/>
      </c>
      <c r="E2912" t="str">
        <f>IFERROR(VLOOKUP(tbEscolas[[#This Row],[COD ETPA]],tbEtapas[],3,FALSE),"")</f>
        <v/>
      </c>
    </row>
    <row r="2913" spans="1:5" x14ac:dyDescent="0.25">
      <c r="A2913" t="str" cm="1">
        <f t="array" ref="A2913">IFERROR(INDEX(tbNucleo[ESCOLA],ROUNDUP(ROW(A2912)/TotalEtapas,0)),"")</f>
        <v/>
      </c>
      <c r="D2913" t="str">
        <f>IFERROR(VLOOKUP(tbEscolas[[#This Row],[COD ETPA]],tbEtapas[],2,FALSE),"")</f>
        <v/>
      </c>
      <c r="E2913" t="str">
        <f>IFERROR(VLOOKUP(tbEscolas[[#This Row],[COD ETPA]],tbEtapas[],3,FALSE),"")</f>
        <v/>
      </c>
    </row>
    <row r="2914" spans="1:5" x14ac:dyDescent="0.25">
      <c r="A2914" t="str" cm="1">
        <f t="array" ref="A2914">IFERROR(INDEX(tbNucleo[ESCOLA],ROUNDUP(ROW(A2913)/TotalEtapas,0)),"")</f>
        <v/>
      </c>
      <c r="D2914" t="str">
        <f>IFERROR(VLOOKUP(tbEscolas[[#This Row],[COD ETPA]],tbEtapas[],2,FALSE),"")</f>
        <v/>
      </c>
      <c r="E2914" t="str">
        <f>IFERROR(VLOOKUP(tbEscolas[[#This Row],[COD ETPA]],tbEtapas[],3,FALSE),"")</f>
        <v/>
      </c>
    </row>
    <row r="2915" spans="1:5" x14ac:dyDescent="0.25">
      <c r="A2915" t="str" cm="1">
        <f t="array" ref="A2915">IFERROR(INDEX(tbNucleo[ESCOLA],ROUNDUP(ROW(A2914)/TotalEtapas,0)),"")</f>
        <v/>
      </c>
      <c r="D2915" t="str">
        <f>IFERROR(VLOOKUP(tbEscolas[[#This Row],[COD ETPA]],tbEtapas[],2,FALSE),"")</f>
        <v/>
      </c>
      <c r="E2915" t="str">
        <f>IFERROR(VLOOKUP(tbEscolas[[#This Row],[COD ETPA]],tbEtapas[],3,FALSE),"")</f>
        <v/>
      </c>
    </row>
    <row r="2916" spans="1:5" x14ac:dyDescent="0.25">
      <c r="A2916" t="str" cm="1">
        <f t="array" ref="A2916">IFERROR(INDEX(tbNucleo[ESCOLA],ROUNDUP(ROW(A2915)/TotalEtapas,0)),"")</f>
        <v/>
      </c>
      <c r="D2916" t="str">
        <f>IFERROR(VLOOKUP(tbEscolas[[#This Row],[COD ETPA]],tbEtapas[],2,FALSE),"")</f>
        <v/>
      </c>
      <c r="E2916" t="str">
        <f>IFERROR(VLOOKUP(tbEscolas[[#This Row],[COD ETPA]],tbEtapas[],3,FALSE),"")</f>
        <v/>
      </c>
    </row>
    <row r="2917" spans="1:5" x14ac:dyDescent="0.25">
      <c r="A2917" t="str" cm="1">
        <f t="array" ref="A2917">IFERROR(INDEX(tbNucleo[ESCOLA],ROUNDUP(ROW(A2916)/TotalEtapas,0)),"")</f>
        <v/>
      </c>
      <c r="D2917" t="str">
        <f>IFERROR(VLOOKUP(tbEscolas[[#This Row],[COD ETPA]],tbEtapas[],2,FALSE),"")</f>
        <v/>
      </c>
      <c r="E2917" t="str">
        <f>IFERROR(VLOOKUP(tbEscolas[[#This Row],[COD ETPA]],tbEtapas[],3,FALSE),"")</f>
        <v/>
      </c>
    </row>
    <row r="2918" spans="1:5" x14ac:dyDescent="0.25">
      <c r="A2918" t="str" cm="1">
        <f t="array" ref="A2918">IFERROR(INDEX(tbNucleo[ESCOLA],ROUNDUP(ROW(A2917)/TotalEtapas,0)),"")</f>
        <v/>
      </c>
      <c r="D2918" t="str">
        <f>IFERROR(VLOOKUP(tbEscolas[[#This Row],[COD ETPA]],tbEtapas[],2,FALSE),"")</f>
        <v/>
      </c>
      <c r="E2918" t="str">
        <f>IFERROR(VLOOKUP(tbEscolas[[#This Row],[COD ETPA]],tbEtapas[],3,FALSE),"")</f>
        <v/>
      </c>
    </row>
    <row r="2919" spans="1:5" x14ac:dyDescent="0.25">
      <c r="A2919" t="str" cm="1">
        <f t="array" ref="A2919">IFERROR(INDEX(tbNucleo[ESCOLA],ROUNDUP(ROW(A2918)/TotalEtapas,0)),"")</f>
        <v/>
      </c>
      <c r="D2919" t="str">
        <f>IFERROR(VLOOKUP(tbEscolas[[#This Row],[COD ETPA]],tbEtapas[],2,FALSE),"")</f>
        <v/>
      </c>
      <c r="E2919" t="str">
        <f>IFERROR(VLOOKUP(tbEscolas[[#This Row],[COD ETPA]],tbEtapas[],3,FALSE),"")</f>
        <v/>
      </c>
    </row>
    <row r="2920" spans="1:5" x14ac:dyDescent="0.25">
      <c r="A2920" t="str" cm="1">
        <f t="array" ref="A2920">IFERROR(INDEX(tbNucleo[ESCOLA],ROUNDUP(ROW(A2919)/TotalEtapas,0)),"")</f>
        <v/>
      </c>
      <c r="D2920" t="str">
        <f>IFERROR(VLOOKUP(tbEscolas[[#This Row],[COD ETPA]],tbEtapas[],2,FALSE),"")</f>
        <v/>
      </c>
      <c r="E2920" t="str">
        <f>IFERROR(VLOOKUP(tbEscolas[[#This Row],[COD ETPA]],tbEtapas[],3,FALSE),"")</f>
        <v/>
      </c>
    </row>
    <row r="2921" spans="1:5" x14ac:dyDescent="0.25">
      <c r="A2921" t="str" cm="1">
        <f t="array" ref="A2921">IFERROR(INDEX(tbNucleo[ESCOLA],ROUNDUP(ROW(A2920)/TotalEtapas,0)),"")</f>
        <v/>
      </c>
      <c r="D2921" t="str">
        <f>IFERROR(VLOOKUP(tbEscolas[[#This Row],[COD ETPA]],tbEtapas[],2,FALSE),"")</f>
        <v/>
      </c>
      <c r="E2921" t="str">
        <f>IFERROR(VLOOKUP(tbEscolas[[#This Row],[COD ETPA]],tbEtapas[],3,FALSE),"")</f>
        <v/>
      </c>
    </row>
    <row r="2922" spans="1:5" x14ac:dyDescent="0.25">
      <c r="A2922" t="str" cm="1">
        <f t="array" ref="A2922">IFERROR(INDEX(tbNucleo[ESCOLA],ROUNDUP(ROW(A2921)/TotalEtapas,0)),"")</f>
        <v/>
      </c>
      <c r="D2922" t="str">
        <f>IFERROR(VLOOKUP(tbEscolas[[#This Row],[COD ETPA]],tbEtapas[],2,FALSE),"")</f>
        <v/>
      </c>
      <c r="E2922" t="str">
        <f>IFERROR(VLOOKUP(tbEscolas[[#This Row],[COD ETPA]],tbEtapas[],3,FALSE),"")</f>
        <v/>
      </c>
    </row>
    <row r="2923" spans="1:5" x14ac:dyDescent="0.25">
      <c r="A2923" t="str" cm="1">
        <f t="array" ref="A2923">IFERROR(INDEX(tbNucleo[ESCOLA],ROUNDUP(ROW(A2922)/TotalEtapas,0)),"")</f>
        <v/>
      </c>
      <c r="D2923" t="str">
        <f>IFERROR(VLOOKUP(tbEscolas[[#This Row],[COD ETPA]],tbEtapas[],2,FALSE),"")</f>
        <v/>
      </c>
      <c r="E2923" t="str">
        <f>IFERROR(VLOOKUP(tbEscolas[[#This Row],[COD ETPA]],tbEtapas[],3,FALSE),"")</f>
        <v/>
      </c>
    </row>
    <row r="2924" spans="1:5" x14ac:dyDescent="0.25">
      <c r="A2924" t="str" cm="1">
        <f t="array" ref="A2924">IFERROR(INDEX(tbNucleo[ESCOLA],ROUNDUP(ROW(A2923)/TotalEtapas,0)),"")</f>
        <v/>
      </c>
      <c r="D2924" t="str">
        <f>IFERROR(VLOOKUP(tbEscolas[[#This Row],[COD ETPA]],tbEtapas[],2,FALSE),"")</f>
        <v/>
      </c>
      <c r="E2924" t="str">
        <f>IFERROR(VLOOKUP(tbEscolas[[#This Row],[COD ETPA]],tbEtapas[],3,FALSE),"")</f>
        <v/>
      </c>
    </row>
    <row r="2925" spans="1:5" x14ac:dyDescent="0.25">
      <c r="A2925" t="str" cm="1">
        <f t="array" ref="A2925">IFERROR(INDEX(tbNucleo[ESCOLA],ROUNDUP(ROW(A2924)/TotalEtapas,0)),"")</f>
        <v/>
      </c>
      <c r="D2925" t="str">
        <f>IFERROR(VLOOKUP(tbEscolas[[#This Row],[COD ETPA]],tbEtapas[],2,FALSE),"")</f>
        <v/>
      </c>
      <c r="E2925" t="str">
        <f>IFERROR(VLOOKUP(tbEscolas[[#This Row],[COD ETPA]],tbEtapas[],3,FALSE),"")</f>
        <v/>
      </c>
    </row>
    <row r="2926" spans="1:5" x14ac:dyDescent="0.25">
      <c r="A2926" t="str" cm="1">
        <f t="array" ref="A2926">IFERROR(INDEX(tbNucleo[ESCOLA],ROUNDUP(ROW(A2925)/TotalEtapas,0)),"")</f>
        <v/>
      </c>
      <c r="D2926" t="str">
        <f>IFERROR(VLOOKUP(tbEscolas[[#This Row],[COD ETPA]],tbEtapas[],2,FALSE),"")</f>
        <v/>
      </c>
      <c r="E2926" t="str">
        <f>IFERROR(VLOOKUP(tbEscolas[[#This Row],[COD ETPA]],tbEtapas[],3,FALSE),"")</f>
        <v/>
      </c>
    </row>
    <row r="2927" spans="1:5" x14ac:dyDescent="0.25">
      <c r="A2927" t="str" cm="1">
        <f t="array" ref="A2927">IFERROR(INDEX(tbNucleo[ESCOLA],ROUNDUP(ROW(A2926)/TotalEtapas,0)),"")</f>
        <v/>
      </c>
      <c r="D2927" t="str">
        <f>IFERROR(VLOOKUP(tbEscolas[[#This Row],[COD ETPA]],tbEtapas[],2,FALSE),"")</f>
        <v/>
      </c>
      <c r="E2927" t="str">
        <f>IFERROR(VLOOKUP(tbEscolas[[#This Row],[COD ETPA]],tbEtapas[],3,FALSE),"")</f>
        <v/>
      </c>
    </row>
    <row r="2928" spans="1:5" x14ac:dyDescent="0.25">
      <c r="A2928" t="str" cm="1">
        <f t="array" ref="A2928">IFERROR(INDEX(tbNucleo[ESCOLA],ROUNDUP(ROW(A2927)/TotalEtapas,0)),"")</f>
        <v/>
      </c>
      <c r="D2928" t="str">
        <f>IFERROR(VLOOKUP(tbEscolas[[#This Row],[COD ETPA]],tbEtapas[],2,FALSE),"")</f>
        <v/>
      </c>
      <c r="E2928" t="str">
        <f>IFERROR(VLOOKUP(tbEscolas[[#This Row],[COD ETPA]],tbEtapas[],3,FALSE),"")</f>
        <v/>
      </c>
    </row>
    <row r="2929" spans="1:5" x14ac:dyDescent="0.25">
      <c r="A2929" t="str" cm="1">
        <f t="array" ref="A2929">IFERROR(INDEX(tbNucleo[ESCOLA],ROUNDUP(ROW(A2928)/TotalEtapas,0)),"")</f>
        <v/>
      </c>
      <c r="D2929" t="str">
        <f>IFERROR(VLOOKUP(tbEscolas[[#This Row],[COD ETPA]],tbEtapas[],2,FALSE),"")</f>
        <v/>
      </c>
      <c r="E2929" t="str">
        <f>IFERROR(VLOOKUP(tbEscolas[[#This Row],[COD ETPA]],tbEtapas[],3,FALSE),"")</f>
        <v/>
      </c>
    </row>
    <row r="2930" spans="1:5" x14ac:dyDescent="0.25">
      <c r="A2930" t="str" cm="1">
        <f t="array" ref="A2930">IFERROR(INDEX(tbNucleo[ESCOLA],ROUNDUP(ROW(A2929)/TotalEtapas,0)),"")</f>
        <v/>
      </c>
      <c r="D2930" t="str">
        <f>IFERROR(VLOOKUP(tbEscolas[[#This Row],[COD ETPA]],tbEtapas[],2,FALSE),"")</f>
        <v/>
      </c>
      <c r="E2930" t="str">
        <f>IFERROR(VLOOKUP(tbEscolas[[#This Row],[COD ETPA]],tbEtapas[],3,FALSE),"")</f>
        <v/>
      </c>
    </row>
    <row r="2931" spans="1:5" x14ac:dyDescent="0.25">
      <c r="A2931" t="str" cm="1">
        <f t="array" ref="A2931">IFERROR(INDEX(tbNucleo[ESCOLA],ROUNDUP(ROW(A2930)/TotalEtapas,0)),"")</f>
        <v/>
      </c>
      <c r="D2931" t="str">
        <f>IFERROR(VLOOKUP(tbEscolas[[#This Row],[COD ETPA]],tbEtapas[],2,FALSE),"")</f>
        <v/>
      </c>
      <c r="E2931" t="str">
        <f>IFERROR(VLOOKUP(tbEscolas[[#This Row],[COD ETPA]],tbEtapas[],3,FALSE),"")</f>
        <v/>
      </c>
    </row>
    <row r="2932" spans="1:5" x14ac:dyDescent="0.25">
      <c r="A2932" t="str" cm="1">
        <f t="array" ref="A2932">IFERROR(INDEX(tbNucleo[ESCOLA],ROUNDUP(ROW(A2931)/TotalEtapas,0)),"")</f>
        <v/>
      </c>
      <c r="D2932" t="str">
        <f>IFERROR(VLOOKUP(tbEscolas[[#This Row],[COD ETPA]],tbEtapas[],2,FALSE),"")</f>
        <v/>
      </c>
      <c r="E2932" t="str">
        <f>IFERROR(VLOOKUP(tbEscolas[[#This Row],[COD ETPA]],tbEtapas[],3,FALSE),"")</f>
        <v/>
      </c>
    </row>
    <row r="2933" spans="1:5" x14ac:dyDescent="0.25">
      <c r="A2933" t="str" cm="1">
        <f t="array" ref="A2933">IFERROR(INDEX(tbNucleo[ESCOLA],ROUNDUP(ROW(A2932)/TotalEtapas,0)),"")</f>
        <v/>
      </c>
      <c r="D2933" t="str">
        <f>IFERROR(VLOOKUP(tbEscolas[[#This Row],[COD ETPA]],tbEtapas[],2,FALSE),"")</f>
        <v/>
      </c>
      <c r="E2933" t="str">
        <f>IFERROR(VLOOKUP(tbEscolas[[#This Row],[COD ETPA]],tbEtapas[],3,FALSE),"")</f>
        <v/>
      </c>
    </row>
    <row r="2934" spans="1:5" x14ac:dyDescent="0.25">
      <c r="A2934" t="str" cm="1">
        <f t="array" ref="A2934">IFERROR(INDEX(tbNucleo[ESCOLA],ROUNDUP(ROW(A2933)/TotalEtapas,0)),"")</f>
        <v/>
      </c>
      <c r="D2934" t="str">
        <f>IFERROR(VLOOKUP(tbEscolas[[#This Row],[COD ETPA]],tbEtapas[],2,FALSE),"")</f>
        <v/>
      </c>
      <c r="E2934" t="str">
        <f>IFERROR(VLOOKUP(tbEscolas[[#This Row],[COD ETPA]],tbEtapas[],3,FALSE),"")</f>
        <v/>
      </c>
    </row>
    <row r="2935" spans="1:5" x14ac:dyDescent="0.25">
      <c r="A2935" t="str" cm="1">
        <f t="array" ref="A2935">IFERROR(INDEX(tbNucleo[ESCOLA],ROUNDUP(ROW(A2934)/TotalEtapas,0)),"")</f>
        <v/>
      </c>
      <c r="D2935" t="str">
        <f>IFERROR(VLOOKUP(tbEscolas[[#This Row],[COD ETPA]],tbEtapas[],2,FALSE),"")</f>
        <v/>
      </c>
      <c r="E2935" t="str">
        <f>IFERROR(VLOOKUP(tbEscolas[[#This Row],[COD ETPA]],tbEtapas[],3,FALSE),"")</f>
        <v/>
      </c>
    </row>
    <row r="2936" spans="1:5" x14ac:dyDescent="0.25">
      <c r="A2936" t="str" cm="1">
        <f t="array" ref="A2936">IFERROR(INDEX(tbNucleo[ESCOLA],ROUNDUP(ROW(A2935)/TotalEtapas,0)),"")</f>
        <v/>
      </c>
      <c r="D2936" t="str">
        <f>IFERROR(VLOOKUP(tbEscolas[[#This Row],[COD ETPA]],tbEtapas[],2,FALSE),"")</f>
        <v/>
      </c>
      <c r="E2936" t="str">
        <f>IFERROR(VLOOKUP(tbEscolas[[#This Row],[COD ETPA]],tbEtapas[],3,FALSE),"")</f>
        <v/>
      </c>
    </row>
    <row r="2937" spans="1:5" x14ac:dyDescent="0.25">
      <c r="A2937" t="str" cm="1">
        <f t="array" ref="A2937">IFERROR(INDEX(tbNucleo[ESCOLA],ROUNDUP(ROW(A2936)/TotalEtapas,0)),"")</f>
        <v/>
      </c>
      <c r="D2937" t="str">
        <f>IFERROR(VLOOKUP(tbEscolas[[#This Row],[COD ETPA]],tbEtapas[],2,FALSE),"")</f>
        <v/>
      </c>
      <c r="E2937" t="str">
        <f>IFERROR(VLOOKUP(tbEscolas[[#This Row],[COD ETPA]],tbEtapas[],3,FALSE),"")</f>
        <v/>
      </c>
    </row>
    <row r="2938" spans="1:5" x14ac:dyDescent="0.25">
      <c r="A2938" t="str" cm="1">
        <f t="array" ref="A2938">IFERROR(INDEX(tbNucleo[ESCOLA],ROUNDUP(ROW(A2937)/TotalEtapas,0)),"")</f>
        <v/>
      </c>
      <c r="D2938" t="str">
        <f>IFERROR(VLOOKUP(tbEscolas[[#This Row],[COD ETPA]],tbEtapas[],2,FALSE),"")</f>
        <v/>
      </c>
      <c r="E2938" t="str">
        <f>IFERROR(VLOOKUP(tbEscolas[[#This Row],[COD ETPA]],tbEtapas[],3,FALSE),"")</f>
        <v/>
      </c>
    </row>
    <row r="2939" spans="1:5" x14ac:dyDescent="0.25">
      <c r="A2939" t="str" cm="1">
        <f t="array" ref="A2939">IFERROR(INDEX(tbNucleo[ESCOLA],ROUNDUP(ROW(A2938)/TotalEtapas,0)),"")</f>
        <v/>
      </c>
      <c r="D2939" t="str">
        <f>IFERROR(VLOOKUP(tbEscolas[[#This Row],[COD ETPA]],tbEtapas[],2,FALSE),"")</f>
        <v/>
      </c>
      <c r="E2939" t="str">
        <f>IFERROR(VLOOKUP(tbEscolas[[#This Row],[COD ETPA]],tbEtapas[],3,FALSE),"")</f>
        <v/>
      </c>
    </row>
    <row r="2940" spans="1:5" x14ac:dyDescent="0.25">
      <c r="A2940" t="str" cm="1">
        <f t="array" ref="A2940">IFERROR(INDEX(tbNucleo[ESCOLA],ROUNDUP(ROW(A2939)/TotalEtapas,0)),"")</f>
        <v/>
      </c>
      <c r="D2940" t="str">
        <f>IFERROR(VLOOKUP(tbEscolas[[#This Row],[COD ETPA]],tbEtapas[],2,FALSE),"")</f>
        <v/>
      </c>
      <c r="E2940" t="str">
        <f>IFERROR(VLOOKUP(tbEscolas[[#This Row],[COD ETPA]],tbEtapas[],3,FALSE),"")</f>
        <v/>
      </c>
    </row>
    <row r="2941" spans="1:5" x14ac:dyDescent="0.25">
      <c r="A2941" t="str" cm="1">
        <f t="array" ref="A2941">IFERROR(INDEX(tbNucleo[ESCOLA],ROUNDUP(ROW(A2940)/TotalEtapas,0)),"")</f>
        <v/>
      </c>
      <c r="D2941" t="str">
        <f>IFERROR(VLOOKUP(tbEscolas[[#This Row],[COD ETPA]],tbEtapas[],2,FALSE),"")</f>
        <v/>
      </c>
      <c r="E2941" t="str">
        <f>IFERROR(VLOOKUP(tbEscolas[[#This Row],[COD ETPA]],tbEtapas[],3,FALSE),"")</f>
        <v/>
      </c>
    </row>
    <row r="2942" spans="1:5" x14ac:dyDescent="0.25">
      <c r="A2942" t="str" cm="1">
        <f t="array" ref="A2942">IFERROR(INDEX(tbNucleo[ESCOLA],ROUNDUP(ROW(A2941)/TotalEtapas,0)),"")</f>
        <v/>
      </c>
      <c r="D2942" t="str">
        <f>IFERROR(VLOOKUP(tbEscolas[[#This Row],[COD ETPA]],tbEtapas[],2,FALSE),"")</f>
        <v/>
      </c>
      <c r="E2942" t="str">
        <f>IFERROR(VLOOKUP(tbEscolas[[#This Row],[COD ETPA]],tbEtapas[],3,FALSE),"")</f>
        <v/>
      </c>
    </row>
    <row r="2943" spans="1:5" x14ac:dyDescent="0.25">
      <c r="A2943" t="str" cm="1">
        <f t="array" ref="A2943">IFERROR(INDEX(tbNucleo[ESCOLA],ROUNDUP(ROW(A2942)/TotalEtapas,0)),"")</f>
        <v/>
      </c>
      <c r="D2943" t="str">
        <f>IFERROR(VLOOKUP(tbEscolas[[#This Row],[COD ETPA]],tbEtapas[],2,FALSE),"")</f>
        <v/>
      </c>
      <c r="E2943" t="str">
        <f>IFERROR(VLOOKUP(tbEscolas[[#This Row],[COD ETPA]],tbEtapas[],3,FALSE),"")</f>
        <v/>
      </c>
    </row>
    <row r="2944" spans="1:5" x14ac:dyDescent="0.25">
      <c r="A2944" t="str" cm="1">
        <f t="array" ref="A2944">IFERROR(INDEX(tbNucleo[ESCOLA],ROUNDUP(ROW(A2943)/TotalEtapas,0)),"")</f>
        <v/>
      </c>
      <c r="D2944" t="str">
        <f>IFERROR(VLOOKUP(tbEscolas[[#This Row],[COD ETPA]],tbEtapas[],2,FALSE),"")</f>
        <v/>
      </c>
      <c r="E2944" t="str">
        <f>IFERROR(VLOOKUP(tbEscolas[[#This Row],[COD ETPA]],tbEtapas[],3,FALSE),"")</f>
        <v/>
      </c>
    </row>
    <row r="2945" spans="1:5" x14ac:dyDescent="0.25">
      <c r="A2945" t="str" cm="1">
        <f t="array" ref="A2945">IFERROR(INDEX(tbNucleo[ESCOLA],ROUNDUP(ROW(A2944)/TotalEtapas,0)),"")</f>
        <v/>
      </c>
      <c r="D2945" t="str">
        <f>IFERROR(VLOOKUP(tbEscolas[[#This Row],[COD ETPA]],tbEtapas[],2,FALSE),"")</f>
        <v/>
      </c>
      <c r="E2945" t="str">
        <f>IFERROR(VLOOKUP(tbEscolas[[#This Row],[COD ETPA]],tbEtapas[],3,FALSE),"")</f>
        <v/>
      </c>
    </row>
    <row r="2946" spans="1:5" x14ac:dyDescent="0.25">
      <c r="A2946" t="str" cm="1">
        <f t="array" ref="A2946">IFERROR(INDEX(tbNucleo[ESCOLA],ROUNDUP(ROW(A2945)/TotalEtapas,0)),"")</f>
        <v/>
      </c>
      <c r="D2946" t="str">
        <f>IFERROR(VLOOKUP(tbEscolas[[#This Row],[COD ETPA]],tbEtapas[],2,FALSE),"")</f>
        <v/>
      </c>
      <c r="E2946" t="str">
        <f>IFERROR(VLOOKUP(tbEscolas[[#This Row],[COD ETPA]],tbEtapas[],3,FALSE),"")</f>
        <v/>
      </c>
    </row>
    <row r="2947" spans="1:5" x14ac:dyDescent="0.25">
      <c r="A2947" t="str" cm="1">
        <f t="array" ref="A2947">IFERROR(INDEX(tbNucleo[ESCOLA],ROUNDUP(ROW(A2946)/TotalEtapas,0)),"")</f>
        <v/>
      </c>
      <c r="D2947" t="str">
        <f>IFERROR(VLOOKUP(tbEscolas[[#This Row],[COD ETPA]],tbEtapas[],2,FALSE),"")</f>
        <v/>
      </c>
      <c r="E2947" t="str">
        <f>IFERROR(VLOOKUP(tbEscolas[[#This Row],[COD ETPA]],tbEtapas[],3,FALSE),"")</f>
        <v/>
      </c>
    </row>
    <row r="2948" spans="1:5" x14ac:dyDescent="0.25">
      <c r="A2948" t="str" cm="1">
        <f t="array" ref="A2948">IFERROR(INDEX(tbNucleo[ESCOLA],ROUNDUP(ROW(A2947)/TotalEtapas,0)),"")</f>
        <v/>
      </c>
      <c r="D2948" t="str">
        <f>IFERROR(VLOOKUP(tbEscolas[[#This Row],[COD ETPA]],tbEtapas[],2,FALSE),"")</f>
        <v/>
      </c>
      <c r="E2948" t="str">
        <f>IFERROR(VLOOKUP(tbEscolas[[#This Row],[COD ETPA]],tbEtapas[],3,FALSE),"")</f>
        <v/>
      </c>
    </row>
    <row r="2949" spans="1:5" x14ac:dyDescent="0.25">
      <c r="A2949" t="str" cm="1">
        <f t="array" ref="A2949">IFERROR(INDEX(tbNucleo[ESCOLA],ROUNDUP(ROW(A2948)/TotalEtapas,0)),"")</f>
        <v/>
      </c>
      <c r="D2949" t="str">
        <f>IFERROR(VLOOKUP(tbEscolas[[#This Row],[COD ETPA]],tbEtapas[],2,FALSE),"")</f>
        <v/>
      </c>
      <c r="E2949" t="str">
        <f>IFERROR(VLOOKUP(tbEscolas[[#This Row],[COD ETPA]],tbEtapas[],3,FALSE),"")</f>
        <v/>
      </c>
    </row>
    <row r="2950" spans="1:5" x14ac:dyDescent="0.25">
      <c r="A2950" t="str" cm="1">
        <f t="array" ref="A2950">IFERROR(INDEX(tbNucleo[ESCOLA],ROUNDUP(ROW(A2949)/TotalEtapas,0)),"")</f>
        <v/>
      </c>
      <c r="D2950" t="str">
        <f>IFERROR(VLOOKUP(tbEscolas[[#This Row],[COD ETPA]],tbEtapas[],2,FALSE),"")</f>
        <v/>
      </c>
      <c r="E2950" t="str">
        <f>IFERROR(VLOOKUP(tbEscolas[[#This Row],[COD ETPA]],tbEtapas[],3,FALSE),"")</f>
        <v/>
      </c>
    </row>
    <row r="2951" spans="1:5" x14ac:dyDescent="0.25">
      <c r="A2951" t="str" cm="1">
        <f t="array" ref="A2951">IFERROR(INDEX(tbNucleo[ESCOLA],ROUNDUP(ROW(A2950)/TotalEtapas,0)),"")</f>
        <v/>
      </c>
      <c r="D2951" t="str">
        <f>IFERROR(VLOOKUP(tbEscolas[[#This Row],[COD ETPA]],tbEtapas[],2,FALSE),"")</f>
        <v/>
      </c>
      <c r="E2951" t="str">
        <f>IFERROR(VLOOKUP(tbEscolas[[#This Row],[COD ETPA]],tbEtapas[],3,FALSE),"")</f>
        <v/>
      </c>
    </row>
    <row r="2952" spans="1:5" x14ac:dyDescent="0.25">
      <c r="A2952" t="str" cm="1">
        <f t="array" ref="A2952">IFERROR(INDEX(tbNucleo[ESCOLA],ROUNDUP(ROW(A2951)/TotalEtapas,0)),"")</f>
        <v/>
      </c>
      <c r="D2952" t="str">
        <f>IFERROR(VLOOKUP(tbEscolas[[#This Row],[COD ETPA]],tbEtapas[],2,FALSE),"")</f>
        <v/>
      </c>
      <c r="E2952" t="str">
        <f>IFERROR(VLOOKUP(tbEscolas[[#This Row],[COD ETPA]],tbEtapas[],3,FALSE),"")</f>
        <v/>
      </c>
    </row>
    <row r="2953" spans="1:5" x14ac:dyDescent="0.25">
      <c r="A2953" t="str" cm="1">
        <f t="array" ref="A2953">IFERROR(INDEX(tbNucleo[ESCOLA],ROUNDUP(ROW(A2952)/TotalEtapas,0)),"")</f>
        <v/>
      </c>
      <c r="D2953" t="str">
        <f>IFERROR(VLOOKUP(tbEscolas[[#This Row],[COD ETPA]],tbEtapas[],2,FALSE),"")</f>
        <v/>
      </c>
      <c r="E2953" t="str">
        <f>IFERROR(VLOOKUP(tbEscolas[[#This Row],[COD ETPA]],tbEtapas[],3,FALSE),"")</f>
        <v/>
      </c>
    </row>
    <row r="2954" spans="1:5" x14ac:dyDescent="0.25">
      <c r="A2954" t="str" cm="1">
        <f t="array" ref="A2954">IFERROR(INDEX(tbNucleo[ESCOLA],ROUNDUP(ROW(A2953)/TotalEtapas,0)),"")</f>
        <v/>
      </c>
      <c r="D2954" t="str">
        <f>IFERROR(VLOOKUP(tbEscolas[[#This Row],[COD ETPA]],tbEtapas[],2,FALSE),"")</f>
        <v/>
      </c>
      <c r="E2954" t="str">
        <f>IFERROR(VLOOKUP(tbEscolas[[#This Row],[COD ETPA]],tbEtapas[],3,FALSE),"")</f>
        <v/>
      </c>
    </row>
    <row r="2955" spans="1:5" x14ac:dyDescent="0.25">
      <c r="A2955" t="str" cm="1">
        <f t="array" ref="A2955">IFERROR(INDEX(tbNucleo[ESCOLA],ROUNDUP(ROW(A2954)/TotalEtapas,0)),"")</f>
        <v/>
      </c>
      <c r="D2955" t="str">
        <f>IFERROR(VLOOKUP(tbEscolas[[#This Row],[COD ETPA]],tbEtapas[],2,FALSE),"")</f>
        <v/>
      </c>
      <c r="E2955" t="str">
        <f>IFERROR(VLOOKUP(tbEscolas[[#This Row],[COD ETPA]],tbEtapas[],3,FALSE),"")</f>
        <v/>
      </c>
    </row>
    <row r="2956" spans="1:5" x14ac:dyDescent="0.25">
      <c r="A2956" t="str" cm="1">
        <f t="array" ref="A2956">IFERROR(INDEX(tbNucleo[ESCOLA],ROUNDUP(ROW(A2955)/TotalEtapas,0)),"")</f>
        <v/>
      </c>
      <c r="D2956" t="str">
        <f>IFERROR(VLOOKUP(tbEscolas[[#This Row],[COD ETPA]],tbEtapas[],2,FALSE),"")</f>
        <v/>
      </c>
      <c r="E2956" t="str">
        <f>IFERROR(VLOOKUP(tbEscolas[[#This Row],[COD ETPA]],tbEtapas[],3,FALSE),"")</f>
        <v/>
      </c>
    </row>
    <row r="2957" spans="1:5" x14ac:dyDescent="0.25">
      <c r="A2957" t="str" cm="1">
        <f t="array" ref="A2957">IFERROR(INDEX(tbNucleo[ESCOLA],ROUNDUP(ROW(A2956)/TotalEtapas,0)),"")</f>
        <v/>
      </c>
      <c r="D2957" t="str">
        <f>IFERROR(VLOOKUP(tbEscolas[[#This Row],[COD ETPA]],tbEtapas[],2,FALSE),"")</f>
        <v/>
      </c>
      <c r="E2957" t="str">
        <f>IFERROR(VLOOKUP(tbEscolas[[#This Row],[COD ETPA]],tbEtapas[],3,FALSE),"")</f>
        <v/>
      </c>
    </row>
    <row r="2958" spans="1:5" x14ac:dyDescent="0.25">
      <c r="A2958" t="str" cm="1">
        <f t="array" ref="A2958">IFERROR(INDEX(tbNucleo[ESCOLA],ROUNDUP(ROW(A2957)/TotalEtapas,0)),"")</f>
        <v/>
      </c>
      <c r="D2958" t="str">
        <f>IFERROR(VLOOKUP(tbEscolas[[#This Row],[COD ETPA]],tbEtapas[],2,FALSE),"")</f>
        <v/>
      </c>
      <c r="E2958" t="str">
        <f>IFERROR(VLOOKUP(tbEscolas[[#This Row],[COD ETPA]],tbEtapas[],3,FALSE),"")</f>
        <v/>
      </c>
    </row>
    <row r="2959" spans="1:5" x14ac:dyDescent="0.25">
      <c r="A2959" t="str" cm="1">
        <f t="array" ref="A2959">IFERROR(INDEX(tbNucleo[ESCOLA],ROUNDUP(ROW(A2958)/TotalEtapas,0)),"")</f>
        <v/>
      </c>
      <c r="D2959" t="str">
        <f>IFERROR(VLOOKUP(tbEscolas[[#This Row],[COD ETPA]],tbEtapas[],2,FALSE),"")</f>
        <v/>
      </c>
      <c r="E2959" t="str">
        <f>IFERROR(VLOOKUP(tbEscolas[[#This Row],[COD ETPA]],tbEtapas[],3,FALSE),"")</f>
        <v/>
      </c>
    </row>
    <row r="2960" spans="1:5" x14ac:dyDescent="0.25">
      <c r="A2960" t="str" cm="1">
        <f t="array" ref="A2960">IFERROR(INDEX(tbNucleo[ESCOLA],ROUNDUP(ROW(A2959)/TotalEtapas,0)),"")</f>
        <v/>
      </c>
      <c r="D2960" t="str">
        <f>IFERROR(VLOOKUP(tbEscolas[[#This Row],[COD ETPA]],tbEtapas[],2,FALSE),"")</f>
        <v/>
      </c>
      <c r="E2960" t="str">
        <f>IFERROR(VLOOKUP(tbEscolas[[#This Row],[COD ETPA]],tbEtapas[],3,FALSE),"")</f>
        <v/>
      </c>
    </row>
    <row r="2961" spans="1:5" x14ac:dyDescent="0.25">
      <c r="A2961" t="str" cm="1">
        <f t="array" ref="A2961">IFERROR(INDEX(tbNucleo[ESCOLA],ROUNDUP(ROW(A2960)/TotalEtapas,0)),"")</f>
        <v/>
      </c>
      <c r="D2961" t="str">
        <f>IFERROR(VLOOKUP(tbEscolas[[#This Row],[COD ETPA]],tbEtapas[],2,FALSE),"")</f>
        <v/>
      </c>
      <c r="E2961" t="str">
        <f>IFERROR(VLOOKUP(tbEscolas[[#This Row],[COD ETPA]],tbEtapas[],3,FALSE),"")</f>
        <v/>
      </c>
    </row>
    <row r="2962" spans="1:5" x14ac:dyDescent="0.25">
      <c r="A2962" t="str" cm="1">
        <f t="array" ref="A2962">IFERROR(INDEX(tbNucleo[ESCOLA],ROUNDUP(ROW(A2961)/TotalEtapas,0)),"")</f>
        <v/>
      </c>
      <c r="D2962" t="str">
        <f>IFERROR(VLOOKUP(tbEscolas[[#This Row],[COD ETPA]],tbEtapas[],2,FALSE),"")</f>
        <v/>
      </c>
      <c r="E2962" t="str">
        <f>IFERROR(VLOOKUP(tbEscolas[[#This Row],[COD ETPA]],tbEtapas[],3,FALSE),"")</f>
        <v/>
      </c>
    </row>
    <row r="2963" spans="1:5" x14ac:dyDescent="0.25">
      <c r="A2963" t="str" cm="1">
        <f t="array" ref="A2963">IFERROR(INDEX(tbNucleo[ESCOLA],ROUNDUP(ROW(A2962)/TotalEtapas,0)),"")</f>
        <v/>
      </c>
      <c r="D2963" t="str">
        <f>IFERROR(VLOOKUP(tbEscolas[[#This Row],[COD ETPA]],tbEtapas[],2,FALSE),"")</f>
        <v/>
      </c>
      <c r="E2963" t="str">
        <f>IFERROR(VLOOKUP(tbEscolas[[#This Row],[COD ETPA]],tbEtapas[],3,FALSE),"")</f>
        <v/>
      </c>
    </row>
    <row r="2964" spans="1:5" x14ac:dyDescent="0.25">
      <c r="A2964" t="str" cm="1">
        <f t="array" ref="A2964">IFERROR(INDEX(tbNucleo[ESCOLA],ROUNDUP(ROW(A2963)/TotalEtapas,0)),"")</f>
        <v/>
      </c>
      <c r="D2964" t="str">
        <f>IFERROR(VLOOKUP(tbEscolas[[#This Row],[COD ETPA]],tbEtapas[],2,FALSE),"")</f>
        <v/>
      </c>
      <c r="E2964" t="str">
        <f>IFERROR(VLOOKUP(tbEscolas[[#This Row],[COD ETPA]],tbEtapas[],3,FALSE),"")</f>
        <v/>
      </c>
    </row>
    <row r="2965" spans="1:5" x14ac:dyDescent="0.25">
      <c r="A2965" t="str" cm="1">
        <f t="array" ref="A2965">IFERROR(INDEX(tbNucleo[ESCOLA],ROUNDUP(ROW(A2964)/TotalEtapas,0)),"")</f>
        <v/>
      </c>
      <c r="D2965" t="str">
        <f>IFERROR(VLOOKUP(tbEscolas[[#This Row],[COD ETPA]],tbEtapas[],2,FALSE),"")</f>
        <v/>
      </c>
      <c r="E2965" t="str">
        <f>IFERROR(VLOOKUP(tbEscolas[[#This Row],[COD ETPA]],tbEtapas[],3,FALSE),"")</f>
        <v/>
      </c>
    </row>
    <row r="2966" spans="1:5" x14ac:dyDescent="0.25">
      <c r="A2966" t="str" cm="1">
        <f t="array" ref="A2966">IFERROR(INDEX(tbNucleo[ESCOLA],ROUNDUP(ROW(A2965)/TotalEtapas,0)),"")</f>
        <v/>
      </c>
      <c r="D2966" t="str">
        <f>IFERROR(VLOOKUP(tbEscolas[[#This Row],[COD ETPA]],tbEtapas[],2,FALSE),"")</f>
        <v/>
      </c>
      <c r="E2966" t="str">
        <f>IFERROR(VLOOKUP(tbEscolas[[#This Row],[COD ETPA]],tbEtapas[],3,FALSE),"")</f>
        <v/>
      </c>
    </row>
    <row r="2967" spans="1:5" x14ac:dyDescent="0.25">
      <c r="A2967" t="str" cm="1">
        <f t="array" ref="A2967">IFERROR(INDEX(tbNucleo[ESCOLA],ROUNDUP(ROW(A2966)/TotalEtapas,0)),"")</f>
        <v/>
      </c>
      <c r="D2967" t="str">
        <f>IFERROR(VLOOKUP(tbEscolas[[#This Row],[COD ETPA]],tbEtapas[],2,FALSE),"")</f>
        <v/>
      </c>
      <c r="E2967" t="str">
        <f>IFERROR(VLOOKUP(tbEscolas[[#This Row],[COD ETPA]],tbEtapas[],3,FALSE),"")</f>
        <v/>
      </c>
    </row>
    <row r="2968" spans="1:5" x14ac:dyDescent="0.25">
      <c r="A2968" t="str" cm="1">
        <f t="array" ref="A2968">IFERROR(INDEX(tbNucleo[ESCOLA],ROUNDUP(ROW(A2967)/TotalEtapas,0)),"")</f>
        <v/>
      </c>
      <c r="D2968" t="str">
        <f>IFERROR(VLOOKUP(tbEscolas[[#This Row],[COD ETPA]],tbEtapas[],2,FALSE),"")</f>
        <v/>
      </c>
      <c r="E2968" t="str">
        <f>IFERROR(VLOOKUP(tbEscolas[[#This Row],[COD ETPA]],tbEtapas[],3,FALSE),"")</f>
        <v/>
      </c>
    </row>
    <row r="2969" spans="1:5" x14ac:dyDescent="0.25">
      <c r="A2969" t="str" cm="1">
        <f t="array" ref="A2969">IFERROR(INDEX(tbNucleo[ESCOLA],ROUNDUP(ROW(A2968)/TotalEtapas,0)),"")</f>
        <v/>
      </c>
      <c r="D2969" t="str">
        <f>IFERROR(VLOOKUP(tbEscolas[[#This Row],[COD ETPA]],tbEtapas[],2,FALSE),"")</f>
        <v/>
      </c>
      <c r="E2969" t="str">
        <f>IFERROR(VLOOKUP(tbEscolas[[#This Row],[COD ETPA]],tbEtapas[],3,FALSE),"")</f>
        <v/>
      </c>
    </row>
    <row r="2970" spans="1:5" x14ac:dyDescent="0.25">
      <c r="A2970" t="str" cm="1">
        <f t="array" ref="A2970">IFERROR(INDEX(tbNucleo[ESCOLA],ROUNDUP(ROW(A2969)/TotalEtapas,0)),"")</f>
        <v/>
      </c>
      <c r="D2970" t="str">
        <f>IFERROR(VLOOKUP(tbEscolas[[#This Row],[COD ETPA]],tbEtapas[],2,FALSE),"")</f>
        <v/>
      </c>
      <c r="E2970" t="str">
        <f>IFERROR(VLOOKUP(tbEscolas[[#This Row],[COD ETPA]],tbEtapas[],3,FALSE),"")</f>
        <v/>
      </c>
    </row>
    <row r="2971" spans="1:5" x14ac:dyDescent="0.25">
      <c r="A2971" t="str" cm="1">
        <f t="array" ref="A2971">IFERROR(INDEX(tbNucleo[ESCOLA],ROUNDUP(ROW(A2970)/TotalEtapas,0)),"")</f>
        <v/>
      </c>
      <c r="D2971" t="str">
        <f>IFERROR(VLOOKUP(tbEscolas[[#This Row],[COD ETPA]],tbEtapas[],2,FALSE),"")</f>
        <v/>
      </c>
      <c r="E2971" t="str">
        <f>IFERROR(VLOOKUP(tbEscolas[[#This Row],[COD ETPA]],tbEtapas[],3,FALSE),"")</f>
        <v/>
      </c>
    </row>
    <row r="2972" spans="1:5" x14ac:dyDescent="0.25">
      <c r="A2972" t="str" cm="1">
        <f t="array" ref="A2972">IFERROR(INDEX(tbNucleo[ESCOLA],ROUNDUP(ROW(A2971)/TotalEtapas,0)),"")</f>
        <v/>
      </c>
      <c r="D2972" t="str">
        <f>IFERROR(VLOOKUP(tbEscolas[[#This Row],[COD ETPA]],tbEtapas[],2,FALSE),"")</f>
        <v/>
      </c>
      <c r="E2972" t="str">
        <f>IFERROR(VLOOKUP(tbEscolas[[#This Row],[COD ETPA]],tbEtapas[],3,FALSE),"")</f>
        <v/>
      </c>
    </row>
    <row r="2973" spans="1:5" x14ac:dyDescent="0.25">
      <c r="A2973" t="str" cm="1">
        <f t="array" ref="A2973">IFERROR(INDEX(tbNucleo[ESCOLA],ROUNDUP(ROW(A2972)/TotalEtapas,0)),"")</f>
        <v/>
      </c>
      <c r="D2973" t="str">
        <f>IFERROR(VLOOKUP(tbEscolas[[#This Row],[COD ETPA]],tbEtapas[],2,FALSE),"")</f>
        <v/>
      </c>
      <c r="E2973" t="str">
        <f>IFERROR(VLOOKUP(tbEscolas[[#This Row],[COD ETPA]],tbEtapas[],3,FALSE),"")</f>
        <v/>
      </c>
    </row>
    <row r="2974" spans="1:5" x14ac:dyDescent="0.25">
      <c r="A2974" t="str" cm="1">
        <f t="array" ref="A2974">IFERROR(INDEX(tbNucleo[ESCOLA],ROUNDUP(ROW(A2973)/TotalEtapas,0)),"")</f>
        <v/>
      </c>
      <c r="D2974" t="str">
        <f>IFERROR(VLOOKUP(tbEscolas[[#This Row],[COD ETPA]],tbEtapas[],2,FALSE),"")</f>
        <v/>
      </c>
      <c r="E2974" t="str">
        <f>IFERROR(VLOOKUP(tbEscolas[[#This Row],[COD ETPA]],tbEtapas[],3,FALSE),"")</f>
        <v/>
      </c>
    </row>
    <row r="2975" spans="1:5" x14ac:dyDescent="0.25">
      <c r="A2975" t="str" cm="1">
        <f t="array" ref="A2975">IFERROR(INDEX(tbNucleo[ESCOLA],ROUNDUP(ROW(A2974)/TotalEtapas,0)),"")</f>
        <v/>
      </c>
      <c r="D2975" t="str">
        <f>IFERROR(VLOOKUP(tbEscolas[[#This Row],[COD ETPA]],tbEtapas[],2,FALSE),"")</f>
        <v/>
      </c>
      <c r="E2975" t="str">
        <f>IFERROR(VLOOKUP(tbEscolas[[#This Row],[COD ETPA]],tbEtapas[],3,FALSE),"")</f>
        <v/>
      </c>
    </row>
    <row r="2976" spans="1:5" x14ac:dyDescent="0.25">
      <c r="A2976" t="str" cm="1">
        <f t="array" ref="A2976">IFERROR(INDEX(tbNucleo[ESCOLA],ROUNDUP(ROW(A2975)/TotalEtapas,0)),"")</f>
        <v/>
      </c>
      <c r="D2976" t="str">
        <f>IFERROR(VLOOKUP(tbEscolas[[#This Row],[COD ETPA]],tbEtapas[],2,FALSE),"")</f>
        <v/>
      </c>
      <c r="E2976" t="str">
        <f>IFERROR(VLOOKUP(tbEscolas[[#This Row],[COD ETPA]],tbEtapas[],3,FALSE),"")</f>
        <v/>
      </c>
    </row>
    <row r="2977" spans="1:5" x14ac:dyDescent="0.25">
      <c r="A2977" t="str" cm="1">
        <f t="array" ref="A2977">IFERROR(INDEX(tbNucleo[ESCOLA],ROUNDUP(ROW(A2976)/TotalEtapas,0)),"")</f>
        <v/>
      </c>
      <c r="D2977" t="str">
        <f>IFERROR(VLOOKUP(tbEscolas[[#This Row],[COD ETPA]],tbEtapas[],2,FALSE),"")</f>
        <v/>
      </c>
      <c r="E2977" t="str">
        <f>IFERROR(VLOOKUP(tbEscolas[[#This Row],[COD ETPA]],tbEtapas[],3,FALSE),"")</f>
        <v/>
      </c>
    </row>
    <row r="2978" spans="1:5" x14ac:dyDescent="0.25">
      <c r="A2978" t="str" cm="1">
        <f t="array" ref="A2978">IFERROR(INDEX(tbNucleo[ESCOLA],ROUNDUP(ROW(A2977)/TotalEtapas,0)),"")</f>
        <v/>
      </c>
      <c r="D2978" t="str">
        <f>IFERROR(VLOOKUP(tbEscolas[[#This Row],[COD ETPA]],tbEtapas[],2,FALSE),"")</f>
        <v/>
      </c>
      <c r="E2978" t="str">
        <f>IFERROR(VLOOKUP(tbEscolas[[#This Row],[COD ETPA]],tbEtapas[],3,FALSE),"")</f>
        <v/>
      </c>
    </row>
    <row r="2979" spans="1:5" x14ac:dyDescent="0.25">
      <c r="A2979" t="str" cm="1">
        <f t="array" ref="A2979">IFERROR(INDEX(tbNucleo[ESCOLA],ROUNDUP(ROW(A2978)/TotalEtapas,0)),"")</f>
        <v/>
      </c>
      <c r="D2979" t="str">
        <f>IFERROR(VLOOKUP(tbEscolas[[#This Row],[COD ETPA]],tbEtapas[],2,FALSE),"")</f>
        <v/>
      </c>
      <c r="E2979" t="str">
        <f>IFERROR(VLOOKUP(tbEscolas[[#This Row],[COD ETPA]],tbEtapas[],3,FALSE),"")</f>
        <v/>
      </c>
    </row>
    <row r="2980" spans="1:5" x14ac:dyDescent="0.25">
      <c r="A2980" t="str" cm="1">
        <f t="array" ref="A2980">IFERROR(INDEX(tbNucleo[ESCOLA],ROUNDUP(ROW(A2979)/TotalEtapas,0)),"")</f>
        <v/>
      </c>
      <c r="D2980" t="str">
        <f>IFERROR(VLOOKUP(tbEscolas[[#This Row],[COD ETPA]],tbEtapas[],2,FALSE),"")</f>
        <v/>
      </c>
      <c r="E2980" t="str">
        <f>IFERROR(VLOOKUP(tbEscolas[[#This Row],[COD ETPA]],tbEtapas[],3,FALSE),"")</f>
        <v/>
      </c>
    </row>
    <row r="2981" spans="1:5" x14ac:dyDescent="0.25">
      <c r="A2981" t="str" cm="1">
        <f t="array" ref="A2981">IFERROR(INDEX(tbNucleo[ESCOLA],ROUNDUP(ROW(A2980)/TotalEtapas,0)),"")</f>
        <v/>
      </c>
      <c r="D2981" t="str">
        <f>IFERROR(VLOOKUP(tbEscolas[[#This Row],[COD ETPA]],tbEtapas[],2,FALSE),"")</f>
        <v/>
      </c>
      <c r="E2981" t="str">
        <f>IFERROR(VLOOKUP(tbEscolas[[#This Row],[COD ETPA]],tbEtapas[],3,FALSE),"")</f>
        <v/>
      </c>
    </row>
    <row r="2982" spans="1:5" x14ac:dyDescent="0.25">
      <c r="A2982" t="str" cm="1">
        <f t="array" ref="A2982">IFERROR(INDEX(tbNucleo[ESCOLA],ROUNDUP(ROW(A2981)/TotalEtapas,0)),"")</f>
        <v/>
      </c>
      <c r="D2982" t="str">
        <f>IFERROR(VLOOKUP(tbEscolas[[#This Row],[COD ETPA]],tbEtapas[],2,FALSE),"")</f>
        <v/>
      </c>
      <c r="E2982" t="str">
        <f>IFERROR(VLOOKUP(tbEscolas[[#This Row],[COD ETPA]],tbEtapas[],3,FALSE),"")</f>
        <v/>
      </c>
    </row>
    <row r="2983" spans="1:5" x14ac:dyDescent="0.25">
      <c r="A2983" t="str" cm="1">
        <f t="array" ref="A2983">IFERROR(INDEX(tbNucleo[ESCOLA],ROUNDUP(ROW(A2982)/TotalEtapas,0)),"")</f>
        <v/>
      </c>
      <c r="D2983" t="str">
        <f>IFERROR(VLOOKUP(tbEscolas[[#This Row],[COD ETPA]],tbEtapas[],2,FALSE),"")</f>
        <v/>
      </c>
      <c r="E2983" t="str">
        <f>IFERROR(VLOOKUP(tbEscolas[[#This Row],[COD ETPA]],tbEtapas[],3,FALSE),"")</f>
        <v/>
      </c>
    </row>
    <row r="2984" spans="1:5" x14ac:dyDescent="0.25">
      <c r="A2984" t="str" cm="1">
        <f t="array" ref="A2984">IFERROR(INDEX(tbNucleo[ESCOLA],ROUNDUP(ROW(A2983)/TotalEtapas,0)),"")</f>
        <v/>
      </c>
      <c r="D2984" t="str">
        <f>IFERROR(VLOOKUP(tbEscolas[[#This Row],[COD ETPA]],tbEtapas[],2,FALSE),"")</f>
        <v/>
      </c>
      <c r="E2984" t="str">
        <f>IFERROR(VLOOKUP(tbEscolas[[#This Row],[COD ETPA]],tbEtapas[],3,FALSE),"")</f>
        <v/>
      </c>
    </row>
    <row r="2985" spans="1:5" x14ac:dyDescent="0.25">
      <c r="A2985" t="str" cm="1">
        <f t="array" ref="A2985">IFERROR(INDEX(tbNucleo[ESCOLA],ROUNDUP(ROW(A2984)/TotalEtapas,0)),"")</f>
        <v/>
      </c>
      <c r="D2985" t="str">
        <f>IFERROR(VLOOKUP(tbEscolas[[#This Row],[COD ETPA]],tbEtapas[],2,FALSE),"")</f>
        <v/>
      </c>
      <c r="E2985" t="str">
        <f>IFERROR(VLOOKUP(tbEscolas[[#This Row],[COD ETPA]],tbEtapas[],3,FALSE),"")</f>
        <v/>
      </c>
    </row>
    <row r="2986" spans="1:5" x14ac:dyDescent="0.25">
      <c r="A2986" t="str" cm="1">
        <f t="array" ref="A2986">IFERROR(INDEX(tbNucleo[ESCOLA],ROUNDUP(ROW(A2985)/TotalEtapas,0)),"")</f>
        <v/>
      </c>
      <c r="D2986" t="str">
        <f>IFERROR(VLOOKUP(tbEscolas[[#This Row],[COD ETPA]],tbEtapas[],2,FALSE),"")</f>
        <v/>
      </c>
      <c r="E2986" t="str">
        <f>IFERROR(VLOOKUP(tbEscolas[[#This Row],[COD ETPA]],tbEtapas[],3,FALSE),"")</f>
        <v/>
      </c>
    </row>
    <row r="2987" spans="1:5" x14ac:dyDescent="0.25">
      <c r="A2987" t="str" cm="1">
        <f t="array" ref="A2987">IFERROR(INDEX(tbNucleo[ESCOLA],ROUNDUP(ROW(A2986)/TotalEtapas,0)),"")</f>
        <v/>
      </c>
      <c r="D2987" t="str">
        <f>IFERROR(VLOOKUP(tbEscolas[[#This Row],[COD ETPA]],tbEtapas[],2,FALSE),"")</f>
        <v/>
      </c>
      <c r="E2987" t="str">
        <f>IFERROR(VLOOKUP(tbEscolas[[#This Row],[COD ETPA]],tbEtapas[],3,FALSE),"")</f>
        <v/>
      </c>
    </row>
    <row r="2988" spans="1:5" x14ac:dyDescent="0.25">
      <c r="A2988" t="str" cm="1">
        <f t="array" ref="A2988">IFERROR(INDEX(tbNucleo[ESCOLA],ROUNDUP(ROW(A2987)/TotalEtapas,0)),"")</f>
        <v/>
      </c>
      <c r="D2988" t="str">
        <f>IFERROR(VLOOKUP(tbEscolas[[#This Row],[COD ETPA]],tbEtapas[],2,FALSE),"")</f>
        <v/>
      </c>
      <c r="E2988" t="str">
        <f>IFERROR(VLOOKUP(tbEscolas[[#This Row],[COD ETPA]],tbEtapas[],3,FALSE),"")</f>
        <v/>
      </c>
    </row>
    <row r="2989" spans="1:5" x14ac:dyDescent="0.25">
      <c r="A2989" t="str" cm="1">
        <f t="array" ref="A2989">IFERROR(INDEX(tbNucleo[ESCOLA],ROUNDUP(ROW(A2988)/TotalEtapas,0)),"")</f>
        <v/>
      </c>
      <c r="D2989" t="str">
        <f>IFERROR(VLOOKUP(tbEscolas[[#This Row],[COD ETPA]],tbEtapas[],2,FALSE),"")</f>
        <v/>
      </c>
      <c r="E2989" t="str">
        <f>IFERROR(VLOOKUP(tbEscolas[[#This Row],[COD ETPA]],tbEtapas[],3,FALSE),"")</f>
        <v/>
      </c>
    </row>
    <row r="2990" spans="1:5" x14ac:dyDescent="0.25">
      <c r="A2990" t="str" cm="1">
        <f t="array" ref="A2990">IFERROR(INDEX(tbNucleo[ESCOLA],ROUNDUP(ROW(A2989)/TotalEtapas,0)),"")</f>
        <v/>
      </c>
      <c r="D2990" t="str">
        <f>IFERROR(VLOOKUP(tbEscolas[[#This Row],[COD ETPA]],tbEtapas[],2,FALSE),"")</f>
        <v/>
      </c>
      <c r="E2990" t="str">
        <f>IFERROR(VLOOKUP(tbEscolas[[#This Row],[COD ETPA]],tbEtapas[],3,FALSE),"")</f>
        <v/>
      </c>
    </row>
    <row r="2991" spans="1:5" x14ac:dyDescent="0.25">
      <c r="A2991" t="str" cm="1">
        <f t="array" ref="A2991">IFERROR(INDEX(tbNucleo[ESCOLA],ROUNDUP(ROW(A2990)/TotalEtapas,0)),"")</f>
        <v/>
      </c>
      <c r="D2991" t="str">
        <f>IFERROR(VLOOKUP(tbEscolas[[#This Row],[COD ETPA]],tbEtapas[],2,FALSE),"")</f>
        <v/>
      </c>
      <c r="E2991" t="str">
        <f>IFERROR(VLOOKUP(tbEscolas[[#This Row],[COD ETPA]],tbEtapas[],3,FALSE),"")</f>
        <v/>
      </c>
    </row>
    <row r="2992" spans="1:5" x14ac:dyDescent="0.25">
      <c r="A2992" t="str" cm="1">
        <f t="array" ref="A2992">IFERROR(INDEX(tbNucleo[ESCOLA],ROUNDUP(ROW(A2991)/TotalEtapas,0)),"")</f>
        <v/>
      </c>
      <c r="D2992" t="str">
        <f>IFERROR(VLOOKUP(tbEscolas[[#This Row],[COD ETPA]],tbEtapas[],2,FALSE),"")</f>
        <v/>
      </c>
      <c r="E2992" t="str">
        <f>IFERROR(VLOOKUP(tbEscolas[[#This Row],[COD ETPA]],tbEtapas[],3,FALSE),"")</f>
        <v/>
      </c>
    </row>
    <row r="2993" spans="1:5" x14ac:dyDescent="0.25">
      <c r="A2993" t="str" cm="1">
        <f t="array" ref="A2993">IFERROR(INDEX(tbNucleo[ESCOLA],ROUNDUP(ROW(A2992)/TotalEtapas,0)),"")</f>
        <v/>
      </c>
      <c r="D2993" t="str">
        <f>IFERROR(VLOOKUP(tbEscolas[[#This Row],[COD ETPA]],tbEtapas[],2,FALSE),"")</f>
        <v/>
      </c>
      <c r="E2993" t="str">
        <f>IFERROR(VLOOKUP(tbEscolas[[#This Row],[COD ETPA]],tbEtapas[],3,FALSE),"")</f>
        <v/>
      </c>
    </row>
    <row r="2994" spans="1:5" x14ac:dyDescent="0.25">
      <c r="A2994" t="str" cm="1">
        <f t="array" ref="A2994">IFERROR(INDEX(tbNucleo[ESCOLA],ROUNDUP(ROW(A2993)/TotalEtapas,0)),"")</f>
        <v/>
      </c>
      <c r="D2994" t="str">
        <f>IFERROR(VLOOKUP(tbEscolas[[#This Row],[COD ETPA]],tbEtapas[],2,FALSE),"")</f>
        <v/>
      </c>
      <c r="E2994" t="str">
        <f>IFERROR(VLOOKUP(tbEscolas[[#This Row],[COD ETPA]],tbEtapas[],3,FALSE),"")</f>
        <v/>
      </c>
    </row>
    <row r="2995" spans="1:5" x14ac:dyDescent="0.25">
      <c r="A2995" t="str" cm="1">
        <f t="array" ref="A2995">IFERROR(INDEX(tbNucleo[ESCOLA],ROUNDUP(ROW(A2994)/TotalEtapas,0)),"")</f>
        <v/>
      </c>
      <c r="D2995" t="str">
        <f>IFERROR(VLOOKUP(tbEscolas[[#This Row],[COD ETPA]],tbEtapas[],2,FALSE),"")</f>
        <v/>
      </c>
      <c r="E2995" t="str">
        <f>IFERROR(VLOOKUP(tbEscolas[[#This Row],[COD ETPA]],tbEtapas[],3,FALSE),"")</f>
        <v/>
      </c>
    </row>
    <row r="2996" spans="1:5" x14ac:dyDescent="0.25">
      <c r="A2996" t="str" cm="1">
        <f t="array" ref="A2996">IFERROR(INDEX(tbNucleo[ESCOLA],ROUNDUP(ROW(A2995)/TotalEtapas,0)),"")</f>
        <v/>
      </c>
      <c r="D2996" t="str">
        <f>IFERROR(VLOOKUP(tbEscolas[[#This Row],[COD ETPA]],tbEtapas[],2,FALSE),"")</f>
        <v/>
      </c>
      <c r="E2996" t="str">
        <f>IFERROR(VLOOKUP(tbEscolas[[#This Row],[COD ETPA]],tbEtapas[],3,FALSE),"")</f>
        <v/>
      </c>
    </row>
    <row r="2997" spans="1:5" x14ac:dyDescent="0.25">
      <c r="A2997" t="str" cm="1">
        <f t="array" ref="A2997">IFERROR(INDEX(tbNucleo[ESCOLA],ROUNDUP(ROW(A2996)/TotalEtapas,0)),"")</f>
        <v/>
      </c>
      <c r="D2997" t="str">
        <f>IFERROR(VLOOKUP(tbEscolas[[#This Row],[COD ETPA]],tbEtapas[],2,FALSE),"")</f>
        <v/>
      </c>
      <c r="E2997" t="str">
        <f>IFERROR(VLOOKUP(tbEscolas[[#This Row],[COD ETPA]],tbEtapas[],3,FALSE),"")</f>
        <v/>
      </c>
    </row>
    <row r="2998" spans="1:5" x14ac:dyDescent="0.25">
      <c r="A2998" t="str" cm="1">
        <f t="array" ref="A2998">IFERROR(INDEX(tbNucleo[ESCOLA],ROUNDUP(ROW(A2997)/TotalEtapas,0)),"")</f>
        <v/>
      </c>
      <c r="D2998" t="str">
        <f>IFERROR(VLOOKUP(tbEscolas[[#This Row],[COD ETPA]],tbEtapas[],2,FALSE),"")</f>
        <v/>
      </c>
      <c r="E2998" t="str">
        <f>IFERROR(VLOOKUP(tbEscolas[[#This Row],[COD ETPA]],tbEtapas[],3,FALSE),"")</f>
        <v/>
      </c>
    </row>
    <row r="2999" spans="1:5" x14ac:dyDescent="0.25">
      <c r="A2999" t="str" cm="1">
        <f t="array" ref="A2999">IFERROR(INDEX(tbNucleo[ESCOLA],ROUNDUP(ROW(A2998)/TotalEtapas,0)),"")</f>
        <v/>
      </c>
      <c r="D2999" t="str">
        <f>IFERROR(VLOOKUP(tbEscolas[[#This Row],[COD ETPA]],tbEtapas[],2,FALSE),"")</f>
        <v/>
      </c>
      <c r="E2999" t="str">
        <f>IFERROR(VLOOKUP(tbEscolas[[#This Row],[COD ETPA]],tbEtapas[],3,FALSE),"")</f>
        <v/>
      </c>
    </row>
    <row r="3000" spans="1:5" x14ac:dyDescent="0.25">
      <c r="A3000" t="str" cm="1">
        <f t="array" ref="A3000">IFERROR(INDEX(tbNucleo[ESCOLA],ROUNDUP(ROW(A2999)/TotalEtapas,0)),"")</f>
        <v/>
      </c>
      <c r="D3000" t="str">
        <f>IFERROR(VLOOKUP(tbEscolas[[#This Row],[COD ETPA]],tbEtapas[],2,FALSE),"")</f>
        <v/>
      </c>
      <c r="E3000" t="str">
        <f>IFERROR(VLOOKUP(tbEscolas[[#This Row],[COD ETPA]],tbEtapas[],3,FALSE),"")</f>
        <v/>
      </c>
    </row>
    <row r="3001" spans="1:5" x14ac:dyDescent="0.25">
      <c r="A3001" t="str" cm="1">
        <f t="array" ref="A3001">IFERROR(INDEX(tbNucleo[ESCOLA],ROUNDUP(ROW(A3000)/TotalEtapas,0)),"")</f>
        <v/>
      </c>
      <c r="D3001" t="str">
        <f>IFERROR(VLOOKUP(tbEscolas[[#This Row],[COD ETPA]],tbEtapas[],2,FALSE),"")</f>
        <v/>
      </c>
      <c r="E3001" t="str">
        <f>IFERROR(VLOOKUP(tbEscolas[[#This Row],[COD ETPA]],tbEtapas[],3,FALSE),"")</f>
        <v/>
      </c>
    </row>
    <row r="3002" spans="1:5" x14ac:dyDescent="0.25">
      <c r="A3002" t="str" cm="1">
        <f t="array" ref="A3002">IFERROR(INDEX(tbNucleo[ESCOLA],ROUNDUP(ROW(A3001)/TotalEtapas,0)),"")</f>
        <v/>
      </c>
      <c r="D3002" t="str">
        <f>IFERROR(VLOOKUP(tbEscolas[[#This Row],[COD ETPA]],tbEtapas[],2,FALSE),"")</f>
        <v/>
      </c>
      <c r="E3002" t="str">
        <f>IFERROR(VLOOKUP(tbEscolas[[#This Row],[COD ETPA]],tbEtapas[],3,FALSE),"")</f>
        <v/>
      </c>
    </row>
    <row r="3003" spans="1:5" x14ac:dyDescent="0.25">
      <c r="A3003" t="str" cm="1">
        <f t="array" ref="A3003">IFERROR(INDEX(tbNucleo[ESCOLA],ROUNDUP(ROW(A3002)/TotalEtapas,0)),"")</f>
        <v/>
      </c>
      <c r="D3003" t="str">
        <f>IFERROR(VLOOKUP(tbEscolas[[#This Row],[COD ETPA]],tbEtapas[],2,FALSE),"")</f>
        <v/>
      </c>
      <c r="E3003" t="str">
        <f>IFERROR(VLOOKUP(tbEscolas[[#This Row],[COD ETPA]],tbEtapas[],3,FALSE),"")</f>
        <v/>
      </c>
    </row>
    <row r="3004" spans="1:5" x14ac:dyDescent="0.25">
      <c r="A3004" t="str" cm="1">
        <f t="array" ref="A3004">IFERROR(INDEX(tbNucleo[ESCOLA],ROUNDUP(ROW(A3003)/TotalEtapas,0)),"")</f>
        <v/>
      </c>
      <c r="D3004" t="str">
        <f>IFERROR(VLOOKUP(tbEscolas[[#This Row],[COD ETPA]],tbEtapas[],2,FALSE),"")</f>
        <v/>
      </c>
      <c r="E3004" t="str">
        <f>IFERROR(VLOOKUP(tbEscolas[[#This Row],[COD ETPA]],tbEtapas[],3,FALSE),"")</f>
        <v/>
      </c>
    </row>
    <row r="3005" spans="1:5" x14ac:dyDescent="0.25">
      <c r="A3005" t="str" cm="1">
        <f t="array" ref="A3005">IFERROR(INDEX(tbNucleo[ESCOLA],ROUNDUP(ROW(A3004)/TotalEtapas,0)),"")</f>
        <v/>
      </c>
      <c r="D3005" t="str">
        <f>IFERROR(VLOOKUP(tbEscolas[[#This Row],[COD ETPA]],tbEtapas[],2,FALSE),"")</f>
        <v/>
      </c>
      <c r="E3005" t="str">
        <f>IFERROR(VLOOKUP(tbEscolas[[#This Row],[COD ETPA]],tbEtapas[],3,FALSE),"")</f>
        <v/>
      </c>
    </row>
    <row r="3006" spans="1:5" x14ac:dyDescent="0.25">
      <c r="A3006" t="str" cm="1">
        <f t="array" ref="A3006">IFERROR(INDEX(tbNucleo[ESCOLA],ROUNDUP(ROW(A3005)/TotalEtapas,0)),"")</f>
        <v/>
      </c>
      <c r="D3006" t="str">
        <f>IFERROR(VLOOKUP(tbEscolas[[#This Row],[COD ETPA]],tbEtapas[],2,FALSE),"")</f>
        <v/>
      </c>
      <c r="E3006" t="str">
        <f>IFERROR(VLOOKUP(tbEscolas[[#This Row],[COD ETPA]],tbEtapas[],3,FALSE),"")</f>
        <v/>
      </c>
    </row>
    <row r="3007" spans="1:5" x14ac:dyDescent="0.25">
      <c r="A3007" t="str" cm="1">
        <f t="array" ref="A3007">IFERROR(INDEX(tbNucleo[ESCOLA],ROUNDUP(ROW(A3006)/TotalEtapas,0)),"")</f>
        <v/>
      </c>
      <c r="D3007" t="str">
        <f>IFERROR(VLOOKUP(tbEscolas[[#This Row],[COD ETPA]],tbEtapas[],2,FALSE),"")</f>
        <v/>
      </c>
      <c r="E3007" t="str">
        <f>IFERROR(VLOOKUP(tbEscolas[[#This Row],[COD ETPA]],tbEtapas[],3,FALSE),"")</f>
        <v/>
      </c>
    </row>
    <row r="3008" spans="1:5" x14ac:dyDescent="0.25">
      <c r="A3008" t="str" cm="1">
        <f t="array" ref="A3008">IFERROR(INDEX(tbNucleo[ESCOLA],ROUNDUP(ROW(A3007)/TotalEtapas,0)),"")</f>
        <v/>
      </c>
      <c r="D3008" t="str">
        <f>IFERROR(VLOOKUP(tbEscolas[[#This Row],[COD ETPA]],tbEtapas[],2,FALSE),"")</f>
        <v/>
      </c>
      <c r="E3008" t="str">
        <f>IFERROR(VLOOKUP(tbEscolas[[#This Row],[COD ETPA]],tbEtapas[],3,FALSE),"")</f>
        <v/>
      </c>
    </row>
    <row r="3009" spans="1:5" x14ac:dyDescent="0.25">
      <c r="A3009" t="str" cm="1">
        <f t="array" ref="A3009">IFERROR(INDEX(tbNucleo[ESCOLA],ROUNDUP(ROW(A3008)/TotalEtapas,0)),"")</f>
        <v/>
      </c>
      <c r="D3009" t="str">
        <f>IFERROR(VLOOKUP(tbEscolas[[#This Row],[COD ETPA]],tbEtapas[],2,FALSE),"")</f>
        <v/>
      </c>
      <c r="E3009" t="str">
        <f>IFERROR(VLOOKUP(tbEscolas[[#This Row],[COD ETPA]],tbEtapas[],3,FALSE),"")</f>
        <v/>
      </c>
    </row>
    <row r="3010" spans="1:5" x14ac:dyDescent="0.25">
      <c r="A3010" t="str" cm="1">
        <f t="array" ref="A3010">IFERROR(INDEX(tbNucleo[ESCOLA],ROUNDUP(ROW(A3009)/TotalEtapas,0)),"")</f>
        <v/>
      </c>
      <c r="D3010" t="str">
        <f>IFERROR(VLOOKUP(tbEscolas[[#This Row],[COD ETPA]],tbEtapas[],2,FALSE),"")</f>
        <v/>
      </c>
      <c r="E3010" t="str">
        <f>IFERROR(VLOOKUP(tbEscolas[[#This Row],[COD ETPA]],tbEtapas[],3,FALSE),"")</f>
        <v/>
      </c>
    </row>
    <row r="3011" spans="1:5" x14ac:dyDescent="0.25">
      <c r="A3011" t="str" cm="1">
        <f t="array" ref="A3011">IFERROR(INDEX(tbNucleo[ESCOLA],ROUNDUP(ROW(A3010)/TotalEtapas,0)),"")</f>
        <v/>
      </c>
      <c r="D3011" t="str">
        <f>IFERROR(VLOOKUP(tbEscolas[[#This Row],[COD ETPA]],tbEtapas[],2,FALSE),"")</f>
        <v/>
      </c>
      <c r="E3011" t="str">
        <f>IFERROR(VLOOKUP(tbEscolas[[#This Row],[COD ETPA]],tbEtapas[],3,FALSE),"")</f>
        <v/>
      </c>
    </row>
    <row r="3012" spans="1:5" x14ac:dyDescent="0.25">
      <c r="A3012" t="str" cm="1">
        <f t="array" ref="A3012">IFERROR(INDEX(tbNucleo[ESCOLA],ROUNDUP(ROW(A3011)/TotalEtapas,0)),"")</f>
        <v/>
      </c>
      <c r="D3012" t="str">
        <f>IFERROR(VLOOKUP(tbEscolas[[#This Row],[COD ETPA]],tbEtapas[],2,FALSE),"")</f>
        <v/>
      </c>
      <c r="E3012" t="str">
        <f>IFERROR(VLOOKUP(tbEscolas[[#This Row],[COD ETPA]],tbEtapas[],3,FALSE),"")</f>
        <v/>
      </c>
    </row>
    <row r="3013" spans="1:5" x14ac:dyDescent="0.25">
      <c r="A3013" t="str" cm="1">
        <f t="array" ref="A3013">IFERROR(INDEX(tbNucleo[ESCOLA],ROUNDUP(ROW(A3012)/TotalEtapas,0)),"")</f>
        <v/>
      </c>
      <c r="D3013" t="str">
        <f>IFERROR(VLOOKUP(tbEscolas[[#This Row],[COD ETPA]],tbEtapas[],2,FALSE),"")</f>
        <v/>
      </c>
      <c r="E3013" t="str">
        <f>IFERROR(VLOOKUP(tbEscolas[[#This Row],[COD ETPA]],tbEtapas[],3,FALSE),"")</f>
        <v/>
      </c>
    </row>
    <row r="3014" spans="1:5" x14ac:dyDescent="0.25">
      <c r="A3014" t="str" cm="1">
        <f t="array" ref="A3014">IFERROR(INDEX(tbNucleo[ESCOLA],ROUNDUP(ROW(A3013)/TotalEtapas,0)),"")</f>
        <v/>
      </c>
      <c r="D3014" t="str">
        <f>IFERROR(VLOOKUP(tbEscolas[[#This Row],[COD ETPA]],tbEtapas[],2,FALSE),"")</f>
        <v/>
      </c>
      <c r="E3014" t="str">
        <f>IFERROR(VLOOKUP(tbEscolas[[#This Row],[COD ETPA]],tbEtapas[],3,FALSE),"")</f>
        <v/>
      </c>
    </row>
    <row r="3015" spans="1:5" x14ac:dyDescent="0.25">
      <c r="A3015" t="str" cm="1">
        <f t="array" ref="A3015">IFERROR(INDEX(tbNucleo[ESCOLA],ROUNDUP(ROW(A3014)/TotalEtapas,0)),"")</f>
        <v/>
      </c>
      <c r="D3015" t="str">
        <f>IFERROR(VLOOKUP(tbEscolas[[#This Row],[COD ETPA]],tbEtapas[],2,FALSE),"")</f>
        <v/>
      </c>
      <c r="E3015" t="str">
        <f>IFERROR(VLOOKUP(tbEscolas[[#This Row],[COD ETPA]],tbEtapas[],3,FALSE),"")</f>
        <v/>
      </c>
    </row>
    <row r="3016" spans="1:5" x14ac:dyDescent="0.25">
      <c r="A3016" t="str" cm="1">
        <f t="array" ref="A3016">IFERROR(INDEX(tbNucleo[ESCOLA],ROUNDUP(ROW(A3015)/TotalEtapas,0)),"")</f>
        <v/>
      </c>
      <c r="D3016" t="str">
        <f>IFERROR(VLOOKUP(tbEscolas[[#This Row],[COD ETPA]],tbEtapas[],2,FALSE),"")</f>
        <v/>
      </c>
      <c r="E3016" t="str">
        <f>IFERROR(VLOOKUP(tbEscolas[[#This Row],[COD ETPA]],tbEtapas[],3,FALSE),"")</f>
        <v/>
      </c>
    </row>
    <row r="3017" spans="1:5" x14ac:dyDescent="0.25">
      <c r="A3017" t="str" cm="1">
        <f t="array" ref="A3017">IFERROR(INDEX(tbNucleo[ESCOLA],ROUNDUP(ROW(A3016)/TotalEtapas,0)),"")</f>
        <v/>
      </c>
      <c r="D3017" t="str">
        <f>IFERROR(VLOOKUP(tbEscolas[[#This Row],[COD ETPA]],tbEtapas[],2,FALSE),"")</f>
        <v/>
      </c>
      <c r="E3017" t="str">
        <f>IFERROR(VLOOKUP(tbEscolas[[#This Row],[COD ETPA]],tbEtapas[],3,FALSE),"")</f>
        <v/>
      </c>
    </row>
    <row r="3018" spans="1:5" x14ac:dyDescent="0.25">
      <c r="A3018" t="str" cm="1">
        <f t="array" ref="A3018">IFERROR(INDEX(tbNucleo[ESCOLA],ROUNDUP(ROW(A3017)/TotalEtapas,0)),"")</f>
        <v/>
      </c>
      <c r="D3018" t="str">
        <f>IFERROR(VLOOKUP(tbEscolas[[#This Row],[COD ETPA]],tbEtapas[],2,FALSE),"")</f>
        <v/>
      </c>
      <c r="E3018" t="str">
        <f>IFERROR(VLOOKUP(tbEscolas[[#This Row],[COD ETPA]],tbEtapas[],3,FALSE),"")</f>
        <v/>
      </c>
    </row>
    <row r="3019" spans="1:5" x14ac:dyDescent="0.25">
      <c r="A3019" t="str" cm="1">
        <f t="array" ref="A3019">IFERROR(INDEX(tbNucleo[ESCOLA],ROUNDUP(ROW(A3018)/TotalEtapas,0)),"")</f>
        <v/>
      </c>
      <c r="D3019" t="str">
        <f>IFERROR(VLOOKUP(tbEscolas[[#This Row],[COD ETPA]],tbEtapas[],2,FALSE),"")</f>
        <v/>
      </c>
      <c r="E3019" t="str">
        <f>IFERROR(VLOOKUP(tbEscolas[[#This Row],[COD ETPA]],tbEtapas[],3,FALSE),"")</f>
        <v/>
      </c>
    </row>
    <row r="3020" spans="1:5" x14ac:dyDescent="0.25">
      <c r="A3020" t="str" cm="1">
        <f t="array" ref="A3020">IFERROR(INDEX(tbNucleo[ESCOLA],ROUNDUP(ROW(A3019)/TotalEtapas,0)),"")</f>
        <v/>
      </c>
      <c r="D3020" t="str">
        <f>IFERROR(VLOOKUP(tbEscolas[[#This Row],[COD ETPA]],tbEtapas[],2,FALSE),"")</f>
        <v/>
      </c>
      <c r="E3020" t="str">
        <f>IFERROR(VLOOKUP(tbEscolas[[#This Row],[COD ETPA]],tbEtapas[],3,FALSE),"")</f>
        <v/>
      </c>
    </row>
    <row r="3021" spans="1:5" x14ac:dyDescent="0.25">
      <c r="A3021" t="str" cm="1">
        <f t="array" ref="A3021">IFERROR(INDEX(tbNucleo[ESCOLA],ROUNDUP(ROW(A3020)/TotalEtapas,0)),"")</f>
        <v/>
      </c>
      <c r="D3021" t="str">
        <f>IFERROR(VLOOKUP(tbEscolas[[#This Row],[COD ETPA]],tbEtapas[],2,FALSE),"")</f>
        <v/>
      </c>
      <c r="E3021" t="str">
        <f>IFERROR(VLOOKUP(tbEscolas[[#This Row],[COD ETPA]],tbEtapas[],3,FALSE),"")</f>
        <v/>
      </c>
    </row>
    <row r="3022" spans="1:5" x14ac:dyDescent="0.25">
      <c r="A3022" t="str" cm="1">
        <f t="array" ref="A3022">IFERROR(INDEX(tbNucleo[ESCOLA],ROUNDUP(ROW(A3021)/TotalEtapas,0)),"")</f>
        <v/>
      </c>
      <c r="D3022" t="str">
        <f>IFERROR(VLOOKUP(tbEscolas[[#This Row],[COD ETPA]],tbEtapas[],2,FALSE),"")</f>
        <v/>
      </c>
      <c r="E3022" t="str">
        <f>IFERROR(VLOOKUP(tbEscolas[[#This Row],[COD ETPA]],tbEtapas[],3,FALSE),"")</f>
        <v/>
      </c>
    </row>
    <row r="3023" spans="1:5" x14ac:dyDescent="0.25">
      <c r="A3023" t="str" cm="1">
        <f t="array" ref="A3023">IFERROR(INDEX(tbNucleo[ESCOLA],ROUNDUP(ROW(A3022)/TotalEtapas,0)),"")</f>
        <v/>
      </c>
      <c r="D3023" t="str">
        <f>IFERROR(VLOOKUP(tbEscolas[[#This Row],[COD ETPA]],tbEtapas[],2,FALSE),"")</f>
        <v/>
      </c>
      <c r="E3023" t="str">
        <f>IFERROR(VLOOKUP(tbEscolas[[#This Row],[COD ETPA]],tbEtapas[],3,FALSE),"")</f>
        <v/>
      </c>
    </row>
    <row r="3024" spans="1:5" x14ac:dyDescent="0.25">
      <c r="A3024" t="str" cm="1">
        <f t="array" ref="A3024">IFERROR(INDEX(tbNucleo[ESCOLA],ROUNDUP(ROW(A3023)/TotalEtapas,0)),"")</f>
        <v/>
      </c>
      <c r="D3024" t="str">
        <f>IFERROR(VLOOKUP(tbEscolas[[#This Row],[COD ETPA]],tbEtapas[],2,FALSE),"")</f>
        <v/>
      </c>
      <c r="E3024" t="str">
        <f>IFERROR(VLOOKUP(tbEscolas[[#This Row],[COD ETPA]],tbEtapas[],3,FALSE),"")</f>
        <v/>
      </c>
    </row>
    <row r="3025" spans="1:5" x14ac:dyDescent="0.25">
      <c r="A3025" t="str" cm="1">
        <f t="array" ref="A3025">IFERROR(INDEX(tbNucleo[ESCOLA],ROUNDUP(ROW(A3024)/TotalEtapas,0)),"")</f>
        <v/>
      </c>
      <c r="D3025" t="str">
        <f>IFERROR(VLOOKUP(tbEscolas[[#This Row],[COD ETPA]],tbEtapas[],2,FALSE),"")</f>
        <v/>
      </c>
      <c r="E3025" t="str">
        <f>IFERROR(VLOOKUP(tbEscolas[[#This Row],[COD ETPA]],tbEtapas[],3,FALSE),"")</f>
        <v/>
      </c>
    </row>
    <row r="3026" spans="1:5" x14ac:dyDescent="0.25">
      <c r="A3026" t="str" cm="1">
        <f t="array" ref="A3026">IFERROR(INDEX(tbNucleo[ESCOLA],ROUNDUP(ROW(A3025)/TotalEtapas,0)),"")</f>
        <v/>
      </c>
      <c r="D3026" t="str">
        <f>IFERROR(VLOOKUP(tbEscolas[[#This Row],[COD ETPA]],tbEtapas[],2,FALSE),"")</f>
        <v/>
      </c>
      <c r="E3026" t="str">
        <f>IFERROR(VLOOKUP(tbEscolas[[#This Row],[COD ETPA]],tbEtapas[],3,FALSE),"")</f>
        <v/>
      </c>
    </row>
    <row r="3027" spans="1:5" x14ac:dyDescent="0.25">
      <c r="A3027" t="str" cm="1">
        <f t="array" ref="A3027">IFERROR(INDEX(tbNucleo[ESCOLA],ROUNDUP(ROW(A3026)/TotalEtapas,0)),"")</f>
        <v/>
      </c>
      <c r="D3027" t="str">
        <f>IFERROR(VLOOKUP(tbEscolas[[#This Row],[COD ETPA]],tbEtapas[],2,FALSE),"")</f>
        <v/>
      </c>
      <c r="E3027" t="str">
        <f>IFERROR(VLOOKUP(tbEscolas[[#This Row],[COD ETPA]],tbEtapas[],3,FALSE),"")</f>
        <v/>
      </c>
    </row>
    <row r="3028" spans="1:5" x14ac:dyDescent="0.25">
      <c r="A3028" t="str" cm="1">
        <f t="array" ref="A3028">IFERROR(INDEX(tbNucleo[ESCOLA],ROUNDUP(ROW(A3027)/TotalEtapas,0)),"")</f>
        <v/>
      </c>
      <c r="D3028" t="str">
        <f>IFERROR(VLOOKUP(tbEscolas[[#This Row],[COD ETPA]],tbEtapas[],2,FALSE),"")</f>
        <v/>
      </c>
      <c r="E3028" t="str">
        <f>IFERROR(VLOOKUP(tbEscolas[[#This Row],[COD ETPA]],tbEtapas[],3,FALSE),"")</f>
        <v/>
      </c>
    </row>
    <row r="3029" spans="1:5" x14ac:dyDescent="0.25">
      <c r="A3029" t="str" cm="1">
        <f t="array" ref="A3029">IFERROR(INDEX(tbNucleo[ESCOLA],ROUNDUP(ROW(A3028)/TotalEtapas,0)),"")</f>
        <v/>
      </c>
      <c r="D3029" t="str">
        <f>IFERROR(VLOOKUP(tbEscolas[[#This Row],[COD ETPA]],tbEtapas[],2,FALSE),"")</f>
        <v/>
      </c>
      <c r="E3029" t="str">
        <f>IFERROR(VLOOKUP(tbEscolas[[#This Row],[COD ETPA]],tbEtapas[],3,FALSE),"")</f>
        <v/>
      </c>
    </row>
    <row r="3030" spans="1:5" x14ac:dyDescent="0.25">
      <c r="A3030" t="str" cm="1">
        <f t="array" ref="A3030">IFERROR(INDEX(tbNucleo[ESCOLA],ROUNDUP(ROW(A3029)/TotalEtapas,0)),"")</f>
        <v/>
      </c>
      <c r="D3030" t="str">
        <f>IFERROR(VLOOKUP(tbEscolas[[#This Row],[COD ETPA]],tbEtapas[],2,FALSE),"")</f>
        <v/>
      </c>
      <c r="E3030" t="str">
        <f>IFERROR(VLOOKUP(tbEscolas[[#This Row],[COD ETPA]],tbEtapas[],3,FALSE),"")</f>
        <v/>
      </c>
    </row>
    <row r="3031" spans="1:5" x14ac:dyDescent="0.25">
      <c r="A3031" t="str" cm="1">
        <f t="array" ref="A3031">IFERROR(INDEX(tbNucleo[ESCOLA],ROUNDUP(ROW(A3030)/TotalEtapas,0)),"")</f>
        <v/>
      </c>
      <c r="D3031" t="str">
        <f>IFERROR(VLOOKUP(tbEscolas[[#This Row],[COD ETPA]],tbEtapas[],2,FALSE),"")</f>
        <v/>
      </c>
      <c r="E3031" t="str">
        <f>IFERROR(VLOOKUP(tbEscolas[[#This Row],[COD ETPA]],tbEtapas[],3,FALSE),"")</f>
        <v/>
      </c>
    </row>
    <row r="3032" spans="1:5" x14ac:dyDescent="0.25">
      <c r="A3032" t="str" cm="1">
        <f t="array" ref="A3032">IFERROR(INDEX(tbNucleo[ESCOLA],ROUNDUP(ROW(A3031)/TotalEtapas,0)),"")</f>
        <v/>
      </c>
      <c r="D3032" t="str">
        <f>IFERROR(VLOOKUP(tbEscolas[[#This Row],[COD ETPA]],tbEtapas[],2,FALSE),"")</f>
        <v/>
      </c>
      <c r="E3032" t="str">
        <f>IFERROR(VLOOKUP(tbEscolas[[#This Row],[COD ETPA]],tbEtapas[],3,FALSE),"")</f>
        <v/>
      </c>
    </row>
    <row r="3033" spans="1:5" x14ac:dyDescent="0.25">
      <c r="A3033" t="str" cm="1">
        <f t="array" ref="A3033">IFERROR(INDEX(tbNucleo[ESCOLA],ROUNDUP(ROW(A3032)/TotalEtapas,0)),"")</f>
        <v/>
      </c>
      <c r="D3033" t="str">
        <f>IFERROR(VLOOKUP(tbEscolas[[#This Row],[COD ETPA]],tbEtapas[],2,FALSE),"")</f>
        <v/>
      </c>
      <c r="E3033" t="str">
        <f>IFERROR(VLOOKUP(tbEscolas[[#This Row],[COD ETPA]],tbEtapas[],3,FALSE),"")</f>
        <v/>
      </c>
    </row>
    <row r="3034" spans="1:5" x14ac:dyDescent="0.25">
      <c r="A3034" t="str" cm="1">
        <f t="array" ref="A3034">IFERROR(INDEX(tbNucleo[ESCOLA],ROUNDUP(ROW(A3033)/TotalEtapas,0)),"")</f>
        <v/>
      </c>
      <c r="D3034" t="str">
        <f>IFERROR(VLOOKUP(tbEscolas[[#This Row],[COD ETPA]],tbEtapas[],2,FALSE),"")</f>
        <v/>
      </c>
      <c r="E3034" t="str">
        <f>IFERROR(VLOOKUP(tbEscolas[[#This Row],[COD ETPA]],tbEtapas[],3,FALSE),"")</f>
        <v/>
      </c>
    </row>
    <row r="3035" spans="1:5" x14ac:dyDescent="0.25">
      <c r="A3035" t="str" cm="1">
        <f t="array" ref="A3035">IFERROR(INDEX(tbNucleo[ESCOLA],ROUNDUP(ROW(A3034)/TotalEtapas,0)),"")</f>
        <v/>
      </c>
      <c r="D3035" t="str">
        <f>IFERROR(VLOOKUP(tbEscolas[[#This Row],[COD ETPA]],tbEtapas[],2,FALSE),"")</f>
        <v/>
      </c>
      <c r="E3035" t="str">
        <f>IFERROR(VLOOKUP(tbEscolas[[#This Row],[COD ETPA]],tbEtapas[],3,FALSE),"")</f>
        <v/>
      </c>
    </row>
    <row r="3036" spans="1:5" x14ac:dyDescent="0.25">
      <c r="A3036" t="str" cm="1">
        <f t="array" ref="A3036">IFERROR(INDEX(tbNucleo[ESCOLA],ROUNDUP(ROW(A3035)/TotalEtapas,0)),"")</f>
        <v/>
      </c>
      <c r="D3036" t="str">
        <f>IFERROR(VLOOKUP(tbEscolas[[#This Row],[COD ETPA]],tbEtapas[],2,FALSE),"")</f>
        <v/>
      </c>
      <c r="E3036" t="str">
        <f>IFERROR(VLOOKUP(tbEscolas[[#This Row],[COD ETPA]],tbEtapas[],3,FALSE),"")</f>
        <v/>
      </c>
    </row>
    <row r="3037" spans="1:5" x14ac:dyDescent="0.25">
      <c r="A3037" t="str" cm="1">
        <f t="array" ref="A3037">IFERROR(INDEX(tbNucleo[ESCOLA],ROUNDUP(ROW(A3036)/TotalEtapas,0)),"")</f>
        <v/>
      </c>
      <c r="D3037" t="str">
        <f>IFERROR(VLOOKUP(tbEscolas[[#This Row],[COD ETPA]],tbEtapas[],2,FALSE),"")</f>
        <v/>
      </c>
      <c r="E3037" t="str">
        <f>IFERROR(VLOOKUP(tbEscolas[[#This Row],[COD ETPA]],tbEtapas[],3,FALSE),"")</f>
        <v/>
      </c>
    </row>
    <row r="3038" spans="1:5" x14ac:dyDescent="0.25">
      <c r="A3038" t="str" cm="1">
        <f t="array" ref="A3038">IFERROR(INDEX(tbNucleo[ESCOLA],ROUNDUP(ROW(A3037)/TotalEtapas,0)),"")</f>
        <v/>
      </c>
      <c r="D3038" t="str">
        <f>IFERROR(VLOOKUP(tbEscolas[[#This Row],[COD ETPA]],tbEtapas[],2,FALSE),"")</f>
        <v/>
      </c>
      <c r="E3038" t="str">
        <f>IFERROR(VLOOKUP(tbEscolas[[#This Row],[COD ETPA]],tbEtapas[],3,FALSE),"")</f>
        <v/>
      </c>
    </row>
    <row r="3039" spans="1:5" x14ac:dyDescent="0.25">
      <c r="A3039" t="str" cm="1">
        <f t="array" ref="A3039">IFERROR(INDEX(tbNucleo[ESCOLA],ROUNDUP(ROW(A3038)/TotalEtapas,0)),"")</f>
        <v/>
      </c>
      <c r="D3039" t="str">
        <f>IFERROR(VLOOKUP(tbEscolas[[#This Row],[COD ETPA]],tbEtapas[],2,FALSE),"")</f>
        <v/>
      </c>
      <c r="E3039" t="str">
        <f>IFERROR(VLOOKUP(tbEscolas[[#This Row],[COD ETPA]],tbEtapas[],3,FALSE),"")</f>
        <v/>
      </c>
    </row>
    <row r="3040" spans="1:5" x14ac:dyDescent="0.25">
      <c r="A3040" t="str" cm="1">
        <f t="array" ref="A3040">IFERROR(INDEX(tbNucleo[ESCOLA],ROUNDUP(ROW(A3039)/TotalEtapas,0)),"")</f>
        <v/>
      </c>
      <c r="D3040" t="str">
        <f>IFERROR(VLOOKUP(tbEscolas[[#This Row],[COD ETPA]],tbEtapas[],2,FALSE),"")</f>
        <v/>
      </c>
      <c r="E3040" t="str">
        <f>IFERROR(VLOOKUP(tbEscolas[[#This Row],[COD ETPA]],tbEtapas[],3,FALSE),"")</f>
        <v/>
      </c>
    </row>
    <row r="3041" spans="1:5" x14ac:dyDescent="0.25">
      <c r="A3041" t="str" cm="1">
        <f t="array" ref="A3041">IFERROR(INDEX(tbNucleo[ESCOLA],ROUNDUP(ROW(A3040)/TotalEtapas,0)),"")</f>
        <v/>
      </c>
      <c r="D3041" t="str">
        <f>IFERROR(VLOOKUP(tbEscolas[[#This Row],[COD ETPA]],tbEtapas[],2,FALSE),"")</f>
        <v/>
      </c>
      <c r="E3041" t="str">
        <f>IFERROR(VLOOKUP(tbEscolas[[#This Row],[COD ETPA]],tbEtapas[],3,FALSE),"")</f>
        <v/>
      </c>
    </row>
    <row r="3042" spans="1:5" x14ac:dyDescent="0.25">
      <c r="A3042" t="str" cm="1">
        <f t="array" ref="A3042">IFERROR(INDEX(tbNucleo[ESCOLA],ROUNDUP(ROW(A3041)/TotalEtapas,0)),"")</f>
        <v/>
      </c>
      <c r="D3042" t="str">
        <f>IFERROR(VLOOKUP(tbEscolas[[#This Row],[COD ETPA]],tbEtapas[],2,FALSE),"")</f>
        <v/>
      </c>
      <c r="E3042" t="str">
        <f>IFERROR(VLOOKUP(tbEscolas[[#This Row],[COD ETPA]],tbEtapas[],3,FALSE),"")</f>
        <v/>
      </c>
    </row>
    <row r="3043" spans="1:5" x14ac:dyDescent="0.25">
      <c r="A3043" t="str" cm="1">
        <f t="array" ref="A3043">IFERROR(INDEX(tbNucleo[ESCOLA],ROUNDUP(ROW(A3042)/TotalEtapas,0)),"")</f>
        <v/>
      </c>
      <c r="D3043" t="str">
        <f>IFERROR(VLOOKUP(tbEscolas[[#This Row],[COD ETPA]],tbEtapas[],2,FALSE),"")</f>
        <v/>
      </c>
      <c r="E3043" t="str">
        <f>IFERROR(VLOOKUP(tbEscolas[[#This Row],[COD ETPA]],tbEtapas[],3,FALSE),"")</f>
        <v/>
      </c>
    </row>
    <row r="3044" spans="1:5" x14ac:dyDescent="0.25">
      <c r="A3044" t="str" cm="1">
        <f t="array" ref="A3044">IFERROR(INDEX(tbNucleo[ESCOLA],ROUNDUP(ROW(A3043)/TotalEtapas,0)),"")</f>
        <v/>
      </c>
      <c r="D3044" t="str">
        <f>IFERROR(VLOOKUP(tbEscolas[[#This Row],[COD ETPA]],tbEtapas[],2,FALSE),"")</f>
        <v/>
      </c>
      <c r="E3044" t="str">
        <f>IFERROR(VLOOKUP(tbEscolas[[#This Row],[COD ETPA]],tbEtapas[],3,FALSE),"")</f>
        <v/>
      </c>
    </row>
    <row r="3045" spans="1:5" x14ac:dyDescent="0.25">
      <c r="A3045" t="str" cm="1">
        <f t="array" ref="A3045">IFERROR(INDEX(tbNucleo[ESCOLA],ROUNDUP(ROW(A3044)/TotalEtapas,0)),"")</f>
        <v/>
      </c>
      <c r="D3045" t="str">
        <f>IFERROR(VLOOKUP(tbEscolas[[#This Row],[COD ETPA]],tbEtapas[],2,FALSE),"")</f>
        <v/>
      </c>
      <c r="E3045" t="str">
        <f>IFERROR(VLOOKUP(tbEscolas[[#This Row],[COD ETPA]],tbEtapas[],3,FALSE),"")</f>
        <v/>
      </c>
    </row>
    <row r="3046" spans="1:5" x14ac:dyDescent="0.25">
      <c r="A3046" t="str" cm="1">
        <f t="array" ref="A3046">IFERROR(INDEX(tbNucleo[ESCOLA],ROUNDUP(ROW(A3045)/TotalEtapas,0)),"")</f>
        <v/>
      </c>
      <c r="D3046" t="str">
        <f>IFERROR(VLOOKUP(tbEscolas[[#This Row],[COD ETPA]],tbEtapas[],2,FALSE),"")</f>
        <v/>
      </c>
      <c r="E3046" t="str">
        <f>IFERROR(VLOOKUP(tbEscolas[[#This Row],[COD ETPA]],tbEtapas[],3,FALSE),"")</f>
        <v/>
      </c>
    </row>
    <row r="3047" spans="1:5" x14ac:dyDescent="0.25">
      <c r="A3047" t="str" cm="1">
        <f t="array" ref="A3047">IFERROR(INDEX(tbNucleo[ESCOLA],ROUNDUP(ROW(A3046)/TotalEtapas,0)),"")</f>
        <v/>
      </c>
      <c r="D3047" t="str">
        <f>IFERROR(VLOOKUP(tbEscolas[[#This Row],[COD ETPA]],tbEtapas[],2,FALSE),"")</f>
        <v/>
      </c>
      <c r="E3047" t="str">
        <f>IFERROR(VLOOKUP(tbEscolas[[#This Row],[COD ETPA]],tbEtapas[],3,FALSE),"")</f>
        <v/>
      </c>
    </row>
    <row r="3048" spans="1:5" x14ac:dyDescent="0.25">
      <c r="A3048" t="str" cm="1">
        <f t="array" ref="A3048">IFERROR(INDEX(tbNucleo[ESCOLA],ROUNDUP(ROW(A3047)/TotalEtapas,0)),"")</f>
        <v/>
      </c>
      <c r="D3048" t="str">
        <f>IFERROR(VLOOKUP(tbEscolas[[#This Row],[COD ETPA]],tbEtapas[],2,FALSE),"")</f>
        <v/>
      </c>
      <c r="E3048" t="str">
        <f>IFERROR(VLOOKUP(tbEscolas[[#This Row],[COD ETPA]],tbEtapas[],3,FALSE),"")</f>
        <v/>
      </c>
    </row>
    <row r="3049" spans="1:5" x14ac:dyDescent="0.25">
      <c r="A3049" t="str" cm="1">
        <f t="array" ref="A3049">IFERROR(INDEX(tbNucleo[ESCOLA],ROUNDUP(ROW(A3048)/TotalEtapas,0)),"")</f>
        <v/>
      </c>
      <c r="D3049" t="str">
        <f>IFERROR(VLOOKUP(tbEscolas[[#This Row],[COD ETPA]],tbEtapas[],2,FALSE),"")</f>
        <v/>
      </c>
      <c r="E3049" t="str">
        <f>IFERROR(VLOOKUP(tbEscolas[[#This Row],[COD ETPA]],tbEtapas[],3,FALSE),"")</f>
        <v/>
      </c>
    </row>
    <row r="3050" spans="1:5" x14ac:dyDescent="0.25">
      <c r="A3050" t="str" cm="1">
        <f t="array" ref="A3050">IFERROR(INDEX(tbNucleo[ESCOLA],ROUNDUP(ROW(A3049)/TotalEtapas,0)),"")</f>
        <v/>
      </c>
      <c r="D3050" t="str">
        <f>IFERROR(VLOOKUP(tbEscolas[[#This Row],[COD ETPA]],tbEtapas[],2,FALSE),"")</f>
        <v/>
      </c>
      <c r="E3050" t="str">
        <f>IFERROR(VLOOKUP(tbEscolas[[#This Row],[COD ETPA]],tbEtapas[],3,FALSE),"")</f>
        <v/>
      </c>
    </row>
    <row r="3051" spans="1:5" x14ac:dyDescent="0.25">
      <c r="A3051" t="str" cm="1">
        <f t="array" ref="A3051">IFERROR(INDEX(tbNucleo[ESCOLA],ROUNDUP(ROW(A3050)/TotalEtapas,0)),"")</f>
        <v/>
      </c>
      <c r="D3051" t="str">
        <f>IFERROR(VLOOKUP(tbEscolas[[#This Row],[COD ETPA]],tbEtapas[],2,FALSE),"")</f>
        <v/>
      </c>
      <c r="E3051" t="str">
        <f>IFERROR(VLOOKUP(tbEscolas[[#This Row],[COD ETPA]],tbEtapas[],3,FALSE),"")</f>
        <v/>
      </c>
    </row>
    <row r="3052" spans="1:5" x14ac:dyDescent="0.25">
      <c r="A3052" t="str" cm="1">
        <f t="array" ref="A3052">IFERROR(INDEX(tbNucleo[ESCOLA],ROUNDUP(ROW(A3051)/TotalEtapas,0)),"")</f>
        <v/>
      </c>
      <c r="D3052" t="str">
        <f>IFERROR(VLOOKUP(tbEscolas[[#This Row],[COD ETPA]],tbEtapas[],2,FALSE),"")</f>
        <v/>
      </c>
      <c r="E3052" t="str">
        <f>IFERROR(VLOOKUP(tbEscolas[[#This Row],[COD ETPA]],tbEtapas[],3,FALSE),"")</f>
        <v/>
      </c>
    </row>
    <row r="3053" spans="1:5" x14ac:dyDescent="0.25">
      <c r="A3053" t="str" cm="1">
        <f t="array" ref="A3053">IFERROR(INDEX(tbNucleo[ESCOLA],ROUNDUP(ROW(A3052)/TotalEtapas,0)),"")</f>
        <v/>
      </c>
      <c r="D3053" t="str">
        <f>IFERROR(VLOOKUP(tbEscolas[[#This Row],[COD ETPA]],tbEtapas[],2,FALSE),"")</f>
        <v/>
      </c>
      <c r="E3053" t="str">
        <f>IFERROR(VLOOKUP(tbEscolas[[#This Row],[COD ETPA]],tbEtapas[],3,FALSE),"")</f>
        <v/>
      </c>
    </row>
    <row r="3054" spans="1:5" x14ac:dyDescent="0.25">
      <c r="A3054" t="str" cm="1">
        <f t="array" ref="A3054">IFERROR(INDEX(tbNucleo[ESCOLA],ROUNDUP(ROW(A3053)/TotalEtapas,0)),"")</f>
        <v/>
      </c>
      <c r="D3054" t="str">
        <f>IFERROR(VLOOKUP(tbEscolas[[#This Row],[COD ETPA]],tbEtapas[],2,FALSE),"")</f>
        <v/>
      </c>
      <c r="E3054" t="str">
        <f>IFERROR(VLOOKUP(tbEscolas[[#This Row],[COD ETPA]],tbEtapas[],3,FALSE),"")</f>
        <v/>
      </c>
    </row>
    <row r="3055" spans="1:5" x14ac:dyDescent="0.25">
      <c r="A3055" t="str" cm="1">
        <f t="array" ref="A3055">IFERROR(INDEX(tbNucleo[ESCOLA],ROUNDUP(ROW(A3054)/TotalEtapas,0)),"")</f>
        <v/>
      </c>
      <c r="D3055" t="str">
        <f>IFERROR(VLOOKUP(tbEscolas[[#This Row],[COD ETPA]],tbEtapas[],2,FALSE),"")</f>
        <v/>
      </c>
      <c r="E3055" t="str">
        <f>IFERROR(VLOOKUP(tbEscolas[[#This Row],[COD ETPA]],tbEtapas[],3,FALSE),"")</f>
        <v/>
      </c>
    </row>
    <row r="3056" spans="1:5" x14ac:dyDescent="0.25">
      <c r="A3056" t="str" cm="1">
        <f t="array" ref="A3056">IFERROR(INDEX(tbNucleo[ESCOLA],ROUNDUP(ROW(A3055)/TotalEtapas,0)),"")</f>
        <v/>
      </c>
      <c r="D3056" t="str">
        <f>IFERROR(VLOOKUP(tbEscolas[[#This Row],[COD ETPA]],tbEtapas[],2,FALSE),"")</f>
        <v/>
      </c>
      <c r="E3056" t="str">
        <f>IFERROR(VLOOKUP(tbEscolas[[#This Row],[COD ETPA]],tbEtapas[],3,FALSE),"")</f>
        <v/>
      </c>
    </row>
    <row r="3057" spans="1:5" x14ac:dyDescent="0.25">
      <c r="A3057" t="str" cm="1">
        <f t="array" ref="A3057">IFERROR(INDEX(tbNucleo[ESCOLA],ROUNDUP(ROW(A3056)/TotalEtapas,0)),"")</f>
        <v/>
      </c>
      <c r="D3057" t="str">
        <f>IFERROR(VLOOKUP(tbEscolas[[#This Row],[COD ETPA]],tbEtapas[],2,FALSE),"")</f>
        <v/>
      </c>
      <c r="E3057" t="str">
        <f>IFERROR(VLOOKUP(tbEscolas[[#This Row],[COD ETPA]],tbEtapas[],3,FALSE),"")</f>
        <v/>
      </c>
    </row>
    <row r="3058" spans="1:5" x14ac:dyDescent="0.25">
      <c r="A3058" t="str" cm="1">
        <f t="array" ref="A3058">IFERROR(INDEX(tbNucleo[ESCOLA],ROUNDUP(ROW(A3057)/TotalEtapas,0)),"")</f>
        <v/>
      </c>
      <c r="D3058" t="str">
        <f>IFERROR(VLOOKUP(tbEscolas[[#This Row],[COD ETPA]],tbEtapas[],2,FALSE),"")</f>
        <v/>
      </c>
      <c r="E3058" t="str">
        <f>IFERROR(VLOOKUP(tbEscolas[[#This Row],[COD ETPA]],tbEtapas[],3,FALSE),"")</f>
        <v/>
      </c>
    </row>
    <row r="3059" spans="1:5" x14ac:dyDescent="0.25">
      <c r="A3059" t="str" cm="1">
        <f t="array" ref="A3059">IFERROR(INDEX(tbNucleo[ESCOLA],ROUNDUP(ROW(A3058)/TotalEtapas,0)),"")</f>
        <v/>
      </c>
      <c r="D3059" t="str">
        <f>IFERROR(VLOOKUP(tbEscolas[[#This Row],[COD ETPA]],tbEtapas[],2,FALSE),"")</f>
        <v/>
      </c>
      <c r="E3059" t="str">
        <f>IFERROR(VLOOKUP(tbEscolas[[#This Row],[COD ETPA]],tbEtapas[],3,FALSE),"")</f>
        <v/>
      </c>
    </row>
    <row r="3060" spans="1:5" x14ac:dyDescent="0.25">
      <c r="A3060" t="str" cm="1">
        <f t="array" ref="A3060">IFERROR(INDEX(tbNucleo[ESCOLA],ROUNDUP(ROW(A3059)/TotalEtapas,0)),"")</f>
        <v/>
      </c>
      <c r="D3060" t="str">
        <f>IFERROR(VLOOKUP(tbEscolas[[#This Row],[COD ETPA]],tbEtapas[],2,FALSE),"")</f>
        <v/>
      </c>
      <c r="E3060" t="str">
        <f>IFERROR(VLOOKUP(tbEscolas[[#This Row],[COD ETPA]],tbEtapas[],3,FALSE),"")</f>
        <v/>
      </c>
    </row>
    <row r="3061" spans="1:5" x14ac:dyDescent="0.25">
      <c r="A3061" t="str" cm="1">
        <f t="array" ref="A3061">IFERROR(INDEX(tbNucleo[ESCOLA],ROUNDUP(ROW(A3060)/TotalEtapas,0)),"")</f>
        <v/>
      </c>
      <c r="D3061" t="str">
        <f>IFERROR(VLOOKUP(tbEscolas[[#This Row],[COD ETPA]],tbEtapas[],2,FALSE),"")</f>
        <v/>
      </c>
      <c r="E3061" t="str">
        <f>IFERROR(VLOOKUP(tbEscolas[[#This Row],[COD ETPA]],tbEtapas[],3,FALSE),"")</f>
        <v/>
      </c>
    </row>
    <row r="3062" spans="1:5" x14ac:dyDescent="0.25">
      <c r="A3062" t="str" cm="1">
        <f t="array" ref="A3062">IFERROR(INDEX(tbNucleo[ESCOLA],ROUNDUP(ROW(A3061)/TotalEtapas,0)),"")</f>
        <v/>
      </c>
      <c r="D3062" t="str">
        <f>IFERROR(VLOOKUP(tbEscolas[[#This Row],[COD ETPA]],tbEtapas[],2,FALSE),"")</f>
        <v/>
      </c>
      <c r="E3062" t="str">
        <f>IFERROR(VLOOKUP(tbEscolas[[#This Row],[COD ETPA]],tbEtapas[],3,FALSE),"")</f>
        <v/>
      </c>
    </row>
    <row r="3063" spans="1:5" x14ac:dyDescent="0.25">
      <c r="A3063" t="str" cm="1">
        <f t="array" ref="A3063">IFERROR(INDEX(tbNucleo[ESCOLA],ROUNDUP(ROW(A3062)/TotalEtapas,0)),"")</f>
        <v/>
      </c>
      <c r="D3063" t="str">
        <f>IFERROR(VLOOKUP(tbEscolas[[#This Row],[COD ETPA]],tbEtapas[],2,FALSE),"")</f>
        <v/>
      </c>
      <c r="E3063" t="str">
        <f>IFERROR(VLOOKUP(tbEscolas[[#This Row],[COD ETPA]],tbEtapas[],3,FALSE),"")</f>
        <v/>
      </c>
    </row>
    <row r="3064" spans="1:5" x14ac:dyDescent="0.25">
      <c r="A3064" t="str" cm="1">
        <f t="array" ref="A3064">IFERROR(INDEX(tbNucleo[ESCOLA],ROUNDUP(ROW(A3063)/TotalEtapas,0)),"")</f>
        <v/>
      </c>
      <c r="D3064" t="str">
        <f>IFERROR(VLOOKUP(tbEscolas[[#This Row],[COD ETPA]],tbEtapas[],2,FALSE),"")</f>
        <v/>
      </c>
      <c r="E3064" t="str">
        <f>IFERROR(VLOOKUP(tbEscolas[[#This Row],[COD ETPA]],tbEtapas[],3,FALSE),"")</f>
        <v/>
      </c>
    </row>
    <row r="3065" spans="1:5" x14ac:dyDescent="0.25">
      <c r="A3065" t="str" cm="1">
        <f t="array" ref="A3065">IFERROR(INDEX(tbNucleo[ESCOLA],ROUNDUP(ROW(A3064)/TotalEtapas,0)),"")</f>
        <v/>
      </c>
      <c r="D3065" t="str">
        <f>IFERROR(VLOOKUP(tbEscolas[[#This Row],[COD ETPA]],tbEtapas[],2,FALSE),"")</f>
        <v/>
      </c>
      <c r="E3065" t="str">
        <f>IFERROR(VLOOKUP(tbEscolas[[#This Row],[COD ETPA]],tbEtapas[],3,FALSE),"")</f>
        <v/>
      </c>
    </row>
    <row r="3066" spans="1:5" x14ac:dyDescent="0.25">
      <c r="A3066" t="str" cm="1">
        <f t="array" ref="A3066">IFERROR(INDEX(tbNucleo[ESCOLA],ROUNDUP(ROW(A3065)/TotalEtapas,0)),"")</f>
        <v/>
      </c>
      <c r="D3066" t="str">
        <f>IFERROR(VLOOKUP(tbEscolas[[#This Row],[COD ETPA]],tbEtapas[],2,FALSE),"")</f>
        <v/>
      </c>
      <c r="E3066" t="str">
        <f>IFERROR(VLOOKUP(tbEscolas[[#This Row],[COD ETPA]],tbEtapas[],3,FALSE),"")</f>
        <v/>
      </c>
    </row>
    <row r="3067" spans="1:5" x14ac:dyDescent="0.25">
      <c r="A3067" t="str" cm="1">
        <f t="array" ref="A3067">IFERROR(INDEX(tbNucleo[ESCOLA],ROUNDUP(ROW(A3066)/TotalEtapas,0)),"")</f>
        <v/>
      </c>
      <c r="D3067" t="str">
        <f>IFERROR(VLOOKUP(tbEscolas[[#This Row],[COD ETPA]],tbEtapas[],2,FALSE),"")</f>
        <v/>
      </c>
      <c r="E3067" t="str">
        <f>IFERROR(VLOOKUP(tbEscolas[[#This Row],[COD ETPA]],tbEtapas[],3,FALSE),"")</f>
        <v/>
      </c>
    </row>
    <row r="3068" spans="1:5" x14ac:dyDescent="0.25">
      <c r="A3068" t="str" cm="1">
        <f t="array" ref="A3068">IFERROR(INDEX(tbNucleo[ESCOLA],ROUNDUP(ROW(A3067)/TotalEtapas,0)),"")</f>
        <v/>
      </c>
      <c r="D3068" t="str">
        <f>IFERROR(VLOOKUP(tbEscolas[[#This Row],[COD ETPA]],tbEtapas[],2,FALSE),"")</f>
        <v/>
      </c>
      <c r="E3068" t="str">
        <f>IFERROR(VLOOKUP(tbEscolas[[#This Row],[COD ETPA]],tbEtapas[],3,FALSE),"")</f>
        <v/>
      </c>
    </row>
    <row r="3069" spans="1:5" x14ac:dyDescent="0.25">
      <c r="A3069" t="str" cm="1">
        <f t="array" ref="A3069">IFERROR(INDEX(tbNucleo[ESCOLA],ROUNDUP(ROW(A3068)/TotalEtapas,0)),"")</f>
        <v/>
      </c>
      <c r="D3069" t="str">
        <f>IFERROR(VLOOKUP(tbEscolas[[#This Row],[COD ETPA]],tbEtapas[],2,FALSE),"")</f>
        <v/>
      </c>
      <c r="E3069" t="str">
        <f>IFERROR(VLOOKUP(tbEscolas[[#This Row],[COD ETPA]],tbEtapas[],3,FALSE),"")</f>
        <v/>
      </c>
    </row>
    <row r="3070" spans="1:5" x14ac:dyDescent="0.25">
      <c r="A3070" t="str" cm="1">
        <f t="array" ref="A3070">IFERROR(INDEX(tbNucleo[ESCOLA],ROUNDUP(ROW(A3069)/TotalEtapas,0)),"")</f>
        <v/>
      </c>
      <c r="D3070" t="str">
        <f>IFERROR(VLOOKUP(tbEscolas[[#This Row],[COD ETPA]],tbEtapas[],2,FALSE),"")</f>
        <v/>
      </c>
      <c r="E3070" t="str">
        <f>IFERROR(VLOOKUP(tbEscolas[[#This Row],[COD ETPA]],tbEtapas[],3,FALSE),"")</f>
        <v/>
      </c>
    </row>
    <row r="3071" spans="1:5" x14ac:dyDescent="0.25">
      <c r="A3071" t="str" cm="1">
        <f t="array" ref="A3071">IFERROR(INDEX(tbNucleo[ESCOLA],ROUNDUP(ROW(A3070)/TotalEtapas,0)),"")</f>
        <v/>
      </c>
      <c r="D3071" t="str">
        <f>IFERROR(VLOOKUP(tbEscolas[[#This Row],[COD ETPA]],tbEtapas[],2,FALSE),"")</f>
        <v/>
      </c>
      <c r="E3071" t="str">
        <f>IFERROR(VLOOKUP(tbEscolas[[#This Row],[COD ETPA]],tbEtapas[],3,FALSE),"")</f>
        <v/>
      </c>
    </row>
    <row r="3072" spans="1:5" x14ac:dyDescent="0.25">
      <c r="A3072" t="str" cm="1">
        <f t="array" ref="A3072">IFERROR(INDEX(tbNucleo[ESCOLA],ROUNDUP(ROW(A3071)/TotalEtapas,0)),"")</f>
        <v/>
      </c>
      <c r="D3072" t="str">
        <f>IFERROR(VLOOKUP(tbEscolas[[#This Row],[COD ETPA]],tbEtapas[],2,FALSE),"")</f>
        <v/>
      </c>
      <c r="E3072" t="str">
        <f>IFERROR(VLOOKUP(tbEscolas[[#This Row],[COD ETPA]],tbEtapas[],3,FALSE),"")</f>
        <v/>
      </c>
    </row>
    <row r="3073" spans="1:5" x14ac:dyDescent="0.25">
      <c r="A3073" t="str" cm="1">
        <f t="array" ref="A3073">IFERROR(INDEX(tbNucleo[ESCOLA],ROUNDUP(ROW(A3072)/TotalEtapas,0)),"")</f>
        <v/>
      </c>
      <c r="D3073" t="str">
        <f>IFERROR(VLOOKUP(tbEscolas[[#This Row],[COD ETPA]],tbEtapas[],2,FALSE),"")</f>
        <v/>
      </c>
      <c r="E3073" t="str">
        <f>IFERROR(VLOOKUP(tbEscolas[[#This Row],[COD ETPA]],tbEtapas[],3,FALSE),"")</f>
        <v/>
      </c>
    </row>
    <row r="3074" spans="1:5" x14ac:dyDescent="0.25">
      <c r="A3074" t="str" cm="1">
        <f t="array" ref="A3074">IFERROR(INDEX(tbNucleo[ESCOLA],ROUNDUP(ROW(A3073)/TotalEtapas,0)),"")</f>
        <v/>
      </c>
      <c r="D3074" t="str">
        <f>IFERROR(VLOOKUP(tbEscolas[[#This Row],[COD ETPA]],tbEtapas[],2,FALSE),"")</f>
        <v/>
      </c>
      <c r="E3074" t="str">
        <f>IFERROR(VLOOKUP(tbEscolas[[#This Row],[COD ETPA]],tbEtapas[],3,FALSE),"")</f>
        <v/>
      </c>
    </row>
    <row r="3075" spans="1:5" x14ac:dyDescent="0.25">
      <c r="A3075" t="str" cm="1">
        <f t="array" ref="A3075">IFERROR(INDEX(tbNucleo[ESCOLA],ROUNDUP(ROW(A3074)/TotalEtapas,0)),"")</f>
        <v/>
      </c>
      <c r="D3075" t="str">
        <f>IFERROR(VLOOKUP(tbEscolas[[#This Row],[COD ETPA]],tbEtapas[],2,FALSE),"")</f>
        <v/>
      </c>
      <c r="E3075" t="str">
        <f>IFERROR(VLOOKUP(tbEscolas[[#This Row],[COD ETPA]],tbEtapas[],3,FALSE),"")</f>
        <v/>
      </c>
    </row>
    <row r="3076" spans="1:5" x14ac:dyDescent="0.25">
      <c r="A3076" t="str" cm="1">
        <f t="array" ref="A3076">IFERROR(INDEX(tbNucleo[ESCOLA],ROUNDUP(ROW(A3075)/TotalEtapas,0)),"")</f>
        <v/>
      </c>
      <c r="D3076" t="str">
        <f>IFERROR(VLOOKUP(tbEscolas[[#This Row],[COD ETPA]],tbEtapas[],2,FALSE),"")</f>
        <v/>
      </c>
      <c r="E3076" t="str">
        <f>IFERROR(VLOOKUP(tbEscolas[[#This Row],[COD ETPA]],tbEtapas[],3,FALSE),"")</f>
        <v/>
      </c>
    </row>
    <row r="3077" spans="1:5" x14ac:dyDescent="0.25">
      <c r="A3077" t="str" cm="1">
        <f t="array" ref="A3077">IFERROR(INDEX(tbNucleo[ESCOLA],ROUNDUP(ROW(A3076)/TotalEtapas,0)),"")</f>
        <v/>
      </c>
      <c r="D3077" t="str">
        <f>IFERROR(VLOOKUP(tbEscolas[[#This Row],[COD ETPA]],tbEtapas[],2,FALSE),"")</f>
        <v/>
      </c>
      <c r="E3077" t="str">
        <f>IFERROR(VLOOKUP(tbEscolas[[#This Row],[COD ETPA]],tbEtapas[],3,FALSE),"")</f>
        <v/>
      </c>
    </row>
    <row r="3078" spans="1:5" x14ac:dyDescent="0.25">
      <c r="A3078" t="str" cm="1">
        <f t="array" ref="A3078">IFERROR(INDEX(tbNucleo[ESCOLA],ROUNDUP(ROW(A3077)/TotalEtapas,0)),"")</f>
        <v/>
      </c>
      <c r="D3078" t="str">
        <f>IFERROR(VLOOKUP(tbEscolas[[#This Row],[COD ETPA]],tbEtapas[],2,FALSE),"")</f>
        <v/>
      </c>
      <c r="E3078" t="str">
        <f>IFERROR(VLOOKUP(tbEscolas[[#This Row],[COD ETPA]],tbEtapas[],3,FALSE),"")</f>
        <v/>
      </c>
    </row>
    <row r="3079" spans="1:5" x14ac:dyDescent="0.25">
      <c r="A3079" t="str" cm="1">
        <f t="array" ref="A3079">IFERROR(INDEX(tbNucleo[ESCOLA],ROUNDUP(ROW(A3078)/TotalEtapas,0)),"")</f>
        <v/>
      </c>
      <c r="D3079" t="str">
        <f>IFERROR(VLOOKUP(tbEscolas[[#This Row],[COD ETPA]],tbEtapas[],2,FALSE),"")</f>
        <v/>
      </c>
      <c r="E3079" t="str">
        <f>IFERROR(VLOOKUP(tbEscolas[[#This Row],[COD ETPA]],tbEtapas[],3,FALSE),"")</f>
        <v/>
      </c>
    </row>
    <row r="3080" spans="1:5" x14ac:dyDescent="0.25">
      <c r="A3080" t="str" cm="1">
        <f t="array" ref="A3080">IFERROR(INDEX(tbNucleo[ESCOLA],ROUNDUP(ROW(A3079)/TotalEtapas,0)),"")</f>
        <v/>
      </c>
      <c r="D3080" t="str">
        <f>IFERROR(VLOOKUP(tbEscolas[[#This Row],[COD ETPA]],tbEtapas[],2,FALSE),"")</f>
        <v/>
      </c>
      <c r="E3080" t="str">
        <f>IFERROR(VLOOKUP(tbEscolas[[#This Row],[COD ETPA]],tbEtapas[],3,FALSE),"")</f>
        <v/>
      </c>
    </row>
    <row r="3081" spans="1:5" x14ac:dyDescent="0.25">
      <c r="A3081" t="str" cm="1">
        <f t="array" ref="A3081">IFERROR(INDEX(tbNucleo[ESCOLA],ROUNDUP(ROW(A3080)/TotalEtapas,0)),"")</f>
        <v/>
      </c>
      <c r="D3081" t="str">
        <f>IFERROR(VLOOKUP(tbEscolas[[#This Row],[COD ETPA]],tbEtapas[],2,FALSE),"")</f>
        <v/>
      </c>
      <c r="E3081" t="str">
        <f>IFERROR(VLOOKUP(tbEscolas[[#This Row],[COD ETPA]],tbEtapas[],3,FALSE),"")</f>
        <v/>
      </c>
    </row>
    <row r="3082" spans="1:5" x14ac:dyDescent="0.25">
      <c r="A3082" t="str" cm="1">
        <f t="array" ref="A3082">IFERROR(INDEX(tbNucleo[ESCOLA],ROUNDUP(ROW(A3081)/TotalEtapas,0)),"")</f>
        <v/>
      </c>
      <c r="D3082" t="str">
        <f>IFERROR(VLOOKUP(tbEscolas[[#This Row],[COD ETPA]],tbEtapas[],2,FALSE),"")</f>
        <v/>
      </c>
      <c r="E3082" t="str">
        <f>IFERROR(VLOOKUP(tbEscolas[[#This Row],[COD ETPA]],tbEtapas[],3,FALSE),"")</f>
        <v/>
      </c>
    </row>
    <row r="3083" spans="1:5" x14ac:dyDescent="0.25">
      <c r="A3083" t="str" cm="1">
        <f t="array" ref="A3083">IFERROR(INDEX(tbNucleo[ESCOLA],ROUNDUP(ROW(A3082)/TotalEtapas,0)),"")</f>
        <v/>
      </c>
      <c r="D3083" t="str">
        <f>IFERROR(VLOOKUP(tbEscolas[[#This Row],[COD ETPA]],tbEtapas[],2,FALSE),"")</f>
        <v/>
      </c>
      <c r="E3083" t="str">
        <f>IFERROR(VLOOKUP(tbEscolas[[#This Row],[COD ETPA]],tbEtapas[],3,FALSE),"")</f>
        <v/>
      </c>
    </row>
    <row r="3084" spans="1:5" x14ac:dyDescent="0.25">
      <c r="A3084" t="str" cm="1">
        <f t="array" ref="A3084">IFERROR(INDEX(tbNucleo[ESCOLA],ROUNDUP(ROW(A3083)/TotalEtapas,0)),"")</f>
        <v/>
      </c>
      <c r="D3084" t="str">
        <f>IFERROR(VLOOKUP(tbEscolas[[#This Row],[COD ETPA]],tbEtapas[],2,FALSE),"")</f>
        <v/>
      </c>
      <c r="E3084" t="str">
        <f>IFERROR(VLOOKUP(tbEscolas[[#This Row],[COD ETPA]],tbEtapas[],3,FALSE),"")</f>
        <v/>
      </c>
    </row>
    <row r="3085" spans="1:5" x14ac:dyDescent="0.25">
      <c r="A3085" t="str" cm="1">
        <f t="array" ref="A3085">IFERROR(INDEX(tbNucleo[ESCOLA],ROUNDUP(ROW(A3084)/TotalEtapas,0)),"")</f>
        <v/>
      </c>
      <c r="D3085" t="str">
        <f>IFERROR(VLOOKUP(tbEscolas[[#This Row],[COD ETPA]],tbEtapas[],2,FALSE),"")</f>
        <v/>
      </c>
      <c r="E3085" t="str">
        <f>IFERROR(VLOOKUP(tbEscolas[[#This Row],[COD ETPA]],tbEtapas[],3,FALSE),"")</f>
        <v/>
      </c>
    </row>
    <row r="3086" spans="1:5" x14ac:dyDescent="0.25">
      <c r="A3086" t="str" cm="1">
        <f t="array" ref="A3086">IFERROR(INDEX(tbNucleo[ESCOLA],ROUNDUP(ROW(A3085)/TotalEtapas,0)),"")</f>
        <v/>
      </c>
      <c r="D3086" t="str">
        <f>IFERROR(VLOOKUP(tbEscolas[[#This Row],[COD ETPA]],tbEtapas[],2,FALSE),"")</f>
        <v/>
      </c>
      <c r="E3086" t="str">
        <f>IFERROR(VLOOKUP(tbEscolas[[#This Row],[COD ETPA]],tbEtapas[],3,FALSE),"")</f>
        <v/>
      </c>
    </row>
    <row r="3087" spans="1:5" x14ac:dyDescent="0.25">
      <c r="A3087" t="str" cm="1">
        <f t="array" ref="A3087">IFERROR(INDEX(tbNucleo[ESCOLA],ROUNDUP(ROW(A3086)/TotalEtapas,0)),"")</f>
        <v/>
      </c>
      <c r="D3087" t="str">
        <f>IFERROR(VLOOKUP(tbEscolas[[#This Row],[COD ETPA]],tbEtapas[],2,FALSE),"")</f>
        <v/>
      </c>
      <c r="E3087" t="str">
        <f>IFERROR(VLOOKUP(tbEscolas[[#This Row],[COD ETPA]],tbEtapas[],3,FALSE),"")</f>
        <v/>
      </c>
    </row>
    <row r="3088" spans="1:5" x14ac:dyDescent="0.25">
      <c r="A3088" t="str" cm="1">
        <f t="array" ref="A3088">IFERROR(INDEX(tbNucleo[ESCOLA],ROUNDUP(ROW(A3087)/TotalEtapas,0)),"")</f>
        <v/>
      </c>
      <c r="D3088" t="str">
        <f>IFERROR(VLOOKUP(tbEscolas[[#This Row],[COD ETPA]],tbEtapas[],2,FALSE),"")</f>
        <v/>
      </c>
      <c r="E3088" t="str">
        <f>IFERROR(VLOOKUP(tbEscolas[[#This Row],[COD ETPA]],tbEtapas[],3,FALSE),"")</f>
        <v/>
      </c>
    </row>
    <row r="3089" spans="1:5" x14ac:dyDescent="0.25">
      <c r="A3089" t="str" cm="1">
        <f t="array" ref="A3089">IFERROR(INDEX(tbNucleo[ESCOLA],ROUNDUP(ROW(A3088)/TotalEtapas,0)),"")</f>
        <v/>
      </c>
      <c r="D3089" t="str">
        <f>IFERROR(VLOOKUP(tbEscolas[[#This Row],[COD ETPA]],tbEtapas[],2,FALSE),"")</f>
        <v/>
      </c>
      <c r="E3089" t="str">
        <f>IFERROR(VLOOKUP(tbEscolas[[#This Row],[COD ETPA]],tbEtapas[],3,FALSE),"")</f>
        <v/>
      </c>
    </row>
    <row r="3090" spans="1:5" x14ac:dyDescent="0.25">
      <c r="A3090" t="str" cm="1">
        <f t="array" ref="A3090">IFERROR(INDEX(tbNucleo[ESCOLA],ROUNDUP(ROW(A3089)/TotalEtapas,0)),"")</f>
        <v/>
      </c>
      <c r="D3090" t="str">
        <f>IFERROR(VLOOKUP(tbEscolas[[#This Row],[COD ETPA]],tbEtapas[],2,FALSE),"")</f>
        <v/>
      </c>
      <c r="E3090" t="str">
        <f>IFERROR(VLOOKUP(tbEscolas[[#This Row],[COD ETPA]],tbEtapas[],3,FALSE),"")</f>
        <v/>
      </c>
    </row>
    <row r="3091" spans="1:5" x14ac:dyDescent="0.25">
      <c r="A3091" t="str" cm="1">
        <f t="array" ref="A3091">IFERROR(INDEX(tbNucleo[ESCOLA],ROUNDUP(ROW(A3090)/TotalEtapas,0)),"")</f>
        <v/>
      </c>
      <c r="D3091" t="str">
        <f>IFERROR(VLOOKUP(tbEscolas[[#This Row],[COD ETPA]],tbEtapas[],2,FALSE),"")</f>
        <v/>
      </c>
      <c r="E3091" t="str">
        <f>IFERROR(VLOOKUP(tbEscolas[[#This Row],[COD ETPA]],tbEtapas[],3,FALSE),"")</f>
        <v/>
      </c>
    </row>
    <row r="3092" spans="1:5" x14ac:dyDescent="0.25">
      <c r="A3092" t="str" cm="1">
        <f t="array" ref="A3092">IFERROR(INDEX(tbNucleo[ESCOLA],ROUNDUP(ROW(A3091)/TotalEtapas,0)),"")</f>
        <v/>
      </c>
      <c r="D3092" t="str">
        <f>IFERROR(VLOOKUP(tbEscolas[[#This Row],[COD ETPA]],tbEtapas[],2,FALSE),"")</f>
        <v/>
      </c>
      <c r="E3092" t="str">
        <f>IFERROR(VLOOKUP(tbEscolas[[#This Row],[COD ETPA]],tbEtapas[],3,FALSE),"")</f>
        <v/>
      </c>
    </row>
    <row r="3093" spans="1:5" x14ac:dyDescent="0.25">
      <c r="A3093" t="str" cm="1">
        <f t="array" ref="A3093">IFERROR(INDEX(tbNucleo[ESCOLA],ROUNDUP(ROW(A3092)/TotalEtapas,0)),"")</f>
        <v/>
      </c>
      <c r="D3093" t="str">
        <f>IFERROR(VLOOKUP(tbEscolas[[#This Row],[COD ETPA]],tbEtapas[],2,FALSE),"")</f>
        <v/>
      </c>
      <c r="E3093" t="str">
        <f>IFERROR(VLOOKUP(tbEscolas[[#This Row],[COD ETPA]],tbEtapas[],3,FALSE),"")</f>
        <v/>
      </c>
    </row>
    <row r="3094" spans="1:5" x14ac:dyDescent="0.25">
      <c r="A3094" t="str" cm="1">
        <f t="array" ref="A3094">IFERROR(INDEX(tbNucleo[ESCOLA],ROUNDUP(ROW(A3093)/TotalEtapas,0)),"")</f>
        <v/>
      </c>
      <c r="D3094" t="str">
        <f>IFERROR(VLOOKUP(tbEscolas[[#This Row],[COD ETPA]],tbEtapas[],2,FALSE),"")</f>
        <v/>
      </c>
      <c r="E3094" t="str">
        <f>IFERROR(VLOOKUP(tbEscolas[[#This Row],[COD ETPA]],tbEtapas[],3,FALSE),"")</f>
        <v/>
      </c>
    </row>
    <row r="3095" spans="1:5" x14ac:dyDescent="0.25">
      <c r="A3095" t="str" cm="1">
        <f t="array" ref="A3095">IFERROR(INDEX(tbNucleo[ESCOLA],ROUNDUP(ROW(A3094)/TotalEtapas,0)),"")</f>
        <v/>
      </c>
      <c r="D3095" t="str">
        <f>IFERROR(VLOOKUP(tbEscolas[[#This Row],[COD ETPA]],tbEtapas[],2,FALSE),"")</f>
        <v/>
      </c>
      <c r="E3095" t="str">
        <f>IFERROR(VLOOKUP(tbEscolas[[#This Row],[COD ETPA]],tbEtapas[],3,FALSE),"")</f>
        <v/>
      </c>
    </row>
    <row r="3096" spans="1:5" x14ac:dyDescent="0.25">
      <c r="A3096" t="str" cm="1">
        <f t="array" ref="A3096">IFERROR(INDEX(tbNucleo[ESCOLA],ROUNDUP(ROW(A3095)/TotalEtapas,0)),"")</f>
        <v/>
      </c>
      <c r="D3096" t="str">
        <f>IFERROR(VLOOKUP(tbEscolas[[#This Row],[COD ETPA]],tbEtapas[],2,FALSE),"")</f>
        <v/>
      </c>
      <c r="E3096" t="str">
        <f>IFERROR(VLOOKUP(tbEscolas[[#This Row],[COD ETPA]],tbEtapas[],3,FALSE),"")</f>
        <v/>
      </c>
    </row>
    <row r="3097" spans="1:5" x14ac:dyDescent="0.25">
      <c r="A3097" t="str" cm="1">
        <f t="array" ref="A3097">IFERROR(INDEX(tbNucleo[ESCOLA],ROUNDUP(ROW(A3096)/TotalEtapas,0)),"")</f>
        <v/>
      </c>
      <c r="D3097" t="str">
        <f>IFERROR(VLOOKUP(tbEscolas[[#This Row],[COD ETPA]],tbEtapas[],2,FALSE),"")</f>
        <v/>
      </c>
      <c r="E3097" t="str">
        <f>IFERROR(VLOOKUP(tbEscolas[[#This Row],[COD ETPA]],tbEtapas[],3,FALSE),"")</f>
        <v/>
      </c>
    </row>
    <row r="3098" spans="1:5" x14ac:dyDescent="0.25">
      <c r="A3098" t="str" cm="1">
        <f t="array" ref="A3098">IFERROR(INDEX(tbNucleo[ESCOLA],ROUNDUP(ROW(A3097)/TotalEtapas,0)),"")</f>
        <v/>
      </c>
      <c r="D3098" t="str">
        <f>IFERROR(VLOOKUP(tbEscolas[[#This Row],[COD ETPA]],tbEtapas[],2,FALSE),"")</f>
        <v/>
      </c>
      <c r="E3098" t="str">
        <f>IFERROR(VLOOKUP(tbEscolas[[#This Row],[COD ETPA]],tbEtapas[],3,FALSE),"")</f>
        <v/>
      </c>
    </row>
    <row r="3099" spans="1:5" x14ac:dyDescent="0.25">
      <c r="A3099" t="str" cm="1">
        <f t="array" ref="A3099">IFERROR(INDEX(tbNucleo[ESCOLA],ROUNDUP(ROW(A3098)/TotalEtapas,0)),"")</f>
        <v/>
      </c>
      <c r="D3099" t="str">
        <f>IFERROR(VLOOKUP(tbEscolas[[#This Row],[COD ETPA]],tbEtapas[],2,FALSE),"")</f>
        <v/>
      </c>
      <c r="E3099" t="str">
        <f>IFERROR(VLOOKUP(tbEscolas[[#This Row],[COD ETPA]],tbEtapas[],3,FALSE),"")</f>
        <v/>
      </c>
    </row>
    <row r="3100" spans="1:5" x14ac:dyDescent="0.25">
      <c r="A3100" t="str" cm="1">
        <f t="array" ref="A3100">IFERROR(INDEX(tbNucleo[ESCOLA],ROUNDUP(ROW(A3099)/TotalEtapas,0)),"")</f>
        <v/>
      </c>
      <c r="D3100" t="str">
        <f>IFERROR(VLOOKUP(tbEscolas[[#This Row],[COD ETPA]],tbEtapas[],2,FALSE),"")</f>
        <v/>
      </c>
      <c r="E3100" t="str">
        <f>IFERROR(VLOOKUP(tbEscolas[[#This Row],[COD ETPA]],tbEtapas[],3,FALSE),"")</f>
        <v/>
      </c>
    </row>
    <row r="3101" spans="1:5" x14ac:dyDescent="0.25">
      <c r="A3101" t="str" cm="1">
        <f t="array" ref="A3101">IFERROR(INDEX(tbNucleo[ESCOLA],ROUNDUP(ROW(A3100)/TotalEtapas,0)),"")</f>
        <v/>
      </c>
      <c r="D3101" t="str">
        <f>IFERROR(VLOOKUP(tbEscolas[[#This Row],[COD ETPA]],tbEtapas[],2,FALSE),"")</f>
        <v/>
      </c>
      <c r="E3101" t="str">
        <f>IFERROR(VLOOKUP(tbEscolas[[#This Row],[COD ETPA]],tbEtapas[],3,FALSE),"")</f>
        <v/>
      </c>
    </row>
    <row r="3102" spans="1:5" x14ac:dyDescent="0.25">
      <c r="A3102" t="str" cm="1">
        <f t="array" ref="A3102">IFERROR(INDEX(tbNucleo[ESCOLA],ROUNDUP(ROW(A3101)/TotalEtapas,0)),"")</f>
        <v/>
      </c>
      <c r="D3102" t="str">
        <f>IFERROR(VLOOKUP(tbEscolas[[#This Row],[COD ETPA]],tbEtapas[],2,FALSE),"")</f>
        <v/>
      </c>
      <c r="E3102" t="str">
        <f>IFERROR(VLOOKUP(tbEscolas[[#This Row],[COD ETPA]],tbEtapas[],3,FALSE),"")</f>
        <v/>
      </c>
    </row>
    <row r="3103" spans="1:5" x14ac:dyDescent="0.25">
      <c r="A3103" t="str" cm="1">
        <f t="array" ref="A3103">IFERROR(INDEX(tbNucleo[ESCOLA],ROUNDUP(ROW(A3102)/TotalEtapas,0)),"")</f>
        <v/>
      </c>
      <c r="D3103" t="str">
        <f>IFERROR(VLOOKUP(tbEscolas[[#This Row],[COD ETPA]],tbEtapas[],2,FALSE),"")</f>
        <v/>
      </c>
      <c r="E3103" t="str">
        <f>IFERROR(VLOOKUP(tbEscolas[[#This Row],[COD ETPA]],tbEtapas[],3,FALSE),"")</f>
        <v/>
      </c>
    </row>
    <row r="3104" spans="1:5" x14ac:dyDescent="0.25">
      <c r="A3104" t="str" cm="1">
        <f t="array" ref="A3104">IFERROR(INDEX(tbNucleo[ESCOLA],ROUNDUP(ROW(A3103)/TotalEtapas,0)),"")</f>
        <v/>
      </c>
      <c r="D3104" t="str">
        <f>IFERROR(VLOOKUP(tbEscolas[[#This Row],[COD ETPA]],tbEtapas[],2,FALSE),"")</f>
        <v/>
      </c>
      <c r="E3104" t="str">
        <f>IFERROR(VLOOKUP(tbEscolas[[#This Row],[COD ETPA]],tbEtapas[],3,FALSE),"")</f>
        <v/>
      </c>
    </row>
    <row r="3105" spans="1:5" x14ac:dyDescent="0.25">
      <c r="A3105" t="str" cm="1">
        <f t="array" ref="A3105">IFERROR(INDEX(tbNucleo[ESCOLA],ROUNDUP(ROW(A3104)/TotalEtapas,0)),"")</f>
        <v/>
      </c>
      <c r="D3105" t="str">
        <f>IFERROR(VLOOKUP(tbEscolas[[#This Row],[COD ETPA]],tbEtapas[],2,FALSE),"")</f>
        <v/>
      </c>
      <c r="E3105" t="str">
        <f>IFERROR(VLOOKUP(tbEscolas[[#This Row],[COD ETPA]],tbEtapas[],3,FALSE),"")</f>
        <v/>
      </c>
    </row>
    <row r="3106" spans="1:5" x14ac:dyDescent="0.25">
      <c r="A3106" t="str" cm="1">
        <f t="array" ref="A3106">IFERROR(INDEX(tbNucleo[ESCOLA],ROUNDUP(ROW(A3105)/TotalEtapas,0)),"")</f>
        <v/>
      </c>
      <c r="D3106" t="str">
        <f>IFERROR(VLOOKUP(tbEscolas[[#This Row],[COD ETPA]],tbEtapas[],2,FALSE),"")</f>
        <v/>
      </c>
      <c r="E3106" t="str">
        <f>IFERROR(VLOOKUP(tbEscolas[[#This Row],[COD ETPA]],tbEtapas[],3,FALSE),"")</f>
        <v/>
      </c>
    </row>
    <row r="3107" spans="1:5" x14ac:dyDescent="0.25">
      <c r="A3107" t="str" cm="1">
        <f t="array" ref="A3107">IFERROR(INDEX(tbNucleo[ESCOLA],ROUNDUP(ROW(A3106)/TotalEtapas,0)),"")</f>
        <v/>
      </c>
      <c r="D3107" t="str">
        <f>IFERROR(VLOOKUP(tbEscolas[[#This Row],[COD ETPA]],tbEtapas[],2,FALSE),"")</f>
        <v/>
      </c>
      <c r="E3107" t="str">
        <f>IFERROR(VLOOKUP(tbEscolas[[#This Row],[COD ETPA]],tbEtapas[],3,FALSE),"")</f>
        <v/>
      </c>
    </row>
    <row r="3108" spans="1:5" x14ac:dyDescent="0.25">
      <c r="A3108" t="str" cm="1">
        <f t="array" ref="A3108">IFERROR(INDEX(tbNucleo[ESCOLA],ROUNDUP(ROW(A3107)/TotalEtapas,0)),"")</f>
        <v/>
      </c>
      <c r="D3108" t="str">
        <f>IFERROR(VLOOKUP(tbEscolas[[#This Row],[COD ETPA]],tbEtapas[],2,FALSE),"")</f>
        <v/>
      </c>
      <c r="E3108" t="str">
        <f>IFERROR(VLOOKUP(tbEscolas[[#This Row],[COD ETPA]],tbEtapas[],3,FALSE),"")</f>
        <v/>
      </c>
    </row>
    <row r="3109" spans="1:5" x14ac:dyDescent="0.25">
      <c r="A3109" t="str" cm="1">
        <f t="array" ref="A3109">IFERROR(INDEX(tbNucleo[ESCOLA],ROUNDUP(ROW(A3108)/TotalEtapas,0)),"")</f>
        <v/>
      </c>
      <c r="D3109" t="str">
        <f>IFERROR(VLOOKUP(tbEscolas[[#This Row],[COD ETPA]],tbEtapas[],2,FALSE),"")</f>
        <v/>
      </c>
      <c r="E3109" t="str">
        <f>IFERROR(VLOOKUP(tbEscolas[[#This Row],[COD ETPA]],tbEtapas[],3,FALSE),"")</f>
        <v/>
      </c>
    </row>
    <row r="3110" spans="1:5" x14ac:dyDescent="0.25">
      <c r="A3110" t="str" cm="1">
        <f t="array" ref="A3110">IFERROR(INDEX(tbNucleo[ESCOLA],ROUNDUP(ROW(A3109)/TotalEtapas,0)),"")</f>
        <v/>
      </c>
      <c r="D3110" t="str">
        <f>IFERROR(VLOOKUP(tbEscolas[[#This Row],[COD ETPA]],tbEtapas[],2,FALSE),"")</f>
        <v/>
      </c>
      <c r="E3110" t="str">
        <f>IFERROR(VLOOKUP(tbEscolas[[#This Row],[COD ETPA]],tbEtapas[],3,FALSE),"")</f>
        <v/>
      </c>
    </row>
    <row r="3111" spans="1:5" x14ac:dyDescent="0.25">
      <c r="A3111" t="str" cm="1">
        <f t="array" ref="A3111">IFERROR(INDEX(tbNucleo[ESCOLA],ROUNDUP(ROW(A3110)/TotalEtapas,0)),"")</f>
        <v/>
      </c>
      <c r="D3111" t="str">
        <f>IFERROR(VLOOKUP(tbEscolas[[#This Row],[COD ETPA]],tbEtapas[],2,FALSE),"")</f>
        <v/>
      </c>
      <c r="E3111" t="str">
        <f>IFERROR(VLOOKUP(tbEscolas[[#This Row],[COD ETPA]],tbEtapas[],3,FALSE),"")</f>
        <v/>
      </c>
    </row>
    <row r="3112" spans="1:5" x14ac:dyDescent="0.25">
      <c r="A3112" t="str" cm="1">
        <f t="array" ref="A3112">IFERROR(INDEX(tbNucleo[ESCOLA],ROUNDUP(ROW(A3111)/TotalEtapas,0)),"")</f>
        <v/>
      </c>
      <c r="D3112" t="str">
        <f>IFERROR(VLOOKUP(tbEscolas[[#This Row],[COD ETPA]],tbEtapas[],2,FALSE),"")</f>
        <v/>
      </c>
      <c r="E3112" t="str">
        <f>IFERROR(VLOOKUP(tbEscolas[[#This Row],[COD ETPA]],tbEtapas[],3,FALSE),"")</f>
        <v/>
      </c>
    </row>
    <row r="3113" spans="1:5" x14ac:dyDescent="0.25">
      <c r="A3113" t="str" cm="1">
        <f t="array" ref="A3113">IFERROR(INDEX(tbNucleo[ESCOLA],ROUNDUP(ROW(A3112)/TotalEtapas,0)),"")</f>
        <v/>
      </c>
      <c r="D3113" t="str">
        <f>IFERROR(VLOOKUP(tbEscolas[[#This Row],[COD ETPA]],tbEtapas[],2,FALSE),"")</f>
        <v/>
      </c>
      <c r="E3113" t="str">
        <f>IFERROR(VLOOKUP(tbEscolas[[#This Row],[COD ETPA]],tbEtapas[],3,FALSE),"")</f>
        <v/>
      </c>
    </row>
    <row r="3114" spans="1:5" x14ac:dyDescent="0.25">
      <c r="A3114" t="str" cm="1">
        <f t="array" ref="A3114">IFERROR(INDEX(tbNucleo[ESCOLA],ROUNDUP(ROW(A3113)/TotalEtapas,0)),"")</f>
        <v/>
      </c>
      <c r="D3114" t="str">
        <f>IFERROR(VLOOKUP(tbEscolas[[#This Row],[COD ETPA]],tbEtapas[],2,FALSE),"")</f>
        <v/>
      </c>
      <c r="E3114" t="str">
        <f>IFERROR(VLOOKUP(tbEscolas[[#This Row],[COD ETPA]],tbEtapas[],3,FALSE),"")</f>
        <v/>
      </c>
    </row>
    <row r="3115" spans="1:5" x14ac:dyDescent="0.25">
      <c r="A3115" t="str" cm="1">
        <f t="array" ref="A3115">IFERROR(INDEX(tbNucleo[ESCOLA],ROUNDUP(ROW(A3114)/TotalEtapas,0)),"")</f>
        <v/>
      </c>
      <c r="D3115" t="str">
        <f>IFERROR(VLOOKUP(tbEscolas[[#This Row],[COD ETPA]],tbEtapas[],2,FALSE),"")</f>
        <v/>
      </c>
      <c r="E3115" t="str">
        <f>IFERROR(VLOOKUP(tbEscolas[[#This Row],[COD ETPA]],tbEtapas[],3,FALSE),"")</f>
        <v/>
      </c>
    </row>
    <row r="3116" spans="1:5" x14ac:dyDescent="0.25">
      <c r="A3116" t="str" cm="1">
        <f t="array" ref="A3116">IFERROR(INDEX(tbNucleo[ESCOLA],ROUNDUP(ROW(A3115)/TotalEtapas,0)),"")</f>
        <v/>
      </c>
      <c r="D3116" t="str">
        <f>IFERROR(VLOOKUP(tbEscolas[[#This Row],[COD ETPA]],tbEtapas[],2,FALSE),"")</f>
        <v/>
      </c>
      <c r="E3116" t="str">
        <f>IFERROR(VLOOKUP(tbEscolas[[#This Row],[COD ETPA]],tbEtapas[],3,FALSE),"")</f>
        <v/>
      </c>
    </row>
    <row r="3117" spans="1:5" x14ac:dyDescent="0.25">
      <c r="A3117" t="str" cm="1">
        <f t="array" ref="A3117">IFERROR(INDEX(tbNucleo[ESCOLA],ROUNDUP(ROW(A3116)/TotalEtapas,0)),"")</f>
        <v/>
      </c>
      <c r="D3117" t="str">
        <f>IFERROR(VLOOKUP(tbEscolas[[#This Row],[COD ETPA]],tbEtapas[],2,FALSE),"")</f>
        <v/>
      </c>
      <c r="E3117" t="str">
        <f>IFERROR(VLOOKUP(tbEscolas[[#This Row],[COD ETPA]],tbEtapas[],3,FALSE),"")</f>
        <v/>
      </c>
    </row>
    <row r="3118" spans="1:5" x14ac:dyDescent="0.25">
      <c r="A3118" t="str" cm="1">
        <f t="array" ref="A3118">IFERROR(INDEX(tbNucleo[ESCOLA],ROUNDUP(ROW(A3117)/TotalEtapas,0)),"")</f>
        <v/>
      </c>
      <c r="D3118" t="str">
        <f>IFERROR(VLOOKUP(tbEscolas[[#This Row],[COD ETPA]],tbEtapas[],2,FALSE),"")</f>
        <v/>
      </c>
      <c r="E3118" t="str">
        <f>IFERROR(VLOOKUP(tbEscolas[[#This Row],[COD ETPA]],tbEtapas[],3,FALSE),"")</f>
        <v/>
      </c>
    </row>
    <row r="3119" spans="1:5" x14ac:dyDescent="0.25">
      <c r="A3119" t="str" cm="1">
        <f t="array" ref="A3119">IFERROR(INDEX(tbNucleo[ESCOLA],ROUNDUP(ROW(A3118)/TotalEtapas,0)),"")</f>
        <v/>
      </c>
      <c r="D3119" t="str">
        <f>IFERROR(VLOOKUP(tbEscolas[[#This Row],[COD ETPA]],tbEtapas[],2,FALSE),"")</f>
        <v/>
      </c>
      <c r="E3119" t="str">
        <f>IFERROR(VLOOKUP(tbEscolas[[#This Row],[COD ETPA]],tbEtapas[],3,FALSE),"")</f>
        <v/>
      </c>
    </row>
    <row r="3120" spans="1:5" x14ac:dyDescent="0.25">
      <c r="A3120" t="str" cm="1">
        <f t="array" ref="A3120">IFERROR(INDEX(tbNucleo[ESCOLA],ROUNDUP(ROW(A3119)/TotalEtapas,0)),"")</f>
        <v/>
      </c>
      <c r="D3120" t="str">
        <f>IFERROR(VLOOKUP(tbEscolas[[#This Row],[COD ETPA]],tbEtapas[],2,FALSE),"")</f>
        <v/>
      </c>
      <c r="E3120" t="str">
        <f>IFERROR(VLOOKUP(tbEscolas[[#This Row],[COD ETPA]],tbEtapas[],3,FALSE),"")</f>
        <v/>
      </c>
    </row>
    <row r="3121" spans="1:5" x14ac:dyDescent="0.25">
      <c r="A3121" t="str" cm="1">
        <f t="array" ref="A3121">IFERROR(INDEX(tbNucleo[ESCOLA],ROUNDUP(ROW(A3120)/TotalEtapas,0)),"")</f>
        <v/>
      </c>
      <c r="D3121" t="str">
        <f>IFERROR(VLOOKUP(tbEscolas[[#This Row],[COD ETPA]],tbEtapas[],2,FALSE),"")</f>
        <v/>
      </c>
      <c r="E3121" t="str">
        <f>IFERROR(VLOOKUP(tbEscolas[[#This Row],[COD ETPA]],tbEtapas[],3,FALSE),"")</f>
        <v/>
      </c>
    </row>
    <row r="3122" spans="1:5" x14ac:dyDescent="0.25">
      <c r="A3122" t="str" cm="1">
        <f t="array" ref="A3122">IFERROR(INDEX(tbNucleo[ESCOLA],ROUNDUP(ROW(A3121)/TotalEtapas,0)),"")</f>
        <v/>
      </c>
      <c r="D3122" t="str">
        <f>IFERROR(VLOOKUP(tbEscolas[[#This Row],[COD ETPA]],tbEtapas[],2,FALSE),"")</f>
        <v/>
      </c>
      <c r="E3122" t="str">
        <f>IFERROR(VLOOKUP(tbEscolas[[#This Row],[COD ETPA]],tbEtapas[],3,FALSE),"")</f>
        <v/>
      </c>
    </row>
    <row r="3123" spans="1:5" x14ac:dyDescent="0.25">
      <c r="A3123" t="str" cm="1">
        <f t="array" ref="A3123">IFERROR(INDEX(tbNucleo[ESCOLA],ROUNDUP(ROW(A3122)/TotalEtapas,0)),"")</f>
        <v/>
      </c>
      <c r="D3123" t="str">
        <f>IFERROR(VLOOKUP(tbEscolas[[#This Row],[COD ETPA]],tbEtapas[],2,FALSE),"")</f>
        <v/>
      </c>
      <c r="E3123" t="str">
        <f>IFERROR(VLOOKUP(tbEscolas[[#This Row],[COD ETPA]],tbEtapas[],3,FALSE),"")</f>
        <v/>
      </c>
    </row>
    <row r="3124" spans="1:5" x14ac:dyDescent="0.25">
      <c r="A3124" t="str" cm="1">
        <f t="array" ref="A3124">IFERROR(INDEX(tbNucleo[ESCOLA],ROUNDUP(ROW(A3123)/TotalEtapas,0)),"")</f>
        <v/>
      </c>
      <c r="D3124" t="str">
        <f>IFERROR(VLOOKUP(tbEscolas[[#This Row],[COD ETPA]],tbEtapas[],2,FALSE),"")</f>
        <v/>
      </c>
      <c r="E3124" t="str">
        <f>IFERROR(VLOOKUP(tbEscolas[[#This Row],[COD ETPA]],tbEtapas[],3,FALSE),"")</f>
        <v/>
      </c>
    </row>
    <row r="3125" spans="1:5" x14ac:dyDescent="0.25">
      <c r="A3125" t="str" cm="1">
        <f t="array" ref="A3125">IFERROR(INDEX(tbNucleo[ESCOLA],ROUNDUP(ROW(A3124)/TotalEtapas,0)),"")</f>
        <v/>
      </c>
      <c r="D3125" t="str">
        <f>IFERROR(VLOOKUP(tbEscolas[[#This Row],[COD ETPA]],tbEtapas[],2,FALSE),"")</f>
        <v/>
      </c>
      <c r="E3125" t="str">
        <f>IFERROR(VLOOKUP(tbEscolas[[#This Row],[COD ETPA]],tbEtapas[],3,FALSE),"")</f>
        <v/>
      </c>
    </row>
    <row r="3126" spans="1:5" x14ac:dyDescent="0.25">
      <c r="A3126" t="str" cm="1">
        <f t="array" ref="A3126">IFERROR(INDEX(tbNucleo[ESCOLA],ROUNDUP(ROW(A3125)/TotalEtapas,0)),"")</f>
        <v/>
      </c>
      <c r="D3126" t="str">
        <f>IFERROR(VLOOKUP(tbEscolas[[#This Row],[COD ETPA]],tbEtapas[],2,FALSE),"")</f>
        <v/>
      </c>
      <c r="E3126" t="str">
        <f>IFERROR(VLOOKUP(tbEscolas[[#This Row],[COD ETPA]],tbEtapas[],3,FALSE),"")</f>
        <v/>
      </c>
    </row>
    <row r="3127" spans="1:5" x14ac:dyDescent="0.25">
      <c r="A3127" t="str" cm="1">
        <f t="array" ref="A3127">IFERROR(INDEX(tbNucleo[ESCOLA],ROUNDUP(ROW(A3126)/TotalEtapas,0)),"")</f>
        <v/>
      </c>
      <c r="D3127" t="str">
        <f>IFERROR(VLOOKUP(tbEscolas[[#This Row],[COD ETPA]],tbEtapas[],2,FALSE),"")</f>
        <v/>
      </c>
      <c r="E3127" t="str">
        <f>IFERROR(VLOOKUP(tbEscolas[[#This Row],[COD ETPA]],tbEtapas[],3,FALSE),"")</f>
        <v/>
      </c>
    </row>
    <row r="3128" spans="1:5" x14ac:dyDescent="0.25">
      <c r="A3128" t="str" cm="1">
        <f t="array" ref="A3128">IFERROR(INDEX(tbNucleo[ESCOLA],ROUNDUP(ROW(A3127)/TotalEtapas,0)),"")</f>
        <v/>
      </c>
      <c r="D3128" t="str">
        <f>IFERROR(VLOOKUP(tbEscolas[[#This Row],[COD ETPA]],tbEtapas[],2,FALSE),"")</f>
        <v/>
      </c>
      <c r="E3128" t="str">
        <f>IFERROR(VLOOKUP(tbEscolas[[#This Row],[COD ETPA]],tbEtapas[],3,FALSE),"")</f>
        <v/>
      </c>
    </row>
    <row r="3129" spans="1:5" x14ac:dyDescent="0.25">
      <c r="A3129" t="str" cm="1">
        <f t="array" ref="A3129">IFERROR(INDEX(tbNucleo[ESCOLA],ROUNDUP(ROW(A3128)/TotalEtapas,0)),"")</f>
        <v/>
      </c>
      <c r="D3129" t="str">
        <f>IFERROR(VLOOKUP(tbEscolas[[#This Row],[COD ETPA]],tbEtapas[],2,FALSE),"")</f>
        <v/>
      </c>
      <c r="E3129" t="str">
        <f>IFERROR(VLOOKUP(tbEscolas[[#This Row],[COD ETPA]],tbEtapas[],3,FALSE),"")</f>
        <v/>
      </c>
    </row>
    <row r="3130" spans="1:5" x14ac:dyDescent="0.25">
      <c r="A3130" t="str" cm="1">
        <f t="array" ref="A3130">IFERROR(INDEX(tbNucleo[ESCOLA],ROUNDUP(ROW(A3129)/TotalEtapas,0)),"")</f>
        <v/>
      </c>
      <c r="D3130" t="str">
        <f>IFERROR(VLOOKUP(tbEscolas[[#This Row],[COD ETPA]],tbEtapas[],2,FALSE),"")</f>
        <v/>
      </c>
      <c r="E3130" t="str">
        <f>IFERROR(VLOOKUP(tbEscolas[[#This Row],[COD ETPA]],tbEtapas[],3,FALSE),"")</f>
        <v/>
      </c>
    </row>
    <row r="3131" spans="1:5" x14ac:dyDescent="0.25">
      <c r="A3131" t="str" cm="1">
        <f t="array" ref="A3131">IFERROR(INDEX(tbNucleo[ESCOLA],ROUNDUP(ROW(A3130)/TotalEtapas,0)),"")</f>
        <v/>
      </c>
      <c r="D3131" t="str">
        <f>IFERROR(VLOOKUP(tbEscolas[[#This Row],[COD ETPA]],tbEtapas[],2,FALSE),"")</f>
        <v/>
      </c>
      <c r="E3131" t="str">
        <f>IFERROR(VLOOKUP(tbEscolas[[#This Row],[COD ETPA]],tbEtapas[],3,FALSE),"")</f>
        <v/>
      </c>
    </row>
    <row r="3132" spans="1:5" x14ac:dyDescent="0.25">
      <c r="A3132" t="str" cm="1">
        <f t="array" ref="A3132">IFERROR(INDEX(tbNucleo[ESCOLA],ROUNDUP(ROW(A3131)/TotalEtapas,0)),"")</f>
        <v/>
      </c>
      <c r="D3132" t="str">
        <f>IFERROR(VLOOKUP(tbEscolas[[#This Row],[COD ETPA]],tbEtapas[],2,FALSE),"")</f>
        <v/>
      </c>
      <c r="E3132" t="str">
        <f>IFERROR(VLOOKUP(tbEscolas[[#This Row],[COD ETPA]],tbEtapas[],3,FALSE),"")</f>
        <v/>
      </c>
    </row>
    <row r="3133" spans="1:5" x14ac:dyDescent="0.25">
      <c r="A3133" t="str" cm="1">
        <f t="array" ref="A3133">IFERROR(INDEX(tbNucleo[ESCOLA],ROUNDUP(ROW(A3132)/TotalEtapas,0)),"")</f>
        <v/>
      </c>
      <c r="D3133" t="str">
        <f>IFERROR(VLOOKUP(tbEscolas[[#This Row],[COD ETPA]],tbEtapas[],2,FALSE),"")</f>
        <v/>
      </c>
      <c r="E3133" t="str">
        <f>IFERROR(VLOOKUP(tbEscolas[[#This Row],[COD ETPA]],tbEtapas[],3,FALSE),"")</f>
        <v/>
      </c>
    </row>
    <row r="3134" spans="1:5" x14ac:dyDescent="0.25">
      <c r="A3134" t="str" cm="1">
        <f t="array" ref="A3134">IFERROR(INDEX(tbNucleo[ESCOLA],ROUNDUP(ROW(A3133)/TotalEtapas,0)),"")</f>
        <v/>
      </c>
      <c r="D3134" t="str">
        <f>IFERROR(VLOOKUP(tbEscolas[[#This Row],[COD ETPA]],tbEtapas[],2,FALSE),"")</f>
        <v/>
      </c>
      <c r="E3134" t="str">
        <f>IFERROR(VLOOKUP(tbEscolas[[#This Row],[COD ETPA]],tbEtapas[],3,FALSE),"")</f>
        <v/>
      </c>
    </row>
    <row r="3135" spans="1:5" x14ac:dyDescent="0.25">
      <c r="A3135" t="str" cm="1">
        <f t="array" ref="A3135">IFERROR(INDEX(tbNucleo[ESCOLA],ROUNDUP(ROW(A3134)/TotalEtapas,0)),"")</f>
        <v/>
      </c>
      <c r="D3135" t="str">
        <f>IFERROR(VLOOKUP(tbEscolas[[#This Row],[COD ETPA]],tbEtapas[],2,FALSE),"")</f>
        <v/>
      </c>
      <c r="E3135" t="str">
        <f>IFERROR(VLOOKUP(tbEscolas[[#This Row],[COD ETPA]],tbEtapas[],3,FALSE),"")</f>
        <v/>
      </c>
    </row>
    <row r="3136" spans="1:5" x14ac:dyDescent="0.25">
      <c r="A3136" t="str" cm="1">
        <f t="array" ref="A3136">IFERROR(INDEX(tbNucleo[ESCOLA],ROUNDUP(ROW(A3135)/TotalEtapas,0)),"")</f>
        <v/>
      </c>
      <c r="D3136" t="str">
        <f>IFERROR(VLOOKUP(tbEscolas[[#This Row],[COD ETPA]],tbEtapas[],2,FALSE),"")</f>
        <v/>
      </c>
      <c r="E3136" t="str">
        <f>IFERROR(VLOOKUP(tbEscolas[[#This Row],[COD ETPA]],tbEtapas[],3,FALSE),"")</f>
        <v/>
      </c>
    </row>
    <row r="3137" spans="1:5" x14ac:dyDescent="0.25">
      <c r="A3137" t="str" cm="1">
        <f t="array" ref="A3137">IFERROR(INDEX(tbNucleo[ESCOLA],ROUNDUP(ROW(A3136)/TotalEtapas,0)),"")</f>
        <v/>
      </c>
      <c r="D3137" t="str">
        <f>IFERROR(VLOOKUP(tbEscolas[[#This Row],[COD ETPA]],tbEtapas[],2,FALSE),"")</f>
        <v/>
      </c>
      <c r="E3137" t="str">
        <f>IFERROR(VLOOKUP(tbEscolas[[#This Row],[COD ETPA]],tbEtapas[],3,FALSE),"")</f>
        <v/>
      </c>
    </row>
    <row r="3138" spans="1:5" x14ac:dyDescent="0.25">
      <c r="A3138" t="str" cm="1">
        <f t="array" ref="A3138">IFERROR(INDEX(tbNucleo[ESCOLA],ROUNDUP(ROW(A3137)/TotalEtapas,0)),"")</f>
        <v/>
      </c>
      <c r="D3138" t="str">
        <f>IFERROR(VLOOKUP(tbEscolas[[#This Row],[COD ETPA]],tbEtapas[],2,FALSE),"")</f>
        <v/>
      </c>
      <c r="E3138" t="str">
        <f>IFERROR(VLOOKUP(tbEscolas[[#This Row],[COD ETPA]],tbEtapas[],3,FALSE),"")</f>
        <v/>
      </c>
    </row>
    <row r="3139" spans="1:5" x14ac:dyDescent="0.25">
      <c r="A3139" t="str" cm="1">
        <f t="array" ref="A3139">IFERROR(INDEX(tbNucleo[ESCOLA],ROUNDUP(ROW(A3138)/TotalEtapas,0)),"")</f>
        <v/>
      </c>
      <c r="D3139" t="str">
        <f>IFERROR(VLOOKUP(tbEscolas[[#This Row],[COD ETPA]],tbEtapas[],2,FALSE),"")</f>
        <v/>
      </c>
      <c r="E3139" t="str">
        <f>IFERROR(VLOOKUP(tbEscolas[[#This Row],[COD ETPA]],tbEtapas[],3,FALSE),"")</f>
        <v/>
      </c>
    </row>
    <row r="3140" spans="1:5" x14ac:dyDescent="0.25">
      <c r="A3140" t="str" cm="1">
        <f t="array" ref="A3140">IFERROR(INDEX(tbNucleo[ESCOLA],ROUNDUP(ROW(A3139)/TotalEtapas,0)),"")</f>
        <v/>
      </c>
      <c r="D3140" t="str">
        <f>IFERROR(VLOOKUP(tbEscolas[[#This Row],[COD ETPA]],tbEtapas[],2,FALSE),"")</f>
        <v/>
      </c>
      <c r="E3140" t="str">
        <f>IFERROR(VLOOKUP(tbEscolas[[#This Row],[COD ETPA]],tbEtapas[],3,FALSE),"")</f>
        <v/>
      </c>
    </row>
    <row r="3141" spans="1:5" x14ac:dyDescent="0.25">
      <c r="A3141" t="str" cm="1">
        <f t="array" ref="A3141">IFERROR(INDEX(tbNucleo[ESCOLA],ROUNDUP(ROW(A3140)/TotalEtapas,0)),"")</f>
        <v/>
      </c>
      <c r="D3141" t="str">
        <f>IFERROR(VLOOKUP(tbEscolas[[#This Row],[COD ETPA]],tbEtapas[],2,FALSE),"")</f>
        <v/>
      </c>
      <c r="E3141" t="str">
        <f>IFERROR(VLOOKUP(tbEscolas[[#This Row],[COD ETPA]],tbEtapas[],3,FALSE),"")</f>
        <v/>
      </c>
    </row>
    <row r="3142" spans="1:5" x14ac:dyDescent="0.25">
      <c r="A3142" t="str" cm="1">
        <f t="array" ref="A3142">IFERROR(INDEX(tbNucleo[ESCOLA],ROUNDUP(ROW(A3141)/TotalEtapas,0)),"")</f>
        <v/>
      </c>
      <c r="D3142" t="str">
        <f>IFERROR(VLOOKUP(tbEscolas[[#This Row],[COD ETPA]],tbEtapas[],2,FALSE),"")</f>
        <v/>
      </c>
      <c r="E3142" t="str">
        <f>IFERROR(VLOOKUP(tbEscolas[[#This Row],[COD ETPA]],tbEtapas[],3,FALSE),"")</f>
        <v/>
      </c>
    </row>
    <row r="3143" spans="1:5" x14ac:dyDescent="0.25">
      <c r="A3143" t="str" cm="1">
        <f t="array" ref="A3143">IFERROR(INDEX(tbNucleo[ESCOLA],ROUNDUP(ROW(A3142)/TotalEtapas,0)),"")</f>
        <v/>
      </c>
      <c r="D3143" t="str">
        <f>IFERROR(VLOOKUP(tbEscolas[[#This Row],[COD ETPA]],tbEtapas[],2,FALSE),"")</f>
        <v/>
      </c>
      <c r="E3143" t="str">
        <f>IFERROR(VLOOKUP(tbEscolas[[#This Row],[COD ETPA]],tbEtapas[],3,FALSE),"")</f>
        <v/>
      </c>
    </row>
    <row r="3144" spans="1:5" x14ac:dyDescent="0.25">
      <c r="A3144" t="str" cm="1">
        <f t="array" ref="A3144">IFERROR(INDEX(tbNucleo[ESCOLA],ROUNDUP(ROW(A3143)/TotalEtapas,0)),"")</f>
        <v/>
      </c>
      <c r="D3144" t="str">
        <f>IFERROR(VLOOKUP(tbEscolas[[#This Row],[COD ETPA]],tbEtapas[],2,FALSE),"")</f>
        <v/>
      </c>
      <c r="E3144" t="str">
        <f>IFERROR(VLOOKUP(tbEscolas[[#This Row],[COD ETPA]],tbEtapas[],3,FALSE),"")</f>
        <v/>
      </c>
    </row>
    <row r="3145" spans="1:5" x14ac:dyDescent="0.25">
      <c r="A3145" t="str" cm="1">
        <f t="array" ref="A3145">IFERROR(INDEX(tbNucleo[ESCOLA],ROUNDUP(ROW(A3144)/TotalEtapas,0)),"")</f>
        <v/>
      </c>
      <c r="D3145" t="str">
        <f>IFERROR(VLOOKUP(tbEscolas[[#This Row],[COD ETPA]],tbEtapas[],2,FALSE),"")</f>
        <v/>
      </c>
      <c r="E3145" t="str">
        <f>IFERROR(VLOOKUP(tbEscolas[[#This Row],[COD ETPA]],tbEtapas[],3,FALSE),"")</f>
        <v/>
      </c>
    </row>
    <row r="3146" spans="1:5" x14ac:dyDescent="0.25">
      <c r="A3146" t="str" cm="1">
        <f t="array" ref="A3146">IFERROR(INDEX(tbNucleo[ESCOLA],ROUNDUP(ROW(A3145)/TotalEtapas,0)),"")</f>
        <v/>
      </c>
      <c r="D3146" t="str">
        <f>IFERROR(VLOOKUP(tbEscolas[[#This Row],[COD ETPA]],tbEtapas[],2,FALSE),"")</f>
        <v/>
      </c>
      <c r="E3146" t="str">
        <f>IFERROR(VLOOKUP(tbEscolas[[#This Row],[COD ETPA]],tbEtapas[],3,FALSE),"")</f>
        <v/>
      </c>
    </row>
    <row r="3147" spans="1:5" x14ac:dyDescent="0.25">
      <c r="A3147" t="str" cm="1">
        <f t="array" ref="A3147">IFERROR(INDEX(tbNucleo[ESCOLA],ROUNDUP(ROW(A3146)/TotalEtapas,0)),"")</f>
        <v/>
      </c>
      <c r="D3147" t="str">
        <f>IFERROR(VLOOKUP(tbEscolas[[#This Row],[COD ETPA]],tbEtapas[],2,FALSE),"")</f>
        <v/>
      </c>
      <c r="E3147" t="str">
        <f>IFERROR(VLOOKUP(tbEscolas[[#This Row],[COD ETPA]],tbEtapas[],3,FALSE),"")</f>
        <v/>
      </c>
    </row>
    <row r="3148" spans="1:5" x14ac:dyDescent="0.25">
      <c r="A3148" t="str" cm="1">
        <f t="array" ref="A3148">IFERROR(INDEX(tbNucleo[ESCOLA],ROUNDUP(ROW(A3147)/TotalEtapas,0)),"")</f>
        <v/>
      </c>
      <c r="D3148" t="str">
        <f>IFERROR(VLOOKUP(tbEscolas[[#This Row],[COD ETPA]],tbEtapas[],2,FALSE),"")</f>
        <v/>
      </c>
      <c r="E3148" t="str">
        <f>IFERROR(VLOOKUP(tbEscolas[[#This Row],[COD ETPA]],tbEtapas[],3,FALSE),"")</f>
        <v/>
      </c>
    </row>
    <row r="3149" spans="1:5" x14ac:dyDescent="0.25">
      <c r="A3149" t="str" cm="1">
        <f t="array" ref="A3149">IFERROR(INDEX(tbNucleo[ESCOLA],ROUNDUP(ROW(A3148)/TotalEtapas,0)),"")</f>
        <v/>
      </c>
      <c r="D3149" t="str">
        <f>IFERROR(VLOOKUP(tbEscolas[[#This Row],[COD ETPA]],tbEtapas[],2,FALSE),"")</f>
        <v/>
      </c>
      <c r="E3149" t="str">
        <f>IFERROR(VLOOKUP(tbEscolas[[#This Row],[COD ETPA]],tbEtapas[],3,FALSE),"")</f>
        <v/>
      </c>
    </row>
    <row r="3150" spans="1:5" x14ac:dyDescent="0.25">
      <c r="A3150" t="str" cm="1">
        <f t="array" ref="A3150">IFERROR(INDEX(tbNucleo[ESCOLA],ROUNDUP(ROW(A3149)/TotalEtapas,0)),"")</f>
        <v/>
      </c>
      <c r="D3150" t="str">
        <f>IFERROR(VLOOKUP(tbEscolas[[#This Row],[COD ETPA]],tbEtapas[],2,FALSE),"")</f>
        <v/>
      </c>
      <c r="E3150" t="str">
        <f>IFERROR(VLOOKUP(tbEscolas[[#This Row],[COD ETPA]],tbEtapas[],3,FALSE),"")</f>
        <v/>
      </c>
    </row>
    <row r="3151" spans="1:5" x14ac:dyDescent="0.25">
      <c r="A3151" t="str" cm="1">
        <f t="array" ref="A3151">IFERROR(INDEX(tbNucleo[ESCOLA],ROUNDUP(ROW(A3150)/TotalEtapas,0)),"")</f>
        <v/>
      </c>
      <c r="D3151" t="str">
        <f>IFERROR(VLOOKUP(tbEscolas[[#This Row],[COD ETPA]],tbEtapas[],2,FALSE),"")</f>
        <v/>
      </c>
      <c r="E3151" t="str">
        <f>IFERROR(VLOOKUP(tbEscolas[[#This Row],[COD ETPA]],tbEtapas[],3,FALSE),"")</f>
        <v/>
      </c>
    </row>
    <row r="3152" spans="1:5" x14ac:dyDescent="0.25">
      <c r="A3152" t="str" cm="1">
        <f t="array" ref="A3152">IFERROR(INDEX(tbNucleo[ESCOLA],ROUNDUP(ROW(A3151)/TotalEtapas,0)),"")</f>
        <v/>
      </c>
      <c r="D3152" t="str">
        <f>IFERROR(VLOOKUP(tbEscolas[[#This Row],[COD ETPA]],tbEtapas[],2,FALSE),"")</f>
        <v/>
      </c>
      <c r="E3152" t="str">
        <f>IFERROR(VLOOKUP(tbEscolas[[#This Row],[COD ETPA]],tbEtapas[],3,FALSE),"")</f>
        <v/>
      </c>
    </row>
    <row r="3153" spans="1:5" x14ac:dyDescent="0.25">
      <c r="A3153" t="str" cm="1">
        <f t="array" ref="A3153">IFERROR(INDEX(tbNucleo[ESCOLA],ROUNDUP(ROW(A3152)/TotalEtapas,0)),"")</f>
        <v/>
      </c>
      <c r="D3153" t="str">
        <f>IFERROR(VLOOKUP(tbEscolas[[#This Row],[COD ETPA]],tbEtapas[],2,FALSE),"")</f>
        <v/>
      </c>
      <c r="E3153" t="str">
        <f>IFERROR(VLOOKUP(tbEscolas[[#This Row],[COD ETPA]],tbEtapas[],3,FALSE),"")</f>
        <v/>
      </c>
    </row>
    <row r="3154" spans="1:5" x14ac:dyDescent="0.25">
      <c r="A3154" t="str" cm="1">
        <f t="array" ref="A3154">IFERROR(INDEX(tbNucleo[ESCOLA],ROUNDUP(ROW(A3153)/TotalEtapas,0)),"")</f>
        <v/>
      </c>
      <c r="D3154" t="str">
        <f>IFERROR(VLOOKUP(tbEscolas[[#This Row],[COD ETPA]],tbEtapas[],2,FALSE),"")</f>
        <v/>
      </c>
      <c r="E3154" t="str">
        <f>IFERROR(VLOOKUP(tbEscolas[[#This Row],[COD ETPA]],tbEtapas[],3,FALSE),"")</f>
        <v/>
      </c>
    </row>
    <row r="3155" spans="1:5" x14ac:dyDescent="0.25">
      <c r="A3155" t="str" cm="1">
        <f t="array" ref="A3155">IFERROR(INDEX(tbNucleo[ESCOLA],ROUNDUP(ROW(A3154)/TotalEtapas,0)),"")</f>
        <v/>
      </c>
      <c r="D3155" t="str">
        <f>IFERROR(VLOOKUP(tbEscolas[[#This Row],[COD ETPA]],tbEtapas[],2,FALSE),"")</f>
        <v/>
      </c>
      <c r="E3155" t="str">
        <f>IFERROR(VLOOKUP(tbEscolas[[#This Row],[COD ETPA]],tbEtapas[],3,FALSE),"")</f>
        <v/>
      </c>
    </row>
    <row r="3156" spans="1:5" x14ac:dyDescent="0.25">
      <c r="A3156" t="str" cm="1">
        <f t="array" ref="A3156">IFERROR(INDEX(tbNucleo[ESCOLA],ROUNDUP(ROW(A3155)/TotalEtapas,0)),"")</f>
        <v/>
      </c>
      <c r="D3156" t="str">
        <f>IFERROR(VLOOKUP(tbEscolas[[#This Row],[COD ETPA]],tbEtapas[],2,FALSE),"")</f>
        <v/>
      </c>
      <c r="E3156" t="str">
        <f>IFERROR(VLOOKUP(tbEscolas[[#This Row],[COD ETPA]],tbEtapas[],3,FALSE),"")</f>
        <v/>
      </c>
    </row>
    <row r="3157" spans="1:5" x14ac:dyDescent="0.25">
      <c r="A3157" t="str" cm="1">
        <f t="array" ref="A3157">IFERROR(INDEX(tbNucleo[ESCOLA],ROUNDUP(ROW(A3156)/TotalEtapas,0)),"")</f>
        <v/>
      </c>
      <c r="D3157" t="str">
        <f>IFERROR(VLOOKUP(tbEscolas[[#This Row],[COD ETPA]],tbEtapas[],2,FALSE),"")</f>
        <v/>
      </c>
      <c r="E3157" t="str">
        <f>IFERROR(VLOOKUP(tbEscolas[[#This Row],[COD ETPA]],tbEtapas[],3,FALSE),"")</f>
        <v/>
      </c>
    </row>
    <row r="3158" spans="1:5" x14ac:dyDescent="0.25">
      <c r="A3158" t="str" cm="1">
        <f t="array" ref="A3158">IFERROR(INDEX(tbNucleo[ESCOLA],ROUNDUP(ROW(A3157)/TotalEtapas,0)),"")</f>
        <v/>
      </c>
      <c r="D3158" t="str">
        <f>IFERROR(VLOOKUP(tbEscolas[[#This Row],[COD ETPA]],tbEtapas[],2,FALSE),"")</f>
        <v/>
      </c>
      <c r="E3158" t="str">
        <f>IFERROR(VLOOKUP(tbEscolas[[#This Row],[COD ETPA]],tbEtapas[],3,FALSE),"")</f>
        <v/>
      </c>
    </row>
    <row r="3159" spans="1:5" x14ac:dyDescent="0.25">
      <c r="A3159" t="str" cm="1">
        <f t="array" ref="A3159">IFERROR(INDEX(tbNucleo[ESCOLA],ROUNDUP(ROW(A3158)/TotalEtapas,0)),"")</f>
        <v/>
      </c>
      <c r="D3159" t="str">
        <f>IFERROR(VLOOKUP(tbEscolas[[#This Row],[COD ETPA]],tbEtapas[],2,FALSE),"")</f>
        <v/>
      </c>
      <c r="E3159" t="str">
        <f>IFERROR(VLOOKUP(tbEscolas[[#This Row],[COD ETPA]],tbEtapas[],3,FALSE),"")</f>
        <v/>
      </c>
    </row>
    <row r="3160" spans="1:5" x14ac:dyDescent="0.25">
      <c r="A3160" t="str" cm="1">
        <f t="array" ref="A3160">IFERROR(INDEX(tbNucleo[ESCOLA],ROUNDUP(ROW(A3159)/TotalEtapas,0)),"")</f>
        <v/>
      </c>
      <c r="D3160" t="str">
        <f>IFERROR(VLOOKUP(tbEscolas[[#This Row],[COD ETPA]],tbEtapas[],2,FALSE),"")</f>
        <v/>
      </c>
      <c r="E3160" t="str">
        <f>IFERROR(VLOOKUP(tbEscolas[[#This Row],[COD ETPA]],tbEtapas[],3,FALSE),"")</f>
        <v/>
      </c>
    </row>
    <row r="3161" spans="1:5" x14ac:dyDescent="0.25">
      <c r="A3161" t="str" cm="1">
        <f t="array" ref="A3161">IFERROR(INDEX(tbNucleo[ESCOLA],ROUNDUP(ROW(A3160)/TotalEtapas,0)),"")</f>
        <v/>
      </c>
      <c r="D3161" t="str">
        <f>IFERROR(VLOOKUP(tbEscolas[[#This Row],[COD ETPA]],tbEtapas[],2,FALSE),"")</f>
        <v/>
      </c>
      <c r="E3161" t="str">
        <f>IFERROR(VLOOKUP(tbEscolas[[#This Row],[COD ETPA]],tbEtapas[],3,FALSE),"")</f>
        <v/>
      </c>
    </row>
    <row r="3162" spans="1:5" x14ac:dyDescent="0.25">
      <c r="A3162" t="str" cm="1">
        <f t="array" ref="A3162">IFERROR(INDEX(tbNucleo[ESCOLA],ROUNDUP(ROW(A3161)/TotalEtapas,0)),"")</f>
        <v/>
      </c>
      <c r="D3162" t="str">
        <f>IFERROR(VLOOKUP(tbEscolas[[#This Row],[COD ETPA]],tbEtapas[],2,FALSE),"")</f>
        <v/>
      </c>
      <c r="E3162" t="str">
        <f>IFERROR(VLOOKUP(tbEscolas[[#This Row],[COD ETPA]],tbEtapas[],3,FALSE),"")</f>
        <v/>
      </c>
    </row>
    <row r="3163" spans="1:5" x14ac:dyDescent="0.25">
      <c r="A3163" t="str" cm="1">
        <f t="array" ref="A3163">IFERROR(INDEX(tbNucleo[ESCOLA],ROUNDUP(ROW(A3162)/TotalEtapas,0)),"")</f>
        <v/>
      </c>
      <c r="D3163" t="str">
        <f>IFERROR(VLOOKUP(tbEscolas[[#This Row],[COD ETPA]],tbEtapas[],2,FALSE),"")</f>
        <v/>
      </c>
      <c r="E3163" t="str">
        <f>IFERROR(VLOOKUP(tbEscolas[[#This Row],[COD ETPA]],tbEtapas[],3,FALSE),"")</f>
        <v/>
      </c>
    </row>
    <row r="3164" spans="1:5" x14ac:dyDescent="0.25">
      <c r="A3164" t="str" cm="1">
        <f t="array" ref="A3164">IFERROR(INDEX(tbNucleo[ESCOLA],ROUNDUP(ROW(A3163)/TotalEtapas,0)),"")</f>
        <v/>
      </c>
      <c r="D3164" t="str">
        <f>IFERROR(VLOOKUP(tbEscolas[[#This Row],[COD ETPA]],tbEtapas[],2,FALSE),"")</f>
        <v/>
      </c>
      <c r="E3164" t="str">
        <f>IFERROR(VLOOKUP(tbEscolas[[#This Row],[COD ETPA]],tbEtapas[],3,FALSE),"")</f>
        <v/>
      </c>
    </row>
    <row r="3165" spans="1:5" x14ac:dyDescent="0.25">
      <c r="A3165" t="str" cm="1">
        <f t="array" ref="A3165">IFERROR(INDEX(tbNucleo[ESCOLA],ROUNDUP(ROW(A3164)/TotalEtapas,0)),"")</f>
        <v/>
      </c>
      <c r="D3165" t="str">
        <f>IFERROR(VLOOKUP(tbEscolas[[#This Row],[COD ETPA]],tbEtapas[],2,FALSE),"")</f>
        <v/>
      </c>
      <c r="E3165" t="str">
        <f>IFERROR(VLOOKUP(tbEscolas[[#This Row],[COD ETPA]],tbEtapas[],3,FALSE),"")</f>
        <v/>
      </c>
    </row>
    <row r="3166" spans="1:5" x14ac:dyDescent="0.25">
      <c r="A3166" t="str" cm="1">
        <f t="array" ref="A3166">IFERROR(INDEX(tbNucleo[ESCOLA],ROUNDUP(ROW(A3165)/TotalEtapas,0)),"")</f>
        <v/>
      </c>
      <c r="D3166" t="str">
        <f>IFERROR(VLOOKUP(tbEscolas[[#This Row],[COD ETPA]],tbEtapas[],2,FALSE),"")</f>
        <v/>
      </c>
      <c r="E3166" t="str">
        <f>IFERROR(VLOOKUP(tbEscolas[[#This Row],[COD ETPA]],tbEtapas[],3,FALSE),"")</f>
        <v/>
      </c>
    </row>
    <row r="3167" spans="1:5" x14ac:dyDescent="0.25">
      <c r="A3167" t="str" cm="1">
        <f t="array" ref="A3167">IFERROR(INDEX(tbNucleo[ESCOLA],ROUNDUP(ROW(A3166)/TotalEtapas,0)),"")</f>
        <v/>
      </c>
      <c r="D3167" t="str">
        <f>IFERROR(VLOOKUP(tbEscolas[[#This Row],[COD ETPA]],tbEtapas[],2,FALSE),"")</f>
        <v/>
      </c>
      <c r="E3167" t="str">
        <f>IFERROR(VLOOKUP(tbEscolas[[#This Row],[COD ETPA]],tbEtapas[],3,FALSE),"")</f>
        <v/>
      </c>
    </row>
    <row r="3168" spans="1:5" x14ac:dyDescent="0.25">
      <c r="A3168" t="str" cm="1">
        <f t="array" ref="A3168">IFERROR(INDEX(tbNucleo[ESCOLA],ROUNDUP(ROW(A3167)/TotalEtapas,0)),"")</f>
        <v/>
      </c>
      <c r="D3168" t="str">
        <f>IFERROR(VLOOKUP(tbEscolas[[#This Row],[COD ETPA]],tbEtapas[],2,FALSE),"")</f>
        <v/>
      </c>
      <c r="E3168" t="str">
        <f>IFERROR(VLOOKUP(tbEscolas[[#This Row],[COD ETPA]],tbEtapas[],3,FALSE),"")</f>
        <v/>
      </c>
    </row>
    <row r="3169" spans="1:5" x14ac:dyDescent="0.25">
      <c r="A3169" t="str" cm="1">
        <f t="array" ref="A3169">IFERROR(INDEX(tbNucleo[ESCOLA],ROUNDUP(ROW(A3168)/TotalEtapas,0)),"")</f>
        <v/>
      </c>
      <c r="D3169" t="str">
        <f>IFERROR(VLOOKUP(tbEscolas[[#This Row],[COD ETPA]],tbEtapas[],2,FALSE),"")</f>
        <v/>
      </c>
      <c r="E3169" t="str">
        <f>IFERROR(VLOOKUP(tbEscolas[[#This Row],[COD ETPA]],tbEtapas[],3,FALSE),"")</f>
        <v/>
      </c>
    </row>
    <row r="3170" spans="1:5" x14ac:dyDescent="0.25">
      <c r="A3170" t="str" cm="1">
        <f t="array" ref="A3170">IFERROR(INDEX(tbNucleo[ESCOLA],ROUNDUP(ROW(A3169)/TotalEtapas,0)),"")</f>
        <v/>
      </c>
      <c r="D3170" t="str">
        <f>IFERROR(VLOOKUP(tbEscolas[[#This Row],[COD ETPA]],tbEtapas[],2,FALSE),"")</f>
        <v/>
      </c>
      <c r="E3170" t="str">
        <f>IFERROR(VLOOKUP(tbEscolas[[#This Row],[COD ETPA]],tbEtapas[],3,FALSE),"")</f>
        <v/>
      </c>
    </row>
    <row r="3171" spans="1:5" x14ac:dyDescent="0.25">
      <c r="A3171" t="str" cm="1">
        <f t="array" ref="A3171">IFERROR(INDEX(tbNucleo[ESCOLA],ROUNDUP(ROW(A3170)/TotalEtapas,0)),"")</f>
        <v/>
      </c>
      <c r="D3171" t="str">
        <f>IFERROR(VLOOKUP(tbEscolas[[#This Row],[COD ETPA]],tbEtapas[],2,FALSE),"")</f>
        <v/>
      </c>
      <c r="E3171" t="str">
        <f>IFERROR(VLOOKUP(tbEscolas[[#This Row],[COD ETPA]],tbEtapas[],3,FALSE),"")</f>
        <v/>
      </c>
    </row>
    <row r="3172" spans="1:5" x14ac:dyDescent="0.25">
      <c r="A3172" t="str" cm="1">
        <f t="array" ref="A3172">IFERROR(INDEX(tbNucleo[ESCOLA],ROUNDUP(ROW(A3171)/TotalEtapas,0)),"")</f>
        <v/>
      </c>
      <c r="D3172" t="str">
        <f>IFERROR(VLOOKUP(tbEscolas[[#This Row],[COD ETPA]],tbEtapas[],2,FALSE),"")</f>
        <v/>
      </c>
      <c r="E3172" t="str">
        <f>IFERROR(VLOOKUP(tbEscolas[[#This Row],[COD ETPA]],tbEtapas[],3,FALSE),"")</f>
        <v/>
      </c>
    </row>
    <row r="3173" spans="1:5" x14ac:dyDescent="0.25">
      <c r="A3173" t="str" cm="1">
        <f t="array" ref="A3173">IFERROR(INDEX(tbNucleo[ESCOLA],ROUNDUP(ROW(A3172)/TotalEtapas,0)),"")</f>
        <v/>
      </c>
      <c r="D3173" t="str">
        <f>IFERROR(VLOOKUP(tbEscolas[[#This Row],[COD ETPA]],tbEtapas[],2,FALSE),"")</f>
        <v/>
      </c>
      <c r="E3173" t="str">
        <f>IFERROR(VLOOKUP(tbEscolas[[#This Row],[COD ETPA]],tbEtapas[],3,FALSE),"")</f>
        <v/>
      </c>
    </row>
    <row r="3174" spans="1:5" x14ac:dyDescent="0.25">
      <c r="A3174" t="str" cm="1">
        <f t="array" ref="A3174">IFERROR(INDEX(tbNucleo[ESCOLA],ROUNDUP(ROW(A3173)/TotalEtapas,0)),"")</f>
        <v/>
      </c>
      <c r="D3174" t="str">
        <f>IFERROR(VLOOKUP(tbEscolas[[#This Row],[COD ETPA]],tbEtapas[],2,FALSE),"")</f>
        <v/>
      </c>
      <c r="E3174" t="str">
        <f>IFERROR(VLOOKUP(tbEscolas[[#This Row],[COD ETPA]],tbEtapas[],3,FALSE),"")</f>
        <v/>
      </c>
    </row>
    <row r="3175" spans="1:5" x14ac:dyDescent="0.25">
      <c r="A3175" t="str" cm="1">
        <f t="array" ref="A3175">IFERROR(INDEX(tbNucleo[ESCOLA],ROUNDUP(ROW(A3174)/TotalEtapas,0)),"")</f>
        <v/>
      </c>
      <c r="D3175" t="str">
        <f>IFERROR(VLOOKUP(tbEscolas[[#This Row],[COD ETPA]],tbEtapas[],2,FALSE),"")</f>
        <v/>
      </c>
      <c r="E3175" t="str">
        <f>IFERROR(VLOOKUP(tbEscolas[[#This Row],[COD ETPA]],tbEtapas[],3,FALSE),"")</f>
        <v/>
      </c>
    </row>
    <row r="3176" spans="1:5" x14ac:dyDescent="0.25">
      <c r="A3176" t="str" cm="1">
        <f t="array" ref="A3176">IFERROR(INDEX(tbNucleo[ESCOLA],ROUNDUP(ROW(A3175)/TotalEtapas,0)),"")</f>
        <v/>
      </c>
      <c r="D3176" t="str">
        <f>IFERROR(VLOOKUP(tbEscolas[[#This Row],[COD ETPA]],tbEtapas[],2,FALSE),"")</f>
        <v/>
      </c>
      <c r="E3176" t="str">
        <f>IFERROR(VLOOKUP(tbEscolas[[#This Row],[COD ETPA]],tbEtapas[],3,FALSE),"")</f>
        <v/>
      </c>
    </row>
    <row r="3177" spans="1:5" x14ac:dyDescent="0.25">
      <c r="A3177" t="str" cm="1">
        <f t="array" ref="A3177">IFERROR(INDEX(tbNucleo[ESCOLA],ROUNDUP(ROW(A3176)/TotalEtapas,0)),"")</f>
        <v/>
      </c>
      <c r="D3177" t="str">
        <f>IFERROR(VLOOKUP(tbEscolas[[#This Row],[COD ETPA]],tbEtapas[],2,FALSE),"")</f>
        <v/>
      </c>
      <c r="E3177" t="str">
        <f>IFERROR(VLOOKUP(tbEscolas[[#This Row],[COD ETPA]],tbEtapas[],3,FALSE),"")</f>
        <v/>
      </c>
    </row>
    <row r="3178" spans="1:5" x14ac:dyDescent="0.25">
      <c r="A3178" t="str" cm="1">
        <f t="array" ref="A3178">IFERROR(INDEX(tbNucleo[ESCOLA],ROUNDUP(ROW(A3177)/TotalEtapas,0)),"")</f>
        <v/>
      </c>
      <c r="D3178" t="str">
        <f>IFERROR(VLOOKUP(tbEscolas[[#This Row],[COD ETPA]],tbEtapas[],2,FALSE),"")</f>
        <v/>
      </c>
      <c r="E3178" t="str">
        <f>IFERROR(VLOOKUP(tbEscolas[[#This Row],[COD ETPA]],tbEtapas[],3,FALSE),"")</f>
        <v/>
      </c>
    </row>
    <row r="3179" spans="1:5" x14ac:dyDescent="0.25">
      <c r="A3179" t="str" cm="1">
        <f t="array" ref="A3179">IFERROR(INDEX(tbNucleo[ESCOLA],ROUNDUP(ROW(A3178)/TotalEtapas,0)),"")</f>
        <v/>
      </c>
      <c r="D3179" t="str">
        <f>IFERROR(VLOOKUP(tbEscolas[[#This Row],[COD ETPA]],tbEtapas[],2,FALSE),"")</f>
        <v/>
      </c>
      <c r="E3179" t="str">
        <f>IFERROR(VLOOKUP(tbEscolas[[#This Row],[COD ETPA]],tbEtapas[],3,FALSE),"")</f>
        <v/>
      </c>
    </row>
    <row r="3180" spans="1:5" x14ac:dyDescent="0.25">
      <c r="A3180" t="str" cm="1">
        <f t="array" ref="A3180">IFERROR(INDEX(tbNucleo[ESCOLA],ROUNDUP(ROW(A3179)/TotalEtapas,0)),"")</f>
        <v/>
      </c>
      <c r="D3180" t="str">
        <f>IFERROR(VLOOKUP(tbEscolas[[#This Row],[COD ETPA]],tbEtapas[],2,FALSE),"")</f>
        <v/>
      </c>
      <c r="E3180" t="str">
        <f>IFERROR(VLOOKUP(tbEscolas[[#This Row],[COD ETPA]],tbEtapas[],3,FALSE),"")</f>
        <v/>
      </c>
    </row>
    <row r="3181" spans="1:5" x14ac:dyDescent="0.25">
      <c r="A3181" t="str" cm="1">
        <f t="array" ref="A3181">IFERROR(INDEX(tbNucleo[ESCOLA],ROUNDUP(ROW(A3180)/TotalEtapas,0)),"")</f>
        <v/>
      </c>
      <c r="D3181" t="str">
        <f>IFERROR(VLOOKUP(tbEscolas[[#This Row],[COD ETPA]],tbEtapas[],2,FALSE),"")</f>
        <v/>
      </c>
      <c r="E3181" t="str">
        <f>IFERROR(VLOOKUP(tbEscolas[[#This Row],[COD ETPA]],tbEtapas[],3,FALSE),"")</f>
        <v/>
      </c>
    </row>
    <row r="3182" spans="1:5" x14ac:dyDescent="0.25">
      <c r="A3182" t="str" cm="1">
        <f t="array" ref="A3182">IFERROR(INDEX(tbNucleo[ESCOLA],ROUNDUP(ROW(A3181)/TotalEtapas,0)),"")</f>
        <v/>
      </c>
      <c r="D3182" t="str">
        <f>IFERROR(VLOOKUP(tbEscolas[[#This Row],[COD ETPA]],tbEtapas[],2,FALSE),"")</f>
        <v/>
      </c>
      <c r="E3182" t="str">
        <f>IFERROR(VLOOKUP(tbEscolas[[#This Row],[COD ETPA]],tbEtapas[],3,FALSE),"")</f>
        <v/>
      </c>
    </row>
    <row r="3183" spans="1:5" x14ac:dyDescent="0.25">
      <c r="A3183" t="str" cm="1">
        <f t="array" ref="A3183">IFERROR(INDEX(tbNucleo[ESCOLA],ROUNDUP(ROW(A3182)/TotalEtapas,0)),"")</f>
        <v/>
      </c>
      <c r="D3183" t="str">
        <f>IFERROR(VLOOKUP(tbEscolas[[#This Row],[COD ETPA]],tbEtapas[],2,FALSE),"")</f>
        <v/>
      </c>
      <c r="E3183" t="str">
        <f>IFERROR(VLOOKUP(tbEscolas[[#This Row],[COD ETPA]],tbEtapas[],3,FALSE),"")</f>
        <v/>
      </c>
    </row>
    <row r="3184" spans="1:5" x14ac:dyDescent="0.25">
      <c r="A3184" t="str" cm="1">
        <f t="array" ref="A3184">IFERROR(INDEX(tbNucleo[ESCOLA],ROUNDUP(ROW(A3183)/TotalEtapas,0)),"")</f>
        <v/>
      </c>
      <c r="D3184" t="str">
        <f>IFERROR(VLOOKUP(tbEscolas[[#This Row],[COD ETPA]],tbEtapas[],2,FALSE),"")</f>
        <v/>
      </c>
      <c r="E3184" t="str">
        <f>IFERROR(VLOOKUP(tbEscolas[[#This Row],[COD ETPA]],tbEtapas[],3,FALSE),"")</f>
        <v/>
      </c>
    </row>
    <row r="3185" spans="1:5" x14ac:dyDescent="0.25">
      <c r="A3185" t="str" cm="1">
        <f t="array" ref="A3185">IFERROR(INDEX(tbNucleo[ESCOLA],ROUNDUP(ROW(A3184)/TotalEtapas,0)),"")</f>
        <v/>
      </c>
      <c r="D3185" t="str">
        <f>IFERROR(VLOOKUP(tbEscolas[[#This Row],[COD ETPA]],tbEtapas[],2,FALSE),"")</f>
        <v/>
      </c>
      <c r="E3185" t="str">
        <f>IFERROR(VLOOKUP(tbEscolas[[#This Row],[COD ETPA]],tbEtapas[],3,FALSE),"")</f>
        <v/>
      </c>
    </row>
    <row r="3186" spans="1:5" x14ac:dyDescent="0.25">
      <c r="A3186" t="str" cm="1">
        <f t="array" ref="A3186">IFERROR(INDEX(tbNucleo[ESCOLA],ROUNDUP(ROW(A3185)/TotalEtapas,0)),"")</f>
        <v/>
      </c>
      <c r="D3186" t="str">
        <f>IFERROR(VLOOKUP(tbEscolas[[#This Row],[COD ETPA]],tbEtapas[],2,FALSE),"")</f>
        <v/>
      </c>
      <c r="E3186" t="str">
        <f>IFERROR(VLOOKUP(tbEscolas[[#This Row],[COD ETPA]],tbEtapas[],3,FALSE),"")</f>
        <v/>
      </c>
    </row>
    <row r="3187" spans="1:5" x14ac:dyDescent="0.25">
      <c r="A3187" t="str" cm="1">
        <f t="array" ref="A3187">IFERROR(INDEX(tbNucleo[ESCOLA],ROUNDUP(ROW(A3186)/TotalEtapas,0)),"")</f>
        <v/>
      </c>
      <c r="D3187" t="str">
        <f>IFERROR(VLOOKUP(tbEscolas[[#This Row],[COD ETPA]],tbEtapas[],2,FALSE),"")</f>
        <v/>
      </c>
      <c r="E3187" t="str">
        <f>IFERROR(VLOOKUP(tbEscolas[[#This Row],[COD ETPA]],tbEtapas[],3,FALSE),"")</f>
        <v/>
      </c>
    </row>
    <row r="3188" spans="1:5" x14ac:dyDescent="0.25">
      <c r="A3188" t="str" cm="1">
        <f t="array" ref="A3188">IFERROR(INDEX(tbNucleo[ESCOLA],ROUNDUP(ROW(A3187)/TotalEtapas,0)),"")</f>
        <v/>
      </c>
      <c r="D3188" t="str">
        <f>IFERROR(VLOOKUP(tbEscolas[[#This Row],[COD ETPA]],tbEtapas[],2,FALSE),"")</f>
        <v/>
      </c>
      <c r="E3188" t="str">
        <f>IFERROR(VLOOKUP(tbEscolas[[#This Row],[COD ETPA]],tbEtapas[],3,FALSE),"")</f>
        <v/>
      </c>
    </row>
    <row r="3189" spans="1:5" x14ac:dyDescent="0.25">
      <c r="A3189" t="str" cm="1">
        <f t="array" ref="A3189">IFERROR(INDEX(tbNucleo[ESCOLA],ROUNDUP(ROW(A3188)/TotalEtapas,0)),"")</f>
        <v/>
      </c>
      <c r="D3189" t="str">
        <f>IFERROR(VLOOKUP(tbEscolas[[#This Row],[COD ETPA]],tbEtapas[],2,FALSE),"")</f>
        <v/>
      </c>
      <c r="E3189" t="str">
        <f>IFERROR(VLOOKUP(tbEscolas[[#This Row],[COD ETPA]],tbEtapas[],3,FALSE),"")</f>
        <v/>
      </c>
    </row>
    <row r="3190" spans="1:5" x14ac:dyDescent="0.25">
      <c r="A3190" t="str" cm="1">
        <f t="array" ref="A3190">IFERROR(INDEX(tbNucleo[ESCOLA],ROUNDUP(ROW(A3189)/TotalEtapas,0)),"")</f>
        <v/>
      </c>
      <c r="D3190" t="str">
        <f>IFERROR(VLOOKUP(tbEscolas[[#This Row],[COD ETPA]],tbEtapas[],2,FALSE),"")</f>
        <v/>
      </c>
      <c r="E3190" t="str">
        <f>IFERROR(VLOOKUP(tbEscolas[[#This Row],[COD ETPA]],tbEtapas[],3,FALSE),"")</f>
        <v/>
      </c>
    </row>
    <row r="3191" spans="1:5" x14ac:dyDescent="0.25">
      <c r="A3191" t="str" cm="1">
        <f t="array" ref="A3191">IFERROR(INDEX(tbNucleo[ESCOLA],ROUNDUP(ROW(A3190)/TotalEtapas,0)),"")</f>
        <v/>
      </c>
      <c r="D3191" t="str">
        <f>IFERROR(VLOOKUP(tbEscolas[[#This Row],[COD ETPA]],tbEtapas[],2,FALSE),"")</f>
        <v/>
      </c>
      <c r="E3191" t="str">
        <f>IFERROR(VLOOKUP(tbEscolas[[#This Row],[COD ETPA]],tbEtapas[],3,FALSE),"")</f>
        <v/>
      </c>
    </row>
    <row r="3192" spans="1:5" x14ac:dyDescent="0.25">
      <c r="A3192" t="str" cm="1">
        <f t="array" ref="A3192">IFERROR(INDEX(tbNucleo[ESCOLA],ROUNDUP(ROW(A3191)/TotalEtapas,0)),"")</f>
        <v/>
      </c>
      <c r="D3192" t="str">
        <f>IFERROR(VLOOKUP(tbEscolas[[#This Row],[COD ETPA]],tbEtapas[],2,FALSE),"")</f>
        <v/>
      </c>
      <c r="E3192" t="str">
        <f>IFERROR(VLOOKUP(tbEscolas[[#This Row],[COD ETPA]],tbEtapas[],3,FALSE),"")</f>
        <v/>
      </c>
    </row>
    <row r="3193" spans="1:5" x14ac:dyDescent="0.25">
      <c r="A3193" t="str" cm="1">
        <f t="array" ref="A3193">IFERROR(INDEX(tbNucleo[ESCOLA],ROUNDUP(ROW(A3192)/TotalEtapas,0)),"")</f>
        <v/>
      </c>
      <c r="D3193" t="str">
        <f>IFERROR(VLOOKUP(tbEscolas[[#This Row],[COD ETPA]],tbEtapas[],2,FALSE),"")</f>
        <v/>
      </c>
      <c r="E3193" t="str">
        <f>IFERROR(VLOOKUP(tbEscolas[[#This Row],[COD ETPA]],tbEtapas[],3,FALSE),"")</f>
        <v/>
      </c>
    </row>
    <row r="3194" spans="1:5" x14ac:dyDescent="0.25">
      <c r="A3194" t="str" cm="1">
        <f t="array" ref="A3194">IFERROR(INDEX(tbNucleo[ESCOLA],ROUNDUP(ROW(A3193)/TotalEtapas,0)),"")</f>
        <v/>
      </c>
      <c r="D3194" t="str">
        <f>IFERROR(VLOOKUP(tbEscolas[[#This Row],[COD ETPA]],tbEtapas[],2,FALSE),"")</f>
        <v/>
      </c>
      <c r="E3194" t="str">
        <f>IFERROR(VLOOKUP(tbEscolas[[#This Row],[COD ETPA]],tbEtapas[],3,FALSE),"")</f>
        <v/>
      </c>
    </row>
    <row r="3195" spans="1:5" x14ac:dyDescent="0.25">
      <c r="A3195" t="str" cm="1">
        <f t="array" ref="A3195">IFERROR(INDEX(tbNucleo[ESCOLA],ROUNDUP(ROW(A3194)/TotalEtapas,0)),"")</f>
        <v/>
      </c>
      <c r="D3195" t="str">
        <f>IFERROR(VLOOKUP(tbEscolas[[#This Row],[COD ETPA]],tbEtapas[],2,FALSE),"")</f>
        <v/>
      </c>
      <c r="E3195" t="str">
        <f>IFERROR(VLOOKUP(tbEscolas[[#This Row],[COD ETPA]],tbEtapas[],3,FALSE),"")</f>
        <v/>
      </c>
    </row>
    <row r="3196" spans="1:5" x14ac:dyDescent="0.25">
      <c r="A3196" t="str" cm="1">
        <f t="array" ref="A3196">IFERROR(INDEX(tbNucleo[ESCOLA],ROUNDUP(ROW(A3195)/TotalEtapas,0)),"")</f>
        <v/>
      </c>
      <c r="D3196" t="str">
        <f>IFERROR(VLOOKUP(tbEscolas[[#This Row],[COD ETPA]],tbEtapas[],2,FALSE),"")</f>
        <v/>
      </c>
      <c r="E3196" t="str">
        <f>IFERROR(VLOOKUP(tbEscolas[[#This Row],[COD ETPA]],tbEtapas[],3,FALSE),"")</f>
        <v/>
      </c>
    </row>
    <row r="3197" spans="1:5" x14ac:dyDescent="0.25">
      <c r="A3197" t="str" cm="1">
        <f t="array" ref="A3197">IFERROR(INDEX(tbNucleo[ESCOLA],ROUNDUP(ROW(A3196)/TotalEtapas,0)),"")</f>
        <v/>
      </c>
      <c r="D3197" t="str">
        <f>IFERROR(VLOOKUP(tbEscolas[[#This Row],[COD ETPA]],tbEtapas[],2,FALSE),"")</f>
        <v/>
      </c>
      <c r="E3197" t="str">
        <f>IFERROR(VLOOKUP(tbEscolas[[#This Row],[COD ETPA]],tbEtapas[],3,FALSE),"")</f>
        <v/>
      </c>
    </row>
    <row r="3198" spans="1:5" x14ac:dyDescent="0.25">
      <c r="A3198" t="str" cm="1">
        <f t="array" ref="A3198">IFERROR(INDEX(tbNucleo[ESCOLA],ROUNDUP(ROW(A3197)/TotalEtapas,0)),"")</f>
        <v/>
      </c>
      <c r="D3198" t="str">
        <f>IFERROR(VLOOKUP(tbEscolas[[#This Row],[COD ETPA]],tbEtapas[],2,FALSE),"")</f>
        <v/>
      </c>
      <c r="E3198" t="str">
        <f>IFERROR(VLOOKUP(tbEscolas[[#This Row],[COD ETPA]],tbEtapas[],3,FALSE),"")</f>
        <v/>
      </c>
    </row>
    <row r="3199" spans="1:5" x14ac:dyDescent="0.25">
      <c r="A3199" t="str" cm="1">
        <f t="array" ref="A3199">IFERROR(INDEX(tbNucleo[ESCOLA],ROUNDUP(ROW(A3198)/TotalEtapas,0)),"")</f>
        <v/>
      </c>
      <c r="D3199" t="str">
        <f>IFERROR(VLOOKUP(tbEscolas[[#This Row],[COD ETPA]],tbEtapas[],2,FALSE),"")</f>
        <v/>
      </c>
      <c r="E3199" t="str">
        <f>IFERROR(VLOOKUP(tbEscolas[[#This Row],[COD ETPA]],tbEtapas[],3,FALSE),"")</f>
        <v/>
      </c>
    </row>
    <row r="3200" spans="1:5" x14ac:dyDescent="0.25">
      <c r="A3200" t="str" cm="1">
        <f t="array" ref="A3200">IFERROR(INDEX(tbNucleo[ESCOLA],ROUNDUP(ROW(A3199)/TotalEtapas,0)),"")</f>
        <v/>
      </c>
      <c r="D3200" t="str">
        <f>IFERROR(VLOOKUP(tbEscolas[[#This Row],[COD ETPA]],tbEtapas[],2,FALSE),"")</f>
        <v/>
      </c>
      <c r="E3200" t="str">
        <f>IFERROR(VLOOKUP(tbEscolas[[#This Row],[COD ETPA]],tbEtapas[],3,FALSE),"")</f>
        <v/>
      </c>
    </row>
    <row r="3201" spans="1:5" x14ac:dyDescent="0.25">
      <c r="A3201" t="str" cm="1">
        <f t="array" ref="A3201">IFERROR(INDEX(tbNucleo[ESCOLA],ROUNDUP(ROW(A3200)/TotalEtapas,0)),"")</f>
        <v/>
      </c>
      <c r="D3201" t="str">
        <f>IFERROR(VLOOKUP(tbEscolas[[#This Row],[COD ETPA]],tbEtapas[],2,FALSE),"")</f>
        <v/>
      </c>
      <c r="E3201" t="str">
        <f>IFERROR(VLOOKUP(tbEscolas[[#This Row],[COD ETPA]],tbEtapas[],3,FALSE),"")</f>
        <v/>
      </c>
    </row>
    <row r="3202" spans="1:5" x14ac:dyDescent="0.25">
      <c r="A3202" t="str" cm="1">
        <f t="array" ref="A3202">IFERROR(INDEX(tbNucleo[ESCOLA],ROUNDUP(ROW(A3201)/TotalEtapas,0)),"")</f>
        <v/>
      </c>
      <c r="D3202" t="str">
        <f>IFERROR(VLOOKUP(tbEscolas[[#This Row],[COD ETPA]],tbEtapas[],2,FALSE),"")</f>
        <v/>
      </c>
      <c r="E3202" t="str">
        <f>IFERROR(VLOOKUP(tbEscolas[[#This Row],[COD ETPA]],tbEtapas[],3,FALSE),"")</f>
        <v/>
      </c>
    </row>
    <row r="3203" spans="1:5" x14ac:dyDescent="0.25">
      <c r="A3203" t="str" cm="1">
        <f t="array" ref="A3203">IFERROR(INDEX(tbNucleo[ESCOLA],ROUNDUP(ROW(A3202)/TotalEtapas,0)),"")</f>
        <v/>
      </c>
      <c r="D3203" t="str">
        <f>IFERROR(VLOOKUP(tbEscolas[[#This Row],[COD ETPA]],tbEtapas[],2,FALSE),"")</f>
        <v/>
      </c>
      <c r="E3203" t="str">
        <f>IFERROR(VLOOKUP(tbEscolas[[#This Row],[COD ETPA]],tbEtapas[],3,FALSE),"")</f>
        <v/>
      </c>
    </row>
    <row r="3204" spans="1:5" x14ac:dyDescent="0.25">
      <c r="A3204" t="str" cm="1">
        <f t="array" ref="A3204">IFERROR(INDEX(tbNucleo[ESCOLA],ROUNDUP(ROW(A3203)/TotalEtapas,0)),"")</f>
        <v/>
      </c>
      <c r="D3204" t="str">
        <f>IFERROR(VLOOKUP(tbEscolas[[#This Row],[COD ETPA]],tbEtapas[],2,FALSE),"")</f>
        <v/>
      </c>
      <c r="E3204" t="str">
        <f>IFERROR(VLOOKUP(tbEscolas[[#This Row],[COD ETPA]],tbEtapas[],3,FALSE),"")</f>
        <v/>
      </c>
    </row>
    <row r="3205" spans="1:5" x14ac:dyDescent="0.25">
      <c r="A3205" t="str" cm="1">
        <f t="array" ref="A3205">IFERROR(INDEX(tbNucleo[ESCOLA],ROUNDUP(ROW(A3204)/TotalEtapas,0)),"")</f>
        <v/>
      </c>
      <c r="D3205" t="str">
        <f>IFERROR(VLOOKUP(tbEscolas[[#This Row],[COD ETPA]],tbEtapas[],2,FALSE),"")</f>
        <v/>
      </c>
      <c r="E3205" t="str">
        <f>IFERROR(VLOOKUP(tbEscolas[[#This Row],[COD ETPA]],tbEtapas[],3,FALSE),"")</f>
        <v/>
      </c>
    </row>
    <row r="3206" spans="1:5" x14ac:dyDescent="0.25">
      <c r="A3206" t="str" cm="1">
        <f t="array" ref="A3206">IFERROR(INDEX(tbNucleo[ESCOLA],ROUNDUP(ROW(A3205)/TotalEtapas,0)),"")</f>
        <v/>
      </c>
      <c r="D3206" t="str">
        <f>IFERROR(VLOOKUP(tbEscolas[[#This Row],[COD ETPA]],tbEtapas[],2,FALSE),"")</f>
        <v/>
      </c>
      <c r="E3206" t="str">
        <f>IFERROR(VLOOKUP(tbEscolas[[#This Row],[COD ETPA]],tbEtapas[],3,FALSE),"")</f>
        <v/>
      </c>
    </row>
    <row r="3207" spans="1:5" x14ac:dyDescent="0.25">
      <c r="A3207" t="str" cm="1">
        <f t="array" ref="A3207">IFERROR(INDEX(tbNucleo[ESCOLA],ROUNDUP(ROW(A3206)/TotalEtapas,0)),"")</f>
        <v/>
      </c>
      <c r="D3207" t="str">
        <f>IFERROR(VLOOKUP(tbEscolas[[#This Row],[COD ETPA]],tbEtapas[],2,FALSE),"")</f>
        <v/>
      </c>
      <c r="E3207" t="str">
        <f>IFERROR(VLOOKUP(tbEscolas[[#This Row],[COD ETPA]],tbEtapas[],3,FALSE),"")</f>
        <v/>
      </c>
    </row>
    <row r="3208" spans="1:5" x14ac:dyDescent="0.25">
      <c r="A3208" t="str" cm="1">
        <f t="array" ref="A3208">IFERROR(INDEX(tbNucleo[ESCOLA],ROUNDUP(ROW(A3207)/TotalEtapas,0)),"")</f>
        <v/>
      </c>
      <c r="D3208" t="str">
        <f>IFERROR(VLOOKUP(tbEscolas[[#This Row],[COD ETPA]],tbEtapas[],2,FALSE),"")</f>
        <v/>
      </c>
      <c r="E3208" t="str">
        <f>IFERROR(VLOOKUP(tbEscolas[[#This Row],[COD ETPA]],tbEtapas[],3,FALSE),"")</f>
        <v/>
      </c>
    </row>
    <row r="3209" spans="1:5" x14ac:dyDescent="0.25">
      <c r="A3209" t="str" cm="1">
        <f t="array" ref="A3209">IFERROR(INDEX(tbNucleo[ESCOLA],ROUNDUP(ROW(A3208)/TotalEtapas,0)),"")</f>
        <v/>
      </c>
      <c r="D3209" t="str">
        <f>IFERROR(VLOOKUP(tbEscolas[[#This Row],[COD ETPA]],tbEtapas[],2,FALSE),"")</f>
        <v/>
      </c>
      <c r="E3209" t="str">
        <f>IFERROR(VLOOKUP(tbEscolas[[#This Row],[COD ETPA]],tbEtapas[],3,FALSE),"")</f>
        <v/>
      </c>
    </row>
    <row r="3210" spans="1:5" x14ac:dyDescent="0.25">
      <c r="A3210" t="str" cm="1">
        <f t="array" ref="A3210">IFERROR(INDEX(tbNucleo[ESCOLA],ROUNDUP(ROW(A3209)/TotalEtapas,0)),"")</f>
        <v/>
      </c>
      <c r="D3210" t="str">
        <f>IFERROR(VLOOKUP(tbEscolas[[#This Row],[COD ETPA]],tbEtapas[],2,FALSE),"")</f>
        <v/>
      </c>
      <c r="E3210" t="str">
        <f>IFERROR(VLOOKUP(tbEscolas[[#This Row],[COD ETPA]],tbEtapas[],3,FALSE),"")</f>
        <v/>
      </c>
    </row>
    <row r="3211" spans="1:5" x14ac:dyDescent="0.25">
      <c r="A3211" t="str" cm="1">
        <f t="array" ref="A3211">IFERROR(INDEX(tbNucleo[ESCOLA],ROUNDUP(ROW(A3210)/TotalEtapas,0)),"")</f>
        <v/>
      </c>
      <c r="D3211" t="str">
        <f>IFERROR(VLOOKUP(tbEscolas[[#This Row],[COD ETPA]],tbEtapas[],2,FALSE),"")</f>
        <v/>
      </c>
      <c r="E3211" t="str">
        <f>IFERROR(VLOOKUP(tbEscolas[[#This Row],[COD ETPA]],tbEtapas[],3,FALSE),"")</f>
        <v/>
      </c>
    </row>
    <row r="3212" spans="1:5" x14ac:dyDescent="0.25">
      <c r="A3212" t="str" cm="1">
        <f t="array" ref="A3212">IFERROR(INDEX(tbNucleo[ESCOLA],ROUNDUP(ROW(A3211)/TotalEtapas,0)),"")</f>
        <v/>
      </c>
      <c r="D3212" t="str">
        <f>IFERROR(VLOOKUP(tbEscolas[[#This Row],[COD ETPA]],tbEtapas[],2,FALSE),"")</f>
        <v/>
      </c>
      <c r="E3212" t="str">
        <f>IFERROR(VLOOKUP(tbEscolas[[#This Row],[COD ETPA]],tbEtapas[],3,FALSE),"")</f>
        <v/>
      </c>
    </row>
    <row r="3213" spans="1:5" x14ac:dyDescent="0.25">
      <c r="A3213" t="str" cm="1">
        <f t="array" ref="A3213">IFERROR(INDEX(tbNucleo[ESCOLA],ROUNDUP(ROW(A3212)/TotalEtapas,0)),"")</f>
        <v/>
      </c>
      <c r="D3213" t="str">
        <f>IFERROR(VLOOKUP(tbEscolas[[#This Row],[COD ETPA]],tbEtapas[],2,FALSE),"")</f>
        <v/>
      </c>
      <c r="E3213" t="str">
        <f>IFERROR(VLOOKUP(tbEscolas[[#This Row],[COD ETPA]],tbEtapas[],3,FALSE),"")</f>
        <v/>
      </c>
    </row>
    <row r="3214" spans="1:5" x14ac:dyDescent="0.25">
      <c r="A3214" t="str" cm="1">
        <f t="array" ref="A3214">IFERROR(INDEX(tbNucleo[ESCOLA],ROUNDUP(ROW(A3213)/TotalEtapas,0)),"")</f>
        <v/>
      </c>
      <c r="D3214" t="str">
        <f>IFERROR(VLOOKUP(tbEscolas[[#This Row],[COD ETPA]],tbEtapas[],2,FALSE),"")</f>
        <v/>
      </c>
      <c r="E3214" t="str">
        <f>IFERROR(VLOOKUP(tbEscolas[[#This Row],[COD ETPA]],tbEtapas[],3,FALSE),"")</f>
        <v/>
      </c>
    </row>
    <row r="3215" spans="1:5" x14ac:dyDescent="0.25">
      <c r="A3215" t="str" cm="1">
        <f t="array" ref="A3215">IFERROR(INDEX(tbNucleo[ESCOLA],ROUNDUP(ROW(A3214)/TotalEtapas,0)),"")</f>
        <v/>
      </c>
      <c r="D3215" t="str">
        <f>IFERROR(VLOOKUP(tbEscolas[[#This Row],[COD ETPA]],tbEtapas[],2,FALSE),"")</f>
        <v/>
      </c>
      <c r="E3215" t="str">
        <f>IFERROR(VLOOKUP(tbEscolas[[#This Row],[COD ETPA]],tbEtapas[],3,FALSE),"")</f>
        <v/>
      </c>
    </row>
    <row r="3216" spans="1:5" x14ac:dyDescent="0.25">
      <c r="A3216" t="str" cm="1">
        <f t="array" ref="A3216">IFERROR(INDEX(tbNucleo[ESCOLA],ROUNDUP(ROW(A3215)/TotalEtapas,0)),"")</f>
        <v/>
      </c>
      <c r="D3216" t="str">
        <f>IFERROR(VLOOKUP(tbEscolas[[#This Row],[COD ETPA]],tbEtapas[],2,FALSE),"")</f>
        <v/>
      </c>
      <c r="E3216" t="str">
        <f>IFERROR(VLOOKUP(tbEscolas[[#This Row],[COD ETPA]],tbEtapas[],3,FALSE),"")</f>
        <v/>
      </c>
    </row>
    <row r="3217" spans="1:5" x14ac:dyDescent="0.25">
      <c r="A3217" t="str" cm="1">
        <f t="array" ref="A3217">IFERROR(INDEX(tbNucleo[ESCOLA],ROUNDUP(ROW(A3216)/TotalEtapas,0)),"")</f>
        <v/>
      </c>
      <c r="D3217" t="str">
        <f>IFERROR(VLOOKUP(tbEscolas[[#This Row],[COD ETPA]],tbEtapas[],2,FALSE),"")</f>
        <v/>
      </c>
      <c r="E3217" t="str">
        <f>IFERROR(VLOOKUP(tbEscolas[[#This Row],[COD ETPA]],tbEtapas[],3,FALSE),"")</f>
        <v/>
      </c>
    </row>
    <row r="3218" spans="1:5" x14ac:dyDescent="0.25">
      <c r="A3218" t="str" cm="1">
        <f t="array" ref="A3218">IFERROR(INDEX(tbNucleo[ESCOLA],ROUNDUP(ROW(A3217)/TotalEtapas,0)),"")</f>
        <v/>
      </c>
      <c r="D3218" t="str">
        <f>IFERROR(VLOOKUP(tbEscolas[[#This Row],[COD ETPA]],tbEtapas[],2,FALSE),"")</f>
        <v/>
      </c>
      <c r="E3218" t="str">
        <f>IFERROR(VLOOKUP(tbEscolas[[#This Row],[COD ETPA]],tbEtapas[],3,FALSE),"")</f>
        <v/>
      </c>
    </row>
    <row r="3219" spans="1:5" x14ac:dyDescent="0.25">
      <c r="A3219" t="str" cm="1">
        <f t="array" ref="A3219">IFERROR(INDEX(tbNucleo[ESCOLA],ROUNDUP(ROW(A3218)/TotalEtapas,0)),"")</f>
        <v/>
      </c>
      <c r="D3219" t="str">
        <f>IFERROR(VLOOKUP(tbEscolas[[#This Row],[COD ETPA]],tbEtapas[],2,FALSE),"")</f>
        <v/>
      </c>
      <c r="E3219" t="str">
        <f>IFERROR(VLOOKUP(tbEscolas[[#This Row],[COD ETPA]],tbEtapas[],3,FALSE),"")</f>
        <v/>
      </c>
    </row>
    <row r="3220" spans="1:5" x14ac:dyDescent="0.25">
      <c r="A3220" t="str" cm="1">
        <f t="array" ref="A3220">IFERROR(INDEX(tbNucleo[ESCOLA],ROUNDUP(ROW(A3219)/TotalEtapas,0)),"")</f>
        <v/>
      </c>
      <c r="D3220" t="str">
        <f>IFERROR(VLOOKUP(tbEscolas[[#This Row],[COD ETPA]],tbEtapas[],2,FALSE),"")</f>
        <v/>
      </c>
      <c r="E3220" t="str">
        <f>IFERROR(VLOOKUP(tbEscolas[[#This Row],[COD ETPA]],tbEtapas[],3,FALSE),"")</f>
        <v/>
      </c>
    </row>
    <row r="3221" spans="1:5" x14ac:dyDescent="0.25">
      <c r="A3221" t="str" cm="1">
        <f t="array" ref="A3221">IFERROR(INDEX(tbNucleo[ESCOLA],ROUNDUP(ROW(A3220)/TotalEtapas,0)),"")</f>
        <v/>
      </c>
      <c r="D3221" t="str">
        <f>IFERROR(VLOOKUP(tbEscolas[[#This Row],[COD ETPA]],tbEtapas[],2,FALSE),"")</f>
        <v/>
      </c>
      <c r="E3221" t="str">
        <f>IFERROR(VLOOKUP(tbEscolas[[#This Row],[COD ETPA]],tbEtapas[],3,FALSE),"")</f>
        <v/>
      </c>
    </row>
    <row r="3222" spans="1:5" x14ac:dyDescent="0.25">
      <c r="A3222" t="str" cm="1">
        <f t="array" ref="A3222">IFERROR(INDEX(tbNucleo[ESCOLA],ROUNDUP(ROW(A3221)/TotalEtapas,0)),"")</f>
        <v/>
      </c>
      <c r="D3222" t="str">
        <f>IFERROR(VLOOKUP(tbEscolas[[#This Row],[COD ETPA]],tbEtapas[],2,FALSE),"")</f>
        <v/>
      </c>
      <c r="E3222" t="str">
        <f>IFERROR(VLOOKUP(tbEscolas[[#This Row],[COD ETPA]],tbEtapas[],3,FALSE),"")</f>
        <v/>
      </c>
    </row>
    <row r="3223" spans="1:5" x14ac:dyDescent="0.25">
      <c r="A3223" t="str" cm="1">
        <f t="array" ref="A3223">IFERROR(INDEX(tbNucleo[ESCOLA],ROUNDUP(ROW(A3222)/TotalEtapas,0)),"")</f>
        <v/>
      </c>
      <c r="D3223" t="str">
        <f>IFERROR(VLOOKUP(tbEscolas[[#This Row],[COD ETPA]],tbEtapas[],2,FALSE),"")</f>
        <v/>
      </c>
      <c r="E3223" t="str">
        <f>IFERROR(VLOOKUP(tbEscolas[[#This Row],[COD ETPA]],tbEtapas[],3,FALSE),"")</f>
        <v/>
      </c>
    </row>
    <row r="3224" spans="1:5" x14ac:dyDescent="0.25">
      <c r="A3224" t="str" cm="1">
        <f t="array" ref="A3224">IFERROR(INDEX(tbNucleo[ESCOLA],ROUNDUP(ROW(A3223)/TotalEtapas,0)),"")</f>
        <v/>
      </c>
      <c r="D3224" t="str">
        <f>IFERROR(VLOOKUP(tbEscolas[[#This Row],[COD ETPA]],tbEtapas[],2,FALSE),"")</f>
        <v/>
      </c>
      <c r="E3224" t="str">
        <f>IFERROR(VLOOKUP(tbEscolas[[#This Row],[COD ETPA]],tbEtapas[],3,FALSE),"")</f>
        <v/>
      </c>
    </row>
    <row r="3225" spans="1:5" x14ac:dyDescent="0.25">
      <c r="A3225" t="str" cm="1">
        <f t="array" ref="A3225">IFERROR(INDEX(tbNucleo[ESCOLA],ROUNDUP(ROW(A3224)/TotalEtapas,0)),"")</f>
        <v/>
      </c>
      <c r="D3225" t="str">
        <f>IFERROR(VLOOKUP(tbEscolas[[#This Row],[COD ETPA]],tbEtapas[],2,FALSE),"")</f>
        <v/>
      </c>
      <c r="E3225" t="str">
        <f>IFERROR(VLOOKUP(tbEscolas[[#This Row],[COD ETPA]],tbEtapas[],3,FALSE),"")</f>
        <v/>
      </c>
    </row>
    <row r="3226" spans="1:5" x14ac:dyDescent="0.25">
      <c r="A3226" t="str" cm="1">
        <f t="array" ref="A3226">IFERROR(INDEX(tbNucleo[ESCOLA],ROUNDUP(ROW(A3225)/TotalEtapas,0)),"")</f>
        <v/>
      </c>
      <c r="D3226" t="str">
        <f>IFERROR(VLOOKUP(tbEscolas[[#This Row],[COD ETPA]],tbEtapas[],2,FALSE),"")</f>
        <v/>
      </c>
      <c r="E3226" t="str">
        <f>IFERROR(VLOOKUP(tbEscolas[[#This Row],[COD ETPA]],tbEtapas[],3,FALSE),"")</f>
        <v/>
      </c>
    </row>
    <row r="3227" spans="1:5" x14ac:dyDescent="0.25">
      <c r="A3227" t="str" cm="1">
        <f t="array" ref="A3227">IFERROR(INDEX(tbNucleo[ESCOLA],ROUNDUP(ROW(A3226)/TotalEtapas,0)),"")</f>
        <v/>
      </c>
      <c r="D3227" t="str">
        <f>IFERROR(VLOOKUP(tbEscolas[[#This Row],[COD ETPA]],tbEtapas[],2,FALSE),"")</f>
        <v/>
      </c>
      <c r="E3227" t="str">
        <f>IFERROR(VLOOKUP(tbEscolas[[#This Row],[COD ETPA]],tbEtapas[],3,FALSE),"")</f>
        <v/>
      </c>
    </row>
    <row r="3228" spans="1:5" x14ac:dyDescent="0.25">
      <c r="A3228" t="str" cm="1">
        <f t="array" ref="A3228">IFERROR(INDEX(tbNucleo[ESCOLA],ROUNDUP(ROW(A3227)/TotalEtapas,0)),"")</f>
        <v/>
      </c>
      <c r="D3228" t="str">
        <f>IFERROR(VLOOKUP(tbEscolas[[#This Row],[COD ETPA]],tbEtapas[],2,FALSE),"")</f>
        <v/>
      </c>
      <c r="E3228" t="str">
        <f>IFERROR(VLOOKUP(tbEscolas[[#This Row],[COD ETPA]],tbEtapas[],3,FALSE),"")</f>
        <v/>
      </c>
    </row>
    <row r="3229" spans="1:5" x14ac:dyDescent="0.25">
      <c r="A3229" t="str" cm="1">
        <f t="array" ref="A3229">IFERROR(INDEX(tbNucleo[ESCOLA],ROUNDUP(ROW(A3228)/TotalEtapas,0)),"")</f>
        <v/>
      </c>
      <c r="D3229" t="str">
        <f>IFERROR(VLOOKUP(tbEscolas[[#This Row],[COD ETPA]],tbEtapas[],2,FALSE),"")</f>
        <v/>
      </c>
      <c r="E3229" t="str">
        <f>IFERROR(VLOOKUP(tbEscolas[[#This Row],[COD ETPA]],tbEtapas[],3,FALSE),"")</f>
        <v/>
      </c>
    </row>
    <row r="3230" spans="1:5" x14ac:dyDescent="0.25">
      <c r="A3230" t="str" cm="1">
        <f t="array" ref="A3230">IFERROR(INDEX(tbNucleo[ESCOLA],ROUNDUP(ROW(A3229)/TotalEtapas,0)),"")</f>
        <v/>
      </c>
      <c r="D3230" t="str">
        <f>IFERROR(VLOOKUP(tbEscolas[[#This Row],[COD ETPA]],tbEtapas[],2,FALSE),"")</f>
        <v/>
      </c>
      <c r="E3230" t="str">
        <f>IFERROR(VLOOKUP(tbEscolas[[#This Row],[COD ETPA]],tbEtapas[],3,FALSE),"")</f>
        <v/>
      </c>
    </row>
    <row r="3231" spans="1:5" x14ac:dyDescent="0.25">
      <c r="A3231" t="str" cm="1">
        <f t="array" ref="A3231">IFERROR(INDEX(tbNucleo[ESCOLA],ROUNDUP(ROW(A3230)/TotalEtapas,0)),"")</f>
        <v/>
      </c>
      <c r="D3231" t="str">
        <f>IFERROR(VLOOKUP(tbEscolas[[#This Row],[COD ETPA]],tbEtapas[],2,FALSE),"")</f>
        <v/>
      </c>
      <c r="E3231" t="str">
        <f>IFERROR(VLOOKUP(tbEscolas[[#This Row],[COD ETPA]],tbEtapas[],3,FALSE),"")</f>
        <v/>
      </c>
    </row>
    <row r="3232" spans="1:5" x14ac:dyDescent="0.25">
      <c r="A3232" t="str" cm="1">
        <f t="array" ref="A3232">IFERROR(INDEX(tbNucleo[ESCOLA],ROUNDUP(ROW(A3231)/TotalEtapas,0)),"")</f>
        <v/>
      </c>
      <c r="D3232" t="str">
        <f>IFERROR(VLOOKUP(tbEscolas[[#This Row],[COD ETPA]],tbEtapas[],2,FALSE),"")</f>
        <v/>
      </c>
      <c r="E3232" t="str">
        <f>IFERROR(VLOOKUP(tbEscolas[[#This Row],[COD ETPA]],tbEtapas[],3,FALSE),"")</f>
        <v/>
      </c>
    </row>
    <row r="3233" spans="1:5" x14ac:dyDescent="0.25">
      <c r="A3233" t="str" cm="1">
        <f t="array" ref="A3233">IFERROR(INDEX(tbNucleo[ESCOLA],ROUNDUP(ROW(A3232)/TotalEtapas,0)),"")</f>
        <v/>
      </c>
      <c r="D3233" t="str">
        <f>IFERROR(VLOOKUP(tbEscolas[[#This Row],[COD ETPA]],tbEtapas[],2,FALSE),"")</f>
        <v/>
      </c>
      <c r="E3233" t="str">
        <f>IFERROR(VLOOKUP(tbEscolas[[#This Row],[COD ETPA]],tbEtapas[],3,FALSE),"")</f>
        <v/>
      </c>
    </row>
    <row r="3234" spans="1:5" x14ac:dyDescent="0.25">
      <c r="A3234" t="str" cm="1">
        <f t="array" ref="A3234">IFERROR(INDEX(tbNucleo[ESCOLA],ROUNDUP(ROW(A3233)/TotalEtapas,0)),"")</f>
        <v/>
      </c>
      <c r="D3234" t="str">
        <f>IFERROR(VLOOKUP(tbEscolas[[#This Row],[COD ETPA]],tbEtapas[],2,FALSE),"")</f>
        <v/>
      </c>
      <c r="E3234" t="str">
        <f>IFERROR(VLOOKUP(tbEscolas[[#This Row],[COD ETPA]],tbEtapas[],3,FALSE),"")</f>
        <v/>
      </c>
    </row>
    <row r="3235" spans="1:5" x14ac:dyDescent="0.25">
      <c r="A3235" t="str" cm="1">
        <f t="array" ref="A3235">IFERROR(INDEX(tbNucleo[ESCOLA],ROUNDUP(ROW(A3234)/TotalEtapas,0)),"")</f>
        <v/>
      </c>
      <c r="D3235" t="str">
        <f>IFERROR(VLOOKUP(tbEscolas[[#This Row],[COD ETPA]],tbEtapas[],2,FALSE),"")</f>
        <v/>
      </c>
      <c r="E3235" t="str">
        <f>IFERROR(VLOOKUP(tbEscolas[[#This Row],[COD ETPA]],tbEtapas[],3,FALSE),"")</f>
        <v/>
      </c>
    </row>
    <row r="3236" spans="1:5" x14ac:dyDescent="0.25">
      <c r="A3236" t="str" cm="1">
        <f t="array" ref="A3236">IFERROR(INDEX(tbNucleo[ESCOLA],ROUNDUP(ROW(A3235)/TotalEtapas,0)),"")</f>
        <v/>
      </c>
      <c r="D3236" t="str">
        <f>IFERROR(VLOOKUP(tbEscolas[[#This Row],[COD ETPA]],tbEtapas[],2,FALSE),"")</f>
        <v/>
      </c>
      <c r="E3236" t="str">
        <f>IFERROR(VLOOKUP(tbEscolas[[#This Row],[COD ETPA]],tbEtapas[],3,FALSE),"")</f>
        <v/>
      </c>
    </row>
    <row r="3237" spans="1:5" x14ac:dyDescent="0.25">
      <c r="A3237" t="str" cm="1">
        <f t="array" ref="A3237">IFERROR(INDEX(tbNucleo[ESCOLA],ROUNDUP(ROW(A3236)/TotalEtapas,0)),"")</f>
        <v/>
      </c>
      <c r="D3237" t="str">
        <f>IFERROR(VLOOKUP(tbEscolas[[#This Row],[COD ETPA]],tbEtapas[],2,FALSE),"")</f>
        <v/>
      </c>
      <c r="E3237" t="str">
        <f>IFERROR(VLOOKUP(tbEscolas[[#This Row],[COD ETPA]],tbEtapas[],3,FALSE),"")</f>
        <v/>
      </c>
    </row>
    <row r="3238" spans="1:5" x14ac:dyDescent="0.25">
      <c r="A3238" t="str" cm="1">
        <f t="array" ref="A3238">IFERROR(INDEX(tbNucleo[ESCOLA],ROUNDUP(ROW(A3237)/TotalEtapas,0)),"")</f>
        <v/>
      </c>
      <c r="D3238" t="str">
        <f>IFERROR(VLOOKUP(tbEscolas[[#This Row],[COD ETPA]],tbEtapas[],2,FALSE),"")</f>
        <v/>
      </c>
      <c r="E3238" t="str">
        <f>IFERROR(VLOOKUP(tbEscolas[[#This Row],[COD ETPA]],tbEtapas[],3,FALSE),"")</f>
        <v/>
      </c>
    </row>
    <row r="3239" spans="1:5" x14ac:dyDescent="0.25">
      <c r="A3239" t="str" cm="1">
        <f t="array" ref="A3239">IFERROR(INDEX(tbNucleo[ESCOLA],ROUNDUP(ROW(A3238)/TotalEtapas,0)),"")</f>
        <v/>
      </c>
      <c r="D3239" t="str">
        <f>IFERROR(VLOOKUP(tbEscolas[[#This Row],[COD ETPA]],tbEtapas[],2,FALSE),"")</f>
        <v/>
      </c>
      <c r="E3239" t="str">
        <f>IFERROR(VLOOKUP(tbEscolas[[#This Row],[COD ETPA]],tbEtapas[],3,FALSE),"")</f>
        <v/>
      </c>
    </row>
    <row r="3240" spans="1:5" x14ac:dyDescent="0.25">
      <c r="A3240" t="str" cm="1">
        <f t="array" ref="A3240">IFERROR(INDEX(tbNucleo[ESCOLA],ROUNDUP(ROW(A3239)/TotalEtapas,0)),"")</f>
        <v/>
      </c>
      <c r="D3240" t="str">
        <f>IFERROR(VLOOKUP(tbEscolas[[#This Row],[COD ETPA]],tbEtapas[],2,FALSE),"")</f>
        <v/>
      </c>
      <c r="E3240" t="str">
        <f>IFERROR(VLOOKUP(tbEscolas[[#This Row],[COD ETPA]],tbEtapas[],3,FALSE),"")</f>
        <v/>
      </c>
    </row>
    <row r="3241" spans="1:5" x14ac:dyDescent="0.25">
      <c r="A3241" t="str" cm="1">
        <f t="array" ref="A3241">IFERROR(INDEX(tbNucleo[ESCOLA],ROUNDUP(ROW(A3240)/TotalEtapas,0)),"")</f>
        <v/>
      </c>
      <c r="D3241" t="str">
        <f>IFERROR(VLOOKUP(tbEscolas[[#This Row],[COD ETPA]],tbEtapas[],2,FALSE),"")</f>
        <v/>
      </c>
      <c r="E3241" t="str">
        <f>IFERROR(VLOOKUP(tbEscolas[[#This Row],[COD ETPA]],tbEtapas[],3,FALSE),"")</f>
        <v/>
      </c>
    </row>
    <row r="3242" spans="1:5" x14ac:dyDescent="0.25">
      <c r="A3242" t="str" cm="1">
        <f t="array" ref="A3242">IFERROR(INDEX(tbNucleo[ESCOLA],ROUNDUP(ROW(A3241)/TotalEtapas,0)),"")</f>
        <v/>
      </c>
      <c r="D3242" t="str">
        <f>IFERROR(VLOOKUP(tbEscolas[[#This Row],[COD ETPA]],tbEtapas[],2,FALSE),"")</f>
        <v/>
      </c>
      <c r="E3242" t="str">
        <f>IFERROR(VLOOKUP(tbEscolas[[#This Row],[COD ETPA]],tbEtapas[],3,FALSE),"")</f>
        <v/>
      </c>
    </row>
    <row r="3243" spans="1:5" x14ac:dyDescent="0.25">
      <c r="A3243" t="str" cm="1">
        <f t="array" ref="A3243">IFERROR(INDEX(tbNucleo[ESCOLA],ROUNDUP(ROW(A3242)/TotalEtapas,0)),"")</f>
        <v/>
      </c>
      <c r="D3243" t="str">
        <f>IFERROR(VLOOKUP(tbEscolas[[#This Row],[COD ETPA]],tbEtapas[],2,FALSE),"")</f>
        <v/>
      </c>
      <c r="E3243" t="str">
        <f>IFERROR(VLOOKUP(tbEscolas[[#This Row],[COD ETPA]],tbEtapas[],3,FALSE),"")</f>
        <v/>
      </c>
    </row>
    <row r="3244" spans="1:5" x14ac:dyDescent="0.25">
      <c r="A3244" t="str" cm="1">
        <f t="array" ref="A3244">IFERROR(INDEX(tbNucleo[ESCOLA],ROUNDUP(ROW(A3243)/TotalEtapas,0)),"")</f>
        <v/>
      </c>
      <c r="D3244" t="str">
        <f>IFERROR(VLOOKUP(tbEscolas[[#This Row],[COD ETPA]],tbEtapas[],2,FALSE),"")</f>
        <v/>
      </c>
      <c r="E3244" t="str">
        <f>IFERROR(VLOOKUP(tbEscolas[[#This Row],[COD ETPA]],tbEtapas[],3,FALSE),"")</f>
        <v/>
      </c>
    </row>
    <row r="3245" spans="1:5" x14ac:dyDescent="0.25">
      <c r="A3245" t="str" cm="1">
        <f t="array" ref="A3245">IFERROR(INDEX(tbNucleo[ESCOLA],ROUNDUP(ROW(A3244)/TotalEtapas,0)),"")</f>
        <v/>
      </c>
      <c r="D3245" t="str">
        <f>IFERROR(VLOOKUP(tbEscolas[[#This Row],[COD ETPA]],tbEtapas[],2,FALSE),"")</f>
        <v/>
      </c>
      <c r="E3245" t="str">
        <f>IFERROR(VLOOKUP(tbEscolas[[#This Row],[COD ETPA]],tbEtapas[],3,FALSE),"")</f>
        <v/>
      </c>
    </row>
    <row r="3246" spans="1:5" x14ac:dyDescent="0.25">
      <c r="A3246" t="str" cm="1">
        <f t="array" ref="A3246">IFERROR(INDEX(tbNucleo[ESCOLA],ROUNDUP(ROW(A3245)/TotalEtapas,0)),"")</f>
        <v/>
      </c>
      <c r="D3246" t="str">
        <f>IFERROR(VLOOKUP(tbEscolas[[#This Row],[COD ETPA]],tbEtapas[],2,FALSE),"")</f>
        <v/>
      </c>
      <c r="E3246" t="str">
        <f>IFERROR(VLOOKUP(tbEscolas[[#This Row],[COD ETPA]],tbEtapas[],3,FALSE),"")</f>
        <v/>
      </c>
    </row>
    <row r="3247" spans="1:5" x14ac:dyDescent="0.25">
      <c r="A3247" t="str" cm="1">
        <f t="array" ref="A3247">IFERROR(INDEX(tbNucleo[ESCOLA],ROUNDUP(ROW(A3246)/TotalEtapas,0)),"")</f>
        <v/>
      </c>
      <c r="D3247" t="str">
        <f>IFERROR(VLOOKUP(tbEscolas[[#This Row],[COD ETPA]],tbEtapas[],2,FALSE),"")</f>
        <v/>
      </c>
      <c r="E3247" t="str">
        <f>IFERROR(VLOOKUP(tbEscolas[[#This Row],[COD ETPA]],tbEtapas[],3,FALSE),"")</f>
        <v/>
      </c>
    </row>
    <row r="3248" spans="1:5" x14ac:dyDescent="0.25">
      <c r="A3248" t="str" cm="1">
        <f t="array" ref="A3248">IFERROR(INDEX(tbNucleo[ESCOLA],ROUNDUP(ROW(A3247)/TotalEtapas,0)),"")</f>
        <v/>
      </c>
      <c r="D3248" t="str">
        <f>IFERROR(VLOOKUP(tbEscolas[[#This Row],[COD ETPA]],tbEtapas[],2,FALSE),"")</f>
        <v/>
      </c>
      <c r="E3248" t="str">
        <f>IFERROR(VLOOKUP(tbEscolas[[#This Row],[COD ETPA]],tbEtapas[],3,FALSE),"")</f>
        <v/>
      </c>
    </row>
    <row r="3249" spans="1:5" x14ac:dyDescent="0.25">
      <c r="A3249" t="str" cm="1">
        <f t="array" ref="A3249">IFERROR(INDEX(tbNucleo[ESCOLA],ROUNDUP(ROW(A3248)/TotalEtapas,0)),"")</f>
        <v/>
      </c>
      <c r="D3249" t="str">
        <f>IFERROR(VLOOKUP(tbEscolas[[#This Row],[COD ETPA]],tbEtapas[],2,FALSE),"")</f>
        <v/>
      </c>
      <c r="E3249" t="str">
        <f>IFERROR(VLOOKUP(tbEscolas[[#This Row],[COD ETPA]],tbEtapas[],3,FALSE),"")</f>
        <v/>
      </c>
    </row>
    <row r="3250" spans="1:5" x14ac:dyDescent="0.25">
      <c r="A3250" t="str" cm="1">
        <f t="array" ref="A3250">IFERROR(INDEX(tbNucleo[ESCOLA],ROUNDUP(ROW(A3249)/TotalEtapas,0)),"")</f>
        <v/>
      </c>
      <c r="D3250" t="str">
        <f>IFERROR(VLOOKUP(tbEscolas[[#This Row],[COD ETPA]],tbEtapas[],2,FALSE),"")</f>
        <v/>
      </c>
      <c r="E3250" t="str">
        <f>IFERROR(VLOOKUP(tbEscolas[[#This Row],[COD ETPA]],tbEtapas[],3,FALSE),"")</f>
        <v/>
      </c>
    </row>
    <row r="3251" spans="1:5" x14ac:dyDescent="0.25">
      <c r="A3251" t="str" cm="1">
        <f t="array" ref="A3251">IFERROR(INDEX(tbNucleo[ESCOLA],ROUNDUP(ROW(A3250)/TotalEtapas,0)),"")</f>
        <v/>
      </c>
      <c r="D3251" t="str">
        <f>IFERROR(VLOOKUP(tbEscolas[[#This Row],[COD ETPA]],tbEtapas[],2,FALSE),"")</f>
        <v/>
      </c>
      <c r="E3251" t="str">
        <f>IFERROR(VLOOKUP(tbEscolas[[#This Row],[COD ETPA]],tbEtapas[],3,FALSE),"")</f>
        <v/>
      </c>
    </row>
    <row r="3252" spans="1:5" x14ac:dyDescent="0.25">
      <c r="A3252" t="str" cm="1">
        <f t="array" ref="A3252">IFERROR(INDEX(tbNucleo[ESCOLA],ROUNDUP(ROW(A3251)/TotalEtapas,0)),"")</f>
        <v/>
      </c>
      <c r="D3252" t="str">
        <f>IFERROR(VLOOKUP(tbEscolas[[#This Row],[COD ETPA]],tbEtapas[],2,FALSE),"")</f>
        <v/>
      </c>
      <c r="E3252" t="str">
        <f>IFERROR(VLOOKUP(tbEscolas[[#This Row],[COD ETPA]],tbEtapas[],3,FALSE),"")</f>
        <v/>
      </c>
    </row>
    <row r="3253" spans="1:5" x14ac:dyDescent="0.25">
      <c r="A3253" t="str" cm="1">
        <f t="array" ref="A3253">IFERROR(INDEX(tbNucleo[ESCOLA],ROUNDUP(ROW(A3252)/TotalEtapas,0)),"")</f>
        <v/>
      </c>
      <c r="D3253" t="str">
        <f>IFERROR(VLOOKUP(tbEscolas[[#This Row],[COD ETPA]],tbEtapas[],2,FALSE),"")</f>
        <v/>
      </c>
      <c r="E3253" t="str">
        <f>IFERROR(VLOOKUP(tbEscolas[[#This Row],[COD ETPA]],tbEtapas[],3,FALSE),"")</f>
        <v/>
      </c>
    </row>
    <row r="3254" spans="1:5" x14ac:dyDescent="0.25">
      <c r="A3254" t="str" cm="1">
        <f t="array" ref="A3254">IFERROR(INDEX(tbNucleo[ESCOLA],ROUNDUP(ROW(A3253)/TotalEtapas,0)),"")</f>
        <v/>
      </c>
      <c r="D3254" t="str">
        <f>IFERROR(VLOOKUP(tbEscolas[[#This Row],[COD ETPA]],tbEtapas[],2,FALSE),"")</f>
        <v/>
      </c>
      <c r="E3254" t="str">
        <f>IFERROR(VLOOKUP(tbEscolas[[#This Row],[COD ETPA]],tbEtapas[],3,FALSE),"")</f>
        <v/>
      </c>
    </row>
    <row r="3255" spans="1:5" x14ac:dyDescent="0.25">
      <c r="A3255" t="str" cm="1">
        <f t="array" ref="A3255">IFERROR(INDEX(tbNucleo[ESCOLA],ROUNDUP(ROW(A3254)/TotalEtapas,0)),"")</f>
        <v/>
      </c>
      <c r="D3255" t="str">
        <f>IFERROR(VLOOKUP(tbEscolas[[#This Row],[COD ETPA]],tbEtapas[],2,FALSE),"")</f>
        <v/>
      </c>
      <c r="E3255" t="str">
        <f>IFERROR(VLOOKUP(tbEscolas[[#This Row],[COD ETPA]],tbEtapas[],3,FALSE),"")</f>
        <v/>
      </c>
    </row>
    <row r="3256" spans="1:5" x14ac:dyDescent="0.25">
      <c r="A3256" t="str" cm="1">
        <f t="array" ref="A3256">IFERROR(INDEX(tbNucleo[ESCOLA],ROUNDUP(ROW(A3255)/TotalEtapas,0)),"")</f>
        <v/>
      </c>
      <c r="D3256" t="str">
        <f>IFERROR(VLOOKUP(tbEscolas[[#This Row],[COD ETPA]],tbEtapas[],2,FALSE),"")</f>
        <v/>
      </c>
      <c r="E3256" t="str">
        <f>IFERROR(VLOOKUP(tbEscolas[[#This Row],[COD ETPA]],tbEtapas[],3,FALSE),"")</f>
        <v/>
      </c>
    </row>
    <row r="3257" spans="1:5" x14ac:dyDescent="0.25">
      <c r="A3257" t="str" cm="1">
        <f t="array" ref="A3257">IFERROR(INDEX(tbNucleo[ESCOLA],ROUNDUP(ROW(A3256)/TotalEtapas,0)),"")</f>
        <v/>
      </c>
      <c r="D3257" t="str">
        <f>IFERROR(VLOOKUP(tbEscolas[[#This Row],[COD ETPA]],tbEtapas[],2,FALSE),"")</f>
        <v/>
      </c>
      <c r="E3257" t="str">
        <f>IFERROR(VLOOKUP(tbEscolas[[#This Row],[COD ETPA]],tbEtapas[],3,FALSE),"")</f>
        <v/>
      </c>
    </row>
    <row r="3258" spans="1:5" x14ac:dyDescent="0.25">
      <c r="A3258" t="str" cm="1">
        <f t="array" ref="A3258">IFERROR(INDEX(tbNucleo[ESCOLA],ROUNDUP(ROW(A3257)/TotalEtapas,0)),"")</f>
        <v/>
      </c>
      <c r="D3258" t="str">
        <f>IFERROR(VLOOKUP(tbEscolas[[#This Row],[COD ETPA]],tbEtapas[],2,FALSE),"")</f>
        <v/>
      </c>
      <c r="E3258" t="str">
        <f>IFERROR(VLOOKUP(tbEscolas[[#This Row],[COD ETPA]],tbEtapas[],3,FALSE),"")</f>
        <v/>
      </c>
    </row>
    <row r="3259" spans="1:5" x14ac:dyDescent="0.25">
      <c r="A3259" t="str" cm="1">
        <f t="array" ref="A3259">IFERROR(INDEX(tbNucleo[ESCOLA],ROUNDUP(ROW(A3258)/TotalEtapas,0)),"")</f>
        <v/>
      </c>
      <c r="D3259" t="str">
        <f>IFERROR(VLOOKUP(tbEscolas[[#This Row],[COD ETPA]],tbEtapas[],2,FALSE),"")</f>
        <v/>
      </c>
      <c r="E3259" t="str">
        <f>IFERROR(VLOOKUP(tbEscolas[[#This Row],[COD ETPA]],tbEtapas[],3,FALSE),"")</f>
        <v/>
      </c>
    </row>
    <row r="3260" spans="1:5" x14ac:dyDescent="0.25">
      <c r="A3260" t="str" cm="1">
        <f t="array" ref="A3260">IFERROR(INDEX(tbNucleo[ESCOLA],ROUNDUP(ROW(A3259)/TotalEtapas,0)),"")</f>
        <v/>
      </c>
      <c r="D3260" t="str">
        <f>IFERROR(VLOOKUP(tbEscolas[[#This Row],[COD ETPA]],tbEtapas[],2,FALSE),"")</f>
        <v/>
      </c>
      <c r="E3260" t="str">
        <f>IFERROR(VLOOKUP(tbEscolas[[#This Row],[COD ETPA]],tbEtapas[],3,FALSE),"")</f>
        <v/>
      </c>
    </row>
    <row r="3261" spans="1:5" x14ac:dyDescent="0.25">
      <c r="A3261" t="str" cm="1">
        <f t="array" ref="A3261">IFERROR(INDEX(tbNucleo[ESCOLA],ROUNDUP(ROW(A3260)/TotalEtapas,0)),"")</f>
        <v/>
      </c>
      <c r="D3261" t="str">
        <f>IFERROR(VLOOKUP(tbEscolas[[#This Row],[COD ETPA]],tbEtapas[],2,FALSE),"")</f>
        <v/>
      </c>
      <c r="E3261" t="str">
        <f>IFERROR(VLOOKUP(tbEscolas[[#This Row],[COD ETPA]],tbEtapas[],3,FALSE),"")</f>
        <v/>
      </c>
    </row>
    <row r="3262" spans="1:5" x14ac:dyDescent="0.25">
      <c r="A3262" t="str" cm="1">
        <f t="array" ref="A3262">IFERROR(INDEX(tbNucleo[ESCOLA],ROUNDUP(ROW(A3261)/TotalEtapas,0)),"")</f>
        <v/>
      </c>
      <c r="D3262" t="str">
        <f>IFERROR(VLOOKUP(tbEscolas[[#This Row],[COD ETPA]],tbEtapas[],2,FALSE),"")</f>
        <v/>
      </c>
      <c r="E3262" t="str">
        <f>IFERROR(VLOOKUP(tbEscolas[[#This Row],[COD ETPA]],tbEtapas[],3,FALSE),"")</f>
        <v/>
      </c>
    </row>
    <row r="3263" spans="1:5" x14ac:dyDescent="0.25">
      <c r="A3263" t="str" cm="1">
        <f t="array" ref="A3263">IFERROR(INDEX(tbNucleo[ESCOLA],ROUNDUP(ROW(A3262)/TotalEtapas,0)),"")</f>
        <v/>
      </c>
      <c r="D3263" t="str">
        <f>IFERROR(VLOOKUP(tbEscolas[[#This Row],[COD ETPA]],tbEtapas[],2,FALSE),"")</f>
        <v/>
      </c>
      <c r="E3263" t="str">
        <f>IFERROR(VLOOKUP(tbEscolas[[#This Row],[COD ETPA]],tbEtapas[],3,FALSE),"")</f>
        <v/>
      </c>
    </row>
    <row r="3264" spans="1:5" x14ac:dyDescent="0.25">
      <c r="A3264" t="str" cm="1">
        <f t="array" ref="A3264">IFERROR(INDEX(tbNucleo[ESCOLA],ROUNDUP(ROW(A3263)/TotalEtapas,0)),"")</f>
        <v/>
      </c>
      <c r="D3264" t="str">
        <f>IFERROR(VLOOKUP(tbEscolas[[#This Row],[COD ETPA]],tbEtapas[],2,FALSE),"")</f>
        <v/>
      </c>
      <c r="E3264" t="str">
        <f>IFERROR(VLOOKUP(tbEscolas[[#This Row],[COD ETPA]],tbEtapas[],3,FALSE),"")</f>
        <v/>
      </c>
    </row>
    <row r="3265" spans="1:5" x14ac:dyDescent="0.25">
      <c r="A3265" t="str" cm="1">
        <f t="array" ref="A3265">IFERROR(INDEX(tbNucleo[ESCOLA],ROUNDUP(ROW(A3264)/TotalEtapas,0)),"")</f>
        <v/>
      </c>
      <c r="D3265" t="str">
        <f>IFERROR(VLOOKUP(tbEscolas[[#This Row],[COD ETPA]],tbEtapas[],2,FALSE),"")</f>
        <v/>
      </c>
      <c r="E3265" t="str">
        <f>IFERROR(VLOOKUP(tbEscolas[[#This Row],[COD ETPA]],tbEtapas[],3,FALSE),"")</f>
        <v/>
      </c>
    </row>
    <row r="3266" spans="1:5" x14ac:dyDescent="0.25">
      <c r="A3266" t="str" cm="1">
        <f t="array" ref="A3266">IFERROR(INDEX(tbNucleo[ESCOLA],ROUNDUP(ROW(A3265)/TotalEtapas,0)),"")</f>
        <v/>
      </c>
      <c r="D3266" t="str">
        <f>IFERROR(VLOOKUP(tbEscolas[[#This Row],[COD ETPA]],tbEtapas[],2,FALSE),"")</f>
        <v/>
      </c>
      <c r="E3266" t="str">
        <f>IFERROR(VLOOKUP(tbEscolas[[#This Row],[COD ETPA]],tbEtapas[],3,FALSE),"")</f>
        <v/>
      </c>
    </row>
    <row r="3267" spans="1:5" x14ac:dyDescent="0.25">
      <c r="A3267" t="str" cm="1">
        <f t="array" ref="A3267">IFERROR(INDEX(tbNucleo[ESCOLA],ROUNDUP(ROW(A3266)/TotalEtapas,0)),"")</f>
        <v/>
      </c>
      <c r="D3267" t="str">
        <f>IFERROR(VLOOKUP(tbEscolas[[#This Row],[COD ETPA]],tbEtapas[],2,FALSE),"")</f>
        <v/>
      </c>
      <c r="E3267" t="str">
        <f>IFERROR(VLOOKUP(tbEscolas[[#This Row],[COD ETPA]],tbEtapas[],3,FALSE),"")</f>
        <v/>
      </c>
    </row>
    <row r="3268" spans="1:5" x14ac:dyDescent="0.25">
      <c r="A3268" t="str" cm="1">
        <f t="array" ref="A3268">IFERROR(INDEX(tbNucleo[ESCOLA],ROUNDUP(ROW(A3267)/TotalEtapas,0)),"")</f>
        <v/>
      </c>
      <c r="D3268" t="str">
        <f>IFERROR(VLOOKUP(tbEscolas[[#This Row],[COD ETPA]],tbEtapas[],2,FALSE),"")</f>
        <v/>
      </c>
      <c r="E3268" t="str">
        <f>IFERROR(VLOOKUP(tbEscolas[[#This Row],[COD ETPA]],tbEtapas[],3,FALSE),"")</f>
        <v/>
      </c>
    </row>
    <row r="3269" spans="1:5" x14ac:dyDescent="0.25">
      <c r="A3269" t="str" cm="1">
        <f t="array" ref="A3269">IFERROR(INDEX(tbNucleo[ESCOLA],ROUNDUP(ROW(A3268)/TotalEtapas,0)),"")</f>
        <v/>
      </c>
      <c r="D3269" t="str">
        <f>IFERROR(VLOOKUP(tbEscolas[[#This Row],[COD ETPA]],tbEtapas[],2,FALSE),"")</f>
        <v/>
      </c>
      <c r="E3269" t="str">
        <f>IFERROR(VLOOKUP(tbEscolas[[#This Row],[COD ETPA]],tbEtapas[],3,FALSE),"")</f>
        <v/>
      </c>
    </row>
    <row r="3270" spans="1:5" x14ac:dyDescent="0.25">
      <c r="A3270" t="str" cm="1">
        <f t="array" ref="A3270">IFERROR(INDEX(tbNucleo[ESCOLA],ROUNDUP(ROW(A3269)/TotalEtapas,0)),"")</f>
        <v/>
      </c>
      <c r="D3270" t="str">
        <f>IFERROR(VLOOKUP(tbEscolas[[#This Row],[COD ETPA]],tbEtapas[],2,FALSE),"")</f>
        <v/>
      </c>
      <c r="E3270" t="str">
        <f>IFERROR(VLOOKUP(tbEscolas[[#This Row],[COD ETPA]],tbEtapas[],3,FALSE),"")</f>
        <v/>
      </c>
    </row>
    <row r="3271" spans="1:5" x14ac:dyDescent="0.25">
      <c r="A3271" t="str" cm="1">
        <f t="array" ref="A3271">IFERROR(INDEX(tbNucleo[ESCOLA],ROUNDUP(ROW(A3270)/TotalEtapas,0)),"")</f>
        <v/>
      </c>
      <c r="D3271" t="str">
        <f>IFERROR(VLOOKUP(tbEscolas[[#This Row],[COD ETPA]],tbEtapas[],2,FALSE),"")</f>
        <v/>
      </c>
      <c r="E3271" t="str">
        <f>IFERROR(VLOOKUP(tbEscolas[[#This Row],[COD ETPA]],tbEtapas[],3,FALSE),"")</f>
        <v/>
      </c>
    </row>
    <row r="3272" spans="1:5" x14ac:dyDescent="0.25">
      <c r="A3272" t="str" cm="1">
        <f t="array" ref="A3272">IFERROR(INDEX(tbNucleo[ESCOLA],ROUNDUP(ROW(A3271)/TotalEtapas,0)),"")</f>
        <v/>
      </c>
      <c r="D3272" t="str">
        <f>IFERROR(VLOOKUP(tbEscolas[[#This Row],[COD ETPA]],tbEtapas[],2,FALSE),"")</f>
        <v/>
      </c>
      <c r="E3272" t="str">
        <f>IFERROR(VLOOKUP(tbEscolas[[#This Row],[COD ETPA]],tbEtapas[],3,FALSE),"")</f>
        <v/>
      </c>
    </row>
    <row r="3273" spans="1:5" x14ac:dyDescent="0.25">
      <c r="A3273" t="str" cm="1">
        <f t="array" ref="A3273">IFERROR(INDEX(tbNucleo[ESCOLA],ROUNDUP(ROW(A3272)/TotalEtapas,0)),"")</f>
        <v/>
      </c>
      <c r="D3273" t="str">
        <f>IFERROR(VLOOKUP(tbEscolas[[#This Row],[COD ETPA]],tbEtapas[],2,FALSE),"")</f>
        <v/>
      </c>
      <c r="E3273" t="str">
        <f>IFERROR(VLOOKUP(tbEscolas[[#This Row],[COD ETPA]],tbEtapas[],3,FALSE),"")</f>
        <v/>
      </c>
    </row>
    <row r="3274" spans="1:5" x14ac:dyDescent="0.25">
      <c r="A3274" t="str" cm="1">
        <f t="array" ref="A3274">IFERROR(INDEX(tbNucleo[ESCOLA],ROUNDUP(ROW(A3273)/TotalEtapas,0)),"")</f>
        <v/>
      </c>
      <c r="D3274" t="str">
        <f>IFERROR(VLOOKUP(tbEscolas[[#This Row],[COD ETPA]],tbEtapas[],2,FALSE),"")</f>
        <v/>
      </c>
      <c r="E3274" t="str">
        <f>IFERROR(VLOOKUP(tbEscolas[[#This Row],[COD ETPA]],tbEtapas[],3,FALSE),"")</f>
        <v/>
      </c>
    </row>
    <row r="3275" spans="1:5" x14ac:dyDescent="0.25">
      <c r="A3275" t="str" cm="1">
        <f t="array" ref="A3275">IFERROR(INDEX(tbNucleo[ESCOLA],ROUNDUP(ROW(A3274)/TotalEtapas,0)),"")</f>
        <v/>
      </c>
      <c r="D3275" t="str">
        <f>IFERROR(VLOOKUP(tbEscolas[[#This Row],[COD ETPA]],tbEtapas[],2,FALSE),"")</f>
        <v/>
      </c>
      <c r="E3275" t="str">
        <f>IFERROR(VLOOKUP(tbEscolas[[#This Row],[COD ETPA]],tbEtapas[],3,FALSE),"")</f>
        <v/>
      </c>
    </row>
    <row r="3276" spans="1:5" x14ac:dyDescent="0.25">
      <c r="A3276" t="str" cm="1">
        <f t="array" ref="A3276">IFERROR(INDEX(tbNucleo[ESCOLA],ROUNDUP(ROW(A3275)/TotalEtapas,0)),"")</f>
        <v/>
      </c>
      <c r="D3276" t="str">
        <f>IFERROR(VLOOKUP(tbEscolas[[#This Row],[COD ETPA]],tbEtapas[],2,FALSE),"")</f>
        <v/>
      </c>
      <c r="E3276" t="str">
        <f>IFERROR(VLOOKUP(tbEscolas[[#This Row],[COD ETPA]],tbEtapas[],3,FALSE),"")</f>
        <v/>
      </c>
    </row>
    <row r="3277" spans="1:5" x14ac:dyDescent="0.25">
      <c r="A3277" t="str" cm="1">
        <f t="array" ref="A3277">IFERROR(INDEX(tbNucleo[ESCOLA],ROUNDUP(ROW(A3276)/TotalEtapas,0)),"")</f>
        <v/>
      </c>
      <c r="D3277" t="str">
        <f>IFERROR(VLOOKUP(tbEscolas[[#This Row],[COD ETPA]],tbEtapas[],2,FALSE),"")</f>
        <v/>
      </c>
      <c r="E3277" t="str">
        <f>IFERROR(VLOOKUP(tbEscolas[[#This Row],[COD ETPA]],tbEtapas[],3,FALSE),"")</f>
        <v/>
      </c>
    </row>
    <row r="3278" spans="1:5" x14ac:dyDescent="0.25">
      <c r="A3278" t="str" cm="1">
        <f t="array" ref="A3278">IFERROR(INDEX(tbNucleo[ESCOLA],ROUNDUP(ROW(A3277)/TotalEtapas,0)),"")</f>
        <v/>
      </c>
      <c r="D3278" t="str">
        <f>IFERROR(VLOOKUP(tbEscolas[[#This Row],[COD ETPA]],tbEtapas[],2,FALSE),"")</f>
        <v/>
      </c>
      <c r="E3278" t="str">
        <f>IFERROR(VLOOKUP(tbEscolas[[#This Row],[COD ETPA]],tbEtapas[],3,FALSE),"")</f>
        <v/>
      </c>
    </row>
    <row r="3279" spans="1:5" x14ac:dyDescent="0.25">
      <c r="A3279" t="str" cm="1">
        <f t="array" ref="A3279">IFERROR(INDEX(tbNucleo[ESCOLA],ROUNDUP(ROW(A3278)/TotalEtapas,0)),"")</f>
        <v/>
      </c>
      <c r="D3279" t="str">
        <f>IFERROR(VLOOKUP(tbEscolas[[#This Row],[COD ETPA]],tbEtapas[],2,FALSE),"")</f>
        <v/>
      </c>
      <c r="E3279" t="str">
        <f>IFERROR(VLOOKUP(tbEscolas[[#This Row],[COD ETPA]],tbEtapas[],3,FALSE),"")</f>
        <v/>
      </c>
    </row>
    <row r="3280" spans="1:5" x14ac:dyDescent="0.25">
      <c r="A3280" t="str" cm="1">
        <f t="array" ref="A3280">IFERROR(INDEX(tbNucleo[ESCOLA],ROUNDUP(ROW(A3279)/TotalEtapas,0)),"")</f>
        <v/>
      </c>
      <c r="D3280" t="str">
        <f>IFERROR(VLOOKUP(tbEscolas[[#This Row],[COD ETPA]],tbEtapas[],2,FALSE),"")</f>
        <v/>
      </c>
      <c r="E3280" t="str">
        <f>IFERROR(VLOOKUP(tbEscolas[[#This Row],[COD ETPA]],tbEtapas[],3,FALSE),"")</f>
        <v/>
      </c>
    </row>
    <row r="3281" spans="1:5" x14ac:dyDescent="0.25">
      <c r="A3281" t="str" cm="1">
        <f t="array" ref="A3281">IFERROR(INDEX(tbNucleo[ESCOLA],ROUNDUP(ROW(A3280)/TotalEtapas,0)),"")</f>
        <v/>
      </c>
      <c r="D3281" t="str">
        <f>IFERROR(VLOOKUP(tbEscolas[[#This Row],[COD ETPA]],tbEtapas[],2,FALSE),"")</f>
        <v/>
      </c>
      <c r="E3281" t="str">
        <f>IFERROR(VLOOKUP(tbEscolas[[#This Row],[COD ETPA]],tbEtapas[],3,FALSE),"")</f>
        <v/>
      </c>
    </row>
    <row r="3282" spans="1:5" x14ac:dyDescent="0.25">
      <c r="A3282" t="str" cm="1">
        <f t="array" ref="A3282">IFERROR(INDEX(tbNucleo[ESCOLA],ROUNDUP(ROW(A3281)/TotalEtapas,0)),"")</f>
        <v/>
      </c>
      <c r="D3282" t="str">
        <f>IFERROR(VLOOKUP(tbEscolas[[#This Row],[COD ETPA]],tbEtapas[],2,FALSE),"")</f>
        <v/>
      </c>
      <c r="E3282" t="str">
        <f>IFERROR(VLOOKUP(tbEscolas[[#This Row],[COD ETPA]],tbEtapas[],3,FALSE),"")</f>
        <v/>
      </c>
    </row>
    <row r="3283" spans="1:5" x14ac:dyDescent="0.25">
      <c r="A3283" t="str" cm="1">
        <f t="array" ref="A3283">IFERROR(INDEX(tbNucleo[ESCOLA],ROUNDUP(ROW(A3282)/TotalEtapas,0)),"")</f>
        <v/>
      </c>
      <c r="D3283" t="str">
        <f>IFERROR(VLOOKUP(tbEscolas[[#This Row],[COD ETPA]],tbEtapas[],2,FALSE),"")</f>
        <v/>
      </c>
      <c r="E3283" t="str">
        <f>IFERROR(VLOOKUP(tbEscolas[[#This Row],[COD ETPA]],tbEtapas[],3,FALSE),"")</f>
        <v/>
      </c>
    </row>
    <row r="3284" spans="1:5" x14ac:dyDescent="0.25">
      <c r="A3284" t="str" cm="1">
        <f t="array" ref="A3284">IFERROR(INDEX(tbNucleo[ESCOLA],ROUNDUP(ROW(A3283)/TotalEtapas,0)),"")</f>
        <v/>
      </c>
      <c r="D3284" t="str">
        <f>IFERROR(VLOOKUP(tbEscolas[[#This Row],[COD ETPA]],tbEtapas[],2,FALSE),"")</f>
        <v/>
      </c>
      <c r="E3284" t="str">
        <f>IFERROR(VLOOKUP(tbEscolas[[#This Row],[COD ETPA]],tbEtapas[],3,FALSE),"")</f>
        <v/>
      </c>
    </row>
    <row r="3285" spans="1:5" x14ac:dyDescent="0.25">
      <c r="A3285" t="str" cm="1">
        <f t="array" ref="A3285">IFERROR(INDEX(tbNucleo[ESCOLA],ROUNDUP(ROW(A3284)/TotalEtapas,0)),"")</f>
        <v/>
      </c>
      <c r="D3285" t="str">
        <f>IFERROR(VLOOKUP(tbEscolas[[#This Row],[COD ETPA]],tbEtapas[],2,FALSE),"")</f>
        <v/>
      </c>
      <c r="E3285" t="str">
        <f>IFERROR(VLOOKUP(tbEscolas[[#This Row],[COD ETPA]],tbEtapas[],3,FALSE),"")</f>
        <v/>
      </c>
    </row>
    <row r="3286" spans="1:5" x14ac:dyDescent="0.25">
      <c r="A3286" t="str" cm="1">
        <f t="array" ref="A3286">IFERROR(INDEX(tbNucleo[ESCOLA],ROUNDUP(ROW(A3285)/TotalEtapas,0)),"")</f>
        <v/>
      </c>
      <c r="D3286" t="str">
        <f>IFERROR(VLOOKUP(tbEscolas[[#This Row],[COD ETPA]],tbEtapas[],2,FALSE),"")</f>
        <v/>
      </c>
      <c r="E3286" t="str">
        <f>IFERROR(VLOOKUP(tbEscolas[[#This Row],[COD ETPA]],tbEtapas[],3,FALSE),"")</f>
        <v/>
      </c>
    </row>
    <row r="3287" spans="1:5" x14ac:dyDescent="0.25">
      <c r="A3287" t="str" cm="1">
        <f t="array" ref="A3287">IFERROR(INDEX(tbNucleo[ESCOLA],ROUNDUP(ROW(A3286)/TotalEtapas,0)),"")</f>
        <v/>
      </c>
      <c r="D3287" t="str">
        <f>IFERROR(VLOOKUP(tbEscolas[[#This Row],[COD ETPA]],tbEtapas[],2,FALSE),"")</f>
        <v/>
      </c>
      <c r="E3287" t="str">
        <f>IFERROR(VLOOKUP(tbEscolas[[#This Row],[COD ETPA]],tbEtapas[],3,FALSE),"")</f>
        <v/>
      </c>
    </row>
    <row r="3288" spans="1:5" x14ac:dyDescent="0.25">
      <c r="A3288" t="str" cm="1">
        <f t="array" ref="A3288">IFERROR(INDEX(tbNucleo[ESCOLA],ROUNDUP(ROW(A3287)/TotalEtapas,0)),"")</f>
        <v/>
      </c>
      <c r="D3288" t="str">
        <f>IFERROR(VLOOKUP(tbEscolas[[#This Row],[COD ETPA]],tbEtapas[],2,FALSE),"")</f>
        <v/>
      </c>
      <c r="E3288" t="str">
        <f>IFERROR(VLOOKUP(tbEscolas[[#This Row],[COD ETPA]],tbEtapas[],3,FALSE),"")</f>
        <v/>
      </c>
    </row>
    <row r="3289" spans="1:5" x14ac:dyDescent="0.25">
      <c r="A3289" t="str" cm="1">
        <f t="array" ref="A3289">IFERROR(INDEX(tbNucleo[ESCOLA],ROUNDUP(ROW(A3288)/TotalEtapas,0)),"")</f>
        <v/>
      </c>
      <c r="D3289" t="str">
        <f>IFERROR(VLOOKUP(tbEscolas[[#This Row],[COD ETPA]],tbEtapas[],2,FALSE),"")</f>
        <v/>
      </c>
      <c r="E3289" t="str">
        <f>IFERROR(VLOOKUP(tbEscolas[[#This Row],[COD ETPA]],tbEtapas[],3,FALSE),"")</f>
        <v/>
      </c>
    </row>
    <row r="3290" spans="1:5" x14ac:dyDescent="0.25">
      <c r="A3290" t="str" cm="1">
        <f t="array" ref="A3290">IFERROR(INDEX(tbNucleo[ESCOLA],ROUNDUP(ROW(A3289)/TotalEtapas,0)),"")</f>
        <v/>
      </c>
      <c r="D3290" t="str">
        <f>IFERROR(VLOOKUP(tbEscolas[[#This Row],[COD ETPA]],tbEtapas[],2,FALSE),"")</f>
        <v/>
      </c>
      <c r="E3290" t="str">
        <f>IFERROR(VLOOKUP(tbEscolas[[#This Row],[COD ETPA]],tbEtapas[],3,FALSE),"")</f>
        <v/>
      </c>
    </row>
    <row r="3291" spans="1:5" x14ac:dyDescent="0.25">
      <c r="A3291" t="str" cm="1">
        <f t="array" ref="A3291">IFERROR(INDEX(tbNucleo[ESCOLA],ROUNDUP(ROW(A3290)/TotalEtapas,0)),"")</f>
        <v/>
      </c>
      <c r="D3291" t="str">
        <f>IFERROR(VLOOKUP(tbEscolas[[#This Row],[COD ETPA]],tbEtapas[],2,FALSE),"")</f>
        <v/>
      </c>
      <c r="E3291" t="str">
        <f>IFERROR(VLOOKUP(tbEscolas[[#This Row],[COD ETPA]],tbEtapas[],3,FALSE),"")</f>
        <v/>
      </c>
    </row>
    <row r="3292" spans="1:5" x14ac:dyDescent="0.25">
      <c r="A3292" t="str" cm="1">
        <f t="array" ref="A3292">IFERROR(INDEX(tbNucleo[ESCOLA],ROUNDUP(ROW(A3291)/TotalEtapas,0)),"")</f>
        <v/>
      </c>
      <c r="D3292" t="str">
        <f>IFERROR(VLOOKUP(tbEscolas[[#This Row],[COD ETPA]],tbEtapas[],2,FALSE),"")</f>
        <v/>
      </c>
      <c r="E3292" t="str">
        <f>IFERROR(VLOOKUP(tbEscolas[[#This Row],[COD ETPA]],tbEtapas[],3,FALSE),"")</f>
        <v/>
      </c>
    </row>
    <row r="3293" spans="1:5" x14ac:dyDescent="0.25">
      <c r="A3293" t="str" cm="1">
        <f t="array" ref="A3293">IFERROR(INDEX(tbNucleo[ESCOLA],ROUNDUP(ROW(A3292)/TotalEtapas,0)),"")</f>
        <v/>
      </c>
      <c r="D3293" t="str">
        <f>IFERROR(VLOOKUP(tbEscolas[[#This Row],[COD ETPA]],tbEtapas[],2,FALSE),"")</f>
        <v/>
      </c>
      <c r="E3293" t="str">
        <f>IFERROR(VLOOKUP(tbEscolas[[#This Row],[COD ETPA]],tbEtapas[],3,FALSE),"")</f>
        <v/>
      </c>
    </row>
    <row r="3294" spans="1:5" x14ac:dyDescent="0.25">
      <c r="A3294" t="str" cm="1">
        <f t="array" ref="A3294">IFERROR(INDEX(tbNucleo[ESCOLA],ROUNDUP(ROW(A3293)/TotalEtapas,0)),"")</f>
        <v/>
      </c>
      <c r="D3294" t="str">
        <f>IFERROR(VLOOKUP(tbEscolas[[#This Row],[COD ETPA]],tbEtapas[],2,FALSE),"")</f>
        <v/>
      </c>
      <c r="E3294" t="str">
        <f>IFERROR(VLOOKUP(tbEscolas[[#This Row],[COD ETPA]],tbEtapas[],3,FALSE),"")</f>
        <v/>
      </c>
    </row>
    <row r="3295" spans="1:5" x14ac:dyDescent="0.25">
      <c r="A3295" t="str" cm="1">
        <f t="array" ref="A3295">IFERROR(INDEX(tbNucleo[ESCOLA],ROUNDUP(ROW(A3294)/TotalEtapas,0)),"")</f>
        <v/>
      </c>
      <c r="D3295" t="str">
        <f>IFERROR(VLOOKUP(tbEscolas[[#This Row],[COD ETPA]],tbEtapas[],2,FALSE),"")</f>
        <v/>
      </c>
      <c r="E3295" t="str">
        <f>IFERROR(VLOOKUP(tbEscolas[[#This Row],[COD ETPA]],tbEtapas[],3,FALSE),"")</f>
        <v/>
      </c>
    </row>
    <row r="3296" spans="1:5" x14ac:dyDescent="0.25">
      <c r="A3296" t="str" cm="1">
        <f t="array" ref="A3296">IFERROR(INDEX(tbNucleo[ESCOLA],ROUNDUP(ROW(A3295)/TotalEtapas,0)),"")</f>
        <v/>
      </c>
      <c r="D3296" t="str">
        <f>IFERROR(VLOOKUP(tbEscolas[[#This Row],[COD ETPA]],tbEtapas[],2,FALSE),"")</f>
        <v/>
      </c>
      <c r="E3296" t="str">
        <f>IFERROR(VLOOKUP(tbEscolas[[#This Row],[COD ETPA]],tbEtapas[],3,FALSE),"")</f>
        <v/>
      </c>
    </row>
    <row r="3297" spans="1:5" x14ac:dyDescent="0.25">
      <c r="A3297" t="str" cm="1">
        <f t="array" ref="A3297">IFERROR(INDEX(tbNucleo[ESCOLA],ROUNDUP(ROW(A3296)/TotalEtapas,0)),"")</f>
        <v/>
      </c>
      <c r="D3297" t="str">
        <f>IFERROR(VLOOKUP(tbEscolas[[#This Row],[COD ETPA]],tbEtapas[],2,FALSE),"")</f>
        <v/>
      </c>
      <c r="E3297" t="str">
        <f>IFERROR(VLOOKUP(tbEscolas[[#This Row],[COD ETPA]],tbEtapas[],3,FALSE),"")</f>
        <v/>
      </c>
    </row>
    <row r="3298" spans="1:5" x14ac:dyDescent="0.25">
      <c r="A3298" t="str" cm="1">
        <f t="array" ref="A3298">IFERROR(INDEX(tbNucleo[ESCOLA],ROUNDUP(ROW(A3297)/TotalEtapas,0)),"")</f>
        <v/>
      </c>
      <c r="D3298" t="str">
        <f>IFERROR(VLOOKUP(tbEscolas[[#This Row],[COD ETPA]],tbEtapas[],2,FALSE),"")</f>
        <v/>
      </c>
      <c r="E3298" t="str">
        <f>IFERROR(VLOOKUP(tbEscolas[[#This Row],[COD ETPA]],tbEtapas[],3,FALSE),"")</f>
        <v/>
      </c>
    </row>
    <row r="3299" spans="1:5" x14ac:dyDescent="0.25">
      <c r="A3299" t="str" cm="1">
        <f t="array" ref="A3299">IFERROR(INDEX(tbNucleo[ESCOLA],ROUNDUP(ROW(A3298)/TotalEtapas,0)),"")</f>
        <v/>
      </c>
      <c r="D3299" t="str">
        <f>IFERROR(VLOOKUP(tbEscolas[[#This Row],[COD ETPA]],tbEtapas[],2,FALSE),"")</f>
        <v/>
      </c>
      <c r="E3299" t="str">
        <f>IFERROR(VLOOKUP(tbEscolas[[#This Row],[COD ETPA]],tbEtapas[],3,FALSE),"")</f>
        <v/>
      </c>
    </row>
    <row r="3300" spans="1:5" x14ac:dyDescent="0.25">
      <c r="A3300" t="str" cm="1">
        <f t="array" ref="A3300">IFERROR(INDEX(tbNucleo[ESCOLA],ROUNDUP(ROW(A3299)/TotalEtapas,0)),"")</f>
        <v/>
      </c>
      <c r="D3300" t="str">
        <f>IFERROR(VLOOKUP(tbEscolas[[#This Row],[COD ETPA]],tbEtapas[],2,FALSE),"")</f>
        <v/>
      </c>
      <c r="E3300" t="str">
        <f>IFERROR(VLOOKUP(tbEscolas[[#This Row],[COD ETPA]],tbEtapas[],3,FALSE),"")</f>
        <v/>
      </c>
    </row>
    <row r="3301" spans="1:5" x14ac:dyDescent="0.25">
      <c r="A3301" t="str" cm="1">
        <f t="array" ref="A3301">IFERROR(INDEX(tbNucleo[ESCOLA],ROUNDUP(ROW(A3300)/TotalEtapas,0)),"")</f>
        <v/>
      </c>
      <c r="D3301" t="str">
        <f>IFERROR(VLOOKUP(tbEscolas[[#This Row],[COD ETPA]],tbEtapas[],2,FALSE),"")</f>
        <v/>
      </c>
      <c r="E3301" t="str">
        <f>IFERROR(VLOOKUP(tbEscolas[[#This Row],[COD ETPA]],tbEtapas[],3,FALSE),"")</f>
        <v/>
      </c>
    </row>
    <row r="3302" spans="1:5" x14ac:dyDescent="0.25">
      <c r="A3302" t="str" cm="1">
        <f t="array" ref="A3302">IFERROR(INDEX(tbNucleo[ESCOLA],ROUNDUP(ROW(A3301)/TotalEtapas,0)),"")</f>
        <v/>
      </c>
      <c r="D3302" t="str">
        <f>IFERROR(VLOOKUP(tbEscolas[[#This Row],[COD ETPA]],tbEtapas[],2,FALSE),"")</f>
        <v/>
      </c>
      <c r="E3302" t="str">
        <f>IFERROR(VLOOKUP(tbEscolas[[#This Row],[COD ETPA]],tbEtapas[],3,FALSE),"")</f>
        <v/>
      </c>
    </row>
    <row r="3303" spans="1:5" x14ac:dyDescent="0.25">
      <c r="A3303" t="str" cm="1">
        <f t="array" ref="A3303">IFERROR(INDEX(tbNucleo[ESCOLA],ROUNDUP(ROW(A3302)/TotalEtapas,0)),"")</f>
        <v/>
      </c>
      <c r="D3303" t="str">
        <f>IFERROR(VLOOKUP(tbEscolas[[#This Row],[COD ETPA]],tbEtapas[],2,FALSE),"")</f>
        <v/>
      </c>
      <c r="E3303" t="str">
        <f>IFERROR(VLOOKUP(tbEscolas[[#This Row],[COD ETPA]],tbEtapas[],3,FALSE),"")</f>
        <v/>
      </c>
    </row>
    <row r="3304" spans="1:5" x14ac:dyDescent="0.25">
      <c r="A3304" t="str" cm="1">
        <f t="array" ref="A3304">IFERROR(INDEX(tbNucleo[ESCOLA],ROUNDUP(ROW(A3303)/TotalEtapas,0)),"")</f>
        <v/>
      </c>
      <c r="D3304" t="str">
        <f>IFERROR(VLOOKUP(tbEscolas[[#This Row],[COD ETPA]],tbEtapas[],2,FALSE),"")</f>
        <v/>
      </c>
      <c r="E3304" t="str">
        <f>IFERROR(VLOOKUP(tbEscolas[[#This Row],[COD ETPA]],tbEtapas[],3,FALSE),"")</f>
        <v/>
      </c>
    </row>
    <row r="3305" spans="1:5" x14ac:dyDescent="0.25">
      <c r="A3305" t="str" cm="1">
        <f t="array" ref="A3305">IFERROR(INDEX(tbNucleo[ESCOLA],ROUNDUP(ROW(A3304)/TotalEtapas,0)),"")</f>
        <v/>
      </c>
      <c r="D3305" t="str">
        <f>IFERROR(VLOOKUP(tbEscolas[[#This Row],[COD ETPA]],tbEtapas[],2,FALSE),"")</f>
        <v/>
      </c>
      <c r="E3305" t="str">
        <f>IFERROR(VLOOKUP(tbEscolas[[#This Row],[COD ETPA]],tbEtapas[],3,FALSE),"")</f>
        <v/>
      </c>
    </row>
    <row r="3306" spans="1:5" x14ac:dyDescent="0.25">
      <c r="A3306" t="str" cm="1">
        <f t="array" ref="A3306">IFERROR(INDEX(tbNucleo[ESCOLA],ROUNDUP(ROW(A3305)/TotalEtapas,0)),"")</f>
        <v/>
      </c>
      <c r="D3306" t="str">
        <f>IFERROR(VLOOKUP(tbEscolas[[#This Row],[COD ETPA]],tbEtapas[],2,FALSE),"")</f>
        <v/>
      </c>
      <c r="E3306" t="str">
        <f>IFERROR(VLOOKUP(tbEscolas[[#This Row],[COD ETPA]],tbEtapas[],3,FALSE),"")</f>
        <v/>
      </c>
    </row>
    <row r="3307" spans="1:5" x14ac:dyDescent="0.25">
      <c r="A3307" t="str" cm="1">
        <f t="array" ref="A3307">IFERROR(INDEX(tbNucleo[ESCOLA],ROUNDUP(ROW(A3306)/TotalEtapas,0)),"")</f>
        <v/>
      </c>
      <c r="D3307" t="str">
        <f>IFERROR(VLOOKUP(tbEscolas[[#This Row],[COD ETPA]],tbEtapas[],2,FALSE),"")</f>
        <v/>
      </c>
      <c r="E3307" t="str">
        <f>IFERROR(VLOOKUP(tbEscolas[[#This Row],[COD ETPA]],tbEtapas[],3,FALSE),"")</f>
        <v/>
      </c>
    </row>
    <row r="3308" spans="1:5" x14ac:dyDescent="0.25">
      <c r="A3308" t="str" cm="1">
        <f t="array" ref="A3308">IFERROR(INDEX(tbNucleo[ESCOLA],ROUNDUP(ROW(A3307)/TotalEtapas,0)),"")</f>
        <v/>
      </c>
      <c r="D3308" t="str">
        <f>IFERROR(VLOOKUP(tbEscolas[[#This Row],[COD ETPA]],tbEtapas[],2,FALSE),"")</f>
        <v/>
      </c>
      <c r="E3308" t="str">
        <f>IFERROR(VLOOKUP(tbEscolas[[#This Row],[COD ETPA]],tbEtapas[],3,FALSE),"")</f>
        <v/>
      </c>
    </row>
    <row r="3309" spans="1:5" x14ac:dyDescent="0.25">
      <c r="A3309" t="str" cm="1">
        <f t="array" ref="A3309">IFERROR(INDEX(tbNucleo[ESCOLA],ROUNDUP(ROW(A3308)/TotalEtapas,0)),"")</f>
        <v/>
      </c>
      <c r="D3309" t="str">
        <f>IFERROR(VLOOKUP(tbEscolas[[#This Row],[COD ETPA]],tbEtapas[],2,FALSE),"")</f>
        <v/>
      </c>
      <c r="E3309" t="str">
        <f>IFERROR(VLOOKUP(tbEscolas[[#This Row],[COD ETPA]],tbEtapas[],3,FALSE),"")</f>
        <v/>
      </c>
    </row>
    <row r="3310" spans="1:5" x14ac:dyDescent="0.25">
      <c r="A3310" t="str" cm="1">
        <f t="array" ref="A3310">IFERROR(INDEX(tbNucleo[ESCOLA],ROUNDUP(ROW(A3309)/TotalEtapas,0)),"")</f>
        <v/>
      </c>
      <c r="D3310" t="str">
        <f>IFERROR(VLOOKUP(tbEscolas[[#This Row],[COD ETPA]],tbEtapas[],2,FALSE),"")</f>
        <v/>
      </c>
      <c r="E3310" t="str">
        <f>IFERROR(VLOOKUP(tbEscolas[[#This Row],[COD ETPA]],tbEtapas[],3,FALSE),"")</f>
        <v/>
      </c>
    </row>
    <row r="3311" spans="1:5" x14ac:dyDescent="0.25">
      <c r="A3311" t="str" cm="1">
        <f t="array" ref="A3311">IFERROR(INDEX(tbNucleo[ESCOLA],ROUNDUP(ROW(A3310)/TotalEtapas,0)),"")</f>
        <v/>
      </c>
      <c r="D3311" t="str">
        <f>IFERROR(VLOOKUP(tbEscolas[[#This Row],[COD ETPA]],tbEtapas[],2,FALSE),"")</f>
        <v/>
      </c>
      <c r="E3311" t="str">
        <f>IFERROR(VLOOKUP(tbEscolas[[#This Row],[COD ETPA]],tbEtapas[],3,FALSE),"")</f>
        <v/>
      </c>
    </row>
    <row r="3312" spans="1:5" x14ac:dyDescent="0.25">
      <c r="A3312" t="str" cm="1">
        <f t="array" ref="A3312">IFERROR(INDEX(tbNucleo[ESCOLA],ROUNDUP(ROW(A3311)/TotalEtapas,0)),"")</f>
        <v/>
      </c>
      <c r="D3312" t="str">
        <f>IFERROR(VLOOKUP(tbEscolas[[#This Row],[COD ETPA]],tbEtapas[],2,FALSE),"")</f>
        <v/>
      </c>
      <c r="E3312" t="str">
        <f>IFERROR(VLOOKUP(tbEscolas[[#This Row],[COD ETPA]],tbEtapas[],3,FALSE),"")</f>
        <v/>
      </c>
    </row>
    <row r="3313" spans="1:5" x14ac:dyDescent="0.25">
      <c r="A3313" t="str" cm="1">
        <f t="array" ref="A3313">IFERROR(INDEX(tbNucleo[ESCOLA],ROUNDUP(ROW(A3312)/TotalEtapas,0)),"")</f>
        <v/>
      </c>
      <c r="D3313" t="str">
        <f>IFERROR(VLOOKUP(tbEscolas[[#This Row],[COD ETPA]],tbEtapas[],2,FALSE),"")</f>
        <v/>
      </c>
      <c r="E3313" t="str">
        <f>IFERROR(VLOOKUP(tbEscolas[[#This Row],[COD ETPA]],tbEtapas[],3,FALSE),"")</f>
        <v/>
      </c>
    </row>
    <row r="3314" spans="1:5" x14ac:dyDescent="0.25">
      <c r="A3314" t="str" cm="1">
        <f t="array" ref="A3314">IFERROR(INDEX(tbNucleo[ESCOLA],ROUNDUP(ROW(A3313)/TotalEtapas,0)),"")</f>
        <v/>
      </c>
      <c r="D3314" t="str">
        <f>IFERROR(VLOOKUP(tbEscolas[[#This Row],[COD ETPA]],tbEtapas[],2,FALSE),"")</f>
        <v/>
      </c>
      <c r="E3314" t="str">
        <f>IFERROR(VLOOKUP(tbEscolas[[#This Row],[COD ETPA]],tbEtapas[],3,FALSE),"")</f>
        <v/>
      </c>
    </row>
    <row r="3315" spans="1:5" x14ac:dyDescent="0.25">
      <c r="A3315" t="str" cm="1">
        <f t="array" ref="A3315">IFERROR(INDEX(tbNucleo[ESCOLA],ROUNDUP(ROW(A3314)/TotalEtapas,0)),"")</f>
        <v/>
      </c>
      <c r="D3315" t="str">
        <f>IFERROR(VLOOKUP(tbEscolas[[#This Row],[COD ETPA]],tbEtapas[],2,FALSE),"")</f>
        <v/>
      </c>
      <c r="E3315" t="str">
        <f>IFERROR(VLOOKUP(tbEscolas[[#This Row],[COD ETPA]],tbEtapas[],3,FALSE),"")</f>
        <v/>
      </c>
    </row>
    <row r="3316" spans="1:5" x14ac:dyDescent="0.25">
      <c r="A3316" t="str" cm="1">
        <f t="array" ref="A3316">IFERROR(INDEX(tbNucleo[ESCOLA],ROUNDUP(ROW(A3315)/TotalEtapas,0)),"")</f>
        <v/>
      </c>
      <c r="D3316" t="str">
        <f>IFERROR(VLOOKUP(tbEscolas[[#This Row],[COD ETPA]],tbEtapas[],2,FALSE),"")</f>
        <v/>
      </c>
      <c r="E3316" t="str">
        <f>IFERROR(VLOOKUP(tbEscolas[[#This Row],[COD ETPA]],tbEtapas[],3,FALSE),"")</f>
        <v/>
      </c>
    </row>
    <row r="3317" spans="1:5" x14ac:dyDescent="0.25">
      <c r="A3317" t="str" cm="1">
        <f t="array" ref="A3317">IFERROR(INDEX(tbNucleo[ESCOLA],ROUNDUP(ROW(A3316)/TotalEtapas,0)),"")</f>
        <v/>
      </c>
      <c r="D3317" t="str">
        <f>IFERROR(VLOOKUP(tbEscolas[[#This Row],[COD ETPA]],tbEtapas[],2,FALSE),"")</f>
        <v/>
      </c>
      <c r="E3317" t="str">
        <f>IFERROR(VLOOKUP(tbEscolas[[#This Row],[COD ETPA]],tbEtapas[],3,FALSE),"")</f>
        <v/>
      </c>
    </row>
    <row r="3318" spans="1:5" x14ac:dyDescent="0.25">
      <c r="A3318" t="str" cm="1">
        <f t="array" ref="A3318">IFERROR(INDEX(tbNucleo[ESCOLA],ROUNDUP(ROW(A3317)/TotalEtapas,0)),"")</f>
        <v/>
      </c>
      <c r="D3318" t="str">
        <f>IFERROR(VLOOKUP(tbEscolas[[#This Row],[COD ETPA]],tbEtapas[],2,FALSE),"")</f>
        <v/>
      </c>
      <c r="E3318" t="str">
        <f>IFERROR(VLOOKUP(tbEscolas[[#This Row],[COD ETPA]],tbEtapas[],3,FALSE),"")</f>
        <v/>
      </c>
    </row>
    <row r="3319" spans="1:5" x14ac:dyDescent="0.25">
      <c r="A3319" t="str" cm="1">
        <f t="array" ref="A3319">IFERROR(INDEX(tbNucleo[ESCOLA],ROUNDUP(ROW(A3318)/TotalEtapas,0)),"")</f>
        <v/>
      </c>
      <c r="D3319" t="str">
        <f>IFERROR(VLOOKUP(tbEscolas[[#This Row],[COD ETPA]],tbEtapas[],2,FALSE),"")</f>
        <v/>
      </c>
      <c r="E3319" t="str">
        <f>IFERROR(VLOOKUP(tbEscolas[[#This Row],[COD ETPA]],tbEtapas[],3,FALSE),"")</f>
        <v/>
      </c>
    </row>
    <row r="3320" spans="1:5" x14ac:dyDescent="0.25">
      <c r="A3320" t="str" cm="1">
        <f t="array" ref="A3320">IFERROR(INDEX(tbNucleo[ESCOLA],ROUNDUP(ROW(A3319)/TotalEtapas,0)),"")</f>
        <v/>
      </c>
      <c r="D3320" t="str">
        <f>IFERROR(VLOOKUP(tbEscolas[[#This Row],[COD ETPA]],tbEtapas[],2,FALSE),"")</f>
        <v/>
      </c>
      <c r="E3320" t="str">
        <f>IFERROR(VLOOKUP(tbEscolas[[#This Row],[COD ETPA]],tbEtapas[],3,FALSE),"")</f>
        <v/>
      </c>
    </row>
    <row r="3321" spans="1:5" x14ac:dyDescent="0.25">
      <c r="A3321" t="str" cm="1">
        <f t="array" ref="A3321">IFERROR(INDEX(tbNucleo[ESCOLA],ROUNDUP(ROW(A3320)/TotalEtapas,0)),"")</f>
        <v/>
      </c>
      <c r="D3321" t="str">
        <f>IFERROR(VLOOKUP(tbEscolas[[#This Row],[COD ETPA]],tbEtapas[],2,FALSE),"")</f>
        <v/>
      </c>
      <c r="E3321" t="str">
        <f>IFERROR(VLOOKUP(tbEscolas[[#This Row],[COD ETPA]],tbEtapas[],3,FALSE),"")</f>
        <v/>
      </c>
    </row>
    <row r="3322" spans="1:5" x14ac:dyDescent="0.25">
      <c r="A3322" t="str" cm="1">
        <f t="array" ref="A3322">IFERROR(INDEX(tbNucleo[ESCOLA],ROUNDUP(ROW(A3321)/TotalEtapas,0)),"")</f>
        <v/>
      </c>
      <c r="D3322" t="str">
        <f>IFERROR(VLOOKUP(tbEscolas[[#This Row],[COD ETPA]],tbEtapas[],2,FALSE),"")</f>
        <v/>
      </c>
      <c r="E3322" t="str">
        <f>IFERROR(VLOOKUP(tbEscolas[[#This Row],[COD ETPA]],tbEtapas[],3,FALSE),"")</f>
        <v/>
      </c>
    </row>
    <row r="3323" spans="1:5" x14ac:dyDescent="0.25">
      <c r="A3323" t="str" cm="1">
        <f t="array" ref="A3323">IFERROR(INDEX(tbNucleo[ESCOLA],ROUNDUP(ROW(A3322)/TotalEtapas,0)),"")</f>
        <v/>
      </c>
      <c r="D3323" t="str">
        <f>IFERROR(VLOOKUP(tbEscolas[[#This Row],[COD ETPA]],tbEtapas[],2,FALSE),"")</f>
        <v/>
      </c>
      <c r="E3323" t="str">
        <f>IFERROR(VLOOKUP(tbEscolas[[#This Row],[COD ETPA]],tbEtapas[],3,FALSE),"")</f>
        <v/>
      </c>
    </row>
    <row r="3324" spans="1:5" x14ac:dyDescent="0.25">
      <c r="A3324" t="str" cm="1">
        <f t="array" ref="A3324">IFERROR(INDEX(tbNucleo[ESCOLA],ROUNDUP(ROW(A3323)/TotalEtapas,0)),"")</f>
        <v/>
      </c>
      <c r="D3324" t="str">
        <f>IFERROR(VLOOKUP(tbEscolas[[#This Row],[COD ETPA]],tbEtapas[],2,FALSE),"")</f>
        <v/>
      </c>
      <c r="E3324" t="str">
        <f>IFERROR(VLOOKUP(tbEscolas[[#This Row],[COD ETPA]],tbEtapas[],3,FALSE),"")</f>
        <v/>
      </c>
    </row>
    <row r="3325" spans="1:5" x14ac:dyDescent="0.25">
      <c r="A3325" t="str" cm="1">
        <f t="array" ref="A3325">IFERROR(INDEX(tbNucleo[ESCOLA],ROUNDUP(ROW(A3324)/TotalEtapas,0)),"")</f>
        <v/>
      </c>
      <c r="D3325" t="str">
        <f>IFERROR(VLOOKUP(tbEscolas[[#This Row],[COD ETPA]],tbEtapas[],2,FALSE),"")</f>
        <v/>
      </c>
      <c r="E3325" t="str">
        <f>IFERROR(VLOOKUP(tbEscolas[[#This Row],[COD ETPA]],tbEtapas[],3,FALSE),"")</f>
        <v/>
      </c>
    </row>
    <row r="3326" spans="1:5" x14ac:dyDescent="0.25">
      <c r="A3326" t="str" cm="1">
        <f t="array" ref="A3326">IFERROR(INDEX(tbNucleo[ESCOLA],ROUNDUP(ROW(A3325)/TotalEtapas,0)),"")</f>
        <v/>
      </c>
      <c r="D3326" t="str">
        <f>IFERROR(VLOOKUP(tbEscolas[[#This Row],[COD ETPA]],tbEtapas[],2,FALSE),"")</f>
        <v/>
      </c>
      <c r="E3326" t="str">
        <f>IFERROR(VLOOKUP(tbEscolas[[#This Row],[COD ETPA]],tbEtapas[],3,FALSE),"")</f>
        <v/>
      </c>
    </row>
    <row r="3327" spans="1:5" x14ac:dyDescent="0.25">
      <c r="A3327" t="str" cm="1">
        <f t="array" ref="A3327">IFERROR(INDEX(tbNucleo[ESCOLA],ROUNDUP(ROW(A3326)/TotalEtapas,0)),"")</f>
        <v/>
      </c>
      <c r="D3327" t="str">
        <f>IFERROR(VLOOKUP(tbEscolas[[#This Row],[COD ETPA]],tbEtapas[],2,FALSE),"")</f>
        <v/>
      </c>
      <c r="E3327" t="str">
        <f>IFERROR(VLOOKUP(tbEscolas[[#This Row],[COD ETPA]],tbEtapas[],3,FALSE),"")</f>
        <v/>
      </c>
    </row>
    <row r="3328" spans="1:5" x14ac:dyDescent="0.25">
      <c r="A3328" t="str" cm="1">
        <f t="array" ref="A3328">IFERROR(INDEX(tbNucleo[ESCOLA],ROUNDUP(ROW(A3327)/TotalEtapas,0)),"")</f>
        <v/>
      </c>
      <c r="D3328" t="str">
        <f>IFERROR(VLOOKUP(tbEscolas[[#This Row],[COD ETPA]],tbEtapas[],2,FALSE),"")</f>
        <v/>
      </c>
      <c r="E3328" t="str">
        <f>IFERROR(VLOOKUP(tbEscolas[[#This Row],[COD ETPA]],tbEtapas[],3,FALSE),"")</f>
        <v/>
      </c>
    </row>
    <row r="3329" spans="1:5" x14ac:dyDescent="0.25">
      <c r="A3329" t="str" cm="1">
        <f t="array" ref="A3329">IFERROR(INDEX(tbNucleo[ESCOLA],ROUNDUP(ROW(A3328)/TotalEtapas,0)),"")</f>
        <v/>
      </c>
      <c r="D3329" t="str">
        <f>IFERROR(VLOOKUP(tbEscolas[[#This Row],[COD ETPA]],tbEtapas[],2,FALSE),"")</f>
        <v/>
      </c>
      <c r="E3329" t="str">
        <f>IFERROR(VLOOKUP(tbEscolas[[#This Row],[COD ETPA]],tbEtapas[],3,FALSE),"")</f>
        <v/>
      </c>
    </row>
    <row r="3330" spans="1:5" x14ac:dyDescent="0.25">
      <c r="A3330" t="str" cm="1">
        <f t="array" ref="A3330">IFERROR(INDEX(tbNucleo[ESCOLA],ROUNDUP(ROW(A3329)/TotalEtapas,0)),"")</f>
        <v/>
      </c>
      <c r="D3330" t="str">
        <f>IFERROR(VLOOKUP(tbEscolas[[#This Row],[COD ETPA]],tbEtapas[],2,FALSE),"")</f>
        <v/>
      </c>
      <c r="E3330" t="str">
        <f>IFERROR(VLOOKUP(tbEscolas[[#This Row],[COD ETPA]],tbEtapas[],3,FALSE),"")</f>
        <v/>
      </c>
    </row>
    <row r="3331" spans="1:5" x14ac:dyDescent="0.25">
      <c r="A3331" t="str" cm="1">
        <f t="array" ref="A3331">IFERROR(INDEX(tbNucleo[ESCOLA],ROUNDUP(ROW(A3330)/TotalEtapas,0)),"")</f>
        <v/>
      </c>
      <c r="D3331" t="str">
        <f>IFERROR(VLOOKUP(tbEscolas[[#This Row],[COD ETPA]],tbEtapas[],2,FALSE),"")</f>
        <v/>
      </c>
      <c r="E3331" t="str">
        <f>IFERROR(VLOOKUP(tbEscolas[[#This Row],[COD ETPA]],tbEtapas[],3,FALSE),"")</f>
        <v/>
      </c>
    </row>
    <row r="3332" spans="1:5" x14ac:dyDescent="0.25">
      <c r="A3332" t="str" cm="1">
        <f t="array" ref="A3332">IFERROR(INDEX(tbNucleo[ESCOLA],ROUNDUP(ROW(A3331)/TotalEtapas,0)),"")</f>
        <v/>
      </c>
      <c r="D3332" t="str">
        <f>IFERROR(VLOOKUP(tbEscolas[[#This Row],[COD ETPA]],tbEtapas[],2,FALSE),"")</f>
        <v/>
      </c>
      <c r="E3332" t="str">
        <f>IFERROR(VLOOKUP(tbEscolas[[#This Row],[COD ETPA]],tbEtapas[],3,FALSE),"")</f>
        <v/>
      </c>
    </row>
    <row r="3333" spans="1:5" x14ac:dyDescent="0.25">
      <c r="A3333" t="str" cm="1">
        <f t="array" ref="A3333">IFERROR(INDEX(tbNucleo[ESCOLA],ROUNDUP(ROW(A3332)/TotalEtapas,0)),"")</f>
        <v/>
      </c>
      <c r="D3333" t="str">
        <f>IFERROR(VLOOKUP(tbEscolas[[#This Row],[COD ETPA]],tbEtapas[],2,FALSE),"")</f>
        <v/>
      </c>
      <c r="E3333" t="str">
        <f>IFERROR(VLOOKUP(tbEscolas[[#This Row],[COD ETPA]],tbEtapas[],3,FALSE),"")</f>
        <v/>
      </c>
    </row>
    <row r="3334" spans="1:5" x14ac:dyDescent="0.25">
      <c r="A3334" t="str" cm="1">
        <f t="array" ref="A3334">IFERROR(INDEX(tbNucleo[ESCOLA],ROUNDUP(ROW(A3333)/TotalEtapas,0)),"")</f>
        <v/>
      </c>
      <c r="D3334" t="str">
        <f>IFERROR(VLOOKUP(tbEscolas[[#This Row],[COD ETPA]],tbEtapas[],2,FALSE),"")</f>
        <v/>
      </c>
      <c r="E3334" t="str">
        <f>IFERROR(VLOOKUP(tbEscolas[[#This Row],[COD ETPA]],tbEtapas[],3,FALSE),"")</f>
        <v/>
      </c>
    </row>
    <row r="3335" spans="1:5" x14ac:dyDescent="0.25">
      <c r="A3335" t="str" cm="1">
        <f t="array" ref="A3335">IFERROR(INDEX(tbNucleo[ESCOLA],ROUNDUP(ROW(A3334)/TotalEtapas,0)),"")</f>
        <v/>
      </c>
      <c r="D3335" t="str">
        <f>IFERROR(VLOOKUP(tbEscolas[[#This Row],[COD ETPA]],tbEtapas[],2,FALSE),"")</f>
        <v/>
      </c>
      <c r="E3335" t="str">
        <f>IFERROR(VLOOKUP(tbEscolas[[#This Row],[COD ETPA]],tbEtapas[],3,FALSE),"")</f>
        <v/>
      </c>
    </row>
    <row r="3336" spans="1:5" x14ac:dyDescent="0.25">
      <c r="A3336" t="str" cm="1">
        <f t="array" ref="A3336">IFERROR(INDEX(tbNucleo[ESCOLA],ROUNDUP(ROW(A3335)/TotalEtapas,0)),"")</f>
        <v/>
      </c>
      <c r="D3336" t="str">
        <f>IFERROR(VLOOKUP(tbEscolas[[#This Row],[COD ETPA]],tbEtapas[],2,FALSE),"")</f>
        <v/>
      </c>
      <c r="E3336" t="str">
        <f>IFERROR(VLOOKUP(tbEscolas[[#This Row],[COD ETPA]],tbEtapas[],3,FALSE),"")</f>
        <v/>
      </c>
    </row>
    <row r="3337" spans="1:5" x14ac:dyDescent="0.25">
      <c r="A3337" t="str" cm="1">
        <f t="array" ref="A3337">IFERROR(INDEX(tbNucleo[ESCOLA],ROUNDUP(ROW(A3336)/TotalEtapas,0)),"")</f>
        <v/>
      </c>
      <c r="D3337" t="str">
        <f>IFERROR(VLOOKUP(tbEscolas[[#This Row],[COD ETPA]],tbEtapas[],2,FALSE),"")</f>
        <v/>
      </c>
      <c r="E3337" t="str">
        <f>IFERROR(VLOOKUP(tbEscolas[[#This Row],[COD ETPA]],tbEtapas[],3,FALSE),"")</f>
        <v/>
      </c>
    </row>
    <row r="3338" spans="1:5" x14ac:dyDescent="0.25">
      <c r="A3338" t="str" cm="1">
        <f t="array" ref="A3338">IFERROR(INDEX(tbNucleo[ESCOLA],ROUNDUP(ROW(A3337)/TotalEtapas,0)),"")</f>
        <v/>
      </c>
      <c r="D3338" t="str">
        <f>IFERROR(VLOOKUP(tbEscolas[[#This Row],[COD ETPA]],tbEtapas[],2,FALSE),"")</f>
        <v/>
      </c>
      <c r="E3338" t="str">
        <f>IFERROR(VLOOKUP(tbEscolas[[#This Row],[COD ETPA]],tbEtapas[],3,FALSE),"")</f>
        <v/>
      </c>
    </row>
    <row r="3339" spans="1:5" x14ac:dyDescent="0.25">
      <c r="A3339" t="str" cm="1">
        <f t="array" ref="A3339">IFERROR(INDEX(tbNucleo[ESCOLA],ROUNDUP(ROW(A3338)/TotalEtapas,0)),"")</f>
        <v/>
      </c>
      <c r="D3339" t="str">
        <f>IFERROR(VLOOKUP(tbEscolas[[#This Row],[COD ETPA]],tbEtapas[],2,FALSE),"")</f>
        <v/>
      </c>
      <c r="E3339" t="str">
        <f>IFERROR(VLOOKUP(tbEscolas[[#This Row],[COD ETPA]],tbEtapas[],3,FALSE),"")</f>
        <v/>
      </c>
    </row>
    <row r="3340" spans="1:5" x14ac:dyDescent="0.25">
      <c r="A3340" t="str" cm="1">
        <f t="array" ref="A3340">IFERROR(INDEX(tbNucleo[ESCOLA],ROUNDUP(ROW(A3339)/TotalEtapas,0)),"")</f>
        <v/>
      </c>
      <c r="D3340" t="str">
        <f>IFERROR(VLOOKUP(tbEscolas[[#This Row],[COD ETPA]],tbEtapas[],2,FALSE),"")</f>
        <v/>
      </c>
      <c r="E3340" t="str">
        <f>IFERROR(VLOOKUP(tbEscolas[[#This Row],[COD ETPA]],tbEtapas[],3,FALSE),"")</f>
        <v/>
      </c>
    </row>
    <row r="3341" spans="1:5" x14ac:dyDescent="0.25">
      <c r="A3341" t="str" cm="1">
        <f t="array" ref="A3341">IFERROR(INDEX(tbNucleo[ESCOLA],ROUNDUP(ROW(A3340)/TotalEtapas,0)),"")</f>
        <v/>
      </c>
      <c r="D3341" t="str">
        <f>IFERROR(VLOOKUP(tbEscolas[[#This Row],[COD ETPA]],tbEtapas[],2,FALSE),"")</f>
        <v/>
      </c>
      <c r="E3341" t="str">
        <f>IFERROR(VLOOKUP(tbEscolas[[#This Row],[COD ETPA]],tbEtapas[],3,FALSE),"")</f>
        <v/>
      </c>
    </row>
    <row r="3342" spans="1:5" x14ac:dyDescent="0.25">
      <c r="A3342" t="str" cm="1">
        <f t="array" ref="A3342">IFERROR(INDEX(tbNucleo[ESCOLA],ROUNDUP(ROW(A3341)/TotalEtapas,0)),"")</f>
        <v/>
      </c>
      <c r="D3342" t="str">
        <f>IFERROR(VLOOKUP(tbEscolas[[#This Row],[COD ETPA]],tbEtapas[],2,FALSE),"")</f>
        <v/>
      </c>
      <c r="E3342" t="str">
        <f>IFERROR(VLOOKUP(tbEscolas[[#This Row],[COD ETPA]],tbEtapas[],3,FALSE),"")</f>
        <v/>
      </c>
    </row>
    <row r="3343" spans="1:5" x14ac:dyDescent="0.25">
      <c r="A3343" t="str" cm="1">
        <f t="array" ref="A3343">IFERROR(INDEX(tbNucleo[ESCOLA],ROUNDUP(ROW(A3342)/TotalEtapas,0)),"")</f>
        <v/>
      </c>
      <c r="D3343" t="str">
        <f>IFERROR(VLOOKUP(tbEscolas[[#This Row],[COD ETPA]],tbEtapas[],2,FALSE),"")</f>
        <v/>
      </c>
      <c r="E3343" t="str">
        <f>IFERROR(VLOOKUP(tbEscolas[[#This Row],[COD ETPA]],tbEtapas[],3,FALSE),"")</f>
        <v/>
      </c>
    </row>
    <row r="3344" spans="1:5" x14ac:dyDescent="0.25">
      <c r="A3344" t="str" cm="1">
        <f t="array" ref="A3344">IFERROR(INDEX(tbNucleo[ESCOLA],ROUNDUP(ROW(A3343)/TotalEtapas,0)),"")</f>
        <v/>
      </c>
      <c r="D3344" t="str">
        <f>IFERROR(VLOOKUP(tbEscolas[[#This Row],[COD ETPA]],tbEtapas[],2,FALSE),"")</f>
        <v/>
      </c>
      <c r="E3344" t="str">
        <f>IFERROR(VLOOKUP(tbEscolas[[#This Row],[COD ETPA]],tbEtapas[],3,FALSE),"")</f>
        <v/>
      </c>
    </row>
    <row r="3345" spans="1:5" x14ac:dyDescent="0.25">
      <c r="A3345" t="str" cm="1">
        <f t="array" ref="A3345">IFERROR(INDEX(tbNucleo[ESCOLA],ROUNDUP(ROW(A3344)/TotalEtapas,0)),"")</f>
        <v/>
      </c>
      <c r="D3345" t="str">
        <f>IFERROR(VLOOKUP(tbEscolas[[#This Row],[COD ETPA]],tbEtapas[],2,FALSE),"")</f>
        <v/>
      </c>
      <c r="E3345" t="str">
        <f>IFERROR(VLOOKUP(tbEscolas[[#This Row],[COD ETPA]],tbEtapas[],3,FALSE),"")</f>
        <v/>
      </c>
    </row>
    <row r="3346" spans="1:5" x14ac:dyDescent="0.25">
      <c r="A3346" t="str" cm="1">
        <f t="array" ref="A3346">IFERROR(INDEX(tbNucleo[ESCOLA],ROUNDUP(ROW(A3345)/TotalEtapas,0)),"")</f>
        <v/>
      </c>
      <c r="D3346" t="str">
        <f>IFERROR(VLOOKUP(tbEscolas[[#This Row],[COD ETPA]],tbEtapas[],2,FALSE),"")</f>
        <v/>
      </c>
      <c r="E3346" t="str">
        <f>IFERROR(VLOOKUP(tbEscolas[[#This Row],[COD ETPA]],tbEtapas[],3,FALSE),"")</f>
        <v/>
      </c>
    </row>
    <row r="3347" spans="1:5" x14ac:dyDescent="0.25">
      <c r="A3347" t="str" cm="1">
        <f t="array" ref="A3347">IFERROR(INDEX(tbNucleo[ESCOLA],ROUNDUP(ROW(A3346)/TotalEtapas,0)),"")</f>
        <v/>
      </c>
      <c r="D3347" t="str">
        <f>IFERROR(VLOOKUP(tbEscolas[[#This Row],[COD ETPA]],tbEtapas[],2,FALSE),"")</f>
        <v/>
      </c>
      <c r="E3347" t="str">
        <f>IFERROR(VLOOKUP(tbEscolas[[#This Row],[COD ETPA]],tbEtapas[],3,FALSE),"")</f>
        <v/>
      </c>
    </row>
    <row r="3348" spans="1:5" x14ac:dyDescent="0.25">
      <c r="A3348" t="str" cm="1">
        <f t="array" ref="A3348">IFERROR(INDEX(tbNucleo[ESCOLA],ROUNDUP(ROW(A3347)/TotalEtapas,0)),"")</f>
        <v/>
      </c>
      <c r="D3348" t="str">
        <f>IFERROR(VLOOKUP(tbEscolas[[#This Row],[COD ETPA]],tbEtapas[],2,FALSE),"")</f>
        <v/>
      </c>
      <c r="E3348" t="str">
        <f>IFERROR(VLOOKUP(tbEscolas[[#This Row],[COD ETPA]],tbEtapas[],3,FALSE),"")</f>
        <v/>
      </c>
    </row>
    <row r="3349" spans="1:5" x14ac:dyDescent="0.25">
      <c r="A3349" t="str" cm="1">
        <f t="array" ref="A3349">IFERROR(INDEX(tbNucleo[ESCOLA],ROUNDUP(ROW(A3348)/TotalEtapas,0)),"")</f>
        <v/>
      </c>
      <c r="D3349" t="str">
        <f>IFERROR(VLOOKUP(tbEscolas[[#This Row],[COD ETPA]],tbEtapas[],2,FALSE),"")</f>
        <v/>
      </c>
      <c r="E3349" t="str">
        <f>IFERROR(VLOOKUP(tbEscolas[[#This Row],[COD ETPA]],tbEtapas[],3,FALSE),"")</f>
        <v/>
      </c>
    </row>
    <row r="3350" spans="1:5" x14ac:dyDescent="0.25">
      <c r="A3350" t="str" cm="1">
        <f t="array" ref="A3350">IFERROR(INDEX(tbNucleo[ESCOLA],ROUNDUP(ROW(A3349)/TotalEtapas,0)),"")</f>
        <v/>
      </c>
      <c r="D3350" t="str">
        <f>IFERROR(VLOOKUP(tbEscolas[[#This Row],[COD ETPA]],tbEtapas[],2,FALSE),"")</f>
        <v/>
      </c>
      <c r="E3350" t="str">
        <f>IFERROR(VLOOKUP(tbEscolas[[#This Row],[COD ETPA]],tbEtapas[],3,FALSE),"")</f>
        <v/>
      </c>
    </row>
    <row r="3351" spans="1:5" x14ac:dyDescent="0.25">
      <c r="A3351" t="str" cm="1">
        <f t="array" ref="A3351">IFERROR(INDEX(tbNucleo[ESCOLA],ROUNDUP(ROW(A3350)/TotalEtapas,0)),"")</f>
        <v/>
      </c>
      <c r="D3351" t="str">
        <f>IFERROR(VLOOKUP(tbEscolas[[#This Row],[COD ETPA]],tbEtapas[],2,FALSE),"")</f>
        <v/>
      </c>
      <c r="E3351" t="str">
        <f>IFERROR(VLOOKUP(tbEscolas[[#This Row],[COD ETPA]],tbEtapas[],3,FALSE),"")</f>
        <v/>
      </c>
    </row>
    <row r="3352" spans="1:5" x14ac:dyDescent="0.25">
      <c r="A3352" t="str" cm="1">
        <f t="array" ref="A3352">IFERROR(INDEX(tbNucleo[ESCOLA],ROUNDUP(ROW(A3351)/TotalEtapas,0)),"")</f>
        <v/>
      </c>
      <c r="D3352" t="str">
        <f>IFERROR(VLOOKUP(tbEscolas[[#This Row],[COD ETPA]],tbEtapas[],2,FALSE),"")</f>
        <v/>
      </c>
      <c r="E3352" t="str">
        <f>IFERROR(VLOOKUP(tbEscolas[[#This Row],[COD ETPA]],tbEtapas[],3,FALSE),"")</f>
        <v/>
      </c>
    </row>
    <row r="3353" spans="1:5" x14ac:dyDescent="0.25">
      <c r="A3353" t="str" cm="1">
        <f t="array" ref="A3353">IFERROR(INDEX(tbNucleo[ESCOLA],ROUNDUP(ROW(A3352)/TotalEtapas,0)),"")</f>
        <v/>
      </c>
      <c r="D3353" t="str">
        <f>IFERROR(VLOOKUP(tbEscolas[[#This Row],[COD ETPA]],tbEtapas[],2,FALSE),"")</f>
        <v/>
      </c>
      <c r="E3353" t="str">
        <f>IFERROR(VLOOKUP(tbEscolas[[#This Row],[COD ETPA]],tbEtapas[],3,FALSE),"")</f>
        <v/>
      </c>
    </row>
    <row r="3354" spans="1:5" x14ac:dyDescent="0.25">
      <c r="A3354" t="str" cm="1">
        <f t="array" ref="A3354">IFERROR(INDEX(tbNucleo[ESCOLA],ROUNDUP(ROW(A3353)/TotalEtapas,0)),"")</f>
        <v/>
      </c>
      <c r="D3354" t="str">
        <f>IFERROR(VLOOKUP(tbEscolas[[#This Row],[COD ETPA]],tbEtapas[],2,FALSE),"")</f>
        <v/>
      </c>
      <c r="E3354" t="str">
        <f>IFERROR(VLOOKUP(tbEscolas[[#This Row],[COD ETPA]],tbEtapas[],3,FALSE),"")</f>
        <v/>
      </c>
    </row>
    <row r="3355" spans="1:5" x14ac:dyDescent="0.25">
      <c r="A3355" t="str" cm="1">
        <f t="array" ref="A3355">IFERROR(INDEX(tbNucleo[ESCOLA],ROUNDUP(ROW(A3354)/TotalEtapas,0)),"")</f>
        <v/>
      </c>
      <c r="D3355" t="str">
        <f>IFERROR(VLOOKUP(tbEscolas[[#This Row],[COD ETPA]],tbEtapas[],2,FALSE),"")</f>
        <v/>
      </c>
      <c r="E3355" t="str">
        <f>IFERROR(VLOOKUP(tbEscolas[[#This Row],[COD ETPA]],tbEtapas[],3,FALSE),"")</f>
        <v/>
      </c>
    </row>
    <row r="3356" spans="1:5" x14ac:dyDescent="0.25">
      <c r="A3356" t="str" cm="1">
        <f t="array" ref="A3356">IFERROR(INDEX(tbNucleo[ESCOLA],ROUNDUP(ROW(A3355)/TotalEtapas,0)),"")</f>
        <v/>
      </c>
      <c r="D3356" t="str">
        <f>IFERROR(VLOOKUP(tbEscolas[[#This Row],[COD ETPA]],tbEtapas[],2,FALSE),"")</f>
        <v/>
      </c>
      <c r="E3356" t="str">
        <f>IFERROR(VLOOKUP(tbEscolas[[#This Row],[COD ETPA]],tbEtapas[],3,FALSE),"")</f>
        <v/>
      </c>
    </row>
    <row r="3357" spans="1:5" x14ac:dyDescent="0.25">
      <c r="A3357" t="str" cm="1">
        <f t="array" ref="A3357">IFERROR(INDEX(tbNucleo[ESCOLA],ROUNDUP(ROW(A3356)/TotalEtapas,0)),"")</f>
        <v/>
      </c>
      <c r="D3357" t="str">
        <f>IFERROR(VLOOKUP(tbEscolas[[#This Row],[COD ETPA]],tbEtapas[],2,FALSE),"")</f>
        <v/>
      </c>
      <c r="E3357" t="str">
        <f>IFERROR(VLOOKUP(tbEscolas[[#This Row],[COD ETPA]],tbEtapas[],3,FALSE),"")</f>
        <v/>
      </c>
    </row>
    <row r="3358" spans="1:5" x14ac:dyDescent="0.25">
      <c r="A3358" t="str" cm="1">
        <f t="array" ref="A3358">IFERROR(INDEX(tbNucleo[ESCOLA],ROUNDUP(ROW(A3357)/TotalEtapas,0)),"")</f>
        <v/>
      </c>
      <c r="D3358" t="str">
        <f>IFERROR(VLOOKUP(tbEscolas[[#This Row],[COD ETPA]],tbEtapas[],2,FALSE),"")</f>
        <v/>
      </c>
      <c r="E3358" t="str">
        <f>IFERROR(VLOOKUP(tbEscolas[[#This Row],[COD ETPA]],tbEtapas[],3,FALSE),"")</f>
        <v/>
      </c>
    </row>
    <row r="3359" spans="1:5" x14ac:dyDescent="0.25">
      <c r="A3359" t="str" cm="1">
        <f t="array" ref="A3359">IFERROR(INDEX(tbNucleo[ESCOLA],ROUNDUP(ROW(A3358)/TotalEtapas,0)),"")</f>
        <v/>
      </c>
      <c r="D3359" t="str">
        <f>IFERROR(VLOOKUP(tbEscolas[[#This Row],[COD ETPA]],tbEtapas[],2,FALSE),"")</f>
        <v/>
      </c>
      <c r="E3359" t="str">
        <f>IFERROR(VLOOKUP(tbEscolas[[#This Row],[COD ETPA]],tbEtapas[],3,FALSE),"")</f>
        <v/>
      </c>
    </row>
    <row r="3360" spans="1:5" x14ac:dyDescent="0.25">
      <c r="A3360" t="str" cm="1">
        <f t="array" ref="A3360">IFERROR(INDEX(tbNucleo[ESCOLA],ROUNDUP(ROW(A3359)/TotalEtapas,0)),"")</f>
        <v/>
      </c>
      <c r="D3360" t="str">
        <f>IFERROR(VLOOKUP(tbEscolas[[#This Row],[COD ETPA]],tbEtapas[],2,FALSE),"")</f>
        <v/>
      </c>
      <c r="E3360" t="str">
        <f>IFERROR(VLOOKUP(tbEscolas[[#This Row],[COD ETPA]],tbEtapas[],3,FALSE),"")</f>
        <v/>
      </c>
    </row>
    <row r="3361" spans="1:5" x14ac:dyDescent="0.25">
      <c r="A3361" t="str" cm="1">
        <f t="array" ref="A3361">IFERROR(INDEX(tbNucleo[ESCOLA],ROUNDUP(ROW(A3360)/TotalEtapas,0)),"")</f>
        <v/>
      </c>
      <c r="D3361" t="str">
        <f>IFERROR(VLOOKUP(tbEscolas[[#This Row],[COD ETPA]],tbEtapas[],2,FALSE),"")</f>
        <v/>
      </c>
      <c r="E3361" t="str">
        <f>IFERROR(VLOOKUP(tbEscolas[[#This Row],[COD ETPA]],tbEtapas[],3,FALSE),"")</f>
        <v/>
      </c>
    </row>
    <row r="3362" spans="1:5" x14ac:dyDescent="0.25">
      <c r="A3362" t="str" cm="1">
        <f t="array" ref="A3362">IFERROR(INDEX(tbNucleo[ESCOLA],ROUNDUP(ROW(A3361)/TotalEtapas,0)),"")</f>
        <v/>
      </c>
      <c r="D3362" t="str">
        <f>IFERROR(VLOOKUP(tbEscolas[[#This Row],[COD ETPA]],tbEtapas[],2,FALSE),"")</f>
        <v/>
      </c>
      <c r="E3362" t="str">
        <f>IFERROR(VLOOKUP(tbEscolas[[#This Row],[COD ETPA]],tbEtapas[],3,FALSE),"")</f>
        <v/>
      </c>
    </row>
    <row r="3363" spans="1:5" x14ac:dyDescent="0.25">
      <c r="A3363" t="str" cm="1">
        <f t="array" ref="A3363">IFERROR(INDEX(tbNucleo[ESCOLA],ROUNDUP(ROW(A3362)/TotalEtapas,0)),"")</f>
        <v/>
      </c>
      <c r="D3363" t="str">
        <f>IFERROR(VLOOKUP(tbEscolas[[#This Row],[COD ETPA]],tbEtapas[],2,FALSE),"")</f>
        <v/>
      </c>
      <c r="E3363" t="str">
        <f>IFERROR(VLOOKUP(tbEscolas[[#This Row],[COD ETPA]],tbEtapas[],3,FALSE),"")</f>
        <v/>
      </c>
    </row>
    <row r="3364" spans="1:5" x14ac:dyDescent="0.25">
      <c r="A3364" t="str" cm="1">
        <f t="array" ref="A3364">IFERROR(INDEX(tbNucleo[ESCOLA],ROUNDUP(ROW(A3363)/TotalEtapas,0)),"")</f>
        <v/>
      </c>
      <c r="D3364" t="str">
        <f>IFERROR(VLOOKUP(tbEscolas[[#This Row],[COD ETPA]],tbEtapas[],2,FALSE),"")</f>
        <v/>
      </c>
      <c r="E3364" t="str">
        <f>IFERROR(VLOOKUP(tbEscolas[[#This Row],[COD ETPA]],tbEtapas[],3,FALSE),"")</f>
        <v/>
      </c>
    </row>
    <row r="3365" spans="1:5" x14ac:dyDescent="0.25">
      <c r="A3365" t="str" cm="1">
        <f t="array" ref="A3365">IFERROR(INDEX(tbNucleo[ESCOLA],ROUNDUP(ROW(A3364)/TotalEtapas,0)),"")</f>
        <v/>
      </c>
      <c r="D3365" t="str">
        <f>IFERROR(VLOOKUP(tbEscolas[[#This Row],[COD ETPA]],tbEtapas[],2,FALSE),"")</f>
        <v/>
      </c>
      <c r="E3365" t="str">
        <f>IFERROR(VLOOKUP(tbEscolas[[#This Row],[COD ETPA]],tbEtapas[],3,FALSE),"")</f>
        <v/>
      </c>
    </row>
    <row r="3366" spans="1:5" x14ac:dyDescent="0.25">
      <c r="A3366" t="str" cm="1">
        <f t="array" ref="A3366">IFERROR(INDEX(tbNucleo[ESCOLA],ROUNDUP(ROW(A3365)/TotalEtapas,0)),"")</f>
        <v/>
      </c>
      <c r="D3366" t="str">
        <f>IFERROR(VLOOKUP(tbEscolas[[#This Row],[COD ETPA]],tbEtapas[],2,FALSE),"")</f>
        <v/>
      </c>
      <c r="E3366" t="str">
        <f>IFERROR(VLOOKUP(tbEscolas[[#This Row],[COD ETPA]],tbEtapas[],3,FALSE),"")</f>
        <v/>
      </c>
    </row>
    <row r="3367" spans="1:5" x14ac:dyDescent="0.25">
      <c r="A3367" t="str" cm="1">
        <f t="array" ref="A3367">IFERROR(INDEX(tbNucleo[ESCOLA],ROUNDUP(ROW(A3366)/TotalEtapas,0)),"")</f>
        <v/>
      </c>
      <c r="D3367" t="str">
        <f>IFERROR(VLOOKUP(tbEscolas[[#This Row],[COD ETPA]],tbEtapas[],2,FALSE),"")</f>
        <v/>
      </c>
      <c r="E3367" t="str">
        <f>IFERROR(VLOOKUP(tbEscolas[[#This Row],[COD ETPA]],tbEtapas[],3,FALSE),"")</f>
        <v/>
      </c>
    </row>
    <row r="3368" spans="1:5" x14ac:dyDescent="0.25">
      <c r="A3368" t="str" cm="1">
        <f t="array" ref="A3368">IFERROR(INDEX(tbNucleo[ESCOLA],ROUNDUP(ROW(A3367)/TotalEtapas,0)),"")</f>
        <v/>
      </c>
      <c r="D3368" t="str">
        <f>IFERROR(VLOOKUP(tbEscolas[[#This Row],[COD ETPA]],tbEtapas[],2,FALSE),"")</f>
        <v/>
      </c>
      <c r="E3368" t="str">
        <f>IFERROR(VLOOKUP(tbEscolas[[#This Row],[COD ETPA]],tbEtapas[],3,FALSE),"")</f>
        <v/>
      </c>
    </row>
    <row r="3369" spans="1:5" x14ac:dyDescent="0.25">
      <c r="A3369" t="str" cm="1">
        <f t="array" ref="A3369">IFERROR(INDEX(tbNucleo[ESCOLA],ROUNDUP(ROW(A3368)/TotalEtapas,0)),"")</f>
        <v/>
      </c>
      <c r="D3369" t="str">
        <f>IFERROR(VLOOKUP(tbEscolas[[#This Row],[COD ETPA]],tbEtapas[],2,FALSE),"")</f>
        <v/>
      </c>
      <c r="E3369" t="str">
        <f>IFERROR(VLOOKUP(tbEscolas[[#This Row],[COD ETPA]],tbEtapas[],3,FALSE),"")</f>
        <v/>
      </c>
    </row>
    <row r="3370" spans="1:5" x14ac:dyDescent="0.25">
      <c r="A3370" t="str" cm="1">
        <f t="array" ref="A3370">IFERROR(INDEX(tbNucleo[ESCOLA],ROUNDUP(ROW(A3369)/TotalEtapas,0)),"")</f>
        <v/>
      </c>
      <c r="D3370" t="str">
        <f>IFERROR(VLOOKUP(tbEscolas[[#This Row],[COD ETPA]],tbEtapas[],2,FALSE),"")</f>
        <v/>
      </c>
      <c r="E3370" t="str">
        <f>IFERROR(VLOOKUP(tbEscolas[[#This Row],[COD ETPA]],tbEtapas[],3,FALSE),"")</f>
        <v/>
      </c>
    </row>
    <row r="3371" spans="1:5" x14ac:dyDescent="0.25">
      <c r="A3371" t="str" cm="1">
        <f t="array" ref="A3371">IFERROR(INDEX(tbNucleo[ESCOLA],ROUNDUP(ROW(A3370)/TotalEtapas,0)),"")</f>
        <v/>
      </c>
      <c r="D3371" t="str">
        <f>IFERROR(VLOOKUP(tbEscolas[[#This Row],[COD ETPA]],tbEtapas[],2,FALSE),"")</f>
        <v/>
      </c>
      <c r="E3371" t="str">
        <f>IFERROR(VLOOKUP(tbEscolas[[#This Row],[COD ETPA]],tbEtapas[],3,FALSE),"")</f>
        <v/>
      </c>
    </row>
    <row r="3372" spans="1:5" x14ac:dyDescent="0.25">
      <c r="A3372" t="str" cm="1">
        <f t="array" ref="A3372">IFERROR(INDEX(tbNucleo[ESCOLA],ROUNDUP(ROW(A3371)/TotalEtapas,0)),"")</f>
        <v/>
      </c>
      <c r="D3372" t="str">
        <f>IFERROR(VLOOKUP(tbEscolas[[#This Row],[COD ETPA]],tbEtapas[],2,FALSE),"")</f>
        <v/>
      </c>
      <c r="E3372" t="str">
        <f>IFERROR(VLOOKUP(tbEscolas[[#This Row],[COD ETPA]],tbEtapas[],3,FALSE),"")</f>
        <v/>
      </c>
    </row>
    <row r="3373" spans="1:5" x14ac:dyDescent="0.25">
      <c r="A3373" t="str" cm="1">
        <f t="array" ref="A3373">IFERROR(INDEX(tbNucleo[ESCOLA],ROUNDUP(ROW(A3372)/TotalEtapas,0)),"")</f>
        <v/>
      </c>
      <c r="D3373" t="str">
        <f>IFERROR(VLOOKUP(tbEscolas[[#This Row],[COD ETPA]],tbEtapas[],2,FALSE),"")</f>
        <v/>
      </c>
      <c r="E3373" t="str">
        <f>IFERROR(VLOOKUP(tbEscolas[[#This Row],[COD ETPA]],tbEtapas[],3,FALSE),"")</f>
        <v/>
      </c>
    </row>
    <row r="3374" spans="1:5" x14ac:dyDescent="0.25">
      <c r="A3374" t="str" cm="1">
        <f t="array" ref="A3374">IFERROR(INDEX(tbNucleo[ESCOLA],ROUNDUP(ROW(A3373)/TotalEtapas,0)),"")</f>
        <v/>
      </c>
      <c r="D3374" t="str">
        <f>IFERROR(VLOOKUP(tbEscolas[[#This Row],[COD ETPA]],tbEtapas[],2,FALSE),"")</f>
        <v/>
      </c>
      <c r="E3374" t="str">
        <f>IFERROR(VLOOKUP(tbEscolas[[#This Row],[COD ETPA]],tbEtapas[],3,FALSE),"")</f>
        <v/>
      </c>
    </row>
    <row r="3375" spans="1:5" x14ac:dyDescent="0.25">
      <c r="A3375" t="str" cm="1">
        <f t="array" ref="A3375">IFERROR(INDEX(tbNucleo[ESCOLA],ROUNDUP(ROW(A3374)/TotalEtapas,0)),"")</f>
        <v/>
      </c>
      <c r="D3375" t="str">
        <f>IFERROR(VLOOKUP(tbEscolas[[#This Row],[COD ETPA]],tbEtapas[],2,FALSE),"")</f>
        <v/>
      </c>
      <c r="E3375" t="str">
        <f>IFERROR(VLOOKUP(tbEscolas[[#This Row],[COD ETPA]],tbEtapas[],3,FALSE),"")</f>
        <v/>
      </c>
    </row>
    <row r="3376" spans="1:5" x14ac:dyDescent="0.25">
      <c r="A3376" t="str" cm="1">
        <f t="array" ref="A3376">IFERROR(INDEX(tbNucleo[ESCOLA],ROUNDUP(ROW(A3375)/TotalEtapas,0)),"")</f>
        <v/>
      </c>
      <c r="D3376" t="str">
        <f>IFERROR(VLOOKUP(tbEscolas[[#This Row],[COD ETPA]],tbEtapas[],2,FALSE),"")</f>
        <v/>
      </c>
      <c r="E3376" t="str">
        <f>IFERROR(VLOOKUP(tbEscolas[[#This Row],[COD ETPA]],tbEtapas[],3,FALSE),"")</f>
        <v/>
      </c>
    </row>
    <row r="3377" spans="1:5" x14ac:dyDescent="0.25">
      <c r="A3377" t="str" cm="1">
        <f t="array" ref="A3377">IFERROR(INDEX(tbNucleo[ESCOLA],ROUNDUP(ROW(A3376)/TotalEtapas,0)),"")</f>
        <v/>
      </c>
      <c r="D3377" t="str">
        <f>IFERROR(VLOOKUP(tbEscolas[[#This Row],[COD ETPA]],tbEtapas[],2,FALSE),"")</f>
        <v/>
      </c>
      <c r="E3377" t="str">
        <f>IFERROR(VLOOKUP(tbEscolas[[#This Row],[COD ETPA]],tbEtapas[],3,FALSE),"")</f>
        <v/>
      </c>
    </row>
    <row r="3378" spans="1:5" x14ac:dyDescent="0.25">
      <c r="A3378" t="str" cm="1">
        <f t="array" ref="A3378">IFERROR(INDEX(tbNucleo[ESCOLA],ROUNDUP(ROW(A3377)/TotalEtapas,0)),"")</f>
        <v/>
      </c>
      <c r="D3378" t="str">
        <f>IFERROR(VLOOKUP(tbEscolas[[#This Row],[COD ETPA]],tbEtapas[],2,FALSE),"")</f>
        <v/>
      </c>
      <c r="E3378" t="str">
        <f>IFERROR(VLOOKUP(tbEscolas[[#This Row],[COD ETPA]],tbEtapas[],3,FALSE),"")</f>
        <v/>
      </c>
    </row>
    <row r="3379" spans="1:5" x14ac:dyDescent="0.25">
      <c r="A3379" t="str" cm="1">
        <f t="array" ref="A3379">IFERROR(INDEX(tbNucleo[ESCOLA],ROUNDUP(ROW(A3378)/TotalEtapas,0)),"")</f>
        <v/>
      </c>
      <c r="D3379" t="str">
        <f>IFERROR(VLOOKUP(tbEscolas[[#This Row],[COD ETPA]],tbEtapas[],2,FALSE),"")</f>
        <v/>
      </c>
      <c r="E3379" t="str">
        <f>IFERROR(VLOOKUP(tbEscolas[[#This Row],[COD ETPA]],tbEtapas[],3,FALSE),"")</f>
        <v/>
      </c>
    </row>
    <row r="3380" spans="1:5" x14ac:dyDescent="0.25">
      <c r="A3380" t="str" cm="1">
        <f t="array" ref="A3380">IFERROR(INDEX(tbNucleo[ESCOLA],ROUNDUP(ROW(A3379)/TotalEtapas,0)),"")</f>
        <v/>
      </c>
      <c r="D3380" t="str">
        <f>IFERROR(VLOOKUP(tbEscolas[[#This Row],[COD ETPA]],tbEtapas[],2,FALSE),"")</f>
        <v/>
      </c>
      <c r="E3380" t="str">
        <f>IFERROR(VLOOKUP(tbEscolas[[#This Row],[COD ETPA]],tbEtapas[],3,FALSE),"")</f>
        <v/>
      </c>
    </row>
    <row r="3381" spans="1:5" x14ac:dyDescent="0.25">
      <c r="A3381" t="str" cm="1">
        <f t="array" ref="A3381">IFERROR(INDEX(tbNucleo[ESCOLA],ROUNDUP(ROW(A3380)/TotalEtapas,0)),"")</f>
        <v/>
      </c>
      <c r="D3381" t="str">
        <f>IFERROR(VLOOKUP(tbEscolas[[#This Row],[COD ETPA]],tbEtapas[],2,FALSE),"")</f>
        <v/>
      </c>
      <c r="E3381" t="str">
        <f>IFERROR(VLOOKUP(tbEscolas[[#This Row],[COD ETPA]],tbEtapas[],3,FALSE),"")</f>
        <v/>
      </c>
    </row>
    <row r="3382" spans="1:5" x14ac:dyDescent="0.25">
      <c r="A3382" t="str" cm="1">
        <f t="array" ref="A3382">IFERROR(INDEX(tbNucleo[ESCOLA],ROUNDUP(ROW(A3381)/TotalEtapas,0)),"")</f>
        <v/>
      </c>
      <c r="D3382" t="str">
        <f>IFERROR(VLOOKUP(tbEscolas[[#This Row],[COD ETPA]],tbEtapas[],2,FALSE),"")</f>
        <v/>
      </c>
      <c r="E3382" t="str">
        <f>IFERROR(VLOOKUP(tbEscolas[[#This Row],[COD ETPA]],tbEtapas[],3,FALSE),"")</f>
        <v/>
      </c>
    </row>
    <row r="3383" spans="1:5" x14ac:dyDescent="0.25">
      <c r="A3383" t="str" cm="1">
        <f t="array" ref="A3383">IFERROR(INDEX(tbNucleo[ESCOLA],ROUNDUP(ROW(A3382)/TotalEtapas,0)),"")</f>
        <v/>
      </c>
      <c r="D3383" t="str">
        <f>IFERROR(VLOOKUP(tbEscolas[[#This Row],[COD ETPA]],tbEtapas[],2,FALSE),"")</f>
        <v/>
      </c>
      <c r="E3383" t="str">
        <f>IFERROR(VLOOKUP(tbEscolas[[#This Row],[COD ETPA]],tbEtapas[],3,FALSE),"")</f>
        <v/>
      </c>
    </row>
    <row r="3384" spans="1:5" x14ac:dyDescent="0.25">
      <c r="A3384" t="str" cm="1">
        <f t="array" ref="A3384">IFERROR(INDEX(tbNucleo[ESCOLA],ROUNDUP(ROW(A3383)/TotalEtapas,0)),"")</f>
        <v/>
      </c>
      <c r="D3384" t="str">
        <f>IFERROR(VLOOKUP(tbEscolas[[#This Row],[COD ETPA]],tbEtapas[],2,FALSE),"")</f>
        <v/>
      </c>
      <c r="E3384" t="str">
        <f>IFERROR(VLOOKUP(tbEscolas[[#This Row],[COD ETPA]],tbEtapas[],3,FALSE),"")</f>
        <v/>
      </c>
    </row>
    <row r="3385" spans="1:5" x14ac:dyDescent="0.25">
      <c r="A3385" t="str" cm="1">
        <f t="array" ref="A3385">IFERROR(INDEX(tbNucleo[ESCOLA],ROUNDUP(ROW(A3384)/TotalEtapas,0)),"")</f>
        <v/>
      </c>
      <c r="D3385" t="str">
        <f>IFERROR(VLOOKUP(tbEscolas[[#This Row],[COD ETPA]],tbEtapas[],2,FALSE),"")</f>
        <v/>
      </c>
      <c r="E3385" t="str">
        <f>IFERROR(VLOOKUP(tbEscolas[[#This Row],[COD ETPA]],tbEtapas[],3,FALSE),"")</f>
        <v/>
      </c>
    </row>
    <row r="3386" spans="1:5" x14ac:dyDescent="0.25">
      <c r="A3386" t="str" cm="1">
        <f t="array" ref="A3386">IFERROR(INDEX(tbNucleo[ESCOLA],ROUNDUP(ROW(A3385)/TotalEtapas,0)),"")</f>
        <v/>
      </c>
      <c r="D3386" t="str">
        <f>IFERROR(VLOOKUP(tbEscolas[[#This Row],[COD ETPA]],tbEtapas[],2,FALSE),"")</f>
        <v/>
      </c>
      <c r="E3386" t="str">
        <f>IFERROR(VLOOKUP(tbEscolas[[#This Row],[COD ETPA]],tbEtapas[],3,FALSE),"")</f>
        <v/>
      </c>
    </row>
    <row r="3387" spans="1:5" x14ac:dyDescent="0.25">
      <c r="A3387" t="str" cm="1">
        <f t="array" ref="A3387">IFERROR(INDEX(tbNucleo[ESCOLA],ROUNDUP(ROW(A3386)/TotalEtapas,0)),"")</f>
        <v/>
      </c>
      <c r="D3387" t="str">
        <f>IFERROR(VLOOKUP(tbEscolas[[#This Row],[COD ETPA]],tbEtapas[],2,FALSE),"")</f>
        <v/>
      </c>
      <c r="E3387" t="str">
        <f>IFERROR(VLOOKUP(tbEscolas[[#This Row],[COD ETPA]],tbEtapas[],3,FALSE),"")</f>
        <v/>
      </c>
    </row>
    <row r="3388" spans="1:5" x14ac:dyDescent="0.25">
      <c r="A3388" t="str" cm="1">
        <f t="array" ref="A3388">IFERROR(INDEX(tbNucleo[ESCOLA],ROUNDUP(ROW(A3387)/TotalEtapas,0)),"")</f>
        <v/>
      </c>
      <c r="D3388" t="str">
        <f>IFERROR(VLOOKUP(tbEscolas[[#This Row],[COD ETPA]],tbEtapas[],2,FALSE),"")</f>
        <v/>
      </c>
      <c r="E3388" t="str">
        <f>IFERROR(VLOOKUP(tbEscolas[[#This Row],[COD ETPA]],tbEtapas[],3,FALSE),"")</f>
        <v/>
      </c>
    </row>
    <row r="3389" spans="1:5" x14ac:dyDescent="0.25">
      <c r="A3389" t="str" cm="1">
        <f t="array" ref="A3389">IFERROR(INDEX(tbNucleo[ESCOLA],ROUNDUP(ROW(A3388)/TotalEtapas,0)),"")</f>
        <v/>
      </c>
      <c r="D3389" t="str">
        <f>IFERROR(VLOOKUP(tbEscolas[[#This Row],[COD ETPA]],tbEtapas[],2,FALSE),"")</f>
        <v/>
      </c>
      <c r="E3389" t="str">
        <f>IFERROR(VLOOKUP(tbEscolas[[#This Row],[COD ETPA]],tbEtapas[],3,FALSE),"")</f>
        <v/>
      </c>
    </row>
    <row r="3390" spans="1:5" x14ac:dyDescent="0.25">
      <c r="A3390" t="str" cm="1">
        <f t="array" ref="A3390">IFERROR(INDEX(tbNucleo[ESCOLA],ROUNDUP(ROW(A3389)/TotalEtapas,0)),"")</f>
        <v/>
      </c>
      <c r="D3390" t="str">
        <f>IFERROR(VLOOKUP(tbEscolas[[#This Row],[COD ETPA]],tbEtapas[],2,FALSE),"")</f>
        <v/>
      </c>
      <c r="E3390" t="str">
        <f>IFERROR(VLOOKUP(tbEscolas[[#This Row],[COD ETPA]],tbEtapas[],3,FALSE),"")</f>
        <v/>
      </c>
    </row>
    <row r="3391" spans="1:5" x14ac:dyDescent="0.25">
      <c r="A3391" t="str" cm="1">
        <f t="array" ref="A3391">IFERROR(INDEX(tbNucleo[ESCOLA],ROUNDUP(ROW(A3390)/TotalEtapas,0)),"")</f>
        <v/>
      </c>
      <c r="D3391" t="str">
        <f>IFERROR(VLOOKUP(tbEscolas[[#This Row],[COD ETPA]],tbEtapas[],2,FALSE),"")</f>
        <v/>
      </c>
      <c r="E3391" t="str">
        <f>IFERROR(VLOOKUP(tbEscolas[[#This Row],[COD ETPA]],tbEtapas[],3,FALSE),"")</f>
        <v/>
      </c>
    </row>
    <row r="3392" spans="1:5" x14ac:dyDescent="0.25">
      <c r="A3392" t="str" cm="1">
        <f t="array" ref="A3392">IFERROR(INDEX(tbNucleo[ESCOLA],ROUNDUP(ROW(A3391)/TotalEtapas,0)),"")</f>
        <v/>
      </c>
      <c r="D3392" t="str">
        <f>IFERROR(VLOOKUP(tbEscolas[[#This Row],[COD ETPA]],tbEtapas[],2,FALSE),"")</f>
        <v/>
      </c>
      <c r="E3392" t="str">
        <f>IFERROR(VLOOKUP(tbEscolas[[#This Row],[COD ETPA]],tbEtapas[],3,FALSE),"")</f>
        <v/>
      </c>
    </row>
    <row r="3393" spans="1:5" x14ac:dyDescent="0.25">
      <c r="A3393" t="str" cm="1">
        <f t="array" ref="A3393">IFERROR(INDEX(tbNucleo[ESCOLA],ROUNDUP(ROW(A3392)/TotalEtapas,0)),"")</f>
        <v/>
      </c>
      <c r="D3393" t="str">
        <f>IFERROR(VLOOKUP(tbEscolas[[#This Row],[COD ETPA]],tbEtapas[],2,FALSE),"")</f>
        <v/>
      </c>
      <c r="E3393" t="str">
        <f>IFERROR(VLOOKUP(tbEscolas[[#This Row],[COD ETPA]],tbEtapas[],3,FALSE),"")</f>
        <v/>
      </c>
    </row>
    <row r="3394" spans="1:5" x14ac:dyDescent="0.25">
      <c r="A3394" t="str" cm="1">
        <f t="array" ref="A3394">IFERROR(INDEX(tbNucleo[ESCOLA],ROUNDUP(ROW(A3393)/TotalEtapas,0)),"")</f>
        <v/>
      </c>
      <c r="D3394" t="str">
        <f>IFERROR(VLOOKUP(tbEscolas[[#This Row],[COD ETPA]],tbEtapas[],2,FALSE),"")</f>
        <v/>
      </c>
      <c r="E3394" t="str">
        <f>IFERROR(VLOOKUP(tbEscolas[[#This Row],[COD ETPA]],tbEtapas[],3,FALSE),"")</f>
        <v/>
      </c>
    </row>
    <row r="3395" spans="1:5" x14ac:dyDescent="0.25">
      <c r="A3395" t="str" cm="1">
        <f t="array" ref="A3395">IFERROR(INDEX(tbNucleo[ESCOLA],ROUNDUP(ROW(A3394)/TotalEtapas,0)),"")</f>
        <v/>
      </c>
      <c r="D3395" t="str">
        <f>IFERROR(VLOOKUP(tbEscolas[[#This Row],[COD ETPA]],tbEtapas[],2,FALSE),"")</f>
        <v/>
      </c>
      <c r="E3395" t="str">
        <f>IFERROR(VLOOKUP(tbEscolas[[#This Row],[COD ETPA]],tbEtapas[],3,FALSE),"")</f>
        <v/>
      </c>
    </row>
    <row r="3396" spans="1:5" x14ac:dyDescent="0.25">
      <c r="A3396" t="str" cm="1">
        <f t="array" ref="A3396">IFERROR(INDEX(tbNucleo[ESCOLA],ROUNDUP(ROW(A3395)/TotalEtapas,0)),"")</f>
        <v/>
      </c>
      <c r="D3396" t="str">
        <f>IFERROR(VLOOKUP(tbEscolas[[#This Row],[COD ETPA]],tbEtapas[],2,FALSE),"")</f>
        <v/>
      </c>
      <c r="E3396" t="str">
        <f>IFERROR(VLOOKUP(tbEscolas[[#This Row],[COD ETPA]],tbEtapas[],3,FALSE),"")</f>
        <v/>
      </c>
    </row>
    <row r="3397" spans="1:5" x14ac:dyDescent="0.25">
      <c r="A3397" t="str" cm="1">
        <f t="array" ref="A3397">IFERROR(INDEX(tbNucleo[ESCOLA],ROUNDUP(ROW(A3396)/TotalEtapas,0)),"")</f>
        <v/>
      </c>
      <c r="D3397" t="str">
        <f>IFERROR(VLOOKUP(tbEscolas[[#This Row],[COD ETPA]],tbEtapas[],2,FALSE),"")</f>
        <v/>
      </c>
      <c r="E3397" t="str">
        <f>IFERROR(VLOOKUP(tbEscolas[[#This Row],[COD ETPA]],tbEtapas[],3,FALSE),"")</f>
        <v/>
      </c>
    </row>
    <row r="3398" spans="1:5" x14ac:dyDescent="0.25">
      <c r="A3398" t="str" cm="1">
        <f t="array" ref="A3398">IFERROR(INDEX(tbNucleo[ESCOLA],ROUNDUP(ROW(A3397)/TotalEtapas,0)),"")</f>
        <v/>
      </c>
      <c r="D3398" t="str">
        <f>IFERROR(VLOOKUP(tbEscolas[[#This Row],[COD ETPA]],tbEtapas[],2,FALSE),"")</f>
        <v/>
      </c>
      <c r="E3398" t="str">
        <f>IFERROR(VLOOKUP(tbEscolas[[#This Row],[COD ETPA]],tbEtapas[],3,FALSE),"")</f>
        <v/>
      </c>
    </row>
    <row r="3399" spans="1:5" x14ac:dyDescent="0.25">
      <c r="A3399" t="str" cm="1">
        <f t="array" ref="A3399">IFERROR(INDEX(tbNucleo[ESCOLA],ROUNDUP(ROW(A3398)/TotalEtapas,0)),"")</f>
        <v/>
      </c>
      <c r="D3399" t="str">
        <f>IFERROR(VLOOKUP(tbEscolas[[#This Row],[COD ETPA]],tbEtapas[],2,FALSE),"")</f>
        <v/>
      </c>
      <c r="E3399" t="str">
        <f>IFERROR(VLOOKUP(tbEscolas[[#This Row],[COD ETPA]],tbEtapas[],3,FALSE),"")</f>
        <v/>
      </c>
    </row>
    <row r="3400" spans="1:5" x14ac:dyDescent="0.25">
      <c r="A3400" t="str" cm="1">
        <f t="array" ref="A3400">IFERROR(INDEX(tbNucleo[ESCOLA],ROUNDUP(ROW(A3399)/TotalEtapas,0)),"")</f>
        <v/>
      </c>
      <c r="D3400" t="str">
        <f>IFERROR(VLOOKUP(tbEscolas[[#This Row],[COD ETPA]],tbEtapas[],2,FALSE),"")</f>
        <v/>
      </c>
      <c r="E3400" t="str">
        <f>IFERROR(VLOOKUP(tbEscolas[[#This Row],[COD ETPA]],tbEtapas[],3,FALSE),"")</f>
        <v/>
      </c>
    </row>
    <row r="3401" spans="1:5" x14ac:dyDescent="0.25">
      <c r="A3401" t="str" cm="1">
        <f t="array" ref="A3401">IFERROR(INDEX(tbNucleo[ESCOLA],ROUNDUP(ROW(A3400)/TotalEtapas,0)),"")</f>
        <v/>
      </c>
      <c r="D3401" t="str">
        <f>IFERROR(VLOOKUP(tbEscolas[[#This Row],[COD ETPA]],tbEtapas[],2,FALSE),"")</f>
        <v/>
      </c>
      <c r="E3401" t="str">
        <f>IFERROR(VLOOKUP(tbEscolas[[#This Row],[COD ETPA]],tbEtapas[],3,FALSE),"")</f>
        <v/>
      </c>
    </row>
    <row r="3402" spans="1:5" x14ac:dyDescent="0.25">
      <c r="A3402" t="str" cm="1">
        <f t="array" ref="A3402">IFERROR(INDEX(tbNucleo[ESCOLA],ROUNDUP(ROW(A3401)/TotalEtapas,0)),"")</f>
        <v/>
      </c>
      <c r="D3402" t="str">
        <f>IFERROR(VLOOKUP(tbEscolas[[#This Row],[COD ETPA]],tbEtapas[],2,FALSE),"")</f>
        <v/>
      </c>
      <c r="E3402" t="str">
        <f>IFERROR(VLOOKUP(tbEscolas[[#This Row],[COD ETPA]],tbEtapas[],3,FALSE),"")</f>
        <v/>
      </c>
    </row>
    <row r="3403" spans="1:5" x14ac:dyDescent="0.25">
      <c r="A3403" t="str" cm="1">
        <f t="array" ref="A3403">IFERROR(INDEX(tbNucleo[ESCOLA],ROUNDUP(ROW(A3402)/TotalEtapas,0)),"")</f>
        <v/>
      </c>
      <c r="D3403" t="str">
        <f>IFERROR(VLOOKUP(tbEscolas[[#This Row],[COD ETPA]],tbEtapas[],2,FALSE),"")</f>
        <v/>
      </c>
      <c r="E3403" t="str">
        <f>IFERROR(VLOOKUP(tbEscolas[[#This Row],[COD ETPA]],tbEtapas[],3,FALSE),"")</f>
        <v/>
      </c>
    </row>
    <row r="3404" spans="1:5" x14ac:dyDescent="0.25">
      <c r="A3404" t="str" cm="1">
        <f t="array" ref="A3404">IFERROR(INDEX(tbNucleo[ESCOLA],ROUNDUP(ROW(A3403)/TotalEtapas,0)),"")</f>
        <v/>
      </c>
      <c r="D3404" t="str">
        <f>IFERROR(VLOOKUP(tbEscolas[[#This Row],[COD ETPA]],tbEtapas[],2,FALSE),"")</f>
        <v/>
      </c>
      <c r="E3404" t="str">
        <f>IFERROR(VLOOKUP(tbEscolas[[#This Row],[COD ETPA]],tbEtapas[],3,FALSE),"")</f>
        <v/>
      </c>
    </row>
    <row r="3405" spans="1:5" x14ac:dyDescent="0.25">
      <c r="A3405" t="str" cm="1">
        <f t="array" ref="A3405">IFERROR(INDEX(tbNucleo[ESCOLA],ROUNDUP(ROW(A3404)/TotalEtapas,0)),"")</f>
        <v/>
      </c>
      <c r="D3405" t="str">
        <f>IFERROR(VLOOKUP(tbEscolas[[#This Row],[COD ETPA]],tbEtapas[],2,FALSE),"")</f>
        <v/>
      </c>
      <c r="E3405" t="str">
        <f>IFERROR(VLOOKUP(tbEscolas[[#This Row],[COD ETPA]],tbEtapas[],3,FALSE),"")</f>
        <v/>
      </c>
    </row>
    <row r="3406" spans="1:5" x14ac:dyDescent="0.25">
      <c r="A3406" t="str" cm="1">
        <f t="array" ref="A3406">IFERROR(INDEX(tbNucleo[ESCOLA],ROUNDUP(ROW(A3405)/TotalEtapas,0)),"")</f>
        <v/>
      </c>
      <c r="D3406" t="str">
        <f>IFERROR(VLOOKUP(tbEscolas[[#This Row],[COD ETPA]],tbEtapas[],2,FALSE),"")</f>
        <v/>
      </c>
      <c r="E3406" t="str">
        <f>IFERROR(VLOOKUP(tbEscolas[[#This Row],[COD ETPA]],tbEtapas[],3,FALSE),"")</f>
        <v/>
      </c>
    </row>
    <row r="3407" spans="1:5" x14ac:dyDescent="0.25">
      <c r="A3407" t="str" cm="1">
        <f t="array" ref="A3407">IFERROR(INDEX(tbNucleo[ESCOLA],ROUNDUP(ROW(A3406)/TotalEtapas,0)),"")</f>
        <v/>
      </c>
      <c r="D3407" t="str">
        <f>IFERROR(VLOOKUP(tbEscolas[[#This Row],[COD ETPA]],tbEtapas[],2,FALSE),"")</f>
        <v/>
      </c>
      <c r="E3407" t="str">
        <f>IFERROR(VLOOKUP(tbEscolas[[#This Row],[COD ETPA]],tbEtapas[],3,FALSE),"")</f>
        <v/>
      </c>
    </row>
    <row r="3408" spans="1:5" x14ac:dyDescent="0.25">
      <c r="A3408" t="str" cm="1">
        <f t="array" ref="A3408">IFERROR(INDEX(tbNucleo[ESCOLA],ROUNDUP(ROW(A3407)/TotalEtapas,0)),"")</f>
        <v/>
      </c>
      <c r="D3408" t="str">
        <f>IFERROR(VLOOKUP(tbEscolas[[#This Row],[COD ETPA]],tbEtapas[],2,FALSE),"")</f>
        <v/>
      </c>
      <c r="E3408" t="str">
        <f>IFERROR(VLOOKUP(tbEscolas[[#This Row],[COD ETPA]],tbEtapas[],3,FALSE),"")</f>
        <v/>
      </c>
    </row>
    <row r="3409" spans="1:5" x14ac:dyDescent="0.25">
      <c r="A3409" t="str" cm="1">
        <f t="array" ref="A3409">IFERROR(INDEX(tbNucleo[ESCOLA],ROUNDUP(ROW(A3408)/TotalEtapas,0)),"")</f>
        <v/>
      </c>
      <c r="D3409" t="str">
        <f>IFERROR(VLOOKUP(tbEscolas[[#This Row],[COD ETPA]],tbEtapas[],2,FALSE),"")</f>
        <v/>
      </c>
      <c r="E3409" t="str">
        <f>IFERROR(VLOOKUP(tbEscolas[[#This Row],[COD ETPA]],tbEtapas[],3,FALSE),"")</f>
        <v/>
      </c>
    </row>
    <row r="3410" spans="1:5" x14ac:dyDescent="0.25">
      <c r="A3410" t="str" cm="1">
        <f t="array" ref="A3410">IFERROR(INDEX(tbNucleo[ESCOLA],ROUNDUP(ROW(A3409)/TotalEtapas,0)),"")</f>
        <v/>
      </c>
      <c r="D3410" t="str">
        <f>IFERROR(VLOOKUP(tbEscolas[[#This Row],[COD ETPA]],tbEtapas[],2,FALSE),"")</f>
        <v/>
      </c>
      <c r="E3410" t="str">
        <f>IFERROR(VLOOKUP(tbEscolas[[#This Row],[COD ETPA]],tbEtapas[],3,FALSE),"")</f>
        <v/>
      </c>
    </row>
    <row r="3411" spans="1:5" x14ac:dyDescent="0.25">
      <c r="A3411" t="str" cm="1">
        <f t="array" ref="A3411">IFERROR(INDEX(tbNucleo[ESCOLA],ROUNDUP(ROW(A3410)/TotalEtapas,0)),"")</f>
        <v/>
      </c>
      <c r="D3411" t="str">
        <f>IFERROR(VLOOKUP(tbEscolas[[#This Row],[COD ETPA]],tbEtapas[],2,FALSE),"")</f>
        <v/>
      </c>
      <c r="E3411" t="str">
        <f>IFERROR(VLOOKUP(tbEscolas[[#This Row],[COD ETPA]],tbEtapas[],3,FALSE),"")</f>
        <v/>
      </c>
    </row>
    <row r="3412" spans="1:5" x14ac:dyDescent="0.25">
      <c r="A3412" t="str" cm="1">
        <f t="array" ref="A3412">IFERROR(INDEX(tbNucleo[ESCOLA],ROUNDUP(ROW(A3411)/TotalEtapas,0)),"")</f>
        <v/>
      </c>
      <c r="D3412" t="str">
        <f>IFERROR(VLOOKUP(tbEscolas[[#This Row],[COD ETPA]],tbEtapas[],2,FALSE),"")</f>
        <v/>
      </c>
      <c r="E3412" t="str">
        <f>IFERROR(VLOOKUP(tbEscolas[[#This Row],[COD ETPA]],tbEtapas[],3,FALSE),"")</f>
        <v/>
      </c>
    </row>
    <row r="3413" spans="1:5" x14ac:dyDescent="0.25">
      <c r="A3413" t="str" cm="1">
        <f t="array" ref="A3413">IFERROR(INDEX(tbNucleo[ESCOLA],ROUNDUP(ROW(A3412)/TotalEtapas,0)),"")</f>
        <v/>
      </c>
      <c r="D3413" t="str">
        <f>IFERROR(VLOOKUP(tbEscolas[[#This Row],[COD ETPA]],tbEtapas[],2,FALSE),"")</f>
        <v/>
      </c>
      <c r="E3413" t="str">
        <f>IFERROR(VLOOKUP(tbEscolas[[#This Row],[COD ETPA]],tbEtapas[],3,FALSE),"")</f>
        <v/>
      </c>
    </row>
    <row r="3414" spans="1:5" x14ac:dyDescent="0.25">
      <c r="A3414" t="str" cm="1">
        <f t="array" ref="A3414">IFERROR(INDEX(tbNucleo[ESCOLA],ROUNDUP(ROW(A3413)/TotalEtapas,0)),"")</f>
        <v/>
      </c>
      <c r="D3414" t="str">
        <f>IFERROR(VLOOKUP(tbEscolas[[#This Row],[COD ETPA]],tbEtapas[],2,FALSE),"")</f>
        <v/>
      </c>
      <c r="E3414" t="str">
        <f>IFERROR(VLOOKUP(tbEscolas[[#This Row],[COD ETPA]],tbEtapas[],3,FALSE),"")</f>
        <v/>
      </c>
    </row>
    <row r="3415" spans="1:5" x14ac:dyDescent="0.25">
      <c r="A3415" t="str" cm="1">
        <f t="array" ref="A3415">IFERROR(INDEX(tbNucleo[ESCOLA],ROUNDUP(ROW(A3414)/TotalEtapas,0)),"")</f>
        <v/>
      </c>
      <c r="D3415" t="str">
        <f>IFERROR(VLOOKUP(tbEscolas[[#This Row],[COD ETPA]],tbEtapas[],2,FALSE),"")</f>
        <v/>
      </c>
      <c r="E3415" t="str">
        <f>IFERROR(VLOOKUP(tbEscolas[[#This Row],[COD ETPA]],tbEtapas[],3,FALSE),"")</f>
        <v/>
      </c>
    </row>
    <row r="3416" spans="1:5" x14ac:dyDescent="0.25">
      <c r="A3416" t="str" cm="1">
        <f t="array" ref="A3416">IFERROR(INDEX(tbNucleo[ESCOLA],ROUNDUP(ROW(A3415)/TotalEtapas,0)),"")</f>
        <v/>
      </c>
      <c r="D3416" t="str">
        <f>IFERROR(VLOOKUP(tbEscolas[[#This Row],[COD ETPA]],tbEtapas[],2,FALSE),"")</f>
        <v/>
      </c>
      <c r="E3416" t="str">
        <f>IFERROR(VLOOKUP(tbEscolas[[#This Row],[COD ETPA]],tbEtapas[],3,FALSE),"")</f>
        <v/>
      </c>
    </row>
    <row r="3417" spans="1:5" x14ac:dyDescent="0.25">
      <c r="A3417" t="str" cm="1">
        <f t="array" ref="A3417">IFERROR(INDEX(tbNucleo[ESCOLA],ROUNDUP(ROW(A3416)/TotalEtapas,0)),"")</f>
        <v/>
      </c>
      <c r="D3417" t="str">
        <f>IFERROR(VLOOKUP(tbEscolas[[#This Row],[COD ETPA]],tbEtapas[],2,FALSE),"")</f>
        <v/>
      </c>
      <c r="E3417" t="str">
        <f>IFERROR(VLOOKUP(tbEscolas[[#This Row],[COD ETPA]],tbEtapas[],3,FALSE),"")</f>
        <v/>
      </c>
    </row>
    <row r="3418" spans="1:5" x14ac:dyDescent="0.25">
      <c r="A3418" t="str" cm="1">
        <f t="array" ref="A3418">IFERROR(INDEX(tbNucleo[ESCOLA],ROUNDUP(ROW(A3417)/TotalEtapas,0)),"")</f>
        <v/>
      </c>
      <c r="D3418" t="str">
        <f>IFERROR(VLOOKUP(tbEscolas[[#This Row],[COD ETPA]],tbEtapas[],2,FALSE),"")</f>
        <v/>
      </c>
      <c r="E3418" t="str">
        <f>IFERROR(VLOOKUP(tbEscolas[[#This Row],[COD ETPA]],tbEtapas[],3,FALSE),"")</f>
        <v/>
      </c>
    </row>
    <row r="3419" spans="1:5" x14ac:dyDescent="0.25">
      <c r="A3419" t="str" cm="1">
        <f t="array" ref="A3419">IFERROR(INDEX(tbNucleo[ESCOLA],ROUNDUP(ROW(A3418)/TotalEtapas,0)),"")</f>
        <v/>
      </c>
      <c r="D3419" t="str">
        <f>IFERROR(VLOOKUP(tbEscolas[[#This Row],[COD ETPA]],tbEtapas[],2,FALSE),"")</f>
        <v/>
      </c>
      <c r="E3419" t="str">
        <f>IFERROR(VLOOKUP(tbEscolas[[#This Row],[COD ETPA]],tbEtapas[],3,FALSE),"")</f>
        <v/>
      </c>
    </row>
    <row r="3420" spans="1:5" x14ac:dyDescent="0.25">
      <c r="A3420" t="str" cm="1">
        <f t="array" ref="A3420">IFERROR(INDEX(tbNucleo[ESCOLA],ROUNDUP(ROW(A3419)/TotalEtapas,0)),"")</f>
        <v/>
      </c>
      <c r="D3420" t="str">
        <f>IFERROR(VLOOKUP(tbEscolas[[#This Row],[COD ETPA]],tbEtapas[],2,FALSE),"")</f>
        <v/>
      </c>
      <c r="E3420" t="str">
        <f>IFERROR(VLOOKUP(tbEscolas[[#This Row],[COD ETPA]],tbEtapas[],3,FALSE),"")</f>
        <v/>
      </c>
    </row>
    <row r="3421" spans="1:5" x14ac:dyDescent="0.25">
      <c r="A3421" t="str" cm="1">
        <f t="array" ref="A3421">IFERROR(INDEX(tbNucleo[ESCOLA],ROUNDUP(ROW(A3420)/TotalEtapas,0)),"")</f>
        <v/>
      </c>
      <c r="D3421" t="str">
        <f>IFERROR(VLOOKUP(tbEscolas[[#This Row],[COD ETPA]],tbEtapas[],2,FALSE),"")</f>
        <v/>
      </c>
      <c r="E3421" t="str">
        <f>IFERROR(VLOOKUP(tbEscolas[[#This Row],[COD ETPA]],tbEtapas[],3,FALSE),"")</f>
        <v/>
      </c>
    </row>
    <row r="3422" spans="1:5" x14ac:dyDescent="0.25">
      <c r="A3422" t="str" cm="1">
        <f t="array" ref="A3422">IFERROR(INDEX(tbNucleo[ESCOLA],ROUNDUP(ROW(A3421)/TotalEtapas,0)),"")</f>
        <v/>
      </c>
      <c r="D3422" t="str">
        <f>IFERROR(VLOOKUP(tbEscolas[[#This Row],[COD ETPA]],tbEtapas[],2,FALSE),"")</f>
        <v/>
      </c>
      <c r="E3422" t="str">
        <f>IFERROR(VLOOKUP(tbEscolas[[#This Row],[COD ETPA]],tbEtapas[],3,FALSE),"")</f>
        <v/>
      </c>
    </row>
    <row r="3423" spans="1:5" x14ac:dyDescent="0.25">
      <c r="A3423" t="str" cm="1">
        <f t="array" ref="A3423">IFERROR(INDEX(tbNucleo[ESCOLA],ROUNDUP(ROW(A3422)/TotalEtapas,0)),"")</f>
        <v/>
      </c>
      <c r="D3423" t="str">
        <f>IFERROR(VLOOKUP(tbEscolas[[#This Row],[COD ETPA]],tbEtapas[],2,FALSE),"")</f>
        <v/>
      </c>
      <c r="E3423" t="str">
        <f>IFERROR(VLOOKUP(tbEscolas[[#This Row],[COD ETPA]],tbEtapas[],3,FALSE),"")</f>
        <v/>
      </c>
    </row>
    <row r="3424" spans="1:5" x14ac:dyDescent="0.25">
      <c r="A3424" t="str" cm="1">
        <f t="array" ref="A3424">IFERROR(INDEX(tbNucleo[ESCOLA],ROUNDUP(ROW(A3423)/TotalEtapas,0)),"")</f>
        <v/>
      </c>
      <c r="D3424" t="str">
        <f>IFERROR(VLOOKUP(tbEscolas[[#This Row],[COD ETPA]],tbEtapas[],2,FALSE),"")</f>
        <v/>
      </c>
      <c r="E3424" t="str">
        <f>IFERROR(VLOOKUP(tbEscolas[[#This Row],[COD ETPA]],tbEtapas[],3,FALSE),"")</f>
        <v/>
      </c>
    </row>
    <row r="3425" spans="1:5" x14ac:dyDescent="0.25">
      <c r="A3425" t="str" cm="1">
        <f t="array" ref="A3425">IFERROR(INDEX(tbNucleo[ESCOLA],ROUNDUP(ROW(A3424)/TotalEtapas,0)),"")</f>
        <v/>
      </c>
      <c r="D3425" t="str">
        <f>IFERROR(VLOOKUP(tbEscolas[[#This Row],[COD ETPA]],tbEtapas[],2,FALSE),"")</f>
        <v/>
      </c>
      <c r="E3425" t="str">
        <f>IFERROR(VLOOKUP(tbEscolas[[#This Row],[COD ETPA]],tbEtapas[],3,FALSE),"")</f>
        <v/>
      </c>
    </row>
    <row r="3426" spans="1:5" x14ac:dyDescent="0.25">
      <c r="A3426" t="str" cm="1">
        <f t="array" ref="A3426">IFERROR(INDEX(tbNucleo[ESCOLA],ROUNDUP(ROW(A3425)/TotalEtapas,0)),"")</f>
        <v/>
      </c>
      <c r="D3426" t="str">
        <f>IFERROR(VLOOKUP(tbEscolas[[#This Row],[COD ETPA]],tbEtapas[],2,FALSE),"")</f>
        <v/>
      </c>
      <c r="E3426" t="str">
        <f>IFERROR(VLOOKUP(tbEscolas[[#This Row],[COD ETPA]],tbEtapas[],3,FALSE),"")</f>
        <v/>
      </c>
    </row>
    <row r="3427" spans="1:5" x14ac:dyDescent="0.25">
      <c r="A3427" t="str" cm="1">
        <f t="array" ref="A3427">IFERROR(INDEX(tbNucleo[ESCOLA],ROUNDUP(ROW(A3426)/TotalEtapas,0)),"")</f>
        <v/>
      </c>
      <c r="D3427" t="str">
        <f>IFERROR(VLOOKUP(tbEscolas[[#This Row],[COD ETPA]],tbEtapas[],2,FALSE),"")</f>
        <v/>
      </c>
      <c r="E3427" t="str">
        <f>IFERROR(VLOOKUP(tbEscolas[[#This Row],[COD ETPA]],tbEtapas[],3,FALSE),"")</f>
        <v/>
      </c>
    </row>
    <row r="3428" spans="1:5" x14ac:dyDescent="0.25">
      <c r="A3428" t="str" cm="1">
        <f t="array" ref="A3428">IFERROR(INDEX(tbNucleo[ESCOLA],ROUNDUP(ROW(A3427)/TotalEtapas,0)),"")</f>
        <v/>
      </c>
      <c r="D3428" t="str">
        <f>IFERROR(VLOOKUP(tbEscolas[[#This Row],[COD ETPA]],tbEtapas[],2,FALSE),"")</f>
        <v/>
      </c>
      <c r="E3428" t="str">
        <f>IFERROR(VLOOKUP(tbEscolas[[#This Row],[COD ETPA]],tbEtapas[],3,FALSE),"")</f>
        <v/>
      </c>
    </row>
    <row r="3429" spans="1:5" x14ac:dyDescent="0.25">
      <c r="A3429" t="str" cm="1">
        <f t="array" ref="A3429">IFERROR(INDEX(tbNucleo[ESCOLA],ROUNDUP(ROW(A3428)/TotalEtapas,0)),"")</f>
        <v/>
      </c>
      <c r="D3429" t="str">
        <f>IFERROR(VLOOKUP(tbEscolas[[#This Row],[COD ETPA]],tbEtapas[],2,FALSE),"")</f>
        <v/>
      </c>
      <c r="E3429" t="str">
        <f>IFERROR(VLOOKUP(tbEscolas[[#This Row],[COD ETPA]],tbEtapas[],3,FALSE),"")</f>
        <v/>
      </c>
    </row>
    <row r="3430" spans="1:5" x14ac:dyDescent="0.25">
      <c r="A3430" t="str" cm="1">
        <f t="array" ref="A3430">IFERROR(INDEX(tbNucleo[ESCOLA],ROUNDUP(ROW(A3429)/TotalEtapas,0)),"")</f>
        <v/>
      </c>
      <c r="D3430" t="str">
        <f>IFERROR(VLOOKUP(tbEscolas[[#This Row],[COD ETPA]],tbEtapas[],2,FALSE),"")</f>
        <v/>
      </c>
      <c r="E3430" t="str">
        <f>IFERROR(VLOOKUP(tbEscolas[[#This Row],[COD ETPA]],tbEtapas[],3,FALSE),"")</f>
        <v/>
      </c>
    </row>
    <row r="3431" spans="1:5" x14ac:dyDescent="0.25">
      <c r="A3431" t="str" cm="1">
        <f t="array" ref="A3431">IFERROR(INDEX(tbNucleo[ESCOLA],ROUNDUP(ROW(A3430)/TotalEtapas,0)),"")</f>
        <v/>
      </c>
      <c r="D3431" t="str">
        <f>IFERROR(VLOOKUP(tbEscolas[[#This Row],[COD ETPA]],tbEtapas[],2,FALSE),"")</f>
        <v/>
      </c>
      <c r="E3431" t="str">
        <f>IFERROR(VLOOKUP(tbEscolas[[#This Row],[COD ETPA]],tbEtapas[],3,FALSE),"")</f>
        <v/>
      </c>
    </row>
    <row r="3432" spans="1:5" x14ac:dyDescent="0.25">
      <c r="A3432" t="str" cm="1">
        <f t="array" ref="A3432">IFERROR(INDEX(tbNucleo[ESCOLA],ROUNDUP(ROW(A3431)/TotalEtapas,0)),"")</f>
        <v/>
      </c>
      <c r="D3432" t="str">
        <f>IFERROR(VLOOKUP(tbEscolas[[#This Row],[COD ETPA]],tbEtapas[],2,FALSE),"")</f>
        <v/>
      </c>
      <c r="E3432" t="str">
        <f>IFERROR(VLOOKUP(tbEscolas[[#This Row],[COD ETPA]],tbEtapas[],3,FALSE),"")</f>
        <v/>
      </c>
    </row>
    <row r="3433" spans="1:5" x14ac:dyDescent="0.25">
      <c r="A3433" t="str" cm="1">
        <f t="array" ref="A3433">IFERROR(INDEX(tbNucleo[ESCOLA],ROUNDUP(ROW(A3432)/TotalEtapas,0)),"")</f>
        <v/>
      </c>
      <c r="D3433" t="str">
        <f>IFERROR(VLOOKUP(tbEscolas[[#This Row],[COD ETPA]],tbEtapas[],2,FALSE),"")</f>
        <v/>
      </c>
      <c r="E3433" t="str">
        <f>IFERROR(VLOOKUP(tbEscolas[[#This Row],[COD ETPA]],tbEtapas[],3,FALSE),"")</f>
        <v/>
      </c>
    </row>
    <row r="3434" spans="1:5" x14ac:dyDescent="0.25">
      <c r="A3434" t="str" cm="1">
        <f t="array" ref="A3434">IFERROR(INDEX(tbNucleo[ESCOLA],ROUNDUP(ROW(A3433)/TotalEtapas,0)),"")</f>
        <v/>
      </c>
      <c r="D3434" t="str">
        <f>IFERROR(VLOOKUP(tbEscolas[[#This Row],[COD ETPA]],tbEtapas[],2,FALSE),"")</f>
        <v/>
      </c>
      <c r="E3434" t="str">
        <f>IFERROR(VLOOKUP(tbEscolas[[#This Row],[COD ETPA]],tbEtapas[],3,FALSE),"")</f>
        <v/>
      </c>
    </row>
    <row r="3435" spans="1:5" x14ac:dyDescent="0.25">
      <c r="A3435" t="str" cm="1">
        <f t="array" ref="A3435">IFERROR(INDEX(tbNucleo[ESCOLA],ROUNDUP(ROW(A3434)/TotalEtapas,0)),"")</f>
        <v/>
      </c>
      <c r="D3435" t="str">
        <f>IFERROR(VLOOKUP(tbEscolas[[#This Row],[COD ETPA]],tbEtapas[],2,FALSE),"")</f>
        <v/>
      </c>
      <c r="E3435" t="str">
        <f>IFERROR(VLOOKUP(tbEscolas[[#This Row],[COD ETPA]],tbEtapas[],3,FALSE),"")</f>
        <v/>
      </c>
    </row>
    <row r="3436" spans="1:5" x14ac:dyDescent="0.25">
      <c r="A3436" t="str" cm="1">
        <f t="array" ref="A3436">IFERROR(INDEX(tbNucleo[ESCOLA],ROUNDUP(ROW(A3435)/TotalEtapas,0)),"")</f>
        <v/>
      </c>
      <c r="D3436" t="str">
        <f>IFERROR(VLOOKUP(tbEscolas[[#This Row],[COD ETPA]],tbEtapas[],2,FALSE),"")</f>
        <v/>
      </c>
      <c r="E3436" t="str">
        <f>IFERROR(VLOOKUP(tbEscolas[[#This Row],[COD ETPA]],tbEtapas[],3,FALSE),"")</f>
        <v/>
      </c>
    </row>
    <row r="3437" spans="1:5" x14ac:dyDescent="0.25">
      <c r="A3437" t="str" cm="1">
        <f t="array" ref="A3437">IFERROR(INDEX(tbNucleo[ESCOLA],ROUNDUP(ROW(A3436)/TotalEtapas,0)),"")</f>
        <v/>
      </c>
      <c r="D3437" t="str">
        <f>IFERROR(VLOOKUP(tbEscolas[[#This Row],[COD ETPA]],tbEtapas[],2,FALSE),"")</f>
        <v/>
      </c>
      <c r="E3437" t="str">
        <f>IFERROR(VLOOKUP(tbEscolas[[#This Row],[COD ETPA]],tbEtapas[],3,FALSE),"")</f>
        <v/>
      </c>
    </row>
    <row r="3438" spans="1:5" x14ac:dyDescent="0.25">
      <c r="A3438" t="str" cm="1">
        <f t="array" ref="A3438">IFERROR(INDEX(tbNucleo[ESCOLA],ROUNDUP(ROW(A3437)/TotalEtapas,0)),"")</f>
        <v/>
      </c>
      <c r="D3438" t="str">
        <f>IFERROR(VLOOKUP(tbEscolas[[#This Row],[COD ETPA]],tbEtapas[],2,FALSE),"")</f>
        <v/>
      </c>
      <c r="E3438" t="str">
        <f>IFERROR(VLOOKUP(tbEscolas[[#This Row],[COD ETPA]],tbEtapas[],3,FALSE),"")</f>
        <v/>
      </c>
    </row>
    <row r="3439" spans="1:5" x14ac:dyDescent="0.25">
      <c r="A3439" t="str" cm="1">
        <f t="array" ref="A3439">IFERROR(INDEX(tbNucleo[ESCOLA],ROUNDUP(ROW(A3438)/TotalEtapas,0)),"")</f>
        <v/>
      </c>
      <c r="D3439" t="str">
        <f>IFERROR(VLOOKUP(tbEscolas[[#This Row],[COD ETPA]],tbEtapas[],2,FALSE),"")</f>
        <v/>
      </c>
      <c r="E3439" t="str">
        <f>IFERROR(VLOOKUP(tbEscolas[[#This Row],[COD ETPA]],tbEtapas[],3,FALSE),"")</f>
        <v/>
      </c>
    </row>
    <row r="3440" spans="1:5" x14ac:dyDescent="0.25">
      <c r="A3440" t="str" cm="1">
        <f t="array" ref="A3440">IFERROR(INDEX(tbNucleo[ESCOLA],ROUNDUP(ROW(A3439)/TotalEtapas,0)),"")</f>
        <v/>
      </c>
      <c r="D3440" t="str">
        <f>IFERROR(VLOOKUP(tbEscolas[[#This Row],[COD ETPA]],tbEtapas[],2,FALSE),"")</f>
        <v/>
      </c>
      <c r="E3440" t="str">
        <f>IFERROR(VLOOKUP(tbEscolas[[#This Row],[COD ETPA]],tbEtapas[],3,FALSE),"")</f>
        <v/>
      </c>
    </row>
    <row r="3441" spans="1:5" x14ac:dyDescent="0.25">
      <c r="A3441" t="str" cm="1">
        <f t="array" ref="A3441">IFERROR(INDEX(tbNucleo[ESCOLA],ROUNDUP(ROW(A3440)/TotalEtapas,0)),"")</f>
        <v/>
      </c>
      <c r="D3441" t="str">
        <f>IFERROR(VLOOKUP(tbEscolas[[#This Row],[COD ETPA]],tbEtapas[],2,FALSE),"")</f>
        <v/>
      </c>
      <c r="E3441" t="str">
        <f>IFERROR(VLOOKUP(tbEscolas[[#This Row],[COD ETPA]],tbEtapas[],3,FALSE),"")</f>
        <v/>
      </c>
    </row>
    <row r="3442" spans="1:5" x14ac:dyDescent="0.25">
      <c r="A3442" t="str" cm="1">
        <f t="array" ref="A3442">IFERROR(INDEX(tbNucleo[ESCOLA],ROUNDUP(ROW(A3441)/TotalEtapas,0)),"")</f>
        <v/>
      </c>
      <c r="D3442" t="str">
        <f>IFERROR(VLOOKUP(tbEscolas[[#This Row],[COD ETPA]],tbEtapas[],2,FALSE),"")</f>
        <v/>
      </c>
      <c r="E3442" t="str">
        <f>IFERROR(VLOOKUP(tbEscolas[[#This Row],[COD ETPA]],tbEtapas[],3,FALSE),"")</f>
        <v/>
      </c>
    </row>
    <row r="3443" spans="1:5" x14ac:dyDescent="0.25">
      <c r="A3443" t="str" cm="1">
        <f t="array" ref="A3443">IFERROR(INDEX(tbNucleo[ESCOLA],ROUNDUP(ROW(A3442)/TotalEtapas,0)),"")</f>
        <v/>
      </c>
      <c r="D3443" t="str">
        <f>IFERROR(VLOOKUP(tbEscolas[[#This Row],[COD ETPA]],tbEtapas[],2,FALSE),"")</f>
        <v/>
      </c>
      <c r="E3443" t="str">
        <f>IFERROR(VLOOKUP(tbEscolas[[#This Row],[COD ETPA]],tbEtapas[],3,FALSE),"")</f>
        <v/>
      </c>
    </row>
    <row r="3444" spans="1:5" x14ac:dyDescent="0.25">
      <c r="A3444" t="str" cm="1">
        <f t="array" ref="A3444">IFERROR(INDEX(tbNucleo[ESCOLA],ROUNDUP(ROW(A3443)/TotalEtapas,0)),"")</f>
        <v/>
      </c>
      <c r="D3444" t="str">
        <f>IFERROR(VLOOKUP(tbEscolas[[#This Row],[COD ETPA]],tbEtapas[],2,FALSE),"")</f>
        <v/>
      </c>
      <c r="E3444" t="str">
        <f>IFERROR(VLOOKUP(tbEscolas[[#This Row],[COD ETPA]],tbEtapas[],3,FALSE),"")</f>
        <v/>
      </c>
    </row>
    <row r="3445" spans="1:5" x14ac:dyDescent="0.25">
      <c r="A3445" t="str" cm="1">
        <f t="array" ref="A3445">IFERROR(INDEX(tbNucleo[ESCOLA],ROUNDUP(ROW(A3444)/TotalEtapas,0)),"")</f>
        <v/>
      </c>
      <c r="D3445" t="str">
        <f>IFERROR(VLOOKUP(tbEscolas[[#This Row],[COD ETPA]],tbEtapas[],2,FALSE),"")</f>
        <v/>
      </c>
      <c r="E3445" t="str">
        <f>IFERROR(VLOOKUP(tbEscolas[[#This Row],[COD ETPA]],tbEtapas[],3,FALSE),"")</f>
        <v/>
      </c>
    </row>
    <row r="3446" spans="1:5" x14ac:dyDescent="0.25">
      <c r="A3446" t="str" cm="1">
        <f t="array" ref="A3446">IFERROR(INDEX(tbNucleo[ESCOLA],ROUNDUP(ROW(A3445)/TotalEtapas,0)),"")</f>
        <v/>
      </c>
      <c r="D3446" t="str">
        <f>IFERROR(VLOOKUP(tbEscolas[[#This Row],[COD ETPA]],tbEtapas[],2,FALSE),"")</f>
        <v/>
      </c>
      <c r="E3446" t="str">
        <f>IFERROR(VLOOKUP(tbEscolas[[#This Row],[COD ETPA]],tbEtapas[],3,FALSE),"")</f>
        <v/>
      </c>
    </row>
    <row r="3447" spans="1:5" x14ac:dyDescent="0.25">
      <c r="A3447" t="str" cm="1">
        <f t="array" ref="A3447">IFERROR(INDEX(tbNucleo[ESCOLA],ROUNDUP(ROW(A3446)/TotalEtapas,0)),"")</f>
        <v/>
      </c>
      <c r="D3447" t="str">
        <f>IFERROR(VLOOKUP(tbEscolas[[#This Row],[COD ETPA]],tbEtapas[],2,FALSE),"")</f>
        <v/>
      </c>
      <c r="E3447" t="str">
        <f>IFERROR(VLOOKUP(tbEscolas[[#This Row],[COD ETPA]],tbEtapas[],3,FALSE),"")</f>
        <v/>
      </c>
    </row>
    <row r="3448" spans="1:5" x14ac:dyDescent="0.25">
      <c r="A3448" t="str" cm="1">
        <f t="array" ref="A3448">IFERROR(INDEX(tbNucleo[ESCOLA],ROUNDUP(ROW(A3447)/TotalEtapas,0)),"")</f>
        <v/>
      </c>
      <c r="D3448" t="str">
        <f>IFERROR(VLOOKUP(tbEscolas[[#This Row],[COD ETPA]],tbEtapas[],2,FALSE),"")</f>
        <v/>
      </c>
      <c r="E3448" t="str">
        <f>IFERROR(VLOOKUP(tbEscolas[[#This Row],[COD ETPA]],tbEtapas[],3,FALSE),"")</f>
        <v/>
      </c>
    </row>
    <row r="3449" spans="1:5" x14ac:dyDescent="0.25">
      <c r="A3449" t="str" cm="1">
        <f t="array" ref="A3449">IFERROR(INDEX(tbNucleo[ESCOLA],ROUNDUP(ROW(A3448)/TotalEtapas,0)),"")</f>
        <v/>
      </c>
      <c r="D3449" t="str">
        <f>IFERROR(VLOOKUP(tbEscolas[[#This Row],[COD ETPA]],tbEtapas[],2,FALSE),"")</f>
        <v/>
      </c>
      <c r="E3449" t="str">
        <f>IFERROR(VLOOKUP(tbEscolas[[#This Row],[COD ETPA]],tbEtapas[],3,FALSE),"")</f>
        <v/>
      </c>
    </row>
    <row r="3450" spans="1:5" x14ac:dyDescent="0.25">
      <c r="A3450" t="str" cm="1">
        <f t="array" ref="A3450">IFERROR(INDEX(tbNucleo[ESCOLA],ROUNDUP(ROW(A3449)/TotalEtapas,0)),"")</f>
        <v/>
      </c>
      <c r="D3450" t="str">
        <f>IFERROR(VLOOKUP(tbEscolas[[#This Row],[COD ETPA]],tbEtapas[],2,FALSE),"")</f>
        <v/>
      </c>
      <c r="E3450" t="str">
        <f>IFERROR(VLOOKUP(tbEscolas[[#This Row],[COD ETPA]],tbEtapas[],3,FALSE),"")</f>
        <v/>
      </c>
    </row>
    <row r="3451" spans="1:5" x14ac:dyDescent="0.25">
      <c r="A3451" t="str" cm="1">
        <f t="array" ref="A3451">IFERROR(INDEX(tbNucleo[ESCOLA],ROUNDUP(ROW(A3450)/TotalEtapas,0)),"")</f>
        <v/>
      </c>
      <c r="D3451" t="str">
        <f>IFERROR(VLOOKUP(tbEscolas[[#This Row],[COD ETPA]],tbEtapas[],2,FALSE),"")</f>
        <v/>
      </c>
      <c r="E3451" t="str">
        <f>IFERROR(VLOOKUP(tbEscolas[[#This Row],[COD ETPA]],tbEtapas[],3,FALSE),"")</f>
        <v/>
      </c>
    </row>
    <row r="3452" spans="1:5" x14ac:dyDescent="0.25">
      <c r="A3452" t="str" cm="1">
        <f t="array" ref="A3452">IFERROR(INDEX(tbNucleo[ESCOLA],ROUNDUP(ROW(A3451)/TotalEtapas,0)),"")</f>
        <v/>
      </c>
      <c r="D3452" t="str">
        <f>IFERROR(VLOOKUP(tbEscolas[[#This Row],[COD ETPA]],tbEtapas[],2,FALSE),"")</f>
        <v/>
      </c>
      <c r="E3452" t="str">
        <f>IFERROR(VLOOKUP(tbEscolas[[#This Row],[COD ETPA]],tbEtapas[],3,FALSE),"")</f>
        <v/>
      </c>
    </row>
    <row r="3453" spans="1:5" x14ac:dyDescent="0.25">
      <c r="A3453" t="str" cm="1">
        <f t="array" ref="A3453">IFERROR(INDEX(tbNucleo[ESCOLA],ROUNDUP(ROW(A3452)/TotalEtapas,0)),"")</f>
        <v/>
      </c>
      <c r="D3453" t="str">
        <f>IFERROR(VLOOKUP(tbEscolas[[#This Row],[COD ETPA]],tbEtapas[],2,FALSE),"")</f>
        <v/>
      </c>
      <c r="E3453" t="str">
        <f>IFERROR(VLOOKUP(tbEscolas[[#This Row],[COD ETPA]],tbEtapas[],3,FALSE),"")</f>
        <v/>
      </c>
    </row>
    <row r="3454" spans="1:5" x14ac:dyDescent="0.25">
      <c r="A3454" t="str" cm="1">
        <f t="array" ref="A3454">IFERROR(INDEX(tbNucleo[ESCOLA],ROUNDUP(ROW(A3453)/TotalEtapas,0)),"")</f>
        <v/>
      </c>
      <c r="D3454" t="str">
        <f>IFERROR(VLOOKUP(tbEscolas[[#This Row],[COD ETPA]],tbEtapas[],2,FALSE),"")</f>
        <v/>
      </c>
      <c r="E3454" t="str">
        <f>IFERROR(VLOOKUP(tbEscolas[[#This Row],[COD ETPA]],tbEtapas[],3,FALSE),"")</f>
        <v/>
      </c>
    </row>
    <row r="3455" spans="1:5" x14ac:dyDescent="0.25">
      <c r="A3455" t="str" cm="1">
        <f t="array" ref="A3455">IFERROR(INDEX(tbNucleo[ESCOLA],ROUNDUP(ROW(A3454)/TotalEtapas,0)),"")</f>
        <v/>
      </c>
      <c r="D3455" t="str">
        <f>IFERROR(VLOOKUP(tbEscolas[[#This Row],[COD ETPA]],tbEtapas[],2,FALSE),"")</f>
        <v/>
      </c>
      <c r="E3455" t="str">
        <f>IFERROR(VLOOKUP(tbEscolas[[#This Row],[COD ETPA]],tbEtapas[],3,FALSE),"")</f>
        <v/>
      </c>
    </row>
    <row r="3456" spans="1:5" x14ac:dyDescent="0.25">
      <c r="A3456" t="str" cm="1">
        <f t="array" ref="A3456">IFERROR(INDEX(tbNucleo[ESCOLA],ROUNDUP(ROW(A3455)/TotalEtapas,0)),"")</f>
        <v/>
      </c>
      <c r="D3456" t="str">
        <f>IFERROR(VLOOKUP(tbEscolas[[#This Row],[COD ETPA]],tbEtapas[],2,FALSE),"")</f>
        <v/>
      </c>
      <c r="E3456" t="str">
        <f>IFERROR(VLOOKUP(tbEscolas[[#This Row],[COD ETPA]],tbEtapas[],3,FALSE),"")</f>
        <v/>
      </c>
    </row>
    <row r="3457" spans="1:5" x14ac:dyDescent="0.25">
      <c r="A3457" t="str" cm="1">
        <f t="array" ref="A3457">IFERROR(INDEX(tbNucleo[ESCOLA],ROUNDUP(ROW(A3456)/TotalEtapas,0)),"")</f>
        <v/>
      </c>
      <c r="D3457" t="str">
        <f>IFERROR(VLOOKUP(tbEscolas[[#This Row],[COD ETPA]],tbEtapas[],2,FALSE),"")</f>
        <v/>
      </c>
      <c r="E3457" t="str">
        <f>IFERROR(VLOOKUP(tbEscolas[[#This Row],[COD ETPA]],tbEtapas[],3,FALSE),"")</f>
        <v/>
      </c>
    </row>
    <row r="3458" spans="1:5" x14ac:dyDescent="0.25">
      <c r="A3458" t="str" cm="1">
        <f t="array" ref="A3458">IFERROR(INDEX(tbNucleo[ESCOLA],ROUNDUP(ROW(A3457)/TotalEtapas,0)),"")</f>
        <v/>
      </c>
      <c r="D3458" t="str">
        <f>IFERROR(VLOOKUP(tbEscolas[[#This Row],[COD ETPA]],tbEtapas[],2,FALSE),"")</f>
        <v/>
      </c>
      <c r="E3458" t="str">
        <f>IFERROR(VLOOKUP(tbEscolas[[#This Row],[COD ETPA]],tbEtapas[],3,FALSE),"")</f>
        <v/>
      </c>
    </row>
    <row r="3459" spans="1:5" x14ac:dyDescent="0.25">
      <c r="A3459" t="str" cm="1">
        <f t="array" ref="A3459">IFERROR(INDEX(tbNucleo[ESCOLA],ROUNDUP(ROW(A3458)/TotalEtapas,0)),"")</f>
        <v/>
      </c>
      <c r="D3459" t="str">
        <f>IFERROR(VLOOKUP(tbEscolas[[#This Row],[COD ETPA]],tbEtapas[],2,FALSE),"")</f>
        <v/>
      </c>
      <c r="E3459" t="str">
        <f>IFERROR(VLOOKUP(tbEscolas[[#This Row],[COD ETPA]],tbEtapas[],3,FALSE),"")</f>
        <v/>
      </c>
    </row>
    <row r="3460" spans="1:5" x14ac:dyDescent="0.25">
      <c r="A3460" t="str" cm="1">
        <f t="array" ref="A3460">IFERROR(INDEX(tbNucleo[ESCOLA],ROUNDUP(ROW(A3459)/TotalEtapas,0)),"")</f>
        <v/>
      </c>
      <c r="D3460" t="str">
        <f>IFERROR(VLOOKUP(tbEscolas[[#This Row],[COD ETPA]],tbEtapas[],2,FALSE),"")</f>
        <v/>
      </c>
      <c r="E3460" t="str">
        <f>IFERROR(VLOOKUP(tbEscolas[[#This Row],[COD ETPA]],tbEtapas[],3,FALSE),"")</f>
        <v/>
      </c>
    </row>
    <row r="3461" spans="1:5" x14ac:dyDescent="0.25">
      <c r="A3461" t="str" cm="1">
        <f t="array" ref="A3461">IFERROR(INDEX(tbNucleo[ESCOLA],ROUNDUP(ROW(A3460)/TotalEtapas,0)),"")</f>
        <v/>
      </c>
      <c r="D3461" t="str">
        <f>IFERROR(VLOOKUP(tbEscolas[[#This Row],[COD ETPA]],tbEtapas[],2,FALSE),"")</f>
        <v/>
      </c>
      <c r="E3461" t="str">
        <f>IFERROR(VLOOKUP(tbEscolas[[#This Row],[COD ETPA]],tbEtapas[],3,FALSE),"")</f>
        <v/>
      </c>
    </row>
    <row r="3462" spans="1:5" x14ac:dyDescent="0.25">
      <c r="A3462" t="str" cm="1">
        <f t="array" ref="A3462">IFERROR(INDEX(tbNucleo[ESCOLA],ROUNDUP(ROW(A3461)/TotalEtapas,0)),"")</f>
        <v/>
      </c>
      <c r="D3462" t="str">
        <f>IFERROR(VLOOKUP(tbEscolas[[#This Row],[COD ETPA]],tbEtapas[],2,FALSE),"")</f>
        <v/>
      </c>
      <c r="E3462" t="str">
        <f>IFERROR(VLOOKUP(tbEscolas[[#This Row],[COD ETPA]],tbEtapas[],3,FALSE),"")</f>
        <v/>
      </c>
    </row>
    <row r="3463" spans="1:5" x14ac:dyDescent="0.25">
      <c r="A3463" t="str" cm="1">
        <f t="array" ref="A3463">IFERROR(INDEX(tbNucleo[ESCOLA],ROUNDUP(ROW(A3462)/TotalEtapas,0)),"")</f>
        <v/>
      </c>
      <c r="D3463" t="str">
        <f>IFERROR(VLOOKUP(tbEscolas[[#This Row],[COD ETPA]],tbEtapas[],2,FALSE),"")</f>
        <v/>
      </c>
      <c r="E3463" t="str">
        <f>IFERROR(VLOOKUP(tbEscolas[[#This Row],[COD ETPA]],tbEtapas[],3,FALSE),"")</f>
        <v/>
      </c>
    </row>
    <row r="3464" spans="1:5" x14ac:dyDescent="0.25">
      <c r="A3464" t="str" cm="1">
        <f t="array" ref="A3464">IFERROR(INDEX(tbNucleo[ESCOLA],ROUNDUP(ROW(A3463)/TotalEtapas,0)),"")</f>
        <v/>
      </c>
      <c r="D3464" t="str">
        <f>IFERROR(VLOOKUP(tbEscolas[[#This Row],[COD ETPA]],tbEtapas[],2,FALSE),"")</f>
        <v/>
      </c>
      <c r="E3464" t="str">
        <f>IFERROR(VLOOKUP(tbEscolas[[#This Row],[COD ETPA]],tbEtapas[],3,FALSE),"")</f>
        <v/>
      </c>
    </row>
    <row r="3465" spans="1:5" x14ac:dyDescent="0.25">
      <c r="A3465" t="str" cm="1">
        <f t="array" ref="A3465">IFERROR(INDEX(tbNucleo[ESCOLA],ROUNDUP(ROW(A3464)/TotalEtapas,0)),"")</f>
        <v/>
      </c>
      <c r="D3465" t="str">
        <f>IFERROR(VLOOKUP(tbEscolas[[#This Row],[COD ETPA]],tbEtapas[],2,FALSE),"")</f>
        <v/>
      </c>
      <c r="E3465" t="str">
        <f>IFERROR(VLOOKUP(tbEscolas[[#This Row],[COD ETPA]],tbEtapas[],3,FALSE),"")</f>
        <v/>
      </c>
    </row>
    <row r="3466" spans="1:5" x14ac:dyDescent="0.25">
      <c r="A3466" t="str" cm="1">
        <f t="array" ref="A3466">IFERROR(INDEX(tbNucleo[ESCOLA],ROUNDUP(ROW(A3465)/TotalEtapas,0)),"")</f>
        <v/>
      </c>
      <c r="D3466" t="str">
        <f>IFERROR(VLOOKUP(tbEscolas[[#This Row],[COD ETPA]],tbEtapas[],2,FALSE),"")</f>
        <v/>
      </c>
      <c r="E3466" t="str">
        <f>IFERROR(VLOOKUP(tbEscolas[[#This Row],[COD ETPA]],tbEtapas[],3,FALSE),"")</f>
        <v/>
      </c>
    </row>
    <row r="3467" spans="1:5" x14ac:dyDescent="0.25">
      <c r="A3467" t="str" cm="1">
        <f t="array" ref="A3467">IFERROR(INDEX(tbNucleo[ESCOLA],ROUNDUP(ROW(A3466)/TotalEtapas,0)),"")</f>
        <v/>
      </c>
      <c r="D3467" t="str">
        <f>IFERROR(VLOOKUP(tbEscolas[[#This Row],[COD ETPA]],tbEtapas[],2,FALSE),"")</f>
        <v/>
      </c>
      <c r="E3467" t="str">
        <f>IFERROR(VLOOKUP(tbEscolas[[#This Row],[COD ETPA]],tbEtapas[],3,FALSE),"")</f>
        <v/>
      </c>
    </row>
    <row r="3468" spans="1:5" x14ac:dyDescent="0.25">
      <c r="A3468" t="str" cm="1">
        <f t="array" ref="A3468">IFERROR(INDEX(tbNucleo[ESCOLA],ROUNDUP(ROW(A3467)/TotalEtapas,0)),"")</f>
        <v/>
      </c>
      <c r="D3468" t="str">
        <f>IFERROR(VLOOKUP(tbEscolas[[#This Row],[COD ETPA]],tbEtapas[],2,FALSE),"")</f>
        <v/>
      </c>
      <c r="E3468" t="str">
        <f>IFERROR(VLOOKUP(tbEscolas[[#This Row],[COD ETPA]],tbEtapas[],3,FALSE),"")</f>
        <v/>
      </c>
    </row>
    <row r="3469" spans="1:5" x14ac:dyDescent="0.25">
      <c r="A3469" t="str" cm="1">
        <f t="array" ref="A3469">IFERROR(INDEX(tbNucleo[ESCOLA],ROUNDUP(ROW(A3468)/TotalEtapas,0)),"")</f>
        <v/>
      </c>
      <c r="D3469" t="str">
        <f>IFERROR(VLOOKUP(tbEscolas[[#This Row],[COD ETPA]],tbEtapas[],2,FALSE),"")</f>
        <v/>
      </c>
      <c r="E3469" t="str">
        <f>IFERROR(VLOOKUP(tbEscolas[[#This Row],[COD ETPA]],tbEtapas[],3,FALSE),"")</f>
        <v/>
      </c>
    </row>
    <row r="3470" spans="1:5" x14ac:dyDescent="0.25">
      <c r="A3470" t="str" cm="1">
        <f t="array" ref="A3470">IFERROR(INDEX(tbNucleo[ESCOLA],ROUNDUP(ROW(A3469)/TotalEtapas,0)),"")</f>
        <v/>
      </c>
      <c r="D3470" t="str">
        <f>IFERROR(VLOOKUP(tbEscolas[[#This Row],[COD ETPA]],tbEtapas[],2,FALSE),"")</f>
        <v/>
      </c>
      <c r="E3470" t="str">
        <f>IFERROR(VLOOKUP(tbEscolas[[#This Row],[COD ETPA]],tbEtapas[],3,FALSE),"")</f>
        <v/>
      </c>
    </row>
    <row r="3471" spans="1:5" x14ac:dyDescent="0.25">
      <c r="A3471" t="str" cm="1">
        <f t="array" ref="A3471">IFERROR(INDEX(tbNucleo[ESCOLA],ROUNDUP(ROW(A3470)/TotalEtapas,0)),"")</f>
        <v/>
      </c>
      <c r="D3471" t="str">
        <f>IFERROR(VLOOKUP(tbEscolas[[#This Row],[COD ETPA]],tbEtapas[],2,FALSE),"")</f>
        <v/>
      </c>
      <c r="E3471" t="str">
        <f>IFERROR(VLOOKUP(tbEscolas[[#This Row],[COD ETPA]],tbEtapas[],3,FALSE),"")</f>
        <v/>
      </c>
    </row>
    <row r="3472" spans="1:5" x14ac:dyDescent="0.25">
      <c r="A3472" t="str" cm="1">
        <f t="array" ref="A3472">IFERROR(INDEX(tbNucleo[ESCOLA],ROUNDUP(ROW(A3471)/TotalEtapas,0)),"")</f>
        <v/>
      </c>
      <c r="D3472" t="str">
        <f>IFERROR(VLOOKUP(tbEscolas[[#This Row],[COD ETPA]],tbEtapas[],2,FALSE),"")</f>
        <v/>
      </c>
      <c r="E3472" t="str">
        <f>IFERROR(VLOOKUP(tbEscolas[[#This Row],[COD ETPA]],tbEtapas[],3,FALSE),"")</f>
        <v/>
      </c>
    </row>
    <row r="3473" spans="1:5" x14ac:dyDescent="0.25">
      <c r="A3473" t="str" cm="1">
        <f t="array" ref="A3473">IFERROR(INDEX(tbNucleo[ESCOLA],ROUNDUP(ROW(A3472)/TotalEtapas,0)),"")</f>
        <v/>
      </c>
      <c r="D3473" t="str">
        <f>IFERROR(VLOOKUP(tbEscolas[[#This Row],[COD ETPA]],tbEtapas[],2,FALSE),"")</f>
        <v/>
      </c>
      <c r="E3473" t="str">
        <f>IFERROR(VLOOKUP(tbEscolas[[#This Row],[COD ETPA]],tbEtapas[],3,FALSE),"")</f>
        <v/>
      </c>
    </row>
    <row r="3474" spans="1:5" x14ac:dyDescent="0.25">
      <c r="A3474" t="str" cm="1">
        <f t="array" ref="A3474">IFERROR(INDEX(tbNucleo[ESCOLA],ROUNDUP(ROW(A3473)/TotalEtapas,0)),"")</f>
        <v/>
      </c>
      <c r="D3474" t="str">
        <f>IFERROR(VLOOKUP(tbEscolas[[#This Row],[COD ETPA]],tbEtapas[],2,FALSE),"")</f>
        <v/>
      </c>
      <c r="E3474" t="str">
        <f>IFERROR(VLOOKUP(tbEscolas[[#This Row],[COD ETPA]],tbEtapas[],3,FALSE),"")</f>
        <v/>
      </c>
    </row>
    <row r="3475" spans="1:5" x14ac:dyDescent="0.25">
      <c r="A3475" t="str" cm="1">
        <f t="array" ref="A3475">IFERROR(INDEX(tbNucleo[ESCOLA],ROUNDUP(ROW(A3474)/TotalEtapas,0)),"")</f>
        <v/>
      </c>
      <c r="D3475" t="str">
        <f>IFERROR(VLOOKUP(tbEscolas[[#This Row],[COD ETPA]],tbEtapas[],2,FALSE),"")</f>
        <v/>
      </c>
      <c r="E3475" t="str">
        <f>IFERROR(VLOOKUP(tbEscolas[[#This Row],[COD ETPA]],tbEtapas[],3,FALSE),"")</f>
        <v/>
      </c>
    </row>
    <row r="3476" spans="1:5" x14ac:dyDescent="0.25">
      <c r="A3476" t="str" cm="1">
        <f t="array" ref="A3476">IFERROR(INDEX(tbNucleo[ESCOLA],ROUNDUP(ROW(A3475)/TotalEtapas,0)),"")</f>
        <v/>
      </c>
      <c r="D3476" t="str">
        <f>IFERROR(VLOOKUP(tbEscolas[[#This Row],[COD ETPA]],tbEtapas[],2,FALSE),"")</f>
        <v/>
      </c>
      <c r="E3476" t="str">
        <f>IFERROR(VLOOKUP(tbEscolas[[#This Row],[COD ETPA]],tbEtapas[],3,FALSE),"")</f>
        <v/>
      </c>
    </row>
    <row r="3477" spans="1:5" x14ac:dyDescent="0.25">
      <c r="A3477" t="str" cm="1">
        <f t="array" ref="A3477">IFERROR(INDEX(tbNucleo[ESCOLA],ROUNDUP(ROW(A3476)/TotalEtapas,0)),"")</f>
        <v/>
      </c>
      <c r="D3477" t="str">
        <f>IFERROR(VLOOKUP(tbEscolas[[#This Row],[COD ETPA]],tbEtapas[],2,FALSE),"")</f>
        <v/>
      </c>
      <c r="E3477" t="str">
        <f>IFERROR(VLOOKUP(tbEscolas[[#This Row],[COD ETPA]],tbEtapas[],3,FALSE),"")</f>
        <v/>
      </c>
    </row>
    <row r="3478" spans="1:5" x14ac:dyDescent="0.25">
      <c r="A3478" t="str" cm="1">
        <f t="array" ref="A3478">IFERROR(INDEX(tbNucleo[ESCOLA],ROUNDUP(ROW(A3477)/TotalEtapas,0)),"")</f>
        <v/>
      </c>
      <c r="D3478" t="str">
        <f>IFERROR(VLOOKUP(tbEscolas[[#This Row],[COD ETPA]],tbEtapas[],2,FALSE),"")</f>
        <v/>
      </c>
      <c r="E3478" t="str">
        <f>IFERROR(VLOOKUP(tbEscolas[[#This Row],[COD ETPA]],tbEtapas[],3,FALSE),"")</f>
        <v/>
      </c>
    </row>
    <row r="3479" spans="1:5" x14ac:dyDescent="0.25">
      <c r="A3479" t="str" cm="1">
        <f t="array" ref="A3479">IFERROR(INDEX(tbNucleo[ESCOLA],ROUNDUP(ROW(A3478)/TotalEtapas,0)),"")</f>
        <v/>
      </c>
      <c r="D3479" t="str">
        <f>IFERROR(VLOOKUP(tbEscolas[[#This Row],[COD ETPA]],tbEtapas[],2,FALSE),"")</f>
        <v/>
      </c>
      <c r="E3479" t="str">
        <f>IFERROR(VLOOKUP(tbEscolas[[#This Row],[COD ETPA]],tbEtapas[],3,FALSE),"")</f>
        <v/>
      </c>
    </row>
    <row r="3480" spans="1:5" x14ac:dyDescent="0.25">
      <c r="A3480" t="str" cm="1">
        <f t="array" ref="A3480">IFERROR(INDEX(tbNucleo[ESCOLA],ROUNDUP(ROW(A3479)/TotalEtapas,0)),"")</f>
        <v/>
      </c>
      <c r="D3480" t="str">
        <f>IFERROR(VLOOKUP(tbEscolas[[#This Row],[COD ETPA]],tbEtapas[],2,FALSE),"")</f>
        <v/>
      </c>
      <c r="E3480" t="str">
        <f>IFERROR(VLOOKUP(tbEscolas[[#This Row],[COD ETPA]],tbEtapas[],3,FALSE),"")</f>
        <v/>
      </c>
    </row>
    <row r="3481" spans="1:5" x14ac:dyDescent="0.25">
      <c r="A3481" t="str" cm="1">
        <f t="array" ref="A3481">IFERROR(INDEX(tbNucleo[ESCOLA],ROUNDUP(ROW(A3480)/TotalEtapas,0)),"")</f>
        <v/>
      </c>
      <c r="D3481" t="str">
        <f>IFERROR(VLOOKUP(tbEscolas[[#This Row],[COD ETPA]],tbEtapas[],2,FALSE),"")</f>
        <v/>
      </c>
      <c r="E3481" t="str">
        <f>IFERROR(VLOOKUP(tbEscolas[[#This Row],[COD ETPA]],tbEtapas[],3,FALSE),"")</f>
        <v/>
      </c>
    </row>
    <row r="3482" spans="1:5" x14ac:dyDescent="0.25">
      <c r="A3482" t="str" cm="1">
        <f t="array" ref="A3482">IFERROR(INDEX(tbNucleo[ESCOLA],ROUNDUP(ROW(A3481)/TotalEtapas,0)),"")</f>
        <v/>
      </c>
      <c r="D3482" t="str">
        <f>IFERROR(VLOOKUP(tbEscolas[[#This Row],[COD ETPA]],tbEtapas[],2,FALSE),"")</f>
        <v/>
      </c>
      <c r="E3482" t="str">
        <f>IFERROR(VLOOKUP(tbEscolas[[#This Row],[COD ETPA]],tbEtapas[],3,FALSE),"")</f>
        <v/>
      </c>
    </row>
    <row r="3483" spans="1:5" x14ac:dyDescent="0.25">
      <c r="A3483" t="str" cm="1">
        <f t="array" ref="A3483">IFERROR(INDEX(tbNucleo[ESCOLA],ROUNDUP(ROW(A3482)/TotalEtapas,0)),"")</f>
        <v/>
      </c>
      <c r="D3483" t="str">
        <f>IFERROR(VLOOKUP(tbEscolas[[#This Row],[COD ETPA]],tbEtapas[],2,FALSE),"")</f>
        <v/>
      </c>
      <c r="E3483" t="str">
        <f>IFERROR(VLOOKUP(tbEscolas[[#This Row],[COD ETPA]],tbEtapas[],3,FALSE),"")</f>
        <v/>
      </c>
    </row>
    <row r="3484" spans="1:5" x14ac:dyDescent="0.25">
      <c r="A3484" t="str" cm="1">
        <f t="array" ref="A3484">IFERROR(INDEX(tbNucleo[ESCOLA],ROUNDUP(ROW(A3483)/TotalEtapas,0)),"")</f>
        <v/>
      </c>
      <c r="D3484" t="str">
        <f>IFERROR(VLOOKUP(tbEscolas[[#This Row],[COD ETPA]],tbEtapas[],2,FALSE),"")</f>
        <v/>
      </c>
      <c r="E3484" t="str">
        <f>IFERROR(VLOOKUP(tbEscolas[[#This Row],[COD ETPA]],tbEtapas[],3,FALSE),"")</f>
        <v/>
      </c>
    </row>
    <row r="3485" spans="1:5" x14ac:dyDescent="0.25">
      <c r="A3485" t="str" cm="1">
        <f t="array" ref="A3485">IFERROR(INDEX(tbNucleo[ESCOLA],ROUNDUP(ROW(A3484)/TotalEtapas,0)),"")</f>
        <v/>
      </c>
      <c r="D3485" t="str">
        <f>IFERROR(VLOOKUP(tbEscolas[[#This Row],[COD ETPA]],tbEtapas[],2,FALSE),"")</f>
        <v/>
      </c>
      <c r="E3485" t="str">
        <f>IFERROR(VLOOKUP(tbEscolas[[#This Row],[COD ETPA]],tbEtapas[],3,FALSE),"")</f>
        <v/>
      </c>
    </row>
    <row r="3486" spans="1:5" x14ac:dyDescent="0.25">
      <c r="A3486" t="str" cm="1">
        <f t="array" ref="A3486">IFERROR(INDEX(tbNucleo[ESCOLA],ROUNDUP(ROW(A3485)/TotalEtapas,0)),"")</f>
        <v/>
      </c>
      <c r="D3486" t="str">
        <f>IFERROR(VLOOKUP(tbEscolas[[#This Row],[COD ETPA]],tbEtapas[],2,FALSE),"")</f>
        <v/>
      </c>
      <c r="E3486" t="str">
        <f>IFERROR(VLOOKUP(tbEscolas[[#This Row],[COD ETPA]],tbEtapas[],3,FALSE),"")</f>
        <v/>
      </c>
    </row>
    <row r="3487" spans="1:5" x14ac:dyDescent="0.25">
      <c r="A3487" t="str" cm="1">
        <f t="array" ref="A3487">IFERROR(INDEX(tbNucleo[ESCOLA],ROUNDUP(ROW(A3486)/TotalEtapas,0)),"")</f>
        <v/>
      </c>
      <c r="D3487" t="str">
        <f>IFERROR(VLOOKUP(tbEscolas[[#This Row],[COD ETPA]],tbEtapas[],2,FALSE),"")</f>
        <v/>
      </c>
      <c r="E3487" t="str">
        <f>IFERROR(VLOOKUP(tbEscolas[[#This Row],[COD ETPA]],tbEtapas[],3,FALSE),"")</f>
        <v/>
      </c>
    </row>
    <row r="3488" spans="1:5" x14ac:dyDescent="0.25">
      <c r="A3488" t="str" cm="1">
        <f t="array" ref="A3488">IFERROR(INDEX(tbNucleo[ESCOLA],ROUNDUP(ROW(A3487)/TotalEtapas,0)),"")</f>
        <v/>
      </c>
      <c r="D3488" t="str">
        <f>IFERROR(VLOOKUP(tbEscolas[[#This Row],[COD ETPA]],tbEtapas[],2,FALSE),"")</f>
        <v/>
      </c>
      <c r="E3488" t="str">
        <f>IFERROR(VLOOKUP(tbEscolas[[#This Row],[COD ETPA]],tbEtapas[],3,FALSE),"")</f>
        <v/>
      </c>
    </row>
    <row r="3489" spans="1:5" x14ac:dyDescent="0.25">
      <c r="A3489" t="str" cm="1">
        <f t="array" ref="A3489">IFERROR(INDEX(tbNucleo[ESCOLA],ROUNDUP(ROW(A3488)/TotalEtapas,0)),"")</f>
        <v/>
      </c>
      <c r="D3489" t="str">
        <f>IFERROR(VLOOKUP(tbEscolas[[#This Row],[COD ETPA]],tbEtapas[],2,FALSE),"")</f>
        <v/>
      </c>
      <c r="E3489" t="str">
        <f>IFERROR(VLOOKUP(tbEscolas[[#This Row],[COD ETPA]],tbEtapas[],3,FALSE),"")</f>
        <v/>
      </c>
    </row>
    <row r="3490" spans="1:5" x14ac:dyDescent="0.25">
      <c r="A3490" t="str" cm="1">
        <f t="array" ref="A3490">IFERROR(INDEX(tbNucleo[ESCOLA],ROUNDUP(ROW(A3489)/TotalEtapas,0)),"")</f>
        <v/>
      </c>
      <c r="D3490" t="str">
        <f>IFERROR(VLOOKUP(tbEscolas[[#This Row],[COD ETPA]],tbEtapas[],2,FALSE),"")</f>
        <v/>
      </c>
      <c r="E3490" t="str">
        <f>IFERROR(VLOOKUP(tbEscolas[[#This Row],[COD ETPA]],tbEtapas[],3,FALSE),"")</f>
        <v/>
      </c>
    </row>
    <row r="3491" spans="1:5" x14ac:dyDescent="0.25">
      <c r="A3491" t="str" cm="1">
        <f t="array" ref="A3491">IFERROR(INDEX(tbNucleo[ESCOLA],ROUNDUP(ROW(A3490)/TotalEtapas,0)),"")</f>
        <v/>
      </c>
      <c r="D3491" t="str">
        <f>IFERROR(VLOOKUP(tbEscolas[[#This Row],[COD ETPA]],tbEtapas[],2,FALSE),"")</f>
        <v/>
      </c>
      <c r="E3491" t="str">
        <f>IFERROR(VLOOKUP(tbEscolas[[#This Row],[COD ETPA]],tbEtapas[],3,FALSE),"")</f>
        <v/>
      </c>
    </row>
    <row r="3492" spans="1:5" x14ac:dyDescent="0.25">
      <c r="A3492" t="str" cm="1">
        <f t="array" ref="A3492">IFERROR(INDEX(tbNucleo[ESCOLA],ROUNDUP(ROW(A3491)/TotalEtapas,0)),"")</f>
        <v/>
      </c>
      <c r="D3492" t="str">
        <f>IFERROR(VLOOKUP(tbEscolas[[#This Row],[COD ETPA]],tbEtapas[],2,FALSE),"")</f>
        <v/>
      </c>
      <c r="E3492" t="str">
        <f>IFERROR(VLOOKUP(tbEscolas[[#This Row],[COD ETPA]],tbEtapas[],3,FALSE),"")</f>
        <v/>
      </c>
    </row>
    <row r="3493" spans="1:5" x14ac:dyDescent="0.25">
      <c r="A3493" t="str" cm="1">
        <f t="array" ref="A3493">IFERROR(INDEX(tbNucleo[ESCOLA],ROUNDUP(ROW(A3492)/TotalEtapas,0)),"")</f>
        <v/>
      </c>
      <c r="D3493" t="str">
        <f>IFERROR(VLOOKUP(tbEscolas[[#This Row],[COD ETPA]],tbEtapas[],2,FALSE),"")</f>
        <v/>
      </c>
      <c r="E3493" t="str">
        <f>IFERROR(VLOOKUP(tbEscolas[[#This Row],[COD ETPA]],tbEtapas[],3,FALSE),"")</f>
        <v/>
      </c>
    </row>
    <row r="3494" spans="1:5" x14ac:dyDescent="0.25">
      <c r="A3494" t="str" cm="1">
        <f t="array" ref="A3494">IFERROR(INDEX(tbNucleo[ESCOLA],ROUNDUP(ROW(A3493)/TotalEtapas,0)),"")</f>
        <v/>
      </c>
      <c r="D3494" t="str">
        <f>IFERROR(VLOOKUP(tbEscolas[[#This Row],[COD ETPA]],tbEtapas[],2,FALSE),"")</f>
        <v/>
      </c>
      <c r="E3494" t="str">
        <f>IFERROR(VLOOKUP(tbEscolas[[#This Row],[COD ETPA]],tbEtapas[],3,FALSE),"")</f>
        <v/>
      </c>
    </row>
    <row r="3495" spans="1:5" x14ac:dyDescent="0.25">
      <c r="A3495" t="str" cm="1">
        <f t="array" ref="A3495">IFERROR(INDEX(tbNucleo[ESCOLA],ROUNDUP(ROW(A3494)/TotalEtapas,0)),"")</f>
        <v/>
      </c>
      <c r="D3495" t="str">
        <f>IFERROR(VLOOKUP(tbEscolas[[#This Row],[COD ETPA]],tbEtapas[],2,FALSE),"")</f>
        <v/>
      </c>
      <c r="E3495" t="str">
        <f>IFERROR(VLOOKUP(tbEscolas[[#This Row],[COD ETPA]],tbEtapas[],3,FALSE),"")</f>
        <v/>
      </c>
    </row>
    <row r="3496" spans="1:5" x14ac:dyDescent="0.25">
      <c r="A3496" t="str" cm="1">
        <f t="array" ref="A3496">IFERROR(INDEX(tbNucleo[ESCOLA],ROUNDUP(ROW(A3495)/TotalEtapas,0)),"")</f>
        <v/>
      </c>
      <c r="D3496" t="str">
        <f>IFERROR(VLOOKUP(tbEscolas[[#This Row],[COD ETPA]],tbEtapas[],2,FALSE),"")</f>
        <v/>
      </c>
      <c r="E3496" t="str">
        <f>IFERROR(VLOOKUP(tbEscolas[[#This Row],[COD ETPA]],tbEtapas[],3,FALSE),"")</f>
        <v/>
      </c>
    </row>
    <row r="3497" spans="1:5" x14ac:dyDescent="0.25">
      <c r="A3497" t="str" cm="1">
        <f t="array" ref="A3497">IFERROR(INDEX(tbNucleo[ESCOLA],ROUNDUP(ROW(A3496)/TotalEtapas,0)),"")</f>
        <v/>
      </c>
      <c r="D3497" t="str">
        <f>IFERROR(VLOOKUP(tbEscolas[[#This Row],[COD ETPA]],tbEtapas[],2,FALSE),"")</f>
        <v/>
      </c>
      <c r="E3497" t="str">
        <f>IFERROR(VLOOKUP(tbEscolas[[#This Row],[COD ETPA]],tbEtapas[],3,FALSE),"")</f>
        <v/>
      </c>
    </row>
    <row r="3498" spans="1:5" x14ac:dyDescent="0.25">
      <c r="A3498" t="str" cm="1">
        <f t="array" ref="A3498">IFERROR(INDEX(tbNucleo[ESCOLA],ROUNDUP(ROW(A3497)/TotalEtapas,0)),"")</f>
        <v/>
      </c>
      <c r="D3498" t="str">
        <f>IFERROR(VLOOKUP(tbEscolas[[#This Row],[COD ETPA]],tbEtapas[],2,FALSE),"")</f>
        <v/>
      </c>
      <c r="E3498" t="str">
        <f>IFERROR(VLOOKUP(tbEscolas[[#This Row],[COD ETPA]],tbEtapas[],3,FALSE),"")</f>
        <v/>
      </c>
    </row>
    <row r="3499" spans="1:5" x14ac:dyDescent="0.25">
      <c r="A3499" t="str" cm="1">
        <f t="array" ref="A3499">IFERROR(INDEX(tbNucleo[ESCOLA],ROUNDUP(ROW(A3498)/TotalEtapas,0)),"")</f>
        <v/>
      </c>
      <c r="D3499" t="str">
        <f>IFERROR(VLOOKUP(tbEscolas[[#This Row],[COD ETPA]],tbEtapas[],2,FALSE),"")</f>
        <v/>
      </c>
      <c r="E3499" t="str">
        <f>IFERROR(VLOOKUP(tbEscolas[[#This Row],[COD ETPA]],tbEtapas[],3,FALSE),"")</f>
        <v/>
      </c>
    </row>
    <row r="3500" spans="1:5" x14ac:dyDescent="0.25">
      <c r="A3500" t="str" cm="1">
        <f t="array" ref="A3500">IFERROR(INDEX(tbNucleo[ESCOLA],ROUNDUP(ROW(A3499)/TotalEtapas,0)),"")</f>
        <v/>
      </c>
      <c r="D3500" t="str">
        <f>IFERROR(VLOOKUP(tbEscolas[[#This Row],[COD ETPA]],tbEtapas[],2,FALSE),"")</f>
        <v/>
      </c>
      <c r="E3500" t="str">
        <f>IFERROR(VLOOKUP(tbEscolas[[#This Row],[COD ETPA]],tbEtapas[],3,FALSE),"")</f>
        <v/>
      </c>
    </row>
    <row r="3501" spans="1:5" x14ac:dyDescent="0.25">
      <c r="A3501" t="str" cm="1">
        <f t="array" ref="A3501">IFERROR(INDEX(tbNucleo[ESCOLA],ROUNDUP(ROW(A3500)/TotalEtapas,0)),"")</f>
        <v/>
      </c>
      <c r="D3501" t="str">
        <f>IFERROR(VLOOKUP(tbEscolas[[#This Row],[COD ETPA]],tbEtapas[],2,FALSE),"")</f>
        <v/>
      </c>
      <c r="E3501" t="str">
        <f>IFERROR(VLOOKUP(tbEscolas[[#This Row],[COD ETPA]],tbEtapas[],3,FALSE),"")</f>
        <v/>
      </c>
    </row>
    <row r="3502" spans="1:5" x14ac:dyDescent="0.25">
      <c r="A3502" t="str" cm="1">
        <f t="array" ref="A3502">IFERROR(INDEX(tbNucleo[ESCOLA],ROUNDUP(ROW(A3501)/TotalEtapas,0)),"")</f>
        <v/>
      </c>
      <c r="D3502" t="str">
        <f>IFERROR(VLOOKUP(tbEscolas[[#This Row],[COD ETPA]],tbEtapas[],2,FALSE),"")</f>
        <v/>
      </c>
      <c r="E3502" t="str">
        <f>IFERROR(VLOOKUP(tbEscolas[[#This Row],[COD ETPA]],tbEtapas[],3,FALSE),"")</f>
        <v/>
      </c>
    </row>
    <row r="3503" spans="1:5" x14ac:dyDescent="0.25">
      <c r="A3503" t="str" cm="1">
        <f t="array" ref="A3503">IFERROR(INDEX(tbNucleo[ESCOLA],ROUNDUP(ROW(A3502)/TotalEtapas,0)),"")</f>
        <v/>
      </c>
      <c r="D3503" t="str">
        <f>IFERROR(VLOOKUP(tbEscolas[[#This Row],[COD ETPA]],tbEtapas[],2,FALSE),"")</f>
        <v/>
      </c>
      <c r="E3503" t="str">
        <f>IFERROR(VLOOKUP(tbEscolas[[#This Row],[COD ETPA]],tbEtapas[],3,FALSE),"")</f>
        <v/>
      </c>
    </row>
    <row r="3504" spans="1:5" x14ac:dyDescent="0.25">
      <c r="A3504" t="str" cm="1">
        <f t="array" ref="A3504">IFERROR(INDEX(tbNucleo[ESCOLA],ROUNDUP(ROW(A3503)/TotalEtapas,0)),"")</f>
        <v/>
      </c>
      <c r="D3504" t="str">
        <f>IFERROR(VLOOKUP(tbEscolas[[#This Row],[COD ETPA]],tbEtapas[],2,FALSE),"")</f>
        <v/>
      </c>
      <c r="E3504" t="str">
        <f>IFERROR(VLOOKUP(tbEscolas[[#This Row],[COD ETPA]],tbEtapas[],3,FALSE),"")</f>
        <v/>
      </c>
    </row>
    <row r="3505" spans="1:5" x14ac:dyDescent="0.25">
      <c r="A3505" t="str" cm="1">
        <f t="array" ref="A3505">IFERROR(INDEX(tbNucleo[ESCOLA],ROUNDUP(ROW(A3504)/TotalEtapas,0)),"")</f>
        <v/>
      </c>
      <c r="D3505" t="str">
        <f>IFERROR(VLOOKUP(tbEscolas[[#This Row],[COD ETPA]],tbEtapas[],2,FALSE),"")</f>
        <v/>
      </c>
      <c r="E3505" t="str">
        <f>IFERROR(VLOOKUP(tbEscolas[[#This Row],[COD ETPA]],tbEtapas[],3,FALSE),"")</f>
        <v/>
      </c>
    </row>
    <row r="3506" spans="1:5" x14ac:dyDescent="0.25">
      <c r="A3506" t="str" cm="1">
        <f t="array" ref="A3506">IFERROR(INDEX(tbNucleo[ESCOLA],ROUNDUP(ROW(A3505)/TotalEtapas,0)),"")</f>
        <v/>
      </c>
      <c r="D3506" t="str">
        <f>IFERROR(VLOOKUP(tbEscolas[[#This Row],[COD ETPA]],tbEtapas[],2,FALSE),"")</f>
        <v/>
      </c>
      <c r="E3506" t="str">
        <f>IFERROR(VLOOKUP(tbEscolas[[#This Row],[COD ETPA]],tbEtapas[],3,FALSE),"")</f>
        <v/>
      </c>
    </row>
    <row r="3507" spans="1:5" x14ac:dyDescent="0.25">
      <c r="A3507" t="str" cm="1">
        <f t="array" ref="A3507">IFERROR(INDEX(tbNucleo[ESCOLA],ROUNDUP(ROW(A3506)/TotalEtapas,0)),"")</f>
        <v/>
      </c>
      <c r="D3507" t="str">
        <f>IFERROR(VLOOKUP(tbEscolas[[#This Row],[COD ETPA]],tbEtapas[],2,FALSE),"")</f>
        <v/>
      </c>
      <c r="E3507" t="str">
        <f>IFERROR(VLOOKUP(tbEscolas[[#This Row],[COD ETPA]],tbEtapas[],3,FALSE),"")</f>
        <v/>
      </c>
    </row>
    <row r="3508" spans="1:5" x14ac:dyDescent="0.25">
      <c r="A3508" t="str" cm="1">
        <f t="array" ref="A3508">IFERROR(INDEX(tbNucleo[ESCOLA],ROUNDUP(ROW(A3507)/TotalEtapas,0)),"")</f>
        <v/>
      </c>
      <c r="D3508" t="str">
        <f>IFERROR(VLOOKUP(tbEscolas[[#This Row],[COD ETPA]],tbEtapas[],2,FALSE),"")</f>
        <v/>
      </c>
      <c r="E3508" t="str">
        <f>IFERROR(VLOOKUP(tbEscolas[[#This Row],[COD ETPA]],tbEtapas[],3,FALSE),"")</f>
        <v/>
      </c>
    </row>
    <row r="3509" spans="1:5" x14ac:dyDescent="0.25">
      <c r="A3509" t="str" cm="1">
        <f t="array" ref="A3509">IFERROR(INDEX(tbNucleo[ESCOLA],ROUNDUP(ROW(A3508)/TotalEtapas,0)),"")</f>
        <v/>
      </c>
      <c r="D3509" t="str">
        <f>IFERROR(VLOOKUP(tbEscolas[[#This Row],[COD ETPA]],tbEtapas[],2,FALSE),"")</f>
        <v/>
      </c>
      <c r="E3509" t="str">
        <f>IFERROR(VLOOKUP(tbEscolas[[#This Row],[COD ETPA]],tbEtapas[],3,FALSE),"")</f>
        <v/>
      </c>
    </row>
    <row r="3510" spans="1:5" x14ac:dyDescent="0.25">
      <c r="A3510" t="str" cm="1">
        <f t="array" ref="A3510">IFERROR(INDEX(tbNucleo[ESCOLA],ROUNDUP(ROW(A3509)/TotalEtapas,0)),"")</f>
        <v/>
      </c>
      <c r="D3510" t="str">
        <f>IFERROR(VLOOKUP(tbEscolas[[#This Row],[COD ETPA]],tbEtapas[],2,FALSE),"")</f>
        <v/>
      </c>
      <c r="E3510" t="str">
        <f>IFERROR(VLOOKUP(tbEscolas[[#This Row],[COD ETPA]],tbEtapas[],3,FALSE),"")</f>
        <v/>
      </c>
    </row>
    <row r="3511" spans="1:5" x14ac:dyDescent="0.25">
      <c r="A3511" t="str" cm="1">
        <f t="array" ref="A3511">IFERROR(INDEX(tbNucleo[ESCOLA],ROUNDUP(ROW(A3510)/TotalEtapas,0)),"")</f>
        <v/>
      </c>
      <c r="D3511" t="str">
        <f>IFERROR(VLOOKUP(tbEscolas[[#This Row],[COD ETPA]],tbEtapas[],2,FALSE),"")</f>
        <v/>
      </c>
      <c r="E3511" t="str">
        <f>IFERROR(VLOOKUP(tbEscolas[[#This Row],[COD ETPA]],tbEtapas[],3,FALSE),"")</f>
        <v/>
      </c>
    </row>
    <row r="3512" spans="1:5" x14ac:dyDescent="0.25">
      <c r="A3512" t="str" cm="1">
        <f t="array" ref="A3512">IFERROR(INDEX(tbNucleo[ESCOLA],ROUNDUP(ROW(A3511)/TotalEtapas,0)),"")</f>
        <v/>
      </c>
      <c r="D3512" t="str">
        <f>IFERROR(VLOOKUP(tbEscolas[[#This Row],[COD ETPA]],tbEtapas[],2,FALSE),"")</f>
        <v/>
      </c>
      <c r="E3512" t="str">
        <f>IFERROR(VLOOKUP(tbEscolas[[#This Row],[COD ETPA]],tbEtapas[],3,FALSE),"")</f>
        <v/>
      </c>
    </row>
    <row r="3513" spans="1:5" x14ac:dyDescent="0.25">
      <c r="A3513" t="str" cm="1">
        <f t="array" ref="A3513">IFERROR(INDEX(tbNucleo[ESCOLA],ROUNDUP(ROW(A3512)/TotalEtapas,0)),"")</f>
        <v/>
      </c>
      <c r="D3513" t="str">
        <f>IFERROR(VLOOKUP(tbEscolas[[#This Row],[COD ETPA]],tbEtapas[],2,FALSE),"")</f>
        <v/>
      </c>
      <c r="E3513" t="str">
        <f>IFERROR(VLOOKUP(tbEscolas[[#This Row],[COD ETPA]],tbEtapas[],3,FALSE),"")</f>
        <v/>
      </c>
    </row>
    <row r="3514" spans="1:5" x14ac:dyDescent="0.25">
      <c r="A3514" t="str" cm="1">
        <f t="array" ref="A3514">IFERROR(INDEX(tbNucleo[ESCOLA],ROUNDUP(ROW(A3513)/TotalEtapas,0)),"")</f>
        <v/>
      </c>
      <c r="D3514" t="str">
        <f>IFERROR(VLOOKUP(tbEscolas[[#This Row],[COD ETPA]],tbEtapas[],2,FALSE),"")</f>
        <v/>
      </c>
      <c r="E3514" t="str">
        <f>IFERROR(VLOOKUP(tbEscolas[[#This Row],[COD ETPA]],tbEtapas[],3,FALSE),"")</f>
        <v/>
      </c>
    </row>
    <row r="3515" spans="1:5" x14ac:dyDescent="0.25">
      <c r="A3515" t="str" cm="1">
        <f t="array" ref="A3515">IFERROR(INDEX(tbNucleo[ESCOLA],ROUNDUP(ROW(A3514)/TotalEtapas,0)),"")</f>
        <v/>
      </c>
      <c r="D3515" t="str">
        <f>IFERROR(VLOOKUP(tbEscolas[[#This Row],[COD ETPA]],tbEtapas[],2,FALSE),"")</f>
        <v/>
      </c>
      <c r="E3515" t="str">
        <f>IFERROR(VLOOKUP(tbEscolas[[#This Row],[COD ETPA]],tbEtapas[],3,FALSE),"")</f>
        <v/>
      </c>
    </row>
    <row r="3516" spans="1:5" x14ac:dyDescent="0.25">
      <c r="A3516" t="str" cm="1">
        <f t="array" ref="A3516">IFERROR(INDEX(tbNucleo[ESCOLA],ROUNDUP(ROW(A3515)/TotalEtapas,0)),"")</f>
        <v/>
      </c>
      <c r="D3516" t="str">
        <f>IFERROR(VLOOKUP(tbEscolas[[#This Row],[COD ETPA]],tbEtapas[],2,FALSE),"")</f>
        <v/>
      </c>
      <c r="E3516" t="str">
        <f>IFERROR(VLOOKUP(tbEscolas[[#This Row],[COD ETPA]],tbEtapas[],3,FALSE),"")</f>
        <v/>
      </c>
    </row>
    <row r="3517" spans="1:5" x14ac:dyDescent="0.25">
      <c r="A3517" t="str" cm="1">
        <f t="array" ref="A3517">IFERROR(INDEX(tbNucleo[ESCOLA],ROUNDUP(ROW(A3516)/TotalEtapas,0)),"")</f>
        <v/>
      </c>
      <c r="D3517" t="str">
        <f>IFERROR(VLOOKUP(tbEscolas[[#This Row],[COD ETPA]],tbEtapas[],2,FALSE),"")</f>
        <v/>
      </c>
      <c r="E3517" t="str">
        <f>IFERROR(VLOOKUP(tbEscolas[[#This Row],[COD ETPA]],tbEtapas[],3,FALSE),"")</f>
        <v/>
      </c>
    </row>
    <row r="3518" spans="1:5" x14ac:dyDescent="0.25">
      <c r="A3518" t="str" cm="1">
        <f t="array" ref="A3518">IFERROR(INDEX(tbNucleo[ESCOLA],ROUNDUP(ROW(A3517)/TotalEtapas,0)),"")</f>
        <v/>
      </c>
      <c r="D3518" t="str">
        <f>IFERROR(VLOOKUP(tbEscolas[[#This Row],[COD ETPA]],tbEtapas[],2,FALSE),"")</f>
        <v/>
      </c>
      <c r="E3518" t="str">
        <f>IFERROR(VLOOKUP(tbEscolas[[#This Row],[COD ETPA]],tbEtapas[],3,FALSE),"")</f>
        <v/>
      </c>
    </row>
    <row r="3519" spans="1:5" x14ac:dyDescent="0.25">
      <c r="A3519" t="str" cm="1">
        <f t="array" ref="A3519">IFERROR(INDEX(tbNucleo[ESCOLA],ROUNDUP(ROW(A3518)/TotalEtapas,0)),"")</f>
        <v/>
      </c>
      <c r="D3519" t="str">
        <f>IFERROR(VLOOKUP(tbEscolas[[#This Row],[COD ETPA]],tbEtapas[],2,FALSE),"")</f>
        <v/>
      </c>
      <c r="E3519" t="str">
        <f>IFERROR(VLOOKUP(tbEscolas[[#This Row],[COD ETPA]],tbEtapas[],3,FALSE),"")</f>
        <v/>
      </c>
    </row>
    <row r="3520" spans="1:5" x14ac:dyDescent="0.25">
      <c r="A3520" t="str" cm="1">
        <f t="array" ref="A3520">IFERROR(INDEX(tbNucleo[ESCOLA],ROUNDUP(ROW(A3519)/TotalEtapas,0)),"")</f>
        <v/>
      </c>
      <c r="D3520" t="str">
        <f>IFERROR(VLOOKUP(tbEscolas[[#This Row],[COD ETPA]],tbEtapas[],2,FALSE),"")</f>
        <v/>
      </c>
      <c r="E3520" t="str">
        <f>IFERROR(VLOOKUP(tbEscolas[[#This Row],[COD ETPA]],tbEtapas[],3,FALSE),"")</f>
        <v/>
      </c>
    </row>
    <row r="3521" spans="1:5" x14ac:dyDescent="0.25">
      <c r="A3521" t="str" cm="1">
        <f t="array" ref="A3521">IFERROR(INDEX(tbNucleo[ESCOLA],ROUNDUP(ROW(A3520)/TotalEtapas,0)),"")</f>
        <v/>
      </c>
      <c r="D3521" t="str">
        <f>IFERROR(VLOOKUP(tbEscolas[[#This Row],[COD ETPA]],tbEtapas[],2,FALSE),"")</f>
        <v/>
      </c>
      <c r="E3521" t="str">
        <f>IFERROR(VLOOKUP(tbEscolas[[#This Row],[COD ETPA]],tbEtapas[],3,FALSE),"")</f>
        <v/>
      </c>
    </row>
    <row r="3522" spans="1:5" x14ac:dyDescent="0.25">
      <c r="A3522" t="str" cm="1">
        <f t="array" ref="A3522">IFERROR(INDEX(tbNucleo[ESCOLA],ROUNDUP(ROW(A3521)/TotalEtapas,0)),"")</f>
        <v/>
      </c>
      <c r="D3522" t="str">
        <f>IFERROR(VLOOKUP(tbEscolas[[#This Row],[COD ETPA]],tbEtapas[],2,FALSE),"")</f>
        <v/>
      </c>
      <c r="E3522" t="str">
        <f>IFERROR(VLOOKUP(tbEscolas[[#This Row],[COD ETPA]],tbEtapas[],3,FALSE),"")</f>
        <v/>
      </c>
    </row>
    <row r="3523" spans="1:5" x14ac:dyDescent="0.25">
      <c r="A3523" t="str" cm="1">
        <f t="array" ref="A3523">IFERROR(INDEX(tbNucleo[ESCOLA],ROUNDUP(ROW(A3522)/TotalEtapas,0)),"")</f>
        <v/>
      </c>
      <c r="D3523" t="str">
        <f>IFERROR(VLOOKUP(tbEscolas[[#This Row],[COD ETPA]],tbEtapas[],2,FALSE),"")</f>
        <v/>
      </c>
      <c r="E3523" t="str">
        <f>IFERROR(VLOOKUP(tbEscolas[[#This Row],[COD ETPA]],tbEtapas[],3,FALSE),"")</f>
        <v/>
      </c>
    </row>
    <row r="3524" spans="1:5" x14ac:dyDescent="0.25">
      <c r="A3524" t="str" cm="1">
        <f t="array" ref="A3524">IFERROR(INDEX(tbNucleo[ESCOLA],ROUNDUP(ROW(A3523)/TotalEtapas,0)),"")</f>
        <v/>
      </c>
      <c r="D3524" t="str">
        <f>IFERROR(VLOOKUP(tbEscolas[[#This Row],[COD ETPA]],tbEtapas[],2,FALSE),"")</f>
        <v/>
      </c>
      <c r="E3524" t="str">
        <f>IFERROR(VLOOKUP(tbEscolas[[#This Row],[COD ETPA]],tbEtapas[],3,FALSE),"")</f>
        <v/>
      </c>
    </row>
    <row r="3525" spans="1:5" x14ac:dyDescent="0.25">
      <c r="A3525" t="str" cm="1">
        <f t="array" ref="A3525">IFERROR(INDEX(tbNucleo[ESCOLA],ROUNDUP(ROW(A3524)/TotalEtapas,0)),"")</f>
        <v/>
      </c>
      <c r="D3525" t="str">
        <f>IFERROR(VLOOKUP(tbEscolas[[#This Row],[COD ETPA]],tbEtapas[],2,FALSE),"")</f>
        <v/>
      </c>
      <c r="E3525" t="str">
        <f>IFERROR(VLOOKUP(tbEscolas[[#This Row],[COD ETPA]],tbEtapas[],3,FALSE),"")</f>
        <v/>
      </c>
    </row>
    <row r="3526" spans="1:5" x14ac:dyDescent="0.25">
      <c r="A3526" t="str" cm="1">
        <f t="array" ref="A3526">IFERROR(INDEX(tbNucleo[ESCOLA],ROUNDUP(ROW(A3525)/TotalEtapas,0)),"")</f>
        <v/>
      </c>
      <c r="D3526" t="str">
        <f>IFERROR(VLOOKUP(tbEscolas[[#This Row],[COD ETPA]],tbEtapas[],2,FALSE),"")</f>
        <v/>
      </c>
      <c r="E3526" t="str">
        <f>IFERROR(VLOOKUP(tbEscolas[[#This Row],[COD ETPA]],tbEtapas[],3,FALSE),"")</f>
        <v/>
      </c>
    </row>
    <row r="3527" spans="1:5" x14ac:dyDescent="0.25">
      <c r="A3527" t="str" cm="1">
        <f t="array" ref="A3527">IFERROR(INDEX(tbNucleo[ESCOLA],ROUNDUP(ROW(A3526)/TotalEtapas,0)),"")</f>
        <v/>
      </c>
      <c r="D3527" t="str">
        <f>IFERROR(VLOOKUP(tbEscolas[[#This Row],[COD ETPA]],tbEtapas[],2,FALSE),"")</f>
        <v/>
      </c>
      <c r="E3527" t="str">
        <f>IFERROR(VLOOKUP(tbEscolas[[#This Row],[COD ETPA]],tbEtapas[],3,FALSE),"")</f>
        <v/>
      </c>
    </row>
    <row r="3528" spans="1:5" x14ac:dyDescent="0.25">
      <c r="A3528" t="str" cm="1">
        <f t="array" ref="A3528">IFERROR(INDEX(tbNucleo[ESCOLA],ROUNDUP(ROW(A3527)/TotalEtapas,0)),"")</f>
        <v/>
      </c>
      <c r="D3528" t="str">
        <f>IFERROR(VLOOKUP(tbEscolas[[#This Row],[COD ETPA]],tbEtapas[],2,FALSE),"")</f>
        <v/>
      </c>
      <c r="E3528" t="str">
        <f>IFERROR(VLOOKUP(tbEscolas[[#This Row],[COD ETPA]],tbEtapas[],3,FALSE),"")</f>
        <v/>
      </c>
    </row>
    <row r="3529" spans="1:5" x14ac:dyDescent="0.25">
      <c r="A3529" t="str" cm="1">
        <f t="array" ref="A3529">IFERROR(INDEX(tbNucleo[ESCOLA],ROUNDUP(ROW(A3528)/TotalEtapas,0)),"")</f>
        <v/>
      </c>
      <c r="D3529" t="str">
        <f>IFERROR(VLOOKUP(tbEscolas[[#This Row],[COD ETPA]],tbEtapas[],2,FALSE),"")</f>
        <v/>
      </c>
      <c r="E3529" t="str">
        <f>IFERROR(VLOOKUP(tbEscolas[[#This Row],[COD ETPA]],tbEtapas[],3,FALSE),"")</f>
        <v/>
      </c>
    </row>
    <row r="3530" spans="1:5" x14ac:dyDescent="0.25">
      <c r="A3530" t="str" cm="1">
        <f t="array" ref="A3530">IFERROR(INDEX(tbNucleo[ESCOLA],ROUNDUP(ROW(A3529)/TotalEtapas,0)),"")</f>
        <v/>
      </c>
      <c r="D3530" t="str">
        <f>IFERROR(VLOOKUP(tbEscolas[[#This Row],[COD ETPA]],tbEtapas[],2,FALSE),"")</f>
        <v/>
      </c>
      <c r="E3530" t="str">
        <f>IFERROR(VLOOKUP(tbEscolas[[#This Row],[COD ETPA]],tbEtapas[],3,FALSE),"")</f>
        <v/>
      </c>
    </row>
    <row r="3531" spans="1:5" x14ac:dyDescent="0.25">
      <c r="A3531" t="str" cm="1">
        <f t="array" ref="A3531">IFERROR(INDEX(tbNucleo[ESCOLA],ROUNDUP(ROW(A3530)/TotalEtapas,0)),"")</f>
        <v/>
      </c>
      <c r="D3531" t="str">
        <f>IFERROR(VLOOKUP(tbEscolas[[#This Row],[COD ETPA]],tbEtapas[],2,FALSE),"")</f>
        <v/>
      </c>
      <c r="E3531" t="str">
        <f>IFERROR(VLOOKUP(tbEscolas[[#This Row],[COD ETPA]],tbEtapas[],3,FALSE),"")</f>
        <v/>
      </c>
    </row>
    <row r="3532" spans="1:5" x14ac:dyDescent="0.25">
      <c r="A3532" t="str" cm="1">
        <f t="array" ref="A3532">IFERROR(INDEX(tbNucleo[ESCOLA],ROUNDUP(ROW(A3531)/TotalEtapas,0)),"")</f>
        <v/>
      </c>
      <c r="D3532" t="str">
        <f>IFERROR(VLOOKUP(tbEscolas[[#This Row],[COD ETPA]],tbEtapas[],2,FALSE),"")</f>
        <v/>
      </c>
      <c r="E3532" t="str">
        <f>IFERROR(VLOOKUP(tbEscolas[[#This Row],[COD ETPA]],tbEtapas[],3,FALSE),"")</f>
        <v/>
      </c>
    </row>
    <row r="3533" spans="1:5" x14ac:dyDescent="0.25">
      <c r="A3533" t="str" cm="1">
        <f t="array" ref="A3533">IFERROR(INDEX(tbNucleo[ESCOLA],ROUNDUP(ROW(A3532)/TotalEtapas,0)),"")</f>
        <v/>
      </c>
      <c r="D3533" t="str">
        <f>IFERROR(VLOOKUP(tbEscolas[[#This Row],[COD ETPA]],tbEtapas[],2,FALSE),"")</f>
        <v/>
      </c>
      <c r="E3533" t="str">
        <f>IFERROR(VLOOKUP(tbEscolas[[#This Row],[COD ETPA]],tbEtapas[],3,FALSE),"")</f>
        <v/>
      </c>
    </row>
    <row r="3534" spans="1:5" x14ac:dyDescent="0.25">
      <c r="A3534" t="str" cm="1">
        <f t="array" ref="A3534">IFERROR(INDEX(tbNucleo[ESCOLA],ROUNDUP(ROW(A3533)/TotalEtapas,0)),"")</f>
        <v/>
      </c>
      <c r="D3534" t="str">
        <f>IFERROR(VLOOKUP(tbEscolas[[#This Row],[COD ETPA]],tbEtapas[],2,FALSE),"")</f>
        <v/>
      </c>
      <c r="E3534" t="str">
        <f>IFERROR(VLOOKUP(tbEscolas[[#This Row],[COD ETPA]],tbEtapas[],3,FALSE),"")</f>
        <v/>
      </c>
    </row>
    <row r="3535" spans="1:5" x14ac:dyDescent="0.25">
      <c r="A3535" t="str" cm="1">
        <f t="array" ref="A3535">IFERROR(INDEX(tbNucleo[ESCOLA],ROUNDUP(ROW(A3534)/TotalEtapas,0)),"")</f>
        <v/>
      </c>
      <c r="D3535" t="str">
        <f>IFERROR(VLOOKUP(tbEscolas[[#This Row],[COD ETPA]],tbEtapas[],2,FALSE),"")</f>
        <v/>
      </c>
      <c r="E3535" t="str">
        <f>IFERROR(VLOOKUP(tbEscolas[[#This Row],[COD ETPA]],tbEtapas[],3,FALSE),"")</f>
        <v/>
      </c>
    </row>
    <row r="3536" spans="1:5" x14ac:dyDescent="0.25">
      <c r="A3536" t="str" cm="1">
        <f t="array" ref="A3536">IFERROR(INDEX(tbNucleo[ESCOLA],ROUNDUP(ROW(A3535)/TotalEtapas,0)),"")</f>
        <v/>
      </c>
      <c r="D3536" t="str">
        <f>IFERROR(VLOOKUP(tbEscolas[[#This Row],[COD ETPA]],tbEtapas[],2,FALSE),"")</f>
        <v/>
      </c>
      <c r="E3536" t="str">
        <f>IFERROR(VLOOKUP(tbEscolas[[#This Row],[COD ETPA]],tbEtapas[],3,FALSE),"")</f>
        <v/>
      </c>
    </row>
    <row r="3537" spans="1:5" x14ac:dyDescent="0.25">
      <c r="A3537" t="str" cm="1">
        <f t="array" ref="A3537">IFERROR(INDEX(tbNucleo[ESCOLA],ROUNDUP(ROW(A3536)/TotalEtapas,0)),"")</f>
        <v/>
      </c>
      <c r="D3537" t="str">
        <f>IFERROR(VLOOKUP(tbEscolas[[#This Row],[COD ETPA]],tbEtapas[],2,FALSE),"")</f>
        <v/>
      </c>
      <c r="E3537" t="str">
        <f>IFERROR(VLOOKUP(tbEscolas[[#This Row],[COD ETPA]],tbEtapas[],3,FALSE),"")</f>
        <v/>
      </c>
    </row>
    <row r="3538" spans="1:5" x14ac:dyDescent="0.25">
      <c r="A3538" t="str" cm="1">
        <f t="array" ref="A3538">IFERROR(INDEX(tbNucleo[ESCOLA],ROUNDUP(ROW(A3537)/TotalEtapas,0)),"")</f>
        <v/>
      </c>
      <c r="D3538" t="str">
        <f>IFERROR(VLOOKUP(tbEscolas[[#This Row],[COD ETPA]],tbEtapas[],2,FALSE),"")</f>
        <v/>
      </c>
      <c r="E3538" t="str">
        <f>IFERROR(VLOOKUP(tbEscolas[[#This Row],[COD ETPA]],tbEtapas[],3,FALSE),"")</f>
        <v/>
      </c>
    </row>
    <row r="3539" spans="1:5" x14ac:dyDescent="0.25">
      <c r="A3539" t="str" cm="1">
        <f t="array" ref="A3539">IFERROR(INDEX(tbNucleo[ESCOLA],ROUNDUP(ROW(A3538)/TotalEtapas,0)),"")</f>
        <v/>
      </c>
      <c r="D3539" t="str">
        <f>IFERROR(VLOOKUP(tbEscolas[[#This Row],[COD ETPA]],tbEtapas[],2,FALSE),"")</f>
        <v/>
      </c>
      <c r="E3539" t="str">
        <f>IFERROR(VLOOKUP(tbEscolas[[#This Row],[COD ETPA]],tbEtapas[],3,FALSE),"")</f>
        <v/>
      </c>
    </row>
    <row r="3540" spans="1:5" x14ac:dyDescent="0.25">
      <c r="A3540" t="str" cm="1">
        <f t="array" ref="A3540">IFERROR(INDEX(tbNucleo[ESCOLA],ROUNDUP(ROW(A3539)/TotalEtapas,0)),"")</f>
        <v/>
      </c>
      <c r="D3540" t="str">
        <f>IFERROR(VLOOKUP(tbEscolas[[#This Row],[COD ETPA]],tbEtapas[],2,FALSE),"")</f>
        <v/>
      </c>
      <c r="E3540" t="str">
        <f>IFERROR(VLOOKUP(tbEscolas[[#This Row],[COD ETPA]],tbEtapas[],3,FALSE),"")</f>
        <v/>
      </c>
    </row>
    <row r="3541" spans="1:5" x14ac:dyDescent="0.25">
      <c r="A3541" t="str" cm="1">
        <f t="array" ref="A3541">IFERROR(INDEX(tbNucleo[ESCOLA],ROUNDUP(ROW(A3540)/TotalEtapas,0)),"")</f>
        <v/>
      </c>
      <c r="D3541" t="str">
        <f>IFERROR(VLOOKUP(tbEscolas[[#This Row],[COD ETPA]],tbEtapas[],2,FALSE),"")</f>
        <v/>
      </c>
      <c r="E3541" t="str">
        <f>IFERROR(VLOOKUP(tbEscolas[[#This Row],[COD ETPA]],tbEtapas[],3,FALSE),"")</f>
        <v/>
      </c>
    </row>
    <row r="3542" spans="1:5" x14ac:dyDescent="0.25">
      <c r="A3542" t="str" cm="1">
        <f t="array" ref="A3542">IFERROR(INDEX(tbNucleo[ESCOLA],ROUNDUP(ROW(A3541)/TotalEtapas,0)),"")</f>
        <v/>
      </c>
      <c r="D3542" t="str">
        <f>IFERROR(VLOOKUP(tbEscolas[[#This Row],[COD ETPA]],tbEtapas[],2,FALSE),"")</f>
        <v/>
      </c>
      <c r="E3542" t="str">
        <f>IFERROR(VLOOKUP(tbEscolas[[#This Row],[COD ETPA]],tbEtapas[],3,FALSE),"")</f>
        <v/>
      </c>
    </row>
    <row r="3543" spans="1:5" x14ac:dyDescent="0.25">
      <c r="A3543" t="str" cm="1">
        <f t="array" ref="A3543">IFERROR(INDEX(tbNucleo[ESCOLA],ROUNDUP(ROW(A3542)/TotalEtapas,0)),"")</f>
        <v/>
      </c>
      <c r="D3543" t="str">
        <f>IFERROR(VLOOKUP(tbEscolas[[#This Row],[COD ETPA]],tbEtapas[],2,FALSE),"")</f>
        <v/>
      </c>
      <c r="E3543" t="str">
        <f>IFERROR(VLOOKUP(tbEscolas[[#This Row],[COD ETPA]],tbEtapas[],3,FALSE),"")</f>
        <v/>
      </c>
    </row>
    <row r="3544" spans="1:5" x14ac:dyDescent="0.25">
      <c r="A3544" t="str" cm="1">
        <f t="array" ref="A3544">IFERROR(INDEX(tbNucleo[ESCOLA],ROUNDUP(ROW(A3543)/TotalEtapas,0)),"")</f>
        <v/>
      </c>
      <c r="D3544" t="str">
        <f>IFERROR(VLOOKUP(tbEscolas[[#This Row],[COD ETPA]],tbEtapas[],2,FALSE),"")</f>
        <v/>
      </c>
      <c r="E3544" t="str">
        <f>IFERROR(VLOOKUP(tbEscolas[[#This Row],[COD ETPA]],tbEtapas[],3,FALSE),"")</f>
        <v/>
      </c>
    </row>
    <row r="3545" spans="1:5" x14ac:dyDescent="0.25">
      <c r="A3545" t="str" cm="1">
        <f t="array" ref="A3545">IFERROR(INDEX(tbNucleo[ESCOLA],ROUNDUP(ROW(A3544)/TotalEtapas,0)),"")</f>
        <v/>
      </c>
      <c r="D3545" t="str">
        <f>IFERROR(VLOOKUP(tbEscolas[[#This Row],[COD ETPA]],tbEtapas[],2,FALSE),"")</f>
        <v/>
      </c>
      <c r="E3545" t="str">
        <f>IFERROR(VLOOKUP(tbEscolas[[#This Row],[COD ETPA]],tbEtapas[],3,FALSE),"")</f>
        <v/>
      </c>
    </row>
    <row r="3546" spans="1:5" x14ac:dyDescent="0.25">
      <c r="A3546" t="str" cm="1">
        <f t="array" ref="A3546">IFERROR(INDEX(tbNucleo[ESCOLA],ROUNDUP(ROW(A3545)/TotalEtapas,0)),"")</f>
        <v/>
      </c>
      <c r="D3546" t="str">
        <f>IFERROR(VLOOKUP(tbEscolas[[#This Row],[COD ETPA]],tbEtapas[],2,FALSE),"")</f>
        <v/>
      </c>
      <c r="E3546" t="str">
        <f>IFERROR(VLOOKUP(tbEscolas[[#This Row],[COD ETPA]],tbEtapas[],3,FALSE),"")</f>
        <v/>
      </c>
    </row>
    <row r="3547" spans="1:5" x14ac:dyDescent="0.25">
      <c r="A3547" t="str" cm="1">
        <f t="array" ref="A3547">IFERROR(INDEX(tbNucleo[ESCOLA],ROUNDUP(ROW(A3546)/TotalEtapas,0)),"")</f>
        <v/>
      </c>
      <c r="D3547" t="str">
        <f>IFERROR(VLOOKUP(tbEscolas[[#This Row],[COD ETPA]],tbEtapas[],2,FALSE),"")</f>
        <v/>
      </c>
      <c r="E3547" t="str">
        <f>IFERROR(VLOOKUP(tbEscolas[[#This Row],[COD ETPA]],tbEtapas[],3,FALSE),"")</f>
        <v/>
      </c>
    </row>
    <row r="3548" spans="1:5" x14ac:dyDescent="0.25">
      <c r="A3548" t="str" cm="1">
        <f t="array" ref="A3548">IFERROR(INDEX(tbNucleo[ESCOLA],ROUNDUP(ROW(A3547)/TotalEtapas,0)),"")</f>
        <v/>
      </c>
      <c r="D3548" t="str">
        <f>IFERROR(VLOOKUP(tbEscolas[[#This Row],[COD ETPA]],tbEtapas[],2,FALSE),"")</f>
        <v/>
      </c>
      <c r="E3548" t="str">
        <f>IFERROR(VLOOKUP(tbEscolas[[#This Row],[COD ETPA]],tbEtapas[],3,FALSE),"")</f>
        <v/>
      </c>
    </row>
    <row r="3549" spans="1:5" x14ac:dyDescent="0.25">
      <c r="A3549" t="str" cm="1">
        <f t="array" ref="A3549">IFERROR(INDEX(tbNucleo[ESCOLA],ROUNDUP(ROW(A3548)/TotalEtapas,0)),"")</f>
        <v/>
      </c>
      <c r="D3549" t="str">
        <f>IFERROR(VLOOKUP(tbEscolas[[#This Row],[COD ETPA]],tbEtapas[],2,FALSE),"")</f>
        <v/>
      </c>
      <c r="E3549" t="str">
        <f>IFERROR(VLOOKUP(tbEscolas[[#This Row],[COD ETPA]],tbEtapas[],3,FALSE),"")</f>
        <v/>
      </c>
    </row>
    <row r="3550" spans="1:5" x14ac:dyDescent="0.25">
      <c r="A3550" t="str" cm="1">
        <f t="array" ref="A3550">IFERROR(INDEX(tbNucleo[ESCOLA],ROUNDUP(ROW(A3549)/TotalEtapas,0)),"")</f>
        <v/>
      </c>
      <c r="D3550" t="str">
        <f>IFERROR(VLOOKUP(tbEscolas[[#This Row],[COD ETPA]],tbEtapas[],2,FALSE),"")</f>
        <v/>
      </c>
      <c r="E3550" t="str">
        <f>IFERROR(VLOOKUP(tbEscolas[[#This Row],[COD ETPA]],tbEtapas[],3,FALSE),"")</f>
        <v/>
      </c>
    </row>
    <row r="3551" spans="1:5" x14ac:dyDescent="0.25">
      <c r="A3551" t="str" cm="1">
        <f t="array" ref="A3551">IFERROR(INDEX(tbNucleo[ESCOLA],ROUNDUP(ROW(A3550)/TotalEtapas,0)),"")</f>
        <v/>
      </c>
      <c r="D3551" t="str">
        <f>IFERROR(VLOOKUP(tbEscolas[[#This Row],[COD ETPA]],tbEtapas[],2,FALSE),"")</f>
        <v/>
      </c>
      <c r="E3551" t="str">
        <f>IFERROR(VLOOKUP(tbEscolas[[#This Row],[COD ETPA]],tbEtapas[],3,FALSE),"")</f>
        <v/>
      </c>
    </row>
    <row r="3552" spans="1:5" x14ac:dyDescent="0.25">
      <c r="A3552" t="str" cm="1">
        <f t="array" ref="A3552">IFERROR(INDEX(tbNucleo[ESCOLA],ROUNDUP(ROW(A3551)/TotalEtapas,0)),"")</f>
        <v/>
      </c>
      <c r="D3552" t="str">
        <f>IFERROR(VLOOKUP(tbEscolas[[#This Row],[COD ETPA]],tbEtapas[],2,FALSE),"")</f>
        <v/>
      </c>
      <c r="E3552" t="str">
        <f>IFERROR(VLOOKUP(tbEscolas[[#This Row],[COD ETPA]],tbEtapas[],3,FALSE),"")</f>
        <v/>
      </c>
    </row>
    <row r="3553" spans="1:5" x14ac:dyDescent="0.25">
      <c r="A3553" t="str" cm="1">
        <f t="array" ref="A3553">IFERROR(INDEX(tbNucleo[ESCOLA],ROUNDUP(ROW(A3552)/TotalEtapas,0)),"")</f>
        <v/>
      </c>
      <c r="D3553" t="str">
        <f>IFERROR(VLOOKUP(tbEscolas[[#This Row],[COD ETPA]],tbEtapas[],2,FALSE),"")</f>
        <v/>
      </c>
      <c r="E3553" t="str">
        <f>IFERROR(VLOOKUP(tbEscolas[[#This Row],[COD ETPA]],tbEtapas[],3,FALSE),"")</f>
        <v/>
      </c>
    </row>
    <row r="3554" spans="1:5" x14ac:dyDescent="0.25">
      <c r="A3554" t="str" cm="1">
        <f t="array" ref="A3554">IFERROR(INDEX(tbNucleo[ESCOLA],ROUNDUP(ROW(A3553)/TotalEtapas,0)),"")</f>
        <v/>
      </c>
      <c r="D3554" t="str">
        <f>IFERROR(VLOOKUP(tbEscolas[[#This Row],[COD ETPA]],tbEtapas[],2,FALSE),"")</f>
        <v/>
      </c>
      <c r="E3554" t="str">
        <f>IFERROR(VLOOKUP(tbEscolas[[#This Row],[COD ETPA]],tbEtapas[],3,FALSE),"")</f>
        <v/>
      </c>
    </row>
    <row r="3555" spans="1:5" x14ac:dyDescent="0.25">
      <c r="A3555" t="str" cm="1">
        <f t="array" ref="A3555">IFERROR(INDEX(tbNucleo[ESCOLA],ROUNDUP(ROW(A3554)/TotalEtapas,0)),"")</f>
        <v/>
      </c>
      <c r="D3555" t="str">
        <f>IFERROR(VLOOKUP(tbEscolas[[#This Row],[COD ETPA]],tbEtapas[],2,FALSE),"")</f>
        <v/>
      </c>
      <c r="E3555" t="str">
        <f>IFERROR(VLOOKUP(tbEscolas[[#This Row],[COD ETPA]],tbEtapas[],3,FALSE),"")</f>
        <v/>
      </c>
    </row>
    <row r="3556" spans="1:5" x14ac:dyDescent="0.25">
      <c r="A3556" t="str" cm="1">
        <f t="array" ref="A3556">IFERROR(INDEX(tbNucleo[ESCOLA],ROUNDUP(ROW(A3555)/TotalEtapas,0)),"")</f>
        <v/>
      </c>
      <c r="D3556" t="str">
        <f>IFERROR(VLOOKUP(tbEscolas[[#This Row],[COD ETPA]],tbEtapas[],2,FALSE),"")</f>
        <v/>
      </c>
      <c r="E3556" t="str">
        <f>IFERROR(VLOOKUP(tbEscolas[[#This Row],[COD ETPA]],tbEtapas[],3,FALSE),"")</f>
        <v/>
      </c>
    </row>
    <row r="3557" spans="1:5" x14ac:dyDescent="0.25">
      <c r="A3557" t="str" cm="1">
        <f t="array" ref="A3557">IFERROR(INDEX(tbNucleo[ESCOLA],ROUNDUP(ROW(A3556)/TotalEtapas,0)),"")</f>
        <v/>
      </c>
      <c r="D3557" t="str">
        <f>IFERROR(VLOOKUP(tbEscolas[[#This Row],[COD ETPA]],tbEtapas[],2,FALSE),"")</f>
        <v/>
      </c>
      <c r="E3557" t="str">
        <f>IFERROR(VLOOKUP(tbEscolas[[#This Row],[COD ETPA]],tbEtapas[],3,FALSE),"")</f>
        <v/>
      </c>
    </row>
    <row r="3558" spans="1:5" x14ac:dyDescent="0.25">
      <c r="A3558" t="str" cm="1">
        <f t="array" ref="A3558">IFERROR(INDEX(tbNucleo[ESCOLA],ROUNDUP(ROW(A3557)/TotalEtapas,0)),"")</f>
        <v/>
      </c>
      <c r="D3558" t="str">
        <f>IFERROR(VLOOKUP(tbEscolas[[#This Row],[COD ETPA]],tbEtapas[],2,FALSE),"")</f>
        <v/>
      </c>
      <c r="E3558" t="str">
        <f>IFERROR(VLOOKUP(tbEscolas[[#This Row],[COD ETPA]],tbEtapas[],3,FALSE),"")</f>
        <v/>
      </c>
    </row>
    <row r="3559" spans="1:5" x14ac:dyDescent="0.25">
      <c r="A3559" t="str" cm="1">
        <f t="array" ref="A3559">IFERROR(INDEX(tbNucleo[ESCOLA],ROUNDUP(ROW(A3558)/TotalEtapas,0)),"")</f>
        <v/>
      </c>
      <c r="D3559" t="str">
        <f>IFERROR(VLOOKUP(tbEscolas[[#This Row],[COD ETPA]],tbEtapas[],2,FALSE),"")</f>
        <v/>
      </c>
      <c r="E3559" t="str">
        <f>IFERROR(VLOOKUP(tbEscolas[[#This Row],[COD ETPA]],tbEtapas[],3,FALSE),"")</f>
        <v/>
      </c>
    </row>
    <row r="3560" spans="1:5" x14ac:dyDescent="0.25">
      <c r="A3560" t="str" cm="1">
        <f t="array" ref="A3560">IFERROR(INDEX(tbNucleo[ESCOLA],ROUNDUP(ROW(A3559)/TotalEtapas,0)),"")</f>
        <v/>
      </c>
      <c r="D3560" t="str">
        <f>IFERROR(VLOOKUP(tbEscolas[[#This Row],[COD ETPA]],tbEtapas[],2,FALSE),"")</f>
        <v/>
      </c>
      <c r="E3560" t="str">
        <f>IFERROR(VLOOKUP(tbEscolas[[#This Row],[COD ETPA]],tbEtapas[],3,FALSE),"")</f>
        <v/>
      </c>
    </row>
    <row r="3561" spans="1:5" x14ac:dyDescent="0.25">
      <c r="A3561" t="str" cm="1">
        <f t="array" ref="A3561">IFERROR(INDEX(tbNucleo[ESCOLA],ROUNDUP(ROW(A3560)/TotalEtapas,0)),"")</f>
        <v/>
      </c>
      <c r="D3561" t="str">
        <f>IFERROR(VLOOKUP(tbEscolas[[#This Row],[COD ETPA]],tbEtapas[],2,FALSE),"")</f>
        <v/>
      </c>
      <c r="E3561" t="str">
        <f>IFERROR(VLOOKUP(tbEscolas[[#This Row],[COD ETPA]],tbEtapas[],3,FALSE),"")</f>
        <v/>
      </c>
    </row>
    <row r="3562" spans="1:5" x14ac:dyDescent="0.25">
      <c r="A3562" t="str" cm="1">
        <f t="array" ref="A3562">IFERROR(INDEX(tbNucleo[ESCOLA],ROUNDUP(ROW(A3561)/TotalEtapas,0)),"")</f>
        <v/>
      </c>
      <c r="D3562" t="str">
        <f>IFERROR(VLOOKUP(tbEscolas[[#This Row],[COD ETPA]],tbEtapas[],2,FALSE),"")</f>
        <v/>
      </c>
      <c r="E3562" t="str">
        <f>IFERROR(VLOOKUP(tbEscolas[[#This Row],[COD ETPA]],tbEtapas[],3,FALSE),"")</f>
        <v/>
      </c>
    </row>
    <row r="3563" spans="1:5" x14ac:dyDescent="0.25">
      <c r="A3563" t="str" cm="1">
        <f t="array" ref="A3563">IFERROR(INDEX(tbNucleo[ESCOLA],ROUNDUP(ROW(A3562)/TotalEtapas,0)),"")</f>
        <v/>
      </c>
      <c r="D3563" t="str">
        <f>IFERROR(VLOOKUP(tbEscolas[[#This Row],[COD ETPA]],tbEtapas[],2,FALSE),"")</f>
        <v/>
      </c>
      <c r="E3563" t="str">
        <f>IFERROR(VLOOKUP(tbEscolas[[#This Row],[COD ETPA]],tbEtapas[],3,FALSE),"")</f>
        <v/>
      </c>
    </row>
    <row r="3564" spans="1:5" x14ac:dyDescent="0.25">
      <c r="A3564" t="str" cm="1">
        <f t="array" ref="A3564">IFERROR(INDEX(tbNucleo[ESCOLA],ROUNDUP(ROW(A3563)/TotalEtapas,0)),"")</f>
        <v/>
      </c>
      <c r="D3564" t="str">
        <f>IFERROR(VLOOKUP(tbEscolas[[#This Row],[COD ETPA]],tbEtapas[],2,FALSE),"")</f>
        <v/>
      </c>
      <c r="E3564" t="str">
        <f>IFERROR(VLOOKUP(tbEscolas[[#This Row],[COD ETPA]],tbEtapas[],3,FALSE),"")</f>
        <v/>
      </c>
    </row>
    <row r="3565" spans="1:5" x14ac:dyDescent="0.25">
      <c r="A3565" t="str" cm="1">
        <f t="array" ref="A3565">IFERROR(INDEX(tbNucleo[ESCOLA],ROUNDUP(ROW(A3564)/TotalEtapas,0)),"")</f>
        <v/>
      </c>
      <c r="D3565" t="str">
        <f>IFERROR(VLOOKUP(tbEscolas[[#This Row],[COD ETPA]],tbEtapas[],2,FALSE),"")</f>
        <v/>
      </c>
      <c r="E3565" t="str">
        <f>IFERROR(VLOOKUP(tbEscolas[[#This Row],[COD ETPA]],tbEtapas[],3,FALSE),"")</f>
        <v/>
      </c>
    </row>
    <row r="3566" spans="1:5" x14ac:dyDescent="0.25">
      <c r="A3566" t="str" cm="1">
        <f t="array" ref="A3566">IFERROR(INDEX(tbNucleo[ESCOLA],ROUNDUP(ROW(A3565)/TotalEtapas,0)),"")</f>
        <v/>
      </c>
      <c r="D3566" t="str">
        <f>IFERROR(VLOOKUP(tbEscolas[[#This Row],[COD ETPA]],tbEtapas[],2,FALSE),"")</f>
        <v/>
      </c>
      <c r="E3566" t="str">
        <f>IFERROR(VLOOKUP(tbEscolas[[#This Row],[COD ETPA]],tbEtapas[],3,FALSE),"")</f>
        <v/>
      </c>
    </row>
    <row r="3567" spans="1:5" x14ac:dyDescent="0.25">
      <c r="A3567" t="str" cm="1">
        <f t="array" ref="A3567">IFERROR(INDEX(tbNucleo[ESCOLA],ROUNDUP(ROW(A3566)/TotalEtapas,0)),"")</f>
        <v/>
      </c>
      <c r="D3567" t="str">
        <f>IFERROR(VLOOKUP(tbEscolas[[#This Row],[COD ETPA]],tbEtapas[],2,FALSE),"")</f>
        <v/>
      </c>
      <c r="E3567" t="str">
        <f>IFERROR(VLOOKUP(tbEscolas[[#This Row],[COD ETPA]],tbEtapas[],3,FALSE),"")</f>
        <v/>
      </c>
    </row>
    <row r="3568" spans="1:5" x14ac:dyDescent="0.25">
      <c r="A3568" t="str" cm="1">
        <f t="array" ref="A3568">IFERROR(INDEX(tbNucleo[ESCOLA],ROUNDUP(ROW(A3567)/TotalEtapas,0)),"")</f>
        <v/>
      </c>
      <c r="D3568" t="str">
        <f>IFERROR(VLOOKUP(tbEscolas[[#This Row],[COD ETPA]],tbEtapas[],2,FALSE),"")</f>
        <v/>
      </c>
      <c r="E3568" t="str">
        <f>IFERROR(VLOOKUP(tbEscolas[[#This Row],[COD ETPA]],tbEtapas[],3,FALSE),"")</f>
        <v/>
      </c>
    </row>
    <row r="3569" spans="1:5" x14ac:dyDescent="0.25">
      <c r="A3569" t="str" cm="1">
        <f t="array" ref="A3569">IFERROR(INDEX(tbNucleo[ESCOLA],ROUNDUP(ROW(A3568)/TotalEtapas,0)),"")</f>
        <v/>
      </c>
      <c r="D3569" t="str">
        <f>IFERROR(VLOOKUP(tbEscolas[[#This Row],[COD ETPA]],tbEtapas[],2,FALSE),"")</f>
        <v/>
      </c>
      <c r="E3569" t="str">
        <f>IFERROR(VLOOKUP(tbEscolas[[#This Row],[COD ETPA]],tbEtapas[],3,FALSE),"")</f>
        <v/>
      </c>
    </row>
    <row r="3570" spans="1:5" x14ac:dyDescent="0.25">
      <c r="A3570" t="str" cm="1">
        <f t="array" ref="A3570">IFERROR(INDEX(tbNucleo[ESCOLA],ROUNDUP(ROW(A3569)/TotalEtapas,0)),"")</f>
        <v/>
      </c>
      <c r="D3570" t="str">
        <f>IFERROR(VLOOKUP(tbEscolas[[#This Row],[COD ETPA]],tbEtapas[],2,FALSE),"")</f>
        <v/>
      </c>
      <c r="E3570" t="str">
        <f>IFERROR(VLOOKUP(tbEscolas[[#This Row],[COD ETPA]],tbEtapas[],3,FALSE),"")</f>
        <v/>
      </c>
    </row>
    <row r="3571" spans="1:5" x14ac:dyDescent="0.25">
      <c r="A3571" t="str" cm="1">
        <f t="array" ref="A3571">IFERROR(INDEX(tbNucleo[ESCOLA],ROUNDUP(ROW(A3570)/TotalEtapas,0)),"")</f>
        <v/>
      </c>
      <c r="D3571" t="str">
        <f>IFERROR(VLOOKUP(tbEscolas[[#This Row],[COD ETPA]],tbEtapas[],2,FALSE),"")</f>
        <v/>
      </c>
      <c r="E3571" t="str">
        <f>IFERROR(VLOOKUP(tbEscolas[[#This Row],[COD ETPA]],tbEtapas[],3,FALSE),"")</f>
        <v/>
      </c>
    </row>
    <row r="3572" spans="1:5" x14ac:dyDescent="0.25">
      <c r="A3572" t="str" cm="1">
        <f t="array" ref="A3572">IFERROR(INDEX(tbNucleo[ESCOLA],ROUNDUP(ROW(A3571)/TotalEtapas,0)),"")</f>
        <v/>
      </c>
      <c r="D3572" t="str">
        <f>IFERROR(VLOOKUP(tbEscolas[[#This Row],[COD ETPA]],tbEtapas[],2,FALSE),"")</f>
        <v/>
      </c>
      <c r="E3572" t="str">
        <f>IFERROR(VLOOKUP(tbEscolas[[#This Row],[COD ETPA]],tbEtapas[],3,FALSE),"")</f>
        <v/>
      </c>
    </row>
    <row r="3573" spans="1:5" x14ac:dyDescent="0.25">
      <c r="A3573" t="str" cm="1">
        <f t="array" ref="A3573">IFERROR(INDEX(tbNucleo[ESCOLA],ROUNDUP(ROW(A3572)/TotalEtapas,0)),"")</f>
        <v/>
      </c>
      <c r="D3573" t="str">
        <f>IFERROR(VLOOKUP(tbEscolas[[#This Row],[COD ETPA]],tbEtapas[],2,FALSE),"")</f>
        <v/>
      </c>
      <c r="E3573" t="str">
        <f>IFERROR(VLOOKUP(tbEscolas[[#This Row],[COD ETPA]],tbEtapas[],3,FALSE),"")</f>
        <v/>
      </c>
    </row>
    <row r="3574" spans="1:5" x14ac:dyDescent="0.25">
      <c r="A3574" t="str" cm="1">
        <f t="array" ref="A3574">IFERROR(INDEX(tbNucleo[ESCOLA],ROUNDUP(ROW(A3573)/TotalEtapas,0)),"")</f>
        <v/>
      </c>
      <c r="D3574" t="str">
        <f>IFERROR(VLOOKUP(tbEscolas[[#This Row],[COD ETPA]],tbEtapas[],2,FALSE),"")</f>
        <v/>
      </c>
      <c r="E3574" t="str">
        <f>IFERROR(VLOOKUP(tbEscolas[[#This Row],[COD ETPA]],tbEtapas[],3,FALSE),"")</f>
        <v/>
      </c>
    </row>
    <row r="3575" spans="1:5" x14ac:dyDescent="0.25">
      <c r="A3575" t="str" cm="1">
        <f t="array" ref="A3575">IFERROR(INDEX(tbNucleo[ESCOLA],ROUNDUP(ROW(A3574)/TotalEtapas,0)),"")</f>
        <v/>
      </c>
      <c r="D3575" t="str">
        <f>IFERROR(VLOOKUP(tbEscolas[[#This Row],[COD ETPA]],tbEtapas[],2,FALSE),"")</f>
        <v/>
      </c>
      <c r="E3575" t="str">
        <f>IFERROR(VLOOKUP(tbEscolas[[#This Row],[COD ETPA]],tbEtapas[],3,FALSE),"")</f>
        <v/>
      </c>
    </row>
    <row r="3576" spans="1:5" x14ac:dyDescent="0.25">
      <c r="A3576" t="str" cm="1">
        <f t="array" ref="A3576">IFERROR(INDEX(tbNucleo[ESCOLA],ROUNDUP(ROW(A3575)/TotalEtapas,0)),"")</f>
        <v/>
      </c>
      <c r="D3576" t="str">
        <f>IFERROR(VLOOKUP(tbEscolas[[#This Row],[COD ETPA]],tbEtapas[],2,FALSE),"")</f>
        <v/>
      </c>
      <c r="E3576" t="str">
        <f>IFERROR(VLOOKUP(tbEscolas[[#This Row],[COD ETPA]],tbEtapas[],3,FALSE),"")</f>
        <v/>
      </c>
    </row>
    <row r="3577" spans="1:5" x14ac:dyDescent="0.25">
      <c r="A3577" t="str" cm="1">
        <f t="array" ref="A3577">IFERROR(INDEX(tbNucleo[ESCOLA],ROUNDUP(ROW(A3576)/TotalEtapas,0)),"")</f>
        <v/>
      </c>
      <c r="D3577" t="str">
        <f>IFERROR(VLOOKUP(tbEscolas[[#This Row],[COD ETPA]],tbEtapas[],2,FALSE),"")</f>
        <v/>
      </c>
      <c r="E3577" t="str">
        <f>IFERROR(VLOOKUP(tbEscolas[[#This Row],[COD ETPA]],tbEtapas[],3,FALSE),"")</f>
        <v/>
      </c>
    </row>
    <row r="3578" spans="1:5" x14ac:dyDescent="0.25">
      <c r="A3578" t="str" cm="1">
        <f t="array" ref="A3578">IFERROR(INDEX(tbNucleo[ESCOLA],ROUNDUP(ROW(A3577)/TotalEtapas,0)),"")</f>
        <v/>
      </c>
      <c r="D3578" t="str">
        <f>IFERROR(VLOOKUP(tbEscolas[[#This Row],[COD ETPA]],tbEtapas[],2,FALSE),"")</f>
        <v/>
      </c>
      <c r="E3578" t="str">
        <f>IFERROR(VLOOKUP(tbEscolas[[#This Row],[COD ETPA]],tbEtapas[],3,FALSE),"")</f>
        <v/>
      </c>
    </row>
    <row r="3579" spans="1:5" x14ac:dyDescent="0.25">
      <c r="A3579" t="str" cm="1">
        <f t="array" ref="A3579">IFERROR(INDEX(tbNucleo[ESCOLA],ROUNDUP(ROW(A3578)/TotalEtapas,0)),"")</f>
        <v/>
      </c>
      <c r="D3579" t="str">
        <f>IFERROR(VLOOKUP(tbEscolas[[#This Row],[COD ETPA]],tbEtapas[],2,FALSE),"")</f>
        <v/>
      </c>
      <c r="E3579" t="str">
        <f>IFERROR(VLOOKUP(tbEscolas[[#This Row],[COD ETPA]],tbEtapas[],3,FALSE),"")</f>
        <v/>
      </c>
    </row>
    <row r="3580" spans="1:5" x14ac:dyDescent="0.25">
      <c r="A3580" t="str" cm="1">
        <f t="array" ref="A3580">IFERROR(INDEX(tbNucleo[ESCOLA],ROUNDUP(ROW(A3579)/TotalEtapas,0)),"")</f>
        <v/>
      </c>
      <c r="D3580" t="str">
        <f>IFERROR(VLOOKUP(tbEscolas[[#This Row],[COD ETPA]],tbEtapas[],2,FALSE),"")</f>
        <v/>
      </c>
      <c r="E3580" t="str">
        <f>IFERROR(VLOOKUP(tbEscolas[[#This Row],[COD ETPA]],tbEtapas[],3,FALSE),"")</f>
        <v/>
      </c>
    </row>
    <row r="3581" spans="1:5" x14ac:dyDescent="0.25">
      <c r="A3581" t="str" cm="1">
        <f t="array" ref="A3581">IFERROR(INDEX(tbNucleo[ESCOLA],ROUNDUP(ROW(A3580)/TotalEtapas,0)),"")</f>
        <v/>
      </c>
      <c r="D3581" t="str">
        <f>IFERROR(VLOOKUP(tbEscolas[[#This Row],[COD ETPA]],tbEtapas[],2,FALSE),"")</f>
        <v/>
      </c>
      <c r="E3581" t="str">
        <f>IFERROR(VLOOKUP(tbEscolas[[#This Row],[COD ETPA]],tbEtapas[],3,FALSE),"")</f>
        <v/>
      </c>
    </row>
    <row r="3582" spans="1:5" x14ac:dyDescent="0.25">
      <c r="A3582" t="str" cm="1">
        <f t="array" ref="A3582">IFERROR(INDEX(tbNucleo[ESCOLA],ROUNDUP(ROW(A3581)/TotalEtapas,0)),"")</f>
        <v/>
      </c>
      <c r="D3582" t="str">
        <f>IFERROR(VLOOKUP(tbEscolas[[#This Row],[COD ETPA]],tbEtapas[],2,FALSE),"")</f>
        <v/>
      </c>
      <c r="E3582" t="str">
        <f>IFERROR(VLOOKUP(tbEscolas[[#This Row],[COD ETPA]],tbEtapas[],3,FALSE),"")</f>
        <v/>
      </c>
    </row>
    <row r="3583" spans="1:5" x14ac:dyDescent="0.25">
      <c r="A3583" t="str" cm="1">
        <f t="array" ref="A3583">IFERROR(INDEX(tbNucleo[ESCOLA],ROUNDUP(ROW(A3582)/TotalEtapas,0)),"")</f>
        <v/>
      </c>
      <c r="D3583" t="str">
        <f>IFERROR(VLOOKUP(tbEscolas[[#This Row],[COD ETPA]],tbEtapas[],2,FALSE),"")</f>
        <v/>
      </c>
      <c r="E3583" t="str">
        <f>IFERROR(VLOOKUP(tbEscolas[[#This Row],[COD ETPA]],tbEtapas[],3,FALSE),"")</f>
        <v/>
      </c>
    </row>
    <row r="3584" spans="1:5" x14ac:dyDescent="0.25">
      <c r="A3584" t="str" cm="1">
        <f t="array" ref="A3584">IFERROR(INDEX(tbNucleo[ESCOLA],ROUNDUP(ROW(A3583)/TotalEtapas,0)),"")</f>
        <v/>
      </c>
      <c r="D3584" t="str">
        <f>IFERROR(VLOOKUP(tbEscolas[[#This Row],[COD ETPA]],tbEtapas[],2,FALSE),"")</f>
        <v/>
      </c>
      <c r="E3584" t="str">
        <f>IFERROR(VLOOKUP(tbEscolas[[#This Row],[COD ETPA]],tbEtapas[],3,FALSE),"")</f>
        <v/>
      </c>
    </row>
    <row r="3585" spans="1:5" x14ac:dyDescent="0.25">
      <c r="A3585" t="str" cm="1">
        <f t="array" ref="A3585">IFERROR(INDEX(tbNucleo[ESCOLA],ROUNDUP(ROW(A3584)/TotalEtapas,0)),"")</f>
        <v/>
      </c>
      <c r="D3585" t="str">
        <f>IFERROR(VLOOKUP(tbEscolas[[#This Row],[COD ETPA]],tbEtapas[],2,FALSE),"")</f>
        <v/>
      </c>
      <c r="E3585" t="str">
        <f>IFERROR(VLOOKUP(tbEscolas[[#This Row],[COD ETPA]],tbEtapas[],3,FALSE),"")</f>
        <v/>
      </c>
    </row>
    <row r="3586" spans="1:5" x14ac:dyDescent="0.25">
      <c r="A3586" t="str" cm="1">
        <f t="array" ref="A3586">IFERROR(INDEX(tbNucleo[ESCOLA],ROUNDUP(ROW(A3585)/TotalEtapas,0)),"")</f>
        <v/>
      </c>
      <c r="D3586" t="str">
        <f>IFERROR(VLOOKUP(tbEscolas[[#This Row],[COD ETPA]],tbEtapas[],2,FALSE),"")</f>
        <v/>
      </c>
      <c r="E3586" t="str">
        <f>IFERROR(VLOOKUP(tbEscolas[[#This Row],[COD ETPA]],tbEtapas[],3,FALSE),"")</f>
        <v/>
      </c>
    </row>
    <row r="3587" spans="1:5" x14ac:dyDescent="0.25">
      <c r="A3587" t="str" cm="1">
        <f t="array" ref="A3587">IFERROR(INDEX(tbNucleo[ESCOLA],ROUNDUP(ROW(A3586)/TotalEtapas,0)),"")</f>
        <v/>
      </c>
      <c r="D3587" t="str">
        <f>IFERROR(VLOOKUP(tbEscolas[[#This Row],[COD ETPA]],tbEtapas[],2,FALSE),"")</f>
        <v/>
      </c>
      <c r="E3587" t="str">
        <f>IFERROR(VLOOKUP(tbEscolas[[#This Row],[COD ETPA]],tbEtapas[],3,FALSE),"")</f>
        <v/>
      </c>
    </row>
    <row r="3588" spans="1:5" x14ac:dyDescent="0.25">
      <c r="A3588" t="str" cm="1">
        <f t="array" ref="A3588">IFERROR(INDEX(tbNucleo[ESCOLA],ROUNDUP(ROW(A3587)/TotalEtapas,0)),"")</f>
        <v/>
      </c>
      <c r="D3588" t="str">
        <f>IFERROR(VLOOKUP(tbEscolas[[#This Row],[COD ETPA]],tbEtapas[],2,FALSE),"")</f>
        <v/>
      </c>
      <c r="E3588" t="str">
        <f>IFERROR(VLOOKUP(tbEscolas[[#This Row],[COD ETPA]],tbEtapas[],3,FALSE),"")</f>
        <v/>
      </c>
    </row>
    <row r="3589" spans="1:5" x14ac:dyDescent="0.25">
      <c r="A3589" t="str" cm="1">
        <f t="array" ref="A3589">IFERROR(INDEX(tbNucleo[ESCOLA],ROUNDUP(ROW(A3588)/TotalEtapas,0)),"")</f>
        <v/>
      </c>
      <c r="D3589" t="str">
        <f>IFERROR(VLOOKUP(tbEscolas[[#This Row],[COD ETPA]],tbEtapas[],2,FALSE),"")</f>
        <v/>
      </c>
      <c r="E3589" t="str">
        <f>IFERROR(VLOOKUP(tbEscolas[[#This Row],[COD ETPA]],tbEtapas[],3,FALSE),"")</f>
        <v/>
      </c>
    </row>
    <row r="3590" spans="1:5" x14ac:dyDescent="0.25">
      <c r="A3590" t="str" cm="1">
        <f t="array" ref="A3590">IFERROR(INDEX(tbNucleo[ESCOLA],ROUNDUP(ROW(A3589)/TotalEtapas,0)),"")</f>
        <v/>
      </c>
      <c r="D3590" t="str">
        <f>IFERROR(VLOOKUP(tbEscolas[[#This Row],[COD ETPA]],tbEtapas[],2,FALSE),"")</f>
        <v/>
      </c>
      <c r="E3590" t="str">
        <f>IFERROR(VLOOKUP(tbEscolas[[#This Row],[COD ETPA]],tbEtapas[],3,FALSE),"")</f>
        <v/>
      </c>
    </row>
    <row r="3591" spans="1:5" x14ac:dyDescent="0.25">
      <c r="A3591" t="str" cm="1">
        <f t="array" ref="A3591">IFERROR(INDEX(tbNucleo[ESCOLA],ROUNDUP(ROW(A3590)/TotalEtapas,0)),"")</f>
        <v/>
      </c>
      <c r="D3591" t="str">
        <f>IFERROR(VLOOKUP(tbEscolas[[#This Row],[COD ETPA]],tbEtapas[],2,FALSE),"")</f>
        <v/>
      </c>
      <c r="E3591" t="str">
        <f>IFERROR(VLOOKUP(tbEscolas[[#This Row],[COD ETPA]],tbEtapas[],3,FALSE),"")</f>
        <v/>
      </c>
    </row>
    <row r="3592" spans="1:5" x14ac:dyDescent="0.25">
      <c r="A3592" t="str" cm="1">
        <f t="array" ref="A3592">IFERROR(INDEX(tbNucleo[ESCOLA],ROUNDUP(ROW(A3591)/TotalEtapas,0)),"")</f>
        <v/>
      </c>
      <c r="D3592" t="str">
        <f>IFERROR(VLOOKUP(tbEscolas[[#This Row],[COD ETPA]],tbEtapas[],2,FALSE),"")</f>
        <v/>
      </c>
      <c r="E3592" t="str">
        <f>IFERROR(VLOOKUP(tbEscolas[[#This Row],[COD ETPA]],tbEtapas[],3,FALSE),"")</f>
        <v/>
      </c>
    </row>
    <row r="3593" spans="1:5" x14ac:dyDescent="0.25">
      <c r="A3593" t="str" cm="1">
        <f t="array" ref="A3593">IFERROR(INDEX(tbNucleo[ESCOLA],ROUNDUP(ROW(A3592)/TotalEtapas,0)),"")</f>
        <v/>
      </c>
      <c r="D3593" t="str">
        <f>IFERROR(VLOOKUP(tbEscolas[[#This Row],[COD ETPA]],tbEtapas[],2,FALSE),"")</f>
        <v/>
      </c>
      <c r="E3593" t="str">
        <f>IFERROR(VLOOKUP(tbEscolas[[#This Row],[COD ETPA]],tbEtapas[],3,FALSE),"")</f>
        <v/>
      </c>
    </row>
    <row r="3594" spans="1:5" x14ac:dyDescent="0.25">
      <c r="A3594" t="str" cm="1">
        <f t="array" ref="A3594">IFERROR(INDEX(tbNucleo[ESCOLA],ROUNDUP(ROW(A3593)/TotalEtapas,0)),"")</f>
        <v/>
      </c>
      <c r="D3594" t="str">
        <f>IFERROR(VLOOKUP(tbEscolas[[#This Row],[COD ETPA]],tbEtapas[],2,FALSE),"")</f>
        <v/>
      </c>
      <c r="E3594" t="str">
        <f>IFERROR(VLOOKUP(tbEscolas[[#This Row],[COD ETPA]],tbEtapas[],3,FALSE),"")</f>
        <v/>
      </c>
    </row>
    <row r="3595" spans="1:5" x14ac:dyDescent="0.25">
      <c r="A3595" t="str" cm="1">
        <f t="array" ref="A3595">IFERROR(INDEX(tbNucleo[ESCOLA],ROUNDUP(ROW(A3594)/TotalEtapas,0)),"")</f>
        <v/>
      </c>
      <c r="D3595" t="str">
        <f>IFERROR(VLOOKUP(tbEscolas[[#This Row],[COD ETPA]],tbEtapas[],2,FALSE),"")</f>
        <v/>
      </c>
      <c r="E3595" t="str">
        <f>IFERROR(VLOOKUP(tbEscolas[[#This Row],[COD ETPA]],tbEtapas[],3,FALSE),"")</f>
        <v/>
      </c>
    </row>
    <row r="3596" spans="1:5" x14ac:dyDescent="0.25">
      <c r="A3596" t="str" cm="1">
        <f t="array" ref="A3596">IFERROR(INDEX(tbNucleo[ESCOLA],ROUNDUP(ROW(A3595)/TotalEtapas,0)),"")</f>
        <v/>
      </c>
      <c r="D3596" t="str">
        <f>IFERROR(VLOOKUP(tbEscolas[[#This Row],[COD ETPA]],tbEtapas[],2,FALSE),"")</f>
        <v/>
      </c>
      <c r="E3596" t="str">
        <f>IFERROR(VLOOKUP(tbEscolas[[#This Row],[COD ETPA]],tbEtapas[],3,FALSE),"")</f>
        <v/>
      </c>
    </row>
    <row r="3597" spans="1:5" x14ac:dyDescent="0.25">
      <c r="A3597" t="str" cm="1">
        <f t="array" ref="A3597">IFERROR(INDEX(tbNucleo[ESCOLA],ROUNDUP(ROW(A3596)/TotalEtapas,0)),"")</f>
        <v/>
      </c>
      <c r="D3597" t="str">
        <f>IFERROR(VLOOKUP(tbEscolas[[#This Row],[COD ETPA]],tbEtapas[],2,FALSE),"")</f>
        <v/>
      </c>
      <c r="E3597" t="str">
        <f>IFERROR(VLOOKUP(tbEscolas[[#This Row],[COD ETPA]],tbEtapas[],3,FALSE),"")</f>
        <v/>
      </c>
    </row>
    <row r="3598" spans="1:5" x14ac:dyDescent="0.25">
      <c r="A3598" t="str" cm="1">
        <f t="array" ref="A3598">IFERROR(INDEX(tbNucleo[ESCOLA],ROUNDUP(ROW(A3597)/TotalEtapas,0)),"")</f>
        <v/>
      </c>
      <c r="D3598" t="str">
        <f>IFERROR(VLOOKUP(tbEscolas[[#This Row],[COD ETPA]],tbEtapas[],2,FALSE),"")</f>
        <v/>
      </c>
      <c r="E3598" t="str">
        <f>IFERROR(VLOOKUP(tbEscolas[[#This Row],[COD ETPA]],tbEtapas[],3,FALSE),"")</f>
        <v/>
      </c>
    </row>
    <row r="3599" spans="1:5" x14ac:dyDescent="0.25">
      <c r="A3599" t="str" cm="1">
        <f t="array" ref="A3599">IFERROR(INDEX(tbNucleo[ESCOLA],ROUNDUP(ROW(A3598)/TotalEtapas,0)),"")</f>
        <v/>
      </c>
      <c r="D3599" t="str">
        <f>IFERROR(VLOOKUP(tbEscolas[[#This Row],[COD ETPA]],tbEtapas[],2,FALSE),"")</f>
        <v/>
      </c>
      <c r="E3599" t="str">
        <f>IFERROR(VLOOKUP(tbEscolas[[#This Row],[COD ETPA]],tbEtapas[],3,FALSE),"")</f>
        <v/>
      </c>
    </row>
    <row r="3600" spans="1:5" x14ac:dyDescent="0.25">
      <c r="A3600" t="str" cm="1">
        <f t="array" ref="A3600">IFERROR(INDEX(tbNucleo[ESCOLA],ROUNDUP(ROW(A3599)/TotalEtapas,0)),"")</f>
        <v/>
      </c>
      <c r="D3600" t="str">
        <f>IFERROR(VLOOKUP(tbEscolas[[#This Row],[COD ETPA]],tbEtapas[],2,FALSE),"")</f>
        <v/>
      </c>
      <c r="E3600" t="str">
        <f>IFERROR(VLOOKUP(tbEscolas[[#This Row],[COD ETPA]],tbEtapas[],3,FALSE),"")</f>
        <v/>
      </c>
    </row>
    <row r="3601" spans="1:5" x14ac:dyDescent="0.25">
      <c r="A3601" t="str" cm="1">
        <f t="array" ref="A3601">IFERROR(INDEX(tbNucleo[ESCOLA],ROUNDUP(ROW(A3600)/TotalEtapas,0)),"")</f>
        <v/>
      </c>
      <c r="D3601" t="str">
        <f>IFERROR(VLOOKUP(tbEscolas[[#This Row],[COD ETPA]],tbEtapas[],2,FALSE),"")</f>
        <v/>
      </c>
      <c r="E3601" t="str">
        <f>IFERROR(VLOOKUP(tbEscolas[[#This Row],[COD ETPA]],tbEtapas[],3,FALSE),"")</f>
        <v/>
      </c>
    </row>
    <row r="3602" spans="1:5" x14ac:dyDescent="0.25">
      <c r="A3602" t="str" cm="1">
        <f t="array" ref="A3602">IFERROR(INDEX(tbNucleo[ESCOLA],ROUNDUP(ROW(A3601)/TotalEtapas,0)),"")</f>
        <v/>
      </c>
      <c r="D3602" t="str">
        <f>IFERROR(VLOOKUP(tbEscolas[[#This Row],[COD ETPA]],tbEtapas[],2,FALSE),"")</f>
        <v/>
      </c>
      <c r="E3602" t="str">
        <f>IFERROR(VLOOKUP(tbEscolas[[#This Row],[COD ETPA]],tbEtapas[],3,FALSE),"")</f>
        <v/>
      </c>
    </row>
    <row r="3603" spans="1:5" x14ac:dyDescent="0.25">
      <c r="A3603" t="str" cm="1">
        <f t="array" ref="A3603">IFERROR(INDEX(tbNucleo[ESCOLA],ROUNDUP(ROW(A3602)/TotalEtapas,0)),"")</f>
        <v/>
      </c>
      <c r="D3603" t="str">
        <f>IFERROR(VLOOKUP(tbEscolas[[#This Row],[COD ETPA]],tbEtapas[],2,FALSE),"")</f>
        <v/>
      </c>
      <c r="E3603" t="str">
        <f>IFERROR(VLOOKUP(tbEscolas[[#This Row],[COD ETPA]],tbEtapas[],3,FALSE),"")</f>
        <v/>
      </c>
    </row>
    <row r="3604" spans="1:5" x14ac:dyDescent="0.25">
      <c r="A3604" t="str" cm="1">
        <f t="array" ref="A3604">IFERROR(INDEX(tbNucleo[ESCOLA],ROUNDUP(ROW(A3603)/TotalEtapas,0)),"")</f>
        <v/>
      </c>
      <c r="D3604" t="str">
        <f>IFERROR(VLOOKUP(tbEscolas[[#This Row],[COD ETPA]],tbEtapas[],2,FALSE),"")</f>
        <v/>
      </c>
      <c r="E3604" t="str">
        <f>IFERROR(VLOOKUP(tbEscolas[[#This Row],[COD ETPA]],tbEtapas[],3,FALSE),"")</f>
        <v/>
      </c>
    </row>
    <row r="3605" spans="1:5" x14ac:dyDescent="0.25">
      <c r="A3605" t="str" cm="1">
        <f t="array" ref="A3605">IFERROR(INDEX(tbNucleo[ESCOLA],ROUNDUP(ROW(A3604)/TotalEtapas,0)),"")</f>
        <v/>
      </c>
      <c r="D3605" t="str">
        <f>IFERROR(VLOOKUP(tbEscolas[[#This Row],[COD ETPA]],tbEtapas[],2,FALSE),"")</f>
        <v/>
      </c>
      <c r="E3605" t="str">
        <f>IFERROR(VLOOKUP(tbEscolas[[#This Row],[COD ETPA]],tbEtapas[],3,FALSE),"")</f>
        <v/>
      </c>
    </row>
    <row r="3606" spans="1:5" x14ac:dyDescent="0.25">
      <c r="A3606" t="str" cm="1">
        <f t="array" ref="A3606">IFERROR(INDEX(tbNucleo[ESCOLA],ROUNDUP(ROW(A3605)/TotalEtapas,0)),"")</f>
        <v/>
      </c>
      <c r="D3606" t="str">
        <f>IFERROR(VLOOKUP(tbEscolas[[#This Row],[COD ETPA]],tbEtapas[],2,FALSE),"")</f>
        <v/>
      </c>
      <c r="E3606" t="str">
        <f>IFERROR(VLOOKUP(tbEscolas[[#This Row],[COD ETPA]],tbEtapas[],3,FALSE),"")</f>
        <v/>
      </c>
    </row>
    <row r="3607" spans="1:5" x14ac:dyDescent="0.25">
      <c r="A3607" t="str" cm="1">
        <f t="array" ref="A3607">IFERROR(INDEX(tbNucleo[ESCOLA],ROUNDUP(ROW(A3606)/TotalEtapas,0)),"")</f>
        <v/>
      </c>
      <c r="D3607" t="str">
        <f>IFERROR(VLOOKUP(tbEscolas[[#This Row],[COD ETPA]],tbEtapas[],2,FALSE),"")</f>
        <v/>
      </c>
      <c r="E3607" t="str">
        <f>IFERROR(VLOOKUP(tbEscolas[[#This Row],[COD ETPA]],tbEtapas[],3,FALSE),"")</f>
        <v/>
      </c>
    </row>
    <row r="3608" spans="1:5" x14ac:dyDescent="0.25">
      <c r="A3608" t="str" cm="1">
        <f t="array" ref="A3608">IFERROR(INDEX(tbNucleo[ESCOLA],ROUNDUP(ROW(A3607)/TotalEtapas,0)),"")</f>
        <v/>
      </c>
      <c r="D3608" t="str">
        <f>IFERROR(VLOOKUP(tbEscolas[[#This Row],[COD ETPA]],tbEtapas[],2,FALSE),"")</f>
        <v/>
      </c>
      <c r="E3608" t="str">
        <f>IFERROR(VLOOKUP(tbEscolas[[#This Row],[COD ETPA]],tbEtapas[],3,FALSE),"")</f>
        <v/>
      </c>
    </row>
    <row r="3609" spans="1:5" x14ac:dyDescent="0.25">
      <c r="A3609" t="str" cm="1">
        <f t="array" ref="A3609">IFERROR(INDEX(tbNucleo[ESCOLA],ROUNDUP(ROW(A3608)/TotalEtapas,0)),"")</f>
        <v/>
      </c>
      <c r="D3609" t="str">
        <f>IFERROR(VLOOKUP(tbEscolas[[#This Row],[COD ETPA]],tbEtapas[],2,FALSE),"")</f>
        <v/>
      </c>
      <c r="E3609" t="str">
        <f>IFERROR(VLOOKUP(tbEscolas[[#This Row],[COD ETPA]],tbEtapas[],3,FALSE),"")</f>
        <v/>
      </c>
    </row>
    <row r="3610" spans="1:5" x14ac:dyDescent="0.25">
      <c r="A3610" t="str" cm="1">
        <f t="array" ref="A3610">IFERROR(INDEX(tbNucleo[ESCOLA],ROUNDUP(ROW(A3609)/TotalEtapas,0)),"")</f>
        <v/>
      </c>
      <c r="D3610" t="str">
        <f>IFERROR(VLOOKUP(tbEscolas[[#This Row],[COD ETPA]],tbEtapas[],2,FALSE),"")</f>
        <v/>
      </c>
      <c r="E3610" t="str">
        <f>IFERROR(VLOOKUP(tbEscolas[[#This Row],[COD ETPA]],tbEtapas[],3,FALSE),"")</f>
        <v/>
      </c>
    </row>
    <row r="3611" spans="1:5" x14ac:dyDescent="0.25">
      <c r="A3611" t="str" cm="1">
        <f t="array" ref="A3611">IFERROR(INDEX(tbNucleo[ESCOLA],ROUNDUP(ROW(A3610)/TotalEtapas,0)),"")</f>
        <v/>
      </c>
      <c r="D3611" t="str">
        <f>IFERROR(VLOOKUP(tbEscolas[[#This Row],[COD ETPA]],tbEtapas[],2,FALSE),"")</f>
        <v/>
      </c>
      <c r="E3611" t="str">
        <f>IFERROR(VLOOKUP(tbEscolas[[#This Row],[COD ETPA]],tbEtapas[],3,FALSE),"")</f>
        <v/>
      </c>
    </row>
    <row r="3612" spans="1:5" x14ac:dyDescent="0.25">
      <c r="A3612" t="str" cm="1">
        <f t="array" ref="A3612">IFERROR(INDEX(tbNucleo[ESCOLA],ROUNDUP(ROW(A3611)/TotalEtapas,0)),"")</f>
        <v/>
      </c>
      <c r="D3612" t="str">
        <f>IFERROR(VLOOKUP(tbEscolas[[#This Row],[COD ETPA]],tbEtapas[],2,FALSE),"")</f>
        <v/>
      </c>
      <c r="E3612" t="str">
        <f>IFERROR(VLOOKUP(tbEscolas[[#This Row],[COD ETPA]],tbEtapas[],3,FALSE),"")</f>
        <v/>
      </c>
    </row>
    <row r="3613" spans="1:5" x14ac:dyDescent="0.25">
      <c r="A3613" t="str" cm="1">
        <f t="array" ref="A3613">IFERROR(INDEX(tbNucleo[ESCOLA],ROUNDUP(ROW(A3612)/TotalEtapas,0)),"")</f>
        <v/>
      </c>
      <c r="D3613" t="str">
        <f>IFERROR(VLOOKUP(tbEscolas[[#This Row],[COD ETPA]],tbEtapas[],2,FALSE),"")</f>
        <v/>
      </c>
      <c r="E3613" t="str">
        <f>IFERROR(VLOOKUP(tbEscolas[[#This Row],[COD ETPA]],tbEtapas[],3,FALSE),"")</f>
        <v/>
      </c>
    </row>
    <row r="3614" spans="1:5" x14ac:dyDescent="0.25">
      <c r="A3614" t="str" cm="1">
        <f t="array" ref="A3614">IFERROR(INDEX(tbNucleo[ESCOLA],ROUNDUP(ROW(A3613)/TotalEtapas,0)),"")</f>
        <v/>
      </c>
      <c r="D3614" t="str">
        <f>IFERROR(VLOOKUP(tbEscolas[[#This Row],[COD ETPA]],tbEtapas[],2,FALSE),"")</f>
        <v/>
      </c>
      <c r="E3614" t="str">
        <f>IFERROR(VLOOKUP(tbEscolas[[#This Row],[COD ETPA]],tbEtapas[],3,FALSE),"")</f>
        <v/>
      </c>
    </row>
    <row r="3615" spans="1:5" x14ac:dyDescent="0.25">
      <c r="A3615" t="str" cm="1">
        <f t="array" ref="A3615">IFERROR(INDEX(tbNucleo[ESCOLA],ROUNDUP(ROW(A3614)/TotalEtapas,0)),"")</f>
        <v/>
      </c>
      <c r="D3615" t="str">
        <f>IFERROR(VLOOKUP(tbEscolas[[#This Row],[COD ETPA]],tbEtapas[],2,FALSE),"")</f>
        <v/>
      </c>
      <c r="E3615" t="str">
        <f>IFERROR(VLOOKUP(tbEscolas[[#This Row],[COD ETPA]],tbEtapas[],3,FALSE),"")</f>
        <v/>
      </c>
    </row>
    <row r="3616" spans="1:5" x14ac:dyDescent="0.25">
      <c r="A3616" t="str" cm="1">
        <f t="array" ref="A3616">IFERROR(INDEX(tbNucleo[ESCOLA],ROUNDUP(ROW(A3615)/TotalEtapas,0)),"")</f>
        <v/>
      </c>
      <c r="D3616" t="str">
        <f>IFERROR(VLOOKUP(tbEscolas[[#This Row],[COD ETPA]],tbEtapas[],2,FALSE),"")</f>
        <v/>
      </c>
      <c r="E3616" t="str">
        <f>IFERROR(VLOOKUP(tbEscolas[[#This Row],[COD ETPA]],tbEtapas[],3,FALSE),"")</f>
        <v/>
      </c>
    </row>
    <row r="3617" spans="1:5" x14ac:dyDescent="0.25">
      <c r="A3617" t="str" cm="1">
        <f t="array" ref="A3617">IFERROR(INDEX(tbNucleo[ESCOLA],ROUNDUP(ROW(A3616)/TotalEtapas,0)),"")</f>
        <v/>
      </c>
      <c r="D3617" t="str">
        <f>IFERROR(VLOOKUP(tbEscolas[[#This Row],[COD ETPA]],tbEtapas[],2,FALSE),"")</f>
        <v/>
      </c>
      <c r="E3617" t="str">
        <f>IFERROR(VLOOKUP(tbEscolas[[#This Row],[COD ETPA]],tbEtapas[],3,FALSE),"")</f>
        <v/>
      </c>
    </row>
    <row r="3618" spans="1:5" x14ac:dyDescent="0.25">
      <c r="A3618" t="str" cm="1">
        <f t="array" ref="A3618">IFERROR(INDEX(tbNucleo[ESCOLA],ROUNDUP(ROW(A3617)/TotalEtapas,0)),"")</f>
        <v/>
      </c>
      <c r="D3618" t="str">
        <f>IFERROR(VLOOKUP(tbEscolas[[#This Row],[COD ETPA]],tbEtapas[],2,FALSE),"")</f>
        <v/>
      </c>
      <c r="E3618" t="str">
        <f>IFERROR(VLOOKUP(tbEscolas[[#This Row],[COD ETPA]],tbEtapas[],3,FALSE),"")</f>
        <v/>
      </c>
    </row>
    <row r="3619" spans="1:5" x14ac:dyDescent="0.25">
      <c r="A3619" t="str" cm="1">
        <f t="array" ref="A3619">IFERROR(INDEX(tbNucleo[ESCOLA],ROUNDUP(ROW(A3618)/TotalEtapas,0)),"")</f>
        <v/>
      </c>
      <c r="D3619" t="str">
        <f>IFERROR(VLOOKUP(tbEscolas[[#This Row],[COD ETPA]],tbEtapas[],2,FALSE),"")</f>
        <v/>
      </c>
      <c r="E3619" t="str">
        <f>IFERROR(VLOOKUP(tbEscolas[[#This Row],[COD ETPA]],tbEtapas[],3,FALSE),"")</f>
        <v/>
      </c>
    </row>
    <row r="3620" spans="1:5" x14ac:dyDescent="0.25">
      <c r="A3620" t="str" cm="1">
        <f t="array" ref="A3620">IFERROR(INDEX(tbNucleo[ESCOLA],ROUNDUP(ROW(A3619)/TotalEtapas,0)),"")</f>
        <v/>
      </c>
      <c r="D3620" t="str">
        <f>IFERROR(VLOOKUP(tbEscolas[[#This Row],[COD ETPA]],tbEtapas[],2,FALSE),"")</f>
        <v/>
      </c>
      <c r="E3620" t="str">
        <f>IFERROR(VLOOKUP(tbEscolas[[#This Row],[COD ETPA]],tbEtapas[],3,FALSE),"")</f>
        <v/>
      </c>
    </row>
    <row r="3621" spans="1:5" x14ac:dyDescent="0.25">
      <c r="A3621" t="str" cm="1">
        <f t="array" ref="A3621">IFERROR(INDEX(tbNucleo[ESCOLA],ROUNDUP(ROW(A3620)/TotalEtapas,0)),"")</f>
        <v/>
      </c>
      <c r="D3621" t="str">
        <f>IFERROR(VLOOKUP(tbEscolas[[#This Row],[COD ETPA]],tbEtapas[],2,FALSE),"")</f>
        <v/>
      </c>
      <c r="E3621" t="str">
        <f>IFERROR(VLOOKUP(tbEscolas[[#This Row],[COD ETPA]],tbEtapas[],3,FALSE),"")</f>
        <v/>
      </c>
    </row>
    <row r="3622" spans="1:5" x14ac:dyDescent="0.25">
      <c r="A3622" t="str" cm="1">
        <f t="array" ref="A3622">IFERROR(INDEX(tbNucleo[ESCOLA],ROUNDUP(ROW(A3621)/TotalEtapas,0)),"")</f>
        <v/>
      </c>
      <c r="D3622" t="str">
        <f>IFERROR(VLOOKUP(tbEscolas[[#This Row],[COD ETPA]],tbEtapas[],2,FALSE),"")</f>
        <v/>
      </c>
      <c r="E3622" t="str">
        <f>IFERROR(VLOOKUP(tbEscolas[[#This Row],[COD ETPA]],tbEtapas[],3,FALSE),"")</f>
        <v/>
      </c>
    </row>
    <row r="3623" spans="1:5" x14ac:dyDescent="0.25">
      <c r="A3623" t="str" cm="1">
        <f t="array" ref="A3623">IFERROR(INDEX(tbNucleo[ESCOLA],ROUNDUP(ROW(A3622)/TotalEtapas,0)),"")</f>
        <v/>
      </c>
      <c r="D3623" t="str">
        <f>IFERROR(VLOOKUP(tbEscolas[[#This Row],[COD ETPA]],tbEtapas[],2,FALSE),"")</f>
        <v/>
      </c>
      <c r="E3623" t="str">
        <f>IFERROR(VLOOKUP(tbEscolas[[#This Row],[COD ETPA]],tbEtapas[],3,FALSE),"")</f>
        <v/>
      </c>
    </row>
    <row r="3624" spans="1:5" x14ac:dyDescent="0.25">
      <c r="A3624" t="str" cm="1">
        <f t="array" ref="A3624">IFERROR(INDEX(tbNucleo[ESCOLA],ROUNDUP(ROW(A3623)/TotalEtapas,0)),"")</f>
        <v/>
      </c>
      <c r="D3624" t="str">
        <f>IFERROR(VLOOKUP(tbEscolas[[#This Row],[COD ETPA]],tbEtapas[],2,FALSE),"")</f>
        <v/>
      </c>
      <c r="E3624" t="str">
        <f>IFERROR(VLOOKUP(tbEscolas[[#This Row],[COD ETPA]],tbEtapas[],3,FALSE),"")</f>
        <v/>
      </c>
    </row>
    <row r="3625" spans="1:5" x14ac:dyDescent="0.25">
      <c r="A3625" t="str" cm="1">
        <f t="array" ref="A3625">IFERROR(INDEX(tbNucleo[ESCOLA],ROUNDUP(ROW(A3624)/TotalEtapas,0)),"")</f>
        <v/>
      </c>
      <c r="D3625" t="str">
        <f>IFERROR(VLOOKUP(tbEscolas[[#This Row],[COD ETPA]],tbEtapas[],2,FALSE),"")</f>
        <v/>
      </c>
      <c r="E3625" t="str">
        <f>IFERROR(VLOOKUP(tbEscolas[[#This Row],[COD ETPA]],tbEtapas[],3,FALSE),"")</f>
        <v/>
      </c>
    </row>
    <row r="3626" spans="1:5" x14ac:dyDescent="0.25">
      <c r="A3626" t="str" cm="1">
        <f t="array" ref="A3626">IFERROR(INDEX(tbNucleo[ESCOLA],ROUNDUP(ROW(A3625)/TotalEtapas,0)),"")</f>
        <v/>
      </c>
      <c r="D3626" t="str">
        <f>IFERROR(VLOOKUP(tbEscolas[[#This Row],[COD ETPA]],tbEtapas[],2,FALSE),"")</f>
        <v/>
      </c>
      <c r="E3626" t="str">
        <f>IFERROR(VLOOKUP(tbEscolas[[#This Row],[COD ETPA]],tbEtapas[],3,FALSE),"")</f>
        <v/>
      </c>
    </row>
    <row r="3627" spans="1:5" x14ac:dyDescent="0.25">
      <c r="A3627" t="str" cm="1">
        <f t="array" ref="A3627">IFERROR(INDEX(tbNucleo[ESCOLA],ROUNDUP(ROW(A3626)/TotalEtapas,0)),"")</f>
        <v/>
      </c>
      <c r="D3627" t="str">
        <f>IFERROR(VLOOKUP(tbEscolas[[#This Row],[COD ETPA]],tbEtapas[],2,FALSE),"")</f>
        <v/>
      </c>
      <c r="E3627" t="str">
        <f>IFERROR(VLOOKUP(tbEscolas[[#This Row],[COD ETPA]],tbEtapas[],3,FALSE),"")</f>
        <v/>
      </c>
    </row>
    <row r="3628" spans="1:5" x14ac:dyDescent="0.25">
      <c r="A3628" t="str" cm="1">
        <f t="array" ref="A3628">IFERROR(INDEX(tbNucleo[ESCOLA],ROUNDUP(ROW(A3627)/TotalEtapas,0)),"")</f>
        <v/>
      </c>
      <c r="D3628" t="str">
        <f>IFERROR(VLOOKUP(tbEscolas[[#This Row],[COD ETPA]],tbEtapas[],2,FALSE),"")</f>
        <v/>
      </c>
      <c r="E3628" t="str">
        <f>IFERROR(VLOOKUP(tbEscolas[[#This Row],[COD ETPA]],tbEtapas[],3,FALSE),"")</f>
        <v/>
      </c>
    </row>
    <row r="3629" spans="1:5" x14ac:dyDescent="0.25">
      <c r="A3629" t="str" cm="1">
        <f t="array" ref="A3629">IFERROR(INDEX(tbNucleo[ESCOLA],ROUNDUP(ROW(A3628)/TotalEtapas,0)),"")</f>
        <v/>
      </c>
      <c r="D3629" t="str">
        <f>IFERROR(VLOOKUP(tbEscolas[[#This Row],[COD ETPA]],tbEtapas[],2,FALSE),"")</f>
        <v/>
      </c>
      <c r="E3629" t="str">
        <f>IFERROR(VLOOKUP(tbEscolas[[#This Row],[COD ETPA]],tbEtapas[],3,FALSE),"")</f>
        <v/>
      </c>
    </row>
    <row r="3630" spans="1:5" x14ac:dyDescent="0.25">
      <c r="A3630" t="str" cm="1">
        <f t="array" ref="A3630">IFERROR(INDEX(tbNucleo[ESCOLA],ROUNDUP(ROW(A3629)/TotalEtapas,0)),"")</f>
        <v/>
      </c>
      <c r="D3630" t="str">
        <f>IFERROR(VLOOKUP(tbEscolas[[#This Row],[COD ETPA]],tbEtapas[],2,FALSE),"")</f>
        <v/>
      </c>
      <c r="E3630" t="str">
        <f>IFERROR(VLOOKUP(tbEscolas[[#This Row],[COD ETPA]],tbEtapas[],3,FALSE),"")</f>
        <v/>
      </c>
    </row>
    <row r="3631" spans="1:5" x14ac:dyDescent="0.25">
      <c r="A3631" t="str" cm="1">
        <f t="array" ref="A3631">IFERROR(INDEX(tbNucleo[ESCOLA],ROUNDUP(ROW(A3630)/TotalEtapas,0)),"")</f>
        <v/>
      </c>
      <c r="D3631" t="str">
        <f>IFERROR(VLOOKUP(tbEscolas[[#This Row],[COD ETPA]],tbEtapas[],2,FALSE),"")</f>
        <v/>
      </c>
      <c r="E3631" t="str">
        <f>IFERROR(VLOOKUP(tbEscolas[[#This Row],[COD ETPA]],tbEtapas[],3,FALSE),"")</f>
        <v/>
      </c>
    </row>
    <row r="3632" spans="1:5" x14ac:dyDescent="0.25">
      <c r="A3632" t="str" cm="1">
        <f t="array" ref="A3632">IFERROR(INDEX(tbNucleo[ESCOLA],ROUNDUP(ROW(A3631)/TotalEtapas,0)),"")</f>
        <v/>
      </c>
      <c r="D3632" t="str">
        <f>IFERROR(VLOOKUP(tbEscolas[[#This Row],[COD ETPA]],tbEtapas[],2,FALSE),"")</f>
        <v/>
      </c>
      <c r="E3632" t="str">
        <f>IFERROR(VLOOKUP(tbEscolas[[#This Row],[COD ETPA]],tbEtapas[],3,FALSE),"")</f>
        <v/>
      </c>
    </row>
    <row r="3633" spans="1:5" x14ac:dyDescent="0.25">
      <c r="A3633" t="str" cm="1">
        <f t="array" ref="A3633">IFERROR(INDEX(tbNucleo[ESCOLA],ROUNDUP(ROW(A3632)/TotalEtapas,0)),"")</f>
        <v/>
      </c>
      <c r="D3633" t="str">
        <f>IFERROR(VLOOKUP(tbEscolas[[#This Row],[COD ETPA]],tbEtapas[],2,FALSE),"")</f>
        <v/>
      </c>
      <c r="E3633" t="str">
        <f>IFERROR(VLOOKUP(tbEscolas[[#This Row],[COD ETPA]],tbEtapas[],3,FALSE),"")</f>
        <v/>
      </c>
    </row>
    <row r="3634" spans="1:5" x14ac:dyDescent="0.25">
      <c r="A3634" t="str" cm="1">
        <f t="array" ref="A3634">IFERROR(INDEX(tbNucleo[ESCOLA],ROUNDUP(ROW(A3633)/TotalEtapas,0)),"")</f>
        <v/>
      </c>
      <c r="D3634" t="str">
        <f>IFERROR(VLOOKUP(tbEscolas[[#This Row],[COD ETPA]],tbEtapas[],2,FALSE),"")</f>
        <v/>
      </c>
      <c r="E3634" t="str">
        <f>IFERROR(VLOOKUP(tbEscolas[[#This Row],[COD ETPA]],tbEtapas[],3,FALSE),"")</f>
        <v/>
      </c>
    </row>
    <row r="3635" spans="1:5" x14ac:dyDescent="0.25">
      <c r="A3635" t="str" cm="1">
        <f t="array" ref="A3635">IFERROR(INDEX(tbNucleo[ESCOLA],ROUNDUP(ROW(A3634)/TotalEtapas,0)),"")</f>
        <v/>
      </c>
      <c r="D3635" t="str">
        <f>IFERROR(VLOOKUP(tbEscolas[[#This Row],[COD ETPA]],tbEtapas[],2,FALSE),"")</f>
        <v/>
      </c>
      <c r="E3635" t="str">
        <f>IFERROR(VLOOKUP(tbEscolas[[#This Row],[COD ETPA]],tbEtapas[],3,FALSE),"")</f>
        <v/>
      </c>
    </row>
    <row r="3636" spans="1:5" x14ac:dyDescent="0.25">
      <c r="A3636" t="str" cm="1">
        <f t="array" ref="A3636">IFERROR(INDEX(tbNucleo[ESCOLA],ROUNDUP(ROW(A3635)/TotalEtapas,0)),"")</f>
        <v/>
      </c>
      <c r="D3636" t="str">
        <f>IFERROR(VLOOKUP(tbEscolas[[#This Row],[COD ETPA]],tbEtapas[],2,FALSE),"")</f>
        <v/>
      </c>
      <c r="E3636" t="str">
        <f>IFERROR(VLOOKUP(tbEscolas[[#This Row],[COD ETPA]],tbEtapas[],3,FALSE),"")</f>
        <v/>
      </c>
    </row>
    <row r="3637" spans="1:5" x14ac:dyDescent="0.25">
      <c r="A3637" t="str" cm="1">
        <f t="array" ref="A3637">IFERROR(INDEX(tbNucleo[ESCOLA],ROUNDUP(ROW(A3636)/TotalEtapas,0)),"")</f>
        <v/>
      </c>
      <c r="D3637" t="str">
        <f>IFERROR(VLOOKUP(tbEscolas[[#This Row],[COD ETPA]],tbEtapas[],2,FALSE),"")</f>
        <v/>
      </c>
      <c r="E3637" t="str">
        <f>IFERROR(VLOOKUP(tbEscolas[[#This Row],[COD ETPA]],tbEtapas[],3,FALSE),"")</f>
        <v/>
      </c>
    </row>
    <row r="3638" spans="1:5" x14ac:dyDescent="0.25">
      <c r="A3638" t="str" cm="1">
        <f t="array" ref="A3638">IFERROR(INDEX(tbNucleo[ESCOLA],ROUNDUP(ROW(A3637)/TotalEtapas,0)),"")</f>
        <v/>
      </c>
      <c r="D3638" t="str">
        <f>IFERROR(VLOOKUP(tbEscolas[[#This Row],[COD ETPA]],tbEtapas[],2,FALSE),"")</f>
        <v/>
      </c>
      <c r="E3638" t="str">
        <f>IFERROR(VLOOKUP(tbEscolas[[#This Row],[COD ETPA]],tbEtapas[],3,FALSE),"")</f>
        <v/>
      </c>
    </row>
    <row r="3639" spans="1:5" x14ac:dyDescent="0.25">
      <c r="A3639" t="str" cm="1">
        <f t="array" ref="A3639">IFERROR(INDEX(tbNucleo[ESCOLA],ROUNDUP(ROW(A3638)/TotalEtapas,0)),"")</f>
        <v/>
      </c>
      <c r="D3639" t="str">
        <f>IFERROR(VLOOKUP(tbEscolas[[#This Row],[COD ETPA]],tbEtapas[],2,FALSE),"")</f>
        <v/>
      </c>
      <c r="E3639" t="str">
        <f>IFERROR(VLOOKUP(tbEscolas[[#This Row],[COD ETPA]],tbEtapas[],3,FALSE),"")</f>
        <v/>
      </c>
    </row>
    <row r="3640" spans="1:5" x14ac:dyDescent="0.25">
      <c r="A3640" t="str" cm="1">
        <f t="array" ref="A3640">IFERROR(INDEX(tbNucleo[ESCOLA],ROUNDUP(ROW(A3639)/TotalEtapas,0)),"")</f>
        <v/>
      </c>
      <c r="D3640" t="str">
        <f>IFERROR(VLOOKUP(tbEscolas[[#This Row],[COD ETPA]],tbEtapas[],2,FALSE),"")</f>
        <v/>
      </c>
      <c r="E3640" t="str">
        <f>IFERROR(VLOOKUP(tbEscolas[[#This Row],[COD ETPA]],tbEtapas[],3,FALSE),"")</f>
        <v/>
      </c>
    </row>
    <row r="3641" spans="1:5" x14ac:dyDescent="0.25">
      <c r="A3641" t="str" cm="1">
        <f t="array" ref="A3641">IFERROR(INDEX(tbNucleo[ESCOLA],ROUNDUP(ROW(A3640)/TotalEtapas,0)),"")</f>
        <v/>
      </c>
      <c r="D3641" t="str">
        <f>IFERROR(VLOOKUP(tbEscolas[[#This Row],[COD ETPA]],tbEtapas[],2,FALSE),"")</f>
        <v/>
      </c>
      <c r="E3641" t="str">
        <f>IFERROR(VLOOKUP(tbEscolas[[#This Row],[COD ETPA]],tbEtapas[],3,FALSE),"")</f>
        <v/>
      </c>
    </row>
    <row r="3642" spans="1:5" x14ac:dyDescent="0.25">
      <c r="A3642" t="str" cm="1">
        <f t="array" ref="A3642">IFERROR(INDEX(tbNucleo[ESCOLA],ROUNDUP(ROW(A3641)/TotalEtapas,0)),"")</f>
        <v/>
      </c>
      <c r="D3642" t="str">
        <f>IFERROR(VLOOKUP(tbEscolas[[#This Row],[COD ETPA]],tbEtapas[],2,FALSE),"")</f>
        <v/>
      </c>
      <c r="E3642" t="str">
        <f>IFERROR(VLOOKUP(tbEscolas[[#This Row],[COD ETPA]],tbEtapas[],3,FALSE),"")</f>
        <v/>
      </c>
    </row>
    <row r="3643" spans="1:5" x14ac:dyDescent="0.25">
      <c r="A3643" t="str" cm="1">
        <f t="array" ref="A3643">IFERROR(INDEX(tbNucleo[ESCOLA],ROUNDUP(ROW(A3642)/TotalEtapas,0)),"")</f>
        <v/>
      </c>
      <c r="D3643" t="str">
        <f>IFERROR(VLOOKUP(tbEscolas[[#This Row],[COD ETPA]],tbEtapas[],2,FALSE),"")</f>
        <v/>
      </c>
      <c r="E3643" t="str">
        <f>IFERROR(VLOOKUP(tbEscolas[[#This Row],[COD ETPA]],tbEtapas[],3,FALSE),"")</f>
        <v/>
      </c>
    </row>
    <row r="3644" spans="1:5" x14ac:dyDescent="0.25">
      <c r="A3644" t="str" cm="1">
        <f t="array" ref="A3644">IFERROR(INDEX(tbNucleo[ESCOLA],ROUNDUP(ROW(A3643)/TotalEtapas,0)),"")</f>
        <v/>
      </c>
      <c r="D3644" t="str">
        <f>IFERROR(VLOOKUP(tbEscolas[[#This Row],[COD ETPA]],tbEtapas[],2,FALSE),"")</f>
        <v/>
      </c>
      <c r="E3644" t="str">
        <f>IFERROR(VLOOKUP(tbEscolas[[#This Row],[COD ETPA]],tbEtapas[],3,FALSE),"")</f>
        <v/>
      </c>
    </row>
    <row r="3645" spans="1:5" x14ac:dyDescent="0.25">
      <c r="A3645" t="str" cm="1">
        <f t="array" ref="A3645">IFERROR(INDEX(tbNucleo[ESCOLA],ROUNDUP(ROW(A3644)/TotalEtapas,0)),"")</f>
        <v/>
      </c>
      <c r="D3645" t="str">
        <f>IFERROR(VLOOKUP(tbEscolas[[#This Row],[COD ETPA]],tbEtapas[],2,FALSE),"")</f>
        <v/>
      </c>
      <c r="E3645" t="str">
        <f>IFERROR(VLOOKUP(tbEscolas[[#This Row],[COD ETPA]],tbEtapas[],3,FALSE),"")</f>
        <v/>
      </c>
    </row>
    <row r="3646" spans="1:5" x14ac:dyDescent="0.25">
      <c r="A3646" t="str" cm="1">
        <f t="array" ref="A3646">IFERROR(INDEX(tbNucleo[ESCOLA],ROUNDUP(ROW(A3645)/TotalEtapas,0)),"")</f>
        <v/>
      </c>
      <c r="D3646" t="str">
        <f>IFERROR(VLOOKUP(tbEscolas[[#This Row],[COD ETPA]],tbEtapas[],2,FALSE),"")</f>
        <v/>
      </c>
      <c r="E3646" t="str">
        <f>IFERROR(VLOOKUP(tbEscolas[[#This Row],[COD ETPA]],tbEtapas[],3,FALSE),"")</f>
        <v/>
      </c>
    </row>
    <row r="3647" spans="1:5" x14ac:dyDescent="0.25">
      <c r="A3647" t="str" cm="1">
        <f t="array" ref="A3647">IFERROR(INDEX(tbNucleo[ESCOLA],ROUNDUP(ROW(A3646)/TotalEtapas,0)),"")</f>
        <v/>
      </c>
      <c r="D3647" t="str">
        <f>IFERROR(VLOOKUP(tbEscolas[[#This Row],[COD ETPA]],tbEtapas[],2,FALSE),"")</f>
        <v/>
      </c>
      <c r="E3647" t="str">
        <f>IFERROR(VLOOKUP(tbEscolas[[#This Row],[COD ETPA]],tbEtapas[],3,FALSE),"")</f>
        <v/>
      </c>
    </row>
    <row r="3648" spans="1:5" x14ac:dyDescent="0.25">
      <c r="A3648" t="str" cm="1">
        <f t="array" ref="A3648">IFERROR(INDEX(tbNucleo[ESCOLA],ROUNDUP(ROW(A3647)/TotalEtapas,0)),"")</f>
        <v/>
      </c>
      <c r="D3648" t="str">
        <f>IFERROR(VLOOKUP(tbEscolas[[#This Row],[COD ETPA]],tbEtapas[],2,FALSE),"")</f>
        <v/>
      </c>
      <c r="E3648" t="str">
        <f>IFERROR(VLOOKUP(tbEscolas[[#This Row],[COD ETPA]],tbEtapas[],3,FALSE),"")</f>
        <v/>
      </c>
    </row>
    <row r="3649" spans="1:5" x14ac:dyDescent="0.25">
      <c r="A3649" t="str" cm="1">
        <f t="array" ref="A3649">IFERROR(INDEX(tbNucleo[ESCOLA],ROUNDUP(ROW(A3648)/TotalEtapas,0)),"")</f>
        <v/>
      </c>
      <c r="D3649" t="str">
        <f>IFERROR(VLOOKUP(tbEscolas[[#This Row],[COD ETPA]],tbEtapas[],2,FALSE),"")</f>
        <v/>
      </c>
      <c r="E3649" t="str">
        <f>IFERROR(VLOOKUP(tbEscolas[[#This Row],[COD ETPA]],tbEtapas[],3,FALSE),"")</f>
        <v/>
      </c>
    </row>
    <row r="3650" spans="1:5" x14ac:dyDescent="0.25">
      <c r="A3650" t="str" cm="1">
        <f t="array" ref="A3650">IFERROR(INDEX(tbNucleo[ESCOLA],ROUNDUP(ROW(A3649)/TotalEtapas,0)),"")</f>
        <v/>
      </c>
      <c r="D3650" t="str">
        <f>IFERROR(VLOOKUP(tbEscolas[[#This Row],[COD ETPA]],tbEtapas[],2,FALSE),"")</f>
        <v/>
      </c>
      <c r="E3650" t="str">
        <f>IFERROR(VLOOKUP(tbEscolas[[#This Row],[COD ETPA]],tbEtapas[],3,FALSE),"")</f>
        <v/>
      </c>
    </row>
    <row r="3651" spans="1:5" x14ac:dyDescent="0.25">
      <c r="A3651" t="str" cm="1">
        <f t="array" ref="A3651">IFERROR(INDEX(tbNucleo[ESCOLA],ROUNDUP(ROW(A3650)/TotalEtapas,0)),"")</f>
        <v/>
      </c>
      <c r="D3651" t="str">
        <f>IFERROR(VLOOKUP(tbEscolas[[#This Row],[COD ETPA]],tbEtapas[],2,FALSE),"")</f>
        <v/>
      </c>
      <c r="E3651" t="str">
        <f>IFERROR(VLOOKUP(tbEscolas[[#This Row],[COD ETPA]],tbEtapas[],3,FALSE),"")</f>
        <v/>
      </c>
    </row>
    <row r="3652" spans="1:5" x14ac:dyDescent="0.25">
      <c r="A3652" t="str" cm="1">
        <f t="array" ref="A3652">IFERROR(INDEX(tbNucleo[ESCOLA],ROUNDUP(ROW(A3651)/TotalEtapas,0)),"")</f>
        <v/>
      </c>
      <c r="D3652" t="str">
        <f>IFERROR(VLOOKUP(tbEscolas[[#This Row],[COD ETPA]],tbEtapas[],2,FALSE),"")</f>
        <v/>
      </c>
      <c r="E3652" t="str">
        <f>IFERROR(VLOOKUP(tbEscolas[[#This Row],[COD ETPA]],tbEtapas[],3,FALSE),"")</f>
        <v/>
      </c>
    </row>
    <row r="3653" spans="1:5" x14ac:dyDescent="0.25">
      <c r="A3653" t="str" cm="1">
        <f t="array" ref="A3653">IFERROR(INDEX(tbNucleo[ESCOLA],ROUNDUP(ROW(A3652)/TotalEtapas,0)),"")</f>
        <v/>
      </c>
      <c r="D3653" t="str">
        <f>IFERROR(VLOOKUP(tbEscolas[[#This Row],[COD ETPA]],tbEtapas[],2,FALSE),"")</f>
        <v/>
      </c>
      <c r="E3653" t="str">
        <f>IFERROR(VLOOKUP(tbEscolas[[#This Row],[COD ETPA]],tbEtapas[],3,FALSE),"")</f>
        <v/>
      </c>
    </row>
    <row r="3654" spans="1:5" x14ac:dyDescent="0.25">
      <c r="A3654" t="str" cm="1">
        <f t="array" ref="A3654">IFERROR(INDEX(tbNucleo[ESCOLA],ROUNDUP(ROW(A3653)/TotalEtapas,0)),"")</f>
        <v/>
      </c>
      <c r="D3654" t="str">
        <f>IFERROR(VLOOKUP(tbEscolas[[#This Row],[COD ETPA]],tbEtapas[],2,FALSE),"")</f>
        <v/>
      </c>
      <c r="E3654" t="str">
        <f>IFERROR(VLOOKUP(tbEscolas[[#This Row],[COD ETPA]],tbEtapas[],3,FALSE),"")</f>
        <v/>
      </c>
    </row>
    <row r="3655" spans="1:5" x14ac:dyDescent="0.25">
      <c r="A3655" t="str" cm="1">
        <f t="array" ref="A3655">IFERROR(INDEX(tbNucleo[ESCOLA],ROUNDUP(ROW(A3654)/TotalEtapas,0)),"")</f>
        <v/>
      </c>
      <c r="D3655" t="str">
        <f>IFERROR(VLOOKUP(tbEscolas[[#This Row],[COD ETPA]],tbEtapas[],2,FALSE),"")</f>
        <v/>
      </c>
      <c r="E3655" t="str">
        <f>IFERROR(VLOOKUP(tbEscolas[[#This Row],[COD ETPA]],tbEtapas[],3,FALSE),"")</f>
        <v/>
      </c>
    </row>
    <row r="3656" spans="1:5" x14ac:dyDescent="0.25">
      <c r="A3656" t="str" cm="1">
        <f t="array" ref="A3656">IFERROR(INDEX(tbNucleo[ESCOLA],ROUNDUP(ROW(A3655)/TotalEtapas,0)),"")</f>
        <v/>
      </c>
      <c r="D3656" t="str">
        <f>IFERROR(VLOOKUP(tbEscolas[[#This Row],[COD ETPA]],tbEtapas[],2,FALSE),"")</f>
        <v/>
      </c>
      <c r="E3656" t="str">
        <f>IFERROR(VLOOKUP(tbEscolas[[#This Row],[COD ETPA]],tbEtapas[],3,FALSE),"")</f>
        <v/>
      </c>
    </row>
    <row r="3657" spans="1:5" x14ac:dyDescent="0.25">
      <c r="A3657" t="str" cm="1">
        <f t="array" ref="A3657">IFERROR(INDEX(tbNucleo[ESCOLA],ROUNDUP(ROW(A3656)/TotalEtapas,0)),"")</f>
        <v/>
      </c>
      <c r="D3657" t="str">
        <f>IFERROR(VLOOKUP(tbEscolas[[#This Row],[COD ETPA]],tbEtapas[],2,FALSE),"")</f>
        <v/>
      </c>
      <c r="E3657" t="str">
        <f>IFERROR(VLOOKUP(tbEscolas[[#This Row],[COD ETPA]],tbEtapas[],3,FALSE),"")</f>
        <v/>
      </c>
    </row>
    <row r="3658" spans="1:5" x14ac:dyDescent="0.25">
      <c r="A3658" t="str" cm="1">
        <f t="array" ref="A3658">IFERROR(INDEX(tbNucleo[ESCOLA],ROUNDUP(ROW(A3657)/TotalEtapas,0)),"")</f>
        <v/>
      </c>
      <c r="D3658" t="str">
        <f>IFERROR(VLOOKUP(tbEscolas[[#This Row],[COD ETPA]],tbEtapas[],2,FALSE),"")</f>
        <v/>
      </c>
      <c r="E3658" t="str">
        <f>IFERROR(VLOOKUP(tbEscolas[[#This Row],[COD ETPA]],tbEtapas[],3,FALSE),"")</f>
        <v/>
      </c>
    </row>
    <row r="3659" spans="1:5" x14ac:dyDescent="0.25">
      <c r="A3659" t="str" cm="1">
        <f t="array" ref="A3659">IFERROR(INDEX(tbNucleo[ESCOLA],ROUNDUP(ROW(A3658)/TotalEtapas,0)),"")</f>
        <v/>
      </c>
      <c r="D3659" t="str">
        <f>IFERROR(VLOOKUP(tbEscolas[[#This Row],[COD ETPA]],tbEtapas[],2,FALSE),"")</f>
        <v/>
      </c>
      <c r="E3659" t="str">
        <f>IFERROR(VLOOKUP(tbEscolas[[#This Row],[COD ETPA]],tbEtapas[],3,FALSE),"")</f>
        <v/>
      </c>
    </row>
    <row r="3660" spans="1:5" x14ac:dyDescent="0.25">
      <c r="A3660" t="str" cm="1">
        <f t="array" ref="A3660">IFERROR(INDEX(tbNucleo[ESCOLA],ROUNDUP(ROW(A3659)/TotalEtapas,0)),"")</f>
        <v/>
      </c>
      <c r="D3660" t="str">
        <f>IFERROR(VLOOKUP(tbEscolas[[#This Row],[COD ETPA]],tbEtapas[],2,FALSE),"")</f>
        <v/>
      </c>
      <c r="E3660" t="str">
        <f>IFERROR(VLOOKUP(tbEscolas[[#This Row],[COD ETPA]],tbEtapas[],3,FALSE),"")</f>
        <v/>
      </c>
    </row>
    <row r="3661" spans="1:5" x14ac:dyDescent="0.25">
      <c r="A3661" t="str" cm="1">
        <f t="array" ref="A3661">IFERROR(INDEX(tbNucleo[ESCOLA],ROUNDUP(ROW(A3660)/TotalEtapas,0)),"")</f>
        <v/>
      </c>
      <c r="D3661" t="str">
        <f>IFERROR(VLOOKUP(tbEscolas[[#This Row],[COD ETPA]],tbEtapas[],2,FALSE),"")</f>
        <v/>
      </c>
      <c r="E3661" t="str">
        <f>IFERROR(VLOOKUP(tbEscolas[[#This Row],[COD ETPA]],tbEtapas[],3,FALSE),"")</f>
        <v/>
      </c>
    </row>
    <row r="3662" spans="1:5" x14ac:dyDescent="0.25">
      <c r="A3662" t="str" cm="1">
        <f t="array" ref="A3662">IFERROR(INDEX(tbNucleo[ESCOLA],ROUNDUP(ROW(A3661)/TotalEtapas,0)),"")</f>
        <v/>
      </c>
      <c r="D3662" t="str">
        <f>IFERROR(VLOOKUP(tbEscolas[[#This Row],[COD ETPA]],tbEtapas[],2,FALSE),"")</f>
        <v/>
      </c>
      <c r="E3662" t="str">
        <f>IFERROR(VLOOKUP(tbEscolas[[#This Row],[COD ETPA]],tbEtapas[],3,FALSE),"")</f>
        <v/>
      </c>
    </row>
    <row r="3663" spans="1:5" x14ac:dyDescent="0.25">
      <c r="A3663" t="str" cm="1">
        <f t="array" ref="A3663">IFERROR(INDEX(tbNucleo[ESCOLA],ROUNDUP(ROW(A3662)/TotalEtapas,0)),"")</f>
        <v/>
      </c>
      <c r="D3663" t="str">
        <f>IFERROR(VLOOKUP(tbEscolas[[#This Row],[COD ETPA]],tbEtapas[],2,FALSE),"")</f>
        <v/>
      </c>
      <c r="E3663" t="str">
        <f>IFERROR(VLOOKUP(tbEscolas[[#This Row],[COD ETPA]],tbEtapas[],3,FALSE),"")</f>
        <v/>
      </c>
    </row>
    <row r="3664" spans="1:5" x14ac:dyDescent="0.25">
      <c r="A3664" t="str" cm="1">
        <f t="array" ref="A3664">IFERROR(INDEX(tbNucleo[ESCOLA],ROUNDUP(ROW(A3663)/TotalEtapas,0)),"")</f>
        <v/>
      </c>
      <c r="D3664" t="str">
        <f>IFERROR(VLOOKUP(tbEscolas[[#This Row],[COD ETPA]],tbEtapas[],2,FALSE),"")</f>
        <v/>
      </c>
      <c r="E3664" t="str">
        <f>IFERROR(VLOOKUP(tbEscolas[[#This Row],[COD ETPA]],tbEtapas[],3,FALSE),"")</f>
        <v/>
      </c>
    </row>
    <row r="3665" spans="1:5" x14ac:dyDescent="0.25">
      <c r="A3665" t="str" cm="1">
        <f t="array" ref="A3665">IFERROR(INDEX(tbNucleo[ESCOLA],ROUNDUP(ROW(A3664)/TotalEtapas,0)),"")</f>
        <v/>
      </c>
      <c r="D3665" t="str">
        <f>IFERROR(VLOOKUP(tbEscolas[[#This Row],[COD ETPA]],tbEtapas[],2,FALSE),"")</f>
        <v/>
      </c>
      <c r="E3665" t="str">
        <f>IFERROR(VLOOKUP(tbEscolas[[#This Row],[COD ETPA]],tbEtapas[],3,FALSE),"")</f>
        <v/>
      </c>
    </row>
    <row r="3666" spans="1:5" x14ac:dyDescent="0.25">
      <c r="A3666" t="str" cm="1">
        <f t="array" ref="A3666">IFERROR(INDEX(tbNucleo[ESCOLA],ROUNDUP(ROW(A3665)/TotalEtapas,0)),"")</f>
        <v/>
      </c>
      <c r="D3666" t="str">
        <f>IFERROR(VLOOKUP(tbEscolas[[#This Row],[COD ETPA]],tbEtapas[],2,FALSE),"")</f>
        <v/>
      </c>
      <c r="E3666" t="str">
        <f>IFERROR(VLOOKUP(tbEscolas[[#This Row],[COD ETPA]],tbEtapas[],3,FALSE),"")</f>
        <v/>
      </c>
    </row>
    <row r="3667" spans="1:5" x14ac:dyDescent="0.25">
      <c r="A3667" t="str" cm="1">
        <f t="array" ref="A3667">IFERROR(INDEX(tbNucleo[ESCOLA],ROUNDUP(ROW(A3666)/TotalEtapas,0)),"")</f>
        <v/>
      </c>
      <c r="D3667" t="str">
        <f>IFERROR(VLOOKUP(tbEscolas[[#This Row],[COD ETPA]],tbEtapas[],2,FALSE),"")</f>
        <v/>
      </c>
      <c r="E3667" t="str">
        <f>IFERROR(VLOOKUP(tbEscolas[[#This Row],[COD ETPA]],tbEtapas[],3,FALSE),"")</f>
        <v/>
      </c>
    </row>
    <row r="3668" spans="1:5" x14ac:dyDescent="0.25">
      <c r="A3668" t="str" cm="1">
        <f t="array" ref="A3668">IFERROR(INDEX(tbNucleo[ESCOLA],ROUNDUP(ROW(A3667)/TotalEtapas,0)),"")</f>
        <v/>
      </c>
      <c r="D3668" t="str">
        <f>IFERROR(VLOOKUP(tbEscolas[[#This Row],[COD ETPA]],tbEtapas[],2,FALSE),"")</f>
        <v/>
      </c>
      <c r="E3668" t="str">
        <f>IFERROR(VLOOKUP(tbEscolas[[#This Row],[COD ETPA]],tbEtapas[],3,FALSE),"")</f>
        <v/>
      </c>
    </row>
    <row r="3669" spans="1:5" x14ac:dyDescent="0.25">
      <c r="A3669" t="str" cm="1">
        <f t="array" ref="A3669">IFERROR(INDEX(tbNucleo[ESCOLA],ROUNDUP(ROW(A3668)/TotalEtapas,0)),"")</f>
        <v/>
      </c>
      <c r="D3669" t="str">
        <f>IFERROR(VLOOKUP(tbEscolas[[#This Row],[COD ETPA]],tbEtapas[],2,FALSE),"")</f>
        <v/>
      </c>
      <c r="E3669" t="str">
        <f>IFERROR(VLOOKUP(tbEscolas[[#This Row],[COD ETPA]],tbEtapas[],3,FALSE),"")</f>
        <v/>
      </c>
    </row>
    <row r="3670" spans="1:5" x14ac:dyDescent="0.25">
      <c r="A3670" t="str" cm="1">
        <f t="array" ref="A3670">IFERROR(INDEX(tbNucleo[ESCOLA],ROUNDUP(ROW(A3669)/TotalEtapas,0)),"")</f>
        <v/>
      </c>
      <c r="D3670" t="str">
        <f>IFERROR(VLOOKUP(tbEscolas[[#This Row],[COD ETPA]],tbEtapas[],2,FALSE),"")</f>
        <v/>
      </c>
      <c r="E3670" t="str">
        <f>IFERROR(VLOOKUP(tbEscolas[[#This Row],[COD ETPA]],tbEtapas[],3,FALSE),"")</f>
        <v/>
      </c>
    </row>
    <row r="3671" spans="1:5" x14ac:dyDescent="0.25">
      <c r="A3671" t="str" cm="1">
        <f t="array" ref="A3671">IFERROR(INDEX(tbNucleo[ESCOLA],ROUNDUP(ROW(A3670)/TotalEtapas,0)),"")</f>
        <v/>
      </c>
      <c r="D3671" t="str">
        <f>IFERROR(VLOOKUP(tbEscolas[[#This Row],[COD ETPA]],tbEtapas[],2,FALSE),"")</f>
        <v/>
      </c>
      <c r="E3671" t="str">
        <f>IFERROR(VLOOKUP(tbEscolas[[#This Row],[COD ETPA]],tbEtapas[],3,FALSE),"")</f>
        <v/>
      </c>
    </row>
    <row r="3672" spans="1:5" x14ac:dyDescent="0.25">
      <c r="A3672" t="str" cm="1">
        <f t="array" ref="A3672">IFERROR(INDEX(tbNucleo[ESCOLA],ROUNDUP(ROW(A3671)/TotalEtapas,0)),"")</f>
        <v/>
      </c>
      <c r="D3672" t="str">
        <f>IFERROR(VLOOKUP(tbEscolas[[#This Row],[COD ETPA]],tbEtapas[],2,FALSE),"")</f>
        <v/>
      </c>
      <c r="E3672" t="str">
        <f>IFERROR(VLOOKUP(tbEscolas[[#This Row],[COD ETPA]],tbEtapas[],3,FALSE),"")</f>
        <v/>
      </c>
    </row>
    <row r="3673" spans="1:5" x14ac:dyDescent="0.25">
      <c r="A3673" t="str" cm="1">
        <f t="array" ref="A3673">IFERROR(INDEX(tbNucleo[ESCOLA],ROUNDUP(ROW(A3672)/TotalEtapas,0)),"")</f>
        <v/>
      </c>
      <c r="D3673" t="str">
        <f>IFERROR(VLOOKUP(tbEscolas[[#This Row],[COD ETPA]],tbEtapas[],2,FALSE),"")</f>
        <v/>
      </c>
      <c r="E3673" t="str">
        <f>IFERROR(VLOOKUP(tbEscolas[[#This Row],[COD ETPA]],tbEtapas[],3,FALSE),"")</f>
        <v/>
      </c>
    </row>
    <row r="3674" spans="1:5" x14ac:dyDescent="0.25">
      <c r="A3674" t="str" cm="1">
        <f t="array" ref="A3674">IFERROR(INDEX(tbNucleo[ESCOLA],ROUNDUP(ROW(A3673)/TotalEtapas,0)),"")</f>
        <v/>
      </c>
      <c r="D3674" t="str">
        <f>IFERROR(VLOOKUP(tbEscolas[[#This Row],[COD ETPA]],tbEtapas[],2,FALSE),"")</f>
        <v/>
      </c>
      <c r="E3674" t="str">
        <f>IFERROR(VLOOKUP(tbEscolas[[#This Row],[COD ETPA]],tbEtapas[],3,FALSE),"")</f>
        <v/>
      </c>
    </row>
    <row r="3675" spans="1:5" x14ac:dyDescent="0.25">
      <c r="A3675" t="str" cm="1">
        <f t="array" ref="A3675">IFERROR(INDEX(tbNucleo[ESCOLA],ROUNDUP(ROW(A3674)/TotalEtapas,0)),"")</f>
        <v/>
      </c>
      <c r="D3675" t="str">
        <f>IFERROR(VLOOKUP(tbEscolas[[#This Row],[COD ETPA]],tbEtapas[],2,FALSE),"")</f>
        <v/>
      </c>
      <c r="E3675" t="str">
        <f>IFERROR(VLOOKUP(tbEscolas[[#This Row],[COD ETPA]],tbEtapas[],3,FALSE),"")</f>
        <v/>
      </c>
    </row>
    <row r="3676" spans="1:5" x14ac:dyDescent="0.25">
      <c r="A3676" t="str" cm="1">
        <f t="array" ref="A3676">IFERROR(INDEX(tbNucleo[ESCOLA],ROUNDUP(ROW(A3675)/TotalEtapas,0)),"")</f>
        <v/>
      </c>
      <c r="D3676" t="str">
        <f>IFERROR(VLOOKUP(tbEscolas[[#This Row],[COD ETPA]],tbEtapas[],2,FALSE),"")</f>
        <v/>
      </c>
      <c r="E3676" t="str">
        <f>IFERROR(VLOOKUP(tbEscolas[[#This Row],[COD ETPA]],tbEtapas[],3,FALSE),"")</f>
        <v/>
      </c>
    </row>
    <row r="3677" spans="1:5" x14ac:dyDescent="0.25">
      <c r="A3677" t="str" cm="1">
        <f t="array" ref="A3677">IFERROR(INDEX(tbNucleo[ESCOLA],ROUNDUP(ROW(A3676)/TotalEtapas,0)),"")</f>
        <v/>
      </c>
      <c r="D3677" t="str">
        <f>IFERROR(VLOOKUP(tbEscolas[[#This Row],[COD ETPA]],tbEtapas[],2,FALSE),"")</f>
        <v/>
      </c>
      <c r="E3677" t="str">
        <f>IFERROR(VLOOKUP(tbEscolas[[#This Row],[COD ETPA]],tbEtapas[],3,FALSE),"")</f>
        <v/>
      </c>
    </row>
    <row r="3678" spans="1:5" x14ac:dyDescent="0.25">
      <c r="A3678" t="str" cm="1">
        <f t="array" ref="A3678">IFERROR(INDEX(tbNucleo[ESCOLA],ROUNDUP(ROW(A3677)/TotalEtapas,0)),"")</f>
        <v/>
      </c>
      <c r="D3678" t="str">
        <f>IFERROR(VLOOKUP(tbEscolas[[#This Row],[COD ETPA]],tbEtapas[],2,FALSE),"")</f>
        <v/>
      </c>
      <c r="E3678" t="str">
        <f>IFERROR(VLOOKUP(tbEscolas[[#This Row],[COD ETPA]],tbEtapas[],3,FALSE),"")</f>
        <v/>
      </c>
    </row>
    <row r="3679" spans="1:5" x14ac:dyDescent="0.25">
      <c r="A3679" t="str" cm="1">
        <f t="array" ref="A3679">IFERROR(INDEX(tbNucleo[ESCOLA],ROUNDUP(ROW(A3678)/TotalEtapas,0)),"")</f>
        <v/>
      </c>
      <c r="D3679" t="str">
        <f>IFERROR(VLOOKUP(tbEscolas[[#This Row],[COD ETPA]],tbEtapas[],2,FALSE),"")</f>
        <v/>
      </c>
      <c r="E3679" t="str">
        <f>IFERROR(VLOOKUP(tbEscolas[[#This Row],[COD ETPA]],tbEtapas[],3,FALSE),"")</f>
        <v/>
      </c>
    </row>
    <row r="3680" spans="1:5" x14ac:dyDescent="0.25">
      <c r="A3680" t="str" cm="1">
        <f t="array" ref="A3680">IFERROR(INDEX(tbNucleo[ESCOLA],ROUNDUP(ROW(A3679)/TotalEtapas,0)),"")</f>
        <v/>
      </c>
      <c r="D3680" t="str">
        <f>IFERROR(VLOOKUP(tbEscolas[[#This Row],[COD ETPA]],tbEtapas[],2,FALSE),"")</f>
        <v/>
      </c>
      <c r="E3680" t="str">
        <f>IFERROR(VLOOKUP(tbEscolas[[#This Row],[COD ETPA]],tbEtapas[],3,FALSE),"")</f>
        <v/>
      </c>
    </row>
    <row r="3681" spans="1:5" x14ac:dyDescent="0.25">
      <c r="A3681" t="str" cm="1">
        <f t="array" ref="A3681">IFERROR(INDEX(tbNucleo[ESCOLA],ROUNDUP(ROW(A3680)/TotalEtapas,0)),"")</f>
        <v/>
      </c>
      <c r="D3681" t="str">
        <f>IFERROR(VLOOKUP(tbEscolas[[#This Row],[COD ETPA]],tbEtapas[],2,FALSE),"")</f>
        <v/>
      </c>
      <c r="E3681" t="str">
        <f>IFERROR(VLOOKUP(tbEscolas[[#This Row],[COD ETPA]],tbEtapas[],3,FALSE),"")</f>
        <v/>
      </c>
    </row>
    <row r="3682" spans="1:5" x14ac:dyDescent="0.25">
      <c r="A3682" t="str" cm="1">
        <f t="array" ref="A3682">IFERROR(INDEX(tbNucleo[ESCOLA],ROUNDUP(ROW(A3681)/TotalEtapas,0)),"")</f>
        <v/>
      </c>
      <c r="D3682" t="str">
        <f>IFERROR(VLOOKUP(tbEscolas[[#This Row],[COD ETPA]],tbEtapas[],2,FALSE),"")</f>
        <v/>
      </c>
      <c r="E3682" t="str">
        <f>IFERROR(VLOOKUP(tbEscolas[[#This Row],[COD ETPA]],tbEtapas[],3,FALSE),"")</f>
        <v/>
      </c>
    </row>
    <row r="3683" spans="1:5" x14ac:dyDescent="0.25">
      <c r="A3683" t="str" cm="1">
        <f t="array" ref="A3683">IFERROR(INDEX(tbNucleo[ESCOLA],ROUNDUP(ROW(A3682)/TotalEtapas,0)),"")</f>
        <v/>
      </c>
      <c r="D3683" t="str">
        <f>IFERROR(VLOOKUP(tbEscolas[[#This Row],[COD ETPA]],tbEtapas[],2,FALSE),"")</f>
        <v/>
      </c>
      <c r="E3683" t="str">
        <f>IFERROR(VLOOKUP(tbEscolas[[#This Row],[COD ETPA]],tbEtapas[],3,FALSE),"")</f>
        <v/>
      </c>
    </row>
    <row r="3684" spans="1:5" x14ac:dyDescent="0.25">
      <c r="A3684" t="str" cm="1">
        <f t="array" ref="A3684">IFERROR(INDEX(tbNucleo[ESCOLA],ROUNDUP(ROW(A3683)/TotalEtapas,0)),"")</f>
        <v/>
      </c>
      <c r="D3684" t="str">
        <f>IFERROR(VLOOKUP(tbEscolas[[#This Row],[COD ETPA]],tbEtapas[],2,FALSE),"")</f>
        <v/>
      </c>
      <c r="E3684" t="str">
        <f>IFERROR(VLOOKUP(tbEscolas[[#This Row],[COD ETPA]],tbEtapas[],3,FALSE),"")</f>
        <v/>
      </c>
    </row>
    <row r="3685" spans="1:5" x14ac:dyDescent="0.25">
      <c r="A3685" t="str" cm="1">
        <f t="array" ref="A3685">IFERROR(INDEX(tbNucleo[ESCOLA],ROUNDUP(ROW(A3684)/TotalEtapas,0)),"")</f>
        <v/>
      </c>
      <c r="D3685" t="str">
        <f>IFERROR(VLOOKUP(tbEscolas[[#This Row],[COD ETPA]],tbEtapas[],2,FALSE),"")</f>
        <v/>
      </c>
      <c r="E3685" t="str">
        <f>IFERROR(VLOOKUP(tbEscolas[[#This Row],[COD ETPA]],tbEtapas[],3,FALSE),"")</f>
        <v/>
      </c>
    </row>
    <row r="3686" spans="1:5" x14ac:dyDescent="0.25">
      <c r="A3686" t="str" cm="1">
        <f t="array" ref="A3686">IFERROR(INDEX(tbNucleo[ESCOLA],ROUNDUP(ROW(A3685)/TotalEtapas,0)),"")</f>
        <v/>
      </c>
      <c r="D3686" t="str">
        <f>IFERROR(VLOOKUP(tbEscolas[[#This Row],[COD ETPA]],tbEtapas[],2,FALSE),"")</f>
        <v/>
      </c>
      <c r="E3686" t="str">
        <f>IFERROR(VLOOKUP(tbEscolas[[#This Row],[COD ETPA]],tbEtapas[],3,FALSE),"")</f>
        <v/>
      </c>
    </row>
    <row r="3687" spans="1:5" x14ac:dyDescent="0.25">
      <c r="A3687" t="str" cm="1">
        <f t="array" ref="A3687">IFERROR(INDEX(tbNucleo[ESCOLA],ROUNDUP(ROW(A3686)/TotalEtapas,0)),"")</f>
        <v/>
      </c>
      <c r="D3687" t="str">
        <f>IFERROR(VLOOKUP(tbEscolas[[#This Row],[COD ETPA]],tbEtapas[],2,FALSE),"")</f>
        <v/>
      </c>
      <c r="E3687" t="str">
        <f>IFERROR(VLOOKUP(tbEscolas[[#This Row],[COD ETPA]],tbEtapas[],3,FALSE),"")</f>
        <v/>
      </c>
    </row>
    <row r="3688" spans="1:5" x14ac:dyDescent="0.25">
      <c r="A3688" t="str" cm="1">
        <f t="array" ref="A3688">IFERROR(INDEX(tbNucleo[ESCOLA],ROUNDUP(ROW(A3687)/TotalEtapas,0)),"")</f>
        <v/>
      </c>
      <c r="D3688" t="str">
        <f>IFERROR(VLOOKUP(tbEscolas[[#This Row],[COD ETPA]],tbEtapas[],2,FALSE),"")</f>
        <v/>
      </c>
      <c r="E3688" t="str">
        <f>IFERROR(VLOOKUP(tbEscolas[[#This Row],[COD ETPA]],tbEtapas[],3,FALSE),"")</f>
        <v/>
      </c>
    </row>
    <row r="3689" spans="1:5" x14ac:dyDescent="0.25">
      <c r="A3689" t="str" cm="1">
        <f t="array" ref="A3689">IFERROR(INDEX(tbNucleo[ESCOLA],ROUNDUP(ROW(A3688)/TotalEtapas,0)),"")</f>
        <v/>
      </c>
      <c r="D3689" t="str">
        <f>IFERROR(VLOOKUP(tbEscolas[[#This Row],[COD ETPA]],tbEtapas[],2,FALSE),"")</f>
        <v/>
      </c>
      <c r="E3689" t="str">
        <f>IFERROR(VLOOKUP(tbEscolas[[#This Row],[COD ETPA]],tbEtapas[],3,FALSE),"")</f>
        <v/>
      </c>
    </row>
    <row r="3690" spans="1:5" x14ac:dyDescent="0.25">
      <c r="A3690" t="str" cm="1">
        <f t="array" ref="A3690">IFERROR(INDEX(tbNucleo[ESCOLA],ROUNDUP(ROW(A3689)/TotalEtapas,0)),"")</f>
        <v/>
      </c>
      <c r="D3690" t="str">
        <f>IFERROR(VLOOKUP(tbEscolas[[#This Row],[COD ETPA]],tbEtapas[],2,FALSE),"")</f>
        <v/>
      </c>
      <c r="E3690" t="str">
        <f>IFERROR(VLOOKUP(tbEscolas[[#This Row],[COD ETPA]],tbEtapas[],3,FALSE),"")</f>
        <v/>
      </c>
    </row>
    <row r="3691" spans="1:5" x14ac:dyDescent="0.25">
      <c r="A3691" t="str" cm="1">
        <f t="array" ref="A3691">IFERROR(INDEX(tbNucleo[ESCOLA],ROUNDUP(ROW(A3690)/TotalEtapas,0)),"")</f>
        <v/>
      </c>
      <c r="D3691" t="str">
        <f>IFERROR(VLOOKUP(tbEscolas[[#This Row],[COD ETPA]],tbEtapas[],2,FALSE),"")</f>
        <v/>
      </c>
      <c r="E3691" t="str">
        <f>IFERROR(VLOOKUP(tbEscolas[[#This Row],[COD ETPA]],tbEtapas[],3,FALSE),"")</f>
        <v/>
      </c>
    </row>
    <row r="3692" spans="1:5" x14ac:dyDescent="0.25">
      <c r="A3692" t="str" cm="1">
        <f t="array" ref="A3692">IFERROR(INDEX(tbNucleo[ESCOLA],ROUNDUP(ROW(A3691)/TotalEtapas,0)),"")</f>
        <v/>
      </c>
      <c r="D3692" t="str">
        <f>IFERROR(VLOOKUP(tbEscolas[[#This Row],[COD ETPA]],tbEtapas[],2,FALSE),"")</f>
        <v/>
      </c>
      <c r="E3692" t="str">
        <f>IFERROR(VLOOKUP(tbEscolas[[#This Row],[COD ETPA]],tbEtapas[],3,FALSE),"")</f>
        <v/>
      </c>
    </row>
    <row r="3693" spans="1:5" x14ac:dyDescent="0.25">
      <c r="A3693" t="str" cm="1">
        <f t="array" ref="A3693">IFERROR(INDEX(tbNucleo[ESCOLA],ROUNDUP(ROW(A3692)/TotalEtapas,0)),"")</f>
        <v/>
      </c>
      <c r="D3693" t="str">
        <f>IFERROR(VLOOKUP(tbEscolas[[#This Row],[COD ETPA]],tbEtapas[],2,FALSE),"")</f>
        <v/>
      </c>
      <c r="E3693" t="str">
        <f>IFERROR(VLOOKUP(tbEscolas[[#This Row],[COD ETPA]],tbEtapas[],3,FALSE),"")</f>
        <v/>
      </c>
    </row>
    <row r="3694" spans="1:5" x14ac:dyDescent="0.25">
      <c r="A3694" t="str" cm="1">
        <f t="array" ref="A3694">IFERROR(INDEX(tbNucleo[ESCOLA],ROUNDUP(ROW(A3693)/TotalEtapas,0)),"")</f>
        <v/>
      </c>
      <c r="D3694" t="str">
        <f>IFERROR(VLOOKUP(tbEscolas[[#This Row],[COD ETPA]],tbEtapas[],2,FALSE),"")</f>
        <v/>
      </c>
      <c r="E3694" t="str">
        <f>IFERROR(VLOOKUP(tbEscolas[[#This Row],[COD ETPA]],tbEtapas[],3,FALSE),"")</f>
        <v/>
      </c>
    </row>
    <row r="3695" spans="1:5" x14ac:dyDescent="0.25">
      <c r="A3695" t="str" cm="1">
        <f t="array" ref="A3695">IFERROR(INDEX(tbNucleo[ESCOLA],ROUNDUP(ROW(A3694)/TotalEtapas,0)),"")</f>
        <v/>
      </c>
      <c r="D3695" t="str">
        <f>IFERROR(VLOOKUP(tbEscolas[[#This Row],[COD ETPA]],tbEtapas[],2,FALSE),"")</f>
        <v/>
      </c>
      <c r="E3695" t="str">
        <f>IFERROR(VLOOKUP(tbEscolas[[#This Row],[COD ETPA]],tbEtapas[],3,FALSE),"")</f>
        <v/>
      </c>
    </row>
    <row r="3696" spans="1:5" x14ac:dyDescent="0.25">
      <c r="A3696" t="str" cm="1">
        <f t="array" ref="A3696">IFERROR(INDEX(tbNucleo[ESCOLA],ROUNDUP(ROW(A3695)/TotalEtapas,0)),"")</f>
        <v/>
      </c>
      <c r="D3696" t="str">
        <f>IFERROR(VLOOKUP(tbEscolas[[#This Row],[COD ETPA]],tbEtapas[],2,FALSE),"")</f>
        <v/>
      </c>
      <c r="E3696" t="str">
        <f>IFERROR(VLOOKUP(tbEscolas[[#This Row],[COD ETPA]],tbEtapas[],3,FALSE),"")</f>
        <v/>
      </c>
    </row>
    <row r="3697" spans="1:5" x14ac:dyDescent="0.25">
      <c r="A3697" t="str" cm="1">
        <f t="array" ref="A3697">IFERROR(INDEX(tbNucleo[ESCOLA],ROUNDUP(ROW(A3696)/TotalEtapas,0)),"")</f>
        <v/>
      </c>
      <c r="D3697" t="str">
        <f>IFERROR(VLOOKUP(tbEscolas[[#This Row],[COD ETPA]],tbEtapas[],2,FALSE),"")</f>
        <v/>
      </c>
      <c r="E3697" t="str">
        <f>IFERROR(VLOOKUP(tbEscolas[[#This Row],[COD ETPA]],tbEtapas[],3,FALSE),"")</f>
        <v/>
      </c>
    </row>
    <row r="3698" spans="1:5" x14ac:dyDescent="0.25">
      <c r="A3698" t="str" cm="1">
        <f t="array" ref="A3698">IFERROR(INDEX(tbNucleo[ESCOLA],ROUNDUP(ROW(A3697)/TotalEtapas,0)),"")</f>
        <v/>
      </c>
      <c r="D3698" t="str">
        <f>IFERROR(VLOOKUP(tbEscolas[[#This Row],[COD ETPA]],tbEtapas[],2,FALSE),"")</f>
        <v/>
      </c>
      <c r="E3698" t="str">
        <f>IFERROR(VLOOKUP(tbEscolas[[#This Row],[COD ETPA]],tbEtapas[],3,FALSE),"")</f>
        <v/>
      </c>
    </row>
    <row r="3699" spans="1:5" x14ac:dyDescent="0.25">
      <c r="A3699" t="str" cm="1">
        <f t="array" ref="A3699">IFERROR(INDEX(tbNucleo[ESCOLA],ROUNDUP(ROW(A3698)/TotalEtapas,0)),"")</f>
        <v/>
      </c>
      <c r="D3699" t="str">
        <f>IFERROR(VLOOKUP(tbEscolas[[#This Row],[COD ETPA]],tbEtapas[],2,FALSE),"")</f>
        <v/>
      </c>
      <c r="E3699" t="str">
        <f>IFERROR(VLOOKUP(tbEscolas[[#This Row],[COD ETPA]],tbEtapas[],3,FALSE),"")</f>
        <v/>
      </c>
    </row>
    <row r="3700" spans="1:5" x14ac:dyDescent="0.25">
      <c r="A3700" t="str" cm="1">
        <f t="array" ref="A3700">IFERROR(INDEX(tbNucleo[ESCOLA],ROUNDUP(ROW(A3699)/TotalEtapas,0)),"")</f>
        <v/>
      </c>
      <c r="D3700" t="str">
        <f>IFERROR(VLOOKUP(tbEscolas[[#This Row],[COD ETPA]],tbEtapas[],2,FALSE),"")</f>
        <v/>
      </c>
      <c r="E3700" t="str">
        <f>IFERROR(VLOOKUP(tbEscolas[[#This Row],[COD ETPA]],tbEtapas[],3,FALSE),"")</f>
        <v/>
      </c>
    </row>
    <row r="3701" spans="1:5" x14ac:dyDescent="0.25">
      <c r="A3701" t="str" cm="1">
        <f t="array" ref="A3701">IFERROR(INDEX(tbNucleo[ESCOLA],ROUNDUP(ROW(A3700)/TotalEtapas,0)),"")</f>
        <v/>
      </c>
      <c r="D3701" t="str">
        <f>IFERROR(VLOOKUP(tbEscolas[[#This Row],[COD ETPA]],tbEtapas[],2,FALSE),"")</f>
        <v/>
      </c>
      <c r="E3701" t="str">
        <f>IFERROR(VLOOKUP(tbEscolas[[#This Row],[COD ETPA]],tbEtapas[],3,FALSE),"")</f>
        <v/>
      </c>
    </row>
    <row r="3702" spans="1:5" x14ac:dyDescent="0.25">
      <c r="A3702" t="str" cm="1">
        <f t="array" ref="A3702">IFERROR(INDEX(tbNucleo[ESCOLA],ROUNDUP(ROW(A3701)/TotalEtapas,0)),"")</f>
        <v/>
      </c>
      <c r="D3702" t="str">
        <f>IFERROR(VLOOKUP(tbEscolas[[#This Row],[COD ETPA]],tbEtapas[],2,FALSE),"")</f>
        <v/>
      </c>
      <c r="E3702" t="str">
        <f>IFERROR(VLOOKUP(tbEscolas[[#This Row],[COD ETPA]],tbEtapas[],3,FALSE),"")</f>
        <v/>
      </c>
    </row>
    <row r="3703" spans="1:5" x14ac:dyDescent="0.25">
      <c r="A3703" t="str" cm="1">
        <f t="array" ref="A3703">IFERROR(INDEX(tbNucleo[ESCOLA],ROUNDUP(ROW(A3702)/TotalEtapas,0)),"")</f>
        <v/>
      </c>
      <c r="D3703" t="str">
        <f>IFERROR(VLOOKUP(tbEscolas[[#This Row],[COD ETPA]],tbEtapas[],2,FALSE),"")</f>
        <v/>
      </c>
      <c r="E3703" t="str">
        <f>IFERROR(VLOOKUP(tbEscolas[[#This Row],[COD ETPA]],tbEtapas[],3,FALSE),"")</f>
        <v/>
      </c>
    </row>
    <row r="3704" spans="1:5" x14ac:dyDescent="0.25">
      <c r="A3704" t="str" cm="1">
        <f t="array" ref="A3704">IFERROR(INDEX(tbNucleo[ESCOLA],ROUNDUP(ROW(A3703)/TotalEtapas,0)),"")</f>
        <v/>
      </c>
      <c r="D3704" t="str">
        <f>IFERROR(VLOOKUP(tbEscolas[[#This Row],[COD ETPA]],tbEtapas[],2,FALSE),"")</f>
        <v/>
      </c>
      <c r="E3704" t="str">
        <f>IFERROR(VLOOKUP(tbEscolas[[#This Row],[COD ETPA]],tbEtapas[],3,FALSE),"")</f>
        <v/>
      </c>
    </row>
    <row r="3705" spans="1:5" x14ac:dyDescent="0.25">
      <c r="A3705" t="str" cm="1">
        <f t="array" ref="A3705">IFERROR(INDEX(tbNucleo[ESCOLA],ROUNDUP(ROW(A3704)/TotalEtapas,0)),"")</f>
        <v/>
      </c>
      <c r="D3705" t="str">
        <f>IFERROR(VLOOKUP(tbEscolas[[#This Row],[COD ETPA]],tbEtapas[],2,FALSE),"")</f>
        <v/>
      </c>
      <c r="E3705" t="str">
        <f>IFERROR(VLOOKUP(tbEscolas[[#This Row],[COD ETPA]],tbEtapas[],3,FALSE),"")</f>
        <v/>
      </c>
    </row>
    <row r="3706" spans="1:5" x14ac:dyDescent="0.25">
      <c r="A3706" t="str" cm="1">
        <f t="array" ref="A3706">IFERROR(INDEX(tbNucleo[ESCOLA],ROUNDUP(ROW(A3705)/TotalEtapas,0)),"")</f>
        <v/>
      </c>
      <c r="D3706" t="str">
        <f>IFERROR(VLOOKUP(tbEscolas[[#This Row],[COD ETPA]],tbEtapas[],2,FALSE),"")</f>
        <v/>
      </c>
      <c r="E3706" t="str">
        <f>IFERROR(VLOOKUP(tbEscolas[[#This Row],[COD ETPA]],tbEtapas[],3,FALSE),"")</f>
        <v/>
      </c>
    </row>
    <row r="3707" spans="1:5" x14ac:dyDescent="0.25">
      <c r="A3707" t="str" cm="1">
        <f t="array" ref="A3707">IFERROR(INDEX(tbNucleo[ESCOLA],ROUNDUP(ROW(A3706)/TotalEtapas,0)),"")</f>
        <v/>
      </c>
      <c r="D3707" t="str">
        <f>IFERROR(VLOOKUP(tbEscolas[[#This Row],[COD ETPA]],tbEtapas[],2,FALSE),"")</f>
        <v/>
      </c>
      <c r="E3707" t="str">
        <f>IFERROR(VLOOKUP(tbEscolas[[#This Row],[COD ETPA]],tbEtapas[],3,FALSE),"")</f>
        <v/>
      </c>
    </row>
    <row r="3708" spans="1:5" x14ac:dyDescent="0.25">
      <c r="A3708" t="str" cm="1">
        <f t="array" ref="A3708">IFERROR(INDEX(tbNucleo[ESCOLA],ROUNDUP(ROW(A3707)/TotalEtapas,0)),"")</f>
        <v/>
      </c>
      <c r="D3708" t="str">
        <f>IFERROR(VLOOKUP(tbEscolas[[#This Row],[COD ETPA]],tbEtapas[],2,FALSE),"")</f>
        <v/>
      </c>
      <c r="E3708" t="str">
        <f>IFERROR(VLOOKUP(tbEscolas[[#This Row],[COD ETPA]],tbEtapas[],3,FALSE),"")</f>
        <v/>
      </c>
    </row>
    <row r="3709" spans="1:5" x14ac:dyDescent="0.25">
      <c r="A3709" t="str" cm="1">
        <f t="array" ref="A3709">IFERROR(INDEX(tbNucleo[ESCOLA],ROUNDUP(ROW(A3708)/TotalEtapas,0)),"")</f>
        <v/>
      </c>
      <c r="D3709" t="str">
        <f>IFERROR(VLOOKUP(tbEscolas[[#This Row],[COD ETPA]],tbEtapas[],2,FALSE),"")</f>
        <v/>
      </c>
      <c r="E3709" t="str">
        <f>IFERROR(VLOOKUP(tbEscolas[[#This Row],[COD ETPA]],tbEtapas[],3,FALSE),"")</f>
        <v/>
      </c>
    </row>
    <row r="3710" spans="1:5" x14ac:dyDescent="0.25">
      <c r="A3710" t="str" cm="1">
        <f t="array" ref="A3710">IFERROR(INDEX(tbNucleo[ESCOLA],ROUNDUP(ROW(A3709)/TotalEtapas,0)),"")</f>
        <v/>
      </c>
      <c r="D3710" t="str">
        <f>IFERROR(VLOOKUP(tbEscolas[[#This Row],[COD ETPA]],tbEtapas[],2,FALSE),"")</f>
        <v/>
      </c>
      <c r="E3710" t="str">
        <f>IFERROR(VLOOKUP(tbEscolas[[#This Row],[COD ETPA]],tbEtapas[],3,FALSE),"")</f>
        <v/>
      </c>
    </row>
    <row r="3711" spans="1:5" x14ac:dyDescent="0.25">
      <c r="A3711" t="str" cm="1">
        <f t="array" ref="A3711">IFERROR(INDEX(tbNucleo[ESCOLA],ROUNDUP(ROW(A3710)/TotalEtapas,0)),"")</f>
        <v/>
      </c>
      <c r="D3711" t="str">
        <f>IFERROR(VLOOKUP(tbEscolas[[#This Row],[COD ETPA]],tbEtapas[],2,FALSE),"")</f>
        <v/>
      </c>
      <c r="E3711" t="str">
        <f>IFERROR(VLOOKUP(tbEscolas[[#This Row],[COD ETPA]],tbEtapas[],3,FALSE),"")</f>
        <v/>
      </c>
    </row>
    <row r="3712" spans="1:5" x14ac:dyDescent="0.25">
      <c r="A3712" t="str" cm="1">
        <f t="array" ref="A3712">IFERROR(INDEX(tbNucleo[ESCOLA],ROUNDUP(ROW(A3711)/TotalEtapas,0)),"")</f>
        <v/>
      </c>
      <c r="D3712" t="str">
        <f>IFERROR(VLOOKUP(tbEscolas[[#This Row],[COD ETPA]],tbEtapas[],2,FALSE),"")</f>
        <v/>
      </c>
      <c r="E3712" t="str">
        <f>IFERROR(VLOOKUP(tbEscolas[[#This Row],[COD ETPA]],tbEtapas[],3,FALSE),"")</f>
        <v/>
      </c>
    </row>
    <row r="3713" spans="1:5" x14ac:dyDescent="0.25">
      <c r="A3713" t="str" cm="1">
        <f t="array" ref="A3713">IFERROR(INDEX(tbNucleo[ESCOLA],ROUNDUP(ROW(A3712)/TotalEtapas,0)),"")</f>
        <v/>
      </c>
      <c r="D3713" t="str">
        <f>IFERROR(VLOOKUP(tbEscolas[[#This Row],[COD ETPA]],tbEtapas[],2,FALSE),"")</f>
        <v/>
      </c>
      <c r="E3713" t="str">
        <f>IFERROR(VLOOKUP(tbEscolas[[#This Row],[COD ETPA]],tbEtapas[],3,FALSE),"")</f>
        <v/>
      </c>
    </row>
    <row r="3714" spans="1:5" x14ac:dyDescent="0.25">
      <c r="A3714" t="str" cm="1">
        <f t="array" ref="A3714">IFERROR(INDEX(tbNucleo[ESCOLA],ROUNDUP(ROW(A3713)/TotalEtapas,0)),"")</f>
        <v/>
      </c>
      <c r="D3714" t="str">
        <f>IFERROR(VLOOKUP(tbEscolas[[#This Row],[COD ETPA]],tbEtapas[],2,FALSE),"")</f>
        <v/>
      </c>
      <c r="E3714" t="str">
        <f>IFERROR(VLOOKUP(tbEscolas[[#This Row],[COD ETPA]],tbEtapas[],3,FALSE),"")</f>
        <v/>
      </c>
    </row>
    <row r="3715" spans="1:5" x14ac:dyDescent="0.25">
      <c r="A3715" t="str" cm="1">
        <f t="array" ref="A3715">IFERROR(INDEX(tbNucleo[ESCOLA],ROUNDUP(ROW(A3714)/TotalEtapas,0)),"")</f>
        <v/>
      </c>
      <c r="D3715" t="str">
        <f>IFERROR(VLOOKUP(tbEscolas[[#This Row],[COD ETPA]],tbEtapas[],2,FALSE),"")</f>
        <v/>
      </c>
      <c r="E3715" t="str">
        <f>IFERROR(VLOOKUP(tbEscolas[[#This Row],[COD ETPA]],tbEtapas[],3,FALSE),"")</f>
        <v/>
      </c>
    </row>
    <row r="3716" spans="1:5" x14ac:dyDescent="0.25">
      <c r="A3716" t="str" cm="1">
        <f t="array" ref="A3716">IFERROR(INDEX(tbNucleo[ESCOLA],ROUNDUP(ROW(A3715)/TotalEtapas,0)),"")</f>
        <v/>
      </c>
      <c r="D3716" t="str">
        <f>IFERROR(VLOOKUP(tbEscolas[[#This Row],[COD ETPA]],tbEtapas[],2,FALSE),"")</f>
        <v/>
      </c>
      <c r="E3716" t="str">
        <f>IFERROR(VLOOKUP(tbEscolas[[#This Row],[COD ETPA]],tbEtapas[],3,FALSE),"")</f>
        <v/>
      </c>
    </row>
    <row r="3717" spans="1:5" x14ac:dyDescent="0.25">
      <c r="A3717" t="str" cm="1">
        <f t="array" ref="A3717">IFERROR(INDEX(tbNucleo[ESCOLA],ROUNDUP(ROW(A3716)/TotalEtapas,0)),"")</f>
        <v/>
      </c>
      <c r="D3717" t="str">
        <f>IFERROR(VLOOKUP(tbEscolas[[#This Row],[COD ETPA]],tbEtapas[],2,FALSE),"")</f>
        <v/>
      </c>
      <c r="E3717" t="str">
        <f>IFERROR(VLOOKUP(tbEscolas[[#This Row],[COD ETPA]],tbEtapas[],3,FALSE),"")</f>
        <v/>
      </c>
    </row>
    <row r="3718" spans="1:5" x14ac:dyDescent="0.25">
      <c r="A3718" t="str" cm="1">
        <f t="array" ref="A3718">IFERROR(INDEX(tbNucleo[ESCOLA],ROUNDUP(ROW(A3717)/TotalEtapas,0)),"")</f>
        <v/>
      </c>
      <c r="D3718" t="str">
        <f>IFERROR(VLOOKUP(tbEscolas[[#This Row],[COD ETPA]],tbEtapas[],2,FALSE),"")</f>
        <v/>
      </c>
      <c r="E3718" t="str">
        <f>IFERROR(VLOOKUP(tbEscolas[[#This Row],[COD ETPA]],tbEtapas[],3,FALSE),"")</f>
        <v/>
      </c>
    </row>
    <row r="3719" spans="1:5" x14ac:dyDescent="0.25">
      <c r="A3719" t="str" cm="1">
        <f t="array" ref="A3719">IFERROR(INDEX(tbNucleo[ESCOLA],ROUNDUP(ROW(A3718)/TotalEtapas,0)),"")</f>
        <v/>
      </c>
      <c r="D3719" t="str">
        <f>IFERROR(VLOOKUP(tbEscolas[[#This Row],[COD ETPA]],tbEtapas[],2,FALSE),"")</f>
        <v/>
      </c>
      <c r="E3719" t="str">
        <f>IFERROR(VLOOKUP(tbEscolas[[#This Row],[COD ETPA]],tbEtapas[],3,FALSE),"")</f>
        <v/>
      </c>
    </row>
    <row r="3720" spans="1:5" x14ac:dyDescent="0.25">
      <c r="A3720" t="str" cm="1">
        <f t="array" ref="A3720">IFERROR(INDEX(tbNucleo[ESCOLA],ROUNDUP(ROW(A3719)/TotalEtapas,0)),"")</f>
        <v/>
      </c>
      <c r="D3720" t="str">
        <f>IFERROR(VLOOKUP(tbEscolas[[#This Row],[COD ETPA]],tbEtapas[],2,FALSE),"")</f>
        <v/>
      </c>
      <c r="E3720" t="str">
        <f>IFERROR(VLOOKUP(tbEscolas[[#This Row],[COD ETPA]],tbEtapas[],3,FALSE),"")</f>
        <v/>
      </c>
    </row>
    <row r="3721" spans="1:5" x14ac:dyDescent="0.25">
      <c r="A3721" t="str" cm="1">
        <f t="array" ref="A3721">IFERROR(INDEX(tbNucleo[ESCOLA],ROUNDUP(ROW(A3720)/TotalEtapas,0)),"")</f>
        <v/>
      </c>
      <c r="D3721" t="str">
        <f>IFERROR(VLOOKUP(tbEscolas[[#This Row],[COD ETPA]],tbEtapas[],2,FALSE),"")</f>
        <v/>
      </c>
      <c r="E3721" t="str">
        <f>IFERROR(VLOOKUP(tbEscolas[[#This Row],[COD ETPA]],tbEtapas[],3,FALSE),"")</f>
        <v/>
      </c>
    </row>
    <row r="3722" spans="1:5" x14ac:dyDescent="0.25">
      <c r="A3722" t="str" cm="1">
        <f t="array" ref="A3722">IFERROR(INDEX(tbNucleo[ESCOLA],ROUNDUP(ROW(A3721)/TotalEtapas,0)),"")</f>
        <v/>
      </c>
      <c r="D3722" t="str">
        <f>IFERROR(VLOOKUP(tbEscolas[[#This Row],[COD ETPA]],tbEtapas[],2,FALSE),"")</f>
        <v/>
      </c>
      <c r="E3722" t="str">
        <f>IFERROR(VLOOKUP(tbEscolas[[#This Row],[COD ETPA]],tbEtapas[],3,FALSE),"")</f>
        <v/>
      </c>
    </row>
    <row r="3723" spans="1:5" x14ac:dyDescent="0.25">
      <c r="A3723" t="str" cm="1">
        <f t="array" ref="A3723">IFERROR(INDEX(tbNucleo[ESCOLA],ROUNDUP(ROW(A3722)/TotalEtapas,0)),"")</f>
        <v/>
      </c>
      <c r="D3723" t="str">
        <f>IFERROR(VLOOKUP(tbEscolas[[#This Row],[COD ETPA]],tbEtapas[],2,FALSE),"")</f>
        <v/>
      </c>
      <c r="E3723" t="str">
        <f>IFERROR(VLOOKUP(tbEscolas[[#This Row],[COD ETPA]],tbEtapas[],3,FALSE),"")</f>
        <v/>
      </c>
    </row>
    <row r="3724" spans="1:5" x14ac:dyDescent="0.25">
      <c r="A3724" t="str" cm="1">
        <f t="array" ref="A3724">IFERROR(INDEX(tbNucleo[ESCOLA],ROUNDUP(ROW(A3723)/TotalEtapas,0)),"")</f>
        <v/>
      </c>
      <c r="D3724" t="str">
        <f>IFERROR(VLOOKUP(tbEscolas[[#This Row],[COD ETPA]],tbEtapas[],2,FALSE),"")</f>
        <v/>
      </c>
      <c r="E3724" t="str">
        <f>IFERROR(VLOOKUP(tbEscolas[[#This Row],[COD ETPA]],tbEtapas[],3,FALSE),"")</f>
        <v/>
      </c>
    </row>
    <row r="3725" spans="1:5" x14ac:dyDescent="0.25">
      <c r="A3725" t="str" cm="1">
        <f t="array" ref="A3725">IFERROR(INDEX(tbNucleo[ESCOLA],ROUNDUP(ROW(A3724)/TotalEtapas,0)),"")</f>
        <v/>
      </c>
      <c r="D3725" t="str">
        <f>IFERROR(VLOOKUP(tbEscolas[[#This Row],[COD ETPA]],tbEtapas[],2,FALSE),"")</f>
        <v/>
      </c>
      <c r="E3725" t="str">
        <f>IFERROR(VLOOKUP(tbEscolas[[#This Row],[COD ETPA]],tbEtapas[],3,FALSE),"")</f>
        <v/>
      </c>
    </row>
    <row r="3726" spans="1:5" x14ac:dyDescent="0.25">
      <c r="A3726" t="str" cm="1">
        <f t="array" ref="A3726">IFERROR(INDEX(tbNucleo[ESCOLA],ROUNDUP(ROW(A3725)/TotalEtapas,0)),"")</f>
        <v/>
      </c>
      <c r="D3726" t="str">
        <f>IFERROR(VLOOKUP(tbEscolas[[#This Row],[COD ETPA]],tbEtapas[],2,FALSE),"")</f>
        <v/>
      </c>
      <c r="E3726" t="str">
        <f>IFERROR(VLOOKUP(tbEscolas[[#This Row],[COD ETPA]],tbEtapas[],3,FALSE),"")</f>
        <v/>
      </c>
    </row>
    <row r="3727" spans="1:5" x14ac:dyDescent="0.25">
      <c r="A3727" t="str" cm="1">
        <f t="array" ref="A3727">IFERROR(INDEX(tbNucleo[ESCOLA],ROUNDUP(ROW(A3726)/TotalEtapas,0)),"")</f>
        <v/>
      </c>
      <c r="D3727" t="str">
        <f>IFERROR(VLOOKUP(tbEscolas[[#This Row],[COD ETPA]],tbEtapas[],2,FALSE),"")</f>
        <v/>
      </c>
      <c r="E3727" t="str">
        <f>IFERROR(VLOOKUP(tbEscolas[[#This Row],[COD ETPA]],tbEtapas[],3,FALSE),"")</f>
        <v/>
      </c>
    </row>
    <row r="3728" spans="1:5" x14ac:dyDescent="0.25">
      <c r="A3728" t="str" cm="1">
        <f t="array" ref="A3728">IFERROR(INDEX(tbNucleo[ESCOLA],ROUNDUP(ROW(A3727)/TotalEtapas,0)),"")</f>
        <v/>
      </c>
      <c r="D3728" t="str">
        <f>IFERROR(VLOOKUP(tbEscolas[[#This Row],[COD ETPA]],tbEtapas[],2,FALSE),"")</f>
        <v/>
      </c>
      <c r="E3728" t="str">
        <f>IFERROR(VLOOKUP(tbEscolas[[#This Row],[COD ETPA]],tbEtapas[],3,FALSE),"")</f>
        <v/>
      </c>
    </row>
    <row r="3729" spans="1:5" x14ac:dyDescent="0.25">
      <c r="A3729" t="str" cm="1">
        <f t="array" ref="A3729">IFERROR(INDEX(tbNucleo[ESCOLA],ROUNDUP(ROW(A3728)/TotalEtapas,0)),"")</f>
        <v/>
      </c>
      <c r="D3729" t="str">
        <f>IFERROR(VLOOKUP(tbEscolas[[#This Row],[COD ETPA]],tbEtapas[],2,FALSE),"")</f>
        <v/>
      </c>
      <c r="E3729" t="str">
        <f>IFERROR(VLOOKUP(tbEscolas[[#This Row],[COD ETPA]],tbEtapas[],3,FALSE),"")</f>
        <v/>
      </c>
    </row>
    <row r="3730" spans="1:5" x14ac:dyDescent="0.25">
      <c r="A3730" t="str" cm="1">
        <f t="array" ref="A3730">IFERROR(INDEX(tbNucleo[ESCOLA],ROUNDUP(ROW(A3729)/TotalEtapas,0)),"")</f>
        <v/>
      </c>
      <c r="D3730" t="str">
        <f>IFERROR(VLOOKUP(tbEscolas[[#This Row],[COD ETPA]],tbEtapas[],2,FALSE),"")</f>
        <v/>
      </c>
      <c r="E3730" t="str">
        <f>IFERROR(VLOOKUP(tbEscolas[[#This Row],[COD ETPA]],tbEtapas[],3,FALSE),"")</f>
        <v/>
      </c>
    </row>
    <row r="3731" spans="1:5" x14ac:dyDescent="0.25">
      <c r="A3731" t="str" cm="1">
        <f t="array" ref="A3731">IFERROR(INDEX(tbNucleo[ESCOLA],ROUNDUP(ROW(A3730)/TotalEtapas,0)),"")</f>
        <v/>
      </c>
      <c r="D3731" t="str">
        <f>IFERROR(VLOOKUP(tbEscolas[[#This Row],[COD ETPA]],tbEtapas[],2,FALSE),"")</f>
        <v/>
      </c>
      <c r="E3731" t="str">
        <f>IFERROR(VLOOKUP(tbEscolas[[#This Row],[COD ETPA]],tbEtapas[],3,FALSE),"")</f>
        <v/>
      </c>
    </row>
    <row r="3732" spans="1:5" x14ac:dyDescent="0.25">
      <c r="A3732" t="str" cm="1">
        <f t="array" ref="A3732">IFERROR(INDEX(tbNucleo[ESCOLA],ROUNDUP(ROW(A3731)/TotalEtapas,0)),"")</f>
        <v/>
      </c>
      <c r="D3732" t="str">
        <f>IFERROR(VLOOKUP(tbEscolas[[#This Row],[COD ETPA]],tbEtapas[],2,FALSE),"")</f>
        <v/>
      </c>
      <c r="E3732" t="str">
        <f>IFERROR(VLOOKUP(tbEscolas[[#This Row],[COD ETPA]],tbEtapas[],3,FALSE),"")</f>
        <v/>
      </c>
    </row>
    <row r="3733" spans="1:5" x14ac:dyDescent="0.25">
      <c r="A3733" t="str" cm="1">
        <f t="array" ref="A3733">IFERROR(INDEX(tbNucleo[ESCOLA],ROUNDUP(ROW(A3732)/TotalEtapas,0)),"")</f>
        <v/>
      </c>
      <c r="D3733" t="str">
        <f>IFERROR(VLOOKUP(tbEscolas[[#This Row],[COD ETPA]],tbEtapas[],2,FALSE),"")</f>
        <v/>
      </c>
      <c r="E3733" t="str">
        <f>IFERROR(VLOOKUP(tbEscolas[[#This Row],[COD ETPA]],tbEtapas[],3,FALSE),"")</f>
        <v/>
      </c>
    </row>
    <row r="3734" spans="1:5" x14ac:dyDescent="0.25">
      <c r="A3734" t="str" cm="1">
        <f t="array" ref="A3734">IFERROR(INDEX(tbNucleo[ESCOLA],ROUNDUP(ROW(A3733)/TotalEtapas,0)),"")</f>
        <v/>
      </c>
      <c r="D3734" t="str">
        <f>IFERROR(VLOOKUP(tbEscolas[[#This Row],[COD ETPA]],tbEtapas[],2,FALSE),"")</f>
        <v/>
      </c>
      <c r="E3734" t="str">
        <f>IFERROR(VLOOKUP(tbEscolas[[#This Row],[COD ETPA]],tbEtapas[],3,FALSE),"")</f>
        <v/>
      </c>
    </row>
    <row r="3735" spans="1:5" x14ac:dyDescent="0.25">
      <c r="A3735" t="str" cm="1">
        <f t="array" ref="A3735">IFERROR(INDEX(tbNucleo[ESCOLA],ROUNDUP(ROW(A3734)/TotalEtapas,0)),"")</f>
        <v/>
      </c>
      <c r="D3735" t="str">
        <f>IFERROR(VLOOKUP(tbEscolas[[#This Row],[COD ETPA]],tbEtapas[],2,FALSE),"")</f>
        <v/>
      </c>
      <c r="E3735" t="str">
        <f>IFERROR(VLOOKUP(tbEscolas[[#This Row],[COD ETPA]],tbEtapas[],3,FALSE),"")</f>
        <v/>
      </c>
    </row>
    <row r="3736" spans="1:5" x14ac:dyDescent="0.25">
      <c r="A3736" t="str" cm="1">
        <f t="array" ref="A3736">IFERROR(INDEX(tbNucleo[ESCOLA],ROUNDUP(ROW(A3735)/TotalEtapas,0)),"")</f>
        <v/>
      </c>
      <c r="D3736" t="str">
        <f>IFERROR(VLOOKUP(tbEscolas[[#This Row],[COD ETPA]],tbEtapas[],2,FALSE),"")</f>
        <v/>
      </c>
      <c r="E3736" t="str">
        <f>IFERROR(VLOOKUP(tbEscolas[[#This Row],[COD ETPA]],tbEtapas[],3,FALSE),"")</f>
        <v/>
      </c>
    </row>
    <row r="3737" spans="1:5" x14ac:dyDescent="0.25">
      <c r="A3737" t="str" cm="1">
        <f t="array" ref="A3737">IFERROR(INDEX(tbNucleo[ESCOLA],ROUNDUP(ROW(A3736)/TotalEtapas,0)),"")</f>
        <v/>
      </c>
      <c r="D3737" t="str">
        <f>IFERROR(VLOOKUP(tbEscolas[[#This Row],[COD ETPA]],tbEtapas[],2,FALSE),"")</f>
        <v/>
      </c>
      <c r="E3737" t="str">
        <f>IFERROR(VLOOKUP(tbEscolas[[#This Row],[COD ETPA]],tbEtapas[],3,FALSE),"")</f>
        <v/>
      </c>
    </row>
    <row r="3738" spans="1:5" x14ac:dyDescent="0.25">
      <c r="A3738" t="str" cm="1">
        <f t="array" ref="A3738">IFERROR(INDEX(tbNucleo[ESCOLA],ROUNDUP(ROW(A3737)/TotalEtapas,0)),"")</f>
        <v/>
      </c>
      <c r="D3738" t="str">
        <f>IFERROR(VLOOKUP(tbEscolas[[#This Row],[COD ETPA]],tbEtapas[],2,FALSE),"")</f>
        <v/>
      </c>
      <c r="E3738" t="str">
        <f>IFERROR(VLOOKUP(tbEscolas[[#This Row],[COD ETPA]],tbEtapas[],3,FALSE),"")</f>
        <v/>
      </c>
    </row>
    <row r="3739" spans="1:5" x14ac:dyDescent="0.25">
      <c r="A3739" t="str" cm="1">
        <f t="array" ref="A3739">IFERROR(INDEX(tbNucleo[ESCOLA],ROUNDUP(ROW(A3738)/TotalEtapas,0)),"")</f>
        <v/>
      </c>
      <c r="D3739" t="str">
        <f>IFERROR(VLOOKUP(tbEscolas[[#This Row],[COD ETPA]],tbEtapas[],2,FALSE),"")</f>
        <v/>
      </c>
      <c r="E3739" t="str">
        <f>IFERROR(VLOOKUP(tbEscolas[[#This Row],[COD ETPA]],tbEtapas[],3,FALSE),"")</f>
        <v/>
      </c>
    </row>
    <row r="3740" spans="1:5" x14ac:dyDescent="0.25">
      <c r="A3740" t="str" cm="1">
        <f t="array" ref="A3740">IFERROR(INDEX(tbNucleo[ESCOLA],ROUNDUP(ROW(A3739)/TotalEtapas,0)),"")</f>
        <v/>
      </c>
      <c r="D3740" t="str">
        <f>IFERROR(VLOOKUP(tbEscolas[[#This Row],[COD ETPA]],tbEtapas[],2,FALSE),"")</f>
        <v/>
      </c>
      <c r="E3740" t="str">
        <f>IFERROR(VLOOKUP(tbEscolas[[#This Row],[COD ETPA]],tbEtapas[],3,FALSE),"")</f>
        <v/>
      </c>
    </row>
    <row r="3741" spans="1:5" x14ac:dyDescent="0.25">
      <c r="A3741" t="str" cm="1">
        <f t="array" ref="A3741">IFERROR(INDEX(tbNucleo[ESCOLA],ROUNDUP(ROW(A3740)/TotalEtapas,0)),"")</f>
        <v/>
      </c>
      <c r="D3741" t="str">
        <f>IFERROR(VLOOKUP(tbEscolas[[#This Row],[COD ETPA]],tbEtapas[],2,FALSE),"")</f>
        <v/>
      </c>
      <c r="E3741" t="str">
        <f>IFERROR(VLOOKUP(tbEscolas[[#This Row],[COD ETPA]],tbEtapas[],3,FALSE),"")</f>
        <v/>
      </c>
    </row>
    <row r="3742" spans="1:5" x14ac:dyDescent="0.25">
      <c r="A3742" t="str" cm="1">
        <f t="array" ref="A3742">IFERROR(INDEX(tbNucleo[ESCOLA],ROUNDUP(ROW(A3741)/TotalEtapas,0)),"")</f>
        <v/>
      </c>
      <c r="D3742" t="str">
        <f>IFERROR(VLOOKUP(tbEscolas[[#This Row],[COD ETPA]],tbEtapas[],2,FALSE),"")</f>
        <v/>
      </c>
      <c r="E3742" t="str">
        <f>IFERROR(VLOOKUP(tbEscolas[[#This Row],[COD ETPA]],tbEtapas[],3,FALSE),"")</f>
        <v/>
      </c>
    </row>
    <row r="3743" spans="1:5" x14ac:dyDescent="0.25">
      <c r="A3743" t="str" cm="1">
        <f t="array" ref="A3743">IFERROR(INDEX(tbNucleo[ESCOLA],ROUNDUP(ROW(A3742)/TotalEtapas,0)),"")</f>
        <v/>
      </c>
      <c r="D3743" t="str">
        <f>IFERROR(VLOOKUP(tbEscolas[[#This Row],[COD ETPA]],tbEtapas[],2,FALSE),"")</f>
        <v/>
      </c>
      <c r="E3743" t="str">
        <f>IFERROR(VLOOKUP(tbEscolas[[#This Row],[COD ETPA]],tbEtapas[],3,FALSE),"")</f>
        <v/>
      </c>
    </row>
    <row r="3744" spans="1:5" x14ac:dyDescent="0.25">
      <c r="A3744" t="str" cm="1">
        <f t="array" ref="A3744">IFERROR(INDEX(tbNucleo[ESCOLA],ROUNDUP(ROW(A3743)/TotalEtapas,0)),"")</f>
        <v/>
      </c>
      <c r="D3744" t="str">
        <f>IFERROR(VLOOKUP(tbEscolas[[#This Row],[COD ETPA]],tbEtapas[],2,FALSE),"")</f>
        <v/>
      </c>
      <c r="E3744" t="str">
        <f>IFERROR(VLOOKUP(tbEscolas[[#This Row],[COD ETPA]],tbEtapas[],3,FALSE),"")</f>
        <v/>
      </c>
    </row>
    <row r="3745" spans="1:5" x14ac:dyDescent="0.25">
      <c r="A3745" t="str" cm="1">
        <f t="array" ref="A3745">IFERROR(INDEX(tbNucleo[ESCOLA],ROUNDUP(ROW(A3744)/TotalEtapas,0)),"")</f>
        <v/>
      </c>
      <c r="D3745" t="str">
        <f>IFERROR(VLOOKUP(tbEscolas[[#This Row],[COD ETPA]],tbEtapas[],2,FALSE),"")</f>
        <v/>
      </c>
      <c r="E3745" t="str">
        <f>IFERROR(VLOOKUP(tbEscolas[[#This Row],[COD ETPA]],tbEtapas[],3,FALSE),"")</f>
        <v/>
      </c>
    </row>
    <row r="3746" spans="1:5" x14ac:dyDescent="0.25">
      <c r="A3746" t="str" cm="1">
        <f t="array" ref="A3746">IFERROR(INDEX(tbNucleo[ESCOLA],ROUNDUP(ROW(A3745)/TotalEtapas,0)),"")</f>
        <v/>
      </c>
      <c r="D3746" t="str">
        <f>IFERROR(VLOOKUP(tbEscolas[[#This Row],[COD ETPA]],tbEtapas[],2,FALSE),"")</f>
        <v/>
      </c>
      <c r="E3746" t="str">
        <f>IFERROR(VLOOKUP(tbEscolas[[#This Row],[COD ETPA]],tbEtapas[],3,FALSE),"")</f>
        <v/>
      </c>
    </row>
    <row r="3747" spans="1:5" x14ac:dyDescent="0.25">
      <c r="A3747" t="str" cm="1">
        <f t="array" ref="A3747">IFERROR(INDEX(tbNucleo[ESCOLA],ROUNDUP(ROW(A3746)/TotalEtapas,0)),"")</f>
        <v/>
      </c>
      <c r="D3747" t="str">
        <f>IFERROR(VLOOKUP(tbEscolas[[#This Row],[COD ETPA]],tbEtapas[],2,FALSE),"")</f>
        <v/>
      </c>
      <c r="E3747" t="str">
        <f>IFERROR(VLOOKUP(tbEscolas[[#This Row],[COD ETPA]],tbEtapas[],3,FALSE),"")</f>
        <v/>
      </c>
    </row>
    <row r="3748" spans="1:5" x14ac:dyDescent="0.25">
      <c r="A3748" t="str" cm="1">
        <f t="array" ref="A3748">IFERROR(INDEX(tbNucleo[ESCOLA],ROUNDUP(ROW(A3747)/TotalEtapas,0)),"")</f>
        <v/>
      </c>
      <c r="D3748" t="str">
        <f>IFERROR(VLOOKUP(tbEscolas[[#This Row],[COD ETPA]],tbEtapas[],2,FALSE),"")</f>
        <v/>
      </c>
      <c r="E3748" t="str">
        <f>IFERROR(VLOOKUP(tbEscolas[[#This Row],[COD ETPA]],tbEtapas[],3,FALSE),"")</f>
        <v/>
      </c>
    </row>
    <row r="3749" spans="1:5" x14ac:dyDescent="0.25">
      <c r="A3749" t="str" cm="1">
        <f t="array" ref="A3749">IFERROR(INDEX(tbNucleo[ESCOLA],ROUNDUP(ROW(A3748)/TotalEtapas,0)),"")</f>
        <v/>
      </c>
      <c r="D3749" t="str">
        <f>IFERROR(VLOOKUP(tbEscolas[[#This Row],[COD ETPA]],tbEtapas[],2,FALSE),"")</f>
        <v/>
      </c>
      <c r="E3749" t="str">
        <f>IFERROR(VLOOKUP(tbEscolas[[#This Row],[COD ETPA]],tbEtapas[],3,FALSE),"")</f>
        <v/>
      </c>
    </row>
    <row r="3750" spans="1:5" x14ac:dyDescent="0.25">
      <c r="A3750" t="str" cm="1">
        <f t="array" ref="A3750">IFERROR(INDEX(tbNucleo[ESCOLA],ROUNDUP(ROW(A3749)/TotalEtapas,0)),"")</f>
        <v/>
      </c>
      <c r="D3750" t="str">
        <f>IFERROR(VLOOKUP(tbEscolas[[#This Row],[COD ETPA]],tbEtapas[],2,FALSE),"")</f>
        <v/>
      </c>
      <c r="E3750" t="str">
        <f>IFERROR(VLOOKUP(tbEscolas[[#This Row],[COD ETPA]],tbEtapas[],3,FALSE),"")</f>
        <v/>
      </c>
    </row>
    <row r="3751" spans="1:5" x14ac:dyDescent="0.25">
      <c r="A3751" t="str" cm="1">
        <f t="array" ref="A3751">IFERROR(INDEX(tbNucleo[ESCOLA],ROUNDUP(ROW(A3750)/TotalEtapas,0)),"")</f>
        <v/>
      </c>
      <c r="D3751" t="str">
        <f>IFERROR(VLOOKUP(tbEscolas[[#This Row],[COD ETPA]],tbEtapas[],2,FALSE),"")</f>
        <v/>
      </c>
      <c r="E3751" t="str">
        <f>IFERROR(VLOOKUP(tbEscolas[[#This Row],[COD ETPA]],tbEtapas[],3,FALSE),"")</f>
        <v/>
      </c>
    </row>
    <row r="3752" spans="1:5" x14ac:dyDescent="0.25">
      <c r="A3752" t="str" cm="1">
        <f t="array" ref="A3752">IFERROR(INDEX(tbNucleo[ESCOLA],ROUNDUP(ROW(A3751)/TotalEtapas,0)),"")</f>
        <v/>
      </c>
      <c r="D3752" t="str">
        <f>IFERROR(VLOOKUP(tbEscolas[[#This Row],[COD ETPA]],tbEtapas[],2,FALSE),"")</f>
        <v/>
      </c>
      <c r="E3752" t="str">
        <f>IFERROR(VLOOKUP(tbEscolas[[#This Row],[COD ETPA]],tbEtapas[],3,FALSE),"")</f>
        <v/>
      </c>
    </row>
    <row r="3753" spans="1:5" x14ac:dyDescent="0.25">
      <c r="A3753" t="str" cm="1">
        <f t="array" ref="A3753">IFERROR(INDEX(tbNucleo[ESCOLA],ROUNDUP(ROW(A3752)/TotalEtapas,0)),"")</f>
        <v/>
      </c>
      <c r="D3753" t="str">
        <f>IFERROR(VLOOKUP(tbEscolas[[#This Row],[COD ETPA]],tbEtapas[],2,FALSE),"")</f>
        <v/>
      </c>
      <c r="E3753" t="str">
        <f>IFERROR(VLOOKUP(tbEscolas[[#This Row],[COD ETPA]],tbEtapas[],3,FALSE),"")</f>
        <v/>
      </c>
    </row>
    <row r="3754" spans="1:5" x14ac:dyDescent="0.25">
      <c r="A3754" t="str" cm="1">
        <f t="array" ref="A3754">IFERROR(INDEX(tbNucleo[ESCOLA],ROUNDUP(ROW(A3753)/TotalEtapas,0)),"")</f>
        <v/>
      </c>
      <c r="D3754" t="str">
        <f>IFERROR(VLOOKUP(tbEscolas[[#This Row],[COD ETPA]],tbEtapas[],2,FALSE),"")</f>
        <v/>
      </c>
      <c r="E3754" t="str">
        <f>IFERROR(VLOOKUP(tbEscolas[[#This Row],[COD ETPA]],tbEtapas[],3,FALSE),"")</f>
        <v/>
      </c>
    </row>
    <row r="3755" spans="1:5" x14ac:dyDescent="0.25">
      <c r="A3755" t="str" cm="1">
        <f t="array" ref="A3755">IFERROR(INDEX(tbNucleo[ESCOLA],ROUNDUP(ROW(A3754)/TotalEtapas,0)),"")</f>
        <v/>
      </c>
      <c r="D3755" t="str">
        <f>IFERROR(VLOOKUP(tbEscolas[[#This Row],[COD ETPA]],tbEtapas[],2,FALSE),"")</f>
        <v/>
      </c>
      <c r="E3755" t="str">
        <f>IFERROR(VLOOKUP(tbEscolas[[#This Row],[COD ETPA]],tbEtapas[],3,FALSE),"")</f>
        <v/>
      </c>
    </row>
    <row r="3756" spans="1:5" x14ac:dyDescent="0.25">
      <c r="A3756" t="str" cm="1">
        <f t="array" ref="A3756">IFERROR(INDEX(tbNucleo[ESCOLA],ROUNDUP(ROW(A3755)/TotalEtapas,0)),"")</f>
        <v/>
      </c>
      <c r="D3756" t="str">
        <f>IFERROR(VLOOKUP(tbEscolas[[#This Row],[COD ETPA]],tbEtapas[],2,FALSE),"")</f>
        <v/>
      </c>
      <c r="E3756" t="str">
        <f>IFERROR(VLOOKUP(tbEscolas[[#This Row],[COD ETPA]],tbEtapas[],3,FALSE),"")</f>
        <v/>
      </c>
    </row>
    <row r="3757" spans="1:5" x14ac:dyDescent="0.25">
      <c r="A3757" t="str" cm="1">
        <f t="array" ref="A3757">IFERROR(INDEX(tbNucleo[ESCOLA],ROUNDUP(ROW(A3756)/TotalEtapas,0)),"")</f>
        <v/>
      </c>
      <c r="D3757" t="str">
        <f>IFERROR(VLOOKUP(tbEscolas[[#This Row],[COD ETPA]],tbEtapas[],2,FALSE),"")</f>
        <v/>
      </c>
      <c r="E3757" t="str">
        <f>IFERROR(VLOOKUP(tbEscolas[[#This Row],[COD ETPA]],tbEtapas[],3,FALSE),"")</f>
        <v/>
      </c>
    </row>
    <row r="3758" spans="1:5" x14ac:dyDescent="0.25">
      <c r="A3758" t="str" cm="1">
        <f t="array" ref="A3758">IFERROR(INDEX(tbNucleo[ESCOLA],ROUNDUP(ROW(A3757)/TotalEtapas,0)),"")</f>
        <v/>
      </c>
      <c r="D3758" t="str">
        <f>IFERROR(VLOOKUP(tbEscolas[[#This Row],[COD ETPA]],tbEtapas[],2,FALSE),"")</f>
        <v/>
      </c>
      <c r="E3758" t="str">
        <f>IFERROR(VLOOKUP(tbEscolas[[#This Row],[COD ETPA]],tbEtapas[],3,FALSE),"")</f>
        <v/>
      </c>
    </row>
    <row r="3759" spans="1:5" x14ac:dyDescent="0.25">
      <c r="A3759" t="str" cm="1">
        <f t="array" ref="A3759">IFERROR(INDEX(tbNucleo[ESCOLA],ROUNDUP(ROW(A3758)/TotalEtapas,0)),"")</f>
        <v/>
      </c>
      <c r="D3759" t="str">
        <f>IFERROR(VLOOKUP(tbEscolas[[#This Row],[COD ETPA]],tbEtapas[],2,FALSE),"")</f>
        <v/>
      </c>
      <c r="E3759" t="str">
        <f>IFERROR(VLOOKUP(tbEscolas[[#This Row],[COD ETPA]],tbEtapas[],3,FALSE),"")</f>
        <v/>
      </c>
    </row>
    <row r="3760" spans="1:5" x14ac:dyDescent="0.25">
      <c r="A3760" t="str" cm="1">
        <f t="array" ref="A3760">IFERROR(INDEX(tbNucleo[ESCOLA],ROUNDUP(ROW(A3759)/TotalEtapas,0)),"")</f>
        <v/>
      </c>
      <c r="D3760" t="str">
        <f>IFERROR(VLOOKUP(tbEscolas[[#This Row],[COD ETPA]],tbEtapas[],2,FALSE),"")</f>
        <v/>
      </c>
      <c r="E3760" t="str">
        <f>IFERROR(VLOOKUP(tbEscolas[[#This Row],[COD ETPA]],tbEtapas[],3,FALSE),"")</f>
        <v/>
      </c>
    </row>
    <row r="3761" spans="1:5" x14ac:dyDescent="0.25">
      <c r="A3761" t="str" cm="1">
        <f t="array" ref="A3761">IFERROR(INDEX(tbNucleo[ESCOLA],ROUNDUP(ROW(A3760)/TotalEtapas,0)),"")</f>
        <v/>
      </c>
      <c r="D3761" t="str">
        <f>IFERROR(VLOOKUP(tbEscolas[[#This Row],[COD ETPA]],tbEtapas[],2,FALSE),"")</f>
        <v/>
      </c>
      <c r="E3761" t="str">
        <f>IFERROR(VLOOKUP(tbEscolas[[#This Row],[COD ETPA]],tbEtapas[],3,FALSE),"")</f>
        <v/>
      </c>
    </row>
    <row r="3762" spans="1:5" x14ac:dyDescent="0.25">
      <c r="A3762" t="str" cm="1">
        <f t="array" ref="A3762">IFERROR(INDEX(tbNucleo[ESCOLA],ROUNDUP(ROW(A3761)/TotalEtapas,0)),"")</f>
        <v/>
      </c>
      <c r="D3762" t="str">
        <f>IFERROR(VLOOKUP(tbEscolas[[#This Row],[COD ETPA]],tbEtapas[],2,FALSE),"")</f>
        <v/>
      </c>
      <c r="E3762" t="str">
        <f>IFERROR(VLOOKUP(tbEscolas[[#This Row],[COD ETPA]],tbEtapas[],3,FALSE),"")</f>
        <v/>
      </c>
    </row>
    <row r="3763" spans="1:5" x14ac:dyDescent="0.25">
      <c r="A3763" t="str" cm="1">
        <f t="array" ref="A3763">IFERROR(INDEX(tbNucleo[ESCOLA],ROUNDUP(ROW(A3762)/TotalEtapas,0)),"")</f>
        <v/>
      </c>
      <c r="D3763" t="str">
        <f>IFERROR(VLOOKUP(tbEscolas[[#This Row],[COD ETPA]],tbEtapas[],2,FALSE),"")</f>
        <v/>
      </c>
      <c r="E3763" t="str">
        <f>IFERROR(VLOOKUP(tbEscolas[[#This Row],[COD ETPA]],tbEtapas[],3,FALSE),"")</f>
        <v/>
      </c>
    </row>
    <row r="3764" spans="1:5" x14ac:dyDescent="0.25">
      <c r="A3764" t="str" cm="1">
        <f t="array" ref="A3764">IFERROR(INDEX(tbNucleo[ESCOLA],ROUNDUP(ROW(A3763)/TotalEtapas,0)),"")</f>
        <v/>
      </c>
      <c r="D3764" t="str">
        <f>IFERROR(VLOOKUP(tbEscolas[[#This Row],[COD ETPA]],tbEtapas[],2,FALSE),"")</f>
        <v/>
      </c>
      <c r="E3764" t="str">
        <f>IFERROR(VLOOKUP(tbEscolas[[#This Row],[COD ETPA]],tbEtapas[],3,FALSE),"")</f>
        <v/>
      </c>
    </row>
    <row r="3765" spans="1:5" x14ac:dyDescent="0.25">
      <c r="A3765" t="str" cm="1">
        <f t="array" ref="A3765">IFERROR(INDEX(tbNucleo[ESCOLA],ROUNDUP(ROW(A3764)/TotalEtapas,0)),"")</f>
        <v/>
      </c>
      <c r="D3765" t="str">
        <f>IFERROR(VLOOKUP(tbEscolas[[#This Row],[COD ETPA]],tbEtapas[],2,FALSE),"")</f>
        <v/>
      </c>
      <c r="E3765" t="str">
        <f>IFERROR(VLOOKUP(tbEscolas[[#This Row],[COD ETPA]],tbEtapas[],3,FALSE),"")</f>
        <v/>
      </c>
    </row>
    <row r="3766" spans="1:5" x14ac:dyDescent="0.25">
      <c r="A3766" t="str" cm="1">
        <f t="array" ref="A3766">IFERROR(INDEX(tbNucleo[ESCOLA],ROUNDUP(ROW(A3765)/TotalEtapas,0)),"")</f>
        <v/>
      </c>
      <c r="D3766" t="str">
        <f>IFERROR(VLOOKUP(tbEscolas[[#This Row],[COD ETPA]],tbEtapas[],2,FALSE),"")</f>
        <v/>
      </c>
      <c r="E3766" t="str">
        <f>IFERROR(VLOOKUP(tbEscolas[[#This Row],[COD ETPA]],tbEtapas[],3,FALSE),"")</f>
        <v/>
      </c>
    </row>
    <row r="3767" spans="1:5" x14ac:dyDescent="0.25">
      <c r="A3767" t="str" cm="1">
        <f t="array" ref="A3767">IFERROR(INDEX(tbNucleo[ESCOLA],ROUNDUP(ROW(A3766)/TotalEtapas,0)),"")</f>
        <v/>
      </c>
      <c r="D3767" t="str">
        <f>IFERROR(VLOOKUP(tbEscolas[[#This Row],[COD ETPA]],tbEtapas[],2,FALSE),"")</f>
        <v/>
      </c>
      <c r="E3767" t="str">
        <f>IFERROR(VLOOKUP(tbEscolas[[#This Row],[COD ETPA]],tbEtapas[],3,FALSE),"")</f>
        <v/>
      </c>
    </row>
    <row r="3768" spans="1:5" x14ac:dyDescent="0.25">
      <c r="A3768" t="str" cm="1">
        <f t="array" ref="A3768">IFERROR(INDEX(tbNucleo[ESCOLA],ROUNDUP(ROW(A3767)/TotalEtapas,0)),"")</f>
        <v/>
      </c>
      <c r="D3768" t="str">
        <f>IFERROR(VLOOKUP(tbEscolas[[#This Row],[COD ETPA]],tbEtapas[],2,FALSE),"")</f>
        <v/>
      </c>
      <c r="E3768" t="str">
        <f>IFERROR(VLOOKUP(tbEscolas[[#This Row],[COD ETPA]],tbEtapas[],3,FALSE),"")</f>
        <v/>
      </c>
    </row>
    <row r="3769" spans="1:5" x14ac:dyDescent="0.25">
      <c r="A3769" t="str" cm="1">
        <f t="array" ref="A3769">IFERROR(INDEX(tbNucleo[ESCOLA],ROUNDUP(ROW(A3768)/TotalEtapas,0)),"")</f>
        <v/>
      </c>
      <c r="D3769" t="str">
        <f>IFERROR(VLOOKUP(tbEscolas[[#This Row],[COD ETPA]],tbEtapas[],2,FALSE),"")</f>
        <v/>
      </c>
      <c r="E3769" t="str">
        <f>IFERROR(VLOOKUP(tbEscolas[[#This Row],[COD ETPA]],tbEtapas[],3,FALSE),"")</f>
        <v/>
      </c>
    </row>
    <row r="3770" spans="1:5" x14ac:dyDescent="0.25">
      <c r="A3770" t="str" cm="1">
        <f t="array" ref="A3770">IFERROR(INDEX(tbNucleo[ESCOLA],ROUNDUP(ROW(A3769)/TotalEtapas,0)),"")</f>
        <v/>
      </c>
      <c r="D3770" t="str">
        <f>IFERROR(VLOOKUP(tbEscolas[[#This Row],[COD ETPA]],tbEtapas[],2,FALSE),"")</f>
        <v/>
      </c>
      <c r="E3770" t="str">
        <f>IFERROR(VLOOKUP(tbEscolas[[#This Row],[COD ETPA]],tbEtapas[],3,FALSE),"")</f>
        <v/>
      </c>
    </row>
    <row r="3771" spans="1:5" x14ac:dyDescent="0.25">
      <c r="A3771" t="str" cm="1">
        <f t="array" ref="A3771">IFERROR(INDEX(tbNucleo[ESCOLA],ROUNDUP(ROW(A3770)/TotalEtapas,0)),"")</f>
        <v/>
      </c>
      <c r="D3771" t="str">
        <f>IFERROR(VLOOKUP(tbEscolas[[#This Row],[COD ETPA]],tbEtapas[],2,FALSE),"")</f>
        <v/>
      </c>
      <c r="E3771" t="str">
        <f>IFERROR(VLOOKUP(tbEscolas[[#This Row],[COD ETPA]],tbEtapas[],3,FALSE),"")</f>
        <v/>
      </c>
    </row>
    <row r="3772" spans="1:5" x14ac:dyDescent="0.25">
      <c r="A3772" t="str" cm="1">
        <f t="array" ref="A3772">IFERROR(INDEX(tbNucleo[ESCOLA],ROUNDUP(ROW(A3771)/TotalEtapas,0)),"")</f>
        <v/>
      </c>
      <c r="D3772" t="str">
        <f>IFERROR(VLOOKUP(tbEscolas[[#This Row],[COD ETPA]],tbEtapas[],2,FALSE),"")</f>
        <v/>
      </c>
      <c r="E3772" t="str">
        <f>IFERROR(VLOOKUP(tbEscolas[[#This Row],[COD ETPA]],tbEtapas[],3,FALSE),"")</f>
        <v/>
      </c>
    </row>
    <row r="3773" spans="1:5" x14ac:dyDescent="0.25">
      <c r="A3773" t="str" cm="1">
        <f t="array" ref="A3773">IFERROR(INDEX(tbNucleo[ESCOLA],ROUNDUP(ROW(A3772)/TotalEtapas,0)),"")</f>
        <v/>
      </c>
      <c r="D3773" t="str">
        <f>IFERROR(VLOOKUP(tbEscolas[[#This Row],[COD ETPA]],tbEtapas[],2,FALSE),"")</f>
        <v/>
      </c>
      <c r="E3773" t="str">
        <f>IFERROR(VLOOKUP(tbEscolas[[#This Row],[COD ETPA]],tbEtapas[],3,FALSE),"")</f>
        <v/>
      </c>
    </row>
    <row r="3774" spans="1:5" x14ac:dyDescent="0.25">
      <c r="A3774" t="str" cm="1">
        <f t="array" ref="A3774">IFERROR(INDEX(tbNucleo[ESCOLA],ROUNDUP(ROW(A3773)/TotalEtapas,0)),"")</f>
        <v/>
      </c>
      <c r="D3774" t="str">
        <f>IFERROR(VLOOKUP(tbEscolas[[#This Row],[COD ETPA]],tbEtapas[],2,FALSE),"")</f>
        <v/>
      </c>
      <c r="E3774" t="str">
        <f>IFERROR(VLOOKUP(tbEscolas[[#This Row],[COD ETPA]],tbEtapas[],3,FALSE),"")</f>
        <v/>
      </c>
    </row>
    <row r="3775" spans="1:5" x14ac:dyDescent="0.25">
      <c r="A3775" t="str" cm="1">
        <f t="array" ref="A3775">IFERROR(INDEX(tbNucleo[ESCOLA],ROUNDUP(ROW(A3774)/TotalEtapas,0)),"")</f>
        <v/>
      </c>
      <c r="D3775" t="str">
        <f>IFERROR(VLOOKUP(tbEscolas[[#This Row],[COD ETPA]],tbEtapas[],2,FALSE),"")</f>
        <v/>
      </c>
      <c r="E3775" t="str">
        <f>IFERROR(VLOOKUP(tbEscolas[[#This Row],[COD ETPA]],tbEtapas[],3,FALSE),"")</f>
        <v/>
      </c>
    </row>
    <row r="3776" spans="1:5" x14ac:dyDescent="0.25">
      <c r="A3776" t="str" cm="1">
        <f t="array" ref="A3776">IFERROR(INDEX(tbNucleo[ESCOLA],ROUNDUP(ROW(A3775)/TotalEtapas,0)),"")</f>
        <v/>
      </c>
      <c r="D3776" t="str">
        <f>IFERROR(VLOOKUP(tbEscolas[[#This Row],[COD ETPA]],tbEtapas[],2,FALSE),"")</f>
        <v/>
      </c>
      <c r="E3776" t="str">
        <f>IFERROR(VLOOKUP(tbEscolas[[#This Row],[COD ETPA]],tbEtapas[],3,FALSE),"")</f>
        <v/>
      </c>
    </row>
    <row r="3777" spans="1:5" x14ac:dyDescent="0.25">
      <c r="A3777" t="str" cm="1">
        <f t="array" ref="A3777">IFERROR(INDEX(tbNucleo[ESCOLA],ROUNDUP(ROW(A3776)/TotalEtapas,0)),"")</f>
        <v/>
      </c>
      <c r="D3777" t="str">
        <f>IFERROR(VLOOKUP(tbEscolas[[#This Row],[COD ETPA]],tbEtapas[],2,FALSE),"")</f>
        <v/>
      </c>
      <c r="E3777" t="str">
        <f>IFERROR(VLOOKUP(tbEscolas[[#This Row],[COD ETPA]],tbEtapas[],3,FALSE),"")</f>
        <v/>
      </c>
    </row>
    <row r="3778" spans="1:5" x14ac:dyDescent="0.25">
      <c r="A3778" t="str" cm="1">
        <f t="array" ref="A3778">IFERROR(INDEX(tbNucleo[ESCOLA],ROUNDUP(ROW(A3777)/TotalEtapas,0)),"")</f>
        <v/>
      </c>
      <c r="D3778" t="str">
        <f>IFERROR(VLOOKUP(tbEscolas[[#This Row],[COD ETPA]],tbEtapas[],2,FALSE),"")</f>
        <v/>
      </c>
      <c r="E3778" t="str">
        <f>IFERROR(VLOOKUP(tbEscolas[[#This Row],[COD ETPA]],tbEtapas[],3,FALSE),"")</f>
        <v/>
      </c>
    </row>
    <row r="3779" spans="1:5" x14ac:dyDescent="0.25">
      <c r="A3779" t="str" cm="1">
        <f t="array" ref="A3779">IFERROR(INDEX(tbNucleo[ESCOLA],ROUNDUP(ROW(A3778)/TotalEtapas,0)),"")</f>
        <v/>
      </c>
      <c r="D3779" t="str">
        <f>IFERROR(VLOOKUP(tbEscolas[[#This Row],[COD ETPA]],tbEtapas[],2,FALSE),"")</f>
        <v/>
      </c>
      <c r="E3779" t="str">
        <f>IFERROR(VLOOKUP(tbEscolas[[#This Row],[COD ETPA]],tbEtapas[],3,FALSE),"")</f>
        <v/>
      </c>
    </row>
    <row r="3780" spans="1:5" x14ac:dyDescent="0.25">
      <c r="A3780" t="str" cm="1">
        <f t="array" ref="A3780">IFERROR(INDEX(tbNucleo[ESCOLA],ROUNDUP(ROW(A3779)/TotalEtapas,0)),"")</f>
        <v/>
      </c>
      <c r="D3780" t="str">
        <f>IFERROR(VLOOKUP(tbEscolas[[#This Row],[COD ETPA]],tbEtapas[],2,FALSE),"")</f>
        <v/>
      </c>
      <c r="E3780" t="str">
        <f>IFERROR(VLOOKUP(tbEscolas[[#This Row],[COD ETPA]],tbEtapas[],3,FALSE),"")</f>
        <v/>
      </c>
    </row>
    <row r="3781" spans="1:5" x14ac:dyDescent="0.25">
      <c r="A3781" t="str" cm="1">
        <f t="array" ref="A3781">IFERROR(INDEX(tbNucleo[ESCOLA],ROUNDUP(ROW(A3780)/TotalEtapas,0)),"")</f>
        <v/>
      </c>
      <c r="D3781" t="str">
        <f>IFERROR(VLOOKUP(tbEscolas[[#This Row],[COD ETPA]],tbEtapas[],2,FALSE),"")</f>
        <v/>
      </c>
      <c r="E3781" t="str">
        <f>IFERROR(VLOOKUP(tbEscolas[[#This Row],[COD ETPA]],tbEtapas[],3,FALSE),"")</f>
        <v/>
      </c>
    </row>
    <row r="3782" spans="1:5" x14ac:dyDescent="0.25">
      <c r="A3782" t="str" cm="1">
        <f t="array" ref="A3782">IFERROR(INDEX(tbNucleo[ESCOLA],ROUNDUP(ROW(A3781)/TotalEtapas,0)),"")</f>
        <v/>
      </c>
      <c r="D3782" t="str">
        <f>IFERROR(VLOOKUP(tbEscolas[[#This Row],[COD ETPA]],tbEtapas[],2,FALSE),"")</f>
        <v/>
      </c>
      <c r="E3782" t="str">
        <f>IFERROR(VLOOKUP(tbEscolas[[#This Row],[COD ETPA]],tbEtapas[],3,FALSE),"")</f>
        <v/>
      </c>
    </row>
    <row r="3783" spans="1:5" x14ac:dyDescent="0.25">
      <c r="A3783" t="str" cm="1">
        <f t="array" ref="A3783">IFERROR(INDEX(tbNucleo[ESCOLA],ROUNDUP(ROW(A3782)/TotalEtapas,0)),"")</f>
        <v/>
      </c>
      <c r="D3783" t="str">
        <f>IFERROR(VLOOKUP(tbEscolas[[#This Row],[COD ETPA]],tbEtapas[],2,FALSE),"")</f>
        <v/>
      </c>
      <c r="E3783" t="str">
        <f>IFERROR(VLOOKUP(tbEscolas[[#This Row],[COD ETPA]],tbEtapas[],3,FALSE),"")</f>
        <v/>
      </c>
    </row>
    <row r="3784" spans="1:5" x14ac:dyDescent="0.25">
      <c r="A3784" t="str" cm="1">
        <f t="array" ref="A3784">IFERROR(INDEX(tbNucleo[ESCOLA],ROUNDUP(ROW(A3783)/TotalEtapas,0)),"")</f>
        <v/>
      </c>
      <c r="D3784" t="str">
        <f>IFERROR(VLOOKUP(tbEscolas[[#This Row],[COD ETPA]],tbEtapas[],2,FALSE),"")</f>
        <v/>
      </c>
      <c r="E3784" t="str">
        <f>IFERROR(VLOOKUP(tbEscolas[[#This Row],[COD ETPA]],tbEtapas[],3,FALSE),"")</f>
        <v/>
      </c>
    </row>
    <row r="3785" spans="1:5" x14ac:dyDescent="0.25">
      <c r="A3785" t="str" cm="1">
        <f t="array" ref="A3785">IFERROR(INDEX(tbNucleo[ESCOLA],ROUNDUP(ROW(A3784)/TotalEtapas,0)),"")</f>
        <v/>
      </c>
      <c r="D3785" t="str">
        <f>IFERROR(VLOOKUP(tbEscolas[[#This Row],[COD ETPA]],tbEtapas[],2,FALSE),"")</f>
        <v/>
      </c>
      <c r="E3785" t="str">
        <f>IFERROR(VLOOKUP(tbEscolas[[#This Row],[COD ETPA]],tbEtapas[],3,FALSE),"")</f>
        <v/>
      </c>
    </row>
    <row r="3786" spans="1:5" x14ac:dyDescent="0.25">
      <c r="A3786" t="str" cm="1">
        <f t="array" ref="A3786">IFERROR(INDEX(tbNucleo[ESCOLA],ROUNDUP(ROW(A3785)/TotalEtapas,0)),"")</f>
        <v/>
      </c>
      <c r="D3786" t="str">
        <f>IFERROR(VLOOKUP(tbEscolas[[#This Row],[COD ETPA]],tbEtapas[],2,FALSE),"")</f>
        <v/>
      </c>
      <c r="E3786" t="str">
        <f>IFERROR(VLOOKUP(tbEscolas[[#This Row],[COD ETPA]],tbEtapas[],3,FALSE),"")</f>
        <v/>
      </c>
    </row>
    <row r="3787" spans="1:5" x14ac:dyDescent="0.25">
      <c r="A3787" t="str" cm="1">
        <f t="array" ref="A3787">IFERROR(INDEX(tbNucleo[ESCOLA],ROUNDUP(ROW(A3786)/TotalEtapas,0)),"")</f>
        <v/>
      </c>
      <c r="D3787" t="str">
        <f>IFERROR(VLOOKUP(tbEscolas[[#This Row],[COD ETPA]],tbEtapas[],2,FALSE),"")</f>
        <v/>
      </c>
      <c r="E3787" t="str">
        <f>IFERROR(VLOOKUP(tbEscolas[[#This Row],[COD ETPA]],tbEtapas[],3,FALSE),"")</f>
        <v/>
      </c>
    </row>
    <row r="3788" spans="1:5" x14ac:dyDescent="0.25">
      <c r="A3788" t="str" cm="1">
        <f t="array" ref="A3788">IFERROR(INDEX(tbNucleo[ESCOLA],ROUNDUP(ROW(A3787)/TotalEtapas,0)),"")</f>
        <v/>
      </c>
      <c r="D3788" t="str">
        <f>IFERROR(VLOOKUP(tbEscolas[[#This Row],[COD ETPA]],tbEtapas[],2,FALSE),"")</f>
        <v/>
      </c>
      <c r="E3788" t="str">
        <f>IFERROR(VLOOKUP(tbEscolas[[#This Row],[COD ETPA]],tbEtapas[],3,FALSE),"")</f>
        <v/>
      </c>
    </row>
    <row r="3789" spans="1:5" x14ac:dyDescent="0.25">
      <c r="A3789" t="str" cm="1">
        <f t="array" ref="A3789">IFERROR(INDEX(tbNucleo[ESCOLA],ROUNDUP(ROW(A3788)/TotalEtapas,0)),"")</f>
        <v/>
      </c>
      <c r="D3789" t="str">
        <f>IFERROR(VLOOKUP(tbEscolas[[#This Row],[COD ETPA]],tbEtapas[],2,FALSE),"")</f>
        <v/>
      </c>
      <c r="E3789" t="str">
        <f>IFERROR(VLOOKUP(tbEscolas[[#This Row],[COD ETPA]],tbEtapas[],3,FALSE),"")</f>
        <v/>
      </c>
    </row>
    <row r="3790" spans="1:5" x14ac:dyDescent="0.25">
      <c r="A3790" t="str" cm="1">
        <f t="array" ref="A3790">IFERROR(INDEX(tbNucleo[ESCOLA],ROUNDUP(ROW(A3789)/TotalEtapas,0)),"")</f>
        <v/>
      </c>
      <c r="D3790" t="str">
        <f>IFERROR(VLOOKUP(tbEscolas[[#This Row],[COD ETPA]],tbEtapas[],2,FALSE),"")</f>
        <v/>
      </c>
      <c r="E3790" t="str">
        <f>IFERROR(VLOOKUP(tbEscolas[[#This Row],[COD ETPA]],tbEtapas[],3,FALSE),"")</f>
        <v/>
      </c>
    </row>
    <row r="3791" spans="1:5" x14ac:dyDescent="0.25">
      <c r="A3791" t="str" cm="1">
        <f t="array" ref="A3791">IFERROR(INDEX(tbNucleo[ESCOLA],ROUNDUP(ROW(A3790)/TotalEtapas,0)),"")</f>
        <v/>
      </c>
      <c r="D3791" t="str">
        <f>IFERROR(VLOOKUP(tbEscolas[[#This Row],[COD ETPA]],tbEtapas[],2,FALSE),"")</f>
        <v/>
      </c>
      <c r="E3791" t="str">
        <f>IFERROR(VLOOKUP(tbEscolas[[#This Row],[COD ETPA]],tbEtapas[],3,FALSE),"")</f>
        <v/>
      </c>
    </row>
    <row r="3792" spans="1:5" x14ac:dyDescent="0.25">
      <c r="A3792" t="str" cm="1">
        <f t="array" ref="A3792">IFERROR(INDEX(tbNucleo[ESCOLA],ROUNDUP(ROW(A3791)/TotalEtapas,0)),"")</f>
        <v/>
      </c>
      <c r="D3792" t="str">
        <f>IFERROR(VLOOKUP(tbEscolas[[#This Row],[COD ETPA]],tbEtapas[],2,FALSE),"")</f>
        <v/>
      </c>
      <c r="E3792" t="str">
        <f>IFERROR(VLOOKUP(tbEscolas[[#This Row],[COD ETPA]],tbEtapas[],3,FALSE),"")</f>
        <v/>
      </c>
    </row>
    <row r="3793" spans="1:5" x14ac:dyDescent="0.25">
      <c r="A3793" t="str" cm="1">
        <f t="array" ref="A3793">IFERROR(INDEX(tbNucleo[ESCOLA],ROUNDUP(ROW(A3792)/TotalEtapas,0)),"")</f>
        <v/>
      </c>
      <c r="D3793" t="str">
        <f>IFERROR(VLOOKUP(tbEscolas[[#This Row],[COD ETPA]],tbEtapas[],2,FALSE),"")</f>
        <v/>
      </c>
      <c r="E3793" t="str">
        <f>IFERROR(VLOOKUP(tbEscolas[[#This Row],[COD ETPA]],tbEtapas[],3,FALSE),"")</f>
        <v/>
      </c>
    </row>
    <row r="3794" spans="1:5" x14ac:dyDescent="0.25">
      <c r="A3794" t="str" cm="1">
        <f t="array" ref="A3794">IFERROR(INDEX(tbNucleo[ESCOLA],ROUNDUP(ROW(A3793)/TotalEtapas,0)),"")</f>
        <v/>
      </c>
      <c r="D3794" t="str">
        <f>IFERROR(VLOOKUP(tbEscolas[[#This Row],[COD ETPA]],tbEtapas[],2,FALSE),"")</f>
        <v/>
      </c>
      <c r="E3794" t="str">
        <f>IFERROR(VLOOKUP(tbEscolas[[#This Row],[COD ETPA]],tbEtapas[],3,FALSE),"")</f>
        <v/>
      </c>
    </row>
    <row r="3795" spans="1:5" x14ac:dyDescent="0.25">
      <c r="A3795" t="str" cm="1">
        <f t="array" ref="A3795">IFERROR(INDEX(tbNucleo[ESCOLA],ROUNDUP(ROW(A3794)/TotalEtapas,0)),"")</f>
        <v/>
      </c>
      <c r="D3795" t="str">
        <f>IFERROR(VLOOKUP(tbEscolas[[#This Row],[COD ETPA]],tbEtapas[],2,FALSE),"")</f>
        <v/>
      </c>
      <c r="E3795" t="str">
        <f>IFERROR(VLOOKUP(tbEscolas[[#This Row],[COD ETPA]],tbEtapas[],3,FALSE),"")</f>
        <v/>
      </c>
    </row>
    <row r="3796" spans="1:5" x14ac:dyDescent="0.25">
      <c r="A3796" t="str" cm="1">
        <f t="array" ref="A3796">IFERROR(INDEX(tbNucleo[ESCOLA],ROUNDUP(ROW(A3795)/TotalEtapas,0)),"")</f>
        <v/>
      </c>
      <c r="D3796" t="str">
        <f>IFERROR(VLOOKUP(tbEscolas[[#This Row],[COD ETPA]],tbEtapas[],2,FALSE),"")</f>
        <v/>
      </c>
      <c r="E3796" t="str">
        <f>IFERROR(VLOOKUP(tbEscolas[[#This Row],[COD ETPA]],tbEtapas[],3,FALSE),"")</f>
        <v/>
      </c>
    </row>
    <row r="3797" spans="1:5" x14ac:dyDescent="0.25">
      <c r="A3797" t="str" cm="1">
        <f t="array" ref="A3797">IFERROR(INDEX(tbNucleo[ESCOLA],ROUNDUP(ROW(A3796)/TotalEtapas,0)),"")</f>
        <v/>
      </c>
      <c r="D3797" t="str">
        <f>IFERROR(VLOOKUP(tbEscolas[[#This Row],[COD ETPA]],tbEtapas[],2,FALSE),"")</f>
        <v/>
      </c>
      <c r="E3797" t="str">
        <f>IFERROR(VLOOKUP(tbEscolas[[#This Row],[COD ETPA]],tbEtapas[],3,FALSE),"")</f>
        <v/>
      </c>
    </row>
    <row r="3798" spans="1:5" x14ac:dyDescent="0.25">
      <c r="A3798" t="str" cm="1">
        <f t="array" ref="A3798">IFERROR(INDEX(tbNucleo[ESCOLA],ROUNDUP(ROW(A3797)/TotalEtapas,0)),"")</f>
        <v/>
      </c>
      <c r="D3798" t="str">
        <f>IFERROR(VLOOKUP(tbEscolas[[#This Row],[COD ETPA]],tbEtapas[],2,FALSE),"")</f>
        <v/>
      </c>
      <c r="E3798" t="str">
        <f>IFERROR(VLOOKUP(tbEscolas[[#This Row],[COD ETPA]],tbEtapas[],3,FALSE),"")</f>
        <v/>
      </c>
    </row>
    <row r="3799" spans="1:5" x14ac:dyDescent="0.25">
      <c r="A3799" t="str" cm="1">
        <f t="array" ref="A3799">IFERROR(INDEX(tbNucleo[ESCOLA],ROUNDUP(ROW(A3798)/TotalEtapas,0)),"")</f>
        <v/>
      </c>
      <c r="D3799" t="str">
        <f>IFERROR(VLOOKUP(tbEscolas[[#This Row],[COD ETPA]],tbEtapas[],2,FALSE),"")</f>
        <v/>
      </c>
      <c r="E3799" t="str">
        <f>IFERROR(VLOOKUP(tbEscolas[[#This Row],[COD ETPA]],tbEtapas[],3,FALSE),"")</f>
        <v/>
      </c>
    </row>
    <row r="3800" spans="1:5" x14ac:dyDescent="0.25">
      <c r="A3800" t="str" cm="1">
        <f t="array" ref="A3800">IFERROR(INDEX(tbNucleo[ESCOLA],ROUNDUP(ROW(A3799)/TotalEtapas,0)),"")</f>
        <v/>
      </c>
      <c r="D3800" t="str">
        <f>IFERROR(VLOOKUP(tbEscolas[[#This Row],[COD ETPA]],tbEtapas[],2,FALSE),"")</f>
        <v/>
      </c>
      <c r="E3800" t="str">
        <f>IFERROR(VLOOKUP(tbEscolas[[#This Row],[COD ETPA]],tbEtapas[],3,FALSE),"")</f>
        <v/>
      </c>
    </row>
    <row r="3801" spans="1:5" x14ac:dyDescent="0.25">
      <c r="A3801" t="str" cm="1">
        <f t="array" ref="A3801">IFERROR(INDEX(tbNucleo[ESCOLA],ROUNDUP(ROW(A3800)/TotalEtapas,0)),"")</f>
        <v/>
      </c>
      <c r="D3801" t="str">
        <f>IFERROR(VLOOKUP(tbEscolas[[#This Row],[COD ETPA]],tbEtapas[],2,FALSE),"")</f>
        <v/>
      </c>
      <c r="E3801" t="str">
        <f>IFERROR(VLOOKUP(tbEscolas[[#This Row],[COD ETPA]],tbEtapas[],3,FALSE),"")</f>
        <v/>
      </c>
    </row>
    <row r="3802" spans="1:5" x14ac:dyDescent="0.25">
      <c r="A3802" t="str" cm="1">
        <f t="array" ref="A3802">IFERROR(INDEX(tbNucleo[ESCOLA],ROUNDUP(ROW(A3801)/TotalEtapas,0)),"")</f>
        <v/>
      </c>
      <c r="D3802" t="str">
        <f>IFERROR(VLOOKUP(tbEscolas[[#This Row],[COD ETPA]],tbEtapas[],2,FALSE),"")</f>
        <v/>
      </c>
      <c r="E3802" t="str">
        <f>IFERROR(VLOOKUP(tbEscolas[[#This Row],[COD ETPA]],tbEtapas[],3,FALSE),"")</f>
        <v/>
      </c>
    </row>
    <row r="3803" spans="1:5" x14ac:dyDescent="0.25">
      <c r="A3803" t="str" cm="1">
        <f t="array" ref="A3803">IFERROR(INDEX(tbNucleo[ESCOLA],ROUNDUP(ROW(A3802)/TotalEtapas,0)),"")</f>
        <v/>
      </c>
      <c r="D3803" t="str">
        <f>IFERROR(VLOOKUP(tbEscolas[[#This Row],[COD ETPA]],tbEtapas[],2,FALSE),"")</f>
        <v/>
      </c>
      <c r="E3803" t="str">
        <f>IFERROR(VLOOKUP(tbEscolas[[#This Row],[COD ETPA]],tbEtapas[],3,FALSE),"")</f>
        <v/>
      </c>
    </row>
    <row r="3804" spans="1:5" x14ac:dyDescent="0.25">
      <c r="A3804" t="str" cm="1">
        <f t="array" ref="A3804">IFERROR(INDEX(tbNucleo[ESCOLA],ROUNDUP(ROW(A3803)/TotalEtapas,0)),"")</f>
        <v/>
      </c>
      <c r="D3804" t="str">
        <f>IFERROR(VLOOKUP(tbEscolas[[#This Row],[COD ETPA]],tbEtapas[],2,FALSE),"")</f>
        <v/>
      </c>
      <c r="E3804" t="str">
        <f>IFERROR(VLOOKUP(tbEscolas[[#This Row],[COD ETPA]],tbEtapas[],3,FALSE),"")</f>
        <v/>
      </c>
    </row>
    <row r="3805" spans="1:5" x14ac:dyDescent="0.25">
      <c r="A3805" t="str" cm="1">
        <f t="array" ref="A3805">IFERROR(INDEX(tbNucleo[ESCOLA],ROUNDUP(ROW(A3804)/TotalEtapas,0)),"")</f>
        <v/>
      </c>
      <c r="D3805" t="str">
        <f>IFERROR(VLOOKUP(tbEscolas[[#This Row],[COD ETPA]],tbEtapas[],2,FALSE),"")</f>
        <v/>
      </c>
      <c r="E3805" t="str">
        <f>IFERROR(VLOOKUP(tbEscolas[[#This Row],[COD ETPA]],tbEtapas[],3,FALSE),"")</f>
        <v/>
      </c>
    </row>
    <row r="3806" spans="1:5" x14ac:dyDescent="0.25">
      <c r="A3806" t="str" cm="1">
        <f t="array" ref="A3806">IFERROR(INDEX(tbNucleo[ESCOLA],ROUNDUP(ROW(A3805)/TotalEtapas,0)),"")</f>
        <v/>
      </c>
      <c r="D3806" t="str">
        <f>IFERROR(VLOOKUP(tbEscolas[[#This Row],[COD ETPA]],tbEtapas[],2,FALSE),"")</f>
        <v/>
      </c>
      <c r="E3806" t="str">
        <f>IFERROR(VLOOKUP(tbEscolas[[#This Row],[COD ETPA]],tbEtapas[],3,FALSE),"")</f>
        <v/>
      </c>
    </row>
    <row r="3807" spans="1:5" x14ac:dyDescent="0.25">
      <c r="A3807" t="str" cm="1">
        <f t="array" ref="A3807">IFERROR(INDEX(tbNucleo[ESCOLA],ROUNDUP(ROW(A3806)/TotalEtapas,0)),"")</f>
        <v/>
      </c>
      <c r="D3807" t="str">
        <f>IFERROR(VLOOKUP(tbEscolas[[#This Row],[COD ETPA]],tbEtapas[],2,FALSE),"")</f>
        <v/>
      </c>
      <c r="E3807" t="str">
        <f>IFERROR(VLOOKUP(tbEscolas[[#This Row],[COD ETPA]],tbEtapas[],3,FALSE),"")</f>
        <v/>
      </c>
    </row>
    <row r="3808" spans="1:5" x14ac:dyDescent="0.25">
      <c r="A3808" t="str" cm="1">
        <f t="array" ref="A3808">IFERROR(INDEX(tbNucleo[ESCOLA],ROUNDUP(ROW(A3807)/TotalEtapas,0)),"")</f>
        <v/>
      </c>
      <c r="D3808" t="str">
        <f>IFERROR(VLOOKUP(tbEscolas[[#This Row],[COD ETPA]],tbEtapas[],2,FALSE),"")</f>
        <v/>
      </c>
      <c r="E3808" t="str">
        <f>IFERROR(VLOOKUP(tbEscolas[[#This Row],[COD ETPA]],tbEtapas[],3,FALSE),"")</f>
        <v/>
      </c>
    </row>
    <row r="3809" spans="1:5" x14ac:dyDescent="0.25">
      <c r="A3809" t="str" cm="1">
        <f t="array" ref="A3809">IFERROR(INDEX(tbNucleo[ESCOLA],ROUNDUP(ROW(A3808)/TotalEtapas,0)),"")</f>
        <v/>
      </c>
      <c r="D3809" t="str">
        <f>IFERROR(VLOOKUP(tbEscolas[[#This Row],[COD ETPA]],tbEtapas[],2,FALSE),"")</f>
        <v/>
      </c>
      <c r="E3809" t="str">
        <f>IFERROR(VLOOKUP(tbEscolas[[#This Row],[COD ETPA]],tbEtapas[],3,FALSE),"")</f>
        <v/>
      </c>
    </row>
    <row r="3810" spans="1:5" x14ac:dyDescent="0.25">
      <c r="A3810" t="str" cm="1">
        <f t="array" ref="A3810">IFERROR(INDEX(tbNucleo[ESCOLA],ROUNDUP(ROW(A3809)/TotalEtapas,0)),"")</f>
        <v/>
      </c>
      <c r="D3810" t="str">
        <f>IFERROR(VLOOKUP(tbEscolas[[#This Row],[COD ETPA]],tbEtapas[],2,FALSE),"")</f>
        <v/>
      </c>
      <c r="E3810" t="str">
        <f>IFERROR(VLOOKUP(tbEscolas[[#This Row],[COD ETPA]],tbEtapas[],3,FALSE),"")</f>
        <v/>
      </c>
    </row>
    <row r="3811" spans="1:5" x14ac:dyDescent="0.25">
      <c r="A3811" t="str" cm="1">
        <f t="array" ref="A3811">IFERROR(INDEX(tbNucleo[ESCOLA],ROUNDUP(ROW(A3810)/TotalEtapas,0)),"")</f>
        <v/>
      </c>
      <c r="D3811" t="str">
        <f>IFERROR(VLOOKUP(tbEscolas[[#This Row],[COD ETPA]],tbEtapas[],2,FALSE),"")</f>
        <v/>
      </c>
      <c r="E3811" t="str">
        <f>IFERROR(VLOOKUP(tbEscolas[[#This Row],[COD ETPA]],tbEtapas[],3,FALSE),"")</f>
        <v/>
      </c>
    </row>
    <row r="3812" spans="1:5" x14ac:dyDescent="0.25">
      <c r="A3812" t="str" cm="1">
        <f t="array" ref="A3812">IFERROR(INDEX(tbNucleo[ESCOLA],ROUNDUP(ROW(A3811)/TotalEtapas,0)),"")</f>
        <v/>
      </c>
      <c r="D3812" t="str">
        <f>IFERROR(VLOOKUP(tbEscolas[[#This Row],[COD ETPA]],tbEtapas[],2,FALSE),"")</f>
        <v/>
      </c>
      <c r="E3812" t="str">
        <f>IFERROR(VLOOKUP(tbEscolas[[#This Row],[COD ETPA]],tbEtapas[],3,FALSE),"")</f>
        <v/>
      </c>
    </row>
    <row r="3813" spans="1:5" x14ac:dyDescent="0.25">
      <c r="A3813" t="str" cm="1">
        <f t="array" ref="A3813">IFERROR(INDEX(tbNucleo[ESCOLA],ROUNDUP(ROW(A3812)/TotalEtapas,0)),"")</f>
        <v/>
      </c>
      <c r="D3813" t="str">
        <f>IFERROR(VLOOKUP(tbEscolas[[#This Row],[COD ETPA]],tbEtapas[],2,FALSE),"")</f>
        <v/>
      </c>
      <c r="E3813" t="str">
        <f>IFERROR(VLOOKUP(tbEscolas[[#This Row],[COD ETPA]],tbEtapas[],3,FALSE),"")</f>
        <v/>
      </c>
    </row>
    <row r="3814" spans="1:5" x14ac:dyDescent="0.25">
      <c r="A3814" t="str" cm="1">
        <f t="array" ref="A3814">IFERROR(INDEX(tbNucleo[ESCOLA],ROUNDUP(ROW(A3813)/TotalEtapas,0)),"")</f>
        <v/>
      </c>
      <c r="D3814" t="str">
        <f>IFERROR(VLOOKUP(tbEscolas[[#This Row],[COD ETPA]],tbEtapas[],2,FALSE),"")</f>
        <v/>
      </c>
      <c r="E3814" t="str">
        <f>IFERROR(VLOOKUP(tbEscolas[[#This Row],[COD ETPA]],tbEtapas[],3,FALSE),"")</f>
        <v/>
      </c>
    </row>
    <row r="3815" spans="1:5" x14ac:dyDescent="0.25">
      <c r="A3815" t="str" cm="1">
        <f t="array" ref="A3815">IFERROR(INDEX(tbNucleo[ESCOLA],ROUNDUP(ROW(A3814)/TotalEtapas,0)),"")</f>
        <v/>
      </c>
      <c r="D3815" t="str">
        <f>IFERROR(VLOOKUP(tbEscolas[[#This Row],[COD ETPA]],tbEtapas[],2,FALSE),"")</f>
        <v/>
      </c>
      <c r="E3815" t="str">
        <f>IFERROR(VLOOKUP(tbEscolas[[#This Row],[COD ETPA]],tbEtapas[],3,FALSE),"")</f>
        <v/>
      </c>
    </row>
    <row r="3816" spans="1:5" x14ac:dyDescent="0.25">
      <c r="A3816" t="str" cm="1">
        <f t="array" ref="A3816">IFERROR(INDEX(tbNucleo[ESCOLA],ROUNDUP(ROW(A3815)/TotalEtapas,0)),"")</f>
        <v/>
      </c>
      <c r="D3816" t="str">
        <f>IFERROR(VLOOKUP(tbEscolas[[#This Row],[COD ETPA]],tbEtapas[],2,FALSE),"")</f>
        <v/>
      </c>
      <c r="E3816" t="str">
        <f>IFERROR(VLOOKUP(tbEscolas[[#This Row],[COD ETPA]],tbEtapas[],3,FALSE),"")</f>
        <v/>
      </c>
    </row>
    <row r="3817" spans="1:5" x14ac:dyDescent="0.25">
      <c r="A3817" t="str" cm="1">
        <f t="array" ref="A3817">IFERROR(INDEX(tbNucleo[ESCOLA],ROUNDUP(ROW(A3816)/TotalEtapas,0)),"")</f>
        <v/>
      </c>
      <c r="D3817" t="str">
        <f>IFERROR(VLOOKUP(tbEscolas[[#This Row],[COD ETPA]],tbEtapas[],2,FALSE),"")</f>
        <v/>
      </c>
      <c r="E3817" t="str">
        <f>IFERROR(VLOOKUP(tbEscolas[[#This Row],[COD ETPA]],tbEtapas[],3,FALSE),"")</f>
        <v/>
      </c>
    </row>
    <row r="3818" spans="1:5" x14ac:dyDescent="0.25">
      <c r="A3818" t="str" cm="1">
        <f t="array" ref="A3818">IFERROR(INDEX(tbNucleo[ESCOLA],ROUNDUP(ROW(A3817)/TotalEtapas,0)),"")</f>
        <v/>
      </c>
      <c r="D3818" t="str">
        <f>IFERROR(VLOOKUP(tbEscolas[[#This Row],[COD ETPA]],tbEtapas[],2,FALSE),"")</f>
        <v/>
      </c>
      <c r="E3818" t="str">
        <f>IFERROR(VLOOKUP(tbEscolas[[#This Row],[COD ETPA]],tbEtapas[],3,FALSE),"")</f>
        <v/>
      </c>
    </row>
    <row r="3819" spans="1:5" x14ac:dyDescent="0.25">
      <c r="A3819" t="str" cm="1">
        <f t="array" ref="A3819">IFERROR(INDEX(tbNucleo[ESCOLA],ROUNDUP(ROW(A3818)/TotalEtapas,0)),"")</f>
        <v/>
      </c>
      <c r="D3819" t="str">
        <f>IFERROR(VLOOKUP(tbEscolas[[#This Row],[COD ETPA]],tbEtapas[],2,FALSE),"")</f>
        <v/>
      </c>
      <c r="E3819" t="str">
        <f>IFERROR(VLOOKUP(tbEscolas[[#This Row],[COD ETPA]],tbEtapas[],3,FALSE),"")</f>
        <v/>
      </c>
    </row>
    <row r="3820" spans="1:5" x14ac:dyDescent="0.25">
      <c r="A3820" t="str" cm="1">
        <f t="array" ref="A3820">IFERROR(INDEX(tbNucleo[ESCOLA],ROUNDUP(ROW(A3819)/TotalEtapas,0)),"")</f>
        <v/>
      </c>
      <c r="D3820" t="str">
        <f>IFERROR(VLOOKUP(tbEscolas[[#This Row],[COD ETPA]],tbEtapas[],2,FALSE),"")</f>
        <v/>
      </c>
      <c r="E3820" t="str">
        <f>IFERROR(VLOOKUP(tbEscolas[[#This Row],[COD ETPA]],tbEtapas[],3,FALSE),"")</f>
        <v/>
      </c>
    </row>
    <row r="3821" spans="1:5" x14ac:dyDescent="0.25">
      <c r="A3821" t="str" cm="1">
        <f t="array" ref="A3821">IFERROR(INDEX(tbNucleo[ESCOLA],ROUNDUP(ROW(A3820)/TotalEtapas,0)),"")</f>
        <v/>
      </c>
      <c r="D3821" t="str">
        <f>IFERROR(VLOOKUP(tbEscolas[[#This Row],[COD ETPA]],tbEtapas[],2,FALSE),"")</f>
        <v/>
      </c>
      <c r="E3821" t="str">
        <f>IFERROR(VLOOKUP(tbEscolas[[#This Row],[COD ETPA]],tbEtapas[],3,FALSE),"")</f>
        <v/>
      </c>
    </row>
    <row r="3822" spans="1:5" x14ac:dyDescent="0.25">
      <c r="A3822" t="str" cm="1">
        <f t="array" ref="A3822">IFERROR(INDEX(tbNucleo[ESCOLA],ROUNDUP(ROW(A3821)/TotalEtapas,0)),"")</f>
        <v/>
      </c>
      <c r="D3822" t="str">
        <f>IFERROR(VLOOKUP(tbEscolas[[#This Row],[COD ETPA]],tbEtapas[],2,FALSE),"")</f>
        <v/>
      </c>
      <c r="E3822" t="str">
        <f>IFERROR(VLOOKUP(tbEscolas[[#This Row],[COD ETPA]],tbEtapas[],3,FALSE),"")</f>
        <v/>
      </c>
    </row>
    <row r="3823" spans="1:5" x14ac:dyDescent="0.25">
      <c r="A3823" t="str" cm="1">
        <f t="array" ref="A3823">IFERROR(INDEX(tbNucleo[ESCOLA],ROUNDUP(ROW(A3822)/TotalEtapas,0)),"")</f>
        <v/>
      </c>
      <c r="D3823" t="str">
        <f>IFERROR(VLOOKUP(tbEscolas[[#This Row],[COD ETPA]],tbEtapas[],2,FALSE),"")</f>
        <v/>
      </c>
      <c r="E3823" t="str">
        <f>IFERROR(VLOOKUP(tbEscolas[[#This Row],[COD ETPA]],tbEtapas[],3,FALSE),"")</f>
        <v/>
      </c>
    </row>
    <row r="3824" spans="1:5" x14ac:dyDescent="0.25">
      <c r="A3824" t="str" cm="1">
        <f t="array" ref="A3824">IFERROR(INDEX(tbNucleo[ESCOLA],ROUNDUP(ROW(A3823)/TotalEtapas,0)),"")</f>
        <v/>
      </c>
      <c r="D3824" t="str">
        <f>IFERROR(VLOOKUP(tbEscolas[[#This Row],[COD ETPA]],tbEtapas[],2,FALSE),"")</f>
        <v/>
      </c>
      <c r="E3824" t="str">
        <f>IFERROR(VLOOKUP(tbEscolas[[#This Row],[COD ETPA]],tbEtapas[],3,FALSE),"")</f>
        <v/>
      </c>
    </row>
    <row r="3825" spans="1:5" x14ac:dyDescent="0.25">
      <c r="A3825" t="str" cm="1">
        <f t="array" ref="A3825">IFERROR(INDEX(tbNucleo[ESCOLA],ROUNDUP(ROW(A3824)/TotalEtapas,0)),"")</f>
        <v/>
      </c>
      <c r="D3825" t="str">
        <f>IFERROR(VLOOKUP(tbEscolas[[#This Row],[COD ETPA]],tbEtapas[],2,FALSE),"")</f>
        <v/>
      </c>
      <c r="E3825" t="str">
        <f>IFERROR(VLOOKUP(tbEscolas[[#This Row],[COD ETPA]],tbEtapas[],3,FALSE),"")</f>
        <v/>
      </c>
    </row>
    <row r="3826" spans="1:5" x14ac:dyDescent="0.25">
      <c r="A3826" t="str" cm="1">
        <f t="array" ref="A3826">IFERROR(INDEX(tbNucleo[ESCOLA],ROUNDUP(ROW(A3825)/TotalEtapas,0)),"")</f>
        <v/>
      </c>
      <c r="D3826" t="str">
        <f>IFERROR(VLOOKUP(tbEscolas[[#This Row],[COD ETPA]],tbEtapas[],2,FALSE),"")</f>
        <v/>
      </c>
      <c r="E3826" t="str">
        <f>IFERROR(VLOOKUP(tbEscolas[[#This Row],[COD ETPA]],tbEtapas[],3,FALSE),"")</f>
        <v/>
      </c>
    </row>
    <row r="3827" spans="1:5" x14ac:dyDescent="0.25">
      <c r="A3827" t="str" cm="1">
        <f t="array" ref="A3827">IFERROR(INDEX(tbNucleo[ESCOLA],ROUNDUP(ROW(A3826)/TotalEtapas,0)),"")</f>
        <v/>
      </c>
      <c r="D3827" t="str">
        <f>IFERROR(VLOOKUP(tbEscolas[[#This Row],[COD ETPA]],tbEtapas[],2,FALSE),"")</f>
        <v/>
      </c>
      <c r="E3827" t="str">
        <f>IFERROR(VLOOKUP(tbEscolas[[#This Row],[COD ETPA]],tbEtapas[],3,FALSE),"")</f>
        <v/>
      </c>
    </row>
    <row r="3828" spans="1:5" x14ac:dyDescent="0.25">
      <c r="A3828" t="str" cm="1">
        <f t="array" ref="A3828">IFERROR(INDEX(tbNucleo[ESCOLA],ROUNDUP(ROW(A3827)/TotalEtapas,0)),"")</f>
        <v/>
      </c>
      <c r="D3828" t="str">
        <f>IFERROR(VLOOKUP(tbEscolas[[#This Row],[COD ETPA]],tbEtapas[],2,FALSE),"")</f>
        <v/>
      </c>
      <c r="E3828" t="str">
        <f>IFERROR(VLOOKUP(tbEscolas[[#This Row],[COD ETPA]],tbEtapas[],3,FALSE),"")</f>
        <v/>
      </c>
    </row>
    <row r="3829" spans="1:5" x14ac:dyDescent="0.25">
      <c r="A3829" t="str" cm="1">
        <f t="array" ref="A3829">IFERROR(INDEX(tbNucleo[ESCOLA],ROUNDUP(ROW(A3828)/TotalEtapas,0)),"")</f>
        <v/>
      </c>
      <c r="D3829" t="str">
        <f>IFERROR(VLOOKUP(tbEscolas[[#This Row],[COD ETPA]],tbEtapas[],2,FALSE),"")</f>
        <v/>
      </c>
      <c r="E3829" t="str">
        <f>IFERROR(VLOOKUP(tbEscolas[[#This Row],[COD ETPA]],tbEtapas[],3,FALSE),"")</f>
        <v/>
      </c>
    </row>
    <row r="3830" spans="1:5" x14ac:dyDescent="0.25">
      <c r="A3830" t="str" cm="1">
        <f t="array" ref="A3830">IFERROR(INDEX(tbNucleo[ESCOLA],ROUNDUP(ROW(A3829)/TotalEtapas,0)),"")</f>
        <v/>
      </c>
      <c r="D3830" t="str">
        <f>IFERROR(VLOOKUP(tbEscolas[[#This Row],[COD ETPA]],tbEtapas[],2,FALSE),"")</f>
        <v/>
      </c>
      <c r="E3830" t="str">
        <f>IFERROR(VLOOKUP(tbEscolas[[#This Row],[COD ETPA]],tbEtapas[],3,FALSE),"")</f>
        <v/>
      </c>
    </row>
    <row r="3831" spans="1:5" x14ac:dyDescent="0.25">
      <c r="A3831" t="str" cm="1">
        <f t="array" ref="A3831">IFERROR(INDEX(tbNucleo[ESCOLA],ROUNDUP(ROW(A3830)/TotalEtapas,0)),"")</f>
        <v/>
      </c>
      <c r="D3831" t="str">
        <f>IFERROR(VLOOKUP(tbEscolas[[#This Row],[COD ETPA]],tbEtapas[],2,FALSE),"")</f>
        <v/>
      </c>
      <c r="E3831" t="str">
        <f>IFERROR(VLOOKUP(tbEscolas[[#This Row],[COD ETPA]],tbEtapas[],3,FALSE),"")</f>
        <v/>
      </c>
    </row>
    <row r="3832" spans="1:5" x14ac:dyDescent="0.25">
      <c r="A3832" t="str" cm="1">
        <f t="array" ref="A3832">IFERROR(INDEX(tbNucleo[ESCOLA],ROUNDUP(ROW(A3831)/TotalEtapas,0)),"")</f>
        <v/>
      </c>
      <c r="D3832" t="str">
        <f>IFERROR(VLOOKUP(tbEscolas[[#This Row],[COD ETPA]],tbEtapas[],2,FALSE),"")</f>
        <v/>
      </c>
      <c r="E3832" t="str">
        <f>IFERROR(VLOOKUP(tbEscolas[[#This Row],[COD ETPA]],tbEtapas[],3,FALSE),"")</f>
        <v/>
      </c>
    </row>
    <row r="3833" spans="1:5" x14ac:dyDescent="0.25">
      <c r="A3833" t="str" cm="1">
        <f t="array" ref="A3833">IFERROR(INDEX(tbNucleo[ESCOLA],ROUNDUP(ROW(A3832)/TotalEtapas,0)),"")</f>
        <v/>
      </c>
      <c r="D3833" t="str">
        <f>IFERROR(VLOOKUP(tbEscolas[[#This Row],[COD ETPA]],tbEtapas[],2,FALSE),"")</f>
        <v/>
      </c>
      <c r="E3833" t="str">
        <f>IFERROR(VLOOKUP(tbEscolas[[#This Row],[COD ETPA]],tbEtapas[],3,FALSE),"")</f>
        <v/>
      </c>
    </row>
    <row r="3834" spans="1:5" x14ac:dyDescent="0.25">
      <c r="A3834" t="str" cm="1">
        <f t="array" ref="A3834">IFERROR(INDEX(tbNucleo[ESCOLA],ROUNDUP(ROW(A3833)/TotalEtapas,0)),"")</f>
        <v/>
      </c>
      <c r="D3834" t="str">
        <f>IFERROR(VLOOKUP(tbEscolas[[#This Row],[COD ETPA]],tbEtapas[],2,FALSE),"")</f>
        <v/>
      </c>
      <c r="E3834" t="str">
        <f>IFERROR(VLOOKUP(tbEscolas[[#This Row],[COD ETPA]],tbEtapas[],3,FALSE),"")</f>
        <v/>
      </c>
    </row>
    <row r="3835" spans="1:5" x14ac:dyDescent="0.25">
      <c r="A3835" t="str" cm="1">
        <f t="array" ref="A3835">IFERROR(INDEX(tbNucleo[ESCOLA],ROUNDUP(ROW(A3834)/TotalEtapas,0)),"")</f>
        <v/>
      </c>
      <c r="D3835" t="str">
        <f>IFERROR(VLOOKUP(tbEscolas[[#This Row],[COD ETPA]],tbEtapas[],2,FALSE),"")</f>
        <v/>
      </c>
      <c r="E3835" t="str">
        <f>IFERROR(VLOOKUP(tbEscolas[[#This Row],[COD ETPA]],tbEtapas[],3,FALSE),"")</f>
        <v/>
      </c>
    </row>
    <row r="3836" spans="1:5" x14ac:dyDescent="0.25">
      <c r="A3836" t="str" cm="1">
        <f t="array" ref="A3836">IFERROR(INDEX(tbNucleo[ESCOLA],ROUNDUP(ROW(A3835)/TotalEtapas,0)),"")</f>
        <v/>
      </c>
      <c r="D3836" t="str">
        <f>IFERROR(VLOOKUP(tbEscolas[[#This Row],[COD ETPA]],tbEtapas[],2,FALSE),"")</f>
        <v/>
      </c>
      <c r="E3836" t="str">
        <f>IFERROR(VLOOKUP(tbEscolas[[#This Row],[COD ETPA]],tbEtapas[],3,FALSE),"")</f>
        <v/>
      </c>
    </row>
    <row r="3837" spans="1:5" x14ac:dyDescent="0.25">
      <c r="A3837" t="str" cm="1">
        <f t="array" ref="A3837">IFERROR(INDEX(tbNucleo[ESCOLA],ROUNDUP(ROW(A3836)/TotalEtapas,0)),"")</f>
        <v/>
      </c>
      <c r="D3837" t="str">
        <f>IFERROR(VLOOKUP(tbEscolas[[#This Row],[COD ETPA]],tbEtapas[],2,FALSE),"")</f>
        <v/>
      </c>
      <c r="E3837" t="str">
        <f>IFERROR(VLOOKUP(tbEscolas[[#This Row],[COD ETPA]],tbEtapas[],3,FALSE),"")</f>
        <v/>
      </c>
    </row>
    <row r="3838" spans="1:5" x14ac:dyDescent="0.25">
      <c r="A3838" t="str" cm="1">
        <f t="array" ref="A3838">IFERROR(INDEX(tbNucleo[ESCOLA],ROUNDUP(ROW(A3837)/TotalEtapas,0)),"")</f>
        <v/>
      </c>
      <c r="D3838" t="str">
        <f>IFERROR(VLOOKUP(tbEscolas[[#This Row],[COD ETPA]],tbEtapas[],2,FALSE),"")</f>
        <v/>
      </c>
      <c r="E3838" t="str">
        <f>IFERROR(VLOOKUP(tbEscolas[[#This Row],[COD ETPA]],tbEtapas[],3,FALSE),"")</f>
        <v/>
      </c>
    </row>
    <row r="3839" spans="1:5" x14ac:dyDescent="0.25">
      <c r="A3839" t="str" cm="1">
        <f t="array" ref="A3839">IFERROR(INDEX(tbNucleo[ESCOLA],ROUNDUP(ROW(A3838)/TotalEtapas,0)),"")</f>
        <v/>
      </c>
      <c r="D3839" t="str">
        <f>IFERROR(VLOOKUP(tbEscolas[[#This Row],[COD ETPA]],tbEtapas[],2,FALSE),"")</f>
        <v/>
      </c>
      <c r="E3839" t="str">
        <f>IFERROR(VLOOKUP(tbEscolas[[#This Row],[COD ETPA]],tbEtapas[],3,FALSE),"")</f>
        <v/>
      </c>
    </row>
    <row r="3840" spans="1:5" x14ac:dyDescent="0.25">
      <c r="A3840" t="str" cm="1">
        <f t="array" ref="A3840">IFERROR(INDEX(tbNucleo[ESCOLA],ROUNDUP(ROW(A3839)/TotalEtapas,0)),"")</f>
        <v/>
      </c>
      <c r="D3840" t="str">
        <f>IFERROR(VLOOKUP(tbEscolas[[#This Row],[COD ETPA]],tbEtapas[],2,FALSE),"")</f>
        <v/>
      </c>
      <c r="E3840" t="str">
        <f>IFERROR(VLOOKUP(tbEscolas[[#This Row],[COD ETPA]],tbEtapas[],3,FALSE),"")</f>
        <v/>
      </c>
    </row>
    <row r="3841" spans="1:5" x14ac:dyDescent="0.25">
      <c r="A3841" t="str" cm="1">
        <f t="array" ref="A3841">IFERROR(INDEX(tbNucleo[ESCOLA],ROUNDUP(ROW(A3840)/TotalEtapas,0)),"")</f>
        <v/>
      </c>
      <c r="D3841" t="str">
        <f>IFERROR(VLOOKUP(tbEscolas[[#This Row],[COD ETPA]],tbEtapas[],2,FALSE),"")</f>
        <v/>
      </c>
      <c r="E3841" t="str">
        <f>IFERROR(VLOOKUP(tbEscolas[[#This Row],[COD ETPA]],tbEtapas[],3,FALSE),"")</f>
        <v/>
      </c>
    </row>
    <row r="3842" spans="1:5" x14ac:dyDescent="0.25">
      <c r="A3842" t="str" cm="1">
        <f t="array" ref="A3842">IFERROR(INDEX(tbNucleo[ESCOLA],ROUNDUP(ROW(A3841)/TotalEtapas,0)),"")</f>
        <v/>
      </c>
      <c r="D3842" t="str">
        <f>IFERROR(VLOOKUP(tbEscolas[[#This Row],[COD ETPA]],tbEtapas[],2,FALSE),"")</f>
        <v/>
      </c>
      <c r="E3842" t="str">
        <f>IFERROR(VLOOKUP(tbEscolas[[#This Row],[COD ETPA]],tbEtapas[],3,FALSE),"")</f>
        <v/>
      </c>
    </row>
    <row r="3843" spans="1:5" x14ac:dyDescent="0.25">
      <c r="A3843" t="str" cm="1">
        <f t="array" ref="A3843">IFERROR(INDEX(tbNucleo[ESCOLA],ROUNDUP(ROW(A3842)/TotalEtapas,0)),"")</f>
        <v/>
      </c>
      <c r="D3843" t="str">
        <f>IFERROR(VLOOKUP(tbEscolas[[#This Row],[COD ETPA]],tbEtapas[],2,FALSE),"")</f>
        <v/>
      </c>
      <c r="E3843" t="str">
        <f>IFERROR(VLOOKUP(tbEscolas[[#This Row],[COD ETPA]],tbEtapas[],3,FALSE),"")</f>
        <v/>
      </c>
    </row>
    <row r="3844" spans="1:5" x14ac:dyDescent="0.25">
      <c r="A3844" t="str" cm="1">
        <f t="array" ref="A3844">IFERROR(INDEX(tbNucleo[ESCOLA],ROUNDUP(ROW(A3843)/TotalEtapas,0)),"")</f>
        <v/>
      </c>
      <c r="D3844" t="str">
        <f>IFERROR(VLOOKUP(tbEscolas[[#This Row],[COD ETPA]],tbEtapas[],2,FALSE),"")</f>
        <v/>
      </c>
      <c r="E3844" t="str">
        <f>IFERROR(VLOOKUP(tbEscolas[[#This Row],[COD ETPA]],tbEtapas[],3,FALSE),"")</f>
        <v/>
      </c>
    </row>
    <row r="3845" spans="1:5" x14ac:dyDescent="0.25">
      <c r="A3845" t="str" cm="1">
        <f t="array" ref="A3845">IFERROR(INDEX(tbNucleo[ESCOLA],ROUNDUP(ROW(A3844)/TotalEtapas,0)),"")</f>
        <v/>
      </c>
      <c r="D3845" t="str">
        <f>IFERROR(VLOOKUP(tbEscolas[[#This Row],[COD ETPA]],tbEtapas[],2,FALSE),"")</f>
        <v/>
      </c>
      <c r="E3845" t="str">
        <f>IFERROR(VLOOKUP(tbEscolas[[#This Row],[COD ETPA]],tbEtapas[],3,FALSE),"")</f>
        <v/>
      </c>
    </row>
    <row r="3846" spans="1:5" x14ac:dyDescent="0.25">
      <c r="A3846" t="str" cm="1">
        <f t="array" ref="A3846">IFERROR(INDEX(tbNucleo[ESCOLA],ROUNDUP(ROW(A3845)/TotalEtapas,0)),"")</f>
        <v/>
      </c>
      <c r="D3846" t="str">
        <f>IFERROR(VLOOKUP(tbEscolas[[#This Row],[COD ETPA]],tbEtapas[],2,FALSE),"")</f>
        <v/>
      </c>
      <c r="E3846" t="str">
        <f>IFERROR(VLOOKUP(tbEscolas[[#This Row],[COD ETPA]],tbEtapas[],3,FALSE),"")</f>
        <v/>
      </c>
    </row>
    <row r="3847" spans="1:5" x14ac:dyDescent="0.25">
      <c r="A3847" t="str" cm="1">
        <f t="array" ref="A3847">IFERROR(INDEX(tbNucleo[ESCOLA],ROUNDUP(ROW(A3846)/TotalEtapas,0)),"")</f>
        <v/>
      </c>
      <c r="D3847" t="str">
        <f>IFERROR(VLOOKUP(tbEscolas[[#This Row],[COD ETPA]],tbEtapas[],2,FALSE),"")</f>
        <v/>
      </c>
      <c r="E3847" t="str">
        <f>IFERROR(VLOOKUP(tbEscolas[[#This Row],[COD ETPA]],tbEtapas[],3,FALSE),"")</f>
        <v/>
      </c>
    </row>
    <row r="3848" spans="1:5" x14ac:dyDescent="0.25">
      <c r="A3848" t="str" cm="1">
        <f t="array" ref="A3848">IFERROR(INDEX(tbNucleo[ESCOLA],ROUNDUP(ROW(A3847)/TotalEtapas,0)),"")</f>
        <v/>
      </c>
      <c r="D3848" t="str">
        <f>IFERROR(VLOOKUP(tbEscolas[[#This Row],[COD ETPA]],tbEtapas[],2,FALSE),"")</f>
        <v/>
      </c>
      <c r="E3848" t="str">
        <f>IFERROR(VLOOKUP(tbEscolas[[#This Row],[COD ETPA]],tbEtapas[],3,FALSE),"")</f>
        <v/>
      </c>
    </row>
    <row r="3849" spans="1:5" x14ac:dyDescent="0.25">
      <c r="A3849" t="str" cm="1">
        <f t="array" ref="A3849">IFERROR(INDEX(tbNucleo[ESCOLA],ROUNDUP(ROW(A3848)/TotalEtapas,0)),"")</f>
        <v/>
      </c>
      <c r="D3849" t="str">
        <f>IFERROR(VLOOKUP(tbEscolas[[#This Row],[COD ETPA]],tbEtapas[],2,FALSE),"")</f>
        <v/>
      </c>
      <c r="E3849" t="str">
        <f>IFERROR(VLOOKUP(tbEscolas[[#This Row],[COD ETPA]],tbEtapas[],3,FALSE),"")</f>
        <v/>
      </c>
    </row>
    <row r="3850" spans="1:5" x14ac:dyDescent="0.25">
      <c r="A3850" t="str" cm="1">
        <f t="array" ref="A3850">IFERROR(INDEX(tbNucleo[ESCOLA],ROUNDUP(ROW(A3849)/TotalEtapas,0)),"")</f>
        <v/>
      </c>
      <c r="D3850" t="str">
        <f>IFERROR(VLOOKUP(tbEscolas[[#This Row],[COD ETPA]],tbEtapas[],2,FALSE),"")</f>
        <v/>
      </c>
      <c r="E3850" t="str">
        <f>IFERROR(VLOOKUP(tbEscolas[[#This Row],[COD ETPA]],tbEtapas[],3,FALSE),"")</f>
        <v/>
      </c>
    </row>
    <row r="3851" spans="1:5" x14ac:dyDescent="0.25">
      <c r="A3851" t="str" cm="1">
        <f t="array" ref="A3851">IFERROR(INDEX(tbNucleo[ESCOLA],ROUNDUP(ROW(A3850)/TotalEtapas,0)),"")</f>
        <v/>
      </c>
      <c r="D3851" t="str">
        <f>IFERROR(VLOOKUP(tbEscolas[[#This Row],[COD ETPA]],tbEtapas[],2,FALSE),"")</f>
        <v/>
      </c>
      <c r="E3851" t="str">
        <f>IFERROR(VLOOKUP(tbEscolas[[#This Row],[COD ETPA]],tbEtapas[],3,FALSE),"")</f>
        <v/>
      </c>
    </row>
    <row r="3852" spans="1:5" x14ac:dyDescent="0.25">
      <c r="A3852" t="str" cm="1">
        <f t="array" ref="A3852">IFERROR(INDEX(tbNucleo[ESCOLA],ROUNDUP(ROW(A3851)/TotalEtapas,0)),"")</f>
        <v/>
      </c>
      <c r="D3852" t="str">
        <f>IFERROR(VLOOKUP(tbEscolas[[#This Row],[COD ETPA]],tbEtapas[],2,FALSE),"")</f>
        <v/>
      </c>
      <c r="E3852" t="str">
        <f>IFERROR(VLOOKUP(tbEscolas[[#This Row],[COD ETPA]],tbEtapas[],3,FALSE),"")</f>
        <v/>
      </c>
    </row>
    <row r="3853" spans="1:5" x14ac:dyDescent="0.25">
      <c r="A3853" t="str" cm="1">
        <f t="array" ref="A3853">IFERROR(INDEX(tbNucleo[ESCOLA],ROUNDUP(ROW(A3852)/TotalEtapas,0)),"")</f>
        <v/>
      </c>
      <c r="D3853" t="str">
        <f>IFERROR(VLOOKUP(tbEscolas[[#This Row],[COD ETPA]],tbEtapas[],2,FALSE),"")</f>
        <v/>
      </c>
      <c r="E3853" t="str">
        <f>IFERROR(VLOOKUP(tbEscolas[[#This Row],[COD ETPA]],tbEtapas[],3,FALSE),"")</f>
        <v/>
      </c>
    </row>
    <row r="3854" spans="1:5" x14ac:dyDescent="0.25">
      <c r="A3854" t="str" cm="1">
        <f t="array" ref="A3854">IFERROR(INDEX(tbNucleo[ESCOLA],ROUNDUP(ROW(A3853)/TotalEtapas,0)),"")</f>
        <v/>
      </c>
      <c r="D3854" t="str">
        <f>IFERROR(VLOOKUP(tbEscolas[[#This Row],[COD ETPA]],tbEtapas[],2,FALSE),"")</f>
        <v/>
      </c>
      <c r="E3854" t="str">
        <f>IFERROR(VLOOKUP(tbEscolas[[#This Row],[COD ETPA]],tbEtapas[],3,FALSE),"")</f>
        <v/>
      </c>
    </row>
    <row r="3855" spans="1:5" x14ac:dyDescent="0.25">
      <c r="A3855" t="str" cm="1">
        <f t="array" ref="A3855">IFERROR(INDEX(tbNucleo[ESCOLA],ROUNDUP(ROW(A3854)/TotalEtapas,0)),"")</f>
        <v/>
      </c>
      <c r="D3855" t="str">
        <f>IFERROR(VLOOKUP(tbEscolas[[#This Row],[COD ETPA]],tbEtapas[],2,FALSE),"")</f>
        <v/>
      </c>
      <c r="E3855" t="str">
        <f>IFERROR(VLOOKUP(tbEscolas[[#This Row],[COD ETPA]],tbEtapas[],3,FALSE),"")</f>
        <v/>
      </c>
    </row>
    <row r="3856" spans="1:5" x14ac:dyDescent="0.25">
      <c r="A3856" t="str" cm="1">
        <f t="array" ref="A3856">IFERROR(INDEX(tbNucleo[ESCOLA],ROUNDUP(ROW(A3855)/TotalEtapas,0)),"")</f>
        <v/>
      </c>
      <c r="D3856" t="str">
        <f>IFERROR(VLOOKUP(tbEscolas[[#This Row],[COD ETPA]],tbEtapas[],2,FALSE),"")</f>
        <v/>
      </c>
      <c r="E3856" t="str">
        <f>IFERROR(VLOOKUP(tbEscolas[[#This Row],[COD ETPA]],tbEtapas[],3,FALSE),"")</f>
        <v/>
      </c>
    </row>
    <row r="3857" spans="1:5" x14ac:dyDescent="0.25">
      <c r="A3857" t="str" cm="1">
        <f t="array" ref="A3857">IFERROR(INDEX(tbNucleo[ESCOLA],ROUNDUP(ROW(A3856)/TotalEtapas,0)),"")</f>
        <v/>
      </c>
      <c r="D3857" t="str">
        <f>IFERROR(VLOOKUP(tbEscolas[[#This Row],[COD ETPA]],tbEtapas[],2,FALSE),"")</f>
        <v/>
      </c>
      <c r="E3857" t="str">
        <f>IFERROR(VLOOKUP(tbEscolas[[#This Row],[COD ETPA]],tbEtapas[],3,FALSE),"")</f>
        <v/>
      </c>
    </row>
    <row r="3858" spans="1:5" x14ac:dyDescent="0.25">
      <c r="A3858" t="str" cm="1">
        <f t="array" ref="A3858">IFERROR(INDEX(tbNucleo[ESCOLA],ROUNDUP(ROW(A3857)/TotalEtapas,0)),"")</f>
        <v/>
      </c>
      <c r="D3858" t="str">
        <f>IFERROR(VLOOKUP(tbEscolas[[#This Row],[COD ETPA]],tbEtapas[],2,FALSE),"")</f>
        <v/>
      </c>
      <c r="E3858" t="str">
        <f>IFERROR(VLOOKUP(tbEscolas[[#This Row],[COD ETPA]],tbEtapas[],3,FALSE),"")</f>
        <v/>
      </c>
    </row>
    <row r="3859" spans="1:5" x14ac:dyDescent="0.25">
      <c r="A3859" t="str" cm="1">
        <f t="array" ref="A3859">IFERROR(INDEX(tbNucleo[ESCOLA],ROUNDUP(ROW(A3858)/TotalEtapas,0)),"")</f>
        <v/>
      </c>
      <c r="D3859" t="str">
        <f>IFERROR(VLOOKUP(tbEscolas[[#This Row],[COD ETPA]],tbEtapas[],2,FALSE),"")</f>
        <v/>
      </c>
      <c r="E3859" t="str">
        <f>IFERROR(VLOOKUP(tbEscolas[[#This Row],[COD ETPA]],tbEtapas[],3,FALSE),"")</f>
        <v/>
      </c>
    </row>
    <row r="3860" spans="1:5" x14ac:dyDescent="0.25">
      <c r="A3860" t="str" cm="1">
        <f t="array" ref="A3860">IFERROR(INDEX(tbNucleo[ESCOLA],ROUNDUP(ROW(A3859)/TotalEtapas,0)),"")</f>
        <v/>
      </c>
      <c r="D3860" t="str">
        <f>IFERROR(VLOOKUP(tbEscolas[[#This Row],[COD ETPA]],tbEtapas[],2,FALSE),"")</f>
        <v/>
      </c>
      <c r="E3860" t="str">
        <f>IFERROR(VLOOKUP(tbEscolas[[#This Row],[COD ETPA]],tbEtapas[],3,FALSE),"")</f>
        <v/>
      </c>
    </row>
    <row r="3861" spans="1:5" x14ac:dyDescent="0.25">
      <c r="A3861" t="str" cm="1">
        <f t="array" ref="A3861">IFERROR(INDEX(tbNucleo[ESCOLA],ROUNDUP(ROW(A3860)/TotalEtapas,0)),"")</f>
        <v/>
      </c>
      <c r="D3861" t="str">
        <f>IFERROR(VLOOKUP(tbEscolas[[#This Row],[COD ETPA]],tbEtapas[],2,FALSE),"")</f>
        <v/>
      </c>
      <c r="E3861" t="str">
        <f>IFERROR(VLOOKUP(tbEscolas[[#This Row],[COD ETPA]],tbEtapas[],3,FALSE),"")</f>
        <v/>
      </c>
    </row>
    <row r="3862" spans="1:5" x14ac:dyDescent="0.25">
      <c r="A3862" t="str" cm="1">
        <f t="array" ref="A3862">IFERROR(INDEX(tbNucleo[ESCOLA],ROUNDUP(ROW(A3861)/TotalEtapas,0)),"")</f>
        <v/>
      </c>
      <c r="D3862" t="str">
        <f>IFERROR(VLOOKUP(tbEscolas[[#This Row],[COD ETPA]],tbEtapas[],2,FALSE),"")</f>
        <v/>
      </c>
      <c r="E3862" t="str">
        <f>IFERROR(VLOOKUP(tbEscolas[[#This Row],[COD ETPA]],tbEtapas[],3,FALSE),"")</f>
        <v/>
      </c>
    </row>
    <row r="3863" spans="1:5" x14ac:dyDescent="0.25">
      <c r="A3863" t="str" cm="1">
        <f t="array" ref="A3863">IFERROR(INDEX(tbNucleo[ESCOLA],ROUNDUP(ROW(A3862)/TotalEtapas,0)),"")</f>
        <v/>
      </c>
      <c r="D3863" t="str">
        <f>IFERROR(VLOOKUP(tbEscolas[[#This Row],[COD ETPA]],tbEtapas[],2,FALSE),"")</f>
        <v/>
      </c>
      <c r="E3863" t="str">
        <f>IFERROR(VLOOKUP(tbEscolas[[#This Row],[COD ETPA]],tbEtapas[],3,FALSE),"")</f>
        <v/>
      </c>
    </row>
    <row r="3864" spans="1:5" x14ac:dyDescent="0.25">
      <c r="A3864" t="str" cm="1">
        <f t="array" ref="A3864">IFERROR(INDEX(tbNucleo[ESCOLA],ROUNDUP(ROW(A3863)/TotalEtapas,0)),"")</f>
        <v/>
      </c>
      <c r="D3864" t="str">
        <f>IFERROR(VLOOKUP(tbEscolas[[#This Row],[COD ETPA]],tbEtapas[],2,FALSE),"")</f>
        <v/>
      </c>
      <c r="E3864" t="str">
        <f>IFERROR(VLOOKUP(tbEscolas[[#This Row],[COD ETPA]],tbEtapas[],3,FALSE),"")</f>
        <v/>
      </c>
    </row>
    <row r="3865" spans="1:5" x14ac:dyDescent="0.25">
      <c r="A3865" t="str" cm="1">
        <f t="array" ref="A3865">IFERROR(INDEX(tbNucleo[ESCOLA],ROUNDUP(ROW(A3864)/TotalEtapas,0)),"")</f>
        <v/>
      </c>
      <c r="D3865" t="str">
        <f>IFERROR(VLOOKUP(tbEscolas[[#This Row],[COD ETPA]],tbEtapas[],2,FALSE),"")</f>
        <v/>
      </c>
      <c r="E3865" t="str">
        <f>IFERROR(VLOOKUP(tbEscolas[[#This Row],[COD ETPA]],tbEtapas[],3,FALSE),"")</f>
        <v/>
      </c>
    </row>
    <row r="3866" spans="1:5" x14ac:dyDescent="0.25">
      <c r="A3866" t="str" cm="1">
        <f t="array" ref="A3866">IFERROR(INDEX(tbNucleo[ESCOLA],ROUNDUP(ROW(A3865)/TotalEtapas,0)),"")</f>
        <v/>
      </c>
      <c r="D3866" t="str">
        <f>IFERROR(VLOOKUP(tbEscolas[[#This Row],[COD ETPA]],tbEtapas[],2,FALSE),"")</f>
        <v/>
      </c>
      <c r="E3866" t="str">
        <f>IFERROR(VLOOKUP(tbEscolas[[#This Row],[COD ETPA]],tbEtapas[],3,FALSE),"")</f>
        <v/>
      </c>
    </row>
    <row r="3867" spans="1:5" x14ac:dyDescent="0.25">
      <c r="A3867" t="str" cm="1">
        <f t="array" ref="A3867">IFERROR(INDEX(tbNucleo[ESCOLA],ROUNDUP(ROW(A3866)/TotalEtapas,0)),"")</f>
        <v/>
      </c>
      <c r="D3867" t="str">
        <f>IFERROR(VLOOKUP(tbEscolas[[#This Row],[COD ETPA]],tbEtapas[],2,FALSE),"")</f>
        <v/>
      </c>
      <c r="E3867" t="str">
        <f>IFERROR(VLOOKUP(tbEscolas[[#This Row],[COD ETPA]],tbEtapas[],3,FALSE),"")</f>
        <v/>
      </c>
    </row>
    <row r="3868" spans="1:5" x14ac:dyDescent="0.25">
      <c r="A3868" t="str" cm="1">
        <f t="array" ref="A3868">IFERROR(INDEX(tbNucleo[ESCOLA],ROUNDUP(ROW(A3867)/TotalEtapas,0)),"")</f>
        <v/>
      </c>
      <c r="D3868" t="str">
        <f>IFERROR(VLOOKUP(tbEscolas[[#This Row],[COD ETPA]],tbEtapas[],2,FALSE),"")</f>
        <v/>
      </c>
      <c r="E3868" t="str">
        <f>IFERROR(VLOOKUP(tbEscolas[[#This Row],[COD ETPA]],tbEtapas[],3,FALSE),"")</f>
        <v/>
      </c>
    </row>
    <row r="3869" spans="1:5" x14ac:dyDescent="0.25">
      <c r="A3869" t="str" cm="1">
        <f t="array" ref="A3869">IFERROR(INDEX(tbNucleo[ESCOLA],ROUNDUP(ROW(A3868)/TotalEtapas,0)),"")</f>
        <v/>
      </c>
      <c r="D3869" t="str">
        <f>IFERROR(VLOOKUP(tbEscolas[[#This Row],[COD ETPA]],tbEtapas[],2,FALSE),"")</f>
        <v/>
      </c>
      <c r="E3869" t="str">
        <f>IFERROR(VLOOKUP(tbEscolas[[#This Row],[COD ETPA]],tbEtapas[],3,FALSE),"")</f>
        <v/>
      </c>
    </row>
    <row r="3870" spans="1:5" x14ac:dyDescent="0.25">
      <c r="A3870" t="str" cm="1">
        <f t="array" ref="A3870">IFERROR(INDEX(tbNucleo[ESCOLA],ROUNDUP(ROW(A3869)/TotalEtapas,0)),"")</f>
        <v/>
      </c>
      <c r="D3870" t="str">
        <f>IFERROR(VLOOKUP(tbEscolas[[#This Row],[COD ETPA]],tbEtapas[],2,FALSE),"")</f>
        <v/>
      </c>
      <c r="E3870" t="str">
        <f>IFERROR(VLOOKUP(tbEscolas[[#This Row],[COD ETPA]],tbEtapas[],3,FALSE),"")</f>
        <v/>
      </c>
    </row>
    <row r="3871" spans="1:5" x14ac:dyDescent="0.25">
      <c r="A3871" t="str" cm="1">
        <f t="array" ref="A3871">IFERROR(INDEX(tbNucleo[ESCOLA],ROUNDUP(ROW(A3870)/TotalEtapas,0)),"")</f>
        <v/>
      </c>
      <c r="D3871" t="str">
        <f>IFERROR(VLOOKUP(tbEscolas[[#This Row],[COD ETPA]],tbEtapas[],2,FALSE),"")</f>
        <v/>
      </c>
      <c r="E3871" t="str">
        <f>IFERROR(VLOOKUP(tbEscolas[[#This Row],[COD ETPA]],tbEtapas[],3,FALSE),"")</f>
        <v/>
      </c>
    </row>
    <row r="3872" spans="1:5" x14ac:dyDescent="0.25">
      <c r="A3872" t="str" cm="1">
        <f t="array" ref="A3872">IFERROR(INDEX(tbNucleo[ESCOLA],ROUNDUP(ROW(A3871)/TotalEtapas,0)),"")</f>
        <v/>
      </c>
      <c r="D3872" t="str">
        <f>IFERROR(VLOOKUP(tbEscolas[[#This Row],[COD ETPA]],tbEtapas[],2,FALSE),"")</f>
        <v/>
      </c>
      <c r="E3872" t="str">
        <f>IFERROR(VLOOKUP(tbEscolas[[#This Row],[COD ETPA]],tbEtapas[],3,FALSE),"")</f>
        <v/>
      </c>
    </row>
    <row r="3873" spans="1:5" x14ac:dyDescent="0.25">
      <c r="A3873" t="str" cm="1">
        <f t="array" ref="A3873">IFERROR(INDEX(tbNucleo[ESCOLA],ROUNDUP(ROW(A3872)/TotalEtapas,0)),"")</f>
        <v/>
      </c>
      <c r="D3873" t="str">
        <f>IFERROR(VLOOKUP(tbEscolas[[#This Row],[COD ETPA]],tbEtapas[],2,FALSE),"")</f>
        <v/>
      </c>
      <c r="E3873" t="str">
        <f>IFERROR(VLOOKUP(tbEscolas[[#This Row],[COD ETPA]],tbEtapas[],3,FALSE),"")</f>
        <v/>
      </c>
    </row>
    <row r="3874" spans="1:5" x14ac:dyDescent="0.25">
      <c r="A3874" t="str" cm="1">
        <f t="array" ref="A3874">IFERROR(INDEX(tbNucleo[ESCOLA],ROUNDUP(ROW(A3873)/TotalEtapas,0)),"")</f>
        <v/>
      </c>
      <c r="D3874" t="str">
        <f>IFERROR(VLOOKUP(tbEscolas[[#This Row],[COD ETPA]],tbEtapas[],2,FALSE),"")</f>
        <v/>
      </c>
      <c r="E3874" t="str">
        <f>IFERROR(VLOOKUP(tbEscolas[[#This Row],[COD ETPA]],tbEtapas[],3,FALSE),"")</f>
        <v/>
      </c>
    </row>
    <row r="3875" spans="1:5" x14ac:dyDescent="0.25">
      <c r="A3875" t="str" cm="1">
        <f t="array" ref="A3875">IFERROR(INDEX(tbNucleo[ESCOLA],ROUNDUP(ROW(A3874)/TotalEtapas,0)),"")</f>
        <v/>
      </c>
      <c r="D3875" t="str">
        <f>IFERROR(VLOOKUP(tbEscolas[[#This Row],[COD ETPA]],tbEtapas[],2,FALSE),"")</f>
        <v/>
      </c>
      <c r="E3875" t="str">
        <f>IFERROR(VLOOKUP(tbEscolas[[#This Row],[COD ETPA]],tbEtapas[],3,FALSE),"")</f>
        <v/>
      </c>
    </row>
    <row r="3876" spans="1:5" x14ac:dyDescent="0.25">
      <c r="A3876" t="str" cm="1">
        <f t="array" ref="A3876">IFERROR(INDEX(tbNucleo[ESCOLA],ROUNDUP(ROW(A3875)/TotalEtapas,0)),"")</f>
        <v/>
      </c>
      <c r="D3876" t="str">
        <f>IFERROR(VLOOKUP(tbEscolas[[#This Row],[COD ETPA]],tbEtapas[],2,FALSE),"")</f>
        <v/>
      </c>
      <c r="E3876" t="str">
        <f>IFERROR(VLOOKUP(tbEscolas[[#This Row],[COD ETPA]],tbEtapas[],3,FALSE),"")</f>
        <v/>
      </c>
    </row>
    <row r="3877" spans="1:5" x14ac:dyDescent="0.25">
      <c r="A3877" t="str" cm="1">
        <f t="array" ref="A3877">IFERROR(INDEX(tbNucleo[ESCOLA],ROUNDUP(ROW(A3876)/TotalEtapas,0)),"")</f>
        <v/>
      </c>
      <c r="D3877" t="str">
        <f>IFERROR(VLOOKUP(tbEscolas[[#This Row],[COD ETPA]],tbEtapas[],2,FALSE),"")</f>
        <v/>
      </c>
      <c r="E3877" t="str">
        <f>IFERROR(VLOOKUP(tbEscolas[[#This Row],[COD ETPA]],tbEtapas[],3,FALSE),"")</f>
        <v/>
      </c>
    </row>
    <row r="3878" spans="1:5" x14ac:dyDescent="0.25">
      <c r="A3878" t="str" cm="1">
        <f t="array" ref="A3878">IFERROR(INDEX(tbNucleo[ESCOLA],ROUNDUP(ROW(A3877)/TotalEtapas,0)),"")</f>
        <v/>
      </c>
      <c r="D3878" t="str">
        <f>IFERROR(VLOOKUP(tbEscolas[[#This Row],[COD ETPA]],tbEtapas[],2,FALSE),"")</f>
        <v/>
      </c>
      <c r="E3878" t="str">
        <f>IFERROR(VLOOKUP(tbEscolas[[#This Row],[COD ETPA]],tbEtapas[],3,FALSE),"")</f>
        <v/>
      </c>
    </row>
    <row r="3879" spans="1:5" x14ac:dyDescent="0.25">
      <c r="A3879" t="str" cm="1">
        <f t="array" ref="A3879">IFERROR(INDEX(tbNucleo[ESCOLA],ROUNDUP(ROW(A3878)/TotalEtapas,0)),"")</f>
        <v/>
      </c>
      <c r="D3879" t="str">
        <f>IFERROR(VLOOKUP(tbEscolas[[#This Row],[COD ETPA]],tbEtapas[],2,FALSE),"")</f>
        <v/>
      </c>
      <c r="E3879" t="str">
        <f>IFERROR(VLOOKUP(tbEscolas[[#This Row],[COD ETPA]],tbEtapas[],3,FALSE),"")</f>
        <v/>
      </c>
    </row>
    <row r="3880" spans="1:5" x14ac:dyDescent="0.25">
      <c r="A3880" t="str" cm="1">
        <f t="array" ref="A3880">IFERROR(INDEX(tbNucleo[ESCOLA],ROUNDUP(ROW(A3879)/TotalEtapas,0)),"")</f>
        <v/>
      </c>
      <c r="D3880" t="str">
        <f>IFERROR(VLOOKUP(tbEscolas[[#This Row],[COD ETPA]],tbEtapas[],2,FALSE),"")</f>
        <v/>
      </c>
      <c r="E3880" t="str">
        <f>IFERROR(VLOOKUP(tbEscolas[[#This Row],[COD ETPA]],tbEtapas[],3,FALSE),"")</f>
        <v/>
      </c>
    </row>
    <row r="3881" spans="1:5" x14ac:dyDescent="0.25">
      <c r="A3881" t="str" cm="1">
        <f t="array" ref="A3881">IFERROR(INDEX(tbNucleo[ESCOLA],ROUNDUP(ROW(A3880)/TotalEtapas,0)),"")</f>
        <v/>
      </c>
      <c r="D3881" t="str">
        <f>IFERROR(VLOOKUP(tbEscolas[[#This Row],[COD ETPA]],tbEtapas[],2,FALSE),"")</f>
        <v/>
      </c>
      <c r="E3881" t="str">
        <f>IFERROR(VLOOKUP(tbEscolas[[#This Row],[COD ETPA]],tbEtapas[],3,FALSE),"")</f>
        <v/>
      </c>
    </row>
    <row r="3882" spans="1:5" x14ac:dyDescent="0.25">
      <c r="A3882" t="str" cm="1">
        <f t="array" ref="A3882">IFERROR(INDEX(tbNucleo[ESCOLA],ROUNDUP(ROW(A3881)/TotalEtapas,0)),"")</f>
        <v/>
      </c>
      <c r="D3882" t="str">
        <f>IFERROR(VLOOKUP(tbEscolas[[#This Row],[COD ETPA]],tbEtapas[],2,FALSE),"")</f>
        <v/>
      </c>
      <c r="E3882" t="str">
        <f>IFERROR(VLOOKUP(tbEscolas[[#This Row],[COD ETPA]],tbEtapas[],3,FALSE),"")</f>
        <v/>
      </c>
    </row>
    <row r="3883" spans="1:5" x14ac:dyDescent="0.25">
      <c r="A3883" t="str" cm="1">
        <f t="array" ref="A3883">IFERROR(INDEX(tbNucleo[ESCOLA],ROUNDUP(ROW(A3882)/TotalEtapas,0)),"")</f>
        <v/>
      </c>
      <c r="D3883" t="str">
        <f>IFERROR(VLOOKUP(tbEscolas[[#This Row],[COD ETPA]],tbEtapas[],2,FALSE),"")</f>
        <v/>
      </c>
      <c r="E3883" t="str">
        <f>IFERROR(VLOOKUP(tbEscolas[[#This Row],[COD ETPA]],tbEtapas[],3,FALSE),"")</f>
        <v/>
      </c>
    </row>
    <row r="3884" spans="1:5" x14ac:dyDescent="0.25">
      <c r="A3884" t="str" cm="1">
        <f t="array" ref="A3884">IFERROR(INDEX(tbNucleo[ESCOLA],ROUNDUP(ROW(A3883)/TotalEtapas,0)),"")</f>
        <v/>
      </c>
      <c r="D3884" t="str">
        <f>IFERROR(VLOOKUP(tbEscolas[[#This Row],[COD ETPA]],tbEtapas[],2,FALSE),"")</f>
        <v/>
      </c>
      <c r="E3884" t="str">
        <f>IFERROR(VLOOKUP(tbEscolas[[#This Row],[COD ETPA]],tbEtapas[],3,FALSE),"")</f>
        <v/>
      </c>
    </row>
    <row r="3885" spans="1:5" x14ac:dyDescent="0.25">
      <c r="A3885" t="str" cm="1">
        <f t="array" ref="A3885">IFERROR(INDEX(tbNucleo[ESCOLA],ROUNDUP(ROW(A3884)/TotalEtapas,0)),"")</f>
        <v/>
      </c>
      <c r="D3885" t="str">
        <f>IFERROR(VLOOKUP(tbEscolas[[#This Row],[COD ETPA]],tbEtapas[],2,FALSE),"")</f>
        <v/>
      </c>
      <c r="E3885" t="str">
        <f>IFERROR(VLOOKUP(tbEscolas[[#This Row],[COD ETPA]],tbEtapas[],3,FALSE),"")</f>
        <v/>
      </c>
    </row>
    <row r="3886" spans="1:5" x14ac:dyDescent="0.25">
      <c r="A3886" t="str" cm="1">
        <f t="array" ref="A3886">IFERROR(INDEX(tbNucleo[ESCOLA],ROUNDUP(ROW(A3885)/TotalEtapas,0)),"")</f>
        <v/>
      </c>
      <c r="D3886" t="str">
        <f>IFERROR(VLOOKUP(tbEscolas[[#This Row],[COD ETPA]],tbEtapas[],2,FALSE),"")</f>
        <v/>
      </c>
      <c r="E3886" t="str">
        <f>IFERROR(VLOOKUP(tbEscolas[[#This Row],[COD ETPA]],tbEtapas[],3,FALSE),"")</f>
        <v/>
      </c>
    </row>
    <row r="3887" spans="1:5" x14ac:dyDescent="0.25">
      <c r="A3887" t="str" cm="1">
        <f t="array" ref="A3887">IFERROR(INDEX(tbNucleo[ESCOLA],ROUNDUP(ROW(A3886)/TotalEtapas,0)),"")</f>
        <v/>
      </c>
      <c r="D3887" t="str">
        <f>IFERROR(VLOOKUP(tbEscolas[[#This Row],[COD ETPA]],tbEtapas[],2,FALSE),"")</f>
        <v/>
      </c>
      <c r="E3887" t="str">
        <f>IFERROR(VLOOKUP(tbEscolas[[#This Row],[COD ETPA]],tbEtapas[],3,FALSE),"")</f>
        <v/>
      </c>
    </row>
    <row r="3888" spans="1:5" x14ac:dyDescent="0.25">
      <c r="A3888" t="str" cm="1">
        <f t="array" ref="A3888">IFERROR(INDEX(tbNucleo[ESCOLA],ROUNDUP(ROW(A3887)/TotalEtapas,0)),"")</f>
        <v/>
      </c>
      <c r="D3888" t="str">
        <f>IFERROR(VLOOKUP(tbEscolas[[#This Row],[COD ETPA]],tbEtapas[],2,FALSE),"")</f>
        <v/>
      </c>
      <c r="E3888" t="str">
        <f>IFERROR(VLOOKUP(tbEscolas[[#This Row],[COD ETPA]],tbEtapas[],3,FALSE),"")</f>
        <v/>
      </c>
    </row>
    <row r="3889" spans="1:5" x14ac:dyDescent="0.25">
      <c r="A3889" t="str" cm="1">
        <f t="array" ref="A3889">IFERROR(INDEX(tbNucleo[ESCOLA],ROUNDUP(ROW(A3888)/TotalEtapas,0)),"")</f>
        <v/>
      </c>
      <c r="D3889" t="str">
        <f>IFERROR(VLOOKUP(tbEscolas[[#This Row],[COD ETPA]],tbEtapas[],2,FALSE),"")</f>
        <v/>
      </c>
      <c r="E3889" t="str">
        <f>IFERROR(VLOOKUP(tbEscolas[[#This Row],[COD ETPA]],tbEtapas[],3,FALSE),"")</f>
        <v/>
      </c>
    </row>
    <row r="3890" spans="1:5" x14ac:dyDescent="0.25">
      <c r="A3890" t="str" cm="1">
        <f t="array" ref="A3890">IFERROR(INDEX(tbNucleo[ESCOLA],ROUNDUP(ROW(A3889)/TotalEtapas,0)),"")</f>
        <v/>
      </c>
      <c r="D3890" t="str">
        <f>IFERROR(VLOOKUP(tbEscolas[[#This Row],[COD ETPA]],tbEtapas[],2,FALSE),"")</f>
        <v/>
      </c>
      <c r="E3890" t="str">
        <f>IFERROR(VLOOKUP(tbEscolas[[#This Row],[COD ETPA]],tbEtapas[],3,FALSE),"")</f>
        <v/>
      </c>
    </row>
    <row r="3891" spans="1:5" x14ac:dyDescent="0.25">
      <c r="A3891" t="str" cm="1">
        <f t="array" ref="A3891">IFERROR(INDEX(tbNucleo[ESCOLA],ROUNDUP(ROW(A3890)/TotalEtapas,0)),"")</f>
        <v/>
      </c>
      <c r="D3891" t="str">
        <f>IFERROR(VLOOKUP(tbEscolas[[#This Row],[COD ETPA]],tbEtapas[],2,FALSE),"")</f>
        <v/>
      </c>
      <c r="E3891" t="str">
        <f>IFERROR(VLOOKUP(tbEscolas[[#This Row],[COD ETPA]],tbEtapas[],3,FALSE),"")</f>
        <v/>
      </c>
    </row>
    <row r="3892" spans="1:5" x14ac:dyDescent="0.25">
      <c r="A3892" t="str" cm="1">
        <f t="array" ref="A3892">IFERROR(INDEX(tbNucleo[ESCOLA],ROUNDUP(ROW(A3891)/TotalEtapas,0)),"")</f>
        <v/>
      </c>
      <c r="D3892" t="str">
        <f>IFERROR(VLOOKUP(tbEscolas[[#This Row],[COD ETPA]],tbEtapas[],2,FALSE),"")</f>
        <v/>
      </c>
      <c r="E3892" t="str">
        <f>IFERROR(VLOOKUP(tbEscolas[[#This Row],[COD ETPA]],tbEtapas[],3,FALSE),"")</f>
        <v/>
      </c>
    </row>
    <row r="3893" spans="1:5" x14ac:dyDescent="0.25">
      <c r="A3893" t="str" cm="1">
        <f t="array" ref="A3893">IFERROR(INDEX(tbNucleo[ESCOLA],ROUNDUP(ROW(A3892)/TotalEtapas,0)),"")</f>
        <v/>
      </c>
      <c r="D3893" t="str">
        <f>IFERROR(VLOOKUP(tbEscolas[[#This Row],[COD ETPA]],tbEtapas[],2,FALSE),"")</f>
        <v/>
      </c>
      <c r="E3893" t="str">
        <f>IFERROR(VLOOKUP(tbEscolas[[#This Row],[COD ETPA]],tbEtapas[],3,FALSE),"")</f>
        <v/>
      </c>
    </row>
    <row r="3894" spans="1:5" x14ac:dyDescent="0.25">
      <c r="A3894" t="str" cm="1">
        <f t="array" ref="A3894">IFERROR(INDEX(tbNucleo[ESCOLA],ROUNDUP(ROW(A3893)/TotalEtapas,0)),"")</f>
        <v/>
      </c>
      <c r="D3894" t="str">
        <f>IFERROR(VLOOKUP(tbEscolas[[#This Row],[COD ETPA]],tbEtapas[],2,FALSE),"")</f>
        <v/>
      </c>
      <c r="E3894" t="str">
        <f>IFERROR(VLOOKUP(tbEscolas[[#This Row],[COD ETPA]],tbEtapas[],3,FALSE),"")</f>
        <v/>
      </c>
    </row>
    <row r="3895" spans="1:5" x14ac:dyDescent="0.25">
      <c r="A3895" t="str" cm="1">
        <f t="array" ref="A3895">IFERROR(INDEX(tbNucleo[ESCOLA],ROUNDUP(ROW(A3894)/TotalEtapas,0)),"")</f>
        <v/>
      </c>
      <c r="D3895" t="str">
        <f>IFERROR(VLOOKUP(tbEscolas[[#This Row],[COD ETPA]],tbEtapas[],2,FALSE),"")</f>
        <v/>
      </c>
      <c r="E3895" t="str">
        <f>IFERROR(VLOOKUP(tbEscolas[[#This Row],[COD ETPA]],tbEtapas[],3,FALSE),"")</f>
        <v/>
      </c>
    </row>
    <row r="3896" spans="1:5" x14ac:dyDescent="0.25">
      <c r="A3896" t="str" cm="1">
        <f t="array" ref="A3896">IFERROR(INDEX(tbNucleo[ESCOLA],ROUNDUP(ROW(A3895)/TotalEtapas,0)),"")</f>
        <v/>
      </c>
      <c r="D3896" t="str">
        <f>IFERROR(VLOOKUP(tbEscolas[[#This Row],[COD ETPA]],tbEtapas[],2,FALSE),"")</f>
        <v/>
      </c>
      <c r="E3896" t="str">
        <f>IFERROR(VLOOKUP(tbEscolas[[#This Row],[COD ETPA]],tbEtapas[],3,FALSE),"")</f>
        <v/>
      </c>
    </row>
    <row r="3897" spans="1:5" x14ac:dyDescent="0.25">
      <c r="A3897" t="str" cm="1">
        <f t="array" ref="A3897">IFERROR(INDEX(tbNucleo[ESCOLA],ROUNDUP(ROW(A3896)/TotalEtapas,0)),"")</f>
        <v/>
      </c>
      <c r="D3897" t="str">
        <f>IFERROR(VLOOKUP(tbEscolas[[#This Row],[COD ETPA]],tbEtapas[],2,FALSE),"")</f>
        <v/>
      </c>
      <c r="E3897" t="str">
        <f>IFERROR(VLOOKUP(tbEscolas[[#This Row],[COD ETPA]],tbEtapas[],3,FALSE),"")</f>
        <v/>
      </c>
    </row>
    <row r="3898" spans="1:5" x14ac:dyDescent="0.25">
      <c r="A3898" t="str" cm="1">
        <f t="array" ref="A3898">IFERROR(INDEX(tbNucleo[ESCOLA],ROUNDUP(ROW(A3897)/TotalEtapas,0)),"")</f>
        <v/>
      </c>
      <c r="D3898" t="str">
        <f>IFERROR(VLOOKUP(tbEscolas[[#This Row],[COD ETPA]],tbEtapas[],2,FALSE),"")</f>
        <v/>
      </c>
      <c r="E3898" t="str">
        <f>IFERROR(VLOOKUP(tbEscolas[[#This Row],[COD ETPA]],tbEtapas[],3,FALSE),"")</f>
        <v/>
      </c>
    </row>
    <row r="3899" spans="1:5" x14ac:dyDescent="0.25">
      <c r="A3899" t="str" cm="1">
        <f t="array" ref="A3899">IFERROR(INDEX(tbNucleo[ESCOLA],ROUNDUP(ROW(A3898)/TotalEtapas,0)),"")</f>
        <v/>
      </c>
      <c r="D3899" t="str">
        <f>IFERROR(VLOOKUP(tbEscolas[[#This Row],[COD ETPA]],tbEtapas[],2,FALSE),"")</f>
        <v/>
      </c>
      <c r="E3899" t="str">
        <f>IFERROR(VLOOKUP(tbEscolas[[#This Row],[COD ETPA]],tbEtapas[],3,FALSE),"")</f>
        <v/>
      </c>
    </row>
    <row r="3900" spans="1:5" x14ac:dyDescent="0.25">
      <c r="A3900" t="str" cm="1">
        <f t="array" ref="A3900">IFERROR(INDEX(tbNucleo[ESCOLA],ROUNDUP(ROW(A3899)/TotalEtapas,0)),"")</f>
        <v/>
      </c>
      <c r="D3900" t="str">
        <f>IFERROR(VLOOKUP(tbEscolas[[#This Row],[COD ETPA]],tbEtapas[],2,FALSE),"")</f>
        <v/>
      </c>
      <c r="E3900" t="str">
        <f>IFERROR(VLOOKUP(tbEscolas[[#This Row],[COD ETPA]],tbEtapas[],3,FALSE),"")</f>
        <v/>
      </c>
    </row>
    <row r="3901" spans="1:5" x14ac:dyDescent="0.25">
      <c r="A3901" t="str" cm="1">
        <f t="array" ref="A3901">IFERROR(INDEX(tbNucleo[ESCOLA],ROUNDUP(ROW(A3900)/TotalEtapas,0)),"")</f>
        <v/>
      </c>
      <c r="D3901" t="str">
        <f>IFERROR(VLOOKUP(tbEscolas[[#This Row],[COD ETPA]],tbEtapas[],2,FALSE),"")</f>
        <v/>
      </c>
      <c r="E3901" t="str">
        <f>IFERROR(VLOOKUP(tbEscolas[[#This Row],[COD ETPA]],tbEtapas[],3,FALSE),"")</f>
        <v/>
      </c>
    </row>
    <row r="3902" spans="1:5" x14ac:dyDescent="0.25">
      <c r="A3902" t="str" cm="1">
        <f t="array" ref="A3902">IFERROR(INDEX(tbNucleo[ESCOLA],ROUNDUP(ROW(A3901)/TotalEtapas,0)),"")</f>
        <v/>
      </c>
      <c r="D3902" t="str">
        <f>IFERROR(VLOOKUP(tbEscolas[[#This Row],[COD ETPA]],tbEtapas[],2,FALSE),"")</f>
        <v/>
      </c>
      <c r="E3902" t="str">
        <f>IFERROR(VLOOKUP(tbEscolas[[#This Row],[COD ETPA]],tbEtapas[],3,FALSE),"")</f>
        <v/>
      </c>
    </row>
    <row r="3903" spans="1:5" x14ac:dyDescent="0.25">
      <c r="A3903" t="str" cm="1">
        <f t="array" ref="A3903">IFERROR(INDEX(tbNucleo[ESCOLA],ROUNDUP(ROW(A3902)/TotalEtapas,0)),"")</f>
        <v/>
      </c>
      <c r="D3903" t="str">
        <f>IFERROR(VLOOKUP(tbEscolas[[#This Row],[COD ETPA]],tbEtapas[],2,FALSE),"")</f>
        <v/>
      </c>
      <c r="E3903" t="str">
        <f>IFERROR(VLOOKUP(tbEscolas[[#This Row],[COD ETPA]],tbEtapas[],3,FALSE),"")</f>
        <v/>
      </c>
    </row>
    <row r="3904" spans="1:5" x14ac:dyDescent="0.25">
      <c r="A3904" t="str" cm="1">
        <f t="array" ref="A3904">IFERROR(INDEX(tbNucleo[ESCOLA],ROUNDUP(ROW(A3903)/TotalEtapas,0)),"")</f>
        <v/>
      </c>
      <c r="D3904" t="str">
        <f>IFERROR(VLOOKUP(tbEscolas[[#This Row],[COD ETPA]],tbEtapas[],2,FALSE),"")</f>
        <v/>
      </c>
      <c r="E3904" t="str">
        <f>IFERROR(VLOOKUP(tbEscolas[[#This Row],[COD ETPA]],tbEtapas[],3,FALSE),"")</f>
        <v/>
      </c>
    </row>
    <row r="3905" spans="1:5" x14ac:dyDescent="0.25">
      <c r="A3905" t="str" cm="1">
        <f t="array" ref="A3905">IFERROR(INDEX(tbNucleo[ESCOLA],ROUNDUP(ROW(A3904)/TotalEtapas,0)),"")</f>
        <v/>
      </c>
      <c r="D3905" t="str">
        <f>IFERROR(VLOOKUP(tbEscolas[[#This Row],[COD ETPA]],tbEtapas[],2,FALSE),"")</f>
        <v/>
      </c>
      <c r="E3905" t="str">
        <f>IFERROR(VLOOKUP(tbEscolas[[#This Row],[COD ETPA]],tbEtapas[],3,FALSE),"")</f>
        <v/>
      </c>
    </row>
    <row r="3906" spans="1:5" x14ac:dyDescent="0.25">
      <c r="A3906" t="str" cm="1">
        <f t="array" ref="A3906">IFERROR(INDEX(tbNucleo[ESCOLA],ROUNDUP(ROW(A3905)/TotalEtapas,0)),"")</f>
        <v/>
      </c>
      <c r="D3906" t="str">
        <f>IFERROR(VLOOKUP(tbEscolas[[#This Row],[COD ETPA]],tbEtapas[],2,FALSE),"")</f>
        <v/>
      </c>
      <c r="E3906" t="str">
        <f>IFERROR(VLOOKUP(tbEscolas[[#This Row],[COD ETPA]],tbEtapas[],3,FALSE),"")</f>
        <v/>
      </c>
    </row>
    <row r="3907" spans="1:5" x14ac:dyDescent="0.25">
      <c r="A3907" t="str" cm="1">
        <f t="array" ref="A3907">IFERROR(INDEX(tbNucleo[ESCOLA],ROUNDUP(ROW(A3906)/TotalEtapas,0)),"")</f>
        <v/>
      </c>
      <c r="D3907" t="str">
        <f>IFERROR(VLOOKUP(tbEscolas[[#This Row],[COD ETPA]],tbEtapas[],2,FALSE),"")</f>
        <v/>
      </c>
      <c r="E3907" t="str">
        <f>IFERROR(VLOOKUP(tbEscolas[[#This Row],[COD ETPA]],tbEtapas[],3,FALSE),"")</f>
        <v/>
      </c>
    </row>
    <row r="3908" spans="1:5" x14ac:dyDescent="0.25">
      <c r="A3908" t="str" cm="1">
        <f t="array" ref="A3908">IFERROR(INDEX(tbNucleo[ESCOLA],ROUNDUP(ROW(A3907)/TotalEtapas,0)),"")</f>
        <v/>
      </c>
      <c r="D3908" t="str">
        <f>IFERROR(VLOOKUP(tbEscolas[[#This Row],[COD ETPA]],tbEtapas[],2,FALSE),"")</f>
        <v/>
      </c>
      <c r="E3908" t="str">
        <f>IFERROR(VLOOKUP(tbEscolas[[#This Row],[COD ETPA]],tbEtapas[],3,FALSE),"")</f>
        <v/>
      </c>
    </row>
    <row r="3909" spans="1:5" x14ac:dyDescent="0.25">
      <c r="A3909" t="str" cm="1">
        <f t="array" ref="A3909">IFERROR(INDEX(tbNucleo[ESCOLA],ROUNDUP(ROW(A3908)/TotalEtapas,0)),"")</f>
        <v/>
      </c>
      <c r="D3909" t="str">
        <f>IFERROR(VLOOKUP(tbEscolas[[#This Row],[COD ETPA]],tbEtapas[],2,FALSE),"")</f>
        <v/>
      </c>
      <c r="E3909" t="str">
        <f>IFERROR(VLOOKUP(tbEscolas[[#This Row],[COD ETPA]],tbEtapas[],3,FALSE),"")</f>
        <v/>
      </c>
    </row>
    <row r="3910" spans="1:5" x14ac:dyDescent="0.25">
      <c r="A3910" t="str" cm="1">
        <f t="array" ref="A3910">IFERROR(INDEX(tbNucleo[ESCOLA],ROUNDUP(ROW(A3909)/TotalEtapas,0)),"")</f>
        <v/>
      </c>
      <c r="D3910" t="str">
        <f>IFERROR(VLOOKUP(tbEscolas[[#This Row],[COD ETPA]],tbEtapas[],2,FALSE),"")</f>
        <v/>
      </c>
      <c r="E3910" t="str">
        <f>IFERROR(VLOOKUP(tbEscolas[[#This Row],[COD ETPA]],tbEtapas[],3,FALSE),"")</f>
        <v/>
      </c>
    </row>
    <row r="3911" spans="1:5" x14ac:dyDescent="0.25">
      <c r="A3911" t="str" cm="1">
        <f t="array" ref="A3911">IFERROR(INDEX(tbNucleo[ESCOLA],ROUNDUP(ROW(A3910)/TotalEtapas,0)),"")</f>
        <v/>
      </c>
      <c r="D3911" t="str">
        <f>IFERROR(VLOOKUP(tbEscolas[[#This Row],[COD ETPA]],tbEtapas[],2,FALSE),"")</f>
        <v/>
      </c>
      <c r="E3911" t="str">
        <f>IFERROR(VLOOKUP(tbEscolas[[#This Row],[COD ETPA]],tbEtapas[],3,FALSE),"")</f>
        <v/>
      </c>
    </row>
    <row r="3912" spans="1:5" x14ac:dyDescent="0.25">
      <c r="A3912" t="str" cm="1">
        <f t="array" ref="A3912">IFERROR(INDEX(tbNucleo[ESCOLA],ROUNDUP(ROW(A3911)/TotalEtapas,0)),"")</f>
        <v/>
      </c>
      <c r="D3912" t="str">
        <f>IFERROR(VLOOKUP(tbEscolas[[#This Row],[COD ETPA]],tbEtapas[],2,FALSE),"")</f>
        <v/>
      </c>
      <c r="E3912" t="str">
        <f>IFERROR(VLOOKUP(tbEscolas[[#This Row],[COD ETPA]],tbEtapas[],3,FALSE),"")</f>
        <v/>
      </c>
    </row>
    <row r="3913" spans="1:5" x14ac:dyDescent="0.25">
      <c r="A3913" t="str" cm="1">
        <f t="array" ref="A3913">IFERROR(INDEX(tbNucleo[ESCOLA],ROUNDUP(ROW(A3912)/TotalEtapas,0)),"")</f>
        <v/>
      </c>
      <c r="D3913" t="str">
        <f>IFERROR(VLOOKUP(tbEscolas[[#This Row],[COD ETPA]],tbEtapas[],2,FALSE),"")</f>
        <v/>
      </c>
      <c r="E3913" t="str">
        <f>IFERROR(VLOOKUP(tbEscolas[[#This Row],[COD ETPA]],tbEtapas[],3,FALSE),"")</f>
        <v/>
      </c>
    </row>
    <row r="3914" spans="1:5" x14ac:dyDescent="0.25">
      <c r="A3914" t="str" cm="1">
        <f t="array" ref="A3914">IFERROR(INDEX(tbNucleo[ESCOLA],ROUNDUP(ROW(A3913)/TotalEtapas,0)),"")</f>
        <v/>
      </c>
      <c r="D3914" t="str">
        <f>IFERROR(VLOOKUP(tbEscolas[[#This Row],[COD ETPA]],tbEtapas[],2,FALSE),"")</f>
        <v/>
      </c>
      <c r="E3914" t="str">
        <f>IFERROR(VLOOKUP(tbEscolas[[#This Row],[COD ETPA]],tbEtapas[],3,FALSE),"")</f>
        <v/>
      </c>
    </row>
    <row r="3915" spans="1:5" x14ac:dyDescent="0.25">
      <c r="A3915" t="str" cm="1">
        <f t="array" ref="A3915">IFERROR(INDEX(tbNucleo[ESCOLA],ROUNDUP(ROW(A3914)/TotalEtapas,0)),"")</f>
        <v/>
      </c>
      <c r="D3915" t="str">
        <f>IFERROR(VLOOKUP(tbEscolas[[#This Row],[COD ETPA]],tbEtapas[],2,FALSE),"")</f>
        <v/>
      </c>
      <c r="E3915" t="str">
        <f>IFERROR(VLOOKUP(tbEscolas[[#This Row],[COD ETPA]],tbEtapas[],3,FALSE),"")</f>
        <v/>
      </c>
    </row>
    <row r="3916" spans="1:5" x14ac:dyDescent="0.25">
      <c r="A3916" t="str" cm="1">
        <f t="array" ref="A3916">IFERROR(INDEX(tbNucleo[ESCOLA],ROUNDUP(ROW(A3915)/TotalEtapas,0)),"")</f>
        <v/>
      </c>
      <c r="D3916" t="str">
        <f>IFERROR(VLOOKUP(tbEscolas[[#This Row],[COD ETPA]],tbEtapas[],2,FALSE),"")</f>
        <v/>
      </c>
      <c r="E3916" t="str">
        <f>IFERROR(VLOOKUP(tbEscolas[[#This Row],[COD ETPA]],tbEtapas[],3,FALSE),"")</f>
        <v/>
      </c>
    </row>
    <row r="3917" spans="1:5" x14ac:dyDescent="0.25">
      <c r="A3917" t="str" cm="1">
        <f t="array" ref="A3917">IFERROR(INDEX(tbNucleo[ESCOLA],ROUNDUP(ROW(A3916)/TotalEtapas,0)),"")</f>
        <v/>
      </c>
      <c r="D3917" t="str">
        <f>IFERROR(VLOOKUP(tbEscolas[[#This Row],[COD ETPA]],tbEtapas[],2,FALSE),"")</f>
        <v/>
      </c>
      <c r="E3917" t="str">
        <f>IFERROR(VLOOKUP(tbEscolas[[#This Row],[COD ETPA]],tbEtapas[],3,FALSE),"")</f>
        <v/>
      </c>
    </row>
    <row r="3918" spans="1:5" x14ac:dyDescent="0.25">
      <c r="A3918" t="str" cm="1">
        <f t="array" ref="A3918">IFERROR(INDEX(tbNucleo[ESCOLA],ROUNDUP(ROW(A3917)/TotalEtapas,0)),"")</f>
        <v/>
      </c>
      <c r="D3918" t="str">
        <f>IFERROR(VLOOKUP(tbEscolas[[#This Row],[COD ETPA]],tbEtapas[],2,FALSE),"")</f>
        <v/>
      </c>
      <c r="E3918" t="str">
        <f>IFERROR(VLOOKUP(tbEscolas[[#This Row],[COD ETPA]],tbEtapas[],3,FALSE),"")</f>
        <v/>
      </c>
    </row>
    <row r="3919" spans="1:5" x14ac:dyDescent="0.25">
      <c r="A3919" t="str" cm="1">
        <f t="array" ref="A3919">IFERROR(INDEX(tbNucleo[ESCOLA],ROUNDUP(ROW(A3918)/TotalEtapas,0)),"")</f>
        <v/>
      </c>
      <c r="D3919" t="str">
        <f>IFERROR(VLOOKUP(tbEscolas[[#This Row],[COD ETPA]],tbEtapas[],2,FALSE),"")</f>
        <v/>
      </c>
      <c r="E3919" t="str">
        <f>IFERROR(VLOOKUP(tbEscolas[[#This Row],[COD ETPA]],tbEtapas[],3,FALSE),"")</f>
        <v/>
      </c>
    </row>
    <row r="3920" spans="1:5" x14ac:dyDescent="0.25">
      <c r="A3920" t="str" cm="1">
        <f t="array" ref="A3920">IFERROR(INDEX(tbNucleo[ESCOLA],ROUNDUP(ROW(A3919)/TotalEtapas,0)),"")</f>
        <v/>
      </c>
      <c r="D3920" t="str">
        <f>IFERROR(VLOOKUP(tbEscolas[[#This Row],[COD ETPA]],tbEtapas[],2,FALSE),"")</f>
        <v/>
      </c>
      <c r="E3920" t="str">
        <f>IFERROR(VLOOKUP(tbEscolas[[#This Row],[COD ETPA]],tbEtapas[],3,FALSE),"")</f>
        <v/>
      </c>
    </row>
    <row r="3921" spans="1:5" x14ac:dyDescent="0.25">
      <c r="A3921" t="str" cm="1">
        <f t="array" ref="A3921">IFERROR(INDEX(tbNucleo[ESCOLA],ROUNDUP(ROW(A3920)/TotalEtapas,0)),"")</f>
        <v/>
      </c>
      <c r="D3921" t="str">
        <f>IFERROR(VLOOKUP(tbEscolas[[#This Row],[COD ETPA]],tbEtapas[],2,FALSE),"")</f>
        <v/>
      </c>
      <c r="E3921" t="str">
        <f>IFERROR(VLOOKUP(tbEscolas[[#This Row],[COD ETPA]],tbEtapas[],3,FALSE),"")</f>
        <v/>
      </c>
    </row>
    <row r="3922" spans="1:5" x14ac:dyDescent="0.25">
      <c r="A3922" t="str" cm="1">
        <f t="array" ref="A3922">IFERROR(INDEX(tbNucleo[ESCOLA],ROUNDUP(ROW(A3921)/TotalEtapas,0)),"")</f>
        <v/>
      </c>
      <c r="D3922" t="str">
        <f>IFERROR(VLOOKUP(tbEscolas[[#This Row],[COD ETPA]],tbEtapas[],2,FALSE),"")</f>
        <v/>
      </c>
      <c r="E3922" t="str">
        <f>IFERROR(VLOOKUP(tbEscolas[[#This Row],[COD ETPA]],tbEtapas[],3,FALSE),"")</f>
        <v/>
      </c>
    </row>
    <row r="3923" spans="1:5" x14ac:dyDescent="0.25">
      <c r="A3923" t="str" cm="1">
        <f t="array" ref="A3923">IFERROR(INDEX(tbNucleo[ESCOLA],ROUNDUP(ROW(A3922)/TotalEtapas,0)),"")</f>
        <v/>
      </c>
      <c r="D3923" t="str">
        <f>IFERROR(VLOOKUP(tbEscolas[[#This Row],[COD ETPA]],tbEtapas[],2,FALSE),"")</f>
        <v/>
      </c>
      <c r="E3923" t="str">
        <f>IFERROR(VLOOKUP(tbEscolas[[#This Row],[COD ETPA]],tbEtapas[],3,FALSE),"")</f>
        <v/>
      </c>
    </row>
    <row r="3924" spans="1:5" x14ac:dyDescent="0.25">
      <c r="A3924" t="str" cm="1">
        <f t="array" ref="A3924">IFERROR(INDEX(tbNucleo[ESCOLA],ROUNDUP(ROW(A3923)/TotalEtapas,0)),"")</f>
        <v/>
      </c>
      <c r="D3924" t="str">
        <f>IFERROR(VLOOKUP(tbEscolas[[#This Row],[COD ETPA]],tbEtapas[],2,FALSE),"")</f>
        <v/>
      </c>
      <c r="E3924" t="str">
        <f>IFERROR(VLOOKUP(tbEscolas[[#This Row],[COD ETPA]],tbEtapas[],3,FALSE),"")</f>
        <v/>
      </c>
    </row>
    <row r="3925" spans="1:5" x14ac:dyDescent="0.25">
      <c r="A3925" t="str" cm="1">
        <f t="array" ref="A3925">IFERROR(INDEX(tbNucleo[ESCOLA],ROUNDUP(ROW(A3924)/TotalEtapas,0)),"")</f>
        <v/>
      </c>
      <c r="D3925" t="str">
        <f>IFERROR(VLOOKUP(tbEscolas[[#This Row],[COD ETPA]],tbEtapas[],2,FALSE),"")</f>
        <v/>
      </c>
      <c r="E3925" t="str">
        <f>IFERROR(VLOOKUP(tbEscolas[[#This Row],[COD ETPA]],tbEtapas[],3,FALSE),"")</f>
        <v/>
      </c>
    </row>
    <row r="3926" spans="1:5" x14ac:dyDescent="0.25">
      <c r="A3926" t="str" cm="1">
        <f t="array" ref="A3926">IFERROR(INDEX(tbNucleo[ESCOLA],ROUNDUP(ROW(A3925)/TotalEtapas,0)),"")</f>
        <v/>
      </c>
      <c r="D3926" t="str">
        <f>IFERROR(VLOOKUP(tbEscolas[[#This Row],[COD ETPA]],tbEtapas[],2,FALSE),"")</f>
        <v/>
      </c>
      <c r="E3926" t="str">
        <f>IFERROR(VLOOKUP(tbEscolas[[#This Row],[COD ETPA]],tbEtapas[],3,FALSE),"")</f>
        <v/>
      </c>
    </row>
    <row r="3927" spans="1:5" x14ac:dyDescent="0.25">
      <c r="A3927" t="str" cm="1">
        <f t="array" ref="A3927">IFERROR(INDEX(tbNucleo[ESCOLA],ROUNDUP(ROW(A3926)/TotalEtapas,0)),"")</f>
        <v/>
      </c>
      <c r="D3927" t="str">
        <f>IFERROR(VLOOKUP(tbEscolas[[#This Row],[COD ETPA]],tbEtapas[],2,FALSE),"")</f>
        <v/>
      </c>
      <c r="E3927" t="str">
        <f>IFERROR(VLOOKUP(tbEscolas[[#This Row],[COD ETPA]],tbEtapas[],3,FALSE),"")</f>
        <v/>
      </c>
    </row>
    <row r="3928" spans="1:5" x14ac:dyDescent="0.25">
      <c r="A3928" t="str" cm="1">
        <f t="array" ref="A3928">IFERROR(INDEX(tbNucleo[ESCOLA],ROUNDUP(ROW(A3927)/TotalEtapas,0)),"")</f>
        <v/>
      </c>
      <c r="D3928" t="str">
        <f>IFERROR(VLOOKUP(tbEscolas[[#This Row],[COD ETPA]],tbEtapas[],2,FALSE),"")</f>
        <v/>
      </c>
      <c r="E3928" t="str">
        <f>IFERROR(VLOOKUP(tbEscolas[[#This Row],[COD ETPA]],tbEtapas[],3,FALSE),"")</f>
        <v/>
      </c>
    </row>
    <row r="3929" spans="1:5" x14ac:dyDescent="0.25">
      <c r="A3929" t="str" cm="1">
        <f t="array" ref="A3929">IFERROR(INDEX(tbNucleo[ESCOLA],ROUNDUP(ROW(A3928)/TotalEtapas,0)),"")</f>
        <v/>
      </c>
      <c r="D3929" t="str">
        <f>IFERROR(VLOOKUP(tbEscolas[[#This Row],[COD ETPA]],tbEtapas[],2,FALSE),"")</f>
        <v/>
      </c>
      <c r="E3929" t="str">
        <f>IFERROR(VLOOKUP(tbEscolas[[#This Row],[COD ETPA]],tbEtapas[],3,FALSE),"")</f>
        <v/>
      </c>
    </row>
    <row r="3930" spans="1:5" x14ac:dyDescent="0.25">
      <c r="A3930" t="str" cm="1">
        <f t="array" ref="A3930">IFERROR(INDEX(tbNucleo[ESCOLA],ROUNDUP(ROW(A3929)/TotalEtapas,0)),"")</f>
        <v/>
      </c>
      <c r="D3930" t="str">
        <f>IFERROR(VLOOKUP(tbEscolas[[#This Row],[COD ETPA]],tbEtapas[],2,FALSE),"")</f>
        <v/>
      </c>
      <c r="E3930" t="str">
        <f>IFERROR(VLOOKUP(tbEscolas[[#This Row],[COD ETPA]],tbEtapas[],3,FALSE),"")</f>
        <v/>
      </c>
    </row>
    <row r="3931" spans="1:5" x14ac:dyDescent="0.25">
      <c r="A3931" t="str" cm="1">
        <f t="array" ref="A3931">IFERROR(INDEX(tbNucleo[ESCOLA],ROUNDUP(ROW(A3930)/TotalEtapas,0)),"")</f>
        <v/>
      </c>
      <c r="D3931" t="str">
        <f>IFERROR(VLOOKUP(tbEscolas[[#This Row],[COD ETPA]],tbEtapas[],2,FALSE),"")</f>
        <v/>
      </c>
      <c r="E3931" t="str">
        <f>IFERROR(VLOOKUP(tbEscolas[[#This Row],[COD ETPA]],tbEtapas[],3,FALSE),"")</f>
        <v/>
      </c>
    </row>
    <row r="3932" spans="1:5" x14ac:dyDescent="0.25">
      <c r="A3932" t="str" cm="1">
        <f t="array" ref="A3932">IFERROR(INDEX(tbNucleo[ESCOLA],ROUNDUP(ROW(A3931)/TotalEtapas,0)),"")</f>
        <v/>
      </c>
      <c r="D3932" t="str">
        <f>IFERROR(VLOOKUP(tbEscolas[[#This Row],[COD ETPA]],tbEtapas[],2,FALSE),"")</f>
        <v/>
      </c>
      <c r="E3932" t="str">
        <f>IFERROR(VLOOKUP(tbEscolas[[#This Row],[COD ETPA]],tbEtapas[],3,FALSE),"")</f>
        <v/>
      </c>
    </row>
    <row r="3933" spans="1:5" x14ac:dyDescent="0.25">
      <c r="A3933" t="str" cm="1">
        <f t="array" ref="A3933">IFERROR(INDEX(tbNucleo[ESCOLA],ROUNDUP(ROW(A3932)/TotalEtapas,0)),"")</f>
        <v/>
      </c>
      <c r="D3933" t="str">
        <f>IFERROR(VLOOKUP(tbEscolas[[#This Row],[COD ETPA]],tbEtapas[],2,FALSE),"")</f>
        <v/>
      </c>
      <c r="E3933" t="str">
        <f>IFERROR(VLOOKUP(tbEscolas[[#This Row],[COD ETPA]],tbEtapas[],3,FALSE),"")</f>
        <v/>
      </c>
    </row>
    <row r="3934" spans="1:5" x14ac:dyDescent="0.25">
      <c r="A3934" t="str" cm="1">
        <f t="array" ref="A3934">IFERROR(INDEX(tbNucleo[ESCOLA],ROUNDUP(ROW(A3933)/TotalEtapas,0)),"")</f>
        <v/>
      </c>
      <c r="D3934" t="str">
        <f>IFERROR(VLOOKUP(tbEscolas[[#This Row],[COD ETPA]],tbEtapas[],2,FALSE),"")</f>
        <v/>
      </c>
      <c r="E3934" t="str">
        <f>IFERROR(VLOOKUP(tbEscolas[[#This Row],[COD ETPA]],tbEtapas[],3,FALSE),"")</f>
        <v/>
      </c>
    </row>
    <row r="3935" spans="1:5" x14ac:dyDescent="0.25">
      <c r="A3935" t="str" cm="1">
        <f t="array" ref="A3935">IFERROR(INDEX(tbNucleo[ESCOLA],ROUNDUP(ROW(A3934)/TotalEtapas,0)),"")</f>
        <v/>
      </c>
      <c r="D3935" t="str">
        <f>IFERROR(VLOOKUP(tbEscolas[[#This Row],[COD ETPA]],tbEtapas[],2,FALSE),"")</f>
        <v/>
      </c>
      <c r="E3935" t="str">
        <f>IFERROR(VLOOKUP(tbEscolas[[#This Row],[COD ETPA]],tbEtapas[],3,FALSE),"")</f>
        <v/>
      </c>
    </row>
    <row r="3936" spans="1:5" x14ac:dyDescent="0.25">
      <c r="A3936" t="str" cm="1">
        <f t="array" ref="A3936">IFERROR(INDEX(tbNucleo[ESCOLA],ROUNDUP(ROW(A3935)/TotalEtapas,0)),"")</f>
        <v/>
      </c>
      <c r="D3936" t="str">
        <f>IFERROR(VLOOKUP(tbEscolas[[#This Row],[COD ETPA]],tbEtapas[],2,FALSE),"")</f>
        <v/>
      </c>
      <c r="E3936" t="str">
        <f>IFERROR(VLOOKUP(tbEscolas[[#This Row],[COD ETPA]],tbEtapas[],3,FALSE),"")</f>
        <v/>
      </c>
    </row>
    <row r="3937" spans="1:5" x14ac:dyDescent="0.25">
      <c r="A3937" t="str" cm="1">
        <f t="array" ref="A3937">IFERROR(INDEX(tbNucleo[ESCOLA],ROUNDUP(ROW(A3936)/TotalEtapas,0)),"")</f>
        <v/>
      </c>
      <c r="D3937" t="str">
        <f>IFERROR(VLOOKUP(tbEscolas[[#This Row],[COD ETPA]],tbEtapas[],2,FALSE),"")</f>
        <v/>
      </c>
      <c r="E3937" t="str">
        <f>IFERROR(VLOOKUP(tbEscolas[[#This Row],[COD ETPA]],tbEtapas[],3,FALSE),"")</f>
        <v/>
      </c>
    </row>
    <row r="3938" spans="1:5" x14ac:dyDescent="0.25">
      <c r="A3938" t="str" cm="1">
        <f t="array" ref="A3938">IFERROR(INDEX(tbNucleo[ESCOLA],ROUNDUP(ROW(A3937)/TotalEtapas,0)),"")</f>
        <v/>
      </c>
      <c r="D3938" t="str">
        <f>IFERROR(VLOOKUP(tbEscolas[[#This Row],[COD ETPA]],tbEtapas[],2,FALSE),"")</f>
        <v/>
      </c>
      <c r="E3938" t="str">
        <f>IFERROR(VLOOKUP(tbEscolas[[#This Row],[COD ETPA]],tbEtapas[],3,FALSE),"")</f>
        <v/>
      </c>
    </row>
    <row r="3939" spans="1:5" x14ac:dyDescent="0.25">
      <c r="A3939" t="str" cm="1">
        <f t="array" ref="A3939">IFERROR(INDEX(tbNucleo[ESCOLA],ROUNDUP(ROW(A3938)/TotalEtapas,0)),"")</f>
        <v/>
      </c>
      <c r="D3939" t="str">
        <f>IFERROR(VLOOKUP(tbEscolas[[#This Row],[COD ETPA]],tbEtapas[],2,FALSE),"")</f>
        <v/>
      </c>
      <c r="E3939" t="str">
        <f>IFERROR(VLOOKUP(tbEscolas[[#This Row],[COD ETPA]],tbEtapas[],3,FALSE),"")</f>
        <v/>
      </c>
    </row>
    <row r="3940" spans="1:5" x14ac:dyDescent="0.25">
      <c r="A3940" t="str" cm="1">
        <f t="array" ref="A3940">IFERROR(INDEX(tbNucleo[ESCOLA],ROUNDUP(ROW(A3939)/TotalEtapas,0)),"")</f>
        <v/>
      </c>
      <c r="D3940" t="str">
        <f>IFERROR(VLOOKUP(tbEscolas[[#This Row],[COD ETPA]],tbEtapas[],2,FALSE),"")</f>
        <v/>
      </c>
      <c r="E3940" t="str">
        <f>IFERROR(VLOOKUP(tbEscolas[[#This Row],[COD ETPA]],tbEtapas[],3,FALSE),"")</f>
        <v/>
      </c>
    </row>
    <row r="3941" spans="1:5" x14ac:dyDescent="0.25">
      <c r="A3941" t="str" cm="1">
        <f t="array" ref="A3941">IFERROR(INDEX(tbNucleo[ESCOLA],ROUNDUP(ROW(A3940)/TotalEtapas,0)),"")</f>
        <v/>
      </c>
      <c r="D3941" t="str">
        <f>IFERROR(VLOOKUP(tbEscolas[[#This Row],[COD ETPA]],tbEtapas[],2,FALSE),"")</f>
        <v/>
      </c>
      <c r="E3941" t="str">
        <f>IFERROR(VLOOKUP(tbEscolas[[#This Row],[COD ETPA]],tbEtapas[],3,FALSE),"")</f>
        <v/>
      </c>
    </row>
    <row r="3942" spans="1:5" x14ac:dyDescent="0.25">
      <c r="A3942" t="str" cm="1">
        <f t="array" ref="A3942">IFERROR(INDEX(tbNucleo[ESCOLA],ROUNDUP(ROW(A3941)/TotalEtapas,0)),"")</f>
        <v/>
      </c>
      <c r="D3942" t="str">
        <f>IFERROR(VLOOKUP(tbEscolas[[#This Row],[COD ETPA]],tbEtapas[],2,FALSE),"")</f>
        <v/>
      </c>
      <c r="E3942" t="str">
        <f>IFERROR(VLOOKUP(tbEscolas[[#This Row],[COD ETPA]],tbEtapas[],3,FALSE),"")</f>
        <v/>
      </c>
    </row>
    <row r="3943" spans="1:5" x14ac:dyDescent="0.25">
      <c r="A3943" t="str" cm="1">
        <f t="array" ref="A3943">IFERROR(INDEX(tbNucleo[ESCOLA],ROUNDUP(ROW(A3942)/TotalEtapas,0)),"")</f>
        <v/>
      </c>
      <c r="D3943" t="str">
        <f>IFERROR(VLOOKUP(tbEscolas[[#This Row],[COD ETPA]],tbEtapas[],2,FALSE),"")</f>
        <v/>
      </c>
      <c r="E3943" t="str">
        <f>IFERROR(VLOOKUP(tbEscolas[[#This Row],[COD ETPA]],tbEtapas[],3,FALSE),"")</f>
        <v/>
      </c>
    </row>
    <row r="3944" spans="1:5" x14ac:dyDescent="0.25">
      <c r="A3944" t="str" cm="1">
        <f t="array" ref="A3944">IFERROR(INDEX(tbNucleo[ESCOLA],ROUNDUP(ROW(A3943)/TotalEtapas,0)),"")</f>
        <v/>
      </c>
      <c r="D3944" t="str">
        <f>IFERROR(VLOOKUP(tbEscolas[[#This Row],[COD ETPA]],tbEtapas[],2,FALSE),"")</f>
        <v/>
      </c>
      <c r="E3944" t="str">
        <f>IFERROR(VLOOKUP(tbEscolas[[#This Row],[COD ETPA]],tbEtapas[],3,FALSE),"")</f>
        <v/>
      </c>
    </row>
    <row r="3945" spans="1:5" x14ac:dyDescent="0.25">
      <c r="A3945" t="str" cm="1">
        <f t="array" ref="A3945">IFERROR(INDEX(tbNucleo[ESCOLA],ROUNDUP(ROW(A3944)/TotalEtapas,0)),"")</f>
        <v/>
      </c>
      <c r="D3945" t="str">
        <f>IFERROR(VLOOKUP(tbEscolas[[#This Row],[COD ETPA]],tbEtapas[],2,FALSE),"")</f>
        <v/>
      </c>
      <c r="E3945" t="str">
        <f>IFERROR(VLOOKUP(tbEscolas[[#This Row],[COD ETPA]],tbEtapas[],3,FALSE),"")</f>
        <v/>
      </c>
    </row>
    <row r="3946" spans="1:5" x14ac:dyDescent="0.25">
      <c r="A3946" t="str" cm="1">
        <f t="array" ref="A3946">IFERROR(INDEX(tbNucleo[ESCOLA],ROUNDUP(ROW(A3945)/TotalEtapas,0)),"")</f>
        <v/>
      </c>
      <c r="D3946" t="str">
        <f>IFERROR(VLOOKUP(tbEscolas[[#This Row],[COD ETPA]],tbEtapas[],2,FALSE),"")</f>
        <v/>
      </c>
      <c r="E3946" t="str">
        <f>IFERROR(VLOOKUP(tbEscolas[[#This Row],[COD ETPA]],tbEtapas[],3,FALSE),"")</f>
        <v/>
      </c>
    </row>
    <row r="3947" spans="1:5" x14ac:dyDescent="0.25">
      <c r="A3947" t="str" cm="1">
        <f t="array" ref="A3947">IFERROR(INDEX(tbNucleo[ESCOLA],ROUNDUP(ROW(A3946)/TotalEtapas,0)),"")</f>
        <v/>
      </c>
      <c r="D3947" t="str">
        <f>IFERROR(VLOOKUP(tbEscolas[[#This Row],[COD ETPA]],tbEtapas[],2,FALSE),"")</f>
        <v/>
      </c>
      <c r="E3947" t="str">
        <f>IFERROR(VLOOKUP(tbEscolas[[#This Row],[COD ETPA]],tbEtapas[],3,FALSE),"")</f>
        <v/>
      </c>
    </row>
    <row r="3948" spans="1:5" x14ac:dyDescent="0.25">
      <c r="A3948" t="str" cm="1">
        <f t="array" ref="A3948">IFERROR(INDEX(tbNucleo[ESCOLA],ROUNDUP(ROW(A3947)/TotalEtapas,0)),"")</f>
        <v/>
      </c>
      <c r="D3948" t="str">
        <f>IFERROR(VLOOKUP(tbEscolas[[#This Row],[COD ETPA]],tbEtapas[],2,FALSE),"")</f>
        <v/>
      </c>
      <c r="E3948" t="str">
        <f>IFERROR(VLOOKUP(tbEscolas[[#This Row],[COD ETPA]],tbEtapas[],3,FALSE),"")</f>
        <v/>
      </c>
    </row>
    <row r="3949" spans="1:5" x14ac:dyDescent="0.25">
      <c r="A3949" t="str" cm="1">
        <f t="array" ref="A3949">IFERROR(INDEX(tbNucleo[ESCOLA],ROUNDUP(ROW(A3948)/TotalEtapas,0)),"")</f>
        <v/>
      </c>
      <c r="D3949" t="str">
        <f>IFERROR(VLOOKUP(tbEscolas[[#This Row],[COD ETPA]],tbEtapas[],2,FALSE),"")</f>
        <v/>
      </c>
      <c r="E3949" t="str">
        <f>IFERROR(VLOOKUP(tbEscolas[[#This Row],[COD ETPA]],tbEtapas[],3,FALSE),"")</f>
        <v/>
      </c>
    </row>
    <row r="3950" spans="1:5" x14ac:dyDescent="0.25">
      <c r="A3950" t="str" cm="1">
        <f t="array" ref="A3950">IFERROR(INDEX(tbNucleo[ESCOLA],ROUNDUP(ROW(A3949)/TotalEtapas,0)),"")</f>
        <v/>
      </c>
      <c r="D3950" t="str">
        <f>IFERROR(VLOOKUP(tbEscolas[[#This Row],[COD ETPA]],tbEtapas[],2,FALSE),"")</f>
        <v/>
      </c>
      <c r="E3950" t="str">
        <f>IFERROR(VLOOKUP(tbEscolas[[#This Row],[COD ETPA]],tbEtapas[],3,FALSE),"")</f>
        <v/>
      </c>
    </row>
    <row r="3951" spans="1:5" x14ac:dyDescent="0.25">
      <c r="A3951" t="str" cm="1">
        <f t="array" ref="A3951">IFERROR(INDEX(tbNucleo[ESCOLA],ROUNDUP(ROW(A3950)/TotalEtapas,0)),"")</f>
        <v/>
      </c>
      <c r="D3951" t="str">
        <f>IFERROR(VLOOKUP(tbEscolas[[#This Row],[COD ETPA]],tbEtapas[],2,FALSE),"")</f>
        <v/>
      </c>
      <c r="E3951" t="str">
        <f>IFERROR(VLOOKUP(tbEscolas[[#This Row],[COD ETPA]],tbEtapas[],3,FALSE),"")</f>
        <v/>
      </c>
    </row>
    <row r="3952" spans="1:5" x14ac:dyDescent="0.25">
      <c r="A3952" t="str" cm="1">
        <f t="array" ref="A3952">IFERROR(INDEX(tbNucleo[ESCOLA],ROUNDUP(ROW(A3951)/TotalEtapas,0)),"")</f>
        <v/>
      </c>
      <c r="D3952" t="str">
        <f>IFERROR(VLOOKUP(tbEscolas[[#This Row],[COD ETPA]],tbEtapas[],2,FALSE),"")</f>
        <v/>
      </c>
      <c r="E3952" t="str">
        <f>IFERROR(VLOOKUP(tbEscolas[[#This Row],[COD ETPA]],tbEtapas[],3,FALSE),"")</f>
        <v/>
      </c>
    </row>
    <row r="3953" spans="1:5" x14ac:dyDescent="0.25">
      <c r="A3953" t="str" cm="1">
        <f t="array" ref="A3953">IFERROR(INDEX(tbNucleo[ESCOLA],ROUNDUP(ROW(A3952)/TotalEtapas,0)),"")</f>
        <v/>
      </c>
      <c r="D3953" t="str">
        <f>IFERROR(VLOOKUP(tbEscolas[[#This Row],[COD ETPA]],tbEtapas[],2,FALSE),"")</f>
        <v/>
      </c>
      <c r="E3953" t="str">
        <f>IFERROR(VLOOKUP(tbEscolas[[#This Row],[COD ETPA]],tbEtapas[],3,FALSE),"")</f>
        <v/>
      </c>
    </row>
    <row r="3954" spans="1:5" x14ac:dyDescent="0.25">
      <c r="A3954" t="str" cm="1">
        <f t="array" ref="A3954">IFERROR(INDEX(tbNucleo[ESCOLA],ROUNDUP(ROW(A3953)/TotalEtapas,0)),"")</f>
        <v/>
      </c>
      <c r="D3954" t="str">
        <f>IFERROR(VLOOKUP(tbEscolas[[#This Row],[COD ETPA]],tbEtapas[],2,FALSE),"")</f>
        <v/>
      </c>
      <c r="E3954" t="str">
        <f>IFERROR(VLOOKUP(tbEscolas[[#This Row],[COD ETPA]],tbEtapas[],3,FALSE),"")</f>
        <v/>
      </c>
    </row>
    <row r="3955" spans="1:5" x14ac:dyDescent="0.25">
      <c r="A3955" t="str" cm="1">
        <f t="array" ref="A3955">IFERROR(INDEX(tbNucleo[ESCOLA],ROUNDUP(ROW(A3954)/TotalEtapas,0)),"")</f>
        <v/>
      </c>
      <c r="D3955" t="str">
        <f>IFERROR(VLOOKUP(tbEscolas[[#This Row],[COD ETPA]],tbEtapas[],2,FALSE),"")</f>
        <v/>
      </c>
      <c r="E3955" t="str">
        <f>IFERROR(VLOOKUP(tbEscolas[[#This Row],[COD ETPA]],tbEtapas[],3,FALSE),"")</f>
        <v/>
      </c>
    </row>
    <row r="3956" spans="1:5" x14ac:dyDescent="0.25">
      <c r="A3956" t="str" cm="1">
        <f t="array" ref="A3956">IFERROR(INDEX(tbNucleo[ESCOLA],ROUNDUP(ROW(A3955)/TotalEtapas,0)),"")</f>
        <v/>
      </c>
      <c r="D3956" t="str">
        <f>IFERROR(VLOOKUP(tbEscolas[[#This Row],[COD ETPA]],tbEtapas[],2,FALSE),"")</f>
        <v/>
      </c>
      <c r="E3956" t="str">
        <f>IFERROR(VLOOKUP(tbEscolas[[#This Row],[COD ETPA]],tbEtapas[],3,FALSE),"")</f>
        <v/>
      </c>
    </row>
    <row r="3957" spans="1:5" x14ac:dyDescent="0.25">
      <c r="A3957" t="str" cm="1">
        <f t="array" ref="A3957">IFERROR(INDEX(tbNucleo[ESCOLA],ROUNDUP(ROW(A3956)/TotalEtapas,0)),"")</f>
        <v/>
      </c>
      <c r="D3957" t="str">
        <f>IFERROR(VLOOKUP(tbEscolas[[#This Row],[COD ETPA]],tbEtapas[],2,FALSE),"")</f>
        <v/>
      </c>
      <c r="E3957" t="str">
        <f>IFERROR(VLOOKUP(tbEscolas[[#This Row],[COD ETPA]],tbEtapas[],3,FALSE),"")</f>
        <v/>
      </c>
    </row>
    <row r="3958" spans="1:5" x14ac:dyDescent="0.25">
      <c r="A3958" t="str" cm="1">
        <f t="array" ref="A3958">IFERROR(INDEX(tbNucleo[ESCOLA],ROUNDUP(ROW(A3957)/TotalEtapas,0)),"")</f>
        <v/>
      </c>
      <c r="D3958" t="str">
        <f>IFERROR(VLOOKUP(tbEscolas[[#This Row],[COD ETPA]],tbEtapas[],2,FALSE),"")</f>
        <v/>
      </c>
      <c r="E3958" t="str">
        <f>IFERROR(VLOOKUP(tbEscolas[[#This Row],[COD ETPA]],tbEtapas[],3,FALSE),"")</f>
        <v/>
      </c>
    </row>
    <row r="3959" spans="1:5" x14ac:dyDescent="0.25">
      <c r="A3959" t="str" cm="1">
        <f t="array" ref="A3959">IFERROR(INDEX(tbNucleo[ESCOLA],ROUNDUP(ROW(A3958)/TotalEtapas,0)),"")</f>
        <v/>
      </c>
      <c r="D3959" t="str">
        <f>IFERROR(VLOOKUP(tbEscolas[[#This Row],[COD ETPA]],tbEtapas[],2,FALSE),"")</f>
        <v/>
      </c>
      <c r="E3959" t="str">
        <f>IFERROR(VLOOKUP(tbEscolas[[#This Row],[COD ETPA]],tbEtapas[],3,FALSE),"")</f>
        <v/>
      </c>
    </row>
    <row r="3960" spans="1:5" x14ac:dyDescent="0.25">
      <c r="A3960" t="str" cm="1">
        <f t="array" ref="A3960">IFERROR(INDEX(tbNucleo[ESCOLA],ROUNDUP(ROW(A3959)/TotalEtapas,0)),"")</f>
        <v/>
      </c>
      <c r="D3960" t="str">
        <f>IFERROR(VLOOKUP(tbEscolas[[#This Row],[COD ETPA]],tbEtapas[],2,FALSE),"")</f>
        <v/>
      </c>
      <c r="E3960" t="str">
        <f>IFERROR(VLOOKUP(tbEscolas[[#This Row],[COD ETPA]],tbEtapas[],3,FALSE),"")</f>
        <v/>
      </c>
    </row>
    <row r="3961" spans="1:5" x14ac:dyDescent="0.25">
      <c r="A3961" t="str" cm="1">
        <f t="array" ref="A3961">IFERROR(INDEX(tbNucleo[ESCOLA],ROUNDUP(ROW(A3960)/TotalEtapas,0)),"")</f>
        <v/>
      </c>
      <c r="D3961" t="str">
        <f>IFERROR(VLOOKUP(tbEscolas[[#This Row],[COD ETPA]],tbEtapas[],2,FALSE),"")</f>
        <v/>
      </c>
      <c r="E3961" t="str">
        <f>IFERROR(VLOOKUP(tbEscolas[[#This Row],[COD ETPA]],tbEtapas[],3,FALSE),"")</f>
        <v/>
      </c>
    </row>
    <row r="3962" spans="1:5" x14ac:dyDescent="0.25">
      <c r="A3962" t="str" cm="1">
        <f t="array" ref="A3962">IFERROR(INDEX(tbNucleo[ESCOLA],ROUNDUP(ROW(A3961)/TotalEtapas,0)),"")</f>
        <v/>
      </c>
      <c r="D3962" t="str">
        <f>IFERROR(VLOOKUP(tbEscolas[[#This Row],[COD ETPA]],tbEtapas[],2,FALSE),"")</f>
        <v/>
      </c>
      <c r="E3962" t="str">
        <f>IFERROR(VLOOKUP(tbEscolas[[#This Row],[COD ETPA]],tbEtapas[],3,FALSE),"")</f>
        <v/>
      </c>
    </row>
    <row r="3963" spans="1:5" x14ac:dyDescent="0.25">
      <c r="A3963" t="str" cm="1">
        <f t="array" ref="A3963">IFERROR(INDEX(tbNucleo[ESCOLA],ROUNDUP(ROW(A3962)/TotalEtapas,0)),"")</f>
        <v/>
      </c>
      <c r="D3963" t="str">
        <f>IFERROR(VLOOKUP(tbEscolas[[#This Row],[COD ETPA]],tbEtapas[],2,FALSE),"")</f>
        <v/>
      </c>
      <c r="E3963" t="str">
        <f>IFERROR(VLOOKUP(tbEscolas[[#This Row],[COD ETPA]],tbEtapas[],3,FALSE),"")</f>
        <v/>
      </c>
    </row>
    <row r="3964" spans="1:5" x14ac:dyDescent="0.25">
      <c r="A3964" t="str" cm="1">
        <f t="array" ref="A3964">IFERROR(INDEX(tbNucleo[ESCOLA],ROUNDUP(ROW(A3963)/TotalEtapas,0)),"")</f>
        <v/>
      </c>
      <c r="D3964" t="str">
        <f>IFERROR(VLOOKUP(tbEscolas[[#This Row],[COD ETPA]],tbEtapas[],2,FALSE),"")</f>
        <v/>
      </c>
      <c r="E3964" t="str">
        <f>IFERROR(VLOOKUP(tbEscolas[[#This Row],[COD ETPA]],tbEtapas[],3,FALSE),"")</f>
        <v/>
      </c>
    </row>
    <row r="3965" spans="1:5" x14ac:dyDescent="0.25">
      <c r="A3965" t="str" cm="1">
        <f t="array" ref="A3965">IFERROR(INDEX(tbNucleo[ESCOLA],ROUNDUP(ROW(A3964)/TotalEtapas,0)),"")</f>
        <v/>
      </c>
      <c r="D3965" t="str">
        <f>IFERROR(VLOOKUP(tbEscolas[[#This Row],[COD ETPA]],tbEtapas[],2,FALSE),"")</f>
        <v/>
      </c>
      <c r="E3965" t="str">
        <f>IFERROR(VLOOKUP(tbEscolas[[#This Row],[COD ETPA]],tbEtapas[],3,FALSE),"")</f>
        <v/>
      </c>
    </row>
    <row r="3966" spans="1:5" x14ac:dyDescent="0.25">
      <c r="A3966" t="str" cm="1">
        <f t="array" ref="A3966">IFERROR(INDEX(tbNucleo[ESCOLA],ROUNDUP(ROW(A3965)/TotalEtapas,0)),"")</f>
        <v/>
      </c>
      <c r="D3966" t="str">
        <f>IFERROR(VLOOKUP(tbEscolas[[#This Row],[COD ETPA]],tbEtapas[],2,FALSE),"")</f>
        <v/>
      </c>
      <c r="E3966" t="str">
        <f>IFERROR(VLOOKUP(tbEscolas[[#This Row],[COD ETPA]],tbEtapas[],3,FALSE),"")</f>
        <v/>
      </c>
    </row>
    <row r="3967" spans="1:5" x14ac:dyDescent="0.25">
      <c r="A3967" t="str" cm="1">
        <f t="array" ref="A3967">IFERROR(INDEX(tbNucleo[ESCOLA],ROUNDUP(ROW(A3966)/TotalEtapas,0)),"")</f>
        <v/>
      </c>
      <c r="D3967" t="str">
        <f>IFERROR(VLOOKUP(tbEscolas[[#This Row],[COD ETPA]],tbEtapas[],2,FALSE),"")</f>
        <v/>
      </c>
      <c r="E3967" t="str">
        <f>IFERROR(VLOOKUP(tbEscolas[[#This Row],[COD ETPA]],tbEtapas[],3,FALSE),"")</f>
        <v/>
      </c>
    </row>
    <row r="3968" spans="1:5" x14ac:dyDescent="0.25">
      <c r="A3968" t="str" cm="1">
        <f t="array" ref="A3968">IFERROR(INDEX(tbNucleo[ESCOLA],ROUNDUP(ROW(A3967)/TotalEtapas,0)),"")</f>
        <v/>
      </c>
      <c r="D3968" t="str">
        <f>IFERROR(VLOOKUP(tbEscolas[[#This Row],[COD ETPA]],tbEtapas[],2,FALSE),"")</f>
        <v/>
      </c>
      <c r="E3968" t="str">
        <f>IFERROR(VLOOKUP(tbEscolas[[#This Row],[COD ETPA]],tbEtapas[],3,FALSE),"")</f>
        <v/>
      </c>
    </row>
    <row r="3969" spans="1:5" x14ac:dyDescent="0.25">
      <c r="A3969" t="str" cm="1">
        <f t="array" ref="A3969">IFERROR(INDEX(tbNucleo[ESCOLA],ROUNDUP(ROW(A3968)/TotalEtapas,0)),"")</f>
        <v/>
      </c>
      <c r="D3969" t="str">
        <f>IFERROR(VLOOKUP(tbEscolas[[#This Row],[COD ETPA]],tbEtapas[],2,FALSE),"")</f>
        <v/>
      </c>
      <c r="E3969" t="str">
        <f>IFERROR(VLOOKUP(tbEscolas[[#This Row],[COD ETPA]],tbEtapas[],3,FALSE),"")</f>
        <v/>
      </c>
    </row>
    <row r="3970" spans="1:5" x14ac:dyDescent="0.25">
      <c r="A3970" t="str" cm="1">
        <f t="array" ref="A3970">IFERROR(INDEX(tbNucleo[ESCOLA],ROUNDUP(ROW(A3969)/TotalEtapas,0)),"")</f>
        <v/>
      </c>
      <c r="D3970" t="str">
        <f>IFERROR(VLOOKUP(tbEscolas[[#This Row],[COD ETPA]],tbEtapas[],2,FALSE),"")</f>
        <v/>
      </c>
      <c r="E3970" t="str">
        <f>IFERROR(VLOOKUP(tbEscolas[[#This Row],[COD ETPA]],tbEtapas[],3,FALSE),"")</f>
        <v/>
      </c>
    </row>
    <row r="3971" spans="1:5" x14ac:dyDescent="0.25">
      <c r="A3971" t="str" cm="1">
        <f t="array" ref="A3971">IFERROR(INDEX(tbNucleo[ESCOLA],ROUNDUP(ROW(A3970)/TotalEtapas,0)),"")</f>
        <v/>
      </c>
      <c r="D3971" t="str">
        <f>IFERROR(VLOOKUP(tbEscolas[[#This Row],[COD ETPA]],tbEtapas[],2,FALSE),"")</f>
        <v/>
      </c>
      <c r="E3971" t="str">
        <f>IFERROR(VLOOKUP(tbEscolas[[#This Row],[COD ETPA]],tbEtapas[],3,FALSE),"")</f>
        <v/>
      </c>
    </row>
    <row r="3972" spans="1:5" x14ac:dyDescent="0.25">
      <c r="A3972" t="str" cm="1">
        <f t="array" ref="A3972">IFERROR(INDEX(tbNucleo[ESCOLA],ROUNDUP(ROW(A3971)/TotalEtapas,0)),"")</f>
        <v/>
      </c>
      <c r="D3972" t="str">
        <f>IFERROR(VLOOKUP(tbEscolas[[#This Row],[COD ETPA]],tbEtapas[],2,FALSE),"")</f>
        <v/>
      </c>
      <c r="E3972" t="str">
        <f>IFERROR(VLOOKUP(tbEscolas[[#This Row],[COD ETPA]],tbEtapas[],3,FALSE),"")</f>
        <v/>
      </c>
    </row>
    <row r="3973" spans="1:5" x14ac:dyDescent="0.25">
      <c r="A3973" t="str" cm="1">
        <f t="array" ref="A3973">IFERROR(INDEX(tbNucleo[ESCOLA],ROUNDUP(ROW(A3972)/TotalEtapas,0)),"")</f>
        <v/>
      </c>
      <c r="D3973" t="str">
        <f>IFERROR(VLOOKUP(tbEscolas[[#This Row],[COD ETPA]],tbEtapas[],2,FALSE),"")</f>
        <v/>
      </c>
      <c r="E3973" t="str">
        <f>IFERROR(VLOOKUP(tbEscolas[[#This Row],[COD ETPA]],tbEtapas[],3,FALSE),"")</f>
        <v/>
      </c>
    </row>
    <row r="3974" spans="1:5" x14ac:dyDescent="0.25">
      <c r="A3974" t="str" cm="1">
        <f t="array" ref="A3974">IFERROR(INDEX(tbNucleo[ESCOLA],ROUNDUP(ROW(A3973)/TotalEtapas,0)),"")</f>
        <v/>
      </c>
      <c r="D3974" t="str">
        <f>IFERROR(VLOOKUP(tbEscolas[[#This Row],[COD ETPA]],tbEtapas[],2,FALSE),"")</f>
        <v/>
      </c>
      <c r="E3974" t="str">
        <f>IFERROR(VLOOKUP(tbEscolas[[#This Row],[COD ETPA]],tbEtapas[],3,FALSE),"")</f>
        <v/>
      </c>
    </row>
    <row r="3975" spans="1:5" x14ac:dyDescent="0.25">
      <c r="A3975" t="str" cm="1">
        <f t="array" ref="A3975">IFERROR(INDEX(tbNucleo[ESCOLA],ROUNDUP(ROW(A3974)/TotalEtapas,0)),"")</f>
        <v/>
      </c>
      <c r="D3975" t="str">
        <f>IFERROR(VLOOKUP(tbEscolas[[#This Row],[COD ETPA]],tbEtapas[],2,FALSE),"")</f>
        <v/>
      </c>
      <c r="E3975" t="str">
        <f>IFERROR(VLOOKUP(tbEscolas[[#This Row],[COD ETPA]],tbEtapas[],3,FALSE),"")</f>
        <v/>
      </c>
    </row>
    <row r="3976" spans="1:5" x14ac:dyDescent="0.25">
      <c r="A3976" t="str" cm="1">
        <f t="array" ref="A3976">IFERROR(INDEX(tbNucleo[ESCOLA],ROUNDUP(ROW(A3975)/TotalEtapas,0)),"")</f>
        <v/>
      </c>
      <c r="D3976" t="str">
        <f>IFERROR(VLOOKUP(tbEscolas[[#This Row],[COD ETPA]],tbEtapas[],2,FALSE),"")</f>
        <v/>
      </c>
      <c r="E3976" t="str">
        <f>IFERROR(VLOOKUP(tbEscolas[[#This Row],[COD ETPA]],tbEtapas[],3,FALSE),"")</f>
        <v/>
      </c>
    </row>
    <row r="3977" spans="1:5" x14ac:dyDescent="0.25">
      <c r="A3977" t="str" cm="1">
        <f t="array" ref="A3977">IFERROR(INDEX(tbNucleo[ESCOLA],ROUNDUP(ROW(A3976)/TotalEtapas,0)),"")</f>
        <v/>
      </c>
      <c r="D3977" t="str">
        <f>IFERROR(VLOOKUP(tbEscolas[[#This Row],[COD ETPA]],tbEtapas[],2,FALSE),"")</f>
        <v/>
      </c>
      <c r="E3977" t="str">
        <f>IFERROR(VLOOKUP(tbEscolas[[#This Row],[COD ETPA]],tbEtapas[],3,FALSE),"")</f>
        <v/>
      </c>
    </row>
    <row r="3978" spans="1:5" x14ac:dyDescent="0.25">
      <c r="A3978" t="str" cm="1">
        <f t="array" ref="A3978">IFERROR(INDEX(tbNucleo[ESCOLA],ROUNDUP(ROW(A3977)/TotalEtapas,0)),"")</f>
        <v/>
      </c>
      <c r="D3978" t="str">
        <f>IFERROR(VLOOKUP(tbEscolas[[#This Row],[COD ETPA]],tbEtapas[],2,FALSE),"")</f>
        <v/>
      </c>
      <c r="E3978" t="str">
        <f>IFERROR(VLOOKUP(tbEscolas[[#This Row],[COD ETPA]],tbEtapas[],3,FALSE),"")</f>
        <v/>
      </c>
    </row>
    <row r="3979" spans="1:5" x14ac:dyDescent="0.25">
      <c r="A3979" t="str" cm="1">
        <f t="array" ref="A3979">IFERROR(INDEX(tbNucleo[ESCOLA],ROUNDUP(ROW(A3978)/TotalEtapas,0)),"")</f>
        <v/>
      </c>
      <c r="D3979" t="str">
        <f>IFERROR(VLOOKUP(tbEscolas[[#This Row],[COD ETPA]],tbEtapas[],2,FALSE),"")</f>
        <v/>
      </c>
      <c r="E3979" t="str">
        <f>IFERROR(VLOOKUP(tbEscolas[[#This Row],[COD ETPA]],tbEtapas[],3,FALSE),"")</f>
        <v/>
      </c>
    </row>
    <row r="3980" spans="1:5" x14ac:dyDescent="0.25">
      <c r="A3980" t="str" cm="1">
        <f t="array" ref="A3980">IFERROR(INDEX(tbNucleo[ESCOLA],ROUNDUP(ROW(A3979)/TotalEtapas,0)),"")</f>
        <v/>
      </c>
      <c r="D3980" t="str">
        <f>IFERROR(VLOOKUP(tbEscolas[[#This Row],[COD ETPA]],tbEtapas[],2,FALSE),"")</f>
        <v/>
      </c>
      <c r="E3980" t="str">
        <f>IFERROR(VLOOKUP(tbEscolas[[#This Row],[COD ETPA]],tbEtapas[],3,FALSE),"")</f>
        <v/>
      </c>
    </row>
    <row r="3981" spans="1:5" x14ac:dyDescent="0.25">
      <c r="A3981" t="str" cm="1">
        <f t="array" ref="A3981">IFERROR(INDEX(tbNucleo[ESCOLA],ROUNDUP(ROW(A3980)/TotalEtapas,0)),"")</f>
        <v/>
      </c>
      <c r="D3981" t="str">
        <f>IFERROR(VLOOKUP(tbEscolas[[#This Row],[COD ETPA]],tbEtapas[],2,FALSE),"")</f>
        <v/>
      </c>
      <c r="E3981" t="str">
        <f>IFERROR(VLOOKUP(tbEscolas[[#This Row],[COD ETPA]],tbEtapas[],3,FALSE),"")</f>
        <v/>
      </c>
    </row>
    <row r="3982" spans="1:5" x14ac:dyDescent="0.25">
      <c r="A3982" t="str" cm="1">
        <f t="array" ref="A3982">IFERROR(INDEX(tbNucleo[ESCOLA],ROUNDUP(ROW(A3981)/TotalEtapas,0)),"")</f>
        <v/>
      </c>
      <c r="D3982" t="str">
        <f>IFERROR(VLOOKUP(tbEscolas[[#This Row],[COD ETPA]],tbEtapas[],2,FALSE),"")</f>
        <v/>
      </c>
      <c r="E3982" t="str">
        <f>IFERROR(VLOOKUP(tbEscolas[[#This Row],[COD ETPA]],tbEtapas[],3,FALSE),"")</f>
        <v/>
      </c>
    </row>
    <row r="3983" spans="1:5" x14ac:dyDescent="0.25">
      <c r="A3983" t="str" cm="1">
        <f t="array" ref="A3983">IFERROR(INDEX(tbNucleo[ESCOLA],ROUNDUP(ROW(A3982)/TotalEtapas,0)),"")</f>
        <v/>
      </c>
      <c r="D3983" t="str">
        <f>IFERROR(VLOOKUP(tbEscolas[[#This Row],[COD ETPA]],tbEtapas[],2,FALSE),"")</f>
        <v/>
      </c>
      <c r="E3983" t="str">
        <f>IFERROR(VLOOKUP(tbEscolas[[#This Row],[COD ETPA]],tbEtapas[],3,FALSE),"")</f>
        <v/>
      </c>
    </row>
    <row r="3984" spans="1:5" x14ac:dyDescent="0.25">
      <c r="A3984" t="str" cm="1">
        <f t="array" ref="A3984">IFERROR(INDEX(tbNucleo[ESCOLA],ROUNDUP(ROW(A3983)/TotalEtapas,0)),"")</f>
        <v/>
      </c>
      <c r="D3984" t="str">
        <f>IFERROR(VLOOKUP(tbEscolas[[#This Row],[COD ETPA]],tbEtapas[],2,FALSE),"")</f>
        <v/>
      </c>
      <c r="E3984" t="str">
        <f>IFERROR(VLOOKUP(tbEscolas[[#This Row],[COD ETPA]],tbEtapas[],3,FALSE),"")</f>
        <v/>
      </c>
    </row>
    <row r="3985" spans="1:5" x14ac:dyDescent="0.25">
      <c r="A3985" t="str" cm="1">
        <f t="array" ref="A3985">IFERROR(INDEX(tbNucleo[ESCOLA],ROUNDUP(ROW(A3984)/TotalEtapas,0)),"")</f>
        <v/>
      </c>
      <c r="D3985" t="str">
        <f>IFERROR(VLOOKUP(tbEscolas[[#This Row],[COD ETPA]],tbEtapas[],2,FALSE),"")</f>
        <v/>
      </c>
      <c r="E3985" t="str">
        <f>IFERROR(VLOOKUP(tbEscolas[[#This Row],[COD ETPA]],tbEtapas[],3,FALSE),"")</f>
        <v/>
      </c>
    </row>
    <row r="3986" spans="1:5" x14ac:dyDescent="0.25">
      <c r="A3986" t="str" cm="1">
        <f t="array" ref="A3986">IFERROR(INDEX(tbNucleo[ESCOLA],ROUNDUP(ROW(A3985)/TotalEtapas,0)),"")</f>
        <v/>
      </c>
      <c r="D3986" t="str">
        <f>IFERROR(VLOOKUP(tbEscolas[[#This Row],[COD ETPA]],tbEtapas[],2,FALSE),"")</f>
        <v/>
      </c>
      <c r="E3986" t="str">
        <f>IFERROR(VLOOKUP(tbEscolas[[#This Row],[COD ETPA]],tbEtapas[],3,FALSE),"")</f>
        <v/>
      </c>
    </row>
    <row r="3987" spans="1:5" x14ac:dyDescent="0.25">
      <c r="A3987" t="str" cm="1">
        <f t="array" ref="A3987">IFERROR(INDEX(tbNucleo[ESCOLA],ROUNDUP(ROW(A3986)/TotalEtapas,0)),"")</f>
        <v/>
      </c>
      <c r="D3987" t="str">
        <f>IFERROR(VLOOKUP(tbEscolas[[#This Row],[COD ETPA]],tbEtapas[],2,FALSE),"")</f>
        <v/>
      </c>
      <c r="E3987" t="str">
        <f>IFERROR(VLOOKUP(tbEscolas[[#This Row],[COD ETPA]],tbEtapas[],3,FALSE),"")</f>
        <v/>
      </c>
    </row>
    <row r="3988" spans="1:5" x14ac:dyDescent="0.25">
      <c r="A3988" t="str" cm="1">
        <f t="array" ref="A3988">IFERROR(INDEX(tbNucleo[ESCOLA],ROUNDUP(ROW(A3987)/TotalEtapas,0)),"")</f>
        <v/>
      </c>
      <c r="D3988" t="str">
        <f>IFERROR(VLOOKUP(tbEscolas[[#This Row],[COD ETPA]],tbEtapas[],2,FALSE),"")</f>
        <v/>
      </c>
      <c r="E3988" t="str">
        <f>IFERROR(VLOOKUP(tbEscolas[[#This Row],[COD ETPA]],tbEtapas[],3,FALSE),"")</f>
        <v/>
      </c>
    </row>
    <row r="3989" spans="1:5" x14ac:dyDescent="0.25">
      <c r="A3989" t="str" cm="1">
        <f t="array" ref="A3989">IFERROR(INDEX(tbNucleo[ESCOLA],ROUNDUP(ROW(A3988)/TotalEtapas,0)),"")</f>
        <v/>
      </c>
      <c r="D3989" t="str">
        <f>IFERROR(VLOOKUP(tbEscolas[[#This Row],[COD ETPA]],tbEtapas[],2,FALSE),"")</f>
        <v/>
      </c>
      <c r="E3989" t="str">
        <f>IFERROR(VLOOKUP(tbEscolas[[#This Row],[COD ETPA]],tbEtapas[],3,FALSE),"")</f>
        <v/>
      </c>
    </row>
    <row r="3990" spans="1:5" x14ac:dyDescent="0.25">
      <c r="A3990" t="str" cm="1">
        <f t="array" ref="A3990">IFERROR(INDEX(tbNucleo[ESCOLA],ROUNDUP(ROW(A3989)/TotalEtapas,0)),"")</f>
        <v/>
      </c>
      <c r="D3990" t="str">
        <f>IFERROR(VLOOKUP(tbEscolas[[#This Row],[COD ETPA]],tbEtapas[],2,FALSE),"")</f>
        <v/>
      </c>
      <c r="E3990" t="str">
        <f>IFERROR(VLOOKUP(tbEscolas[[#This Row],[COD ETPA]],tbEtapas[],3,FALSE),"")</f>
        <v/>
      </c>
    </row>
    <row r="3991" spans="1:5" x14ac:dyDescent="0.25">
      <c r="A3991" t="str" cm="1">
        <f t="array" ref="A3991">IFERROR(INDEX(tbNucleo[ESCOLA],ROUNDUP(ROW(A3990)/TotalEtapas,0)),"")</f>
        <v/>
      </c>
      <c r="D3991" t="str">
        <f>IFERROR(VLOOKUP(tbEscolas[[#This Row],[COD ETPA]],tbEtapas[],2,FALSE),"")</f>
        <v/>
      </c>
      <c r="E3991" t="str">
        <f>IFERROR(VLOOKUP(tbEscolas[[#This Row],[COD ETPA]],tbEtapas[],3,FALSE),"")</f>
        <v/>
      </c>
    </row>
    <row r="3992" spans="1:5" x14ac:dyDescent="0.25">
      <c r="A3992" t="str" cm="1">
        <f t="array" ref="A3992">IFERROR(INDEX(tbNucleo[ESCOLA],ROUNDUP(ROW(A3991)/TotalEtapas,0)),"")</f>
        <v/>
      </c>
      <c r="D3992" t="str">
        <f>IFERROR(VLOOKUP(tbEscolas[[#This Row],[COD ETPA]],tbEtapas[],2,FALSE),"")</f>
        <v/>
      </c>
      <c r="E3992" t="str">
        <f>IFERROR(VLOOKUP(tbEscolas[[#This Row],[COD ETPA]],tbEtapas[],3,FALSE),"")</f>
        <v/>
      </c>
    </row>
    <row r="3993" spans="1:5" x14ac:dyDescent="0.25">
      <c r="A3993" t="str" cm="1">
        <f t="array" ref="A3993">IFERROR(INDEX(tbNucleo[ESCOLA],ROUNDUP(ROW(A3992)/TotalEtapas,0)),"")</f>
        <v/>
      </c>
      <c r="D3993" t="str">
        <f>IFERROR(VLOOKUP(tbEscolas[[#This Row],[COD ETPA]],tbEtapas[],2,FALSE),"")</f>
        <v/>
      </c>
      <c r="E3993" t="str">
        <f>IFERROR(VLOOKUP(tbEscolas[[#This Row],[COD ETPA]],tbEtapas[],3,FALSE),"")</f>
        <v/>
      </c>
    </row>
    <row r="3994" spans="1:5" x14ac:dyDescent="0.25">
      <c r="A3994" t="str" cm="1">
        <f t="array" ref="A3994">IFERROR(INDEX(tbNucleo[ESCOLA],ROUNDUP(ROW(A3993)/TotalEtapas,0)),"")</f>
        <v/>
      </c>
      <c r="D3994" t="str">
        <f>IFERROR(VLOOKUP(tbEscolas[[#This Row],[COD ETPA]],tbEtapas[],2,FALSE),"")</f>
        <v/>
      </c>
      <c r="E3994" t="str">
        <f>IFERROR(VLOOKUP(tbEscolas[[#This Row],[COD ETPA]],tbEtapas[],3,FALSE),"")</f>
        <v/>
      </c>
    </row>
    <row r="3995" spans="1:5" x14ac:dyDescent="0.25">
      <c r="A3995" t="str" cm="1">
        <f t="array" ref="A3995">IFERROR(INDEX(tbNucleo[ESCOLA],ROUNDUP(ROW(A3994)/TotalEtapas,0)),"")</f>
        <v/>
      </c>
      <c r="D3995" t="str">
        <f>IFERROR(VLOOKUP(tbEscolas[[#This Row],[COD ETPA]],tbEtapas[],2,FALSE),"")</f>
        <v/>
      </c>
      <c r="E3995" t="str">
        <f>IFERROR(VLOOKUP(tbEscolas[[#This Row],[COD ETPA]],tbEtapas[],3,FALSE),"")</f>
        <v/>
      </c>
    </row>
    <row r="3996" spans="1:5" x14ac:dyDescent="0.25">
      <c r="A3996" t="str" cm="1">
        <f t="array" ref="A3996">IFERROR(INDEX(tbNucleo[ESCOLA],ROUNDUP(ROW(A3995)/TotalEtapas,0)),"")</f>
        <v/>
      </c>
      <c r="D3996" t="str">
        <f>IFERROR(VLOOKUP(tbEscolas[[#This Row],[COD ETPA]],tbEtapas[],2,FALSE),"")</f>
        <v/>
      </c>
      <c r="E3996" t="str">
        <f>IFERROR(VLOOKUP(tbEscolas[[#This Row],[COD ETPA]],tbEtapas[],3,FALSE),"")</f>
        <v/>
      </c>
    </row>
    <row r="3997" spans="1:5" x14ac:dyDescent="0.25">
      <c r="A3997" t="str" cm="1">
        <f t="array" ref="A3997">IFERROR(INDEX(tbNucleo[ESCOLA],ROUNDUP(ROW(A3996)/TotalEtapas,0)),"")</f>
        <v/>
      </c>
      <c r="D3997" t="str">
        <f>IFERROR(VLOOKUP(tbEscolas[[#This Row],[COD ETPA]],tbEtapas[],2,FALSE),"")</f>
        <v/>
      </c>
      <c r="E3997" t="str">
        <f>IFERROR(VLOOKUP(tbEscolas[[#This Row],[COD ETPA]],tbEtapas[],3,FALSE),"")</f>
        <v/>
      </c>
    </row>
    <row r="3998" spans="1:5" x14ac:dyDescent="0.25">
      <c r="A3998" t="str" cm="1">
        <f t="array" ref="A3998">IFERROR(INDEX(tbNucleo[ESCOLA],ROUNDUP(ROW(A3997)/TotalEtapas,0)),"")</f>
        <v/>
      </c>
      <c r="D3998" t="str">
        <f>IFERROR(VLOOKUP(tbEscolas[[#This Row],[COD ETPA]],tbEtapas[],2,FALSE),"")</f>
        <v/>
      </c>
      <c r="E3998" t="str">
        <f>IFERROR(VLOOKUP(tbEscolas[[#This Row],[COD ETPA]],tbEtapas[],3,FALSE),"")</f>
        <v/>
      </c>
    </row>
    <row r="3999" spans="1:5" x14ac:dyDescent="0.25">
      <c r="A3999" t="str" cm="1">
        <f t="array" ref="A3999">IFERROR(INDEX(tbNucleo[ESCOLA],ROUNDUP(ROW(A3998)/TotalEtapas,0)),"")</f>
        <v/>
      </c>
      <c r="D3999" t="str">
        <f>IFERROR(VLOOKUP(tbEscolas[[#This Row],[COD ETPA]],tbEtapas[],2,FALSE),"")</f>
        <v/>
      </c>
      <c r="E3999" t="str">
        <f>IFERROR(VLOOKUP(tbEscolas[[#This Row],[COD ETPA]],tbEtapas[],3,FALSE),"")</f>
        <v/>
      </c>
    </row>
    <row r="4000" spans="1:5" x14ac:dyDescent="0.25">
      <c r="A4000" t="str" cm="1">
        <f t="array" ref="A4000">IFERROR(INDEX(tbNucleo[ESCOLA],ROUNDUP(ROW(A3999)/TotalEtapas,0)),"")</f>
        <v/>
      </c>
      <c r="D4000" t="str">
        <f>IFERROR(VLOOKUP(tbEscolas[[#This Row],[COD ETPA]],tbEtapas[],2,FALSE),"")</f>
        <v/>
      </c>
      <c r="E4000" t="str">
        <f>IFERROR(VLOOKUP(tbEscolas[[#This Row],[COD ETPA]],tbEtapas[],3,FALSE),"")</f>
        <v/>
      </c>
    </row>
    <row r="4001" spans="1:5" x14ac:dyDescent="0.25">
      <c r="A4001" t="str" cm="1">
        <f t="array" ref="A4001">IFERROR(INDEX(tbNucleo[ESCOLA],ROUNDUP(ROW(A4000)/TotalEtapas,0)),"")</f>
        <v/>
      </c>
      <c r="D4001" t="str">
        <f>IFERROR(VLOOKUP(tbEscolas[[#This Row],[COD ETPA]],tbEtapas[],2,FALSE),"")</f>
        <v/>
      </c>
      <c r="E4001" t="str">
        <f>IFERROR(VLOOKUP(tbEscolas[[#This Row],[COD ETPA]],tbEtapas[],3,FALSE),"")</f>
        <v/>
      </c>
    </row>
    <row r="4002" spans="1:5" x14ac:dyDescent="0.25">
      <c r="A4002" t="str" cm="1">
        <f t="array" ref="A4002">IFERROR(INDEX(tbNucleo[ESCOLA],ROUNDUP(ROW(A4001)/TotalEtapas,0)),"")</f>
        <v/>
      </c>
      <c r="D4002" t="str">
        <f>IFERROR(VLOOKUP(tbEscolas[[#This Row],[COD ETPA]],tbEtapas[],2,FALSE),"")</f>
        <v/>
      </c>
      <c r="E4002" t="str">
        <f>IFERROR(VLOOKUP(tbEscolas[[#This Row],[COD ETPA]],tbEtapas[],3,FALSE),"")</f>
        <v/>
      </c>
    </row>
    <row r="4003" spans="1:5" x14ac:dyDescent="0.25">
      <c r="A4003" t="str" cm="1">
        <f t="array" ref="A4003">IFERROR(INDEX(tbNucleo[ESCOLA],ROUNDUP(ROW(A4002)/TotalEtapas,0)),"")</f>
        <v/>
      </c>
      <c r="D4003" t="str">
        <f>IFERROR(VLOOKUP(tbEscolas[[#This Row],[COD ETPA]],tbEtapas[],2,FALSE),"")</f>
        <v/>
      </c>
      <c r="E4003" t="str">
        <f>IFERROR(VLOOKUP(tbEscolas[[#This Row],[COD ETPA]],tbEtapas[],3,FALSE),"")</f>
        <v/>
      </c>
    </row>
    <row r="4004" spans="1:5" x14ac:dyDescent="0.25">
      <c r="A4004" t="str" cm="1">
        <f t="array" ref="A4004">IFERROR(INDEX(tbNucleo[ESCOLA],ROUNDUP(ROW(A4003)/TotalEtapas,0)),"")</f>
        <v/>
      </c>
      <c r="D4004" t="str">
        <f>IFERROR(VLOOKUP(tbEscolas[[#This Row],[COD ETPA]],tbEtapas[],2,FALSE),"")</f>
        <v/>
      </c>
      <c r="E4004" t="str">
        <f>IFERROR(VLOOKUP(tbEscolas[[#This Row],[COD ETPA]],tbEtapas[],3,FALSE),"")</f>
        <v/>
      </c>
    </row>
    <row r="4005" spans="1:5" x14ac:dyDescent="0.25">
      <c r="A4005" t="str" cm="1">
        <f t="array" ref="A4005">IFERROR(INDEX(tbNucleo[ESCOLA],ROUNDUP(ROW(A4004)/TotalEtapas,0)),"")</f>
        <v/>
      </c>
      <c r="D4005" t="str">
        <f>IFERROR(VLOOKUP(tbEscolas[[#This Row],[COD ETPA]],tbEtapas[],2,FALSE),"")</f>
        <v/>
      </c>
      <c r="E4005" t="str">
        <f>IFERROR(VLOOKUP(tbEscolas[[#This Row],[COD ETPA]],tbEtapas[],3,FALSE),"")</f>
        <v/>
      </c>
    </row>
    <row r="4006" spans="1:5" x14ac:dyDescent="0.25">
      <c r="A4006" t="str" cm="1">
        <f t="array" ref="A4006">IFERROR(INDEX(tbNucleo[ESCOLA],ROUNDUP(ROW(A4005)/TotalEtapas,0)),"")</f>
        <v/>
      </c>
      <c r="D4006" t="str">
        <f>IFERROR(VLOOKUP(tbEscolas[[#This Row],[COD ETPA]],tbEtapas[],2,FALSE),"")</f>
        <v/>
      </c>
      <c r="E4006" t="str">
        <f>IFERROR(VLOOKUP(tbEscolas[[#This Row],[COD ETPA]],tbEtapas[],3,FALSE),"")</f>
        <v/>
      </c>
    </row>
    <row r="4007" spans="1:5" x14ac:dyDescent="0.25">
      <c r="A4007" t="str" cm="1">
        <f t="array" ref="A4007">IFERROR(INDEX(tbNucleo[ESCOLA],ROUNDUP(ROW(A4006)/TotalEtapas,0)),"")</f>
        <v/>
      </c>
      <c r="D4007" t="str">
        <f>IFERROR(VLOOKUP(tbEscolas[[#This Row],[COD ETPA]],tbEtapas[],2,FALSE),"")</f>
        <v/>
      </c>
      <c r="E4007" t="str">
        <f>IFERROR(VLOOKUP(tbEscolas[[#This Row],[COD ETPA]],tbEtapas[],3,FALSE),"")</f>
        <v/>
      </c>
    </row>
    <row r="4008" spans="1:5" x14ac:dyDescent="0.25">
      <c r="A4008" t="str" cm="1">
        <f t="array" ref="A4008">IFERROR(INDEX(tbNucleo[ESCOLA],ROUNDUP(ROW(A4007)/TotalEtapas,0)),"")</f>
        <v/>
      </c>
      <c r="D4008" t="str">
        <f>IFERROR(VLOOKUP(tbEscolas[[#This Row],[COD ETPA]],tbEtapas[],2,FALSE),"")</f>
        <v/>
      </c>
      <c r="E4008" t="str">
        <f>IFERROR(VLOOKUP(tbEscolas[[#This Row],[COD ETPA]],tbEtapas[],3,FALSE),"")</f>
        <v/>
      </c>
    </row>
    <row r="4009" spans="1:5" x14ac:dyDescent="0.25">
      <c r="A4009" t="str" cm="1">
        <f t="array" ref="A4009">IFERROR(INDEX(tbNucleo[ESCOLA],ROUNDUP(ROW(A4008)/TotalEtapas,0)),"")</f>
        <v/>
      </c>
      <c r="D4009" t="str">
        <f>IFERROR(VLOOKUP(tbEscolas[[#This Row],[COD ETPA]],tbEtapas[],2,FALSE),"")</f>
        <v/>
      </c>
      <c r="E4009" t="str">
        <f>IFERROR(VLOOKUP(tbEscolas[[#This Row],[COD ETPA]],tbEtapas[],3,FALSE),"")</f>
        <v/>
      </c>
    </row>
    <row r="4010" spans="1:5" x14ac:dyDescent="0.25">
      <c r="A4010" t="str" cm="1">
        <f t="array" ref="A4010">IFERROR(INDEX(tbNucleo[ESCOLA],ROUNDUP(ROW(A4009)/TotalEtapas,0)),"")</f>
        <v/>
      </c>
      <c r="D4010" t="str">
        <f>IFERROR(VLOOKUP(tbEscolas[[#This Row],[COD ETPA]],tbEtapas[],2,FALSE),"")</f>
        <v/>
      </c>
      <c r="E4010" t="str">
        <f>IFERROR(VLOOKUP(tbEscolas[[#This Row],[COD ETPA]],tbEtapas[],3,FALSE),"")</f>
        <v/>
      </c>
    </row>
    <row r="4011" spans="1:5" x14ac:dyDescent="0.25">
      <c r="A4011" t="str" cm="1">
        <f t="array" ref="A4011">IFERROR(INDEX(tbNucleo[ESCOLA],ROUNDUP(ROW(A4010)/TotalEtapas,0)),"")</f>
        <v/>
      </c>
      <c r="D4011" t="str">
        <f>IFERROR(VLOOKUP(tbEscolas[[#This Row],[COD ETPA]],tbEtapas[],2,FALSE),"")</f>
        <v/>
      </c>
      <c r="E4011" t="str">
        <f>IFERROR(VLOOKUP(tbEscolas[[#This Row],[COD ETPA]],tbEtapas[],3,FALSE),"")</f>
        <v/>
      </c>
    </row>
    <row r="4012" spans="1:5" x14ac:dyDescent="0.25">
      <c r="A4012" t="str" cm="1">
        <f t="array" ref="A4012">IFERROR(INDEX(tbNucleo[ESCOLA],ROUNDUP(ROW(A4011)/TotalEtapas,0)),"")</f>
        <v/>
      </c>
      <c r="D4012" t="str">
        <f>IFERROR(VLOOKUP(tbEscolas[[#This Row],[COD ETPA]],tbEtapas[],2,FALSE),"")</f>
        <v/>
      </c>
      <c r="E4012" t="str">
        <f>IFERROR(VLOOKUP(tbEscolas[[#This Row],[COD ETPA]],tbEtapas[],3,FALSE),"")</f>
        <v/>
      </c>
    </row>
    <row r="4013" spans="1:5" x14ac:dyDescent="0.25">
      <c r="A4013" t="str" cm="1">
        <f t="array" ref="A4013">IFERROR(INDEX(tbNucleo[ESCOLA],ROUNDUP(ROW(A4012)/TotalEtapas,0)),"")</f>
        <v/>
      </c>
      <c r="D4013" t="str">
        <f>IFERROR(VLOOKUP(tbEscolas[[#This Row],[COD ETPA]],tbEtapas[],2,FALSE),"")</f>
        <v/>
      </c>
      <c r="E4013" t="str">
        <f>IFERROR(VLOOKUP(tbEscolas[[#This Row],[COD ETPA]],tbEtapas[],3,FALSE),"")</f>
        <v/>
      </c>
    </row>
    <row r="4014" spans="1:5" x14ac:dyDescent="0.25">
      <c r="A4014" t="str" cm="1">
        <f t="array" ref="A4014">IFERROR(INDEX(tbNucleo[ESCOLA],ROUNDUP(ROW(A4013)/TotalEtapas,0)),"")</f>
        <v/>
      </c>
      <c r="D4014" t="str">
        <f>IFERROR(VLOOKUP(tbEscolas[[#This Row],[COD ETPA]],tbEtapas[],2,FALSE),"")</f>
        <v/>
      </c>
      <c r="E4014" t="str">
        <f>IFERROR(VLOOKUP(tbEscolas[[#This Row],[COD ETPA]],tbEtapas[],3,FALSE),"")</f>
        <v/>
      </c>
    </row>
    <row r="4015" spans="1:5" x14ac:dyDescent="0.25">
      <c r="A4015" t="str" cm="1">
        <f t="array" ref="A4015">IFERROR(INDEX(tbNucleo[ESCOLA],ROUNDUP(ROW(A4014)/TotalEtapas,0)),"")</f>
        <v/>
      </c>
      <c r="D4015" t="str">
        <f>IFERROR(VLOOKUP(tbEscolas[[#This Row],[COD ETPA]],tbEtapas[],2,FALSE),"")</f>
        <v/>
      </c>
      <c r="E4015" t="str">
        <f>IFERROR(VLOOKUP(tbEscolas[[#This Row],[COD ETPA]],tbEtapas[],3,FALSE),"")</f>
        <v/>
      </c>
    </row>
    <row r="4016" spans="1:5" x14ac:dyDescent="0.25">
      <c r="A4016" t="str" cm="1">
        <f t="array" ref="A4016">IFERROR(INDEX(tbNucleo[ESCOLA],ROUNDUP(ROW(A4015)/TotalEtapas,0)),"")</f>
        <v/>
      </c>
      <c r="D4016" t="str">
        <f>IFERROR(VLOOKUP(tbEscolas[[#This Row],[COD ETPA]],tbEtapas[],2,FALSE),"")</f>
        <v/>
      </c>
      <c r="E4016" t="str">
        <f>IFERROR(VLOOKUP(tbEscolas[[#This Row],[COD ETPA]],tbEtapas[],3,FALSE),"")</f>
        <v/>
      </c>
    </row>
    <row r="4017" spans="1:5" x14ac:dyDescent="0.25">
      <c r="A4017" t="str" cm="1">
        <f t="array" ref="A4017">IFERROR(INDEX(tbNucleo[ESCOLA],ROUNDUP(ROW(A4016)/TotalEtapas,0)),"")</f>
        <v/>
      </c>
      <c r="D4017" t="str">
        <f>IFERROR(VLOOKUP(tbEscolas[[#This Row],[COD ETPA]],tbEtapas[],2,FALSE),"")</f>
        <v/>
      </c>
      <c r="E4017" t="str">
        <f>IFERROR(VLOOKUP(tbEscolas[[#This Row],[COD ETPA]],tbEtapas[],3,FALSE),"")</f>
        <v/>
      </c>
    </row>
    <row r="4018" spans="1:5" x14ac:dyDescent="0.25">
      <c r="A4018" t="str" cm="1">
        <f t="array" ref="A4018">IFERROR(INDEX(tbNucleo[ESCOLA],ROUNDUP(ROW(A4017)/TotalEtapas,0)),"")</f>
        <v/>
      </c>
      <c r="D4018" t="str">
        <f>IFERROR(VLOOKUP(tbEscolas[[#This Row],[COD ETPA]],tbEtapas[],2,FALSE),"")</f>
        <v/>
      </c>
      <c r="E4018" t="str">
        <f>IFERROR(VLOOKUP(tbEscolas[[#This Row],[COD ETPA]],tbEtapas[],3,FALSE),"")</f>
        <v/>
      </c>
    </row>
    <row r="4019" spans="1:5" x14ac:dyDescent="0.25">
      <c r="A4019" t="str" cm="1">
        <f t="array" ref="A4019">IFERROR(INDEX(tbNucleo[ESCOLA],ROUNDUP(ROW(A4018)/TotalEtapas,0)),"")</f>
        <v/>
      </c>
      <c r="D4019" t="str">
        <f>IFERROR(VLOOKUP(tbEscolas[[#This Row],[COD ETPA]],tbEtapas[],2,FALSE),"")</f>
        <v/>
      </c>
      <c r="E4019" t="str">
        <f>IFERROR(VLOOKUP(tbEscolas[[#This Row],[COD ETPA]],tbEtapas[],3,FALSE),"")</f>
        <v/>
      </c>
    </row>
    <row r="4020" spans="1:5" x14ac:dyDescent="0.25">
      <c r="A4020" t="str" cm="1">
        <f t="array" ref="A4020">IFERROR(INDEX(tbNucleo[ESCOLA],ROUNDUP(ROW(A4019)/TotalEtapas,0)),"")</f>
        <v/>
      </c>
      <c r="D4020" t="str">
        <f>IFERROR(VLOOKUP(tbEscolas[[#This Row],[COD ETPA]],tbEtapas[],2,FALSE),"")</f>
        <v/>
      </c>
      <c r="E4020" t="str">
        <f>IFERROR(VLOOKUP(tbEscolas[[#This Row],[COD ETPA]],tbEtapas[],3,FALSE),"")</f>
        <v/>
      </c>
    </row>
    <row r="4021" spans="1:5" x14ac:dyDescent="0.25">
      <c r="A4021" t="str" cm="1">
        <f t="array" ref="A4021">IFERROR(INDEX(tbNucleo[ESCOLA],ROUNDUP(ROW(A4020)/TotalEtapas,0)),"")</f>
        <v/>
      </c>
      <c r="D4021" t="str">
        <f>IFERROR(VLOOKUP(tbEscolas[[#This Row],[COD ETPA]],tbEtapas[],2,FALSE),"")</f>
        <v/>
      </c>
      <c r="E4021" t="str">
        <f>IFERROR(VLOOKUP(tbEscolas[[#This Row],[COD ETPA]],tbEtapas[],3,FALSE),"")</f>
        <v/>
      </c>
    </row>
    <row r="4022" spans="1:5" x14ac:dyDescent="0.25">
      <c r="A4022" t="str" cm="1">
        <f t="array" ref="A4022">IFERROR(INDEX(tbNucleo[ESCOLA],ROUNDUP(ROW(A4021)/TotalEtapas,0)),"")</f>
        <v/>
      </c>
      <c r="D4022" t="str">
        <f>IFERROR(VLOOKUP(tbEscolas[[#This Row],[COD ETPA]],tbEtapas[],2,FALSE),"")</f>
        <v/>
      </c>
      <c r="E4022" t="str">
        <f>IFERROR(VLOOKUP(tbEscolas[[#This Row],[COD ETPA]],tbEtapas[],3,FALSE),"")</f>
        <v/>
      </c>
    </row>
    <row r="4023" spans="1:5" x14ac:dyDescent="0.25">
      <c r="A4023" t="str" cm="1">
        <f t="array" ref="A4023">IFERROR(INDEX(tbNucleo[ESCOLA],ROUNDUP(ROW(A4022)/TotalEtapas,0)),"")</f>
        <v/>
      </c>
      <c r="D4023" t="str">
        <f>IFERROR(VLOOKUP(tbEscolas[[#This Row],[COD ETPA]],tbEtapas[],2,FALSE),"")</f>
        <v/>
      </c>
      <c r="E4023" t="str">
        <f>IFERROR(VLOOKUP(tbEscolas[[#This Row],[COD ETPA]],tbEtapas[],3,FALSE),"")</f>
        <v/>
      </c>
    </row>
    <row r="4024" spans="1:5" x14ac:dyDescent="0.25">
      <c r="A4024" t="str" cm="1">
        <f t="array" ref="A4024">IFERROR(INDEX(tbNucleo[ESCOLA],ROUNDUP(ROW(A4023)/TotalEtapas,0)),"")</f>
        <v/>
      </c>
      <c r="D4024" t="str">
        <f>IFERROR(VLOOKUP(tbEscolas[[#This Row],[COD ETPA]],tbEtapas[],2,FALSE),"")</f>
        <v/>
      </c>
      <c r="E4024" t="str">
        <f>IFERROR(VLOOKUP(tbEscolas[[#This Row],[COD ETPA]],tbEtapas[],3,FALSE),"")</f>
        <v/>
      </c>
    </row>
    <row r="4025" spans="1:5" x14ac:dyDescent="0.25">
      <c r="A4025" t="str" cm="1">
        <f t="array" ref="A4025">IFERROR(INDEX(tbNucleo[ESCOLA],ROUNDUP(ROW(A4024)/TotalEtapas,0)),"")</f>
        <v/>
      </c>
      <c r="D4025" t="str">
        <f>IFERROR(VLOOKUP(tbEscolas[[#This Row],[COD ETPA]],tbEtapas[],2,FALSE),"")</f>
        <v/>
      </c>
      <c r="E4025" t="str">
        <f>IFERROR(VLOOKUP(tbEscolas[[#This Row],[COD ETPA]],tbEtapas[],3,FALSE),"")</f>
        <v/>
      </c>
    </row>
    <row r="4026" spans="1:5" x14ac:dyDescent="0.25">
      <c r="A4026" t="str" cm="1">
        <f t="array" ref="A4026">IFERROR(INDEX(tbNucleo[ESCOLA],ROUNDUP(ROW(A4025)/TotalEtapas,0)),"")</f>
        <v/>
      </c>
      <c r="D4026" t="str">
        <f>IFERROR(VLOOKUP(tbEscolas[[#This Row],[COD ETPA]],tbEtapas[],2,FALSE),"")</f>
        <v/>
      </c>
      <c r="E4026" t="str">
        <f>IFERROR(VLOOKUP(tbEscolas[[#This Row],[COD ETPA]],tbEtapas[],3,FALSE),"")</f>
        <v/>
      </c>
    </row>
    <row r="4027" spans="1:5" x14ac:dyDescent="0.25">
      <c r="A4027" t="str" cm="1">
        <f t="array" ref="A4027">IFERROR(INDEX(tbNucleo[ESCOLA],ROUNDUP(ROW(A4026)/TotalEtapas,0)),"")</f>
        <v/>
      </c>
      <c r="D4027" t="str">
        <f>IFERROR(VLOOKUP(tbEscolas[[#This Row],[COD ETPA]],tbEtapas[],2,FALSE),"")</f>
        <v/>
      </c>
      <c r="E4027" t="str">
        <f>IFERROR(VLOOKUP(tbEscolas[[#This Row],[COD ETPA]],tbEtapas[],3,FALSE),"")</f>
        <v/>
      </c>
    </row>
    <row r="4028" spans="1:5" x14ac:dyDescent="0.25">
      <c r="A4028" t="str" cm="1">
        <f t="array" ref="A4028">IFERROR(INDEX(tbNucleo[ESCOLA],ROUNDUP(ROW(A4027)/TotalEtapas,0)),"")</f>
        <v/>
      </c>
      <c r="D4028" t="str">
        <f>IFERROR(VLOOKUP(tbEscolas[[#This Row],[COD ETPA]],tbEtapas[],2,FALSE),"")</f>
        <v/>
      </c>
      <c r="E4028" t="str">
        <f>IFERROR(VLOOKUP(tbEscolas[[#This Row],[COD ETPA]],tbEtapas[],3,FALSE),"")</f>
        <v/>
      </c>
    </row>
    <row r="4029" spans="1:5" x14ac:dyDescent="0.25">
      <c r="A4029" t="str" cm="1">
        <f t="array" ref="A4029">IFERROR(INDEX(tbNucleo[ESCOLA],ROUNDUP(ROW(A4028)/TotalEtapas,0)),"")</f>
        <v/>
      </c>
      <c r="D4029" t="str">
        <f>IFERROR(VLOOKUP(tbEscolas[[#This Row],[COD ETPA]],tbEtapas[],2,FALSE),"")</f>
        <v/>
      </c>
      <c r="E4029" t="str">
        <f>IFERROR(VLOOKUP(tbEscolas[[#This Row],[COD ETPA]],tbEtapas[],3,FALSE),"")</f>
        <v/>
      </c>
    </row>
    <row r="4030" spans="1:5" x14ac:dyDescent="0.25">
      <c r="A4030" t="str" cm="1">
        <f t="array" ref="A4030">IFERROR(INDEX(tbNucleo[ESCOLA],ROUNDUP(ROW(A4029)/TotalEtapas,0)),"")</f>
        <v/>
      </c>
      <c r="D4030" t="str">
        <f>IFERROR(VLOOKUP(tbEscolas[[#This Row],[COD ETPA]],tbEtapas[],2,FALSE),"")</f>
        <v/>
      </c>
      <c r="E4030" t="str">
        <f>IFERROR(VLOOKUP(tbEscolas[[#This Row],[COD ETPA]],tbEtapas[],3,FALSE),"")</f>
        <v/>
      </c>
    </row>
    <row r="4031" spans="1:5" x14ac:dyDescent="0.25">
      <c r="A4031" t="str" cm="1">
        <f t="array" ref="A4031">IFERROR(INDEX(tbNucleo[ESCOLA],ROUNDUP(ROW(A4030)/TotalEtapas,0)),"")</f>
        <v/>
      </c>
      <c r="D4031" t="str">
        <f>IFERROR(VLOOKUP(tbEscolas[[#This Row],[COD ETPA]],tbEtapas[],2,FALSE),"")</f>
        <v/>
      </c>
      <c r="E4031" t="str">
        <f>IFERROR(VLOOKUP(tbEscolas[[#This Row],[COD ETPA]],tbEtapas[],3,FALSE),"")</f>
        <v/>
      </c>
    </row>
    <row r="4032" spans="1:5" x14ac:dyDescent="0.25">
      <c r="A4032" t="str" cm="1">
        <f t="array" ref="A4032">IFERROR(INDEX(tbNucleo[ESCOLA],ROUNDUP(ROW(A4031)/TotalEtapas,0)),"")</f>
        <v/>
      </c>
      <c r="D4032" t="str">
        <f>IFERROR(VLOOKUP(tbEscolas[[#This Row],[COD ETPA]],tbEtapas[],2,FALSE),"")</f>
        <v/>
      </c>
      <c r="E4032" t="str">
        <f>IFERROR(VLOOKUP(tbEscolas[[#This Row],[COD ETPA]],tbEtapas[],3,FALSE),"")</f>
        <v/>
      </c>
    </row>
    <row r="4033" spans="1:5" x14ac:dyDescent="0.25">
      <c r="A4033" t="str" cm="1">
        <f t="array" ref="A4033">IFERROR(INDEX(tbNucleo[ESCOLA],ROUNDUP(ROW(A4032)/TotalEtapas,0)),"")</f>
        <v/>
      </c>
      <c r="D4033" t="str">
        <f>IFERROR(VLOOKUP(tbEscolas[[#This Row],[COD ETPA]],tbEtapas[],2,FALSE),"")</f>
        <v/>
      </c>
      <c r="E4033" t="str">
        <f>IFERROR(VLOOKUP(tbEscolas[[#This Row],[COD ETPA]],tbEtapas[],3,FALSE),"")</f>
        <v/>
      </c>
    </row>
    <row r="4034" spans="1:5" x14ac:dyDescent="0.25">
      <c r="A4034" t="str" cm="1">
        <f t="array" ref="A4034">IFERROR(INDEX(tbNucleo[ESCOLA],ROUNDUP(ROW(A4033)/TotalEtapas,0)),"")</f>
        <v/>
      </c>
      <c r="D4034" t="str">
        <f>IFERROR(VLOOKUP(tbEscolas[[#This Row],[COD ETPA]],tbEtapas[],2,FALSE),"")</f>
        <v/>
      </c>
      <c r="E4034" t="str">
        <f>IFERROR(VLOOKUP(tbEscolas[[#This Row],[COD ETPA]],tbEtapas[],3,FALSE),"")</f>
        <v/>
      </c>
    </row>
    <row r="4035" spans="1:5" x14ac:dyDescent="0.25">
      <c r="A4035" t="str" cm="1">
        <f t="array" ref="A4035">IFERROR(INDEX(tbNucleo[ESCOLA],ROUNDUP(ROW(A4034)/TotalEtapas,0)),"")</f>
        <v/>
      </c>
      <c r="D4035" t="str">
        <f>IFERROR(VLOOKUP(tbEscolas[[#This Row],[COD ETPA]],tbEtapas[],2,FALSE),"")</f>
        <v/>
      </c>
      <c r="E4035" t="str">
        <f>IFERROR(VLOOKUP(tbEscolas[[#This Row],[COD ETPA]],tbEtapas[],3,FALSE),"")</f>
        <v/>
      </c>
    </row>
    <row r="4036" spans="1:5" x14ac:dyDescent="0.25">
      <c r="A4036" t="str" cm="1">
        <f t="array" ref="A4036">IFERROR(INDEX(tbNucleo[ESCOLA],ROUNDUP(ROW(A4035)/TotalEtapas,0)),"")</f>
        <v/>
      </c>
      <c r="D4036" t="str">
        <f>IFERROR(VLOOKUP(tbEscolas[[#This Row],[COD ETPA]],tbEtapas[],2,FALSE),"")</f>
        <v/>
      </c>
      <c r="E4036" t="str">
        <f>IFERROR(VLOOKUP(tbEscolas[[#This Row],[COD ETPA]],tbEtapas[],3,FALSE),"")</f>
        <v/>
      </c>
    </row>
    <row r="4037" spans="1:5" x14ac:dyDescent="0.25">
      <c r="A4037" t="str" cm="1">
        <f t="array" ref="A4037">IFERROR(INDEX(tbNucleo[ESCOLA],ROUNDUP(ROW(A4036)/TotalEtapas,0)),"")</f>
        <v/>
      </c>
      <c r="D4037" t="str">
        <f>IFERROR(VLOOKUP(tbEscolas[[#This Row],[COD ETPA]],tbEtapas[],2,FALSE),"")</f>
        <v/>
      </c>
      <c r="E4037" t="str">
        <f>IFERROR(VLOOKUP(tbEscolas[[#This Row],[COD ETPA]],tbEtapas[],3,FALSE),"")</f>
        <v/>
      </c>
    </row>
    <row r="4038" spans="1:5" x14ac:dyDescent="0.25">
      <c r="A4038" t="str" cm="1">
        <f t="array" ref="A4038">IFERROR(INDEX(tbNucleo[ESCOLA],ROUNDUP(ROW(A4037)/TotalEtapas,0)),"")</f>
        <v/>
      </c>
      <c r="D4038" t="str">
        <f>IFERROR(VLOOKUP(tbEscolas[[#This Row],[COD ETPA]],tbEtapas[],2,FALSE),"")</f>
        <v/>
      </c>
      <c r="E4038" t="str">
        <f>IFERROR(VLOOKUP(tbEscolas[[#This Row],[COD ETPA]],tbEtapas[],3,FALSE),"")</f>
        <v/>
      </c>
    </row>
    <row r="4039" spans="1:5" x14ac:dyDescent="0.25">
      <c r="A4039" t="str" cm="1">
        <f t="array" ref="A4039">IFERROR(INDEX(tbNucleo[ESCOLA],ROUNDUP(ROW(A4038)/TotalEtapas,0)),"")</f>
        <v/>
      </c>
      <c r="D4039" t="str">
        <f>IFERROR(VLOOKUP(tbEscolas[[#This Row],[COD ETPA]],tbEtapas[],2,FALSE),"")</f>
        <v/>
      </c>
      <c r="E4039" t="str">
        <f>IFERROR(VLOOKUP(tbEscolas[[#This Row],[COD ETPA]],tbEtapas[],3,FALSE),"")</f>
        <v/>
      </c>
    </row>
    <row r="4040" spans="1:5" x14ac:dyDescent="0.25">
      <c r="A4040" t="str" cm="1">
        <f t="array" ref="A4040">IFERROR(INDEX(tbNucleo[ESCOLA],ROUNDUP(ROW(A4039)/TotalEtapas,0)),"")</f>
        <v/>
      </c>
      <c r="D4040" t="str">
        <f>IFERROR(VLOOKUP(tbEscolas[[#This Row],[COD ETPA]],tbEtapas[],2,FALSE),"")</f>
        <v/>
      </c>
      <c r="E4040" t="str">
        <f>IFERROR(VLOOKUP(tbEscolas[[#This Row],[COD ETPA]],tbEtapas[],3,FALSE),"")</f>
        <v/>
      </c>
    </row>
    <row r="4041" spans="1:5" x14ac:dyDescent="0.25">
      <c r="A4041" t="str" cm="1">
        <f t="array" ref="A4041">IFERROR(INDEX(tbNucleo[ESCOLA],ROUNDUP(ROW(A4040)/TotalEtapas,0)),"")</f>
        <v/>
      </c>
      <c r="D4041" t="str">
        <f>IFERROR(VLOOKUP(tbEscolas[[#This Row],[COD ETPA]],tbEtapas[],2,FALSE),"")</f>
        <v/>
      </c>
      <c r="E4041" t="str">
        <f>IFERROR(VLOOKUP(tbEscolas[[#This Row],[COD ETPA]],tbEtapas[],3,FALSE),"")</f>
        <v/>
      </c>
    </row>
    <row r="4042" spans="1:5" x14ac:dyDescent="0.25">
      <c r="A4042" t="str" cm="1">
        <f t="array" ref="A4042">IFERROR(INDEX(tbNucleo[ESCOLA],ROUNDUP(ROW(A4041)/TotalEtapas,0)),"")</f>
        <v/>
      </c>
      <c r="D4042" t="str">
        <f>IFERROR(VLOOKUP(tbEscolas[[#This Row],[COD ETPA]],tbEtapas[],2,FALSE),"")</f>
        <v/>
      </c>
      <c r="E4042" t="str">
        <f>IFERROR(VLOOKUP(tbEscolas[[#This Row],[COD ETPA]],tbEtapas[],3,FALSE),"")</f>
        <v/>
      </c>
    </row>
    <row r="4043" spans="1:5" x14ac:dyDescent="0.25">
      <c r="A4043" t="str" cm="1">
        <f t="array" ref="A4043">IFERROR(INDEX(tbNucleo[ESCOLA],ROUNDUP(ROW(A4042)/TotalEtapas,0)),"")</f>
        <v/>
      </c>
      <c r="D4043" t="str">
        <f>IFERROR(VLOOKUP(tbEscolas[[#This Row],[COD ETPA]],tbEtapas[],2,FALSE),"")</f>
        <v/>
      </c>
      <c r="E4043" t="str">
        <f>IFERROR(VLOOKUP(tbEscolas[[#This Row],[COD ETPA]],tbEtapas[],3,FALSE),"")</f>
        <v/>
      </c>
    </row>
    <row r="4044" spans="1:5" x14ac:dyDescent="0.25">
      <c r="A4044" t="str" cm="1">
        <f t="array" ref="A4044">IFERROR(INDEX(tbNucleo[ESCOLA],ROUNDUP(ROW(A4043)/TotalEtapas,0)),"")</f>
        <v/>
      </c>
      <c r="D4044" t="str">
        <f>IFERROR(VLOOKUP(tbEscolas[[#This Row],[COD ETPA]],tbEtapas[],2,FALSE),"")</f>
        <v/>
      </c>
      <c r="E4044" t="str">
        <f>IFERROR(VLOOKUP(tbEscolas[[#This Row],[COD ETPA]],tbEtapas[],3,FALSE),"")</f>
        <v/>
      </c>
    </row>
    <row r="4045" spans="1:5" x14ac:dyDescent="0.25">
      <c r="A4045" t="str" cm="1">
        <f t="array" ref="A4045">IFERROR(INDEX(tbNucleo[ESCOLA],ROUNDUP(ROW(A4044)/TotalEtapas,0)),"")</f>
        <v/>
      </c>
      <c r="D4045" t="str">
        <f>IFERROR(VLOOKUP(tbEscolas[[#This Row],[COD ETPA]],tbEtapas[],2,FALSE),"")</f>
        <v/>
      </c>
      <c r="E4045" t="str">
        <f>IFERROR(VLOOKUP(tbEscolas[[#This Row],[COD ETPA]],tbEtapas[],3,FALSE),"")</f>
        <v/>
      </c>
    </row>
    <row r="4046" spans="1:5" x14ac:dyDescent="0.25">
      <c r="A4046" t="str" cm="1">
        <f t="array" ref="A4046">IFERROR(INDEX(tbNucleo[ESCOLA],ROUNDUP(ROW(A4045)/TotalEtapas,0)),"")</f>
        <v/>
      </c>
      <c r="D4046" t="str">
        <f>IFERROR(VLOOKUP(tbEscolas[[#This Row],[COD ETPA]],tbEtapas[],2,FALSE),"")</f>
        <v/>
      </c>
      <c r="E4046" t="str">
        <f>IFERROR(VLOOKUP(tbEscolas[[#This Row],[COD ETPA]],tbEtapas[],3,FALSE),"")</f>
        <v/>
      </c>
    </row>
    <row r="4047" spans="1:5" x14ac:dyDescent="0.25">
      <c r="A4047" t="str" cm="1">
        <f t="array" ref="A4047">IFERROR(INDEX(tbNucleo[ESCOLA],ROUNDUP(ROW(A4046)/TotalEtapas,0)),"")</f>
        <v/>
      </c>
      <c r="D4047" t="str">
        <f>IFERROR(VLOOKUP(tbEscolas[[#This Row],[COD ETPA]],tbEtapas[],2,FALSE),"")</f>
        <v/>
      </c>
      <c r="E4047" t="str">
        <f>IFERROR(VLOOKUP(tbEscolas[[#This Row],[COD ETPA]],tbEtapas[],3,FALSE),"")</f>
        <v/>
      </c>
    </row>
    <row r="4048" spans="1:5" x14ac:dyDescent="0.25">
      <c r="A4048" t="str" cm="1">
        <f t="array" ref="A4048">IFERROR(INDEX(tbNucleo[ESCOLA],ROUNDUP(ROW(A4047)/TotalEtapas,0)),"")</f>
        <v/>
      </c>
      <c r="D4048" t="str">
        <f>IFERROR(VLOOKUP(tbEscolas[[#This Row],[COD ETPA]],tbEtapas[],2,FALSE),"")</f>
        <v/>
      </c>
      <c r="E4048" t="str">
        <f>IFERROR(VLOOKUP(tbEscolas[[#This Row],[COD ETPA]],tbEtapas[],3,FALSE),"")</f>
        <v/>
      </c>
    </row>
    <row r="4049" spans="1:5" x14ac:dyDescent="0.25">
      <c r="A4049" t="str" cm="1">
        <f t="array" ref="A4049">IFERROR(INDEX(tbNucleo[ESCOLA],ROUNDUP(ROW(A4048)/TotalEtapas,0)),"")</f>
        <v/>
      </c>
      <c r="D4049" t="str">
        <f>IFERROR(VLOOKUP(tbEscolas[[#This Row],[COD ETPA]],tbEtapas[],2,FALSE),"")</f>
        <v/>
      </c>
      <c r="E4049" t="str">
        <f>IFERROR(VLOOKUP(tbEscolas[[#This Row],[COD ETPA]],tbEtapas[],3,FALSE),"")</f>
        <v/>
      </c>
    </row>
    <row r="4050" spans="1:5" x14ac:dyDescent="0.25">
      <c r="A4050" t="str" cm="1">
        <f t="array" ref="A4050">IFERROR(INDEX(tbNucleo[ESCOLA],ROUNDUP(ROW(A4049)/TotalEtapas,0)),"")</f>
        <v/>
      </c>
      <c r="D4050" t="str">
        <f>IFERROR(VLOOKUP(tbEscolas[[#This Row],[COD ETPA]],tbEtapas[],2,FALSE),"")</f>
        <v/>
      </c>
      <c r="E4050" t="str">
        <f>IFERROR(VLOOKUP(tbEscolas[[#This Row],[COD ETPA]],tbEtapas[],3,FALSE),"")</f>
        <v/>
      </c>
    </row>
    <row r="4051" spans="1:5" x14ac:dyDescent="0.25">
      <c r="A4051" t="str" cm="1">
        <f t="array" ref="A4051">IFERROR(INDEX(tbNucleo[ESCOLA],ROUNDUP(ROW(A4050)/TotalEtapas,0)),"")</f>
        <v/>
      </c>
      <c r="D4051" t="str">
        <f>IFERROR(VLOOKUP(tbEscolas[[#This Row],[COD ETPA]],tbEtapas[],2,FALSE),"")</f>
        <v/>
      </c>
      <c r="E4051" t="str">
        <f>IFERROR(VLOOKUP(tbEscolas[[#This Row],[COD ETPA]],tbEtapas[],3,FALSE),"")</f>
        <v/>
      </c>
    </row>
    <row r="4052" spans="1:5" x14ac:dyDescent="0.25">
      <c r="A4052" t="str" cm="1">
        <f t="array" ref="A4052">IFERROR(INDEX(tbNucleo[ESCOLA],ROUNDUP(ROW(A4051)/TotalEtapas,0)),"")</f>
        <v/>
      </c>
      <c r="D4052" t="str">
        <f>IFERROR(VLOOKUP(tbEscolas[[#This Row],[COD ETPA]],tbEtapas[],2,FALSE),"")</f>
        <v/>
      </c>
      <c r="E4052" t="str">
        <f>IFERROR(VLOOKUP(tbEscolas[[#This Row],[COD ETPA]],tbEtapas[],3,FALSE),"")</f>
        <v/>
      </c>
    </row>
    <row r="4053" spans="1:5" x14ac:dyDescent="0.25">
      <c r="A4053" t="str" cm="1">
        <f t="array" ref="A4053">IFERROR(INDEX(tbNucleo[ESCOLA],ROUNDUP(ROW(A4052)/TotalEtapas,0)),"")</f>
        <v/>
      </c>
      <c r="D4053" t="str">
        <f>IFERROR(VLOOKUP(tbEscolas[[#This Row],[COD ETPA]],tbEtapas[],2,FALSE),"")</f>
        <v/>
      </c>
      <c r="E4053" t="str">
        <f>IFERROR(VLOOKUP(tbEscolas[[#This Row],[COD ETPA]],tbEtapas[],3,FALSE),"")</f>
        <v/>
      </c>
    </row>
    <row r="4054" spans="1:5" x14ac:dyDescent="0.25">
      <c r="A4054" t="str" cm="1">
        <f t="array" ref="A4054">IFERROR(INDEX(tbNucleo[ESCOLA],ROUNDUP(ROW(A4053)/TotalEtapas,0)),"")</f>
        <v/>
      </c>
      <c r="D4054" t="str">
        <f>IFERROR(VLOOKUP(tbEscolas[[#This Row],[COD ETPA]],tbEtapas[],2,FALSE),"")</f>
        <v/>
      </c>
      <c r="E4054" t="str">
        <f>IFERROR(VLOOKUP(tbEscolas[[#This Row],[COD ETPA]],tbEtapas[],3,FALSE),"")</f>
        <v/>
      </c>
    </row>
    <row r="4055" spans="1:5" x14ac:dyDescent="0.25">
      <c r="A4055" t="str" cm="1">
        <f t="array" ref="A4055">IFERROR(INDEX(tbNucleo[ESCOLA],ROUNDUP(ROW(A4054)/TotalEtapas,0)),"")</f>
        <v/>
      </c>
      <c r="D4055" t="str">
        <f>IFERROR(VLOOKUP(tbEscolas[[#This Row],[COD ETPA]],tbEtapas[],2,FALSE),"")</f>
        <v/>
      </c>
      <c r="E4055" t="str">
        <f>IFERROR(VLOOKUP(tbEscolas[[#This Row],[COD ETPA]],tbEtapas[],3,FALSE),"")</f>
        <v/>
      </c>
    </row>
    <row r="4056" spans="1:5" x14ac:dyDescent="0.25">
      <c r="A4056" t="str" cm="1">
        <f t="array" ref="A4056">IFERROR(INDEX(tbNucleo[ESCOLA],ROUNDUP(ROW(A4055)/TotalEtapas,0)),"")</f>
        <v/>
      </c>
      <c r="D4056" t="str">
        <f>IFERROR(VLOOKUP(tbEscolas[[#This Row],[COD ETPA]],tbEtapas[],2,FALSE),"")</f>
        <v/>
      </c>
      <c r="E4056" t="str">
        <f>IFERROR(VLOOKUP(tbEscolas[[#This Row],[COD ETPA]],tbEtapas[],3,FALSE),"")</f>
        <v/>
      </c>
    </row>
    <row r="4057" spans="1:5" x14ac:dyDescent="0.25">
      <c r="A4057" t="str" cm="1">
        <f t="array" ref="A4057">IFERROR(INDEX(tbNucleo[ESCOLA],ROUNDUP(ROW(A4056)/TotalEtapas,0)),"")</f>
        <v/>
      </c>
      <c r="D4057" t="str">
        <f>IFERROR(VLOOKUP(tbEscolas[[#This Row],[COD ETPA]],tbEtapas[],2,FALSE),"")</f>
        <v/>
      </c>
      <c r="E4057" t="str">
        <f>IFERROR(VLOOKUP(tbEscolas[[#This Row],[COD ETPA]],tbEtapas[],3,FALSE),"")</f>
        <v/>
      </c>
    </row>
    <row r="4058" spans="1:5" x14ac:dyDescent="0.25">
      <c r="A4058" t="str" cm="1">
        <f t="array" ref="A4058">IFERROR(INDEX(tbNucleo[ESCOLA],ROUNDUP(ROW(A4057)/TotalEtapas,0)),"")</f>
        <v/>
      </c>
      <c r="D4058" t="str">
        <f>IFERROR(VLOOKUP(tbEscolas[[#This Row],[COD ETPA]],tbEtapas[],2,FALSE),"")</f>
        <v/>
      </c>
      <c r="E4058" t="str">
        <f>IFERROR(VLOOKUP(tbEscolas[[#This Row],[COD ETPA]],tbEtapas[],3,FALSE),"")</f>
        <v/>
      </c>
    </row>
    <row r="4059" spans="1:5" x14ac:dyDescent="0.25">
      <c r="A4059" t="str" cm="1">
        <f t="array" ref="A4059">IFERROR(INDEX(tbNucleo[ESCOLA],ROUNDUP(ROW(A4058)/TotalEtapas,0)),"")</f>
        <v/>
      </c>
      <c r="D4059" t="str">
        <f>IFERROR(VLOOKUP(tbEscolas[[#This Row],[COD ETPA]],tbEtapas[],2,FALSE),"")</f>
        <v/>
      </c>
      <c r="E4059" t="str">
        <f>IFERROR(VLOOKUP(tbEscolas[[#This Row],[COD ETPA]],tbEtapas[],3,FALSE),"")</f>
        <v/>
      </c>
    </row>
    <row r="4060" spans="1:5" x14ac:dyDescent="0.25">
      <c r="A4060" t="str" cm="1">
        <f t="array" ref="A4060">IFERROR(INDEX(tbNucleo[ESCOLA],ROUNDUP(ROW(A4059)/TotalEtapas,0)),"")</f>
        <v/>
      </c>
      <c r="D4060" t="str">
        <f>IFERROR(VLOOKUP(tbEscolas[[#This Row],[COD ETPA]],tbEtapas[],2,FALSE),"")</f>
        <v/>
      </c>
      <c r="E4060" t="str">
        <f>IFERROR(VLOOKUP(tbEscolas[[#This Row],[COD ETPA]],tbEtapas[],3,FALSE),"")</f>
        <v/>
      </c>
    </row>
    <row r="4061" spans="1:5" x14ac:dyDescent="0.25">
      <c r="A4061" t="str" cm="1">
        <f t="array" ref="A4061">IFERROR(INDEX(tbNucleo[ESCOLA],ROUNDUP(ROW(A4060)/TotalEtapas,0)),"")</f>
        <v/>
      </c>
      <c r="D4061" t="str">
        <f>IFERROR(VLOOKUP(tbEscolas[[#This Row],[COD ETPA]],tbEtapas[],2,FALSE),"")</f>
        <v/>
      </c>
      <c r="E4061" t="str">
        <f>IFERROR(VLOOKUP(tbEscolas[[#This Row],[COD ETPA]],tbEtapas[],3,FALSE),"")</f>
        <v/>
      </c>
    </row>
    <row r="4062" spans="1:5" x14ac:dyDescent="0.25">
      <c r="A4062" t="str" cm="1">
        <f t="array" ref="A4062">IFERROR(INDEX(tbNucleo[ESCOLA],ROUNDUP(ROW(A4061)/TotalEtapas,0)),"")</f>
        <v/>
      </c>
      <c r="D4062" t="str">
        <f>IFERROR(VLOOKUP(tbEscolas[[#This Row],[COD ETPA]],tbEtapas[],2,FALSE),"")</f>
        <v/>
      </c>
      <c r="E4062" t="str">
        <f>IFERROR(VLOOKUP(tbEscolas[[#This Row],[COD ETPA]],tbEtapas[],3,FALSE),"")</f>
        <v/>
      </c>
    </row>
    <row r="4063" spans="1:5" x14ac:dyDescent="0.25">
      <c r="A4063" t="str" cm="1">
        <f t="array" ref="A4063">IFERROR(INDEX(tbNucleo[ESCOLA],ROUNDUP(ROW(A4062)/TotalEtapas,0)),"")</f>
        <v/>
      </c>
      <c r="D4063" t="str">
        <f>IFERROR(VLOOKUP(tbEscolas[[#This Row],[COD ETPA]],tbEtapas[],2,FALSE),"")</f>
        <v/>
      </c>
      <c r="E4063" t="str">
        <f>IFERROR(VLOOKUP(tbEscolas[[#This Row],[COD ETPA]],tbEtapas[],3,FALSE),"")</f>
        <v/>
      </c>
    </row>
    <row r="4064" spans="1:5" x14ac:dyDescent="0.25">
      <c r="A4064" t="str" cm="1">
        <f t="array" ref="A4064">IFERROR(INDEX(tbNucleo[ESCOLA],ROUNDUP(ROW(A4063)/TotalEtapas,0)),"")</f>
        <v/>
      </c>
      <c r="D4064" t="str">
        <f>IFERROR(VLOOKUP(tbEscolas[[#This Row],[COD ETPA]],tbEtapas[],2,FALSE),"")</f>
        <v/>
      </c>
      <c r="E4064" t="str">
        <f>IFERROR(VLOOKUP(tbEscolas[[#This Row],[COD ETPA]],tbEtapas[],3,FALSE),"")</f>
        <v/>
      </c>
    </row>
    <row r="4065" spans="1:5" x14ac:dyDescent="0.25">
      <c r="A4065" t="str" cm="1">
        <f t="array" ref="A4065">IFERROR(INDEX(tbNucleo[ESCOLA],ROUNDUP(ROW(A4064)/TotalEtapas,0)),"")</f>
        <v/>
      </c>
      <c r="D4065" t="str">
        <f>IFERROR(VLOOKUP(tbEscolas[[#This Row],[COD ETPA]],tbEtapas[],2,FALSE),"")</f>
        <v/>
      </c>
      <c r="E4065" t="str">
        <f>IFERROR(VLOOKUP(tbEscolas[[#This Row],[COD ETPA]],tbEtapas[],3,FALSE),"")</f>
        <v/>
      </c>
    </row>
    <row r="4066" spans="1:5" x14ac:dyDescent="0.25">
      <c r="A4066" t="str" cm="1">
        <f t="array" ref="A4066">IFERROR(INDEX(tbNucleo[ESCOLA],ROUNDUP(ROW(A4065)/TotalEtapas,0)),"")</f>
        <v/>
      </c>
      <c r="D4066" t="str">
        <f>IFERROR(VLOOKUP(tbEscolas[[#This Row],[COD ETPA]],tbEtapas[],2,FALSE),"")</f>
        <v/>
      </c>
      <c r="E4066" t="str">
        <f>IFERROR(VLOOKUP(tbEscolas[[#This Row],[COD ETPA]],tbEtapas[],3,FALSE),"")</f>
        <v/>
      </c>
    </row>
    <row r="4067" spans="1:5" x14ac:dyDescent="0.25">
      <c r="A4067" t="str" cm="1">
        <f t="array" ref="A4067">IFERROR(INDEX(tbNucleo[ESCOLA],ROUNDUP(ROW(A4066)/TotalEtapas,0)),"")</f>
        <v/>
      </c>
      <c r="D4067" t="str">
        <f>IFERROR(VLOOKUP(tbEscolas[[#This Row],[COD ETPA]],tbEtapas[],2,FALSE),"")</f>
        <v/>
      </c>
      <c r="E4067" t="str">
        <f>IFERROR(VLOOKUP(tbEscolas[[#This Row],[COD ETPA]],tbEtapas[],3,FALSE),"")</f>
        <v/>
      </c>
    </row>
    <row r="4068" spans="1:5" x14ac:dyDescent="0.25">
      <c r="A4068" t="str" cm="1">
        <f t="array" ref="A4068">IFERROR(INDEX(tbNucleo[ESCOLA],ROUNDUP(ROW(A4067)/TotalEtapas,0)),"")</f>
        <v/>
      </c>
      <c r="D4068" t="str">
        <f>IFERROR(VLOOKUP(tbEscolas[[#This Row],[COD ETPA]],tbEtapas[],2,FALSE),"")</f>
        <v/>
      </c>
      <c r="E4068" t="str">
        <f>IFERROR(VLOOKUP(tbEscolas[[#This Row],[COD ETPA]],tbEtapas[],3,FALSE),"")</f>
        <v/>
      </c>
    </row>
    <row r="4069" spans="1:5" x14ac:dyDescent="0.25">
      <c r="A4069" t="str" cm="1">
        <f t="array" ref="A4069">IFERROR(INDEX(tbNucleo[ESCOLA],ROUNDUP(ROW(A4068)/TotalEtapas,0)),"")</f>
        <v/>
      </c>
      <c r="D4069" t="str">
        <f>IFERROR(VLOOKUP(tbEscolas[[#This Row],[COD ETPA]],tbEtapas[],2,FALSE),"")</f>
        <v/>
      </c>
      <c r="E4069" t="str">
        <f>IFERROR(VLOOKUP(tbEscolas[[#This Row],[COD ETPA]],tbEtapas[],3,FALSE),"")</f>
        <v/>
      </c>
    </row>
    <row r="4070" spans="1:5" x14ac:dyDescent="0.25">
      <c r="A4070" t="str" cm="1">
        <f t="array" ref="A4070">IFERROR(INDEX(tbNucleo[ESCOLA],ROUNDUP(ROW(A4069)/TotalEtapas,0)),"")</f>
        <v/>
      </c>
      <c r="D4070" t="str">
        <f>IFERROR(VLOOKUP(tbEscolas[[#This Row],[COD ETPA]],tbEtapas[],2,FALSE),"")</f>
        <v/>
      </c>
      <c r="E4070" t="str">
        <f>IFERROR(VLOOKUP(tbEscolas[[#This Row],[COD ETPA]],tbEtapas[],3,FALSE),"")</f>
        <v/>
      </c>
    </row>
    <row r="4071" spans="1:5" x14ac:dyDescent="0.25">
      <c r="A4071" t="str" cm="1">
        <f t="array" ref="A4071">IFERROR(INDEX(tbNucleo[ESCOLA],ROUNDUP(ROW(A4070)/TotalEtapas,0)),"")</f>
        <v/>
      </c>
      <c r="D4071" t="str">
        <f>IFERROR(VLOOKUP(tbEscolas[[#This Row],[COD ETPA]],tbEtapas[],2,FALSE),"")</f>
        <v/>
      </c>
      <c r="E4071" t="str">
        <f>IFERROR(VLOOKUP(tbEscolas[[#This Row],[COD ETPA]],tbEtapas[],3,FALSE),"")</f>
        <v/>
      </c>
    </row>
    <row r="4072" spans="1:5" x14ac:dyDescent="0.25">
      <c r="A4072" t="str" cm="1">
        <f t="array" ref="A4072">IFERROR(INDEX(tbNucleo[ESCOLA],ROUNDUP(ROW(A4071)/TotalEtapas,0)),"")</f>
        <v/>
      </c>
      <c r="D4072" t="str">
        <f>IFERROR(VLOOKUP(tbEscolas[[#This Row],[COD ETPA]],tbEtapas[],2,FALSE),"")</f>
        <v/>
      </c>
      <c r="E4072" t="str">
        <f>IFERROR(VLOOKUP(tbEscolas[[#This Row],[COD ETPA]],tbEtapas[],3,FALSE),"")</f>
        <v/>
      </c>
    </row>
    <row r="4073" spans="1:5" x14ac:dyDescent="0.25">
      <c r="A4073" t="str" cm="1">
        <f t="array" ref="A4073">IFERROR(INDEX(tbNucleo[ESCOLA],ROUNDUP(ROW(A4072)/TotalEtapas,0)),"")</f>
        <v/>
      </c>
      <c r="D4073" t="str">
        <f>IFERROR(VLOOKUP(tbEscolas[[#This Row],[COD ETPA]],tbEtapas[],2,FALSE),"")</f>
        <v/>
      </c>
      <c r="E4073" t="str">
        <f>IFERROR(VLOOKUP(tbEscolas[[#This Row],[COD ETPA]],tbEtapas[],3,FALSE),"")</f>
        <v/>
      </c>
    </row>
    <row r="4074" spans="1:5" x14ac:dyDescent="0.25">
      <c r="A4074" t="str" cm="1">
        <f t="array" ref="A4074">IFERROR(INDEX(tbNucleo[ESCOLA],ROUNDUP(ROW(A4073)/TotalEtapas,0)),"")</f>
        <v/>
      </c>
      <c r="D4074" t="str">
        <f>IFERROR(VLOOKUP(tbEscolas[[#This Row],[COD ETPA]],tbEtapas[],2,FALSE),"")</f>
        <v/>
      </c>
      <c r="E4074" t="str">
        <f>IFERROR(VLOOKUP(tbEscolas[[#This Row],[COD ETPA]],tbEtapas[],3,FALSE),"")</f>
        <v/>
      </c>
    </row>
    <row r="4075" spans="1:5" x14ac:dyDescent="0.25">
      <c r="A4075" t="str" cm="1">
        <f t="array" ref="A4075">IFERROR(INDEX(tbNucleo[ESCOLA],ROUNDUP(ROW(A4074)/TotalEtapas,0)),"")</f>
        <v/>
      </c>
      <c r="D4075" t="str">
        <f>IFERROR(VLOOKUP(tbEscolas[[#This Row],[COD ETPA]],tbEtapas[],2,FALSE),"")</f>
        <v/>
      </c>
      <c r="E4075" t="str">
        <f>IFERROR(VLOOKUP(tbEscolas[[#This Row],[COD ETPA]],tbEtapas[],3,FALSE),"")</f>
        <v/>
      </c>
    </row>
    <row r="4076" spans="1:5" x14ac:dyDescent="0.25">
      <c r="A4076" t="str" cm="1">
        <f t="array" ref="A4076">IFERROR(INDEX(tbNucleo[ESCOLA],ROUNDUP(ROW(A4075)/TotalEtapas,0)),"")</f>
        <v/>
      </c>
      <c r="D4076" t="str">
        <f>IFERROR(VLOOKUP(tbEscolas[[#This Row],[COD ETPA]],tbEtapas[],2,FALSE),"")</f>
        <v/>
      </c>
      <c r="E4076" t="str">
        <f>IFERROR(VLOOKUP(tbEscolas[[#This Row],[COD ETPA]],tbEtapas[],3,FALSE),"")</f>
        <v/>
      </c>
    </row>
    <row r="4077" spans="1:5" x14ac:dyDescent="0.25">
      <c r="A4077" t="str" cm="1">
        <f t="array" ref="A4077">IFERROR(INDEX(tbNucleo[ESCOLA],ROUNDUP(ROW(A4076)/TotalEtapas,0)),"")</f>
        <v/>
      </c>
      <c r="D4077" t="str">
        <f>IFERROR(VLOOKUP(tbEscolas[[#This Row],[COD ETPA]],tbEtapas[],2,FALSE),"")</f>
        <v/>
      </c>
      <c r="E4077" t="str">
        <f>IFERROR(VLOOKUP(tbEscolas[[#This Row],[COD ETPA]],tbEtapas[],3,FALSE),"")</f>
        <v/>
      </c>
    </row>
    <row r="4078" spans="1:5" x14ac:dyDescent="0.25">
      <c r="A4078" t="str" cm="1">
        <f t="array" ref="A4078">IFERROR(INDEX(tbNucleo[ESCOLA],ROUNDUP(ROW(A4077)/TotalEtapas,0)),"")</f>
        <v/>
      </c>
      <c r="D4078" t="str">
        <f>IFERROR(VLOOKUP(tbEscolas[[#This Row],[COD ETPA]],tbEtapas[],2,FALSE),"")</f>
        <v/>
      </c>
      <c r="E4078" t="str">
        <f>IFERROR(VLOOKUP(tbEscolas[[#This Row],[COD ETPA]],tbEtapas[],3,FALSE),"")</f>
        <v/>
      </c>
    </row>
    <row r="4079" spans="1:5" x14ac:dyDescent="0.25">
      <c r="A4079" t="str" cm="1">
        <f t="array" ref="A4079">IFERROR(INDEX(tbNucleo[ESCOLA],ROUNDUP(ROW(A4078)/TotalEtapas,0)),"")</f>
        <v/>
      </c>
      <c r="D4079" t="str">
        <f>IFERROR(VLOOKUP(tbEscolas[[#This Row],[COD ETPA]],tbEtapas[],2,FALSE),"")</f>
        <v/>
      </c>
      <c r="E4079" t="str">
        <f>IFERROR(VLOOKUP(tbEscolas[[#This Row],[COD ETPA]],tbEtapas[],3,FALSE),"")</f>
        <v/>
      </c>
    </row>
    <row r="4080" spans="1:5" x14ac:dyDescent="0.25">
      <c r="A4080" t="str" cm="1">
        <f t="array" ref="A4080">IFERROR(INDEX(tbNucleo[ESCOLA],ROUNDUP(ROW(A4079)/TotalEtapas,0)),"")</f>
        <v/>
      </c>
      <c r="D4080" t="str">
        <f>IFERROR(VLOOKUP(tbEscolas[[#This Row],[COD ETPA]],tbEtapas[],2,FALSE),"")</f>
        <v/>
      </c>
      <c r="E4080" t="str">
        <f>IFERROR(VLOOKUP(tbEscolas[[#This Row],[COD ETPA]],tbEtapas[],3,FALSE),"")</f>
        <v/>
      </c>
    </row>
    <row r="4081" spans="1:5" x14ac:dyDescent="0.25">
      <c r="A4081" t="str" cm="1">
        <f t="array" ref="A4081">IFERROR(INDEX(tbNucleo[ESCOLA],ROUNDUP(ROW(A4080)/TotalEtapas,0)),"")</f>
        <v/>
      </c>
      <c r="D4081" t="str">
        <f>IFERROR(VLOOKUP(tbEscolas[[#This Row],[COD ETPA]],tbEtapas[],2,FALSE),"")</f>
        <v/>
      </c>
      <c r="E4081" t="str">
        <f>IFERROR(VLOOKUP(tbEscolas[[#This Row],[COD ETPA]],tbEtapas[],3,FALSE),"")</f>
        <v/>
      </c>
    </row>
    <row r="4082" spans="1:5" x14ac:dyDescent="0.25">
      <c r="A4082" t="str" cm="1">
        <f t="array" ref="A4082">IFERROR(INDEX(tbNucleo[ESCOLA],ROUNDUP(ROW(A4081)/TotalEtapas,0)),"")</f>
        <v/>
      </c>
      <c r="D4082" t="str">
        <f>IFERROR(VLOOKUP(tbEscolas[[#This Row],[COD ETPA]],tbEtapas[],2,FALSE),"")</f>
        <v/>
      </c>
      <c r="E4082" t="str">
        <f>IFERROR(VLOOKUP(tbEscolas[[#This Row],[COD ETPA]],tbEtapas[],3,FALSE),"")</f>
        <v/>
      </c>
    </row>
    <row r="4083" spans="1:5" x14ac:dyDescent="0.25">
      <c r="A4083" t="str" cm="1">
        <f t="array" ref="A4083">IFERROR(INDEX(tbNucleo[ESCOLA],ROUNDUP(ROW(A4082)/TotalEtapas,0)),"")</f>
        <v/>
      </c>
      <c r="D4083" t="str">
        <f>IFERROR(VLOOKUP(tbEscolas[[#This Row],[COD ETPA]],tbEtapas[],2,FALSE),"")</f>
        <v/>
      </c>
      <c r="E4083" t="str">
        <f>IFERROR(VLOOKUP(tbEscolas[[#This Row],[COD ETPA]],tbEtapas[],3,FALSE),"")</f>
        <v/>
      </c>
    </row>
    <row r="4084" spans="1:5" x14ac:dyDescent="0.25">
      <c r="A4084" t="str" cm="1">
        <f t="array" ref="A4084">IFERROR(INDEX(tbNucleo[ESCOLA],ROUNDUP(ROW(A4083)/TotalEtapas,0)),"")</f>
        <v/>
      </c>
      <c r="D4084" t="str">
        <f>IFERROR(VLOOKUP(tbEscolas[[#This Row],[COD ETPA]],tbEtapas[],2,FALSE),"")</f>
        <v/>
      </c>
      <c r="E4084" t="str">
        <f>IFERROR(VLOOKUP(tbEscolas[[#This Row],[COD ETPA]],tbEtapas[],3,FALSE),"")</f>
        <v/>
      </c>
    </row>
    <row r="4085" spans="1:5" x14ac:dyDescent="0.25">
      <c r="A4085" t="str" cm="1">
        <f t="array" ref="A4085">IFERROR(INDEX(tbNucleo[ESCOLA],ROUNDUP(ROW(A4084)/TotalEtapas,0)),"")</f>
        <v/>
      </c>
      <c r="D4085" t="str">
        <f>IFERROR(VLOOKUP(tbEscolas[[#This Row],[COD ETPA]],tbEtapas[],2,FALSE),"")</f>
        <v/>
      </c>
      <c r="E4085" t="str">
        <f>IFERROR(VLOOKUP(tbEscolas[[#This Row],[COD ETPA]],tbEtapas[],3,FALSE),"")</f>
        <v/>
      </c>
    </row>
    <row r="4086" spans="1:5" x14ac:dyDescent="0.25">
      <c r="A4086" t="str" cm="1">
        <f t="array" ref="A4086">IFERROR(INDEX(tbNucleo[ESCOLA],ROUNDUP(ROW(A4085)/TotalEtapas,0)),"")</f>
        <v/>
      </c>
      <c r="D4086" t="str">
        <f>IFERROR(VLOOKUP(tbEscolas[[#This Row],[COD ETPA]],tbEtapas[],2,FALSE),"")</f>
        <v/>
      </c>
      <c r="E4086" t="str">
        <f>IFERROR(VLOOKUP(tbEscolas[[#This Row],[COD ETPA]],tbEtapas[],3,FALSE),"")</f>
        <v/>
      </c>
    </row>
    <row r="4087" spans="1:5" x14ac:dyDescent="0.25">
      <c r="A4087" t="str" cm="1">
        <f t="array" ref="A4087">IFERROR(INDEX(tbNucleo[ESCOLA],ROUNDUP(ROW(A4086)/TotalEtapas,0)),"")</f>
        <v/>
      </c>
      <c r="D4087" t="str">
        <f>IFERROR(VLOOKUP(tbEscolas[[#This Row],[COD ETPA]],tbEtapas[],2,FALSE),"")</f>
        <v/>
      </c>
      <c r="E4087" t="str">
        <f>IFERROR(VLOOKUP(tbEscolas[[#This Row],[COD ETPA]],tbEtapas[],3,FALSE),"")</f>
        <v/>
      </c>
    </row>
    <row r="4088" spans="1:5" x14ac:dyDescent="0.25">
      <c r="A4088" t="str" cm="1">
        <f t="array" ref="A4088">IFERROR(INDEX(tbNucleo[ESCOLA],ROUNDUP(ROW(A4087)/TotalEtapas,0)),"")</f>
        <v/>
      </c>
      <c r="D4088" t="str">
        <f>IFERROR(VLOOKUP(tbEscolas[[#This Row],[COD ETPA]],tbEtapas[],2,FALSE),"")</f>
        <v/>
      </c>
      <c r="E4088" t="str">
        <f>IFERROR(VLOOKUP(tbEscolas[[#This Row],[COD ETPA]],tbEtapas[],3,FALSE),"")</f>
        <v/>
      </c>
    </row>
    <row r="4089" spans="1:5" x14ac:dyDescent="0.25">
      <c r="A4089" t="str" cm="1">
        <f t="array" ref="A4089">IFERROR(INDEX(tbNucleo[ESCOLA],ROUNDUP(ROW(A4088)/TotalEtapas,0)),"")</f>
        <v/>
      </c>
      <c r="D4089" t="str">
        <f>IFERROR(VLOOKUP(tbEscolas[[#This Row],[COD ETPA]],tbEtapas[],2,FALSE),"")</f>
        <v/>
      </c>
      <c r="E4089" t="str">
        <f>IFERROR(VLOOKUP(tbEscolas[[#This Row],[COD ETPA]],tbEtapas[],3,FALSE),"")</f>
        <v/>
      </c>
    </row>
    <row r="4090" spans="1:5" x14ac:dyDescent="0.25">
      <c r="A4090" t="str" cm="1">
        <f t="array" ref="A4090">IFERROR(INDEX(tbNucleo[ESCOLA],ROUNDUP(ROW(A4089)/TotalEtapas,0)),"")</f>
        <v/>
      </c>
      <c r="D4090" t="str">
        <f>IFERROR(VLOOKUP(tbEscolas[[#This Row],[COD ETPA]],tbEtapas[],2,FALSE),"")</f>
        <v/>
      </c>
      <c r="E4090" t="str">
        <f>IFERROR(VLOOKUP(tbEscolas[[#This Row],[COD ETPA]],tbEtapas[],3,FALSE),"")</f>
        <v/>
      </c>
    </row>
    <row r="4091" spans="1:5" x14ac:dyDescent="0.25">
      <c r="A4091" t="str" cm="1">
        <f t="array" ref="A4091">IFERROR(INDEX(tbNucleo[ESCOLA],ROUNDUP(ROW(A4090)/TotalEtapas,0)),"")</f>
        <v/>
      </c>
      <c r="D4091" t="str">
        <f>IFERROR(VLOOKUP(tbEscolas[[#This Row],[COD ETPA]],tbEtapas[],2,FALSE),"")</f>
        <v/>
      </c>
      <c r="E4091" t="str">
        <f>IFERROR(VLOOKUP(tbEscolas[[#This Row],[COD ETPA]],tbEtapas[],3,FALSE),"")</f>
        <v/>
      </c>
    </row>
    <row r="4092" spans="1:5" x14ac:dyDescent="0.25">
      <c r="A4092" t="str" cm="1">
        <f t="array" ref="A4092">IFERROR(INDEX(tbNucleo[ESCOLA],ROUNDUP(ROW(A4091)/TotalEtapas,0)),"")</f>
        <v/>
      </c>
      <c r="D4092" t="str">
        <f>IFERROR(VLOOKUP(tbEscolas[[#This Row],[COD ETPA]],tbEtapas[],2,FALSE),"")</f>
        <v/>
      </c>
      <c r="E4092" t="str">
        <f>IFERROR(VLOOKUP(tbEscolas[[#This Row],[COD ETPA]],tbEtapas[],3,FALSE),"")</f>
        <v/>
      </c>
    </row>
    <row r="4093" spans="1:5" x14ac:dyDescent="0.25">
      <c r="A4093" t="str" cm="1">
        <f t="array" ref="A4093">IFERROR(INDEX(tbNucleo[ESCOLA],ROUNDUP(ROW(A4092)/TotalEtapas,0)),"")</f>
        <v/>
      </c>
      <c r="D4093" t="str">
        <f>IFERROR(VLOOKUP(tbEscolas[[#This Row],[COD ETPA]],tbEtapas[],2,FALSE),"")</f>
        <v/>
      </c>
      <c r="E4093" t="str">
        <f>IFERROR(VLOOKUP(tbEscolas[[#This Row],[COD ETPA]],tbEtapas[],3,FALSE),"")</f>
        <v/>
      </c>
    </row>
    <row r="4094" spans="1:5" x14ac:dyDescent="0.25">
      <c r="A4094" t="str" cm="1">
        <f t="array" ref="A4094">IFERROR(INDEX(tbNucleo[ESCOLA],ROUNDUP(ROW(A4093)/TotalEtapas,0)),"")</f>
        <v/>
      </c>
      <c r="D4094" t="str">
        <f>IFERROR(VLOOKUP(tbEscolas[[#This Row],[COD ETPA]],tbEtapas[],2,FALSE),"")</f>
        <v/>
      </c>
      <c r="E4094" t="str">
        <f>IFERROR(VLOOKUP(tbEscolas[[#This Row],[COD ETPA]],tbEtapas[],3,FALSE),"")</f>
        <v/>
      </c>
    </row>
    <row r="4095" spans="1:5" x14ac:dyDescent="0.25">
      <c r="A4095" t="str" cm="1">
        <f t="array" ref="A4095">IFERROR(INDEX(tbNucleo[ESCOLA],ROUNDUP(ROW(A4094)/TotalEtapas,0)),"")</f>
        <v/>
      </c>
      <c r="D4095" t="str">
        <f>IFERROR(VLOOKUP(tbEscolas[[#This Row],[COD ETPA]],tbEtapas[],2,FALSE),"")</f>
        <v/>
      </c>
      <c r="E4095" t="str">
        <f>IFERROR(VLOOKUP(tbEscolas[[#This Row],[COD ETPA]],tbEtapas[],3,FALSE),"")</f>
        <v/>
      </c>
    </row>
    <row r="4096" spans="1:5" x14ac:dyDescent="0.25">
      <c r="A4096" t="str" cm="1">
        <f t="array" ref="A4096">IFERROR(INDEX(tbNucleo[ESCOLA],ROUNDUP(ROW(A4095)/TotalEtapas,0)),"")</f>
        <v/>
      </c>
      <c r="D4096" t="str">
        <f>IFERROR(VLOOKUP(tbEscolas[[#This Row],[COD ETPA]],tbEtapas[],2,FALSE),"")</f>
        <v/>
      </c>
      <c r="E4096" t="str">
        <f>IFERROR(VLOOKUP(tbEscolas[[#This Row],[COD ETPA]],tbEtapas[],3,FALSE),"")</f>
        <v/>
      </c>
    </row>
    <row r="4097" spans="1:5" x14ac:dyDescent="0.25">
      <c r="A4097" t="str" cm="1">
        <f t="array" ref="A4097">IFERROR(INDEX(tbNucleo[ESCOLA],ROUNDUP(ROW(A4096)/TotalEtapas,0)),"")</f>
        <v/>
      </c>
      <c r="D4097" t="str">
        <f>IFERROR(VLOOKUP(tbEscolas[[#This Row],[COD ETPA]],tbEtapas[],2,FALSE),"")</f>
        <v/>
      </c>
      <c r="E4097" t="str">
        <f>IFERROR(VLOOKUP(tbEscolas[[#This Row],[COD ETPA]],tbEtapas[],3,FALSE),"")</f>
        <v/>
      </c>
    </row>
    <row r="4098" spans="1:5" x14ac:dyDescent="0.25">
      <c r="A4098" t="str" cm="1">
        <f t="array" ref="A4098">IFERROR(INDEX(tbNucleo[ESCOLA],ROUNDUP(ROW(A4097)/TotalEtapas,0)),"")</f>
        <v/>
      </c>
      <c r="D4098" t="str">
        <f>IFERROR(VLOOKUP(tbEscolas[[#This Row],[COD ETPA]],tbEtapas[],2,FALSE),"")</f>
        <v/>
      </c>
      <c r="E4098" t="str">
        <f>IFERROR(VLOOKUP(tbEscolas[[#This Row],[COD ETPA]],tbEtapas[],3,FALSE),"")</f>
        <v/>
      </c>
    </row>
    <row r="4099" spans="1:5" x14ac:dyDescent="0.25">
      <c r="A4099" t="str" cm="1">
        <f t="array" ref="A4099">IFERROR(INDEX(tbNucleo[ESCOLA],ROUNDUP(ROW(A4098)/TotalEtapas,0)),"")</f>
        <v/>
      </c>
      <c r="D4099" t="str">
        <f>IFERROR(VLOOKUP(tbEscolas[[#This Row],[COD ETPA]],tbEtapas[],2,FALSE),"")</f>
        <v/>
      </c>
      <c r="E4099" t="str">
        <f>IFERROR(VLOOKUP(tbEscolas[[#This Row],[COD ETPA]],tbEtapas[],3,FALSE),"")</f>
        <v/>
      </c>
    </row>
    <row r="4100" spans="1:5" x14ac:dyDescent="0.25">
      <c r="A4100" t="str" cm="1">
        <f t="array" ref="A4100">IFERROR(INDEX(tbNucleo[ESCOLA],ROUNDUP(ROW(A4099)/TotalEtapas,0)),"")</f>
        <v/>
      </c>
      <c r="D4100" t="str">
        <f>IFERROR(VLOOKUP(tbEscolas[[#This Row],[COD ETPA]],tbEtapas[],2,FALSE),"")</f>
        <v/>
      </c>
      <c r="E4100" t="str">
        <f>IFERROR(VLOOKUP(tbEscolas[[#This Row],[COD ETPA]],tbEtapas[],3,FALSE),"")</f>
        <v/>
      </c>
    </row>
    <row r="4101" spans="1:5" x14ac:dyDescent="0.25">
      <c r="A4101" t="str" cm="1">
        <f t="array" ref="A4101">IFERROR(INDEX(tbNucleo[ESCOLA],ROUNDUP(ROW(A4100)/TotalEtapas,0)),"")</f>
        <v/>
      </c>
      <c r="D4101" t="str">
        <f>IFERROR(VLOOKUP(tbEscolas[[#This Row],[COD ETPA]],tbEtapas[],2,FALSE),"")</f>
        <v/>
      </c>
      <c r="E4101" t="str">
        <f>IFERROR(VLOOKUP(tbEscolas[[#This Row],[COD ETPA]],tbEtapas[],3,FALSE),"")</f>
        <v/>
      </c>
    </row>
    <row r="4102" spans="1:5" x14ac:dyDescent="0.25">
      <c r="A4102" t="str" cm="1">
        <f t="array" ref="A4102">IFERROR(INDEX(tbNucleo[ESCOLA],ROUNDUP(ROW(A4101)/TotalEtapas,0)),"")</f>
        <v/>
      </c>
      <c r="D4102" t="str">
        <f>IFERROR(VLOOKUP(tbEscolas[[#This Row],[COD ETPA]],tbEtapas[],2,FALSE),"")</f>
        <v/>
      </c>
      <c r="E4102" t="str">
        <f>IFERROR(VLOOKUP(tbEscolas[[#This Row],[COD ETPA]],tbEtapas[],3,FALSE),"")</f>
        <v/>
      </c>
    </row>
    <row r="4103" spans="1:5" x14ac:dyDescent="0.25">
      <c r="A4103" t="str" cm="1">
        <f t="array" ref="A4103">IFERROR(INDEX(tbNucleo[ESCOLA],ROUNDUP(ROW(A4102)/TotalEtapas,0)),"")</f>
        <v/>
      </c>
      <c r="D4103" t="str">
        <f>IFERROR(VLOOKUP(tbEscolas[[#This Row],[COD ETPA]],tbEtapas[],2,FALSE),"")</f>
        <v/>
      </c>
      <c r="E4103" t="str">
        <f>IFERROR(VLOOKUP(tbEscolas[[#This Row],[COD ETPA]],tbEtapas[],3,FALSE),"")</f>
        <v/>
      </c>
    </row>
    <row r="4104" spans="1:5" x14ac:dyDescent="0.25">
      <c r="A4104" t="str" cm="1">
        <f t="array" ref="A4104">IFERROR(INDEX(tbNucleo[ESCOLA],ROUNDUP(ROW(A4103)/TotalEtapas,0)),"")</f>
        <v/>
      </c>
      <c r="D4104" t="str">
        <f>IFERROR(VLOOKUP(tbEscolas[[#This Row],[COD ETPA]],tbEtapas[],2,FALSE),"")</f>
        <v/>
      </c>
      <c r="E4104" t="str">
        <f>IFERROR(VLOOKUP(tbEscolas[[#This Row],[COD ETPA]],tbEtapas[],3,FALSE),"")</f>
        <v/>
      </c>
    </row>
    <row r="4105" spans="1:5" x14ac:dyDescent="0.25">
      <c r="A4105" t="str" cm="1">
        <f t="array" ref="A4105">IFERROR(INDEX(tbNucleo[ESCOLA],ROUNDUP(ROW(A4104)/TotalEtapas,0)),"")</f>
        <v/>
      </c>
      <c r="D4105" t="str">
        <f>IFERROR(VLOOKUP(tbEscolas[[#This Row],[COD ETPA]],tbEtapas[],2,FALSE),"")</f>
        <v/>
      </c>
      <c r="E4105" t="str">
        <f>IFERROR(VLOOKUP(tbEscolas[[#This Row],[COD ETPA]],tbEtapas[],3,FALSE),"")</f>
        <v/>
      </c>
    </row>
    <row r="4106" spans="1:5" x14ac:dyDescent="0.25">
      <c r="A4106" t="str" cm="1">
        <f t="array" ref="A4106">IFERROR(INDEX(tbNucleo[ESCOLA],ROUNDUP(ROW(A4105)/TotalEtapas,0)),"")</f>
        <v/>
      </c>
      <c r="D4106" t="str">
        <f>IFERROR(VLOOKUP(tbEscolas[[#This Row],[COD ETPA]],tbEtapas[],2,FALSE),"")</f>
        <v/>
      </c>
      <c r="E4106" t="str">
        <f>IFERROR(VLOOKUP(tbEscolas[[#This Row],[COD ETPA]],tbEtapas[],3,FALSE),"")</f>
        <v/>
      </c>
    </row>
    <row r="4107" spans="1:5" x14ac:dyDescent="0.25">
      <c r="A4107" t="str" cm="1">
        <f t="array" ref="A4107">IFERROR(INDEX(tbNucleo[ESCOLA],ROUNDUP(ROW(A4106)/TotalEtapas,0)),"")</f>
        <v/>
      </c>
      <c r="D4107" t="str">
        <f>IFERROR(VLOOKUP(tbEscolas[[#This Row],[COD ETPA]],tbEtapas[],2,FALSE),"")</f>
        <v/>
      </c>
      <c r="E4107" t="str">
        <f>IFERROR(VLOOKUP(tbEscolas[[#This Row],[COD ETPA]],tbEtapas[],3,FALSE),"")</f>
        <v/>
      </c>
    </row>
    <row r="4108" spans="1:5" x14ac:dyDescent="0.25">
      <c r="A4108" t="str" cm="1">
        <f t="array" ref="A4108">IFERROR(INDEX(tbNucleo[ESCOLA],ROUNDUP(ROW(A4107)/TotalEtapas,0)),"")</f>
        <v/>
      </c>
      <c r="D4108" t="str">
        <f>IFERROR(VLOOKUP(tbEscolas[[#This Row],[COD ETPA]],tbEtapas[],2,FALSE),"")</f>
        <v/>
      </c>
      <c r="E4108" t="str">
        <f>IFERROR(VLOOKUP(tbEscolas[[#This Row],[COD ETPA]],tbEtapas[],3,FALSE),"")</f>
        <v/>
      </c>
    </row>
    <row r="4109" spans="1:5" x14ac:dyDescent="0.25">
      <c r="A4109" t="str" cm="1">
        <f t="array" ref="A4109">IFERROR(INDEX(tbNucleo[ESCOLA],ROUNDUP(ROW(A4108)/TotalEtapas,0)),"")</f>
        <v/>
      </c>
      <c r="D4109" t="str">
        <f>IFERROR(VLOOKUP(tbEscolas[[#This Row],[COD ETPA]],tbEtapas[],2,FALSE),"")</f>
        <v/>
      </c>
      <c r="E4109" t="str">
        <f>IFERROR(VLOOKUP(tbEscolas[[#This Row],[COD ETPA]],tbEtapas[],3,FALSE),"")</f>
        <v/>
      </c>
    </row>
    <row r="4110" spans="1:5" x14ac:dyDescent="0.25">
      <c r="A4110" t="str" cm="1">
        <f t="array" ref="A4110">IFERROR(INDEX(tbNucleo[ESCOLA],ROUNDUP(ROW(A4109)/TotalEtapas,0)),"")</f>
        <v/>
      </c>
      <c r="D4110" t="str">
        <f>IFERROR(VLOOKUP(tbEscolas[[#This Row],[COD ETPA]],tbEtapas[],2,FALSE),"")</f>
        <v/>
      </c>
      <c r="E4110" t="str">
        <f>IFERROR(VLOOKUP(tbEscolas[[#This Row],[COD ETPA]],tbEtapas[],3,FALSE),"")</f>
        <v/>
      </c>
    </row>
    <row r="4111" spans="1:5" x14ac:dyDescent="0.25">
      <c r="A4111" t="str" cm="1">
        <f t="array" ref="A4111">IFERROR(INDEX(tbNucleo[ESCOLA],ROUNDUP(ROW(A4110)/TotalEtapas,0)),"")</f>
        <v/>
      </c>
      <c r="D4111" t="str">
        <f>IFERROR(VLOOKUP(tbEscolas[[#This Row],[COD ETPA]],tbEtapas[],2,FALSE),"")</f>
        <v/>
      </c>
      <c r="E4111" t="str">
        <f>IFERROR(VLOOKUP(tbEscolas[[#This Row],[COD ETPA]],tbEtapas[],3,FALSE),"")</f>
        <v/>
      </c>
    </row>
    <row r="4112" spans="1:5" x14ac:dyDescent="0.25">
      <c r="A4112" t="str" cm="1">
        <f t="array" ref="A4112">IFERROR(INDEX(tbNucleo[ESCOLA],ROUNDUP(ROW(A4111)/TotalEtapas,0)),"")</f>
        <v/>
      </c>
      <c r="D4112" t="str">
        <f>IFERROR(VLOOKUP(tbEscolas[[#This Row],[COD ETPA]],tbEtapas[],2,FALSE),"")</f>
        <v/>
      </c>
      <c r="E4112" t="str">
        <f>IFERROR(VLOOKUP(tbEscolas[[#This Row],[COD ETPA]],tbEtapas[],3,FALSE),"")</f>
        <v/>
      </c>
    </row>
    <row r="4113" spans="1:5" x14ac:dyDescent="0.25">
      <c r="A4113" t="str" cm="1">
        <f t="array" ref="A4113">IFERROR(INDEX(tbNucleo[ESCOLA],ROUNDUP(ROW(A4112)/TotalEtapas,0)),"")</f>
        <v/>
      </c>
      <c r="D4113" t="str">
        <f>IFERROR(VLOOKUP(tbEscolas[[#This Row],[COD ETPA]],tbEtapas[],2,FALSE),"")</f>
        <v/>
      </c>
      <c r="E4113" t="str">
        <f>IFERROR(VLOOKUP(tbEscolas[[#This Row],[COD ETPA]],tbEtapas[],3,FALSE),"")</f>
        <v/>
      </c>
    </row>
    <row r="4114" spans="1:5" x14ac:dyDescent="0.25">
      <c r="A4114" t="str" cm="1">
        <f t="array" ref="A4114">IFERROR(INDEX(tbNucleo[ESCOLA],ROUNDUP(ROW(A4113)/TotalEtapas,0)),"")</f>
        <v/>
      </c>
      <c r="D4114" t="str">
        <f>IFERROR(VLOOKUP(tbEscolas[[#This Row],[COD ETPA]],tbEtapas[],2,FALSE),"")</f>
        <v/>
      </c>
      <c r="E4114" t="str">
        <f>IFERROR(VLOOKUP(tbEscolas[[#This Row],[COD ETPA]],tbEtapas[],3,FALSE),"")</f>
        <v/>
      </c>
    </row>
    <row r="4115" spans="1:5" x14ac:dyDescent="0.25">
      <c r="A4115" t="str" cm="1">
        <f t="array" ref="A4115">IFERROR(INDEX(tbNucleo[ESCOLA],ROUNDUP(ROW(A4114)/TotalEtapas,0)),"")</f>
        <v/>
      </c>
      <c r="D4115" t="str">
        <f>IFERROR(VLOOKUP(tbEscolas[[#This Row],[COD ETPA]],tbEtapas[],2,FALSE),"")</f>
        <v/>
      </c>
      <c r="E4115" t="str">
        <f>IFERROR(VLOOKUP(tbEscolas[[#This Row],[COD ETPA]],tbEtapas[],3,FALSE),"")</f>
        <v/>
      </c>
    </row>
    <row r="4116" spans="1:5" x14ac:dyDescent="0.25">
      <c r="A4116" t="str" cm="1">
        <f t="array" ref="A4116">IFERROR(INDEX(tbNucleo[ESCOLA],ROUNDUP(ROW(A4115)/TotalEtapas,0)),"")</f>
        <v/>
      </c>
      <c r="D4116" t="str">
        <f>IFERROR(VLOOKUP(tbEscolas[[#This Row],[COD ETPA]],tbEtapas[],2,FALSE),"")</f>
        <v/>
      </c>
      <c r="E4116" t="str">
        <f>IFERROR(VLOOKUP(tbEscolas[[#This Row],[COD ETPA]],tbEtapas[],3,FALSE),"")</f>
        <v/>
      </c>
    </row>
    <row r="4117" spans="1:5" x14ac:dyDescent="0.25">
      <c r="A4117" t="str" cm="1">
        <f t="array" ref="A4117">IFERROR(INDEX(tbNucleo[ESCOLA],ROUNDUP(ROW(A4116)/TotalEtapas,0)),"")</f>
        <v/>
      </c>
      <c r="D4117" t="str">
        <f>IFERROR(VLOOKUP(tbEscolas[[#This Row],[COD ETPA]],tbEtapas[],2,FALSE),"")</f>
        <v/>
      </c>
      <c r="E4117" t="str">
        <f>IFERROR(VLOOKUP(tbEscolas[[#This Row],[COD ETPA]],tbEtapas[],3,FALSE),"")</f>
        <v/>
      </c>
    </row>
    <row r="4118" spans="1:5" x14ac:dyDescent="0.25">
      <c r="A4118" t="str" cm="1">
        <f t="array" ref="A4118">IFERROR(INDEX(tbNucleo[ESCOLA],ROUNDUP(ROW(A4117)/TotalEtapas,0)),"")</f>
        <v/>
      </c>
      <c r="D4118" t="str">
        <f>IFERROR(VLOOKUP(tbEscolas[[#This Row],[COD ETPA]],tbEtapas[],2,FALSE),"")</f>
        <v/>
      </c>
      <c r="E4118" t="str">
        <f>IFERROR(VLOOKUP(tbEscolas[[#This Row],[COD ETPA]],tbEtapas[],3,FALSE),"")</f>
        <v/>
      </c>
    </row>
    <row r="4119" spans="1:5" x14ac:dyDescent="0.25">
      <c r="A4119" t="str" cm="1">
        <f t="array" ref="A4119">IFERROR(INDEX(tbNucleo[ESCOLA],ROUNDUP(ROW(A4118)/TotalEtapas,0)),"")</f>
        <v/>
      </c>
      <c r="D4119" t="str">
        <f>IFERROR(VLOOKUP(tbEscolas[[#This Row],[COD ETPA]],tbEtapas[],2,FALSE),"")</f>
        <v/>
      </c>
      <c r="E4119" t="str">
        <f>IFERROR(VLOOKUP(tbEscolas[[#This Row],[COD ETPA]],tbEtapas[],3,FALSE),"")</f>
        <v/>
      </c>
    </row>
    <row r="4120" spans="1:5" x14ac:dyDescent="0.25">
      <c r="A4120" t="str" cm="1">
        <f t="array" ref="A4120">IFERROR(INDEX(tbNucleo[ESCOLA],ROUNDUP(ROW(A4119)/TotalEtapas,0)),"")</f>
        <v/>
      </c>
      <c r="D4120" t="str">
        <f>IFERROR(VLOOKUP(tbEscolas[[#This Row],[COD ETPA]],tbEtapas[],2,FALSE),"")</f>
        <v/>
      </c>
      <c r="E4120" t="str">
        <f>IFERROR(VLOOKUP(tbEscolas[[#This Row],[COD ETPA]],tbEtapas[],3,FALSE),"")</f>
        <v/>
      </c>
    </row>
    <row r="4121" spans="1:5" x14ac:dyDescent="0.25">
      <c r="A4121" t="str" cm="1">
        <f t="array" ref="A4121">IFERROR(INDEX(tbNucleo[ESCOLA],ROUNDUP(ROW(A4120)/TotalEtapas,0)),"")</f>
        <v/>
      </c>
      <c r="D4121" t="str">
        <f>IFERROR(VLOOKUP(tbEscolas[[#This Row],[COD ETPA]],tbEtapas[],2,FALSE),"")</f>
        <v/>
      </c>
      <c r="E4121" t="str">
        <f>IFERROR(VLOOKUP(tbEscolas[[#This Row],[COD ETPA]],tbEtapas[],3,FALSE),"")</f>
        <v/>
      </c>
    </row>
    <row r="4122" spans="1:5" x14ac:dyDescent="0.25">
      <c r="A4122" t="str" cm="1">
        <f t="array" ref="A4122">IFERROR(INDEX(tbNucleo[ESCOLA],ROUNDUP(ROW(A4121)/TotalEtapas,0)),"")</f>
        <v/>
      </c>
      <c r="D4122" t="str">
        <f>IFERROR(VLOOKUP(tbEscolas[[#This Row],[COD ETPA]],tbEtapas[],2,FALSE),"")</f>
        <v/>
      </c>
      <c r="E4122" t="str">
        <f>IFERROR(VLOOKUP(tbEscolas[[#This Row],[COD ETPA]],tbEtapas[],3,FALSE),"")</f>
        <v/>
      </c>
    </row>
    <row r="4123" spans="1:5" x14ac:dyDescent="0.25">
      <c r="A4123" t="str" cm="1">
        <f t="array" ref="A4123">IFERROR(INDEX(tbNucleo[ESCOLA],ROUNDUP(ROW(A4122)/TotalEtapas,0)),"")</f>
        <v/>
      </c>
      <c r="D4123" t="str">
        <f>IFERROR(VLOOKUP(tbEscolas[[#This Row],[COD ETPA]],tbEtapas[],2,FALSE),"")</f>
        <v/>
      </c>
      <c r="E4123" t="str">
        <f>IFERROR(VLOOKUP(tbEscolas[[#This Row],[COD ETPA]],tbEtapas[],3,FALSE),"")</f>
        <v/>
      </c>
    </row>
    <row r="4124" spans="1:5" x14ac:dyDescent="0.25">
      <c r="A4124" t="str" cm="1">
        <f t="array" ref="A4124">IFERROR(INDEX(tbNucleo[ESCOLA],ROUNDUP(ROW(A4123)/TotalEtapas,0)),"")</f>
        <v/>
      </c>
      <c r="D4124" t="str">
        <f>IFERROR(VLOOKUP(tbEscolas[[#This Row],[COD ETPA]],tbEtapas[],2,FALSE),"")</f>
        <v/>
      </c>
      <c r="E4124" t="str">
        <f>IFERROR(VLOOKUP(tbEscolas[[#This Row],[COD ETPA]],tbEtapas[],3,FALSE),"")</f>
        <v/>
      </c>
    </row>
    <row r="4125" spans="1:5" x14ac:dyDescent="0.25">
      <c r="A4125" t="str" cm="1">
        <f t="array" ref="A4125">IFERROR(INDEX(tbNucleo[ESCOLA],ROUNDUP(ROW(A4124)/TotalEtapas,0)),"")</f>
        <v/>
      </c>
      <c r="D4125" t="str">
        <f>IFERROR(VLOOKUP(tbEscolas[[#This Row],[COD ETPA]],tbEtapas[],2,FALSE),"")</f>
        <v/>
      </c>
      <c r="E4125" t="str">
        <f>IFERROR(VLOOKUP(tbEscolas[[#This Row],[COD ETPA]],tbEtapas[],3,FALSE),"")</f>
        <v/>
      </c>
    </row>
    <row r="4126" spans="1:5" x14ac:dyDescent="0.25">
      <c r="A4126" t="str" cm="1">
        <f t="array" ref="A4126">IFERROR(INDEX(tbNucleo[ESCOLA],ROUNDUP(ROW(A4125)/TotalEtapas,0)),"")</f>
        <v/>
      </c>
      <c r="D4126" t="str">
        <f>IFERROR(VLOOKUP(tbEscolas[[#This Row],[COD ETPA]],tbEtapas[],2,FALSE),"")</f>
        <v/>
      </c>
      <c r="E4126" t="str">
        <f>IFERROR(VLOOKUP(tbEscolas[[#This Row],[COD ETPA]],tbEtapas[],3,FALSE),"")</f>
        <v/>
      </c>
    </row>
    <row r="4127" spans="1:5" x14ac:dyDescent="0.25">
      <c r="A4127" t="str" cm="1">
        <f t="array" ref="A4127">IFERROR(INDEX(tbNucleo[ESCOLA],ROUNDUP(ROW(A4126)/TotalEtapas,0)),"")</f>
        <v/>
      </c>
      <c r="D4127" t="str">
        <f>IFERROR(VLOOKUP(tbEscolas[[#This Row],[COD ETPA]],tbEtapas[],2,FALSE),"")</f>
        <v/>
      </c>
      <c r="E4127" t="str">
        <f>IFERROR(VLOOKUP(tbEscolas[[#This Row],[COD ETPA]],tbEtapas[],3,FALSE),"")</f>
        <v/>
      </c>
    </row>
    <row r="4128" spans="1:5" x14ac:dyDescent="0.25">
      <c r="A4128" t="str" cm="1">
        <f t="array" ref="A4128">IFERROR(INDEX(tbNucleo[ESCOLA],ROUNDUP(ROW(A4127)/TotalEtapas,0)),"")</f>
        <v/>
      </c>
      <c r="D4128" t="str">
        <f>IFERROR(VLOOKUP(tbEscolas[[#This Row],[COD ETPA]],tbEtapas[],2,FALSE),"")</f>
        <v/>
      </c>
      <c r="E4128" t="str">
        <f>IFERROR(VLOOKUP(tbEscolas[[#This Row],[COD ETPA]],tbEtapas[],3,FALSE),"")</f>
        <v/>
      </c>
    </row>
    <row r="4129" spans="1:5" x14ac:dyDescent="0.25">
      <c r="A4129" t="str" cm="1">
        <f t="array" ref="A4129">IFERROR(INDEX(tbNucleo[ESCOLA],ROUNDUP(ROW(A4128)/TotalEtapas,0)),"")</f>
        <v/>
      </c>
      <c r="D4129" t="str">
        <f>IFERROR(VLOOKUP(tbEscolas[[#This Row],[COD ETPA]],tbEtapas[],2,FALSE),"")</f>
        <v/>
      </c>
      <c r="E4129" t="str">
        <f>IFERROR(VLOOKUP(tbEscolas[[#This Row],[COD ETPA]],tbEtapas[],3,FALSE),"")</f>
        <v/>
      </c>
    </row>
    <row r="4130" spans="1:5" x14ac:dyDescent="0.25">
      <c r="A4130" t="str" cm="1">
        <f t="array" ref="A4130">IFERROR(INDEX(tbNucleo[ESCOLA],ROUNDUP(ROW(A4129)/TotalEtapas,0)),"")</f>
        <v/>
      </c>
      <c r="D4130" t="str">
        <f>IFERROR(VLOOKUP(tbEscolas[[#This Row],[COD ETPA]],tbEtapas[],2,FALSE),"")</f>
        <v/>
      </c>
      <c r="E4130" t="str">
        <f>IFERROR(VLOOKUP(tbEscolas[[#This Row],[COD ETPA]],tbEtapas[],3,FALSE),"")</f>
        <v/>
      </c>
    </row>
    <row r="4131" spans="1:5" x14ac:dyDescent="0.25">
      <c r="A4131" t="str" cm="1">
        <f t="array" ref="A4131">IFERROR(INDEX(tbNucleo[ESCOLA],ROUNDUP(ROW(A4130)/TotalEtapas,0)),"")</f>
        <v/>
      </c>
      <c r="D4131" t="str">
        <f>IFERROR(VLOOKUP(tbEscolas[[#This Row],[COD ETPA]],tbEtapas[],2,FALSE),"")</f>
        <v/>
      </c>
      <c r="E4131" t="str">
        <f>IFERROR(VLOOKUP(tbEscolas[[#This Row],[COD ETPA]],tbEtapas[],3,FALSE),"")</f>
        <v/>
      </c>
    </row>
    <row r="4132" spans="1:5" x14ac:dyDescent="0.25">
      <c r="A4132" t="str" cm="1">
        <f t="array" ref="A4132">IFERROR(INDEX(tbNucleo[ESCOLA],ROUNDUP(ROW(A4131)/TotalEtapas,0)),"")</f>
        <v/>
      </c>
      <c r="D4132" t="str">
        <f>IFERROR(VLOOKUP(tbEscolas[[#This Row],[COD ETPA]],tbEtapas[],2,FALSE),"")</f>
        <v/>
      </c>
      <c r="E4132" t="str">
        <f>IFERROR(VLOOKUP(tbEscolas[[#This Row],[COD ETPA]],tbEtapas[],3,FALSE),"")</f>
        <v/>
      </c>
    </row>
    <row r="4133" spans="1:5" x14ac:dyDescent="0.25">
      <c r="A4133" t="str" cm="1">
        <f t="array" ref="A4133">IFERROR(INDEX(tbNucleo[ESCOLA],ROUNDUP(ROW(A4132)/TotalEtapas,0)),"")</f>
        <v/>
      </c>
      <c r="D4133" t="str">
        <f>IFERROR(VLOOKUP(tbEscolas[[#This Row],[COD ETPA]],tbEtapas[],2,FALSE),"")</f>
        <v/>
      </c>
      <c r="E4133" t="str">
        <f>IFERROR(VLOOKUP(tbEscolas[[#This Row],[COD ETPA]],tbEtapas[],3,FALSE),"")</f>
        <v/>
      </c>
    </row>
    <row r="4134" spans="1:5" x14ac:dyDescent="0.25">
      <c r="A4134" t="str" cm="1">
        <f t="array" ref="A4134">IFERROR(INDEX(tbNucleo[ESCOLA],ROUNDUP(ROW(A4133)/TotalEtapas,0)),"")</f>
        <v/>
      </c>
      <c r="D4134" t="str">
        <f>IFERROR(VLOOKUP(tbEscolas[[#This Row],[COD ETPA]],tbEtapas[],2,FALSE),"")</f>
        <v/>
      </c>
      <c r="E4134" t="str">
        <f>IFERROR(VLOOKUP(tbEscolas[[#This Row],[COD ETPA]],tbEtapas[],3,FALSE),"")</f>
        <v/>
      </c>
    </row>
    <row r="4135" spans="1:5" x14ac:dyDescent="0.25">
      <c r="A4135" t="str" cm="1">
        <f t="array" ref="A4135">IFERROR(INDEX(tbNucleo[ESCOLA],ROUNDUP(ROW(A4134)/TotalEtapas,0)),"")</f>
        <v/>
      </c>
      <c r="D4135" t="str">
        <f>IFERROR(VLOOKUP(tbEscolas[[#This Row],[COD ETPA]],tbEtapas[],2,FALSE),"")</f>
        <v/>
      </c>
      <c r="E4135" t="str">
        <f>IFERROR(VLOOKUP(tbEscolas[[#This Row],[COD ETPA]],tbEtapas[],3,FALSE),"")</f>
        <v/>
      </c>
    </row>
    <row r="4136" spans="1:5" x14ac:dyDescent="0.25">
      <c r="A4136" t="str" cm="1">
        <f t="array" ref="A4136">IFERROR(INDEX(tbNucleo[ESCOLA],ROUNDUP(ROW(A4135)/TotalEtapas,0)),"")</f>
        <v/>
      </c>
      <c r="D4136" t="str">
        <f>IFERROR(VLOOKUP(tbEscolas[[#This Row],[COD ETPA]],tbEtapas[],2,FALSE),"")</f>
        <v/>
      </c>
      <c r="E4136" t="str">
        <f>IFERROR(VLOOKUP(tbEscolas[[#This Row],[COD ETPA]],tbEtapas[],3,FALSE),"")</f>
        <v/>
      </c>
    </row>
    <row r="4137" spans="1:5" x14ac:dyDescent="0.25">
      <c r="A4137" t="str" cm="1">
        <f t="array" ref="A4137">IFERROR(INDEX(tbNucleo[ESCOLA],ROUNDUP(ROW(A4136)/TotalEtapas,0)),"")</f>
        <v/>
      </c>
      <c r="D4137" t="str">
        <f>IFERROR(VLOOKUP(tbEscolas[[#This Row],[COD ETPA]],tbEtapas[],2,FALSE),"")</f>
        <v/>
      </c>
      <c r="E4137" t="str">
        <f>IFERROR(VLOOKUP(tbEscolas[[#This Row],[COD ETPA]],tbEtapas[],3,FALSE),"")</f>
        <v/>
      </c>
    </row>
    <row r="4138" spans="1:5" x14ac:dyDescent="0.25">
      <c r="A4138" t="str" cm="1">
        <f t="array" ref="A4138">IFERROR(INDEX(tbNucleo[ESCOLA],ROUNDUP(ROW(A4137)/TotalEtapas,0)),"")</f>
        <v/>
      </c>
      <c r="D4138" t="str">
        <f>IFERROR(VLOOKUP(tbEscolas[[#This Row],[COD ETPA]],tbEtapas[],2,FALSE),"")</f>
        <v/>
      </c>
      <c r="E4138" t="str">
        <f>IFERROR(VLOOKUP(tbEscolas[[#This Row],[COD ETPA]],tbEtapas[],3,FALSE),"")</f>
        <v/>
      </c>
    </row>
    <row r="4139" spans="1:5" x14ac:dyDescent="0.25">
      <c r="A4139" t="str" cm="1">
        <f t="array" ref="A4139">IFERROR(INDEX(tbNucleo[ESCOLA],ROUNDUP(ROW(A4138)/TotalEtapas,0)),"")</f>
        <v/>
      </c>
      <c r="D4139" t="str">
        <f>IFERROR(VLOOKUP(tbEscolas[[#This Row],[COD ETPA]],tbEtapas[],2,FALSE),"")</f>
        <v/>
      </c>
      <c r="E4139" t="str">
        <f>IFERROR(VLOOKUP(tbEscolas[[#This Row],[COD ETPA]],tbEtapas[],3,FALSE),"")</f>
        <v/>
      </c>
    </row>
    <row r="4140" spans="1:5" x14ac:dyDescent="0.25">
      <c r="A4140" t="str" cm="1">
        <f t="array" ref="A4140">IFERROR(INDEX(tbNucleo[ESCOLA],ROUNDUP(ROW(A4139)/TotalEtapas,0)),"")</f>
        <v/>
      </c>
      <c r="D4140" t="str">
        <f>IFERROR(VLOOKUP(tbEscolas[[#This Row],[COD ETPA]],tbEtapas[],2,FALSE),"")</f>
        <v/>
      </c>
      <c r="E4140" t="str">
        <f>IFERROR(VLOOKUP(tbEscolas[[#This Row],[COD ETPA]],tbEtapas[],3,FALSE),"")</f>
        <v/>
      </c>
    </row>
    <row r="4141" spans="1:5" x14ac:dyDescent="0.25">
      <c r="A4141" t="str" cm="1">
        <f t="array" ref="A4141">IFERROR(INDEX(tbNucleo[ESCOLA],ROUNDUP(ROW(A4140)/TotalEtapas,0)),"")</f>
        <v/>
      </c>
      <c r="D4141" t="str">
        <f>IFERROR(VLOOKUP(tbEscolas[[#This Row],[COD ETPA]],tbEtapas[],2,FALSE),"")</f>
        <v/>
      </c>
      <c r="E4141" t="str">
        <f>IFERROR(VLOOKUP(tbEscolas[[#This Row],[COD ETPA]],tbEtapas[],3,FALSE),"")</f>
        <v/>
      </c>
    </row>
    <row r="4142" spans="1:5" x14ac:dyDescent="0.25">
      <c r="A4142" t="str" cm="1">
        <f t="array" ref="A4142">IFERROR(INDEX(tbNucleo[ESCOLA],ROUNDUP(ROW(A4141)/TotalEtapas,0)),"")</f>
        <v/>
      </c>
      <c r="D4142" t="str">
        <f>IFERROR(VLOOKUP(tbEscolas[[#This Row],[COD ETPA]],tbEtapas[],2,FALSE),"")</f>
        <v/>
      </c>
      <c r="E4142" t="str">
        <f>IFERROR(VLOOKUP(tbEscolas[[#This Row],[COD ETPA]],tbEtapas[],3,FALSE),"")</f>
        <v/>
      </c>
    </row>
    <row r="4143" spans="1:5" x14ac:dyDescent="0.25">
      <c r="A4143" t="str" cm="1">
        <f t="array" ref="A4143">IFERROR(INDEX(tbNucleo[ESCOLA],ROUNDUP(ROW(A4142)/TotalEtapas,0)),"")</f>
        <v/>
      </c>
      <c r="D4143" t="str">
        <f>IFERROR(VLOOKUP(tbEscolas[[#This Row],[COD ETPA]],tbEtapas[],2,FALSE),"")</f>
        <v/>
      </c>
      <c r="E4143" t="str">
        <f>IFERROR(VLOOKUP(tbEscolas[[#This Row],[COD ETPA]],tbEtapas[],3,FALSE),"")</f>
        <v/>
      </c>
    </row>
    <row r="4144" spans="1:5" x14ac:dyDescent="0.25">
      <c r="A4144" t="str" cm="1">
        <f t="array" ref="A4144">IFERROR(INDEX(tbNucleo[ESCOLA],ROUNDUP(ROW(A4143)/TotalEtapas,0)),"")</f>
        <v/>
      </c>
      <c r="D4144" t="str">
        <f>IFERROR(VLOOKUP(tbEscolas[[#This Row],[COD ETPA]],tbEtapas[],2,FALSE),"")</f>
        <v/>
      </c>
      <c r="E4144" t="str">
        <f>IFERROR(VLOOKUP(tbEscolas[[#This Row],[COD ETPA]],tbEtapas[],3,FALSE),"")</f>
        <v/>
      </c>
    </row>
    <row r="4145" spans="1:5" x14ac:dyDescent="0.25">
      <c r="A4145" t="str" cm="1">
        <f t="array" ref="A4145">IFERROR(INDEX(tbNucleo[ESCOLA],ROUNDUP(ROW(A4144)/TotalEtapas,0)),"")</f>
        <v/>
      </c>
      <c r="D4145" t="str">
        <f>IFERROR(VLOOKUP(tbEscolas[[#This Row],[COD ETPA]],tbEtapas[],2,FALSE),"")</f>
        <v/>
      </c>
      <c r="E4145" t="str">
        <f>IFERROR(VLOOKUP(tbEscolas[[#This Row],[COD ETPA]],tbEtapas[],3,FALSE),"")</f>
        <v/>
      </c>
    </row>
    <row r="4146" spans="1:5" x14ac:dyDescent="0.25">
      <c r="A4146" t="str" cm="1">
        <f t="array" ref="A4146">IFERROR(INDEX(tbNucleo[ESCOLA],ROUNDUP(ROW(A4145)/TotalEtapas,0)),"")</f>
        <v/>
      </c>
      <c r="D4146" t="str">
        <f>IFERROR(VLOOKUP(tbEscolas[[#This Row],[COD ETPA]],tbEtapas[],2,FALSE),"")</f>
        <v/>
      </c>
      <c r="E4146" t="str">
        <f>IFERROR(VLOOKUP(tbEscolas[[#This Row],[COD ETPA]],tbEtapas[],3,FALSE),"")</f>
        <v/>
      </c>
    </row>
    <row r="4147" spans="1:5" x14ac:dyDescent="0.25">
      <c r="A4147" t="str" cm="1">
        <f t="array" ref="A4147">IFERROR(INDEX(tbNucleo[ESCOLA],ROUNDUP(ROW(A4146)/TotalEtapas,0)),"")</f>
        <v/>
      </c>
      <c r="D4147" t="str">
        <f>IFERROR(VLOOKUP(tbEscolas[[#This Row],[COD ETPA]],tbEtapas[],2,FALSE),"")</f>
        <v/>
      </c>
      <c r="E4147" t="str">
        <f>IFERROR(VLOOKUP(tbEscolas[[#This Row],[COD ETPA]],tbEtapas[],3,FALSE),"")</f>
        <v/>
      </c>
    </row>
    <row r="4148" spans="1:5" x14ac:dyDescent="0.25">
      <c r="A4148" t="str" cm="1">
        <f t="array" ref="A4148">IFERROR(INDEX(tbNucleo[ESCOLA],ROUNDUP(ROW(A4147)/TotalEtapas,0)),"")</f>
        <v/>
      </c>
      <c r="D4148" t="str">
        <f>IFERROR(VLOOKUP(tbEscolas[[#This Row],[COD ETPA]],tbEtapas[],2,FALSE),"")</f>
        <v/>
      </c>
      <c r="E4148" t="str">
        <f>IFERROR(VLOOKUP(tbEscolas[[#This Row],[COD ETPA]],tbEtapas[],3,FALSE),"")</f>
        <v/>
      </c>
    </row>
    <row r="4149" spans="1:5" x14ac:dyDescent="0.25">
      <c r="A4149" t="str" cm="1">
        <f t="array" ref="A4149">IFERROR(INDEX(tbNucleo[ESCOLA],ROUNDUP(ROW(A4148)/TotalEtapas,0)),"")</f>
        <v/>
      </c>
      <c r="D4149" t="str">
        <f>IFERROR(VLOOKUP(tbEscolas[[#This Row],[COD ETPA]],tbEtapas[],2,FALSE),"")</f>
        <v/>
      </c>
      <c r="E4149" t="str">
        <f>IFERROR(VLOOKUP(tbEscolas[[#This Row],[COD ETPA]],tbEtapas[],3,FALSE),"")</f>
        <v/>
      </c>
    </row>
    <row r="4150" spans="1:5" x14ac:dyDescent="0.25">
      <c r="A4150" t="str" cm="1">
        <f t="array" ref="A4150">IFERROR(INDEX(tbNucleo[ESCOLA],ROUNDUP(ROW(A4149)/TotalEtapas,0)),"")</f>
        <v/>
      </c>
      <c r="D4150" t="str">
        <f>IFERROR(VLOOKUP(tbEscolas[[#This Row],[COD ETPA]],tbEtapas[],2,FALSE),"")</f>
        <v/>
      </c>
      <c r="E4150" t="str">
        <f>IFERROR(VLOOKUP(tbEscolas[[#This Row],[COD ETPA]],tbEtapas[],3,FALSE),"")</f>
        <v/>
      </c>
    </row>
    <row r="4151" spans="1:5" x14ac:dyDescent="0.25">
      <c r="A4151" t="str" cm="1">
        <f t="array" ref="A4151">IFERROR(INDEX(tbNucleo[ESCOLA],ROUNDUP(ROW(A4150)/TotalEtapas,0)),"")</f>
        <v/>
      </c>
      <c r="D4151" t="str">
        <f>IFERROR(VLOOKUP(tbEscolas[[#This Row],[COD ETPA]],tbEtapas[],2,FALSE),"")</f>
        <v/>
      </c>
      <c r="E4151" t="str">
        <f>IFERROR(VLOOKUP(tbEscolas[[#This Row],[COD ETPA]],tbEtapas[],3,FALSE),"")</f>
        <v/>
      </c>
    </row>
    <row r="4152" spans="1:5" x14ac:dyDescent="0.25">
      <c r="A4152" t="str" cm="1">
        <f t="array" ref="A4152">IFERROR(INDEX(tbNucleo[ESCOLA],ROUNDUP(ROW(A4151)/TotalEtapas,0)),"")</f>
        <v/>
      </c>
      <c r="D4152" t="str">
        <f>IFERROR(VLOOKUP(tbEscolas[[#This Row],[COD ETPA]],tbEtapas[],2,FALSE),"")</f>
        <v/>
      </c>
      <c r="E4152" t="str">
        <f>IFERROR(VLOOKUP(tbEscolas[[#This Row],[COD ETPA]],tbEtapas[],3,FALSE),"")</f>
        <v/>
      </c>
    </row>
    <row r="4153" spans="1:5" x14ac:dyDescent="0.25">
      <c r="A4153" t="str" cm="1">
        <f t="array" ref="A4153">IFERROR(INDEX(tbNucleo[ESCOLA],ROUNDUP(ROW(A4152)/TotalEtapas,0)),"")</f>
        <v/>
      </c>
      <c r="D4153" t="str">
        <f>IFERROR(VLOOKUP(tbEscolas[[#This Row],[COD ETPA]],tbEtapas[],2,FALSE),"")</f>
        <v/>
      </c>
      <c r="E4153" t="str">
        <f>IFERROR(VLOOKUP(tbEscolas[[#This Row],[COD ETPA]],tbEtapas[],3,FALSE),"")</f>
        <v/>
      </c>
    </row>
    <row r="4154" spans="1:5" x14ac:dyDescent="0.25">
      <c r="A4154" t="str" cm="1">
        <f t="array" ref="A4154">IFERROR(INDEX(tbNucleo[ESCOLA],ROUNDUP(ROW(A4153)/TotalEtapas,0)),"")</f>
        <v/>
      </c>
      <c r="D4154" t="str">
        <f>IFERROR(VLOOKUP(tbEscolas[[#This Row],[COD ETPA]],tbEtapas[],2,FALSE),"")</f>
        <v/>
      </c>
      <c r="E4154" t="str">
        <f>IFERROR(VLOOKUP(tbEscolas[[#This Row],[COD ETPA]],tbEtapas[],3,FALSE),"")</f>
        <v/>
      </c>
    </row>
    <row r="4155" spans="1:5" x14ac:dyDescent="0.25">
      <c r="A4155" t="str" cm="1">
        <f t="array" ref="A4155">IFERROR(INDEX(tbNucleo[ESCOLA],ROUNDUP(ROW(A4154)/TotalEtapas,0)),"")</f>
        <v/>
      </c>
      <c r="D4155" t="str">
        <f>IFERROR(VLOOKUP(tbEscolas[[#This Row],[COD ETPA]],tbEtapas[],2,FALSE),"")</f>
        <v/>
      </c>
      <c r="E4155" t="str">
        <f>IFERROR(VLOOKUP(tbEscolas[[#This Row],[COD ETPA]],tbEtapas[],3,FALSE),"")</f>
        <v/>
      </c>
    </row>
    <row r="4156" spans="1:5" x14ac:dyDescent="0.25">
      <c r="A4156" t="str" cm="1">
        <f t="array" ref="A4156">IFERROR(INDEX(tbNucleo[ESCOLA],ROUNDUP(ROW(A4155)/TotalEtapas,0)),"")</f>
        <v/>
      </c>
      <c r="D4156" t="str">
        <f>IFERROR(VLOOKUP(tbEscolas[[#This Row],[COD ETPA]],tbEtapas[],2,FALSE),"")</f>
        <v/>
      </c>
      <c r="E4156" t="str">
        <f>IFERROR(VLOOKUP(tbEscolas[[#This Row],[COD ETPA]],tbEtapas[],3,FALSE),"")</f>
        <v/>
      </c>
    </row>
    <row r="4157" spans="1:5" x14ac:dyDescent="0.25">
      <c r="A4157" t="str" cm="1">
        <f t="array" ref="A4157">IFERROR(INDEX(tbNucleo[ESCOLA],ROUNDUP(ROW(A4156)/TotalEtapas,0)),"")</f>
        <v/>
      </c>
      <c r="D4157" t="str">
        <f>IFERROR(VLOOKUP(tbEscolas[[#This Row],[COD ETPA]],tbEtapas[],2,FALSE),"")</f>
        <v/>
      </c>
      <c r="E4157" t="str">
        <f>IFERROR(VLOOKUP(tbEscolas[[#This Row],[COD ETPA]],tbEtapas[],3,FALSE),"")</f>
        <v/>
      </c>
    </row>
    <row r="4158" spans="1:5" x14ac:dyDescent="0.25">
      <c r="A4158" t="str" cm="1">
        <f t="array" ref="A4158">IFERROR(INDEX(tbNucleo[ESCOLA],ROUNDUP(ROW(A4157)/TotalEtapas,0)),"")</f>
        <v/>
      </c>
      <c r="D4158" t="str">
        <f>IFERROR(VLOOKUP(tbEscolas[[#This Row],[COD ETPA]],tbEtapas[],2,FALSE),"")</f>
        <v/>
      </c>
      <c r="E4158" t="str">
        <f>IFERROR(VLOOKUP(tbEscolas[[#This Row],[COD ETPA]],tbEtapas[],3,FALSE),"")</f>
        <v/>
      </c>
    </row>
    <row r="4159" spans="1:5" x14ac:dyDescent="0.25">
      <c r="A4159" t="str" cm="1">
        <f t="array" ref="A4159">IFERROR(INDEX(tbNucleo[ESCOLA],ROUNDUP(ROW(A4158)/TotalEtapas,0)),"")</f>
        <v/>
      </c>
      <c r="D4159" t="str">
        <f>IFERROR(VLOOKUP(tbEscolas[[#This Row],[COD ETPA]],tbEtapas[],2,FALSE),"")</f>
        <v/>
      </c>
      <c r="E4159" t="str">
        <f>IFERROR(VLOOKUP(tbEscolas[[#This Row],[COD ETPA]],tbEtapas[],3,FALSE),"")</f>
        <v/>
      </c>
    </row>
    <row r="4160" spans="1:5" x14ac:dyDescent="0.25">
      <c r="A4160" t="str" cm="1">
        <f t="array" ref="A4160">IFERROR(INDEX(tbNucleo[ESCOLA],ROUNDUP(ROW(A4159)/TotalEtapas,0)),"")</f>
        <v/>
      </c>
      <c r="D4160" t="str">
        <f>IFERROR(VLOOKUP(tbEscolas[[#This Row],[COD ETPA]],tbEtapas[],2,FALSE),"")</f>
        <v/>
      </c>
      <c r="E4160" t="str">
        <f>IFERROR(VLOOKUP(tbEscolas[[#This Row],[COD ETPA]],tbEtapas[],3,FALSE),"")</f>
        <v/>
      </c>
    </row>
    <row r="4161" spans="1:5" x14ac:dyDescent="0.25">
      <c r="A4161" t="str" cm="1">
        <f t="array" ref="A4161">IFERROR(INDEX(tbNucleo[ESCOLA],ROUNDUP(ROW(A4160)/TotalEtapas,0)),"")</f>
        <v/>
      </c>
      <c r="D4161" t="str">
        <f>IFERROR(VLOOKUP(tbEscolas[[#This Row],[COD ETPA]],tbEtapas[],2,FALSE),"")</f>
        <v/>
      </c>
      <c r="E4161" t="str">
        <f>IFERROR(VLOOKUP(tbEscolas[[#This Row],[COD ETPA]],tbEtapas[],3,FALSE),"")</f>
        <v/>
      </c>
    </row>
    <row r="4162" spans="1:5" x14ac:dyDescent="0.25">
      <c r="A4162" t="str" cm="1">
        <f t="array" ref="A4162">IFERROR(INDEX(tbNucleo[ESCOLA],ROUNDUP(ROW(A4161)/TotalEtapas,0)),"")</f>
        <v/>
      </c>
      <c r="D4162" t="str">
        <f>IFERROR(VLOOKUP(tbEscolas[[#This Row],[COD ETPA]],tbEtapas[],2,FALSE),"")</f>
        <v/>
      </c>
      <c r="E4162" t="str">
        <f>IFERROR(VLOOKUP(tbEscolas[[#This Row],[COD ETPA]],tbEtapas[],3,FALSE),"")</f>
        <v/>
      </c>
    </row>
    <row r="4163" spans="1:5" x14ac:dyDescent="0.25">
      <c r="A4163" t="str" cm="1">
        <f t="array" ref="A4163">IFERROR(INDEX(tbNucleo[ESCOLA],ROUNDUP(ROW(A4162)/TotalEtapas,0)),"")</f>
        <v/>
      </c>
      <c r="D4163" t="str">
        <f>IFERROR(VLOOKUP(tbEscolas[[#This Row],[COD ETPA]],tbEtapas[],2,FALSE),"")</f>
        <v/>
      </c>
      <c r="E4163" t="str">
        <f>IFERROR(VLOOKUP(tbEscolas[[#This Row],[COD ETPA]],tbEtapas[],3,FALSE),"")</f>
        <v/>
      </c>
    </row>
    <row r="4164" spans="1:5" x14ac:dyDescent="0.25">
      <c r="A4164" t="str" cm="1">
        <f t="array" ref="A4164">IFERROR(INDEX(tbNucleo[ESCOLA],ROUNDUP(ROW(A4163)/TotalEtapas,0)),"")</f>
        <v/>
      </c>
      <c r="D4164" t="str">
        <f>IFERROR(VLOOKUP(tbEscolas[[#This Row],[COD ETPA]],tbEtapas[],2,FALSE),"")</f>
        <v/>
      </c>
      <c r="E4164" t="str">
        <f>IFERROR(VLOOKUP(tbEscolas[[#This Row],[COD ETPA]],tbEtapas[],3,FALSE),"")</f>
        <v/>
      </c>
    </row>
    <row r="4165" spans="1:5" x14ac:dyDescent="0.25">
      <c r="A4165" t="str" cm="1">
        <f t="array" ref="A4165">IFERROR(INDEX(tbNucleo[ESCOLA],ROUNDUP(ROW(A4164)/TotalEtapas,0)),"")</f>
        <v/>
      </c>
      <c r="D4165" t="str">
        <f>IFERROR(VLOOKUP(tbEscolas[[#This Row],[COD ETPA]],tbEtapas[],2,FALSE),"")</f>
        <v/>
      </c>
      <c r="E4165" t="str">
        <f>IFERROR(VLOOKUP(tbEscolas[[#This Row],[COD ETPA]],tbEtapas[],3,FALSE),"")</f>
        <v/>
      </c>
    </row>
    <row r="4166" spans="1:5" x14ac:dyDescent="0.25">
      <c r="A4166" t="str" cm="1">
        <f t="array" ref="A4166">IFERROR(INDEX(tbNucleo[ESCOLA],ROUNDUP(ROW(A4165)/TotalEtapas,0)),"")</f>
        <v/>
      </c>
      <c r="D4166" t="str">
        <f>IFERROR(VLOOKUP(tbEscolas[[#This Row],[COD ETPA]],tbEtapas[],2,FALSE),"")</f>
        <v/>
      </c>
      <c r="E4166" t="str">
        <f>IFERROR(VLOOKUP(tbEscolas[[#This Row],[COD ETPA]],tbEtapas[],3,FALSE),"")</f>
        <v/>
      </c>
    </row>
    <row r="4167" spans="1:5" x14ac:dyDescent="0.25">
      <c r="A4167" t="str" cm="1">
        <f t="array" ref="A4167">IFERROR(INDEX(tbNucleo[ESCOLA],ROUNDUP(ROW(A4166)/TotalEtapas,0)),"")</f>
        <v/>
      </c>
      <c r="D4167" t="str">
        <f>IFERROR(VLOOKUP(tbEscolas[[#This Row],[COD ETPA]],tbEtapas[],2,FALSE),"")</f>
        <v/>
      </c>
      <c r="E4167" t="str">
        <f>IFERROR(VLOOKUP(tbEscolas[[#This Row],[COD ETPA]],tbEtapas[],3,FALSE),"")</f>
        <v/>
      </c>
    </row>
    <row r="4168" spans="1:5" x14ac:dyDescent="0.25">
      <c r="A4168" t="str" cm="1">
        <f t="array" ref="A4168">IFERROR(INDEX(tbNucleo[ESCOLA],ROUNDUP(ROW(A4167)/TotalEtapas,0)),"")</f>
        <v/>
      </c>
      <c r="D4168" t="str">
        <f>IFERROR(VLOOKUP(tbEscolas[[#This Row],[COD ETPA]],tbEtapas[],2,FALSE),"")</f>
        <v/>
      </c>
      <c r="E4168" t="str">
        <f>IFERROR(VLOOKUP(tbEscolas[[#This Row],[COD ETPA]],tbEtapas[],3,FALSE),"")</f>
        <v/>
      </c>
    </row>
    <row r="4169" spans="1:5" x14ac:dyDescent="0.25">
      <c r="A4169" t="str" cm="1">
        <f t="array" ref="A4169">IFERROR(INDEX(tbNucleo[ESCOLA],ROUNDUP(ROW(A4168)/TotalEtapas,0)),"")</f>
        <v/>
      </c>
      <c r="D4169" t="str">
        <f>IFERROR(VLOOKUP(tbEscolas[[#This Row],[COD ETPA]],tbEtapas[],2,FALSE),"")</f>
        <v/>
      </c>
      <c r="E4169" t="str">
        <f>IFERROR(VLOOKUP(tbEscolas[[#This Row],[COD ETPA]],tbEtapas[],3,FALSE),"")</f>
        <v/>
      </c>
    </row>
    <row r="4170" spans="1:5" x14ac:dyDescent="0.25">
      <c r="A4170" t="str" cm="1">
        <f t="array" ref="A4170">IFERROR(INDEX(tbNucleo[ESCOLA],ROUNDUP(ROW(A4169)/TotalEtapas,0)),"")</f>
        <v/>
      </c>
      <c r="D4170" t="str">
        <f>IFERROR(VLOOKUP(tbEscolas[[#This Row],[COD ETPA]],tbEtapas[],2,FALSE),"")</f>
        <v/>
      </c>
      <c r="E4170" t="str">
        <f>IFERROR(VLOOKUP(tbEscolas[[#This Row],[COD ETPA]],tbEtapas[],3,FALSE),"")</f>
        <v/>
      </c>
    </row>
    <row r="4171" spans="1:5" x14ac:dyDescent="0.25">
      <c r="A4171" t="str" cm="1">
        <f t="array" ref="A4171">IFERROR(INDEX(tbNucleo[ESCOLA],ROUNDUP(ROW(A4170)/TotalEtapas,0)),"")</f>
        <v/>
      </c>
      <c r="D4171" t="str">
        <f>IFERROR(VLOOKUP(tbEscolas[[#This Row],[COD ETPA]],tbEtapas[],2,FALSE),"")</f>
        <v/>
      </c>
      <c r="E4171" t="str">
        <f>IFERROR(VLOOKUP(tbEscolas[[#This Row],[COD ETPA]],tbEtapas[],3,FALSE),"")</f>
        <v/>
      </c>
    </row>
    <row r="4172" spans="1:5" x14ac:dyDescent="0.25">
      <c r="A4172" t="str" cm="1">
        <f t="array" ref="A4172">IFERROR(INDEX(tbNucleo[ESCOLA],ROUNDUP(ROW(A4171)/TotalEtapas,0)),"")</f>
        <v/>
      </c>
      <c r="D4172" t="str">
        <f>IFERROR(VLOOKUP(tbEscolas[[#This Row],[COD ETPA]],tbEtapas[],2,FALSE),"")</f>
        <v/>
      </c>
      <c r="E4172" t="str">
        <f>IFERROR(VLOOKUP(tbEscolas[[#This Row],[COD ETPA]],tbEtapas[],3,FALSE),"")</f>
        <v/>
      </c>
    </row>
    <row r="4173" spans="1:5" x14ac:dyDescent="0.25">
      <c r="A4173" t="str" cm="1">
        <f t="array" ref="A4173">IFERROR(INDEX(tbNucleo[ESCOLA],ROUNDUP(ROW(A4172)/TotalEtapas,0)),"")</f>
        <v/>
      </c>
      <c r="D4173" t="str">
        <f>IFERROR(VLOOKUP(tbEscolas[[#This Row],[COD ETPA]],tbEtapas[],2,FALSE),"")</f>
        <v/>
      </c>
      <c r="E4173" t="str">
        <f>IFERROR(VLOOKUP(tbEscolas[[#This Row],[COD ETPA]],tbEtapas[],3,FALSE),"")</f>
        <v/>
      </c>
    </row>
    <row r="4174" spans="1:5" x14ac:dyDescent="0.25">
      <c r="A4174" t="str" cm="1">
        <f t="array" ref="A4174">IFERROR(INDEX(tbNucleo[ESCOLA],ROUNDUP(ROW(A4173)/TotalEtapas,0)),"")</f>
        <v/>
      </c>
      <c r="D4174" t="str">
        <f>IFERROR(VLOOKUP(tbEscolas[[#This Row],[COD ETPA]],tbEtapas[],2,FALSE),"")</f>
        <v/>
      </c>
      <c r="E4174" t="str">
        <f>IFERROR(VLOOKUP(tbEscolas[[#This Row],[COD ETPA]],tbEtapas[],3,FALSE),"")</f>
        <v/>
      </c>
    </row>
    <row r="4175" spans="1:5" x14ac:dyDescent="0.25">
      <c r="A4175" t="str" cm="1">
        <f t="array" ref="A4175">IFERROR(INDEX(tbNucleo[ESCOLA],ROUNDUP(ROW(A4174)/TotalEtapas,0)),"")</f>
        <v/>
      </c>
      <c r="D4175" t="str">
        <f>IFERROR(VLOOKUP(tbEscolas[[#This Row],[COD ETPA]],tbEtapas[],2,FALSE),"")</f>
        <v/>
      </c>
      <c r="E4175" t="str">
        <f>IFERROR(VLOOKUP(tbEscolas[[#This Row],[COD ETPA]],tbEtapas[],3,FALSE),"")</f>
        <v/>
      </c>
    </row>
    <row r="4176" spans="1:5" x14ac:dyDescent="0.25">
      <c r="A4176" t="str" cm="1">
        <f t="array" ref="A4176">IFERROR(INDEX(tbNucleo[ESCOLA],ROUNDUP(ROW(A4175)/TotalEtapas,0)),"")</f>
        <v/>
      </c>
      <c r="D4176" t="str">
        <f>IFERROR(VLOOKUP(tbEscolas[[#This Row],[COD ETPA]],tbEtapas[],2,FALSE),"")</f>
        <v/>
      </c>
      <c r="E4176" t="str">
        <f>IFERROR(VLOOKUP(tbEscolas[[#This Row],[COD ETPA]],tbEtapas[],3,FALSE),"")</f>
        <v/>
      </c>
    </row>
    <row r="4177" spans="1:5" x14ac:dyDescent="0.25">
      <c r="A4177" t="str" cm="1">
        <f t="array" ref="A4177">IFERROR(INDEX(tbNucleo[ESCOLA],ROUNDUP(ROW(A4176)/TotalEtapas,0)),"")</f>
        <v/>
      </c>
      <c r="D4177" t="str">
        <f>IFERROR(VLOOKUP(tbEscolas[[#This Row],[COD ETPA]],tbEtapas[],2,FALSE),"")</f>
        <v/>
      </c>
      <c r="E4177" t="str">
        <f>IFERROR(VLOOKUP(tbEscolas[[#This Row],[COD ETPA]],tbEtapas[],3,FALSE),"")</f>
        <v/>
      </c>
    </row>
    <row r="4178" spans="1:5" x14ac:dyDescent="0.25">
      <c r="A4178" t="str" cm="1">
        <f t="array" ref="A4178">IFERROR(INDEX(tbNucleo[ESCOLA],ROUNDUP(ROW(A4177)/TotalEtapas,0)),"")</f>
        <v/>
      </c>
      <c r="D4178" t="str">
        <f>IFERROR(VLOOKUP(tbEscolas[[#This Row],[COD ETPA]],tbEtapas[],2,FALSE),"")</f>
        <v/>
      </c>
      <c r="E4178" t="str">
        <f>IFERROR(VLOOKUP(tbEscolas[[#This Row],[COD ETPA]],tbEtapas[],3,FALSE),"")</f>
        <v/>
      </c>
    </row>
    <row r="4179" spans="1:5" x14ac:dyDescent="0.25">
      <c r="A4179" t="str" cm="1">
        <f t="array" ref="A4179">IFERROR(INDEX(tbNucleo[ESCOLA],ROUNDUP(ROW(A4178)/TotalEtapas,0)),"")</f>
        <v/>
      </c>
      <c r="D4179" t="str">
        <f>IFERROR(VLOOKUP(tbEscolas[[#This Row],[COD ETPA]],tbEtapas[],2,FALSE),"")</f>
        <v/>
      </c>
      <c r="E4179" t="str">
        <f>IFERROR(VLOOKUP(tbEscolas[[#This Row],[COD ETPA]],tbEtapas[],3,FALSE),"")</f>
        <v/>
      </c>
    </row>
    <row r="4180" spans="1:5" x14ac:dyDescent="0.25">
      <c r="A4180" t="str" cm="1">
        <f t="array" ref="A4180">IFERROR(INDEX(tbNucleo[ESCOLA],ROUNDUP(ROW(A4179)/TotalEtapas,0)),"")</f>
        <v/>
      </c>
      <c r="D4180" t="str">
        <f>IFERROR(VLOOKUP(tbEscolas[[#This Row],[COD ETPA]],tbEtapas[],2,FALSE),"")</f>
        <v/>
      </c>
      <c r="E4180" t="str">
        <f>IFERROR(VLOOKUP(tbEscolas[[#This Row],[COD ETPA]],tbEtapas[],3,FALSE),"")</f>
        <v/>
      </c>
    </row>
    <row r="4181" spans="1:5" x14ac:dyDescent="0.25">
      <c r="A4181" t="str" cm="1">
        <f t="array" ref="A4181">IFERROR(INDEX(tbNucleo[ESCOLA],ROUNDUP(ROW(A4180)/TotalEtapas,0)),"")</f>
        <v/>
      </c>
      <c r="D4181" t="str">
        <f>IFERROR(VLOOKUP(tbEscolas[[#This Row],[COD ETPA]],tbEtapas[],2,FALSE),"")</f>
        <v/>
      </c>
      <c r="E4181" t="str">
        <f>IFERROR(VLOOKUP(tbEscolas[[#This Row],[COD ETPA]],tbEtapas[],3,FALSE),"")</f>
        <v/>
      </c>
    </row>
    <row r="4182" spans="1:5" x14ac:dyDescent="0.25">
      <c r="A4182" t="str" cm="1">
        <f t="array" ref="A4182">IFERROR(INDEX(tbNucleo[ESCOLA],ROUNDUP(ROW(A4181)/TotalEtapas,0)),"")</f>
        <v/>
      </c>
      <c r="D4182" t="str">
        <f>IFERROR(VLOOKUP(tbEscolas[[#This Row],[COD ETPA]],tbEtapas[],2,FALSE),"")</f>
        <v/>
      </c>
      <c r="E4182" t="str">
        <f>IFERROR(VLOOKUP(tbEscolas[[#This Row],[COD ETPA]],tbEtapas[],3,FALSE),"")</f>
        <v/>
      </c>
    </row>
    <row r="4183" spans="1:5" x14ac:dyDescent="0.25">
      <c r="A4183" t="str" cm="1">
        <f t="array" ref="A4183">IFERROR(INDEX(tbNucleo[ESCOLA],ROUNDUP(ROW(A4182)/TotalEtapas,0)),"")</f>
        <v/>
      </c>
      <c r="D4183" t="str">
        <f>IFERROR(VLOOKUP(tbEscolas[[#This Row],[COD ETPA]],tbEtapas[],2,FALSE),"")</f>
        <v/>
      </c>
      <c r="E4183" t="str">
        <f>IFERROR(VLOOKUP(tbEscolas[[#This Row],[COD ETPA]],tbEtapas[],3,FALSE),"")</f>
        <v/>
      </c>
    </row>
    <row r="4184" spans="1:5" x14ac:dyDescent="0.25">
      <c r="A4184" t="str" cm="1">
        <f t="array" ref="A4184">IFERROR(INDEX(tbNucleo[ESCOLA],ROUNDUP(ROW(A4183)/TotalEtapas,0)),"")</f>
        <v/>
      </c>
      <c r="D4184" t="str">
        <f>IFERROR(VLOOKUP(tbEscolas[[#This Row],[COD ETPA]],tbEtapas[],2,FALSE),"")</f>
        <v/>
      </c>
      <c r="E4184" t="str">
        <f>IFERROR(VLOOKUP(tbEscolas[[#This Row],[COD ETPA]],tbEtapas[],3,FALSE),"")</f>
        <v/>
      </c>
    </row>
    <row r="4185" spans="1:5" x14ac:dyDescent="0.25">
      <c r="A4185" t="str" cm="1">
        <f t="array" ref="A4185">IFERROR(INDEX(tbNucleo[ESCOLA],ROUNDUP(ROW(A4184)/TotalEtapas,0)),"")</f>
        <v/>
      </c>
      <c r="D4185" t="str">
        <f>IFERROR(VLOOKUP(tbEscolas[[#This Row],[COD ETPA]],tbEtapas[],2,FALSE),"")</f>
        <v/>
      </c>
      <c r="E4185" t="str">
        <f>IFERROR(VLOOKUP(tbEscolas[[#This Row],[COD ETPA]],tbEtapas[],3,FALSE),"")</f>
        <v/>
      </c>
    </row>
    <row r="4186" spans="1:5" x14ac:dyDescent="0.25">
      <c r="A4186" t="str" cm="1">
        <f t="array" ref="A4186">IFERROR(INDEX(tbNucleo[ESCOLA],ROUNDUP(ROW(A4185)/TotalEtapas,0)),"")</f>
        <v/>
      </c>
      <c r="D4186" t="str">
        <f>IFERROR(VLOOKUP(tbEscolas[[#This Row],[COD ETPA]],tbEtapas[],2,FALSE),"")</f>
        <v/>
      </c>
      <c r="E4186" t="str">
        <f>IFERROR(VLOOKUP(tbEscolas[[#This Row],[COD ETPA]],tbEtapas[],3,FALSE),"")</f>
        <v/>
      </c>
    </row>
    <row r="4187" spans="1:5" x14ac:dyDescent="0.25">
      <c r="A4187" t="str" cm="1">
        <f t="array" ref="A4187">IFERROR(INDEX(tbNucleo[ESCOLA],ROUNDUP(ROW(A4186)/TotalEtapas,0)),"")</f>
        <v/>
      </c>
      <c r="D4187" t="str">
        <f>IFERROR(VLOOKUP(tbEscolas[[#This Row],[COD ETPA]],tbEtapas[],2,FALSE),"")</f>
        <v/>
      </c>
      <c r="E4187" t="str">
        <f>IFERROR(VLOOKUP(tbEscolas[[#This Row],[COD ETPA]],tbEtapas[],3,FALSE),"")</f>
        <v/>
      </c>
    </row>
    <row r="4188" spans="1:5" x14ac:dyDescent="0.25">
      <c r="A4188" t="str" cm="1">
        <f t="array" ref="A4188">IFERROR(INDEX(tbNucleo[ESCOLA],ROUNDUP(ROW(A4187)/TotalEtapas,0)),"")</f>
        <v/>
      </c>
      <c r="D4188" t="str">
        <f>IFERROR(VLOOKUP(tbEscolas[[#This Row],[COD ETPA]],tbEtapas[],2,FALSE),"")</f>
        <v/>
      </c>
      <c r="E4188" t="str">
        <f>IFERROR(VLOOKUP(tbEscolas[[#This Row],[COD ETPA]],tbEtapas[],3,FALSE),"")</f>
        <v/>
      </c>
    </row>
    <row r="4189" spans="1:5" x14ac:dyDescent="0.25">
      <c r="A4189" t="str" cm="1">
        <f t="array" ref="A4189">IFERROR(INDEX(tbNucleo[ESCOLA],ROUNDUP(ROW(A4188)/TotalEtapas,0)),"")</f>
        <v/>
      </c>
      <c r="D4189" t="str">
        <f>IFERROR(VLOOKUP(tbEscolas[[#This Row],[COD ETPA]],tbEtapas[],2,FALSE),"")</f>
        <v/>
      </c>
      <c r="E4189" t="str">
        <f>IFERROR(VLOOKUP(tbEscolas[[#This Row],[COD ETPA]],tbEtapas[],3,FALSE),"")</f>
        <v/>
      </c>
    </row>
    <row r="4190" spans="1:5" x14ac:dyDescent="0.25">
      <c r="A4190" t="str" cm="1">
        <f t="array" ref="A4190">IFERROR(INDEX(tbNucleo[ESCOLA],ROUNDUP(ROW(A4189)/TotalEtapas,0)),"")</f>
        <v/>
      </c>
      <c r="D4190" t="str">
        <f>IFERROR(VLOOKUP(tbEscolas[[#This Row],[COD ETPA]],tbEtapas[],2,FALSE),"")</f>
        <v/>
      </c>
      <c r="E4190" t="str">
        <f>IFERROR(VLOOKUP(tbEscolas[[#This Row],[COD ETPA]],tbEtapas[],3,FALSE),"")</f>
        <v/>
      </c>
    </row>
    <row r="4191" spans="1:5" x14ac:dyDescent="0.25">
      <c r="A4191" t="str" cm="1">
        <f t="array" ref="A4191">IFERROR(INDEX(tbNucleo[ESCOLA],ROUNDUP(ROW(A4190)/TotalEtapas,0)),"")</f>
        <v/>
      </c>
      <c r="D4191" t="str">
        <f>IFERROR(VLOOKUP(tbEscolas[[#This Row],[COD ETPA]],tbEtapas[],2,FALSE),"")</f>
        <v/>
      </c>
      <c r="E4191" t="str">
        <f>IFERROR(VLOOKUP(tbEscolas[[#This Row],[COD ETPA]],tbEtapas[],3,FALSE),"")</f>
        <v/>
      </c>
    </row>
    <row r="4192" spans="1:5" x14ac:dyDescent="0.25">
      <c r="A4192" t="str" cm="1">
        <f t="array" ref="A4192">IFERROR(INDEX(tbNucleo[ESCOLA],ROUNDUP(ROW(A4191)/TotalEtapas,0)),"")</f>
        <v/>
      </c>
      <c r="D4192" t="str">
        <f>IFERROR(VLOOKUP(tbEscolas[[#This Row],[COD ETPA]],tbEtapas[],2,FALSE),"")</f>
        <v/>
      </c>
      <c r="E4192" t="str">
        <f>IFERROR(VLOOKUP(tbEscolas[[#This Row],[COD ETPA]],tbEtapas[],3,FALSE),"")</f>
        <v/>
      </c>
    </row>
    <row r="4193" spans="1:5" x14ac:dyDescent="0.25">
      <c r="A4193" t="str" cm="1">
        <f t="array" ref="A4193">IFERROR(INDEX(tbNucleo[ESCOLA],ROUNDUP(ROW(A4192)/TotalEtapas,0)),"")</f>
        <v/>
      </c>
      <c r="D4193" t="str">
        <f>IFERROR(VLOOKUP(tbEscolas[[#This Row],[COD ETPA]],tbEtapas[],2,FALSE),"")</f>
        <v/>
      </c>
      <c r="E4193" t="str">
        <f>IFERROR(VLOOKUP(tbEscolas[[#This Row],[COD ETPA]],tbEtapas[],3,FALSE),"")</f>
        <v/>
      </c>
    </row>
    <row r="4194" spans="1:5" x14ac:dyDescent="0.25">
      <c r="A4194" t="str" cm="1">
        <f t="array" ref="A4194">IFERROR(INDEX(tbNucleo[ESCOLA],ROUNDUP(ROW(A4193)/TotalEtapas,0)),"")</f>
        <v/>
      </c>
      <c r="D4194" t="str">
        <f>IFERROR(VLOOKUP(tbEscolas[[#This Row],[COD ETPA]],tbEtapas[],2,FALSE),"")</f>
        <v/>
      </c>
      <c r="E4194" t="str">
        <f>IFERROR(VLOOKUP(tbEscolas[[#This Row],[COD ETPA]],tbEtapas[],3,FALSE),"")</f>
        <v/>
      </c>
    </row>
    <row r="4195" spans="1:5" x14ac:dyDescent="0.25">
      <c r="A4195" t="str" cm="1">
        <f t="array" ref="A4195">IFERROR(INDEX(tbNucleo[ESCOLA],ROUNDUP(ROW(A4194)/TotalEtapas,0)),"")</f>
        <v/>
      </c>
      <c r="D4195" t="str">
        <f>IFERROR(VLOOKUP(tbEscolas[[#This Row],[COD ETPA]],tbEtapas[],2,FALSE),"")</f>
        <v/>
      </c>
      <c r="E4195" t="str">
        <f>IFERROR(VLOOKUP(tbEscolas[[#This Row],[COD ETPA]],tbEtapas[],3,FALSE),"")</f>
        <v/>
      </c>
    </row>
    <row r="4196" spans="1:5" x14ac:dyDescent="0.25">
      <c r="A4196" t="str" cm="1">
        <f t="array" ref="A4196">IFERROR(INDEX(tbNucleo[ESCOLA],ROUNDUP(ROW(A4195)/TotalEtapas,0)),"")</f>
        <v/>
      </c>
      <c r="D4196" t="str">
        <f>IFERROR(VLOOKUP(tbEscolas[[#This Row],[COD ETPA]],tbEtapas[],2,FALSE),"")</f>
        <v/>
      </c>
      <c r="E4196" t="str">
        <f>IFERROR(VLOOKUP(tbEscolas[[#This Row],[COD ETPA]],tbEtapas[],3,FALSE),"")</f>
        <v/>
      </c>
    </row>
    <row r="4197" spans="1:5" x14ac:dyDescent="0.25">
      <c r="A4197" t="str" cm="1">
        <f t="array" ref="A4197">IFERROR(INDEX(tbNucleo[ESCOLA],ROUNDUP(ROW(A4196)/TotalEtapas,0)),"")</f>
        <v/>
      </c>
      <c r="D4197" t="str">
        <f>IFERROR(VLOOKUP(tbEscolas[[#This Row],[COD ETPA]],tbEtapas[],2,FALSE),"")</f>
        <v/>
      </c>
      <c r="E4197" t="str">
        <f>IFERROR(VLOOKUP(tbEscolas[[#This Row],[COD ETPA]],tbEtapas[],3,FALSE),"")</f>
        <v/>
      </c>
    </row>
    <row r="4198" spans="1:5" x14ac:dyDescent="0.25">
      <c r="A4198" t="str" cm="1">
        <f t="array" ref="A4198">IFERROR(INDEX(tbNucleo[ESCOLA],ROUNDUP(ROW(A4197)/TotalEtapas,0)),"")</f>
        <v/>
      </c>
      <c r="D4198" t="str">
        <f>IFERROR(VLOOKUP(tbEscolas[[#This Row],[COD ETPA]],tbEtapas[],2,FALSE),"")</f>
        <v/>
      </c>
      <c r="E4198" t="str">
        <f>IFERROR(VLOOKUP(tbEscolas[[#This Row],[COD ETPA]],tbEtapas[],3,FALSE),"")</f>
        <v/>
      </c>
    </row>
    <row r="4199" spans="1:5" x14ac:dyDescent="0.25">
      <c r="A4199" t="str" cm="1">
        <f t="array" ref="A4199">IFERROR(INDEX(tbNucleo[ESCOLA],ROUNDUP(ROW(A4198)/TotalEtapas,0)),"")</f>
        <v/>
      </c>
      <c r="D4199" t="str">
        <f>IFERROR(VLOOKUP(tbEscolas[[#This Row],[COD ETPA]],tbEtapas[],2,FALSE),"")</f>
        <v/>
      </c>
      <c r="E4199" t="str">
        <f>IFERROR(VLOOKUP(tbEscolas[[#This Row],[COD ETPA]],tbEtapas[],3,FALSE),"")</f>
        <v/>
      </c>
    </row>
    <row r="4200" spans="1:5" x14ac:dyDescent="0.25">
      <c r="A4200" t="str" cm="1">
        <f t="array" ref="A4200">IFERROR(INDEX(tbNucleo[ESCOLA],ROUNDUP(ROW(A4199)/TotalEtapas,0)),"")</f>
        <v/>
      </c>
      <c r="D4200" t="str">
        <f>IFERROR(VLOOKUP(tbEscolas[[#This Row],[COD ETPA]],tbEtapas[],2,FALSE),"")</f>
        <v/>
      </c>
      <c r="E4200" t="str">
        <f>IFERROR(VLOOKUP(tbEscolas[[#This Row],[COD ETPA]],tbEtapas[],3,FALSE),"")</f>
        <v/>
      </c>
    </row>
    <row r="4201" spans="1:5" x14ac:dyDescent="0.25">
      <c r="A4201" t="str" cm="1">
        <f t="array" ref="A4201">IFERROR(INDEX(tbNucleo[ESCOLA],ROUNDUP(ROW(A4200)/TotalEtapas,0)),"")</f>
        <v/>
      </c>
      <c r="D4201" t="str">
        <f>IFERROR(VLOOKUP(tbEscolas[[#This Row],[COD ETPA]],tbEtapas[],2,FALSE),"")</f>
        <v/>
      </c>
      <c r="E4201" t="str">
        <f>IFERROR(VLOOKUP(tbEscolas[[#This Row],[COD ETPA]],tbEtapas[],3,FALSE),"")</f>
        <v/>
      </c>
    </row>
    <row r="4202" spans="1:5" x14ac:dyDescent="0.25">
      <c r="A4202" t="str" cm="1">
        <f t="array" ref="A4202">IFERROR(INDEX(tbNucleo[ESCOLA],ROUNDUP(ROW(A4201)/TotalEtapas,0)),"")</f>
        <v/>
      </c>
      <c r="D4202" t="str">
        <f>IFERROR(VLOOKUP(tbEscolas[[#This Row],[COD ETPA]],tbEtapas[],2,FALSE),"")</f>
        <v/>
      </c>
      <c r="E4202" t="str">
        <f>IFERROR(VLOOKUP(tbEscolas[[#This Row],[COD ETPA]],tbEtapas[],3,FALSE),"")</f>
        <v/>
      </c>
    </row>
    <row r="4203" spans="1:5" x14ac:dyDescent="0.25">
      <c r="A4203" t="str" cm="1">
        <f t="array" ref="A4203">IFERROR(INDEX(tbNucleo[ESCOLA],ROUNDUP(ROW(A4202)/TotalEtapas,0)),"")</f>
        <v/>
      </c>
      <c r="D4203" t="str">
        <f>IFERROR(VLOOKUP(tbEscolas[[#This Row],[COD ETPA]],tbEtapas[],2,FALSE),"")</f>
        <v/>
      </c>
      <c r="E4203" t="str">
        <f>IFERROR(VLOOKUP(tbEscolas[[#This Row],[COD ETPA]],tbEtapas[],3,FALSE),"")</f>
        <v/>
      </c>
    </row>
    <row r="4204" spans="1:5" x14ac:dyDescent="0.25">
      <c r="A4204" t="str" cm="1">
        <f t="array" ref="A4204">IFERROR(INDEX(tbNucleo[ESCOLA],ROUNDUP(ROW(A4203)/TotalEtapas,0)),"")</f>
        <v/>
      </c>
      <c r="D4204" t="str">
        <f>IFERROR(VLOOKUP(tbEscolas[[#This Row],[COD ETPA]],tbEtapas[],2,FALSE),"")</f>
        <v/>
      </c>
      <c r="E4204" t="str">
        <f>IFERROR(VLOOKUP(tbEscolas[[#This Row],[COD ETPA]],tbEtapas[],3,FALSE),"")</f>
        <v/>
      </c>
    </row>
    <row r="4205" spans="1:5" x14ac:dyDescent="0.25">
      <c r="A4205" t="str" cm="1">
        <f t="array" ref="A4205">IFERROR(INDEX(tbNucleo[ESCOLA],ROUNDUP(ROW(A4204)/TotalEtapas,0)),"")</f>
        <v/>
      </c>
      <c r="D4205" t="str">
        <f>IFERROR(VLOOKUP(tbEscolas[[#This Row],[COD ETPA]],tbEtapas[],2,FALSE),"")</f>
        <v/>
      </c>
      <c r="E4205" t="str">
        <f>IFERROR(VLOOKUP(tbEscolas[[#This Row],[COD ETPA]],tbEtapas[],3,FALSE),"")</f>
        <v/>
      </c>
    </row>
    <row r="4206" spans="1:5" x14ac:dyDescent="0.25">
      <c r="A4206" t="str" cm="1">
        <f t="array" ref="A4206">IFERROR(INDEX(tbNucleo[ESCOLA],ROUNDUP(ROW(A4205)/TotalEtapas,0)),"")</f>
        <v/>
      </c>
      <c r="D4206" t="str">
        <f>IFERROR(VLOOKUP(tbEscolas[[#This Row],[COD ETPA]],tbEtapas[],2,FALSE),"")</f>
        <v/>
      </c>
      <c r="E4206" t="str">
        <f>IFERROR(VLOOKUP(tbEscolas[[#This Row],[COD ETPA]],tbEtapas[],3,FALSE),"")</f>
        <v/>
      </c>
    </row>
    <row r="4207" spans="1:5" x14ac:dyDescent="0.25">
      <c r="A4207" t="str" cm="1">
        <f t="array" ref="A4207">IFERROR(INDEX(tbNucleo[ESCOLA],ROUNDUP(ROW(A4206)/TotalEtapas,0)),"")</f>
        <v/>
      </c>
      <c r="D4207" t="str">
        <f>IFERROR(VLOOKUP(tbEscolas[[#This Row],[COD ETPA]],tbEtapas[],2,FALSE),"")</f>
        <v/>
      </c>
      <c r="E4207" t="str">
        <f>IFERROR(VLOOKUP(tbEscolas[[#This Row],[COD ETPA]],tbEtapas[],3,FALSE),"")</f>
        <v/>
      </c>
    </row>
    <row r="4208" spans="1:5" x14ac:dyDescent="0.25">
      <c r="A4208" t="str" cm="1">
        <f t="array" ref="A4208">IFERROR(INDEX(tbNucleo[ESCOLA],ROUNDUP(ROW(A4207)/TotalEtapas,0)),"")</f>
        <v/>
      </c>
      <c r="D4208" t="str">
        <f>IFERROR(VLOOKUP(tbEscolas[[#This Row],[COD ETPA]],tbEtapas[],2,FALSE),"")</f>
        <v/>
      </c>
      <c r="E4208" t="str">
        <f>IFERROR(VLOOKUP(tbEscolas[[#This Row],[COD ETPA]],tbEtapas[],3,FALSE),"")</f>
        <v/>
      </c>
    </row>
    <row r="4209" spans="1:5" x14ac:dyDescent="0.25">
      <c r="A4209" t="str" cm="1">
        <f t="array" ref="A4209">IFERROR(INDEX(tbNucleo[ESCOLA],ROUNDUP(ROW(A4208)/TotalEtapas,0)),"")</f>
        <v/>
      </c>
      <c r="D4209" t="str">
        <f>IFERROR(VLOOKUP(tbEscolas[[#This Row],[COD ETPA]],tbEtapas[],2,FALSE),"")</f>
        <v/>
      </c>
      <c r="E4209" t="str">
        <f>IFERROR(VLOOKUP(tbEscolas[[#This Row],[COD ETPA]],tbEtapas[],3,FALSE),"")</f>
        <v/>
      </c>
    </row>
    <row r="4210" spans="1:5" x14ac:dyDescent="0.25">
      <c r="A4210" t="str" cm="1">
        <f t="array" ref="A4210">IFERROR(INDEX(tbNucleo[ESCOLA],ROUNDUP(ROW(A4209)/TotalEtapas,0)),"")</f>
        <v/>
      </c>
      <c r="D4210" t="str">
        <f>IFERROR(VLOOKUP(tbEscolas[[#This Row],[COD ETPA]],tbEtapas[],2,FALSE),"")</f>
        <v/>
      </c>
      <c r="E4210" t="str">
        <f>IFERROR(VLOOKUP(tbEscolas[[#This Row],[COD ETPA]],tbEtapas[],3,FALSE),"")</f>
        <v/>
      </c>
    </row>
    <row r="4211" spans="1:5" x14ac:dyDescent="0.25">
      <c r="A4211" t="str" cm="1">
        <f t="array" ref="A4211">IFERROR(INDEX(tbNucleo[ESCOLA],ROUNDUP(ROW(A4210)/TotalEtapas,0)),"")</f>
        <v/>
      </c>
      <c r="D4211" t="str">
        <f>IFERROR(VLOOKUP(tbEscolas[[#This Row],[COD ETPA]],tbEtapas[],2,FALSE),"")</f>
        <v/>
      </c>
      <c r="E4211" t="str">
        <f>IFERROR(VLOOKUP(tbEscolas[[#This Row],[COD ETPA]],tbEtapas[],3,FALSE),"")</f>
        <v/>
      </c>
    </row>
    <row r="4212" spans="1:5" x14ac:dyDescent="0.25">
      <c r="A4212" t="str" cm="1">
        <f t="array" ref="A4212">IFERROR(INDEX(tbNucleo[ESCOLA],ROUNDUP(ROW(A4211)/TotalEtapas,0)),"")</f>
        <v/>
      </c>
      <c r="D4212" t="str">
        <f>IFERROR(VLOOKUP(tbEscolas[[#This Row],[COD ETPA]],tbEtapas[],2,FALSE),"")</f>
        <v/>
      </c>
      <c r="E4212" t="str">
        <f>IFERROR(VLOOKUP(tbEscolas[[#This Row],[COD ETPA]],tbEtapas[],3,FALSE),"")</f>
        <v/>
      </c>
    </row>
    <row r="4213" spans="1:5" x14ac:dyDescent="0.25">
      <c r="A4213" t="str" cm="1">
        <f t="array" ref="A4213">IFERROR(INDEX(tbNucleo[ESCOLA],ROUNDUP(ROW(A4212)/TotalEtapas,0)),"")</f>
        <v/>
      </c>
      <c r="D4213" t="str">
        <f>IFERROR(VLOOKUP(tbEscolas[[#This Row],[COD ETPA]],tbEtapas[],2,FALSE),"")</f>
        <v/>
      </c>
      <c r="E4213" t="str">
        <f>IFERROR(VLOOKUP(tbEscolas[[#This Row],[COD ETPA]],tbEtapas[],3,FALSE),"")</f>
        <v/>
      </c>
    </row>
    <row r="4214" spans="1:5" x14ac:dyDescent="0.25">
      <c r="A4214" t="str" cm="1">
        <f t="array" ref="A4214">IFERROR(INDEX(tbNucleo[ESCOLA],ROUNDUP(ROW(A4213)/TotalEtapas,0)),"")</f>
        <v/>
      </c>
      <c r="D4214" t="str">
        <f>IFERROR(VLOOKUP(tbEscolas[[#This Row],[COD ETPA]],tbEtapas[],2,FALSE),"")</f>
        <v/>
      </c>
      <c r="E4214" t="str">
        <f>IFERROR(VLOOKUP(tbEscolas[[#This Row],[COD ETPA]],tbEtapas[],3,FALSE),"")</f>
        <v/>
      </c>
    </row>
    <row r="4215" spans="1:5" x14ac:dyDescent="0.25">
      <c r="A4215" t="str" cm="1">
        <f t="array" ref="A4215">IFERROR(INDEX(tbNucleo[ESCOLA],ROUNDUP(ROW(A4214)/TotalEtapas,0)),"")</f>
        <v/>
      </c>
      <c r="D4215" t="str">
        <f>IFERROR(VLOOKUP(tbEscolas[[#This Row],[COD ETPA]],tbEtapas[],2,FALSE),"")</f>
        <v/>
      </c>
      <c r="E4215" t="str">
        <f>IFERROR(VLOOKUP(tbEscolas[[#This Row],[COD ETPA]],tbEtapas[],3,FALSE),"")</f>
        <v/>
      </c>
    </row>
    <row r="4216" spans="1:5" x14ac:dyDescent="0.25">
      <c r="A4216" t="str" cm="1">
        <f t="array" ref="A4216">IFERROR(INDEX(tbNucleo[ESCOLA],ROUNDUP(ROW(A4215)/TotalEtapas,0)),"")</f>
        <v/>
      </c>
      <c r="D4216" t="str">
        <f>IFERROR(VLOOKUP(tbEscolas[[#This Row],[COD ETPA]],tbEtapas[],2,FALSE),"")</f>
        <v/>
      </c>
      <c r="E4216" t="str">
        <f>IFERROR(VLOOKUP(tbEscolas[[#This Row],[COD ETPA]],tbEtapas[],3,FALSE),"")</f>
        <v/>
      </c>
    </row>
    <row r="4217" spans="1:5" x14ac:dyDescent="0.25">
      <c r="A4217" t="str" cm="1">
        <f t="array" ref="A4217">IFERROR(INDEX(tbNucleo[ESCOLA],ROUNDUP(ROW(A4216)/TotalEtapas,0)),"")</f>
        <v/>
      </c>
      <c r="D4217" t="str">
        <f>IFERROR(VLOOKUP(tbEscolas[[#This Row],[COD ETPA]],tbEtapas[],2,FALSE),"")</f>
        <v/>
      </c>
      <c r="E4217" t="str">
        <f>IFERROR(VLOOKUP(tbEscolas[[#This Row],[COD ETPA]],tbEtapas[],3,FALSE),"")</f>
        <v/>
      </c>
    </row>
    <row r="4218" spans="1:5" x14ac:dyDescent="0.25">
      <c r="A4218" t="str" cm="1">
        <f t="array" ref="A4218">IFERROR(INDEX(tbNucleo[ESCOLA],ROUNDUP(ROW(A4217)/TotalEtapas,0)),"")</f>
        <v/>
      </c>
      <c r="D4218" t="str">
        <f>IFERROR(VLOOKUP(tbEscolas[[#This Row],[COD ETPA]],tbEtapas[],2,FALSE),"")</f>
        <v/>
      </c>
      <c r="E4218" t="str">
        <f>IFERROR(VLOOKUP(tbEscolas[[#This Row],[COD ETPA]],tbEtapas[],3,FALSE),"")</f>
        <v/>
      </c>
    </row>
    <row r="4219" spans="1:5" x14ac:dyDescent="0.25">
      <c r="A4219" t="str" cm="1">
        <f t="array" ref="A4219">IFERROR(INDEX(tbNucleo[ESCOLA],ROUNDUP(ROW(A4218)/TotalEtapas,0)),"")</f>
        <v/>
      </c>
      <c r="D4219" t="str">
        <f>IFERROR(VLOOKUP(tbEscolas[[#This Row],[COD ETPA]],tbEtapas[],2,FALSE),"")</f>
        <v/>
      </c>
      <c r="E4219" t="str">
        <f>IFERROR(VLOOKUP(tbEscolas[[#This Row],[COD ETPA]],tbEtapas[],3,FALSE),"")</f>
        <v/>
      </c>
    </row>
    <row r="4220" spans="1:5" x14ac:dyDescent="0.25">
      <c r="A4220" t="str" cm="1">
        <f t="array" ref="A4220">IFERROR(INDEX(tbNucleo[ESCOLA],ROUNDUP(ROW(A4219)/TotalEtapas,0)),"")</f>
        <v/>
      </c>
      <c r="D4220" t="str">
        <f>IFERROR(VLOOKUP(tbEscolas[[#This Row],[COD ETPA]],tbEtapas[],2,FALSE),"")</f>
        <v/>
      </c>
      <c r="E4220" t="str">
        <f>IFERROR(VLOOKUP(tbEscolas[[#This Row],[COD ETPA]],tbEtapas[],3,FALSE),"")</f>
        <v/>
      </c>
    </row>
    <row r="4221" spans="1:5" x14ac:dyDescent="0.25">
      <c r="A4221" t="str" cm="1">
        <f t="array" ref="A4221">IFERROR(INDEX(tbNucleo[ESCOLA],ROUNDUP(ROW(A4220)/TotalEtapas,0)),"")</f>
        <v/>
      </c>
      <c r="D4221" t="str">
        <f>IFERROR(VLOOKUP(tbEscolas[[#This Row],[COD ETPA]],tbEtapas[],2,FALSE),"")</f>
        <v/>
      </c>
      <c r="E4221" t="str">
        <f>IFERROR(VLOOKUP(tbEscolas[[#This Row],[COD ETPA]],tbEtapas[],3,FALSE),"")</f>
        <v/>
      </c>
    </row>
    <row r="4222" spans="1:5" x14ac:dyDescent="0.25">
      <c r="A4222" t="str" cm="1">
        <f t="array" ref="A4222">IFERROR(INDEX(tbNucleo[ESCOLA],ROUNDUP(ROW(A4221)/TotalEtapas,0)),"")</f>
        <v/>
      </c>
      <c r="D4222" t="str">
        <f>IFERROR(VLOOKUP(tbEscolas[[#This Row],[COD ETPA]],tbEtapas[],2,FALSE),"")</f>
        <v/>
      </c>
      <c r="E4222" t="str">
        <f>IFERROR(VLOOKUP(tbEscolas[[#This Row],[COD ETPA]],tbEtapas[],3,FALSE),"")</f>
        <v/>
      </c>
    </row>
    <row r="4223" spans="1:5" x14ac:dyDescent="0.25">
      <c r="A4223" t="str" cm="1">
        <f t="array" ref="A4223">IFERROR(INDEX(tbNucleo[ESCOLA],ROUNDUP(ROW(A4222)/TotalEtapas,0)),"")</f>
        <v/>
      </c>
      <c r="D4223" t="str">
        <f>IFERROR(VLOOKUP(tbEscolas[[#This Row],[COD ETPA]],tbEtapas[],2,FALSE),"")</f>
        <v/>
      </c>
      <c r="E4223" t="str">
        <f>IFERROR(VLOOKUP(tbEscolas[[#This Row],[COD ETPA]],tbEtapas[],3,FALSE),"")</f>
        <v/>
      </c>
    </row>
    <row r="4224" spans="1:5" x14ac:dyDescent="0.25">
      <c r="A4224" t="str" cm="1">
        <f t="array" ref="A4224">IFERROR(INDEX(tbNucleo[ESCOLA],ROUNDUP(ROW(A4223)/TotalEtapas,0)),"")</f>
        <v/>
      </c>
      <c r="D4224" t="str">
        <f>IFERROR(VLOOKUP(tbEscolas[[#This Row],[COD ETPA]],tbEtapas[],2,FALSE),"")</f>
        <v/>
      </c>
      <c r="E4224" t="str">
        <f>IFERROR(VLOOKUP(tbEscolas[[#This Row],[COD ETPA]],tbEtapas[],3,FALSE),"")</f>
        <v/>
      </c>
    </row>
    <row r="4225" spans="1:5" x14ac:dyDescent="0.25">
      <c r="A4225" t="str" cm="1">
        <f t="array" ref="A4225">IFERROR(INDEX(tbNucleo[ESCOLA],ROUNDUP(ROW(A4224)/TotalEtapas,0)),"")</f>
        <v/>
      </c>
      <c r="D4225" t="str">
        <f>IFERROR(VLOOKUP(tbEscolas[[#This Row],[COD ETPA]],tbEtapas[],2,FALSE),"")</f>
        <v/>
      </c>
      <c r="E4225" t="str">
        <f>IFERROR(VLOOKUP(tbEscolas[[#This Row],[COD ETPA]],tbEtapas[],3,FALSE),"")</f>
        <v/>
      </c>
    </row>
    <row r="4226" spans="1:5" x14ac:dyDescent="0.25">
      <c r="A4226" t="str" cm="1">
        <f t="array" ref="A4226">IFERROR(INDEX(tbNucleo[ESCOLA],ROUNDUP(ROW(A4225)/TotalEtapas,0)),"")</f>
        <v/>
      </c>
      <c r="D4226" t="str">
        <f>IFERROR(VLOOKUP(tbEscolas[[#This Row],[COD ETPA]],tbEtapas[],2,FALSE),"")</f>
        <v/>
      </c>
      <c r="E4226" t="str">
        <f>IFERROR(VLOOKUP(tbEscolas[[#This Row],[COD ETPA]],tbEtapas[],3,FALSE),"")</f>
        <v/>
      </c>
    </row>
    <row r="4227" spans="1:5" x14ac:dyDescent="0.25">
      <c r="A4227" t="str" cm="1">
        <f t="array" ref="A4227">IFERROR(INDEX(tbNucleo[ESCOLA],ROUNDUP(ROW(A4226)/TotalEtapas,0)),"")</f>
        <v/>
      </c>
      <c r="D4227" t="str">
        <f>IFERROR(VLOOKUP(tbEscolas[[#This Row],[COD ETPA]],tbEtapas[],2,FALSE),"")</f>
        <v/>
      </c>
      <c r="E4227" t="str">
        <f>IFERROR(VLOOKUP(tbEscolas[[#This Row],[COD ETPA]],tbEtapas[],3,FALSE),"")</f>
        <v/>
      </c>
    </row>
    <row r="4228" spans="1:5" x14ac:dyDescent="0.25">
      <c r="A4228" t="str" cm="1">
        <f t="array" ref="A4228">IFERROR(INDEX(tbNucleo[ESCOLA],ROUNDUP(ROW(A4227)/TotalEtapas,0)),"")</f>
        <v/>
      </c>
      <c r="D4228" t="str">
        <f>IFERROR(VLOOKUP(tbEscolas[[#This Row],[COD ETPA]],tbEtapas[],2,FALSE),"")</f>
        <v/>
      </c>
      <c r="E4228" t="str">
        <f>IFERROR(VLOOKUP(tbEscolas[[#This Row],[COD ETPA]],tbEtapas[],3,FALSE),"")</f>
        <v/>
      </c>
    </row>
    <row r="4229" spans="1:5" x14ac:dyDescent="0.25">
      <c r="A4229" t="str" cm="1">
        <f t="array" ref="A4229">IFERROR(INDEX(tbNucleo[ESCOLA],ROUNDUP(ROW(A4228)/TotalEtapas,0)),"")</f>
        <v/>
      </c>
      <c r="D4229" t="str">
        <f>IFERROR(VLOOKUP(tbEscolas[[#This Row],[COD ETPA]],tbEtapas[],2,FALSE),"")</f>
        <v/>
      </c>
      <c r="E4229" t="str">
        <f>IFERROR(VLOOKUP(tbEscolas[[#This Row],[COD ETPA]],tbEtapas[],3,FALSE),"")</f>
        <v/>
      </c>
    </row>
    <row r="4230" spans="1:5" x14ac:dyDescent="0.25">
      <c r="A4230" t="str" cm="1">
        <f t="array" ref="A4230">IFERROR(INDEX(tbNucleo[ESCOLA],ROUNDUP(ROW(A4229)/TotalEtapas,0)),"")</f>
        <v/>
      </c>
      <c r="D4230" t="str">
        <f>IFERROR(VLOOKUP(tbEscolas[[#This Row],[COD ETPA]],tbEtapas[],2,FALSE),"")</f>
        <v/>
      </c>
      <c r="E4230" t="str">
        <f>IFERROR(VLOOKUP(tbEscolas[[#This Row],[COD ETPA]],tbEtapas[],3,FALSE),"")</f>
        <v/>
      </c>
    </row>
    <row r="4231" spans="1:5" x14ac:dyDescent="0.25">
      <c r="A4231" t="str" cm="1">
        <f t="array" ref="A4231">IFERROR(INDEX(tbNucleo[ESCOLA],ROUNDUP(ROW(A4230)/TotalEtapas,0)),"")</f>
        <v/>
      </c>
      <c r="D4231" t="str">
        <f>IFERROR(VLOOKUP(tbEscolas[[#This Row],[COD ETPA]],tbEtapas[],2,FALSE),"")</f>
        <v/>
      </c>
      <c r="E4231" t="str">
        <f>IFERROR(VLOOKUP(tbEscolas[[#This Row],[COD ETPA]],tbEtapas[],3,FALSE),"")</f>
        <v/>
      </c>
    </row>
    <row r="4232" spans="1:5" x14ac:dyDescent="0.25">
      <c r="A4232" t="str" cm="1">
        <f t="array" ref="A4232">IFERROR(INDEX(tbNucleo[ESCOLA],ROUNDUP(ROW(A4231)/TotalEtapas,0)),"")</f>
        <v/>
      </c>
      <c r="D4232" t="str">
        <f>IFERROR(VLOOKUP(tbEscolas[[#This Row],[COD ETPA]],tbEtapas[],2,FALSE),"")</f>
        <v/>
      </c>
      <c r="E4232" t="str">
        <f>IFERROR(VLOOKUP(tbEscolas[[#This Row],[COD ETPA]],tbEtapas[],3,FALSE),"")</f>
        <v/>
      </c>
    </row>
    <row r="4233" spans="1:5" x14ac:dyDescent="0.25">
      <c r="A4233" t="str" cm="1">
        <f t="array" ref="A4233">IFERROR(INDEX(tbNucleo[ESCOLA],ROUNDUP(ROW(A4232)/TotalEtapas,0)),"")</f>
        <v/>
      </c>
      <c r="D4233" t="str">
        <f>IFERROR(VLOOKUP(tbEscolas[[#This Row],[COD ETPA]],tbEtapas[],2,FALSE),"")</f>
        <v/>
      </c>
      <c r="E4233" t="str">
        <f>IFERROR(VLOOKUP(tbEscolas[[#This Row],[COD ETPA]],tbEtapas[],3,FALSE),"")</f>
        <v/>
      </c>
    </row>
    <row r="4234" spans="1:5" x14ac:dyDescent="0.25">
      <c r="A4234" t="str" cm="1">
        <f t="array" ref="A4234">IFERROR(INDEX(tbNucleo[ESCOLA],ROUNDUP(ROW(A4233)/TotalEtapas,0)),"")</f>
        <v/>
      </c>
      <c r="D4234" t="str">
        <f>IFERROR(VLOOKUP(tbEscolas[[#This Row],[COD ETPA]],tbEtapas[],2,FALSE),"")</f>
        <v/>
      </c>
      <c r="E4234" t="str">
        <f>IFERROR(VLOOKUP(tbEscolas[[#This Row],[COD ETPA]],tbEtapas[],3,FALSE),"")</f>
        <v/>
      </c>
    </row>
    <row r="4235" spans="1:5" x14ac:dyDescent="0.25">
      <c r="A4235" t="str" cm="1">
        <f t="array" ref="A4235">IFERROR(INDEX(tbNucleo[ESCOLA],ROUNDUP(ROW(A4234)/TotalEtapas,0)),"")</f>
        <v/>
      </c>
      <c r="D4235" t="str">
        <f>IFERROR(VLOOKUP(tbEscolas[[#This Row],[COD ETPA]],tbEtapas[],2,FALSE),"")</f>
        <v/>
      </c>
      <c r="E4235" t="str">
        <f>IFERROR(VLOOKUP(tbEscolas[[#This Row],[COD ETPA]],tbEtapas[],3,FALSE),"")</f>
        <v/>
      </c>
    </row>
    <row r="4236" spans="1:5" x14ac:dyDescent="0.25">
      <c r="A4236" t="str" cm="1">
        <f t="array" ref="A4236">IFERROR(INDEX(tbNucleo[ESCOLA],ROUNDUP(ROW(A4235)/TotalEtapas,0)),"")</f>
        <v/>
      </c>
      <c r="D4236" t="str">
        <f>IFERROR(VLOOKUP(tbEscolas[[#This Row],[COD ETPA]],tbEtapas[],2,FALSE),"")</f>
        <v/>
      </c>
      <c r="E4236" t="str">
        <f>IFERROR(VLOOKUP(tbEscolas[[#This Row],[COD ETPA]],tbEtapas[],3,FALSE),"")</f>
        <v/>
      </c>
    </row>
    <row r="4237" spans="1:5" x14ac:dyDescent="0.25">
      <c r="A4237" t="str" cm="1">
        <f t="array" ref="A4237">IFERROR(INDEX(tbNucleo[ESCOLA],ROUNDUP(ROW(A4236)/TotalEtapas,0)),"")</f>
        <v/>
      </c>
      <c r="D4237" t="str">
        <f>IFERROR(VLOOKUP(tbEscolas[[#This Row],[COD ETPA]],tbEtapas[],2,FALSE),"")</f>
        <v/>
      </c>
      <c r="E4237" t="str">
        <f>IFERROR(VLOOKUP(tbEscolas[[#This Row],[COD ETPA]],tbEtapas[],3,FALSE),"")</f>
        <v/>
      </c>
    </row>
    <row r="4238" spans="1:5" x14ac:dyDescent="0.25">
      <c r="A4238" t="str" cm="1">
        <f t="array" ref="A4238">IFERROR(INDEX(tbNucleo[ESCOLA],ROUNDUP(ROW(A4237)/TotalEtapas,0)),"")</f>
        <v/>
      </c>
      <c r="D4238" t="str">
        <f>IFERROR(VLOOKUP(tbEscolas[[#This Row],[COD ETPA]],tbEtapas[],2,FALSE),"")</f>
        <v/>
      </c>
      <c r="E4238" t="str">
        <f>IFERROR(VLOOKUP(tbEscolas[[#This Row],[COD ETPA]],tbEtapas[],3,FALSE),"")</f>
        <v/>
      </c>
    </row>
    <row r="4239" spans="1:5" x14ac:dyDescent="0.25">
      <c r="A4239" t="str" cm="1">
        <f t="array" ref="A4239">IFERROR(INDEX(tbNucleo[ESCOLA],ROUNDUP(ROW(A4238)/TotalEtapas,0)),"")</f>
        <v/>
      </c>
      <c r="D4239" t="str">
        <f>IFERROR(VLOOKUP(tbEscolas[[#This Row],[COD ETPA]],tbEtapas[],2,FALSE),"")</f>
        <v/>
      </c>
      <c r="E4239" t="str">
        <f>IFERROR(VLOOKUP(tbEscolas[[#This Row],[COD ETPA]],tbEtapas[],3,FALSE),"")</f>
        <v/>
      </c>
    </row>
    <row r="4240" spans="1:5" x14ac:dyDescent="0.25">
      <c r="A4240" t="str" cm="1">
        <f t="array" ref="A4240">IFERROR(INDEX(tbNucleo[ESCOLA],ROUNDUP(ROW(A4239)/TotalEtapas,0)),"")</f>
        <v/>
      </c>
      <c r="D4240" t="str">
        <f>IFERROR(VLOOKUP(tbEscolas[[#This Row],[COD ETPA]],tbEtapas[],2,FALSE),"")</f>
        <v/>
      </c>
      <c r="E4240" t="str">
        <f>IFERROR(VLOOKUP(tbEscolas[[#This Row],[COD ETPA]],tbEtapas[],3,FALSE),"")</f>
        <v/>
      </c>
    </row>
    <row r="4241" spans="1:5" x14ac:dyDescent="0.25">
      <c r="A4241" t="str" cm="1">
        <f t="array" ref="A4241">IFERROR(INDEX(tbNucleo[ESCOLA],ROUNDUP(ROW(A4240)/TotalEtapas,0)),"")</f>
        <v/>
      </c>
      <c r="D4241" t="str">
        <f>IFERROR(VLOOKUP(tbEscolas[[#This Row],[COD ETPA]],tbEtapas[],2,FALSE),"")</f>
        <v/>
      </c>
      <c r="E4241" t="str">
        <f>IFERROR(VLOOKUP(tbEscolas[[#This Row],[COD ETPA]],tbEtapas[],3,FALSE),"")</f>
        <v/>
      </c>
    </row>
    <row r="4242" spans="1:5" x14ac:dyDescent="0.25">
      <c r="A4242" t="str" cm="1">
        <f t="array" ref="A4242">IFERROR(INDEX(tbNucleo[ESCOLA],ROUNDUP(ROW(A4241)/TotalEtapas,0)),"")</f>
        <v/>
      </c>
      <c r="D4242" t="str">
        <f>IFERROR(VLOOKUP(tbEscolas[[#This Row],[COD ETPA]],tbEtapas[],2,FALSE),"")</f>
        <v/>
      </c>
      <c r="E4242" t="str">
        <f>IFERROR(VLOOKUP(tbEscolas[[#This Row],[COD ETPA]],tbEtapas[],3,FALSE),"")</f>
        <v/>
      </c>
    </row>
    <row r="4243" spans="1:5" x14ac:dyDescent="0.25">
      <c r="A4243" t="str" cm="1">
        <f t="array" ref="A4243">IFERROR(INDEX(tbNucleo[ESCOLA],ROUNDUP(ROW(A4242)/TotalEtapas,0)),"")</f>
        <v/>
      </c>
      <c r="D4243" t="str">
        <f>IFERROR(VLOOKUP(tbEscolas[[#This Row],[COD ETPA]],tbEtapas[],2,FALSE),"")</f>
        <v/>
      </c>
      <c r="E4243" t="str">
        <f>IFERROR(VLOOKUP(tbEscolas[[#This Row],[COD ETPA]],tbEtapas[],3,FALSE),"")</f>
        <v/>
      </c>
    </row>
    <row r="4244" spans="1:5" x14ac:dyDescent="0.25">
      <c r="A4244" t="str" cm="1">
        <f t="array" ref="A4244">IFERROR(INDEX(tbNucleo[ESCOLA],ROUNDUP(ROW(A4243)/TotalEtapas,0)),"")</f>
        <v/>
      </c>
      <c r="D4244" t="str">
        <f>IFERROR(VLOOKUP(tbEscolas[[#This Row],[COD ETPA]],tbEtapas[],2,FALSE),"")</f>
        <v/>
      </c>
      <c r="E4244" t="str">
        <f>IFERROR(VLOOKUP(tbEscolas[[#This Row],[COD ETPA]],tbEtapas[],3,FALSE),"")</f>
        <v/>
      </c>
    </row>
    <row r="4245" spans="1:5" x14ac:dyDescent="0.25">
      <c r="A4245" t="str" cm="1">
        <f t="array" ref="A4245">IFERROR(INDEX(tbNucleo[ESCOLA],ROUNDUP(ROW(A4244)/TotalEtapas,0)),"")</f>
        <v/>
      </c>
      <c r="D4245" t="str">
        <f>IFERROR(VLOOKUP(tbEscolas[[#This Row],[COD ETPA]],tbEtapas[],2,FALSE),"")</f>
        <v/>
      </c>
      <c r="E4245" t="str">
        <f>IFERROR(VLOOKUP(tbEscolas[[#This Row],[COD ETPA]],tbEtapas[],3,FALSE),"")</f>
        <v/>
      </c>
    </row>
    <row r="4246" spans="1:5" x14ac:dyDescent="0.25">
      <c r="A4246" t="str" cm="1">
        <f t="array" ref="A4246">IFERROR(INDEX(tbNucleo[ESCOLA],ROUNDUP(ROW(A4245)/TotalEtapas,0)),"")</f>
        <v/>
      </c>
      <c r="D4246" t="str">
        <f>IFERROR(VLOOKUP(tbEscolas[[#This Row],[COD ETPA]],tbEtapas[],2,FALSE),"")</f>
        <v/>
      </c>
      <c r="E4246" t="str">
        <f>IFERROR(VLOOKUP(tbEscolas[[#This Row],[COD ETPA]],tbEtapas[],3,FALSE),"")</f>
        <v/>
      </c>
    </row>
    <row r="4247" spans="1:5" x14ac:dyDescent="0.25">
      <c r="A4247" t="str" cm="1">
        <f t="array" ref="A4247">IFERROR(INDEX(tbNucleo[ESCOLA],ROUNDUP(ROW(A4246)/TotalEtapas,0)),"")</f>
        <v/>
      </c>
      <c r="D4247" t="str">
        <f>IFERROR(VLOOKUP(tbEscolas[[#This Row],[COD ETPA]],tbEtapas[],2,FALSE),"")</f>
        <v/>
      </c>
      <c r="E4247" t="str">
        <f>IFERROR(VLOOKUP(tbEscolas[[#This Row],[COD ETPA]],tbEtapas[],3,FALSE),"")</f>
        <v/>
      </c>
    </row>
    <row r="4248" spans="1:5" x14ac:dyDescent="0.25">
      <c r="A4248" t="str" cm="1">
        <f t="array" ref="A4248">IFERROR(INDEX(tbNucleo[ESCOLA],ROUNDUP(ROW(A4247)/TotalEtapas,0)),"")</f>
        <v/>
      </c>
      <c r="D4248" t="str">
        <f>IFERROR(VLOOKUP(tbEscolas[[#This Row],[COD ETPA]],tbEtapas[],2,FALSE),"")</f>
        <v/>
      </c>
      <c r="E4248" t="str">
        <f>IFERROR(VLOOKUP(tbEscolas[[#This Row],[COD ETPA]],tbEtapas[],3,FALSE),"")</f>
        <v/>
      </c>
    </row>
    <row r="4249" spans="1:5" x14ac:dyDescent="0.25">
      <c r="A4249" t="str" cm="1">
        <f t="array" ref="A4249">IFERROR(INDEX(tbNucleo[ESCOLA],ROUNDUP(ROW(A4248)/TotalEtapas,0)),"")</f>
        <v/>
      </c>
      <c r="D4249" t="str">
        <f>IFERROR(VLOOKUP(tbEscolas[[#This Row],[COD ETPA]],tbEtapas[],2,FALSE),"")</f>
        <v/>
      </c>
      <c r="E4249" t="str">
        <f>IFERROR(VLOOKUP(tbEscolas[[#This Row],[COD ETPA]],tbEtapas[],3,FALSE),"")</f>
        <v/>
      </c>
    </row>
    <row r="4250" spans="1:5" x14ac:dyDescent="0.25">
      <c r="A4250" t="str" cm="1">
        <f t="array" ref="A4250">IFERROR(INDEX(tbNucleo[ESCOLA],ROUNDUP(ROW(A4249)/TotalEtapas,0)),"")</f>
        <v/>
      </c>
      <c r="D4250" t="str">
        <f>IFERROR(VLOOKUP(tbEscolas[[#This Row],[COD ETPA]],tbEtapas[],2,FALSE),"")</f>
        <v/>
      </c>
      <c r="E4250" t="str">
        <f>IFERROR(VLOOKUP(tbEscolas[[#This Row],[COD ETPA]],tbEtapas[],3,FALSE),"")</f>
        <v/>
      </c>
    </row>
    <row r="4251" spans="1:5" x14ac:dyDescent="0.25">
      <c r="A4251" t="str" cm="1">
        <f t="array" ref="A4251">IFERROR(INDEX(tbNucleo[ESCOLA],ROUNDUP(ROW(A4250)/TotalEtapas,0)),"")</f>
        <v/>
      </c>
      <c r="D4251" t="str">
        <f>IFERROR(VLOOKUP(tbEscolas[[#This Row],[COD ETPA]],tbEtapas[],2,FALSE),"")</f>
        <v/>
      </c>
      <c r="E4251" t="str">
        <f>IFERROR(VLOOKUP(tbEscolas[[#This Row],[COD ETPA]],tbEtapas[],3,FALSE),"")</f>
        <v/>
      </c>
    </row>
    <row r="4252" spans="1:5" x14ac:dyDescent="0.25">
      <c r="A4252" t="str" cm="1">
        <f t="array" ref="A4252">IFERROR(INDEX(tbNucleo[ESCOLA],ROUNDUP(ROW(A4251)/TotalEtapas,0)),"")</f>
        <v/>
      </c>
      <c r="D4252" t="str">
        <f>IFERROR(VLOOKUP(tbEscolas[[#This Row],[COD ETPA]],tbEtapas[],2,FALSE),"")</f>
        <v/>
      </c>
      <c r="E4252" t="str">
        <f>IFERROR(VLOOKUP(tbEscolas[[#This Row],[COD ETPA]],tbEtapas[],3,FALSE),"")</f>
        <v/>
      </c>
    </row>
    <row r="4253" spans="1:5" x14ac:dyDescent="0.25">
      <c r="A4253" t="str" cm="1">
        <f t="array" ref="A4253">IFERROR(INDEX(tbNucleo[ESCOLA],ROUNDUP(ROW(A4252)/TotalEtapas,0)),"")</f>
        <v/>
      </c>
      <c r="D4253" t="str">
        <f>IFERROR(VLOOKUP(tbEscolas[[#This Row],[COD ETPA]],tbEtapas[],2,FALSE),"")</f>
        <v/>
      </c>
      <c r="E4253" t="str">
        <f>IFERROR(VLOOKUP(tbEscolas[[#This Row],[COD ETPA]],tbEtapas[],3,FALSE),"")</f>
        <v/>
      </c>
    </row>
    <row r="4254" spans="1:5" x14ac:dyDescent="0.25">
      <c r="A4254" t="str" cm="1">
        <f t="array" ref="A4254">IFERROR(INDEX(tbNucleo[ESCOLA],ROUNDUP(ROW(A4253)/TotalEtapas,0)),"")</f>
        <v/>
      </c>
      <c r="D4254" t="str">
        <f>IFERROR(VLOOKUP(tbEscolas[[#This Row],[COD ETPA]],tbEtapas[],2,FALSE),"")</f>
        <v/>
      </c>
      <c r="E4254" t="str">
        <f>IFERROR(VLOOKUP(tbEscolas[[#This Row],[COD ETPA]],tbEtapas[],3,FALSE),"")</f>
        <v/>
      </c>
    </row>
    <row r="4255" spans="1:5" x14ac:dyDescent="0.25">
      <c r="A4255" t="str" cm="1">
        <f t="array" ref="A4255">IFERROR(INDEX(tbNucleo[ESCOLA],ROUNDUP(ROW(A4254)/TotalEtapas,0)),"")</f>
        <v/>
      </c>
      <c r="D4255" t="str">
        <f>IFERROR(VLOOKUP(tbEscolas[[#This Row],[COD ETPA]],tbEtapas[],2,FALSE),"")</f>
        <v/>
      </c>
      <c r="E4255" t="str">
        <f>IFERROR(VLOOKUP(tbEscolas[[#This Row],[COD ETPA]],tbEtapas[],3,FALSE),"")</f>
        <v/>
      </c>
    </row>
    <row r="4256" spans="1:5" x14ac:dyDescent="0.25">
      <c r="A4256" t="str" cm="1">
        <f t="array" ref="A4256">IFERROR(INDEX(tbNucleo[ESCOLA],ROUNDUP(ROW(A4255)/TotalEtapas,0)),"")</f>
        <v/>
      </c>
      <c r="D4256" t="str">
        <f>IFERROR(VLOOKUP(tbEscolas[[#This Row],[COD ETPA]],tbEtapas[],2,FALSE),"")</f>
        <v/>
      </c>
      <c r="E4256" t="str">
        <f>IFERROR(VLOOKUP(tbEscolas[[#This Row],[COD ETPA]],tbEtapas[],3,FALSE),"")</f>
        <v/>
      </c>
    </row>
    <row r="4257" spans="1:5" x14ac:dyDescent="0.25">
      <c r="A4257" t="str" cm="1">
        <f t="array" ref="A4257">IFERROR(INDEX(tbNucleo[ESCOLA],ROUNDUP(ROW(A4256)/TotalEtapas,0)),"")</f>
        <v/>
      </c>
      <c r="D4257" t="str">
        <f>IFERROR(VLOOKUP(tbEscolas[[#This Row],[COD ETPA]],tbEtapas[],2,FALSE),"")</f>
        <v/>
      </c>
      <c r="E4257" t="str">
        <f>IFERROR(VLOOKUP(tbEscolas[[#This Row],[COD ETPA]],tbEtapas[],3,FALSE),"")</f>
        <v/>
      </c>
    </row>
    <row r="4258" spans="1:5" x14ac:dyDescent="0.25">
      <c r="A4258" t="str" cm="1">
        <f t="array" ref="A4258">IFERROR(INDEX(tbNucleo[ESCOLA],ROUNDUP(ROW(A4257)/TotalEtapas,0)),"")</f>
        <v/>
      </c>
      <c r="D4258" t="str">
        <f>IFERROR(VLOOKUP(tbEscolas[[#This Row],[COD ETPA]],tbEtapas[],2,FALSE),"")</f>
        <v/>
      </c>
      <c r="E4258" t="str">
        <f>IFERROR(VLOOKUP(tbEscolas[[#This Row],[COD ETPA]],tbEtapas[],3,FALSE),"")</f>
        <v/>
      </c>
    </row>
    <row r="4259" spans="1:5" x14ac:dyDescent="0.25">
      <c r="A4259" t="str" cm="1">
        <f t="array" ref="A4259">IFERROR(INDEX(tbNucleo[ESCOLA],ROUNDUP(ROW(A4258)/TotalEtapas,0)),"")</f>
        <v/>
      </c>
      <c r="D4259" t="str">
        <f>IFERROR(VLOOKUP(tbEscolas[[#This Row],[COD ETPA]],tbEtapas[],2,FALSE),"")</f>
        <v/>
      </c>
      <c r="E4259" t="str">
        <f>IFERROR(VLOOKUP(tbEscolas[[#This Row],[COD ETPA]],tbEtapas[],3,FALSE),"")</f>
        <v/>
      </c>
    </row>
    <row r="4260" spans="1:5" x14ac:dyDescent="0.25">
      <c r="A4260" t="str" cm="1">
        <f t="array" ref="A4260">IFERROR(INDEX(tbNucleo[ESCOLA],ROUNDUP(ROW(A4259)/TotalEtapas,0)),"")</f>
        <v/>
      </c>
      <c r="D4260" t="str">
        <f>IFERROR(VLOOKUP(tbEscolas[[#This Row],[COD ETPA]],tbEtapas[],2,FALSE),"")</f>
        <v/>
      </c>
      <c r="E4260" t="str">
        <f>IFERROR(VLOOKUP(tbEscolas[[#This Row],[COD ETPA]],tbEtapas[],3,FALSE),"")</f>
        <v/>
      </c>
    </row>
    <row r="4261" spans="1:5" x14ac:dyDescent="0.25">
      <c r="A4261" t="str" cm="1">
        <f t="array" ref="A4261">IFERROR(INDEX(tbNucleo[ESCOLA],ROUNDUP(ROW(A4260)/TotalEtapas,0)),"")</f>
        <v/>
      </c>
      <c r="D4261" t="str">
        <f>IFERROR(VLOOKUP(tbEscolas[[#This Row],[COD ETPA]],tbEtapas[],2,FALSE),"")</f>
        <v/>
      </c>
      <c r="E4261" t="str">
        <f>IFERROR(VLOOKUP(tbEscolas[[#This Row],[COD ETPA]],tbEtapas[],3,FALSE),"")</f>
        <v/>
      </c>
    </row>
    <row r="4262" spans="1:5" x14ac:dyDescent="0.25">
      <c r="A4262" t="str" cm="1">
        <f t="array" ref="A4262">IFERROR(INDEX(tbNucleo[ESCOLA],ROUNDUP(ROW(A4261)/TotalEtapas,0)),"")</f>
        <v/>
      </c>
      <c r="D4262" t="str">
        <f>IFERROR(VLOOKUP(tbEscolas[[#This Row],[COD ETPA]],tbEtapas[],2,FALSE),"")</f>
        <v/>
      </c>
      <c r="E4262" t="str">
        <f>IFERROR(VLOOKUP(tbEscolas[[#This Row],[COD ETPA]],tbEtapas[],3,FALSE),"")</f>
        <v/>
      </c>
    </row>
    <row r="4263" spans="1:5" x14ac:dyDescent="0.25">
      <c r="A4263" t="str" cm="1">
        <f t="array" ref="A4263">IFERROR(INDEX(tbNucleo[ESCOLA],ROUNDUP(ROW(A4262)/TotalEtapas,0)),"")</f>
        <v/>
      </c>
      <c r="D4263" t="str">
        <f>IFERROR(VLOOKUP(tbEscolas[[#This Row],[COD ETPA]],tbEtapas[],2,FALSE),"")</f>
        <v/>
      </c>
      <c r="E4263" t="str">
        <f>IFERROR(VLOOKUP(tbEscolas[[#This Row],[COD ETPA]],tbEtapas[],3,FALSE),"")</f>
        <v/>
      </c>
    </row>
    <row r="4264" spans="1:5" x14ac:dyDescent="0.25">
      <c r="A4264" t="str" cm="1">
        <f t="array" ref="A4264">IFERROR(INDEX(tbNucleo[ESCOLA],ROUNDUP(ROW(A4263)/TotalEtapas,0)),"")</f>
        <v/>
      </c>
      <c r="D4264" t="str">
        <f>IFERROR(VLOOKUP(tbEscolas[[#This Row],[COD ETPA]],tbEtapas[],2,FALSE),"")</f>
        <v/>
      </c>
      <c r="E4264" t="str">
        <f>IFERROR(VLOOKUP(tbEscolas[[#This Row],[COD ETPA]],tbEtapas[],3,FALSE),"")</f>
        <v/>
      </c>
    </row>
    <row r="4265" spans="1:5" x14ac:dyDescent="0.25">
      <c r="A4265" t="str" cm="1">
        <f t="array" ref="A4265">IFERROR(INDEX(tbNucleo[ESCOLA],ROUNDUP(ROW(A4264)/TotalEtapas,0)),"")</f>
        <v/>
      </c>
      <c r="D4265" t="str">
        <f>IFERROR(VLOOKUP(tbEscolas[[#This Row],[COD ETPA]],tbEtapas[],2,FALSE),"")</f>
        <v/>
      </c>
      <c r="E4265" t="str">
        <f>IFERROR(VLOOKUP(tbEscolas[[#This Row],[COD ETPA]],tbEtapas[],3,FALSE),"")</f>
        <v/>
      </c>
    </row>
    <row r="4266" spans="1:5" x14ac:dyDescent="0.25">
      <c r="A4266" t="str" cm="1">
        <f t="array" ref="A4266">IFERROR(INDEX(tbNucleo[ESCOLA],ROUNDUP(ROW(A4265)/TotalEtapas,0)),"")</f>
        <v/>
      </c>
      <c r="D4266" t="str">
        <f>IFERROR(VLOOKUP(tbEscolas[[#This Row],[COD ETPA]],tbEtapas[],2,FALSE),"")</f>
        <v/>
      </c>
      <c r="E4266" t="str">
        <f>IFERROR(VLOOKUP(tbEscolas[[#This Row],[COD ETPA]],tbEtapas[],3,FALSE),"")</f>
        <v/>
      </c>
    </row>
    <row r="4267" spans="1:5" x14ac:dyDescent="0.25">
      <c r="A4267" t="str" cm="1">
        <f t="array" ref="A4267">IFERROR(INDEX(tbNucleo[ESCOLA],ROUNDUP(ROW(A4266)/TotalEtapas,0)),"")</f>
        <v/>
      </c>
      <c r="D4267" t="str">
        <f>IFERROR(VLOOKUP(tbEscolas[[#This Row],[COD ETPA]],tbEtapas[],2,FALSE),"")</f>
        <v/>
      </c>
      <c r="E4267" t="str">
        <f>IFERROR(VLOOKUP(tbEscolas[[#This Row],[COD ETPA]],tbEtapas[],3,FALSE),"")</f>
        <v/>
      </c>
    </row>
    <row r="4268" spans="1:5" x14ac:dyDescent="0.25">
      <c r="A4268" t="str" cm="1">
        <f t="array" ref="A4268">IFERROR(INDEX(tbNucleo[ESCOLA],ROUNDUP(ROW(A4267)/TotalEtapas,0)),"")</f>
        <v/>
      </c>
      <c r="D4268" t="str">
        <f>IFERROR(VLOOKUP(tbEscolas[[#This Row],[COD ETPA]],tbEtapas[],2,FALSE),"")</f>
        <v/>
      </c>
      <c r="E4268" t="str">
        <f>IFERROR(VLOOKUP(tbEscolas[[#This Row],[COD ETPA]],tbEtapas[],3,FALSE),"")</f>
        <v/>
      </c>
    </row>
    <row r="4269" spans="1:5" x14ac:dyDescent="0.25">
      <c r="A4269" t="str" cm="1">
        <f t="array" ref="A4269">IFERROR(INDEX(tbNucleo[ESCOLA],ROUNDUP(ROW(A4268)/TotalEtapas,0)),"")</f>
        <v/>
      </c>
      <c r="D4269" t="str">
        <f>IFERROR(VLOOKUP(tbEscolas[[#This Row],[COD ETPA]],tbEtapas[],2,FALSE),"")</f>
        <v/>
      </c>
      <c r="E4269" t="str">
        <f>IFERROR(VLOOKUP(tbEscolas[[#This Row],[COD ETPA]],tbEtapas[],3,FALSE),"")</f>
        <v/>
      </c>
    </row>
    <row r="4270" spans="1:5" x14ac:dyDescent="0.25">
      <c r="A4270" t="str" cm="1">
        <f t="array" ref="A4270">IFERROR(INDEX(tbNucleo[ESCOLA],ROUNDUP(ROW(A4269)/TotalEtapas,0)),"")</f>
        <v/>
      </c>
      <c r="D4270" t="str">
        <f>IFERROR(VLOOKUP(tbEscolas[[#This Row],[COD ETPA]],tbEtapas[],2,FALSE),"")</f>
        <v/>
      </c>
      <c r="E4270" t="str">
        <f>IFERROR(VLOOKUP(tbEscolas[[#This Row],[COD ETPA]],tbEtapas[],3,FALSE),"")</f>
        <v/>
      </c>
    </row>
    <row r="4271" spans="1:5" x14ac:dyDescent="0.25">
      <c r="A4271" t="str" cm="1">
        <f t="array" ref="A4271">IFERROR(INDEX(tbNucleo[ESCOLA],ROUNDUP(ROW(A4270)/TotalEtapas,0)),"")</f>
        <v/>
      </c>
      <c r="D4271" t="str">
        <f>IFERROR(VLOOKUP(tbEscolas[[#This Row],[COD ETPA]],tbEtapas[],2,FALSE),"")</f>
        <v/>
      </c>
      <c r="E4271" t="str">
        <f>IFERROR(VLOOKUP(tbEscolas[[#This Row],[COD ETPA]],tbEtapas[],3,FALSE),"")</f>
        <v/>
      </c>
    </row>
    <row r="4272" spans="1:5" x14ac:dyDescent="0.25">
      <c r="A4272" t="str" cm="1">
        <f t="array" ref="A4272">IFERROR(INDEX(tbNucleo[ESCOLA],ROUNDUP(ROW(A4271)/TotalEtapas,0)),"")</f>
        <v/>
      </c>
      <c r="D4272" t="str">
        <f>IFERROR(VLOOKUP(tbEscolas[[#This Row],[COD ETPA]],tbEtapas[],2,FALSE),"")</f>
        <v/>
      </c>
      <c r="E4272" t="str">
        <f>IFERROR(VLOOKUP(tbEscolas[[#This Row],[COD ETPA]],tbEtapas[],3,FALSE),"")</f>
        <v/>
      </c>
    </row>
    <row r="4273" spans="1:5" x14ac:dyDescent="0.25">
      <c r="A4273" t="str" cm="1">
        <f t="array" ref="A4273">IFERROR(INDEX(tbNucleo[ESCOLA],ROUNDUP(ROW(A4272)/TotalEtapas,0)),"")</f>
        <v/>
      </c>
      <c r="D4273" t="str">
        <f>IFERROR(VLOOKUP(tbEscolas[[#This Row],[COD ETPA]],tbEtapas[],2,FALSE),"")</f>
        <v/>
      </c>
      <c r="E4273" t="str">
        <f>IFERROR(VLOOKUP(tbEscolas[[#This Row],[COD ETPA]],tbEtapas[],3,FALSE),"")</f>
        <v/>
      </c>
    </row>
    <row r="4274" spans="1:5" x14ac:dyDescent="0.25">
      <c r="A4274" t="str" cm="1">
        <f t="array" ref="A4274">IFERROR(INDEX(tbNucleo[ESCOLA],ROUNDUP(ROW(A4273)/TotalEtapas,0)),"")</f>
        <v/>
      </c>
      <c r="D4274" t="str">
        <f>IFERROR(VLOOKUP(tbEscolas[[#This Row],[COD ETPA]],tbEtapas[],2,FALSE),"")</f>
        <v/>
      </c>
      <c r="E4274" t="str">
        <f>IFERROR(VLOOKUP(tbEscolas[[#This Row],[COD ETPA]],tbEtapas[],3,FALSE),"")</f>
        <v/>
      </c>
    </row>
    <row r="4275" spans="1:5" x14ac:dyDescent="0.25">
      <c r="A4275" t="str" cm="1">
        <f t="array" ref="A4275">IFERROR(INDEX(tbNucleo[ESCOLA],ROUNDUP(ROW(A4274)/TotalEtapas,0)),"")</f>
        <v/>
      </c>
      <c r="D4275" t="str">
        <f>IFERROR(VLOOKUP(tbEscolas[[#This Row],[COD ETPA]],tbEtapas[],2,FALSE),"")</f>
        <v/>
      </c>
      <c r="E4275" t="str">
        <f>IFERROR(VLOOKUP(tbEscolas[[#This Row],[COD ETPA]],tbEtapas[],3,FALSE),"")</f>
        <v/>
      </c>
    </row>
    <row r="4276" spans="1:5" x14ac:dyDescent="0.25">
      <c r="A4276" t="str" cm="1">
        <f t="array" ref="A4276">IFERROR(INDEX(tbNucleo[ESCOLA],ROUNDUP(ROW(A4275)/TotalEtapas,0)),"")</f>
        <v/>
      </c>
      <c r="D4276" t="str">
        <f>IFERROR(VLOOKUP(tbEscolas[[#This Row],[COD ETPA]],tbEtapas[],2,FALSE),"")</f>
        <v/>
      </c>
      <c r="E4276" t="str">
        <f>IFERROR(VLOOKUP(tbEscolas[[#This Row],[COD ETPA]],tbEtapas[],3,FALSE),"")</f>
        <v/>
      </c>
    </row>
    <row r="4277" spans="1:5" x14ac:dyDescent="0.25">
      <c r="A4277" t="str" cm="1">
        <f t="array" ref="A4277">IFERROR(INDEX(tbNucleo[ESCOLA],ROUNDUP(ROW(A4276)/TotalEtapas,0)),"")</f>
        <v/>
      </c>
      <c r="D4277" t="str">
        <f>IFERROR(VLOOKUP(tbEscolas[[#This Row],[COD ETPA]],tbEtapas[],2,FALSE),"")</f>
        <v/>
      </c>
      <c r="E4277" t="str">
        <f>IFERROR(VLOOKUP(tbEscolas[[#This Row],[COD ETPA]],tbEtapas[],3,FALSE),"")</f>
        <v/>
      </c>
    </row>
    <row r="4278" spans="1:5" x14ac:dyDescent="0.25">
      <c r="A4278" t="str" cm="1">
        <f t="array" ref="A4278">IFERROR(INDEX(tbNucleo[ESCOLA],ROUNDUP(ROW(A4277)/TotalEtapas,0)),"")</f>
        <v/>
      </c>
      <c r="D4278" t="str">
        <f>IFERROR(VLOOKUP(tbEscolas[[#This Row],[COD ETPA]],tbEtapas[],2,FALSE),"")</f>
        <v/>
      </c>
      <c r="E4278" t="str">
        <f>IFERROR(VLOOKUP(tbEscolas[[#This Row],[COD ETPA]],tbEtapas[],3,FALSE),"")</f>
        <v/>
      </c>
    </row>
    <row r="4279" spans="1:5" x14ac:dyDescent="0.25">
      <c r="A4279" t="str" cm="1">
        <f t="array" ref="A4279">IFERROR(INDEX(tbNucleo[ESCOLA],ROUNDUP(ROW(A4278)/TotalEtapas,0)),"")</f>
        <v/>
      </c>
      <c r="D4279" t="str">
        <f>IFERROR(VLOOKUP(tbEscolas[[#This Row],[COD ETPA]],tbEtapas[],2,FALSE),"")</f>
        <v/>
      </c>
      <c r="E4279" t="str">
        <f>IFERROR(VLOOKUP(tbEscolas[[#This Row],[COD ETPA]],tbEtapas[],3,FALSE),"")</f>
        <v/>
      </c>
    </row>
    <row r="4280" spans="1:5" x14ac:dyDescent="0.25">
      <c r="A4280" t="str" cm="1">
        <f t="array" ref="A4280">IFERROR(INDEX(tbNucleo[ESCOLA],ROUNDUP(ROW(A4279)/TotalEtapas,0)),"")</f>
        <v/>
      </c>
      <c r="D4280" t="str">
        <f>IFERROR(VLOOKUP(tbEscolas[[#This Row],[COD ETPA]],tbEtapas[],2,FALSE),"")</f>
        <v/>
      </c>
      <c r="E4280" t="str">
        <f>IFERROR(VLOOKUP(tbEscolas[[#This Row],[COD ETPA]],tbEtapas[],3,FALSE),"")</f>
        <v/>
      </c>
    </row>
    <row r="4281" spans="1:5" x14ac:dyDescent="0.25">
      <c r="A4281" t="str" cm="1">
        <f t="array" ref="A4281">IFERROR(INDEX(tbNucleo[ESCOLA],ROUNDUP(ROW(A4280)/TotalEtapas,0)),"")</f>
        <v/>
      </c>
      <c r="D4281" t="str">
        <f>IFERROR(VLOOKUP(tbEscolas[[#This Row],[COD ETPA]],tbEtapas[],2,FALSE),"")</f>
        <v/>
      </c>
      <c r="E4281" t="str">
        <f>IFERROR(VLOOKUP(tbEscolas[[#This Row],[COD ETPA]],tbEtapas[],3,FALSE),"")</f>
        <v/>
      </c>
    </row>
    <row r="4282" spans="1:5" x14ac:dyDescent="0.25">
      <c r="A4282" t="str" cm="1">
        <f t="array" ref="A4282">IFERROR(INDEX(tbNucleo[ESCOLA],ROUNDUP(ROW(A4281)/TotalEtapas,0)),"")</f>
        <v/>
      </c>
      <c r="D4282" t="str">
        <f>IFERROR(VLOOKUP(tbEscolas[[#This Row],[COD ETPA]],tbEtapas[],2,FALSE),"")</f>
        <v/>
      </c>
      <c r="E4282" t="str">
        <f>IFERROR(VLOOKUP(tbEscolas[[#This Row],[COD ETPA]],tbEtapas[],3,FALSE),"")</f>
        <v/>
      </c>
    </row>
    <row r="4283" spans="1:5" x14ac:dyDescent="0.25">
      <c r="A4283" t="str" cm="1">
        <f t="array" ref="A4283">IFERROR(INDEX(tbNucleo[ESCOLA],ROUNDUP(ROW(A4282)/TotalEtapas,0)),"")</f>
        <v/>
      </c>
      <c r="D4283" t="str">
        <f>IFERROR(VLOOKUP(tbEscolas[[#This Row],[COD ETPA]],tbEtapas[],2,FALSE),"")</f>
        <v/>
      </c>
      <c r="E4283" t="str">
        <f>IFERROR(VLOOKUP(tbEscolas[[#This Row],[COD ETPA]],tbEtapas[],3,FALSE),"")</f>
        <v/>
      </c>
    </row>
    <row r="4284" spans="1:5" x14ac:dyDescent="0.25">
      <c r="A4284" t="str" cm="1">
        <f t="array" ref="A4284">IFERROR(INDEX(tbNucleo[ESCOLA],ROUNDUP(ROW(A4283)/TotalEtapas,0)),"")</f>
        <v/>
      </c>
      <c r="D4284" t="str">
        <f>IFERROR(VLOOKUP(tbEscolas[[#This Row],[COD ETPA]],tbEtapas[],2,FALSE),"")</f>
        <v/>
      </c>
      <c r="E4284" t="str">
        <f>IFERROR(VLOOKUP(tbEscolas[[#This Row],[COD ETPA]],tbEtapas[],3,FALSE),"")</f>
        <v/>
      </c>
    </row>
    <row r="4285" spans="1:5" x14ac:dyDescent="0.25">
      <c r="A4285" t="str" cm="1">
        <f t="array" ref="A4285">IFERROR(INDEX(tbNucleo[ESCOLA],ROUNDUP(ROW(A4284)/TotalEtapas,0)),"")</f>
        <v/>
      </c>
      <c r="D4285" t="str">
        <f>IFERROR(VLOOKUP(tbEscolas[[#This Row],[COD ETPA]],tbEtapas[],2,FALSE),"")</f>
        <v/>
      </c>
      <c r="E4285" t="str">
        <f>IFERROR(VLOOKUP(tbEscolas[[#This Row],[COD ETPA]],tbEtapas[],3,FALSE),"")</f>
        <v/>
      </c>
    </row>
    <row r="4286" spans="1:5" x14ac:dyDescent="0.25">
      <c r="A4286" t="str" cm="1">
        <f t="array" ref="A4286">IFERROR(INDEX(tbNucleo[ESCOLA],ROUNDUP(ROW(A4285)/TotalEtapas,0)),"")</f>
        <v/>
      </c>
      <c r="D4286" t="str">
        <f>IFERROR(VLOOKUP(tbEscolas[[#This Row],[COD ETPA]],tbEtapas[],2,FALSE),"")</f>
        <v/>
      </c>
      <c r="E4286" t="str">
        <f>IFERROR(VLOOKUP(tbEscolas[[#This Row],[COD ETPA]],tbEtapas[],3,FALSE),"")</f>
        <v/>
      </c>
    </row>
    <row r="4287" spans="1:5" x14ac:dyDescent="0.25">
      <c r="A4287" t="str" cm="1">
        <f t="array" ref="A4287">IFERROR(INDEX(tbNucleo[ESCOLA],ROUNDUP(ROW(A4286)/TotalEtapas,0)),"")</f>
        <v/>
      </c>
      <c r="D4287" t="str">
        <f>IFERROR(VLOOKUP(tbEscolas[[#This Row],[COD ETPA]],tbEtapas[],2,FALSE),"")</f>
        <v/>
      </c>
      <c r="E4287" t="str">
        <f>IFERROR(VLOOKUP(tbEscolas[[#This Row],[COD ETPA]],tbEtapas[],3,FALSE),"")</f>
        <v/>
      </c>
    </row>
    <row r="4288" spans="1:5" x14ac:dyDescent="0.25">
      <c r="A4288" t="str" cm="1">
        <f t="array" ref="A4288">IFERROR(INDEX(tbNucleo[ESCOLA],ROUNDUP(ROW(A4287)/TotalEtapas,0)),"")</f>
        <v/>
      </c>
      <c r="D4288" t="str">
        <f>IFERROR(VLOOKUP(tbEscolas[[#This Row],[COD ETPA]],tbEtapas[],2,FALSE),"")</f>
        <v/>
      </c>
      <c r="E4288" t="str">
        <f>IFERROR(VLOOKUP(tbEscolas[[#This Row],[COD ETPA]],tbEtapas[],3,FALSE),"")</f>
        <v/>
      </c>
    </row>
    <row r="4289" spans="1:5" x14ac:dyDescent="0.25">
      <c r="A4289" t="str" cm="1">
        <f t="array" ref="A4289">IFERROR(INDEX(tbNucleo[ESCOLA],ROUNDUP(ROW(A4288)/TotalEtapas,0)),"")</f>
        <v/>
      </c>
      <c r="D4289" t="str">
        <f>IFERROR(VLOOKUP(tbEscolas[[#This Row],[COD ETPA]],tbEtapas[],2,FALSE),"")</f>
        <v/>
      </c>
      <c r="E4289" t="str">
        <f>IFERROR(VLOOKUP(tbEscolas[[#This Row],[COD ETPA]],tbEtapas[],3,FALSE),"")</f>
        <v/>
      </c>
    </row>
    <row r="4290" spans="1:5" x14ac:dyDescent="0.25">
      <c r="A4290" t="str" cm="1">
        <f t="array" ref="A4290">IFERROR(INDEX(tbNucleo[ESCOLA],ROUNDUP(ROW(A4289)/TotalEtapas,0)),"")</f>
        <v/>
      </c>
      <c r="D4290" t="str">
        <f>IFERROR(VLOOKUP(tbEscolas[[#This Row],[COD ETPA]],tbEtapas[],2,FALSE),"")</f>
        <v/>
      </c>
      <c r="E4290" t="str">
        <f>IFERROR(VLOOKUP(tbEscolas[[#This Row],[COD ETPA]],tbEtapas[],3,FALSE),"")</f>
        <v/>
      </c>
    </row>
    <row r="4291" spans="1:5" x14ac:dyDescent="0.25">
      <c r="A4291" t="str" cm="1">
        <f t="array" ref="A4291">IFERROR(INDEX(tbNucleo[ESCOLA],ROUNDUP(ROW(A4290)/TotalEtapas,0)),"")</f>
        <v/>
      </c>
      <c r="D4291" t="str">
        <f>IFERROR(VLOOKUP(tbEscolas[[#This Row],[COD ETPA]],tbEtapas[],2,FALSE),"")</f>
        <v/>
      </c>
      <c r="E4291" t="str">
        <f>IFERROR(VLOOKUP(tbEscolas[[#This Row],[COD ETPA]],tbEtapas[],3,FALSE),"")</f>
        <v/>
      </c>
    </row>
    <row r="4292" spans="1:5" x14ac:dyDescent="0.25">
      <c r="A4292" t="str" cm="1">
        <f t="array" ref="A4292">IFERROR(INDEX(tbNucleo[ESCOLA],ROUNDUP(ROW(A4291)/TotalEtapas,0)),"")</f>
        <v/>
      </c>
      <c r="D4292" t="str">
        <f>IFERROR(VLOOKUP(tbEscolas[[#This Row],[COD ETPA]],tbEtapas[],2,FALSE),"")</f>
        <v/>
      </c>
      <c r="E4292" t="str">
        <f>IFERROR(VLOOKUP(tbEscolas[[#This Row],[COD ETPA]],tbEtapas[],3,FALSE),"")</f>
        <v/>
      </c>
    </row>
    <row r="4293" spans="1:5" x14ac:dyDescent="0.25">
      <c r="A4293" t="str" cm="1">
        <f t="array" ref="A4293">IFERROR(INDEX(tbNucleo[ESCOLA],ROUNDUP(ROW(A4292)/TotalEtapas,0)),"")</f>
        <v/>
      </c>
      <c r="D4293" t="str">
        <f>IFERROR(VLOOKUP(tbEscolas[[#This Row],[COD ETPA]],tbEtapas[],2,FALSE),"")</f>
        <v/>
      </c>
      <c r="E4293" t="str">
        <f>IFERROR(VLOOKUP(tbEscolas[[#This Row],[COD ETPA]],tbEtapas[],3,FALSE),"")</f>
        <v/>
      </c>
    </row>
    <row r="4294" spans="1:5" x14ac:dyDescent="0.25">
      <c r="A4294" t="str" cm="1">
        <f t="array" ref="A4294">IFERROR(INDEX(tbNucleo[ESCOLA],ROUNDUP(ROW(A4293)/TotalEtapas,0)),"")</f>
        <v/>
      </c>
      <c r="D4294" t="str">
        <f>IFERROR(VLOOKUP(tbEscolas[[#This Row],[COD ETPA]],tbEtapas[],2,FALSE),"")</f>
        <v/>
      </c>
      <c r="E4294" t="str">
        <f>IFERROR(VLOOKUP(tbEscolas[[#This Row],[COD ETPA]],tbEtapas[],3,FALSE),"")</f>
        <v/>
      </c>
    </row>
    <row r="4295" spans="1:5" x14ac:dyDescent="0.25">
      <c r="A4295" t="str" cm="1">
        <f t="array" ref="A4295">IFERROR(INDEX(tbNucleo[ESCOLA],ROUNDUP(ROW(A4294)/TotalEtapas,0)),"")</f>
        <v/>
      </c>
      <c r="D4295" t="str">
        <f>IFERROR(VLOOKUP(tbEscolas[[#This Row],[COD ETPA]],tbEtapas[],2,FALSE),"")</f>
        <v/>
      </c>
      <c r="E4295" t="str">
        <f>IFERROR(VLOOKUP(tbEscolas[[#This Row],[COD ETPA]],tbEtapas[],3,FALSE),"")</f>
        <v/>
      </c>
    </row>
    <row r="4296" spans="1:5" x14ac:dyDescent="0.25">
      <c r="A4296" t="str" cm="1">
        <f t="array" ref="A4296">IFERROR(INDEX(tbNucleo[ESCOLA],ROUNDUP(ROW(A4295)/TotalEtapas,0)),"")</f>
        <v/>
      </c>
      <c r="D4296" t="str">
        <f>IFERROR(VLOOKUP(tbEscolas[[#This Row],[COD ETPA]],tbEtapas[],2,FALSE),"")</f>
        <v/>
      </c>
      <c r="E4296" t="str">
        <f>IFERROR(VLOOKUP(tbEscolas[[#This Row],[COD ETPA]],tbEtapas[],3,FALSE),"")</f>
        <v/>
      </c>
    </row>
    <row r="4297" spans="1:5" x14ac:dyDescent="0.25">
      <c r="A4297" t="str" cm="1">
        <f t="array" ref="A4297">IFERROR(INDEX(tbNucleo[ESCOLA],ROUNDUP(ROW(A4296)/TotalEtapas,0)),"")</f>
        <v/>
      </c>
      <c r="D4297" t="str">
        <f>IFERROR(VLOOKUP(tbEscolas[[#This Row],[COD ETPA]],tbEtapas[],2,FALSE),"")</f>
        <v/>
      </c>
      <c r="E4297" t="str">
        <f>IFERROR(VLOOKUP(tbEscolas[[#This Row],[COD ETPA]],tbEtapas[],3,FALSE),"")</f>
        <v/>
      </c>
    </row>
    <row r="4298" spans="1:5" x14ac:dyDescent="0.25">
      <c r="A4298" t="str" cm="1">
        <f t="array" ref="A4298">IFERROR(INDEX(tbNucleo[ESCOLA],ROUNDUP(ROW(A4297)/TotalEtapas,0)),"")</f>
        <v/>
      </c>
      <c r="D4298" t="str">
        <f>IFERROR(VLOOKUP(tbEscolas[[#This Row],[COD ETPA]],tbEtapas[],2,FALSE),"")</f>
        <v/>
      </c>
      <c r="E4298" t="str">
        <f>IFERROR(VLOOKUP(tbEscolas[[#This Row],[COD ETPA]],tbEtapas[],3,FALSE),"")</f>
        <v/>
      </c>
    </row>
    <row r="4299" spans="1:5" x14ac:dyDescent="0.25">
      <c r="A4299" t="str" cm="1">
        <f t="array" ref="A4299">IFERROR(INDEX(tbNucleo[ESCOLA],ROUNDUP(ROW(A4298)/TotalEtapas,0)),"")</f>
        <v/>
      </c>
      <c r="D4299" t="str">
        <f>IFERROR(VLOOKUP(tbEscolas[[#This Row],[COD ETPA]],tbEtapas[],2,FALSE),"")</f>
        <v/>
      </c>
      <c r="E4299" t="str">
        <f>IFERROR(VLOOKUP(tbEscolas[[#This Row],[COD ETPA]],tbEtapas[],3,FALSE),"")</f>
        <v/>
      </c>
    </row>
    <row r="4300" spans="1:5" x14ac:dyDescent="0.25">
      <c r="A4300" t="str" cm="1">
        <f t="array" ref="A4300">IFERROR(INDEX(tbNucleo[ESCOLA],ROUNDUP(ROW(A4299)/TotalEtapas,0)),"")</f>
        <v/>
      </c>
      <c r="D4300" t="str">
        <f>IFERROR(VLOOKUP(tbEscolas[[#This Row],[COD ETPA]],tbEtapas[],2,FALSE),"")</f>
        <v/>
      </c>
      <c r="E4300" t="str">
        <f>IFERROR(VLOOKUP(tbEscolas[[#This Row],[COD ETPA]],tbEtapas[],3,FALSE),"")</f>
        <v/>
      </c>
    </row>
    <row r="4301" spans="1:5" x14ac:dyDescent="0.25">
      <c r="A4301" t="str" cm="1">
        <f t="array" ref="A4301">IFERROR(INDEX(tbNucleo[ESCOLA],ROUNDUP(ROW(A4300)/TotalEtapas,0)),"")</f>
        <v/>
      </c>
      <c r="D4301" t="str">
        <f>IFERROR(VLOOKUP(tbEscolas[[#This Row],[COD ETPA]],tbEtapas[],2,FALSE),"")</f>
        <v/>
      </c>
      <c r="E4301" t="str">
        <f>IFERROR(VLOOKUP(tbEscolas[[#This Row],[COD ETPA]],tbEtapas[],3,FALSE),"")</f>
        <v/>
      </c>
    </row>
    <row r="4302" spans="1:5" x14ac:dyDescent="0.25">
      <c r="A4302" t="str" cm="1">
        <f t="array" ref="A4302">IFERROR(INDEX(tbNucleo[ESCOLA],ROUNDUP(ROW(A4301)/TotalEtapas,0)),"")</f>
        <v/>
      </c>
      <c r="D4302" t="str">
        <f>IFERROR(VLOOKUP(tbEscolas[[#This Row],[COD ETPA]],tbEtapas[],2,FALSE),"")</f>
        <v/>
      </c>
      <c r="E4302" t="str">
        <f>IFERROR(VLOOKUP(tbEscolas[[#This Row],[COD ETPA]],tbEtapas[],3,FALSE),"")</f>
        <v/>
      </c>
    </row>
    <row r="4303" spans="1:5" x14ac:dyDescent="0.25">
      <c r="A4303" t="str" cm="1">
        <f t="array" ref="A4303">IFERROR(INDEX(tbNucleo[ESCOLA],ROUNDUP(ROW(A4302)/TotalEtapas,0)),"")</f>
        <v/>
      </c>
      <c r="D4303" t="str">
        <f>IFERROR(VLOOKUP(tbEscolas[[#This Row],[COD ETPA]],tbEtapas[],2,FALSE),"")</f>
        <v/>
      </c>
      <c r="E4303" t="str">
        <f>IFERROR(VLOOKUP(tbEscolas[[#This Row],[COD ETPA]],tbEtapas[],3,FALSE),"")</f>
        <v/>
      </c>
    </row>
    <row r="4304" spans="1:5" x14ac:dyDescent="0.25">
      <c r="A4304" t="str" cm="1">
        <f t="array" ref="A4304">IFERROR(INDEX(tbNucleo[ESCOLA],ROUNDUP(ROW(A4303)/TotalEtapas,0)),"")</f>
        <v/>
      </c>
      <c r="D4304" t="str">
        <f>IFERROR(VLOOKUP(tbEscolas[[#This Row],[COD ETPA]],tbEtapas[],2,FALSE),"")</f>
        <v/>
      </c>
      <c r="E4304" t="str">
        <f>IFERROR(VLOOKUP(tbEscolas[[#This Row],[COD ETPA]],tbEtapas[],3,FALSE),"")</f>
        <v/>
      </c>
    </row>
    <row r="4305" spans="1:5" x14ac:dyDescent="0.25">
      <c r="A4305" t="str" cm="1">
        <f t="array" ref="A4305">IFERROR(INDEX(tbNucleo[ESCOLA],ROUNDUP(ROW(A4304)/TotalEtapas,0)),"")</f>
        <v/>
      </c>
      <c r="D4305" t="str">
        <f>IFERROR(VLOOKUP(tbEscolas[[#This Row],[COD ETPA]],tbEtapas[],2,FALSE),"")</f>
        <v/>
      </c>
      <c r="E4305" t="str">
        <f>IFERROR(VLOOKUP(tbEscolas[[#This Row],[COD ETPA]],tbEtapas[],3,FALSE),"")</f>
        <v/>
      </c>
    </row>
    <row r="4306" spans="1:5" x14ac:dyDescent="0.25">
      <c r="A4306" t="str" cm="1">
        <f t="array" ref="A4306">IFERROR(INDEX(tbNucleo[ESCOLA],ROUNDUP(ROW(A4305)/TotalEtapas,0)),"")</f>
        <v/>
      </c>
      <c r="D4306" t="str">
        <f>IFERROR(VLOOKUP(tbEscolas[[#This Row],[COD ETPA]],tbEtapas[],2,FALSE),"")</f>
        <v/>
      </c>
      <c r="E4306" t="str">
        <f>IFERROR(VLOOKUP(tbEscolas[[#This Row],[COD ETPA]],tbEtapas[],3,FALSE),"")</f>
        <v/>
      </c>
    </row>
    <row r="4307" spans="1:5" x14ac:dyDescent="0.25">
      <c r="A4307" t="str" cm="1">
        <f t="array" ref="A4307">IFERROR(INDEX(tbNucleo[ESCOLA],ROUNDUP(ROW(A4306)/TotalEtapas,0)),"")</f>
        <v/>
      </c>
      <c r="D4307" t="str">
        <f>IFERROR(VLOOKUP(tbEscolas[[#This Row],[COD ETPA]],tbEtapas[],2,FALSE),"")</f>
        <v/>
      </c>
      <c r="E4307" t="str">
        <f>IFERROR(VLOOKUP(tbEscolas[[#This Row],[COD ETPA]],tbEtapas[],3,FALSE),"")</f>
        <v/>
      </c>
    </row>
    <row r="4308" spans="1:5" x14ac:dyDescent="0.25">
      <c r="A4308" t="str" cm="1">
        <f t="array" ref="A4308">IFERROR(INDEX(tbNucleo[ESCOLA],ROUNDUP(ROW(A4307)/TotalEtapas,0)),"")</f>
        <v/>
      </c>
      <c r="D4308" t="str">
        <f>IFERROR(VLOOKUP(tbEscolas[[#This Row],[COD ETPA]],tbEtapas[],2,FALSE),"")</f>
        <v/>
      </c>
      <c r="E4308" t="str">
        <f>IFERROR(VLOOKUP(tbEscolas[[#This Row],[COD ETPA]],tbEtapas[],3,FALSE),"")</f>
        <v/>
      </c>
    </row>
    <row r="4309" spans="1:5" x14ac:dyDescent="0.25">
      <c r="A4309" t="str" cm="1">
        <f t="array" ref="A4309">IFERROR(INDEX(tbNucleo[ESCOLA],ROUNDUP(ROW(A4308)/TotalEtapas,0)),"")</f>
        <v/>
      </c>
      <c r="D4309" t="str">
        <f>IFERROR(VLOOKUP(tbEscolas[[#This Row],[COD ETPA]],tbEtapas[],2,FALSE),"")</f>
        <v/>
      </c>
      <c r="E4309" t="str">
        <f>IFERROR(VLOOKUP(tbEscolas[[#This Row],[COD ETPA]],tbEtapas[],3,FALSE),"")</f>
        <v/>
      </c>
    </row>
    <row r="4310" spans="1:5" x14ac:dyDescent="0.25">
      <c r="A4310" t="str" cm="1">
        <f t="array" ref="A4310">IFERROR(INDEX(tbNucleo[ESCOLA],ROUNDUP(ROW(A4309)/TotalEtapas,0)),"")</f>
        <v/>
      </c>
      <c r="D4310" t="str">
        <f>IFERROR(VLOOKUP(tbEscolas[[#This Row],[COD ETPA]],tbEtapas[],2,FALSE),"")</f>
        <v/>
      </c>
      <c r="E4310" t="str">
        <f>IFERROR(VLOOKUP(tbEscolas[[#This Row],[COD ETPA]],tbEtapas[],3,FALSE),"")</f>
        <v/>
      </c>
    </row>
    <row r="4311" spans="1:5" x14ac:dyDescent="0.25">
      <c r="A4311" t="str" cm="1">
        <f t="array" ref="A4311">IFERROR(INDEX(tbNucleo[ESCOLA],ROUNDUP(ROW(A4310)/TotalEtapas,0)),"")</f>
        <v/>
      </c>
      <c r="D4311" t="str">
        <f>IFERROR(VLOOKUP(tbEscolas[[#This Row],[COD ETPA]],tbEtapas[],2,FALSE),"")</f>
        <v/>
      </c>
      <c r="E4311" t="str">
        <f>IFERROR(VLOOKUP(tbEscolas[[#This Row],[COD ETPA]],tbEtapas[],3,FALSE),"")</f>
        <v/>
      </c>
    </row>
    <row r="4312" spans="1:5" x14ac:dyDescent="0.25">
      <c r="A4312" t="str" cm="1">
        <f t="array" ref="A4312">IFERROR(INDEX(tbNucleo[ESCOLA],ROUNDUP(ROW(A4311)/TotalEtapas,0)),"")</f>
        <v/>
      </c>
      <c r="D4312" t="str">
        <f>IFERROR(VLOOKUP(tbEscolas[[#This Row],[COD ETPA]],tbEtapas[],2,FALSE),"")</f>
        <v/>
      </c>
      <c r="E4312" t="str">
        <f>IFERROR(VLOOKUP(tbEscolas[[#This Row],[COD ETPA]],tbEtapas[],3,FALSE),"")</f>
        <v/>
      </c>
    </row>
    <row r="4313" spans="1:5" x14ac:dyDescent="0.25">
      <c r="A4313" t="str" cm="1">
        <f t="array" ref="A4313">IFERROR(INDEX(tbNucleo[ESCOLA],ROUNDUP(ROW(A4312)/TotalEtapas,0)),"")</f>
        <v/>
      </c>
      <c r="D4313" t="str">
        <f>IFERROR(VLOOKUP(tbEscolas[[#This Row],[COD ETPA]],tbEtapas[],2,FALSE),"")</f>
        <v/>
      </c>
      <c r="E4313" t="str">
        <f>IFERROR(VLOOKUP(tbEscolas[[#This Row],[COD ETPA]],tbEtapas[],3,FALSE),"")</f>
        <v/>
      </c>
    </row>
    <row r="4314" spans="1:5" x14ac:dyDescent="0.25">
      <c r="A4314" t="str" cm="1">
        <f t="array" ref="A4314">IFERROR(INDEX(tbNucleo[ESCOLA],ROUNDUP(ROW(A4313)/TotalEtapas,0)),"")</f>
        <v/>
      </c>
      <c r="D4314" t="str">
        <f>IFERROR(VLOOKUP(tbEscolas[[#This Row],[COD ETPA]],tbEtapas[],2,FALSE),"")</f>
        <v/>
      </c>
      <c r="E4314" t="str">
        <f>IFERROR(VLOOKUP(tbEscolas[[#This Row],[COD ETPA]],tbEtapas[],3,FALSE),"")</f>
        <v/>
      </c>
    </row>
    <row r="4315" spans="1:5" x14ac:dyDescent="0.25">
      <c r="A4315" t="str" cm="1">
        <f t="array" ref="A4315">IFERROR(INDEX(tbNucleo[ESCOLA],ROUNDUP(ROW(A4314)/TotalEtapas,0)),"")</f>
        <v/>
      </c>
      <c r="D4315" t="str">
        <f>IFERROR(VLOOKUP(tbEscolas[[#This Row],[COD ETPA]],tbEtapas[],2,FALSE),"")</f>
        <v/>
      </c>
      <c r="E4315" t="str">
        <f>IFERROR(VLOOKUP(tbEscolas[[#This Row],[COD ETPA]],tbEtapas[],3,FALSE),"")</f>
        <v/>
      </c>
    </row>
    <row r="4316" spans="1:5" x14ac:dyDescent="0.25">
      <c r="A4316" t="str" cm="1">
        <f t="array" ref="A4316">IFERROR(INDEX(tbNucleo[ESCOLA],ROUNDUP(ROW(A4315)/TotalEtapas,0)),"")</f>
        <v/>
      </c>
      <c r="D4316" t="str">
        <f>IFERROR(VLOOKUP(tbEscolas[[#This Row],[COD ETPA]],tbEtapas[],2,FALSE),"")</f>
        <v/>
      </c>
      <c r="E4316" t="str">
        <f>IFERROR(VLOOKUP(tbEscolas[[#This Row],[COD ETPA]],tbEtapas[],3,FALSE),"")</f>
        <v/>
      </c>
    </row>
    <row r="4317" spans="1:5" x14ac:dyDescent="0.25">
      <c r="A4317" t="str" cm="1">
        <f t="array" ref="A4317">IFERROR(INDEX(tbNucleo[ESCOLA],ROUNDUP(ROW(A4316)/TotalEtapas,0)),"")</f>
        <v/>
      </c>
      <c r="D4317" t="str">
        <f>IFERROR(VLOOKUP(tbEscolas[[#This Row],[COD ETPA]],tbEtapas[],2,FALSE),"")</f>
        <v/>
      </c>
      <c r="E4317" t="str">
        <f>IFERROR(VLOOKUP(tbEscolas[[#This Row],[COD ETPA]],tbEtapas[],3,FALSE),"")</f>
        <v/>
      </c>
    </row>
    <row r="4318" spans="1:5" x14ac:dyDescent="0.25">
      <c r="A4318" t="str" cm="1">
        <f t="array" ref="A4318">IFERROR(INDEX(tbNucleo[ESCOLA],ROUNDUP(ROW(A4317)/TotalEtapas,0)),"")</f>
        <v/>
      </c>
      <c r="D4318" t="str">
        <f>IFERROR(VLOOKUP(tbEscolas[[#This Row],[COD ETPA]],tbEtapas[],2,FALSE),"")</f>
        <v/>
      </c>
      <c r="E4318" t="str">
        <f>IFERROR(VLOOKUP(tbEscolas[[#This Row],[COD ETPA]],tbEtapas[],3,FALSE),"")</f>
        <v/>
      </c>
    </row>
    <row r="4319" spans="1:5" x14ac:dyDescent="0.25">
      <c r="A4319" t="str" cm="1">
        <f t="array" ref="A4319">IFERROR(INDEX(tbNucleo[ESCOLA],ROUNDUP(ROW(A4318)/TotalEtapas,0)),"")</f>
        <v/>
      </c>
      <c r="D4319" t="str">
        <f>IFERROR(VLOOKUP(tbEscolas[[#This Row],[COD ETPA]],tbEtapas[],2,FALSE),"")</f>
        <v/>
      </c>
      <c r="E4319" t="str">
        <f>IFERROR(VLOOKUP(tbEscolas[[#This Row],[COD ETPA]],tbEtapas[],3,FALSE),"")</f>
        <v/>
      </c>
    </row>
    <row r="4320" spans="1:5" x14ac:dyDescent="0.25">
      <c r="A4320" t="str" cm="1">
        <f t="array" ref="A4320">IFERROR(INDEX(tbNucleo[ESCOLA],ROUNDUP(ROW(A4319)/TotalEtapas,0)),"")</f>
        <v/>
      </c>
      <c r="D4320" t="str">
        <f>IFERROR(VLOOKUP(tbEscolas[[#This Row],[COD ETPA]],tbEtapas[],2,FALSE),"")</f>
        <v/>
      </c>
      <c r="E4320" t="str">
        <f>IFERROR(VLOOKUP(tbEscolas[[#This Row],[COD ETPA]],tbEtapas[],3,FALSE),"")</f>
        <v/>
      </c>
    </row>
    <row r="4321" spans="1:5" x14ac:dyDescent="0.25">
      <c r="A4321" t="str" cm="1">
        <f t="array" ref="A4321">IFERROR(INDEX(tbNucleo[ESCOLA],ROUNDUP(ROW(A4320)/TotalEtapas,0)),"")</f>
        <v/>
      </c>
      <c r="D4321" t="str">
        <f>IFERROR(VLOOKUP(tbEscolas[[#This Row],[COD ETPA]],tbEtapas[],2,FALSE),"")</f>
        <v/>
      </c>
      <c r="E4321" t="str">
        <f>IFERROR(VLOOKUP(tbEscolas[[#This Row],[COD ETPA]],tbEtapas[],3,FALSE),"")</f>
        <v/>
      </c>
    </row>
    <row r="4322" spans="1:5" x14ac:dyDescent="0.25">
      <c r="A4322" t="str" cm="1">
        <f t="array" ref="A4322">IFERROR(INDEX(tbNucleo[ESCOLA],ROUNDUP(ROW(A4321)/TotalEtapas,0)),"")</f>
        <v/>
      </c>
      <c r="D4322" t="str">
        <f>IFERROR(VLOOKUP(tbEscolas[[#This Row],[COD ETPA]],tbEtapas[],2,FALSE),"")</f>
        <v/>
      </c>
      <c r="E4322" t="str">
        <f>IFERROR(VLOOKUP(tbEscolas[[#This Row],[COD ETPA]],tbEtapas[],3,FALSE),"")</f>
        <v/>
      </c>
    </row>
    <row r="4323" spans="1:5" x14ac:dyDescent="0.25">
      <c r="A4323" t="str" cm="1">
        <f t="array" ref="A4323">IFERROR(INDEX(tbNucleo[ESCOLA],ROUNDUP(ROW(A4322)/TotalEtapas,0)),"")</f>
        <v/>
      </c>
      <c r="D4323" t="str">
        <f>IFERROR(VLOOKUP(tbEscolas[[#This Row],[COD ETPA]],tbEtapas[],2,FALSE),"")</f>
        <v/>
      </c>
      <c r="E4323" t="str">
        <f>IFERROR(VLOOKUP(tbEscolas[[#This Row],[COD ETPA]],tbEtapas[],3,FALSE),"")</f>
        <v/>
      </c>
    </row>
    <row r="4324" spans="1:5" x14ac:dyDescent="0.25">
      <c r="A4324" t="str" cm="1">
        <f t="array" ref="A4324">IFERROR(INDEX(tbNucleo[ESCOLA],ROUNDUP(ROW(A4323)/TotalEtapas,0)),"")</f>
        <v/>
      </c>
      <c r="D4324" t="str">
        <f>IFERROR(VLOOKUP(tbEscolas[[#This Row],[COD ETPA]],tbEtapas[],2,FALSE),"")</f>
        <v/>
      </c>
      <c r="E4324" t="str">
        <f>IFERROR(VLOOKUP(tbEscolas[[#This Row],[COD ETPA]],tbEtapas[],3,FALSE),"")</f>
        <v/>
      </c>
    </row>
    <row r="4325" spans="1:5" x14ac:dyDescent="0.25">
      <c r="A4325" t="str" cm="1">
        <f t="array" ref="A4325">IFERROR(INDEX(tbNucleo[ESCOLA],ROUNDUP(ROW(A4324)/TotalEtapas,0)),"")</f>
        <v/>
      </c>
      <c r="D4325" t="str">
        <f>IFERROR(VLOOKUP(tbEscolas[[#This Row],[COD ETPA]],tbEtapas[],2,FALSE),"")</f>
        <v/>
      </c>
      <c r="E4325" t="str">
        <f>IFERROR(VLOOKUP(tbEscolas[[#This Row],[COD ETPA]],tbEtapas[],3,FALSE),"")</f>
        <v/>
      </c>
    </row>
    <row r="4326" spans="1:5" x14ac:dyDescent="0.25">
      <c r="A4326" t="str" cm="1">
        <f t="array" ref="A4326">IFERROR(INDEX(tbNucleo[ESCOLA],ROUNDUP(ROW(A4325)/TotalEtapas,0)),"")</f>
        <v/>
      </c>
      <c r="D4326" t="str">
        <f>IFERROR(VLOOKUP(tbEscolas[[#This Row],[COD ETPA]],tbEtapas[],2,FALSE),"")</f>
        <v/>
      </c>
      <c r="E4326" t="str">
        <f>IFERROR(VLOOKUP(tbEscolas[[#This Row],[COD ETPA]],tbEtapas[],3,FALSE),"")</f>
        <v/>
      </c>
    </row>
    <row r="4327" spans="1:5" x14ac:dyDescent="0.25">
      <c r="A4327" t="str" cm="1">
        <f t="array" ref="A4327">IFERROR(INDEX(tbNucleo[ESCOLA],ROUNDUP(ROW(A4326)/TotalEtapas,0)),"")</f>
        <v/>
      </c>
      <c r="D4327" t="str">
        <f>IFERROR(VLOOKUP(tbEscolas[[#This Row],[COD ETPA]],tbEtapas[],2,FALSE),"")</f>
        <v/>
      </c>
      <c r="E4327" t="str">
        <f>IFERROR(VLOOKUP(tbEscolas[[#This Row],[COD ETPA]],tbEtapas[],3,FALSE),"")</f>
        <v/>
      </c>
    </row>
    <row r="4328" spans="1:5" x14ac:dyDescent="0.25">
      <c r="A4328" t="str" cm="1">
        <f t="array" ref="A4328">IFERROR(INDEX(tbNucleo[ESCOLA],ROUNDUP(ROW(A4327)/TotalEtapas,0)),"")</f>
        <v/>
      </c>
      <c r="D4328" t="str">
        <f>IFERROR(VLOOKUP(tbEscolas[[#This Row],[COD ETPA]],tbEtapas[],2,FALSE),"")</f>
        <v/>
      </c>
      <c r="E4328" t="str">
        <f>IFERROR(VLOOKUP(tbEscolas[[#This Row],[COD ETPA]],tbEtapas[],3,FALSE),"")</f>
        <v/>
      </c>
    </row>
    <row r="4329" spans="1:5" x14ac:dyDescent="0.25">
      <c r="A4329" t="str" cm="1">
        <f t="array" ref="A4329">IFERROR(INDEX(tbNucleo[ESCOLA],ROUNDUP(ROW(A4328)/TotalEtapas,0)),"")</f>
        <v/>
      </c>
      <c r="D4329" t="str">
        <f>IFERROR(VLOOKUP(tbEscolas[[#This Row],[COD ETPA]],tbEtapas[],2,FALSE),"")</f>
        <v/>
      </c>
      <c r="E4329" t="str">
        <f>IFERROR(VLOOKUP(tbEscolas[[#This Row],[COD ETPA]],tbEtapas[],3,FALSE),"")</f>
        <v/>
      </c>
    </row>
    <row r="4330" spans="1:5" x14ac:dyDescent="0.25">
      <c r="A4330" t="str" cm="1">
        <f t="array" ref="A4330">IFERROR(INDEX(tbNucleo[ESCOLA],ROUNDUP(ROW(A4329)/TotalEtapas,0)),"")</f>
        <v/>
      </c>
      <c r="D4330" t="str">
        <f>IFERROR(VLOOKUP(tbEscolas[[#This Row],[COD ETPA]],tbEtapas[],2,FALSE),"")</f>
        <v/>
      </c>
      <c r="E4330" t="str">
        <f>IFERROR(VLOOKUP(tbEscolas[[#This Row],[COD ETPA]],tbEtapas[],3,FALSE),"")</f>
        <v/>
      </c>
    </row>
    <row r="4331" spans="1:5" x14ac:dyDescent="0.25">
      <c r="A4331" t="str" cm="1">
        <f t="array" ref="A4331">IFERROR(INDEX(tbNucleo[ESCOLA],ROUNDUP(ROW(A4330)/TotalEtapas,0)),"")</f>
        <v/>
      </c>
      <c r="D4331" t="str">
        <f>IFERROR(VLOOKUP(tbEscolas[[#This Row],[COD ETPA]],tbEtapas[],2,FALSE),"")</f>
        <v/>
      </c>
      <c r="E4331" t="str">
        <f>IFERROR(VLOOKUP(tbEscolas[[#This Row],[COD ETPA]],tbEtapas[],3,FALSE),"")</f>
        <v/>
      </c>
    </row>
    <row r="4332" spans="1:5" x14ac:dyDescent="0.25">
      <c r="A4332" t="str" cm="1">
        <f t="array" ref="A4332">IFERROR(INDEX(tbNucleo[ESCOLA],ROUNDUP(ROW(A4331)/TotalEtapas,0)),"")</f>
        <v/>
      </c>
      <c r="D4332" t="str">
        <f>IFERROR(VLOOKUP(tbEscolas[[#This Row],[COD ETPA]],tbEtapas[],2,FALSE),"")</f>
        <v/>
      </c>
      <c r="E4332" t="str">
        <f>IFERROR(VLOOKUP(tbEscolas[[#This Row],[COD ETPA]],tbEtapas[],3,FALSE),"")</f>
        <v/>
      </c>
    </row>
    <row r="4333" spans="1:5" x14ac:dyDescent="0.25">
      <c r="A4333" t="str" cm="1">
        <f t="array" ref="A4333">IFERROR(INDEX(tbNucleo[ESCOLA],ROUNDUP(ROW(A4332)/TotalEtapas,0)),"")</f>
        <v/>
      </c>
      <c r="D4333" t="str">
        <f>IFERROR(VLOOKUP(tbEscolas[[#This Row],[COD ETPA]],tbEtapas[],2,FALSE),"")</f>
        <v/>
      </c>
      <c r="E4333" t="str">
        <f>IFERROR(VLOOKUP(tbEscolas[[#This Row],[COD ETPA]],tbEtapas[],3,FALSE),"")</f>
        <v/>
      </c>
    </row>
    <row r="4334" spans="1:5" x14ac:dyDescent="0.25">
      <c r="A4334" t="str" cm="1">
        <f t="array" ref="A4334">IFERROR(INDEX(tbNucleo[ESCOLA],ROUNDUP(ROW(A4333)/TotalEtapas,0)),"")</f>
        <v/>
      </c>
      <c r="D4334" t="str">
        <f>IFERROR(VLOOKUP(tbEscolas[[#This Row],[COD ETPA]],tbEtapas[],2,FALSE),"")</f>
        <v/>
      </c>
      <c r="E4334" t="str">
        <f>IFERROR(VLOOKUP(tbEscolas[[#This Row],[COD ETPA]],tbEtapas[],3,FALSE),"")</f>
        <v/>
      </c>
    </row>
    <row r="4335" spans="1:5" x14ac:dyDescent="0.25">
      <c r="A4335" t="str" cm="1">
        <f t="array" ref="A4335">IFERROR(INDEX(tbNucleo[ESCOLA],ROUNDUP(ROW(A4334)/TotalEtapas,0)),"")</f>
        <v/>
      </c>
      <c r="D4335" t="str">
        <f>IFERROR(VLOOKUP(tbEscolas[[#This Row],[COD ETPA]],tbEtapas[],2,FALSE),"")</f>
        <v/>
      </c>
      <c r="E4335" t="str">
        <f>IFERROR(VLOOKUP(tbEscolas[[#This Row],[COD ETPA]],tbEtapas[],3,FALSE),"")</f>
        <v/>
      </c>
    </row>
    <row r="4336" spans="1:5" x14ac:dyDescent="0.25">
      <c r="A4336" t="str" cm="1">
        <f t="array" ref="A4336">IFERROR(INDEX(tbNucleo[ESCOLA],ROUNDUP(ROW(A4335)/TotalEtapas,0)),"")</f>
        <v/>
      </c>
      <c r="D4336" t="str">
        <f>IFERROR(VLOOKUP(tbEscolas[[#This Row],[COD ETPA]],tbEtapas[],2,FALSE),"")</f>
        <v/>
      </c>
      <c r="E4336" t="str">
        <f>IFERROR(VLOOKUP(tbEscolas[[#This Row],[COD ETPA]],tbEtapas[],3,FALSE),"")</f>
        <v/>
      </c>
    </row>
    <row r="4337" spans="1:5" x14ac:dyDescent="0.25">
      <c r="A4337" t="str" cm="1">
        <f t="array" ref="A4337">IFERROR(INDEX(tbNucleo[ESCOLA],ROUNDUP(ROW(A4336)/TotalEtapas,0)),"")</f>
        <v/>
      </c>
      <c r="D4337" t="str">
        <f>IFERROR(VLOOKUP(tbEscolas[[#This Row],[COD ETPA]],tbEtapas[],2,FALSE),"")</f>
        <v/>
      </c>
      <c r="E4337" t="str">
        <f>IFERROR(VLOOKUP(tbEscolas[[#This Row],[COD ETPA]],tbEtapas[],3,FALSE),"")</f>
        <v/>
      </c>
    </row>
    <row r="4338" spans="1:5" x14ac:dyDescent="0.25">
      <c r="A4338" t="str" cm="1">
        <f t="array" ref="A4338">IFERROR(INDEX(tbNucleo[ESCOLA],ROUNDUP(ROW(A4337)/TotalEtapas,0)),"")</f>
        <v/>
      </c>
      <c r="D4338" t="str">
        <f>IFERROR(VLOOKUP(tbEscolas[[#This Row],[COD ETPA]],tbEtapas[],2,FALSE),"")</f>
        <v/>
      </c>
      <c r="E4338" t="str">
        <f>IFERROR(VLOOKUP(tbEscolas[[#This Row],[COD ETPA]],tbEtapas[],3,FALSE),"")</f>
        <v/>
      </c>
    </row>
    <row r="4339" spans="1:5" x14ac:dyDescent="0.25">
      <c r="A4339" t="str" cm="1">
        <f t="array" ref="A4339">IFERROR(INDEX(tbNucleo[ESCOLA],ROUNDUP(ROW(A4338)/TotalEtapas,0)),"")</f>
        <v/>
      </c>
      <c r="D4339" t="str">
        <f>IFERROR(VLOOKUP(tbEscolas[[#This Row],[COD ETPA]],tbEtapas[],2,FALSE),"")</f>
        <v/>
      </c>
      <c r="E4339" t="str">
        <f>IFERROR(VLOOKUP(tbEscolas[[#This Row],[COD ETPA]],tbEtapas[],3,FALSE),"")</f>
        <v/>
      </c>
    </row>
    <row r="4340" spans="1:5" x14ac:dyDescent="0.25">
      <c r="A4340" t="str" cm="1">
        <f t="array" ref="A4340">IFERROR(INDEX(tbNucleo[ESCOLA],ROUNDUP(ROW(A4339)/TotalEtapas,0)),"")</f>
        <v/>
      </c>
      <c r="D4340" t="str">
        <f>IFERROR(VLOOKUP(tbEscolas[[#This Row],[COD ETPA]],tbEtapas[],2,FALSE),"")</f>
        <v/>
      </c>
      <c r="E4340" t="str">
        <f>IFERROR(VLOOKUP(tbEscolas[[#This Row],[COD ETPA]],tbEtapas[],3,FALSE),"")</f>
        <v/>
      </c>
    </row>
    <row r="4341" spans="1:5" x14ac:dyDescent="0.25">
      <c r="A4341" t="str" cm="1">
        <f t="array" ref="A4341">IFERROR(INDEX(tbNucleo[ESCOLA],ROUNDUP(ROW(A4340)/TotalEtapas,0)),"")</f>
        <v/>
      </c>
      <c r="D4341" t="str">
        <f>IFERROR(VLOOKUP(tbEscolas[[#This Row],[COD ETPA]],tbEtapas[],2,FALSE),"")</f>
        <v/>
      </c>
      <c r="E4341" t="str">
        <f>IFERROR(VLOOKUP(tbEscolas[[#This Row],[COD ETPA]],tbEtapas[],3,FALSE),"")</f>
        <v/>
      </c>
    </row>
    <row r="4342" spans="1:5" x14ac:dyDescent="0.25">
      <c r="A4342" t="str" cm="1">
        <f t="array" ref="A4342">IFERROR(INDEX(tbNucleo[ESCOLA],ROUNDUP(ROW(A4341)/TotalEtapas,0)),"")</f>
        <v/>
      </c>
      <c r="D4342" t="str">
        <f>IFERROR(VLOOKUP(tbEscolas[[#This Row],[COD ETPA]],tbEtapas[],2,FALSE),"")</f>
        <v/>
      </c>
      <c r="E4342" t="str">
        <f>IFERROR(VLOOKUP(tbEscolas[[#This Row],[COD ETPA]],tbEtapas[],3,FALSE),"")</f>
        <v/>
      </c>
    </row>
    <row r="4343" spans="1:5" x14ac:dyDescent="0.25">
      <c r="A4343" t="str" cm="1">
        <f t="array" ref="A4343">IFERROR(INDEX(tbNucleo[ESCOLA],ROUNDUP(ROW(A4342)/TotalEtapas,0)),"")</f>
        <v/>
      </c>
      <c r="D4343" t="str">
        <f>IFERROR(VLOOKUP(tbEscolas[[#This Row],[COD ETPA]],tbEtapas[],2,FALSE),"")</f>
        <v/>
      </c>
      <c r="E4343" t="str">
        <f>IFERROR(VLOOKUP(tbEscolas[[#This Row],[COD ETPA]],tbEtapas[],3,FALSE),"")</f>
        <v/>
      </c>
    </row>
    <row r="4344" spans="1:5" x14ac:dyDescent="0.25">
      <c r="A4344" t="str" cm="1">
        <f t="array" ref="A4344">IFERROR(INDEX(tbNucleo[ESCOLA],ROUNDUP(ROW(A4343)/TotalEtapas,0)),"")</f>
        <v/>
      </c>
      <c r="D4344" t="str">
        <f>IFERROR(VLOOKUP(tbEscolas[[#This Row],[COD ETPA]],tbEtapas[],2,FALSE),"")</f>
        <v/>
      </c>
      <c r="E4344" t="str">
        <f>IFERROR(VLOOKUP(tbEscolas[[#This Row],[COD ETPA]],tbEtapas[],3,FALSE),"")</f>
        <v/>
      </c>
    </row>
    <row r="4345" spans="1:5" x14ac:dyDescent="0.25">
      <c r="A4345" t="str" cm="1">
        <f t="array" ref="A4345">IFERROR(INDEX(tbNucleo[ESCOLA],ROUNDUP(ROW(A4344)/TotalEtapas,0)),"")</f>
        <v/>
      </c>
      <c r="D4345" t="str">
        <f>IFERROR(VLOOKUP(tbEscolas[[#This Row],[COD ETPA]],tbEtapas[],2,FALSE),"")</f>
        <v/>
      </c>
      <c r="E4345" t="str">
        <f>IFERROR(VLOOKUP(tbEscolas[[#This Row],[COD ETPA]],tbEtapas[],3,FALSE),"")</f>
        <v/>
      </c>
    </row>
    <row r="4346" spans="1:5" x14ac:dyDescent="0.25">
      <c r="A4346" t="str" cm="1">
        <f t="array" ref="A4346">IFERROR(INDEX(tbNucleo[ESCOLA],ROUNDUP(ROW(A4345)/TotalEtapas,0)),"")</f>
        <v/>
      </c>
      <c r="D4346" t="str">
        <f>IFERROR(VLOOKUP(tbEscolas[[#This Row],[COD ETPA]],tbEtapas[],2,FALSE),"")</f>
        <v/>
      </c>
      <c r="E4346" t="str">
        <f>IFERROR(VLOOKUP(tbEscolas[[#This Row],[COD ETPA]],tbEtapas[],3,FALSE),"")</f>
        <v/>
      </c>
    </row>
    <row r="4347" spans="1:5" x14ac:dyDescent="0.25">
      <c r="A4347" t="str" cm="1">
        <f t="array" ref="A4347">IFERROR(INDEX(tbNucleo[ESCOLA],ROUNDUP(ROW(A4346)/TotalEtapas,0)),"")</f>
        <v/>
      </c>
      <c r="D4347" t="str">
        <f>IFERROR(VLOOKUP(tbEscolas[[#This Row],[COD ETPA]],tbEtapas[],2,FALSE),"")</f>
        <v/>
      </c>
      <c r="E4347" t="str">
        <f>IFERROR(VLOOKUP(tbEscolas[[#This Row],[COD ETPA]],tbEtapas[],3,FALSE),"")</f>
        <v/>
      </c>
    </row>
    <row r="4348" spans="1:5" x14ac:dyDescent="0.25">
      <c r="A4348" t="str" cm="1">
        <f t="array" ref="A4348">IFERROR(INDEX(tbNucleo[ESCOLA],ROUNDUP(ROW(A4347)/TotalEtapas,0)),"")</f>
        <v/>
      </c>
      <c r="D4348" t="str">
        <f>IFERROR(VLOOKUP(tbEscolas[[#This Row],[COD ETPA]],tbEtapas[],2,FALSE),"")</f>
        <v/>
      </c>
      <c r="E4348" t="str">
        <f>IFERROR(VLOOKUP(tbEscolas[[#This Row],[COD ETPA]],tbEtapas[],3,FALSE),"")</f>
        <v/>
      </c>
    </row>
    <row r="4349" spans="1:5" x14ac:dyDescent="0.25">
      <c r="A4349" t="str" cm="1">
        <f t="array" ref="A4349">IFERROR(INDEX(tbNucleo[ESCOLA],ROUNDUP(ROW(A4348)/TotalEtapas,0)),"")</f>
        <v/>
      </c>
      <c r="D4349" t="str">
        <f>IFERROR(VLOOKUP(tbEscolas[[#This Row],[COD ETPA]],tbEtapas[],2,FALSE),"")</f>
        <v/>
      </c>
      <c r="E4349" t="str">
        <f>IFERROR(VLOOKUP(tbEscolas[[#This Row],[COD ETPA]],tbEtapas[],3,FALSE),"")</f>
        <v/>
      </c>
    </row>
    <row r="4350" spans="1:5" x14ac:dyDescent="0.25">
      <c r="A4350" t="str" cm="1">
        <f t="array" ref="A4350">IFERROR(INDEX(tbNucleo[ESCOLA],ROUNDUP(ROW(A4349)/TotalEtapas,0)),"")</f>
        <v/>
      </c>
      <c r="D4350" t="str">
        <f>IFERROR(VLOOKUP(tbEscolas[[#This Row],[COD ETPA]],tbEtapas[],2,FALSE),"")</f>
        <v/>
      </c>
      <c r="E4350" t="str">
        <f>IFERROR(VLOOKUP(tbEscolas[[#This Row],[COD ETPA]],tbEtapas[],3,FALSE),"")</f>
        <v/>
      </c>
    </row>
    <row r="4351" spans="1:5" x14ac:dyDescent="0.25">
      <c r="A4351" t="str" cm="1">
        <f t="array" ref="A4351">IFERROR(INDEX(tbNucleo[ESCOLA],ROUNDUP(ROW(A4350)/TotalEtapas,0)),"")</f>
        <v/>
      </c>
      <c r="D4351" t="str">
        <f>IFERROR(VLOOKUP(tbEscolas[[#This Row],[COD ETPA]],tbEtapas[],2,FALSE),"")</f>
        <v/>
      </c>
      <c r="E4351" t="str">
        <f>IFERROR(VLOOKUP(tbEscolas[[#This Row],[COD ETPA]],tbEtapas[],3,FALSE),"")</f>
        <v/>
      </c>
    </row>
    <row r="4352" spans="1:5" x14ac:dyDescent="0.25">
      <c r="A4352" t="str" cm="1">
        <f t="array" ref="A4352">IFERROR(INDEX(tbNucleo[ESCOLA],ROUNDUP(ROW(A4351)/TotalEtapas,0)),"")</f>
        <v/>
      </c>
      <c r="D4352" t="str">
        <f>IFERROR(VLOOKUP(tbEscolas[[#This Row],[COD ETPA]],tbEtapas[],2,FALSE),"")</f>
        <v/>
      </c>
      <c r="E4352" t="str">
        <f>IFERROR(VLOOKUP(tbEscolas[[#This Row],[COD ETPA]],tbEtapas[],3,FALSE),"")</f>
        <v/>
      </c>
    </row>
    <row r="4353" spans="1:5" x14ac:dyDescent="0.25">
      <c r="A4353" t="str" cm="1">
        <f t="array" ref="A4353">IFERROR(INDEX(tbNucleo[ESCOLA],ROUNDUP(ROW(A4352)/TotalEtapas,0)),"")</f>
        <v/>
      </c>
      <c r="D4353" t="str">
        <f>IFERROR(VLOOKUP(tbEscolas[[#This Row],[COD ETPA]],tbEtapas[],2,FALSE),"")</f>
        <v/>
      </c>
      <c r="E4353" t="str">
        <f>IFERROR(VLOOKUP(tbEscolas[[#This Row],[COD ETPA]],tbEtapas[],3,FALSE),"")</f>
        <v/>
      </c>
    </row>
    <row r="4354" spans="1:5" x14ac:dyDescent="0.25">
      <c r="A4354" t="str" cm="1">
        <f t="array" ref="A4354">IFERROR(INDEX(tbNucleo[ESCOLA],ROUNDUP(ROW(A4353)/TotalEtapas,0)),"")</f>
        <v/>
      </c>
      <c r="D4354" t="str">
        <f>IFERROR(VLOOKUP(tbEscolas[[#This Row],[COD ETPA]],tbEtapas[],2,FALSE),"")</f>
        <v/>
      </c>
      <c r="E4354" t="str">
        <f>IFERROR(VLOOKUP(tbEscolas[[#This Row],[COD ETPA]],tbEtapas[],3,FALSE),"")</f>
        <v/>
      </c>
    </row>
    <row r="4355" spans="1:5" x14ac:dyDescent="0.25">
      <c r="A4355" t="str" cm="1">
        <f t="array" ref="A4355">IFERROR(INDEX(tbNucleo[ESCOLA],ROUNDUP(ROW(A4354)/TotalEtapas,0)),"")</f>
        <v/>
      </c>
      <c r="D4355" t="str">
        <f>IFERROR(VLOOKUP(tbEscolas[[#This Row],[COD ETPA]],tbEtapas[],2,FALSE),"")</f>
        <v/>
      </c>
      <c r="E4355" t="str">
        <f>IFERROR(VLOOKUP(tbEscolas[[#This Row],[COD ETPA]],tbEtapas[],3,FALSE),"")</f>
        <v/>
      </c>
    </row>
    <row r="4356" spans="1:5" x14ac:dyDescent="0.25">
      <c r="A4356" t="str" cm="1">
        <f t="array" ref="A4356">IFERROR(INDEX(tbNucleo[ESCOLA],ROUNDUP(ROW(A4355)/TotalEtapas,0)),"")</f>
        <v/>
      </c>
      <c r="D4356" t="str">
        <f>IFERROR(VLOOKUP(tbEscolas[[#This Row],[COD ETPA]],tbEtapas[],2,FALSE),"")</f>
        <v/>
      </c>
      <c r="E4356" t="str">
        <f>IFERROR(VLOOKUP(tbEscolas[[#This Row],[COD ETPA]],tbEtapas[],3,FALSE),"")</f>
        <v/>
      </c>
    </row>
    <row r="4357" spans="1:5" x14ac:dyDescent="0.25">
      <c r="A4357" t="str" cm="1">
        <f t="array" ref="A4357">IFERROR(INDEX(tbNucleo[ESCOLA],ROUNDUP(ROW(A4356)/TotalEtapas,0)),"")</f>
        <v/>
      </c>
      <c r="D4357" t="str">
        <f>IFERROR(VLOOKUP(tbEscolas[[#This Row],[COD ETPA]],tbEtapas[],2,FALSE),"")</f>
        <v/>
      </c>
      <c r="E4357" t="str">
        <f>IFERROR(VLOOKUP(tbEscolas[[#This Row],[COD ETPA]],tbEtapas[],3,FALSE),"")</f>
        <v/>
      </c>
    </row>
    <row r="4358" spans="1:5" x14ac:dyDescent="0.25">
      <c r="A4358" t="str" cm="1">
        <f t="array" ref="A4358">IFERROR(INDEX(tbNucleo[ESCOLA],ROUNDUP(ROW(A4357)/TotalEtapas,0)),"")</f>
        <v/>
      </c>
      <c r="D4358" t="str">
        <f>IFERROR(VLOOKUP(tbEscolas[[#This Row],[COD ETPA]],tbEtapas[],2,FALSE),"")</f>
        <v/>
      </c>
      <c r="E4358" t="str">
        <f>IFERROR(VLOOKUP(tbEscolas[[#This Row],[COD ETPA]],tbEtapas[],3,FALSE),"")</f>
        <v/>
      </c>
    </row>
    <row r="4359" spans="1:5" x14ac:dyDescent="0.25">
      <c r="A4359" t="str" cm="1">
        <f t="array" ref="A4359">IFERROR(INDEX(tbNucleo[ESCOLA],ROUNDUP(ROW(A4358)/TotalEtapas,0)),"")</f>
        <v/>
      </c>
      <c r="D4359" t="str">
        <f>IFERROR(VLOOKUP(tbEscolas[[#This Row],[COD ETPA]],tbEtapas[],2,FALSE),"")</f>
        <v/>
      </c>
      <c r="E4359" t="str">
        <f>IFERROR(VLOOKUP(tbEscolas[[#This Row],[COD ETPA]],tbEtapas[],3,FALSE),"")</f>
        <v/>
      </c>
    </row>
    <row r="4360" spans="1:5" x14ac:dyDescent="0.25">
      <c r="A4360" t="str" cm="1">
        <f t="array" ref="A4360">IFERROR(INDEX(tbNucleo[ESCOLA],ROUNDUP(ROW(A4359)/TotalEtapas,0)),"")</f>
        <v/>
      </c>
      <c r="D4360" t="str">
        <f>IFERROR(VLOOKUP(tbEscolas[[#This Row],[COD ETPA]],tbEtapas[],2,FALSE),"")</f>
        <v/>
      </c>
      <c r="E4360" t="str">
        <f>IFERROR(VLOOKUP(tbEscolas[[#This Row],[COD ETPA]],tbEtapas[],3,FALSE),"")</f>
        <v/>
      </c>
    </row>
    <row r="4361" spans="1:5" x14ac:dyDescent="0.25">
      <c r="A4361" t="str" cm="1">
        <f t="array" ref="A4361">IFERROR(INDEX(tbNucleo[ESCOLA],ROUNDUP(ROW(A4360)/TotalEtapas,0)),"")</f>
        <v/>
      </c>
      <c r="D4361" t="str">
        <f>IFERROR(VLOOKUP(tbEscolas[[#This Row],[COD ETPA]],tbEtapas[],2,FALSE),"")</f>
        <v/>
      </c>
      <c r="E4361" t="str">
        <f>IFERROR(VLOOKUP(tbEscolas[[#This Row],[COD ETPA]],tbEtapas[],3,FALSE),"")</f>
        <v/>
      </c>
    </row>
    <row r="4362" spans="1:5" x14ac:dyDescent="0.25">
      <c r="A4362" t="str" cm="1">
        <f t="array" ref="A4362">IFERROR(INDEX(tbNucleo[ESCOLA],ROUNDUP(ROW(A4361)/TotalEtapas,0)),"")</f>
        <v/>
      </c>
      <c r="D4362" t="str">
        <f>IFERROR(VLOOKUP(tbEscolas[[#This Row],[COD ETPA]],tbEtapas[],2,FALSE),"")</f>
        <v/>
      </c>
      <c r="E4362" t="str">
        <f>IFERROR(VLOOKUP(tbEscolas[[#This Row],[COD ETPA]],tbEtapas[],3,FALSE),"")</f>
        <v/>
      </c>
    </row>
    <row r="4363" spans="1:5" x14ac:dyDescent="0.25">
      <c r="A4363" t="str" cm="1">
        <f t="array" ref="A4363">IFERROR(INDEX(tbNucleo[ESCOLA],ROUNDUP(ROW(A4362)/TotalEtapas,0)),"")</f>
        <v/>
      </c>
      <c r="D4363" t="str">
        <f>IFERROR(VLOOKUP(tbEscolas[[#This Row],[COD ETPA]],tbEtapas[],2,FALSE),"")</f>
        <v/>
      </c>
      <c r="E4363" t="str">
        <f>IFERROR(VLOOKUP(tbEscolas[[#This Row],[COD ETPA]],tbEtapas[],3,FALSE),"")</f>
        <v/>
      </c>
    </row>
    <row r="4364" spans="1:5" x14ac:dyDescent="0.25">
      <c r="A4364" t="str" cm="1">
        <f t="array" ref="A4364">IFERROR(INDEX(tbNucleo[ESCOLA],ROUNDUP(ROW(A4363)/TotalEtapas,0)),"")</f>
        <v/>
      </c>
      <c r="D4364" t="str">
        <f>IFERROR(VLOOKUP(tbEscolas[[#This Row],[COD ETPA]],tbEtapas[],2,FALSE),"")</f>
        <v/>
      </c>
      <c r="E4364" t="str">
        <f>IFERROR(VLOOKUP(tbEscolas[[#This Row],[COD ETPA]],tbEtapas[],3,FALSE),"")</f>
        <v/>
      </c>
    </row>
    <row r="4365" spans="1:5" x14ac:dyDescent="0.25">
      <c r="A4365" t="str" cm="1">
        <f t="array" ref="A4365">IFERROR(INDEX(tbNucleo[ESCOLA],ROUNDUP(ROW(A4364)/TotalEtapas,0)),"")</f>
        <v/>
      </c>
      <c r="D4365" t="str">
        <f>IFERROR(VLOOKUP(tbEscolas[[#This Row],[COD ETPA]],tbEtapas[],2,FALSE),"")</f>
        <v/>
      </c>
      <c r="E4365" t="str">
        <f>IFERROR(VLOOKUP(tbEscolas[[#This Row],[COD ETPA]],tbEtapas[],3,FALSE),"")</f>
        <v/>
      </c>
    </row>
    <row r="4366" spans="1:5" x14ac:dyDescent="0.25">
      <c r="A4366" t="str" cm="1">
        <f t="array" ref="A4366">IFERROR(INDEX(tbNucleo[ESCOLA],ROUNDUP(ROW(A4365)/TotalEtapas,0)),"")</f>
        <v/>
      </c>
      <c r="D4366" t="str">
        <f>IFERROR(VLOOKUP(tbEscolas[[#This Row],[COD ETPA]],tbEtapas[],2,FALSE),"")</f>
        <v/>
      </c>
      <c r="E4366" t="str">
        <f>IFERROR(VLOOKUP(tbEscolas[[#This Row],[COD ETPA]],tbEtapas[],3,FALSE),"")</f>
        <v/>
      </c>
    </row>
    <row r="4367" spans="1:5" x14ac:dyDescent="0.25">
      <c r="A4367" t="str" cm="1">
        <f t="array" ref="A4367">IFERROR(INDEX(tbNucleo[ESCOLA],ROUNDUP(ROW(A4366)/TotalEtapas,0)),"")</f>
        <v/>
      </c>
      <c r="D4367" t="str">
        <f>IFERROR(VLOOKUP(tbEscolas[[#This Row],[COD ETPA]],tbEtapas[],2,FALSE),"")</f>
        <v/>
      </c>
      <c r="E4367" t="str">
        <f>IFERROR(VLOOKUP(tbEscolas[[#This Row],[COD ETPA]],tbEtapas[],3,FALSE),"")</f>
        <v/>
      </c>
    </row>
    <row r="4368" spans="1:5" x14ac:dyDescent="0.25">
      <c r="A4368" t="str" cm="1">
        <f t="array" ref="A4368">IFERROR(INDEX(tbNucleo[ESCOLA],ROUNDUP(ROW(A4367)/TotalEtapas,0)),"")</f>
        <v/>
      </c>
      <c r="D4368" t="str">
        <f>IFERROR(VLOOKUP(tbEscolas[[#This Row],[COD ETPA]],tbEtapas[],2,FALSE),"")</f>
        <v/>
      </c>
      <c r="E4368" t="str">
        <f>IFERROR(VLOOKUP(tbEscolas[[#This Row],[COD ETPA]],tbEtapas[],3,FALSE),"")</f>
        <v/>
      </c>
    </row>
    <row r="4369" spans="1:5" x14ac:dyDescent="0.25">
      <c r="A4369" t="str" cm="1">
        <f t="array" ref="A4369">IFERROR(INDEX(tbNucleo[ESCOLA],ROUNDUP(ROW(A4368)/TotalEtapas,0)),"")</f>
        <v/>
      </c>
      <c r="D4369" t="str">
        <f>IFERROR(VLOOKUP(tbEscolas[[#This Row],[COD ETPA]],tbEtapas[],2,FALSE),"")</f>
        <v/>
      </c>
      <c r="E4369" t="str">
        <f>IFERROR(VLOOKUP(tbEscolas[[#This Row],[COD ETPA]],tbEtapas[],3,FALSE),"")</f>
        <v/>
      </c>
    </row>
    <row r="4370" spans="1:5" x14ac:dyDescent="0.25">
      <c r="A4370" t="str" cm="1">
        <f t="array" ref="A4370">IFERROR(INDEX(tbNucleo[ESCOLA],ROUNDUP(ROW(A4369)/TotalEtapas,0)),"")</f>
        <v/>
      </c>
      <c r="D4370" t="str">
        <f>IFERROR(VLOOKUP(tbEscolas[[#This Row],[COD ETPA]],tbEtapas[],2,FALSE),"")</f>
        <v/>
      </c>
      <c r="E4370" t="str">
        <f>IFERROR(VLOOKUP(tbEscolas[[#This Row],[COD ETPA]],tbEtapas[],3,FALSE),"")</f>
        <v/>
      </c>
    </row>
    <row r="4371" spans="1:5" x14ac:dyDescent="0.25">
      <c r="A4371" t="str" cm="1">
        <f t="array" ref="A4371">IFERROR(INDEX(tbNucleo[ESCOLA],ROUNDUP(ROW(A4370)/TotalEtapas,0)),"")</f>
        <v/>
      </c>
      <c r="D4371" t="str">
        <f>IFERROR(VLOOKUP(tbEscolas[[#This Row],[COD ETPA]],tbEtapas[],2,FALSE),"")</f>
        <v/>
      </c>
      <c r="E4371" t="str">
        <f>IFERROR(VLOOKUP(tbEscolas[[#This Row],[COD ETPA]],tbEtapas[],3,FALSE),"")</f>
        <v/>
      </c>
    </row>
    <row r="4372" spans="1:5" x14ac:dyDescent="0.25">
      <c r="A4372" t="str" cm="1">
        <f t="array" ref="A4372">IFERROR(INDEX(tbNucleo[ESCOLA],ROUNDUP(ROW(A4371)/TotalEtapas,0)),"")</f>
        <v/>
      </c>
      <c r="D4372" t="str">
        <f>IFERROR(VLOOKUP(tbEscolas[[#This Row],[COD ETPA]],tbEtapas[],2,FALSE),"")</f>
        <v/>
      </c>
      <c r="E4372" t="str">
        <f>IFERROR(VLOOKUP(tbEscolas[[#This Row],[COD ETPA]],tbEtapas[],3,FALSE),"")</f>
        <v/>
      </c>
    </row>
    <row r="4373" spans="1:5" x14ac:dyDescent="0.25">
      <c r="A4373" t="str" cm="1">
        <f t="array" ref="A4373">IFERROR(INDEX(tbNucleo[ESCOLA],ROUNDUP(ROW(A4372)/TotalEtapas,0)),"")</f>
        <v/>
      </c>
      <c r="D4373" t="str">
        <f>IFERROR(VLOOKUP(tbEscolas[[#This Row],[COD ETPA]],tbEtapas[],2,FALSE),"")</f>
        <v/>
      </c>
      <c r="E4373" t="str">
        <f>IFERROR(VLOOKUP(tbEscolas[[#This Row],[COD ETPA]],tbEtapas[],3,FALSE),"")</f>
        <v/>
      </c>
    </row>
    <row r="4374" spans="1:5" x14ac:dyDescent="0.25">
      <c r="A4374" t="str" cm="1">
        <f t="array" ref="A4374">IFERROR(INDEX(tbNucleo[ESCOLA],ROUNDUP(ROW(A4373)/TotalEtapas,0)),"")</f>
        <v/>
      </c>
      <c r="D4374" t="str">
        <f>IFERROR(VLOOKUP(tbEscolas[[#This Row],[COD ETPA]],tbEtapas[],2,FALSE),"")</f>
        <v/>
      </c>
      <c r="E4374" t="str">
        <f>IFERROR(VLOOKUP(tbEscolas[[#This Row],[COD ETPA]],tbEtapas[],3,FALSE),"")</f>
        <v/>
      </c>
    </row>
    <row r="4375" spans="1:5" x14ac:dyDescent="0.25">
      <c r="A4375" t="str" cm="1">
        <f t="array" ref="A4375">IFERROR(INDEX(tbNucleo[ESCOLA],ROUNDUP(ROW(A4374)/TotalEtapas,0)),"")</f>
        <v/>
      </c>
      <c r="D4375" t="str">
        <f>IFERROR(VLOOKUP(tbEscolas[[#This Row],[COD ETPA]],tbEtapas[],2,FALSE),"")</f>
        <v/>
      </c>
      <c r="E4375" t="str">
        <f>IFERROR(VLOOKUP(tbEscolas[[#This Row],[COD ETPA]],tbEtapas[],3,FALSE),"")</f>
        <v/>
      </c>
    </row>
    <row r="4376" spans="1:5" x14ac:dyDescent="0.25">
      <c r="A4376" t="str" cm="1">
        <f t="array" ref="A4376">IFERROR(INDEX(tbNucleo[ESCOLA],ROUNDUP(ROW(A4375)/TotalEtapas,0)),"")</f>
        <v/>
      </c>
      <c r="D4376" t="str">
        <f>IFERROR(VLOOKUP(tbEscolas[[#This Row],[COD ETPA]],tbEtapas[],2,FALSE),"")</f>
        <v/>
      </c>
      <c r="E4376" t="str">
        <f>IFERROR(VLOOKUP(tbEscolas[[#This Row],[COD ETPA]],tbEtapas[],3,FALSE),"")</f>
        <v/>
      </c>
    </row>
    <row r="4377" spans="1:5" x14ac:dyDescent="0.25">
      <c r="A4377" t="str" cm="1">
        <f t="array" ref="A4377">IFERROR(INDEX(tbNucleo[ESCOLA],ROUNDUP(ROW(A4376)/TotalEtapas,0)),"")</f>
        <v/>
      </c>
      <c r="D4377" t="str">
        <f>IFERROR(VLOOKUP(tbEscolas[[#This Row],[COD ETPA]],tbEtapas[],2,FALSE),"")</f>
        <v/>
      </c>
      <c r="E4377" t="str">
        <f>IFERROR(VLOOKUP(tbEscolas[[#This Row],[COD ETPA]],tbEtapas[],3,FALSE),"")</f>
        <v/>
      </c>
    </row>
    <row r="4378" spans="1:5" x14ac:dyDescent="0.25">
      <c r="A4378" t="str" cm="1">
        <f t="array" ref="A4378">IFERROR(INDEX(tbNucleo[ESCOLA],ROUNDUP(ROW(A4377)/TotalEtapas,0)),"")</f>
        <v/>
      </c>
      <c r="D4378" t="str">
        <f>IFERROR(VLOOKUP(tbEscolas[[#This Row],[COD ETPA]],tbEtapas[],2,FALSE),"")</f>
        <v/>
      </c>
      <c r="E4378" t="str">
        <f>IFERROR(VLOOKUP(tbEscolas[[#This Row],[COD ETPA]],tbEtapas[],3,FALSE),"")</f>
        <v/>
      </c>
    </row>
    <row r="4379" spans="1:5" x14ac:dyDescent="0.25">
      <c r="A4379" t="str" cm="1">
        <f t="array" ref="A4379">IFERROR(INDEX(tbNucleo[ESCOLA],ROUNDUP(ROW(A4378)/TotalEtapas,0)),"")</f>
        <v/>
      </c>
      <c r="D4379" t="str">
        <f>IFERROR(VLOOKUP(tbEscolas[[#This Row],[COD ETPA]],tbEtapas[],2,FALSE),"")</f>
        <v/>
      </c>
      <c r="E4379" t="str">
        <f>IFERROR(VLOOKUP(tbEscolas[[#This Row],[COD ETPA]],tbEtapas[],3,FALSE),"")</f>
        <v/>
      </c>
    </row>
    <row r="4380" spans="1:5" x14ac:dyDescent="0.25">
      <c r="A4380" t="str" cm="1">
        <f t="array" ref="A4380">IFERROR(INDEX(tbNucleo[ESCOLA],ROUNDUP(ROW(A4379)/TotalEtapas,0)),"")</f>
        <v/>
      </c>
      <c r="D4380" t="str">
        <f>IFERROR(VLOOKUP(tbEscolas[[#This Row],[COD ETPA]],tbEtapas[],2,FALSE),"")</f>
        <v/>
      </c>
      <c r="E4380" t="str">
        <f>IFERROR(VLOOKUP(tbEscolas[[#This Row],[COD ETPA]],tbEtapas[],3,FALSE),"")</f>
        <v/>
      </c>
    </row>
    <row r="4381" spans="1:5" x14ac:dyDescent="0.25">
      <c r="A4381" t="str" cm="1">
        <f t="array" ref="A4381">IFERROR(INDEX(tbNucleo[ESCOLA],ROUNDUP(ROW(A4380)/TotalEtapas,0)),"")</f>
        <v/>
      </c>
      <c r="D4381" t="str">
        <f>IFERROR(VLOOKUP(tbEscolas[[#This Row],[COD ETPA]],tbEtapas[],2,FALSE),"")</f>
        <v/>
      </c>
      <c r="E4381" t="str">
        <f>IFERROR(VLOOKUP(tbEscolas[[#This Row],[COD ETPA]],tbEtapas[],3,FALSE),"")</f>
        <v/>
      </c>
    </row>
    <row r="4382" spans="1:5" x14ac:dyDescent="0.25">
      <c r="A4382" t="str" cm="1">
        <f t="array" ref="A4382">IFERROR(INDEX(tbNucleo[ESCOLA],ROUNDUP(ROW(A4381)/TotalEtapas,0)),"")</f>
        <v/>
      </c>
      <c r="D4382" t="str">
        <f>IFERROR(VLOOKUP(tbEscolas[[#This Row],[COD ETPA]],tbEtapas[],2,FALSE),"")</f>
        <v/>
      </c>
      <c r="E4382" t="str">
        <f>IFERROR(VLOOKUP(tbEscolas[[#This Row],[COD ETPA]],tbEtapas[],3,FALSE),"")</f>
        <v/>
      </c>
    </row>
    <row r="4383" spans="1:5" x14ac:dyDescent="0.25">
      <c r="A4383" t="str" cm="1">
        <f t="array" ref="A4383">IFERROR(INDEX(tbNucleo[ESCOLA],ROUNDUP(ROW(A4382)/TotalEtapas,0)),"")</f>
        <v/>
      </c>
      <c r="D4383" t="str">
        <f>IFERROR(VLOOKUP(tbEscolas[[#This Row],[COD ETPA]],tbEtapas[],2,FALSE),"")</f>
        <v/>
      </c>
      <c r="E4383" t="str">
        <f>IFERROR(VLOOKUP(tbEscolas[[#This Row],[COD ETPA]],tbEtapas[],3,FALSE),"")</f>
        <v/>
      </c>
    </row>
    <row r="4384" spans="1:5" x14ac:dyDescent="0.25">
      <c r="A4384" t="str" cm="1">
        <f t="array" ref="A4384">IFERROR(INDEX(tbNucleo[ESCOLA],ROUNDUP(ROW(A4383)/TotalEtapas,0)),"")</f>
        <v/>
      </c>
      <c r="D4384" t="str">
        <f>IFERROR(VLOOKUP(tbEscolas[[#This Row],[COD ETPA]],tbEtapas[],2,FALSE),"")</f>
        <v/>
      </c>
      <c r="E4384" t="str">
        <f>IFERROR(VLOOKUP(tbEscolas[[#This Row],[COD ETPA]],tbEtapas[],3,FALSE),"")</f>
        <v/>
      </c>
    </row>
    <row r="4385" spans="1:5" x14ac:dyDescent="0.25">
      <c r="A4385" t="str" cm="1">
        <f t="array" ref="A4385">IFERROR(INDEX(tbNucleo[ESCOLA],ROUNDUP(ROW(A4384)/TotalEtapas,0)),"")</f>
        <v/>
      </c>
      <c r="D4385" t="str">
        <f>IFERROR(VLOOKUP(tbEscolas[[#This Row],[COD ETPA]],tbEtapas[],2,FALSE),"")</f>
        <v/>
      </c>
      <c r="E4385" t="str">
        <f>IFERROR(VLOOKUP(tbEscolas[[#This Row],[COD ETPA]],tbEtapas[],3,FALSE),"")</f>
        <v/>
      </c>
    </row>
    <row r="4386" spans="1:5" x14ac:dyDescent="0.25">
      <c r="A4386" t="str" cm="1">
        <f t="array" ref="A4386">IFERROR(INDEX(tbNucleo[ESCOLA],ROUNDUP(ROW(A4385)/TotalEtapas,0)),"")</f>
        <v/>
      </c>
      <c r="D4386" t="str">
        <f>IFERROR(VLOOKUP(tbEscolas[[#This Row],[COD ETPA]],tbEtapas[],2,FALSE),"")</f>
        <v/>
      </c>
      <c r="E4386" t="str">
        <f>IFERROR(VLOOKUP(tbEscolas[[#This Row],[COD ETPA]],tbEtapas[],3,FALSE),"")</f>
        <v/>
      </c>
    </row>
    <row r="4387" spans="1:5" x14ac:dyDescent="0.25">
      <c r="A4387" t="str" cm="1">
        <f t="array" ref="A4387">IFERROR(INDEX(tbNucleo[ESCOLA],ROUNDUP(ROW(A4386)/TotalEtapas,0)),"")</f>
        <v/>
      </c>
      <c r="D4387" t="str">
        <f>IFERROR(VLOOKUP(tbEscolas[[#This Row],[COD ETPA]],tbEtapas[],2,FALSE),"")</f>
        <v/>
      </c>
      <c r="E4387" t="str">
        <f>IFERROR(VLOOKUP(tbEscolas[[#This Row],[COD ETPA]],tbEtapas[],3,FALSE),"")</f>
        <v/>
      </c>
    </row>
    <row r="4388" spans="1:5" x14ac:dyDescent="0.25">
      <c r="A4388" t="str" cm="1">
        <f t="array" ref="A4388">IFERROR(INDEX(tbNucleo[ESCOLA],ROUNDUP(ROW(A4387)/TotalEtapas,0)),"")</f>
        <v/>
      </c>
      <c r="D4388" t="str">
        <f>IFERROR(VLOOKUP(tbEscolas[[#This Row],[COD ETPA]],tbEtapas[],2,FALSE),"")</f>
        <v/>
      </c>
      <c r="E4388" t="str">
        <f>IFERROR(VLOOKUP(tbEscolas[[#This Row],[COD ETPA]],tbEtapas[],3,FALSE),"")</f>
        <v/>
      </c>
    </row>
    <row r="4389" spans="1:5" x14ac:dyDescent="0.25">
      <c r="A4389" t="str" cm="1">
        <f t="array" ref="A4389">IFERROR(INDEX(tbNucleo[ESCOLA],ROUNDUP(ROW(A4388)/TotalEtapas,0)),"")</f>
        <v/>
      </c>
      <c r="D4389" t="str">
        <f>IFERROR(VLOOKUP(tbEscolas[[#This Row],[COD ETPA]],tbEtapas[],2,FALSE),"")</f>
        <v/>
      </c>
      <c r="E4389" t="str">
        <f>IFERROR(VLOOKUP(tbEscolas[[#This Row],[COD ETPA]],tbEtapas[],3,FALSE),"")</f>
        <v/>
      </c>
    </row>
    <row r="4390" spans="1:5" x14ac:dyDescent="0.25">
      <c r="A4390" t="str" cm="1">
        <f t="array" ref="A4390">IFERROR(INDEX(tbNucleo[ESCOLA],ROUNDUP(ROW(A4389)/TotalEtapas,0)),"")</f>
        <v/>
      </c>
      <c r="D4390" t="str">
        <f>IFERROR(VLOOKUP(tbEscolas[[#This Row],[COD ETPA]],tbEtapas[],2,FALSE),"")</f>
        <v/>
      </c>
      <c r="E4390" t="str">
        <f>IFERROR(VLOOKUP(tbEscolas[[#This Row],[COD ETPA]],tbEtapas[],3,FALSE),"")</f>
        <v/>
      </c>
    </row>
    <row r="4391" spans="1:5" x14ac:dyDescent="0.25">
      <c r="A4391" t="str" cm="1">
        <f t="array" ref="A4391">IFERROR(INDEX(tbNucleo[ESCOLA],ROUNDUP(ROW(A4390)/TotalEtapas,0)),"")</f>
        <v/>
      </c>
      <c r="D4391" t="str">
        <f>IFERROR(VLOOKUP(tbEscolas[[#This Row],[COD ETPA]],tbEtapas[],2,FALSE),"")</f>
        <v/>
      </c>
      <c r="E4391" t="str">
        <f>IFERROR(VLOOKUP(tbEscolas[[#This Row],[COD ETPA]],tbEtapas[],3,FALSE),"")</f>
        <v/>
      </c>
    </row>
    <row r="4392" spans="1:5" x14ac:dyDescent="0.25">
      <c r="A4392" t="str" cm="1">
        <f t="array" ref="A4392">IFERROR(INDEX(tbNucleo[ESCOLA],ROUNDUP(ROW(A4391)/TotalEtapas,0)),"")</f>
        <v/>
      </c>
      <c r="D4392" t="str">
        <f>IFERROR(VLOOKUP(tbEscolas[[#This Row],[COD ETPA]],tbEtapas[],2,FALSE),"")</f>
        <v/>
      </c>
      <c r="E4392" t="str">
        <f>IFERROR(VLOOKUP(tbEscolas[[#This Row],[COD ETPA]],tbEtapas[],3,FALSE),"")</f>
        <v/>
      </c>
    </row>
    <row r="4393" spans="1:5" x14ac:dyDescent="0.25">
      <c r="A4393" t="str" cm="1">
        <f t="array" ref="A4393">IFERROR(INDEX(tbNucleo[ESCOLA],ROUNDUP(ROW(A4392)/TotalEtapas,0)),"")</f>
        <v/>
      </c>
      <c r="D4393" t="str">
        <f>IFERROR(VLOOKUP(tbEscolas[[#This Row],[COD ETPA]],tbEtapas[],2,FALSE),"")</f>
        <v/>
      </c>
      <c r="E4393" t="str">
        <f>IFERROR(VLOOKUP(tbEscolas[[#This Row],[COD ETPA]],tbEtapas[],3,FALSE),"")</f>
        <v/>
      </c>
    </row>
    <row r="4394" spans="1:5" x14ac:dyDescent="0.25">
      <c r="A4394" t="str" cm="1">
        <f t="array" ref="A4394">IFERROR(INDEX(tbNucleo[ESCOLA],ROUNDUP(ROW(A4393)/TotalEtapas,0)),"")</f>
        <v/>
      </c>
      <c r="D4394" t="str">
        <f>IFERROR(VLOOKUP(tbEscolas[[#This Row],[COD ETPA]],tbEtapas[],2,FALSE),"")</f>
        <v/>
      </c>
      <c r="E4394" t="str">
        <f>IFERROR(VLOOKUP(tbEscolas[[#This Row],[COD ETPA]],tbEtapas[],3,FALSE),"")</f>
        <v/>
      </c>
    </row>
    <row r="4395" spans="1:5" x14ac:dyDescent="0.25">
      <c r="A4395" t="str" cm="1">
        <f t="array" ref="A4395">IFERROR(INDEX(tbNucleo[ESCOLA],ROUNDUP(ROW(A4394)/TotalEtapas,0)),"")</f>
        <v/>
      </c>
      <c r="D4395" t="str">
        <f>IFERROR(VLOOKUP(tbEscolas[[#This Row],[COD ETPA]],tbEtapas[],2,FALSE),"")</f>
        <v/>
      </c>
      <c r="E4395" t="str">
        <f>IFERROR(VLOOKUP(tbEscolas[[#This Row],[COD ETPA]],tbEtapas[],3,FALSE),"")</f>
        <v/>
      </c>
    </row>
    <row r="4396" spans="1:5" x14ac:dyDescent="0.25">
      <c r="A4396" t="str" cm="1">
        <f t="array" ref="A4396">IFERROR(INDEX(tbNucleo[ESCOLA],ROUNDUP(ROW(A4395)/TotalEtapas,0)),"")</f>
        <v/>
      </c>
      <c r="D4396" t="str">
        <f>IFERROR(VLOOKUP(tbEscolas[[#This Row],[COD ETPA]],tbEtapas[],2,FALSE),"")</f>
        <v/>
      </c>
      <c r="E4396" t="str">
        <f>IFERROR(VLOOKUP(tbEscolas[[#This Row],[COD ETPA]],tbEtapas[],3,FALSE),"")</f>
        <v/>
      </c>
    </row>
    <row r="4397" spans="1:5" x14ac:dyDescent="0.25">
      <c r="A4397" t="str" cm="1">
        <f t="array" ref="A4397">IFERROR(INDEX(tbNucleo[ESCOLA],ROUNDUP(ROW(A4396)/TotalEtapas,0)),"")</f>
        <v/>
      </c>
      <c r="D4397" t="str">
        <f>IFERROR(VLOOKUP(tbEscolas[[#This Row],[COD ETPA]],tbEtapas[],2,FALSE),"")</f>
        <v/>
      </c>
      <c r="E4397" t="str">
        <f>IFERROR(VLOOKUP(tbEscolas[[#This Row],[COD ETPA]],tbEtapas[],3,FALSE),"")</f>
        <v/>
      </c>
    </row>
    <row r="4398" spans="1:5" x14ac:dyDescent="0.25">
      <c r="A4398" t="str" cm="1">
        <f t="array" ref="A4398">IFERROR(INDEX(tbNucleo[ESCOLA],ROUNDUP(ROW(A4397)/TotalEtapas,0)),"")</f>
        <v/>
      </c>
      <c r="D4398" t="str">
        <f>IFERROR(VLOOKUP(tbEscolas[[#This Row],[COD ETPA]],tbEtapas[],2,FALSE),"")</f>
        <v/>
      </c>
      <c r="E4398" t="str">
        <f>IFERROR(VLOOKUP(tbEscolas[[#This Row],[COD ETPA]],tbEtapas[],3,FALSE),"")</f>
        <v/>
      </c>
    </row>
    <row r="4399" spans="1:5" x14ac:dyDescent="0.25">
      <c r="A4399" t="str" cm="1">
        <f t="array" ref="A4399">IFERROR(INDEX(tbNucleo[ESCOLA],ROUNDUP(ROW(A4398)/TotalEtapas,0)),"")</f>
        <v/>
      </c>
      <c r="D4399" t="str">
        <f>IFERROR(VLOOKUP(tbEscolas[[#This Row],[COD ETPA]],tbEtapas[],2,FALSE),"")</f>
        <v/>
      </c>
      <c r="E4399" t="str">
        <f>IFERROR(VLOOKUP(tbEscolas[[#This Row],[COD ETPA]],tbEtapas[],3,FALSE),"")</f>
        <v/>
      </c>
    </row>
    <row r="4400" spans="1:5" x14ac:dyDescent="0.25">
      <c r="A4400" t="str" cm="1">
        <f t="array" ref="A4400">IFERROR(INDEX(tbNucleo[ESCOLA],ROUNDUP(ROW(A4399)/TotalEtapas,0)),"")</f>
        <v/>
      </c>
      <c r="D4400" t="str">
        <f>IFERROR(VLOOKUP(tbEscolas[[#This Row],[COD ETPA]],tbEtapas[],2,FALSE),"")</f>
        <v/>
      </c>
      <c r="E4400" t="str">
        <f>IFERROR(VLOOKUP(tbEscolas[[#This Row],[COD ETPA]],tbEtapas[],3,FALSE),"")</f>
        <v/>
      </c>
    </row>
    <row r="4401" spans="1:5" x14ac:dyDescent="0.25">
      <c r="A4401" t="str" cm="1">
        <f t="array" ref="A4401">IFERROR(INDEX(tbNucleo[ESCOLA],ROUNDUP(ROW(A4400)/TotalEtapas,0)),"")</f>
        <v/>
      </c>
      <c r="D4401" t="str">
        <f>IFERROR(VLOOKUP(tbEscolas[[#This Row],[COD ETPA]],tbEtapas[],2,FALSE),"")</f>
        <v/>
      </c>
      <c r="E4401" t="str">
        <f>IFERROR(VLOOKUP(tbEscolas[[#This Row],[COD ETPA]],tbEtapas[],3,FALSE),"")</f>
        <v/>
      </c>
    </row>
    <row r="4402" spans="1:5" x14ac:dyDescent="0.25">
      <c r="A4402" t="str" cm="1">
        <f t="array" ref="A4402">IFERROR(INDEX(tbNucleo[ESCOLA],ROUNDUP(ROW(A4401)/TotalEtapas,0)),"")</f>
        <v/>
      </c>
      <c r="D4402" t="str">
        <f>IFERROR(VLOOKUP(tbEscolas[[#This Row],[COD ETPA]],tbEtapas[],2,FALSE),"")</f>
        <v/>
      </c>
      <c r="E4402" t="str">
        <f>IFERROR(VLOOKUP(tbEscolas[[#This Row],[COD ETPA]],tbEtapas[],3,FALSE),"")</f>
        <v/>
      </c>
    </row>
    <row r="4403" spans="1:5" x14ac:dyDescent="0.25">
      <c r="A4403" t="str" cm="1">
        <f t="array" ref="A4403">IFERROR(INDEX(tbNucleo[ESCOLA],ROUNDUP(ROW(A4402)/TotalEtapas,0)),"")</f>
        <v/>
      </c>
      <c r="D4403" t="str">
        <f>IFERROR(VLOOKUP(tbEscolas[[#This Row],[COD ETPA]],tbEtapas[],2,FALSE),"")</f>
        <v/>
      </c>
      <c r="E4403" t="str">
        <f>IFERROR(VLOOKUP(tbEscolas[[#This Row],[COD ETPA]],tbEtapas[],3,FALSE),"")</f>
        <v/>
      </c>
    </row>
    <row r="4404" spans="1:5" x14ac:dyDescent="0.25">
      <c r="A4404" t="str" cm="1">
        <f t="array" ref="A4404">IFERROR(INDEX(tbNucleo[ESCOLA],ROUNDUP(ROW(A4403)/TotalEtapas,0)),"")</f>
        <v/>
      </c>
      <c r="D4404" t="str">
        <f>IFERROR(VLOOKUP(tbEscolas[[#This Row],[COD ETPA]],tbEtapas[],2,FALSE),"")</f>
        <v/>
      </c>
      <c r="E4404" t="str">
        <f>IFERROR(VLOOKUP(tbEscolas[[#This Row],[COD ETPA]],tbEtapas[],3,FALSE),"")</f>
        <v/>
      </c>
    </row>
    <row r="4405" spans="1:5" x14ac:dyDescent="0.25">
      <c r="A4405" t="str" cm="1">
        <f t="array" ref="A4405">IFERROR(INDEX(tbNucleo[ESCOLA],ROUNDUP(ROW(A4404)/TotalEtapas,0)),"")</f>
        <v/>
      </c>
      <c r="D4405" t="str">
        <f>IFERROR(VLOOKUP(tbEscolas[[#This Row],[COD ETPA]],tbEtapas[],2,FALSE),"")</f>
        <v/>
      </c>
      <c r="E4405" t="str">
        <f>IFERROR(VLOOKUP(tbEscolas[[#This Row],[COD ETPA]],tbEtapas[],3,FALSE),"")</f>
        <v/>
      </c>
    </row>
    <row r="4406" spans="1:5" x14ac:dyDescent="0.25">
      <c r="A4406" t="str" cm="1">
        <f t="array" ref="A4406">IFERROR(INDEX(tbNucleo[ESCOLA],ROUNDUP(ROW(A4405)/TotalEtapas,0)),"")</f>
        <v/>
      </c>
      <c r="D4406" t="str">
        <f>IFERROR(VLOOKUP(tbEscolas[[#This Row],[COD ETPA]],tbEtapas[],2,FALSE),"")</f>
        <v/>
      </c>
      <c r="E4406" t="str">
        <f>IFERROR(VLOOKUP(tbEscolas[[#This Row],[COD ETPA]],tbEtapas[],3,FALSE),"")</f>
        <v/>
      </c>
    </row>
    <row r="4407" spans="1:5" x14ac:dyDescent="0.25">
      <c r="A4407" t="str" cm="1">
        <f t="array" ref="A4407">IFERROR(INDEX(tbNucleo[ESCOLA],ROUNDUP(ROW(A4406)/TotalEtapas,0)),"")</f>
        <v/>
      </c>
      <c r="D4407" t="str">
        <f>IFERROR(VLOOKUP(tbEscolas[[#This Row],[COD ETPA]],tbEtapas[],2,FALSE),"")</f>
        <v/>
      </c>
      <c r="E4407" t="str">
        <f>IFERROR(VLOOKUP(tbEscolas[[#This Row],[COD ETPA]],tbEtapas[],3,FALSE),"")</f>
        <v/>
      </c>
    </row>
    <row r="4408" spans="1:5" x14ac:dyDescent="0.25">
      <c r="A4408" t="str" cm="1">
        <f t="array" ref="A4408">IFERROR(INDEX(tbNucleo[ESCOLA],ROUNDUP(ROW(A4407)/TotalEtapas,0)),"")</f>
        <v/>
      </c>
      <c r="D4408" t="str">
        <f>IFERROR(VLOOKUP(tbEscolas[[#This Row],[COD ETPA]],tbEtapas[],2,FALSE),"")</f>
        <v/>
      </c>
      <c r="E4408" t="str">
        <f>IFERROR(VLOOKUP(tbEscolas[[#This Row],[COD ETPA]],tbEtapas[],3,FALSE),"")</f>
        <v/>
      </c>
    </row>
    <row r="4409" spans="1:5" x14ac:dyDescent="0.25">
      <c r="A4409" t="str" cm="1">
        <f t="array" ref="A4409">IFERROR(INDEX(tbNucleo[ESCOLA],ROUNDUP(ROW(A4408)/TotalEtapas,0)),"")</f>
        <v/>
      </c>
      <c r="D4409" t="str">
        <f>IFERROR(VLOOKUP(tbEscolas[[#This Row],[COD ETPA]],tbEtapas[],2,FALSE),"")</f>
        <v/>
      </c>
      <c r="E4409" t="str">
        <f>IFERROR(VLOOKUP(tbEscolas[[#This Row],[COD ETPA]],tbEtapas[],3,FALSE),"")</f>
        <v/>
      </c>
    </row>
    <row r="4410" spans="1:5" x14ac:dyDescent="0.25">
      <c r="A4410" t="str" cm="1">
        <f t="array" ref="A4410">IFERROR(INDEX(tbNucleo[ESCOLA],ROUNDUP(ROW(A4409)/TotalEtapas,0)),"")</f>
        <v/>
      </c>
      <c r="D4410" t="str">
        <f>IFERROR(VLOOKUP(tbEscolas[[#This Row],[COD ETPA]],tbEtapas[],2,FALSE),"")</f>
        <v/>
      </c>
      <c r="E4410" t="str">
        <f>IFERROR(VLOOKUP(tbEscolas[[#This Row],[COD ETPA]],tbEtapas[],3,FALSE),"")</f>
        <v/>
      </c>
    </row>
    <row r="4411" spans="1:5" x14ac:dyDescent="0.25">
      <c r="A4411" t="str" cm="1">
        <f t="array" ref="A4411">IFERROR(INDEX(tbNucleo[ESCOLA],ROUNDUP(ROW(A4410)/TotalEtapas,0)),"")</f>
        <v/>
      </c>
      <c r="D4411" t="str">
        <f>IFERROR(VLOOKUP(tbEscolas[[#This Row],[COD ETPA]],tbEtapas[],2,FALSE),"")</f>
        <v/>
      </c>
      <c r="E4411" t="str">
        <f>IFERROR(VLOOKUP(tbEscolas[[#This Row],[COD ETPA]],tbEtapas[],3,FALSE),"")</f>
        <v/>
      </c>
    </row>
    <row r="4412" spans="1:5" x14ac:dyDescent="0.25">
      <c r="A4412" t="str" cm="1">
        <f t="array" ref="A4412">IFERROR(INDEX(tbNucleo[ESCOLA],ROUNDUP(ROW(A4411)/TotalEtapas,0)),"")</f>
        <v/>
      </c>
      <c r="D4412" t="str">
        <f>IFERROR(VLOOKUP(tbEscolas[[#This Row],[COD ETPA]],tbEtapas[],2,FALSE),"")</f>
        <v/>
      </c>
      <c r="E4412" t="str">
        <f>IFERROR(VLOOKUP(tbEscolas[[#This Row],[COD ETPA]],tbEtapas[],3,FALSE),"")</f>
        <v/>
      </c>
    </row>
    <row r="4413" spans="1:5" x14ac:dyDescent="0.25">
      <c r="A4413" t="str" cm="1">
        <f t="array" ref="A4413">IFERROR(INDEX(tbNucleo[ESCOLA],ROUNDUP(ROW(A4412)/TotalEtapas,0)),"")</f>
        <v/>
      </c>
      <c r="D4413" t="str">
        <f>IFERROR(VLOOKUP(tbEscolas[[#This Row],[COD ETPA]],tbEtapas[],2,FALSE),"")</f>
        <v/>
      </c>
      <c r="E4413" t="str">
        <f>IFERROR(VLOOKUP(tbEscolas[[#This Row],[COD ETPA]],tbEtapas[],3,FALSE),"")</f>
        <v/>
      </c>
    </row>
    <row r="4414" spans="1:5" x14ac:dyDescent="0.25">
      <c r="A4414" t="str" cm="1">
        <f t="array" ref="A4414">IFERROR(INDEX(tbNucleo[ESCOLA],ROUNDUP(ROW(A4413)/TotalEtapas,0)),"")</f>
        <v/>
      </c>
      <c r="D4414" t="str">
        <f>IFERROR(VLOOKUP(tbEscolas[[#This Row],[COD ETPA]],tbEtapas[],2,FALSE),"")</f>
        <v/>
      </c>
      <c r="E4414" t="str">
        <f>IFERROR(VLOOKUP(tbEscolas[[#This Row],[COD ETPA]],tbEtapas[],3,FALSE),"")</f>
        <v/>
      </c>
    </row>
    <row r="4415" spans="1:5" x14ac:dyDescent="0.25">
      <c r="A4415" t="str" cm="1">
        <f t="array" ref="A4415">IFERROR(INDEX(tbNucleo[ESCOLA],ROUNDUP(ROW(A4414)/TotalEtapas,0)),"")</f>
        <v/>
      </c>
      <c r="D4415" t="str">
        <f>IFERROR(VLOOKUP(tbEscolas[[#This Row],[COD ETPA]],tbEtapas[],2,FALSE),"")</f>
        <v/>
      </c>
      <c r="E4415" t="str">
        <f>IFERROR(VLOOKUP(tbEscolas[[#This Row],[COD ETPA]],tbEtapas[],3,FALSE),"")</f>
        <v/>
      </c>
    </row>
    <row r="4416" spans="1:5" x14ac:dyDescent="0.25">
      <c r="A4416" t="str" cm="1">
        <f t="array" ref="A4416">IFERROR(INDEX(tbNucleo[ESCOLA],ROUNDUP(ROW(A4415)/TotalEtapas,0)),"")</f>
        <v/>
      </c>
      <c r="D4416" t="str">
        <f>IFERROR(VLOOKUP(tbEscolas[[#This Row],[COD ETPA]],tbEtapas[],2,FALSE),"")</f>
        <v/>
      </c>
      <c r="E4416" t="str">
        <f>IFERROR(VLOOKUP(tbEscolas[[#This Row],[COD ETPA]],tbEtapas[],3,FALSE),"")</f>
        <v/>
      </c>
    </row>
    <row r="4417" spans="1:5" x14ac:dyDescent="0.25">
      <c r="A4417" t="str" cm="1">
        <f t="array" ref="A4417">IFERROR(INDEX(tbNucleo[ESCOLA],ROUNDUP(ROW(A4416)/TotalEtapas,0)),"")</f>
        <v/>
      </c>
      <c r="D4417" t="str">
        <f>IFERROR(VLOOKUP(tbEscolas[[#This Row],[COD ETPA]],tbEtapas[],2,FALSE),"")</f>
        <v/>
      </c>
      <c r="E4417" t="str">
        <f>IFERROR(VLOOKUP(tbEscolas[[#This Row],[COD ETPA]],tbEtapas[],3,FALSE),"")</f>
        <v/>
      </c>
    </row>
    <row r="4418" spans="1:5" x14ac:dyDescent="0.25">
      <c r="A4418" t="str" cm="1">
        <f t="array" ref="A4418">IFERROR(INDEX(tbNucleo[ESCOLA],ROUNDUP(ROW(A4417)/TotalEtapas,0)),"")</f>
        <v/>
      </c>
      <c r="D4418" t="str">
        <f>IFERROR(VLOOKUP(tbEscolas[[#This Row],[COD ETPA]],tbEtapas[],2,FALSE),"")</f>
        <v/>
      </c>
      <c r="E4418" t="str">
        <f>IFERROR(VLOOKUP(tbEscolas[[#This Row],[COD ETPA]],tbEtapas[],3,FALSE),"")</f>
        <v/>
      </c>
    </row>
    <row r="4419" spans="1:5" x14ac:dyDescent="0.25">
      <c r="A4419" t="str" cm="1">
        <f t="array" ref="A4419">IFERROR(INDEX(tbNucleo[ESCOLA],ROUNDUP(ROW(A4418)/TotalEtapas,0)),"")</f>
        <v/>
      </c>
      <c r="D4419" t="str">
        <f>IFERROR(VLOOKUP(tbEscolas[[#This Row],[COD ETPA]],tbEtapas[],2,FALSE),"")</f>
        <v/>
      </c>
      <c r="E4419" t="str">
        <f>IFERROR(VLOOKUP(tbEscolas[[#This Row],[COD ETPA]],tbEtapas[],3,FALSE),"")</f>
        <v/>
      </c>
    </row>
    <row r="4420" spans="1:5" x14ac:dyDescent="0.25">
      <c r="A4420" t="str" cm="1">
        <f t="array" ref="A4420">IFERROR(INDEX(tbNucleo[ESCOLA],ROUNDUP(ROW(A4419)/TotalEtapas,0)),"")</f>
        <v/>
      </c>
      <c r="D4420" t="str">
        <f>IFERROR(VLOOKUP(tbEscolas[[#This Row],[COD ETPA]],tbEtapas[],2,FALSE),"")</f>
        <v/>
      </c>
      <c r="E4420" t="str">
        <f>IFERROR(VLOOKUP(tbEscolas[[#This Row],[COD ETPA]],tbEtapas[],3,FALSE),"")</f>
        <v/>
      </c>
    </row>
    <row r="4421" spans="1:5" x14ac:dyDescent="0.25">
      <c r="A4421" t="str" cm="1">
        <f t="array" ref="A4421">IFERROR(INDEX(tbNucleo[ESCOLA],ROUNDUP(ROW(A4420)/TotalEtapas,0)),"")</f>
        <v/>
      </c>
      <c r="D4421" t="str">
        <f>IFERROR(VLOOKUP(tbEscolas[[#This Row],[COD ETPA]],tbEtapas[],2,FALSE),"")</f>
        <v/>
      </c>
      <c r="E4421" t="str">
        <f>IFERROR(VLOOKUP(tbEscolas[[#This Row],[COD ETPA]],tbEtapas[],3,FALSE),"")</f>
        <v/>
      </c>
    </row>
    <row r="4422" spans="1:5" x14ac:dyDescent="0.25">
      <c r="A4422" t="str" cm="1">
        <f t="array" ref="A4422">IFERROR(INDEX(tbNucleo[ESCOLA],ROUNDUP(ROW(A4421)/TotalEtapas,0)),"")</f>
        <v/>
      </c>
      <c r="D4422" t="str">
        <f>IFERROR(VLOOKUP(tbEscolas[[#This Row],[COD ETPA]],tbEtapas[],2,FALSE),"")</f>
        <v/>
      </c>
      <c r="E4422" t="str">
        <f>IFERROR(VLOOKUP(tbEscolas[[#This Row],[COD ETPA]],tbEtapas[],3,FALSE),"")</f>
        <v/>
      </c>
    </row>
    <row r="4423" spans="1:5" x14ac:dyDescent="0.25">
      <c r="A4423" t="str" cm="1">
        <f t="array" ref="A4423">IFERROR(INDEX(tbNucleo[ESCOLA],ROUNDUP(ROW(A4422)/TotalEtapas,0)),"")</f>
        <v/>
      </c>
      <c r="D4423" t="str">
        <f>IFERROR(VLOOKUP(tbEscolas[[#This Row],[COD ETPA]],tbEtapas[],2,FALSE),"")</f>
        <v/>
      </c>
      <c r="E4423" t="str">
        <f>IFERROR(VLOOKUP(tbEscolas[[#This Row],[COD ETPA]],tbEtapas[],3,FALSE),"")</f>
        <v/>
      </c>
    </row>
    <row r="4424" spans="1:5" x14ac:dyDescent="0.25">
      <c r="A4424" t="str" cm="1">
        <f t="array" ref="A4424">IFERROR(INDEX(tbNucleo[ESCOLA],ROUNDUP(ROW(A4423)/TotalEtapas,0)),"")</f>
        <v/>
      </c>
      <c r="D4424" t="str">
        <f>IFERROR(VLOOKUP(tbEscolas[[#This Row],[COD ETPA]],tbEtapas[],2,FALSE),"")</f>
        <v/>
      </c>
      <c r="E4424" t="str">
        <f>IFERROR(VLOOKUP(tbEscolas[[#This Row],[COD ETPA]],tbEtapas[],3,FALSE),"")</f>
        <v/>
      </c>
    </row>
    <row r="4425" spans="1:5" x14ac:dyDescent="0.25">
      <c r="A4425" t="str" cm="1">
        <f t="array" ref="A4425">IFERROR(INDEX(tbNucleo[ESCOLA],ROUNDUP(ROW(A4424)/TotalEtapas,0)),"")</f>
        <v/>
      </c>
      <c r="D4425" t="str">
        <f>IFERROR(VLOOKUP(tbEscolas[[#This Row],[COD ETPA]],tbEtapas[],2,FALSE),"")</f>
        <v/>
      </c>
      <c r="E4425" t="str">
        <f>IFERROR(VLOOKUP(tbEscolas[[#This Row],[COD ETPA]],tbEtapas[],3,FALSE),"")</f>
        <v/>
      </c>
    </row>
    <row r="4426" spans="1:5" x14ac:dyDescent="0.25">
      <c r="A4426" t="str" cm="1">
        <f t="array" ref="A4426">IFERROR(INDEX(tbNucleo[ESCOLA],ROUNDUP(ROW(A4425)/TotalEtapas,0)),"")</f>
        <v/>
      </c>
      <c r="D4426" t="str">
        <f>IFERROR(VLOOKUP(tbEscolas[[#This Row],[COD ETPA]],tbEtapas[],2,FALSE),"")</f>
        <v/>
      </c>
      <c r="E4426" t="str">
        <f>IFERROR(VLOOKUP(tbEscolas[[#This Row],[COD ETPA]],tbEtapas[],3,FALSE),"")</f>
        <v/>
      </c>
    </row>
    <row r="4427" spans="1:5" x14ac:dyDescent="0.25">
      <c r="A4427" t="str" cm="1">
        <f t="array" ref="A4427">IFERROR(INDEX(tbNucleo[ESCOLA],ROUNDUP(ROW(A4426)/TotalEtapas,0)),"")</f>
        <v/>
      </c>
      <c r="D4427" t="str">
        <f>IFERROR(VLOOKUP(tbEscolas[[#This Row],[COD ETPA]],tbEtapas[],2,FALSE),"")</f>
        <v/>
      </c>
      <c r="E4427" t="str">
        <f>IFERROR(VLOOKUP(tbEscolas[[#This Row],[COD ETPA]],tbEtapas[],3,FALSE),"")</f>
        <v/>
      </c>
    </row>
    <row r="4428" spans="1:5" x14ac:dyDescent="0.25">
      <c r="A4428" t="str" cm="1">
        <f t="array" ref="A4428">IFERROR(INDEX(tbNucleo[ESCOLA],ROUNDUP(ROW(A4427)/TotalEtapas,0)),"")</f>
        <v/>
      </c>
      <c r="D4428" t="str">
        <f>IFERROR(VLOOKUP(tbEscolas[[#This Row],[COD ETPA]],tbEtapas[],2,FALSE),"")</f>
        <v/>
      </c>
      <c r="E4428" t="str">
        <f>IFERROR(VLOOKUP(tbEscolas[[#This Row],[COD ETPA]],tbEtapas[],3,FALSE),"")</f>
        <v/>
      </c>
    </row>
    <row r="4429" spans="1:5" x14ac:dyDescent="0.25">
      <c r="A4429" t="str" cm="1">
        <f t="array" ref="A4429">IFERROR(INDEX(tbNucleo[ESCOLA],ROUNDUP(ROW(A4428)/TotalEtapas,0)),"")</f>
        <v/>
      </c>
      <c r="D4429" t="str">
        <f>IFERROR(VLOOKUP(tbEscolas[[#This Row],[COD ETPA]],tbEtapas[],2,FALSE),"")</f>
        <v/>
      </c>
      <c r="E4429" t="str">
        <f>IFERROR(VLOOKUP(tbEscolas[[#This Row],[COD ETPA]],tbEtapas[],3,FALSE),"")</f>
        <v/>
      </c>
    </row>
    <row r="4430" spans="1:5" x14ac:dyDescent="0.25">
      <c r="A4430" t="str" cm="1">
        <f t="array" ref="A4430">IFERROR(INDEX(tbNucleo[ESCOLA],ROUNDUP(ROW(A4429)/TotalEtapas,0)),"")</f>
        <v/>
      </c>
      <c r="D4430" t="str">
        <f>IFERROR(VLOOKUP(tbEscolas[[#This Row],[COD ETPA]],tbEtapas[],2,FALSE),"")</f>
        <v/>
      </c>
      <c r="E4430" t="str">
        <f>IFERROR(VLOOKUP(tbEscolas[[#This Row],[COD ETPA]],tbEtapas[],3,FALSE),"")</f>
        <v/>
      </c>
    </row>
    <row r="4431" spans="1:5" x14ac:dyDescent="0.25">
      <c r="A4431" t="str" cm="1">
        <f t="array" ref="A4431">IFERROR(INDEX(tbNucleo[ESCOLA],ROUNDUP(ROW(A4430)/TotalEtapas,0)),"")</f>
        <v/>
      </c>
      <c r="D4431" t="str">
        <f>IFERROR(VLOOKUP(tbEscolas[[#This Row],[COD ETPA]],tbEtapas[],2,FALSE),"")</f>
        <v/>
      </c>
      <c r="E4431" t="str">
        <f>IFERROR(VLOOKUP(tbEscolas[[#This Row],[COD ETPA]],tbEtapas[],3,FALSE),"")</f>
        <v/>
      </c>
    </row>
    <row r="4432" spans="1:5" x14ac:dyDescent="0.25">
      <c r="A4432" t="str" cm="1">
        <f t="array" ref="A4432">IFERROR(INDEX(tbNucleo[ESCOLA],ROUNDUP(ROW(A4431)/TotalEtapas,0)),"")</f>
        <v/>
      </c>
      <c r="D4432" t="str">
        <f>IFERROR(VLOOKUP(tbEscolas[[#This Row],[COD ETPA]],tbEtapas[],2,FALSE),"")</f>
        <v/>
      </c>
      <c r="E4432" t="str">
        <f>IFERROR(VLOOKUP(tbEscolas[[#This Row],[COD ETPA]],tbEtapas[],3,FALSE),"")</f>
        <v/>
      </c>
    </row>
    <row r="4433" spans="1:5" x14ac:dyDescent="0.25">
      <c r="A4433" t="str" cm="1">
        <f t="array" ref="A4433">IFERROR(INDEX(tbNucleo[ESCOLA],ROUNDUP(ROW(A4432)/TotalEtapas,0)),"")</f>
        <v/>
      </c>
      <c r="D4433" t="str">
        <f>IFERROR(VLOOKUP(tbEscolas[[#This Row],[COD ETPA]],tbEtapas[],2,FALSE),"")</f>
        <v/>
      </c>
      <c r="E4433" t="str">
        <f>IFERROR(VLOOKUP(tbEscolas[[#This Row],[COD ETPA]],tbEtapas[],3,FALSE),"")</f>
        <v/>
      </c>
    </row>
    <row r="4434" spans="1:5" x14ac:dyDescent="0.25">
      <c r="A4434" t="str" cm="1">
        <f t="array" ref="A4434">IFERROR(INDEX(tbNucleo[ESCOLA],ROUNDUP(ROW(A4433)/TotalEtapas,0)),"")</f>
        <v/>
      </c>
      <c r="D4434" t="str">
        <f>IFERROR(VLOOKUP(tbEscolas[[#This Row],[COD ETPA]],tbEtapas[],2,FALSE),"")</f>
        <v/>
      </c>
      <c r="E4434" t="str">
        <f>IFERROR(VLOOKUP(tbEscolas[[#This Row],[COD ETPA]],tbEtapas[],3,FALSE),"")</f>
        <v/>
      </c>
    </row>
    <row r="4435" spans="1:5" x14ac:dyDescent="0.25">
      <c r="A4435" t="str" cm="1">
        <f t="array" ref="A4435">IFERROR(INDEX(tbNucleo[ESCOLA],ROUNDUP(ROW(A4434)/TotalEtapas,0)),"")</f>
        <v/>
      </c>
      <c r="D4435" t="str">
        <f>IFERROR(VLOOKUP(tbEscolas[[#This Row],[COD ETPA]],tbEtapas[],2,FALSE),"")</f>
        <v/>
      </c>
      <c r="E4435" t="str">
        <f>IFERROR(VLOOKUP(tbEscolas[[#This Row],[COD ETPA]],tbEtapas[],3,FALSE),"")</f>
        <v/>
      </c>
    </row>
    <row r="4436" spans="1:5" x14ac:dyDescent="0.25">
      <c r="A4436" t="str" cm="1">
        <f t="array" ref="A4436">IFERROR(INDEX(tbNucleo[ESCOLA],ROUNDUP(ROW(A4435)/TotalEtapas,0)),"")</f>
        <v/>
      </c>
      <c r="D4436" t="str">
        <f>IFERROR(VLOOKUP(tbEscolas[[#This Row],[COD ETPA]],tbEtapas[],2,FALSE),"")</f>
        <v/>
      </c>
      <c r="E4436" t="str">
        <f>IFERROR(VLOOKUP(tbEscolas[[#This Row],[COD ETPA]],tbEtapas[],3,FALSE),"")</f>
        <v/>
      </c>
    </row>
    <row r="4437" spans="1:5" x14ac:dyDescent="0.25">
      <c r="A4437" t="str" cm="1">
        <f t="array" ref="A4437">IFERROR(INDEX(tbNucleo[ESCOLA],ROUNDUP(ROW(A4436)/TotalEtapas,0)),"")</f>
        <v/>
      </c>
      <c r="D4437" t="str">
        <f>IFERROR(VLOOKUP(tbEscolas[[#This Row],[COD ETPA]],tbEtapas[],2,FALSE),"")</f>
        <v/>
      </c>
      <c r="E4437" t="str">
        <f>IFERROR(VLOOKUP(tbEscolas[[#This Row],[COD ETPA]],tbEtapas[],3,FALSE),"")</f>
        <v/>
      </c>
    </row>
    <row r="4438" spans="1:5" x14ac:dyDescent="0.25">
      <c r="A4438" t="str" cm="1">
        <f t="array" ref="A4438">IFERROR(INDEX(tbNucleo[ESCOLA],ROUNDUP(ROW(A4437)/TotalEtapas,0)),"")</f>
        <v/>
      </c>
      <c r="D4438" t="str">
        <f>IFERROR(VLOOKUP(tbEscolas[[#This Row],[COD ETPA]],tbEtapas[],2,FALSE),"")</f>
        <v/>
      </c>
      <c r="E4438" t="str">
        <f>IFERROR(VLOOKUP(tbEscolas[[#This Row],[COD ETPA]],tbEtapas[],3,FALSE),"")</f>
        <v/>
      </c>
    </row>
    <row r="4439" spans="1:5" x14ac:dyDescent="0.25">
      <c r="A4439" t="str" cm="1">
        <f t="array" ref="A4439">IFERROR(INDEX(tbNucleo[ESCOLA],ROUNDUP(ROW(A4438)/TotalEtapas,0)),"")</f>
        <v/>
      </c>
      <c r="D4439" t="str">
        <f>IFERROR(VLOOKUP(tbEscolas[[#This Row],[COD ETPA]],tbEtapas[],2,FALSE),"")</f>
        <v/>
      </c>
      <c r="E4439" t="str">
        <f>IFERROR(VLOOKUP(tbEscolas[[#This Row],[COD ETPA]],tbEtapas[],3,FALSE),"")</f>
        <v/>
      </c>
    </row>
    <row r="4440" spans="1:5" x14ac:dyDescent="0.25">
      <c r="A4440" t="str" cm="1">
        <f t="array" ref="A4440">IFERROR(INDEX(tbNucleo[ESCOLA],ROUNDUP(ROW(A4439)/TotalEtapas,0)),"")</f>
        <v/>
      </c>
      <c r="D4440" t="str">
        <f>IFERROR(VLOOKUP(tbEscolas[[#This Row],[COD ETPA]],tbEtapas[],2,FALSE),"")</f>
        <v/>
      </c>
      <c r="E4440" t="str">
        <f>IFERROR(VLOOKUP(tbEscolas[[#This Row],[COD ETPA]],tbEtapas[],3,FALSE),"")</f>
        <v/>
      </c>
    </row>
    <row r="4441" spans="1:5" x14ac:dyDescent="0.25">
      <c r="A4441" t="str" cm="1">
        <f t="array" ref="A4441">IFERROR(INDEX(tbNucleo[ESCOLA],ROUNDUP(ROW(A4440)/TotalEtapas,0)),"")</f>
        <v/>
      </c>
      <c r="D4441" t="str">
        <f>IFERROR(VLOOKUP(tbEscolas[[#This Row],[COD ETPA]],tbEtapas[],2,FALSE),"")</f>
        <v/>
      </c>
      <c r="E4441" t="str">
        <f>IFERROR(VLOOKUP(tbEscolas[[#This Row],[COD ETPA]],tbEtapas[],3,FALSE),"")</f>
        <v/>
      </c>
    </row>
    <row r="4442" spans="1:5" x14ac:dyDescent="0.25">
      <c r="A4442" t="str" cm="1">
        <f t="array" ref="A4442">IFERROR(INDEX(tbNucleo[ESCOLA],ROUNDUP(ROW(A4441)/TotalEtapas,0)),"")</f>
        <v/>
      </c>
      <c r="D4442" t="str">
        <f>IFERROR(VLOOKUP(tbEscolas[[#This Row],[COD ETPA]],tbEtapas[],2,FALSE),"")</f>
        <v/>
      </c>
      <c r="E4442" t="str">
        <f>IFERROR(VLOOKUP(tbEscolas[[#This Row],[COD ETPA]],tbEtapas[],3,FALSE),"")</f>
        <v/>
      </c>
    </row>
    <row r="4443" spans="1:5" x14ac:dyDescent="0.25">
      <c r="A4443" t="str" cm="1">
        <f t="array" ref="A4443">IFERROR(INDEX(tbNucleo[ESCOLA],ROUNDUP(ROW(A4442)/TotalEtapas,0)),"")</f>
        <v/>
      </c>
      <c r="D4443" t="str">
        <f>IFERROR(VLOOKUP(tbEscolas[[#This Row],[COD ETPA]],tbEtapas[],2,FALSE),"")</f>
        <v/>
      </c>
      <c r="E4443" t="str">
        <f>IFERROR(VLOOKUP(tbEscolas[[#This Row],[COD ETPA]],tbEtapas[],3,FALSE),"")</f>
        <v/>
      </c>
    </row>
    <row r="4444" spans="1:5" x14ac:dyDescent="0.25">
      <c r="A4444" t="str" cm="1">
        <f t="array" ref="A4444">IFERROR(INDEX(tbNucleo[ESCOLA],ROUNDUP(ROW(A4443)/TotalEtapas,0)),"")</f>
        <v/>
      </c>
      <c r="D4444" t="str">
        <f>IFERROR(VLOOKUP(tbEscolas[[#This Row],[COD ETPA]],tbEtapas[],2,FALSE),"")</f>
        <v/>
      </c>
      <c r="E4444" t="str">
        <f>IFERROR(VLOOKUP(tbEscolas[[#This Row],[COD ETPA]],tbEtapas[],3,FALSE),"")</f>
        <v/>
      </c>
    </row>
    <row r="4445" spans="1:5" x14ac:dyDescent="0.25">
      <c r="A4445" t="str" cm="1">
        <f t="array" ref="A4445">IFERROR(INDEX(tbNucleo[ESCOLA],ROUNDUP(ROW(A4444)/TotalEtapas,0)),"")</f>
        <v/>
      </c>
      <c r="D4445" t="str">
        <f>IFERROR(VLOOKUP(tbEscolas[[#This Row],[COD ETPA]],tbEtapas[],2,FALSE),"")</f>
        <v/>
      </c>
      <c r="E4445" t="str">
        <f>IFERROR(VLOOKUP(tbEscolas[[#This Row],[COD ETPA]],tbEtapas[],3,FALSE),"")</f>
        <v/>
      </c>
    </row>
    <row r="4446" spans="1:5" x14ac:dyDescent="0.25">
      <c r="A4446" t="str" cm="1">
        <f t="array" ref="A4446">IFERROR(INDEX(tbNucleo[ESCOLA],ROUNDUP(ROW(A4445)/TotalEtapas,0)),"")</f>
        <v/>
      </c>
      <c r="D4446" t="str">
        <f>IFERROR(VLOOKUP(tbEscolas[[#This Row],[COD ETPA]],tbEtapas[],2,FALSE),"")</f>
        <v/>
      </c>
      <c r="E4446" t="str">
        <f>IFERROR(VLOOKUP(tbEscolas[[#This Row],[COD ETPA]],tbEtapas[],3,FALSE),"")</f>
        <v/>
      </c>
    </row>
    <row r="4447" spans="1:5" x14ac:dyDescent="0.25">
      <c r="A4447" t="str" cm="1">
        <f t="array" ref="A4447">IFERROR(INDEX(tbNucleo[ESCOLA],ROUNDUP(ROW(A4446)/TotalEtapas,0)),"")</f>
        <v/>
      </c>
      <c r="D4447" t="str">
        <f>IFERROR(VLOOKUP(tbEscolas[[#This Row],[COD ETPA]],tbEtapas[],2,FALSE),"")</f>
        <v/>
      </c>
      <c r="E4447" t="str">
        <f>IFERROR(VLOOKUP(tbEscolas[[#This Row],[COD ETPA]],tbEtapas[],3,FALSE),"")</f>
        <v/>
      </c>
    </row>
    <row r="4448" spans="1:5" x14ac:dyDescent="0.25">
      <c r="A4448" t="str" cm="1">
        <f t="array" ref="A4448">IFERROR(INDEX(tbNucleo[ESCOLA],ROUNDUP(ROW(A4447)/TotalEtapas,0)),"")</f>
        <v/>
      </c>
      <c r="D4448" t="str">
        <f>IFERROR(VLOOKUP(tbEscolas[[#This Row],[COD ETPA]],tbEtapas[],2,FALSE),"")</f>
        <v/>
      </c>
      <c r="E4448" t="str">
        <f>IFERROR(VLOOKUP(tbEscolas[[#This Row],[COD ETPA]],tbEtapas[],3,FALSE),"")</f>
        <v/>
      </c>
    </row>
    <row r="4449" spans="1:5" x14ac:dyDescent="0.25">
      <c r="A4449" t="str" cm="1">
        <f t="array" ref="A4449">IFERROR(INDEX(tbNucleo[ESCOLA],ROUNDUP(ROW(A4448)/TotalEtapas,0)),"")</f>
        <v/>
      </c>
      <c r="D4449" t="str">
        <f>IFERROR(VLOOKUP(tbEscolas[[#This Row],[COD ETPA]],tbEtapas[],2,FALSE),"")</f>
        <v/>
      </c>
      <c r="E4449" t="str">
        <f>IFERROR(VLOOKUP(tbEscolas[[#This Row],[COD ETPA]],tbEtapas[],3,FALSE),"")</f>
        <v/>
      </c>
    </row>
    <row r="4450" spans="1:5" x14ac:dyDescent="0.25">
      <c r="A4450" t="str" cm="1">
        <f t="array" ref="A4450">IFERROR(INDEX(tbNucleo[ESCOLA],ROUNDUP(ROW(A4449)/TotalEtapas,0)),"")</f>
        <v/>
      </c>
      <c r="D4450" t="str">
        <f>IFERROR(VLOOKUP(tbEscolas[[#This Row],[COD ETPA]],tbEtapas[],2,FALSE),"")</f>
        <v/>
      </c>
      <c r="E4450" t="str">
        <f>IFERROR(VLOOKUP(tbEscolas[[#This Row],[COD ETPA]],tbEtapas[],3,FALSE),"")</f>
        <v/>
      </c>
    </row>
    <row r="4451" spans="1:5" x14ac:dyDescent="0.25">
      <c r="A4451" t="str" cm="1">
        <f t="array" ref="A4451">IFERROR(INDEX(tbNucleo[ESCOLA],ROUNDUP(ROW(A4450)/TotalEtapas,0)),"")</f>
        <v/>
      </c>
      <c r="D4451" t="str">
        <f>IFERROR(VLOOKUP(tbEscolas[[#This Row],[COD ETPA]],tbEtapas[],2,FALSE),"")</f>
        <v/>
      </c>
      <c r="E4451" t="str">
        <f>IFERROR(VLOOKUP(tbEscolas[[#This Row],[COD ETPA]],tbEtapas[],3,FALSE),"")</f>
        <v/>
      </c>
    </row>
    <row r="4452" spans="1:5" x14ac:dyDescent="0.25">
      <c r="A4452" t="str" cm="1">
        <f t="array" ref="A4452">IFERROR(INDEX(tbNucleo[ESCOLA],ROUNDUP(ROW(A4451)/TotalEtapas,0)),"")</f>
        <v/>
      </c>
      <c r="D4452" t="str">
        <f>IFERROR(VLOOKUP(tbEscolas[[#This Row],[COD ETPA]],tbEtapas[],2,FALSE),"")</f>
        <v/>
      </c>
      <c r="E4452" t="str">
        <f>IFERROR(VLOOKUP(tbEscolas[[#This Row],[COD ETPA]],tbEtapas[],3,FALSE),"")</f>
        <v/>
      </c>
    </row>
    <row r="4453" spans="1:5" x14ac:dyDescent="0.25">
      <c r="A4453" t="str" cm="1">
        <f t="array" ref="A4453">IFERROR(INDEX(tbNucleo[ESCOLA],ROUNDUP(ROW(A4452)/TotalEtapas,0)),"")</f>
        <v/>
      </c>
      <c r="D4453" t="str">
        <f>IFERROR(VLOOKUP(tbEscolas[[#This Row],[COD ETPA]],tbEtapas[],2,FALSE),"")</f>
        <v/>
      </c>
      <c r="E4453" t="str">
        <f>IFERROR(VLOOKUP(tbEscolas[[#This Row],[COD ETPA]],tbEtapas[],3,FALSE),"")</f>
        <v/>
      </c>
    </row>
    <row r="4454" spans="1:5" x14ac:dyDescent="0.25">
      <c r="A4454" t="str" cm="1">
        <f t="array" ref="A4454">IFERROR(INDEX(tbNucleo[ESCOLA],ROUNDUP(ROW(A4453)/TotalEtapas,0)),"")</f>
        <v/>
      </c>
      <c r="D4454" t="str">
        <f>IFERROR(VLOOKUP(tbEscolas[[#This Row],[COD ETPA]],tbEtapas[],2,FALSE),"")</f>
        <v/>
      </c>
      <c r="E4454" t="str">
        <f>IFERROR(VLOOKUP(tbEscolas[[#This Row],[COD ETPA]],tbEtapas[],3,FALSE),"")</f>
        <v/>
      </c>
    </row>
    <row r="4455" spans="1:5" x14ac:dyDescent="0.25">
      <c r="A4455" t="str" cm="1">
        <f t="array" ref="A4455">IFERROR(INDEX(tbNucleo[ESCOLA],ROUNDUP(ROW(A4454)/TotalEtapas,0)),"")</f>
        <v/>
      </c>
      <c r="D4455" t="str">
        <f>IFERROR(VLOOKUP(tbEscolas[[#This Row],[COD ETPA]],tbEtapas[],2,FALSE),"")</f>
        <v/>
      </c>
      <c r="E4455" t="str">
        <f>IFERROR(VLOOKUP(tbEscolas[[#This Row],[COD ETPA]],tbEtapas[],3,FALSE),"")</f>
        <v/>
      </c>
    </row>
    <row r="4456" spans="1:5" x14ac:dyDescent="0.25">
      <c r="A4456" t="str" cm="1">
        <f t="array" ref="A4456">IFERROR(INDEX(tbNucleo[ESCOLA],ROUNDUP(ROW(A4455)/TotalEtapas,0)),"")</f>
        <v/>
      </c>
      <c r="D4456" t="str">
        <f>IFERROR(VLOOKUP(tbEscolas[[#This Row],[COD ETPA]],tbEtapas[],2,FALSE),"")</f>
        <v/>
      </c>
      <c r="E4456" t="str">
        <f>IFERROR(VLOOKUP(tbEscolas[[#This Row],[COD ETPA]],tbEtapas[],3,FALSE),"")</f>
        <v/>
      </c>
    </row>
    <row r="4457" spans="1:5" x14ac:dyDescent="0.25">
      <c r="A4457" t="str" cm="1">
        <f t="array" ref="A4457">IFERROR(INDEX(tbNucleo[ESCOLA],ROUNDUP(ROW(A4456)/TotalEtapas,0)),"")</f>
        <v/>
      </c>
      <c r="D4457" t="str">
        <f>IFERROR(VLOOKUP(tbEscolas[[#This Row],[COD ETPA]],tbEtapas[],2,FALSE),"")</f>
        <v/>
      </c>
      <c r="E4457" t="str">
        <f>IFERROR(VLOOKUP(tbEscolas[[#This Row],[COD ETPA]],tbEtapas[],3,FALSE),"")</f>
        <v/>
      </c>
    </row>
    <row r="4458" spans="1:5" x14ac:dyDescent="0.25">
      <c r="A4458" t="str" cm="1">
        <f t="array" ref="A4458">IFERROR(INDEX(tbNucleo[ESCOLA],ROUNDUP(ROW(A4457)/TotalEtapas,0)),"")</f>
        <v/>
      </c>
      <c r="D4458" t="str">
        <f>IFERROR(VLOOKUP(tbEscolas[[#This Row],[COD ETPA]],tbEtapas[],2,FALSE),"")</f>
        <v/>
      </c>
      <c r="E4458" t="str">
        <f>IFERROR(VLOOKUP(tbEscolas[[#This Row],[COD ETPA]],tbEtapas[],3,FALSE),"")</f>
        <v/>
      </c>
    </row>
    <row r="4459" spans="1:5" x14ac:dyDescent="0.25">
      <c r="A4459" t="str" cm="1">
        <f t="array" ref="A4459">IFERROR(INDEX(tbNucleo[ESCOLA],ROUNDUP(ROW(A4458)/TotalEtapas,0)),"")</f>
        <v/>
      </c>
      <c r="D4459" t="str">
        <f>IFERROR(VLOOKUP(tbEscolas[[#This Row],[COD ETPA]],tbEtapas[],2,FALSE),"")</f>
        <v/>
      </c>
      <c r="E4459" t="str">
        <f>IFERROR(VLOOKUP(tbEscolas[[#This Row],[COD ETPA]],tbEtapas[],3,FALSE),"")</f>
        <v/>
      </c>
    </row>
    <row r="4460" spans="1:5" x14ac:dyDescent="0.25">
      <c r="A4460" t="str" cm="1">
        <f t="array" ref="A4460">IFERROR(INDEX(tbNucleo[ESCOLA],ROUNDUP(ROW(A4459)/TotalEtapas,0)),"")</f>
        <v/>
      </c>
      <c r="D4460" t="str">
        <f>IFERROR(VLOOKUP(tbEscolas[[#This Row],[COD ETPA]],tbEtapas[],2,FALSE),"")</f>
        <v/>
      </c>
      <c r="E4460" t="str">
        <f>IFERROR(VLOOKUP(tbEscolas[[#This Row],[COD ETPA]],tbEtapas[],3,FALSE),"")</f>
        <v/>
      </c>
    </row>
    <row r="4461" spans="1:5" x14ac:dyDescent="0.25">
      <c r="A4461" t="str" cm="1">
        <f t="array" ref="A4461">IFERROR(INDEX(tbNucleo[ESCOLA],ROUNDUP(ROW(A4460)/TotalEtapas,0)),"")</f>
        <v/>
      </c>
      <c r="D4461" t="str">
        <f>IFERROR(VLOOKUP(tbEscolas[[#This Row],[COD ETPA]],tbEtapas[],2,FALSE),"")</f>
        <v/>
      </c>
      <c r="E4461" t="str">
        <f>IFERROR(VLOOKUP(tbEscolas[[#This Row],[COD ETPA]],tbEtapas[],3,FALSE),"")</f>
        <v/>
      </c>
    </row>
    <row r="4462" spans="1:5" x14ac:dyDescent="0.25">
      <c r="A4462" t="str" cm="1">
        <f t="array" ref="A4462">IFERROR(INDEX(tbNucleo[ESCOLA],ROUNDUP(ROW(A4461)/TotalEtapas,0)),"")</f>
        <v/>
      </c>
      <c r="D4462" t="str">
        <f>IFERROR(VLOOKUP(tbEscolas[[#This Row],[COD ETPA]],tbEtapas[],2,FALSE),"")</f>
        <v/>
      </c>
      <c r="E4462" t="str">
        <f>IFERROR(VLOOKUP(tbEscolas[[#This Row],[COD ETPA]],tbEtapas[],3,FALSE),"")</f>
        <v/>
      </c>
    </row>
    <row r="4463" spans="1:5" x14ac:dyDescent="0.25">
      <c r="A4463" t="str" cm="1">
        <f t="array" ref="A4463">IFERROR(INDEX(tbNucleo[ESCOLA],ROUNDUP(ROW(A4462)/TotalEtapas,0)),"")</f>
        <v/>
      </c>
      <c r="D4463" t="str">
        <f>IFERROR(VLOOKUP(tbEscolas[[#This Row],[COD ETPA]],tbEtapas[],2,FALSE),"")</f>
        <v/>
      </c>
      <c r="E4463" t="str">
        <f>IFERROR(VLOOKUP(tbEscolas[[#This Row],[COD ETPA]],tbEtapas[],3,FALSE),"")</f>
        <v/>
      </c>
    </row>
    <row r="4464" spans="1:5" x14ac:dyDescent="0.25">
      <c r="A4464" t="str" cm="1">
        <f t="array" ref="A4464">IFERROR(INDEX(tbNucleo[ESCOLA],ROUNDUP(ROW(A4463)/TotalEtapas,0)),"")</f>
        <v/>
      </c>
      <c r="D4464" t="str">
        <f>IFERROR(VLOOKUP(tbEscolas[[#This Row],[COD ETPA]],tbEtapas[],2,FALSE),"")</f>
        <v/>
      </c>
      <c r="E4464" t="str">
        <f>IFERROR(VLOOKUP(tbEscolas[[#This Row],[COD ETPA]],tbEtapas[],3,FALSE),"")</f>
        <v/>
      </c>
    </row>
    <row r="4465" spans="1:5" x14ac:dyDescent="0.25">
      <c r="A4465" t="str" cm="1">
        <f t="array" ref="A4465">IFERROR(INDEX(tbNucleo[ESCOLA],ROUNDUP(ROW(A4464)/TotalEtapas,0)),"")</f>
        <v/>
      </c>
      <c r="D4465" t="str">
        <f>IFERROR(VLOOKUP(tbEscolas[[#This Row],[COD ETPA]],tbEtapas[],2,FALSE),"")</f>
        <v/>
      </c>
      <c r="E4465" t="str">
        <f>IFERROR(VLOOKUP(tbEscolas[[#This Row],[COD ETPA]],tbEtapas[],3,FALSE),"")</f>
        <v/>
      </c>
    </row>
    <row r="4466" spans="1:5" x14ac:dyDescent="0.25">
      <c r="A4466" t="str" cm="1">
        <f t="array" ref="A4466">IFERROR(INDEX(tbNucleo[ESCOLA],ROUNDUP(ROW(A4465)/TotalEtapas,0)),"")</f>
        <v/>
      </c>
      <c r="D4466" t="str">
        <f>IFERROR(VLOOKUP(tbEscolas[[#This Row],[COD ETPA]],tbEtapas[],2,FALSE),"")</f>
        <v/>
      </c>
      <c r="E4466" t="str">
        <f>IFERROR(VLOOKUP(tbEscolas[[#This Row],[COD ETPA]],tbEtapas[],3,FALSE),"")</f>
        <v/>
      </c>
    </row>
    <row r="4467" spans="1:5" x14ac:dyDescent="0.25">
      <c r="A4467" t="str" cm="1">
        <f t="array" ref="A4467">IFERROR(INDEX(tbNucleo[ESCOLA],ROUNDUP(ROW(A4466)/TotalEtapas,0)),"")</f>
        <v/>
      </c>
      <c r="D4467" t="str">
        <f>IFERROR(VLOOKUP(tbEscolas[[#This Row],[COD ETPA]],tbEtapas[],2,FALSE),"")</f>
        <v/>
      </c>
      <c r="E4467" t="str">
        <f>IFERROR(VLOOKUP(tbEscolas[[#This Row],[COD ETPA]],tbEtapas[],3,FALSE),"")</f>
        <v/>
      </c>
    </row>
    <row r="4468" spans="1:5" x14ac:dyDescent="0.25">
      <c r="A4468" t="str" cm="1">
        <f t="array" ref="A4468">IFERROR(INDEX(tbNucleo[ESCOLA],ROUNDUP(ROW(A4467)/TotalEtapas,0)),"")</f>
        <v/>
      </c>
      <c r="D4468" t="str">
        <f>IFERROR(VLOOKUP(tbEscolas[[#This Row],[COD ETPA]],tbEtapas[],2,FALSE),"")</f>
        <v/>
      </c>
      <c r="E4468" t="str">
        <f>IFERROR(VLOOKUP(tbEscolas[[#This Row],[COD ETPA]],tbEtapas[],3,FALSE),"")</f>
        <v/>
      </c>
    </row>
    <row r="4469" spans="1:5" x14ac:dyDescent="0.25">
      <c r="A4469" t="str" cm="1">
        <f t="array" ref="A4469">IFERROR(INDEX(tbNucleo[ESCOLA],ROUNDUP(ROW(A4468)/TotalEtapas,0)),"")</f>
        <v/>
      </c>
      <c r="D4469" t="str">
        <f>IFERROR(VLOOKUP(tbEscolas[[#This Row],[COD ETPA]],tbEtapas[],2,FALSE),"")</f>
        <v/>
      </c>
      <c r="E4469" t="str">
        <f>IFERROR(VLOOKUP(tbEscolas[[#This Row],[COD ETPA]],tbEtapas[],3,FALSE),"")</f>
        <v/>
      </c>
    </row>
    <row r="4470" spans="1:5" x14ac:dyDescent="0.25">
      <c r="A4470" t="str" cm="1">
        <f t="array" ref="A4470">IFERROR(INDEX(tbNucleo[ESCOLA],ROUNDUP(ROW(A4469)/TotalEtapas,0)),"")</f>
        <v/>
      </c>
      <c r="D4470" t="str">
        <f>IFERROR(VLOOKUP(tbEscolas[[#This Row],[COD ETPA]],tbEtapas[],2,FALSE),"")</f>
        <v/>
      </c>
      <c r="E4470" t="str">
        <f>IFERROR(VLOOKUP(tbEscolas[[#This Row],[COD ETPA]],tbEtapas[],3,FALSE),"")</f>
        <v/>
      </c>
    </row>
    <row r="4471" spans="1:5" x14ac:dyDescent="0.25">
      <c r="A4471" t="str" cm="1">
        <f t="array" ref="A4471">IFERROR(INDEX(tbNucleo[ESCOLA],ROUNDUP(ROW(A4470)/TotalEtapas,0)),"")</f>
        <v/>
      </c>
      <c r="D4471" t="str">
        <f>IFERROR(VLOOKUP(tbEscolas[[#This Row],[COD ETPA]],tbEtapas[],2,FALSE),"")</f>
        <v/>
      </c>
      <c r="E4471" t="str">
        <f>IFERROR(VLOOKUP(tbEscolas[[#This Row],[COD ETPA]],tbEtapas[],3,FALSE),"")</f>
        <v/>
      </c>
    </row>
    <row r="4472" spans="1:5" x14ac:dyDescent="0.25">
      <c r="A4472" t="str" cm="1">
        <f t="array" ref="A4472">IFERROR(INDEX(tbNucleo[ESCOLA],ROUNDUP(ROW(A4471)/TotalEtapas,0)),"")</f>
        <v/>
      </c>
      <c r="D4472" t="str">
        <f>IFERROR(VLOOKUP(tbEscolas[[#This Row],[COD ETPA]],tbEtapas[],2,FALSE),"")</f>
        <v/>
      </c>
      <c r="E4472" t="str">
        <f>IFERROR(VLOOKUP(tbEscolas[[#This Row],[COD ETPA]],tbEtapas[],3,FALSE),"")</f>
        <v/>
      </c>
    </row>
    <row r="4473" spans="1:5" x14ac:dyDescent="0.25">
      <c r="A4473" t="str" cm="1">
        <f t="array" ref="A4473">IFERROR(INDEX(tbNucleo[ESCOLA],ROUNDUP(ROW(A4472)/TotalEtapas,0)),"")</f>
        <v/>
      </c>
      <c r="D4473" t="str">
        <f>IFERROR(VLOOKUP(tbEscolas[[#This Row],[COD ETPA]],tbEtapas[],2,FALSE),"")</f>
        <v/>
      </c>
      <c r="E4473" t="str">
        <f>IFERROR(VLOOKUP(tbEscolas[[#This Row],[COD ETPA]],tbEtapas[],3,FALSE),"")</f>
        <v/>
      </c>
    </row>
    <row r="4474" spans="1:5" x14ac:dyDescent="0.25">
      <c r="A4474" t="str" cm="1">
        <f t="array" ref="A4474">IFERROR(INDEX(tbNucleo[ESCOLA],ROUNDUP(ROW(A4473)/TotalEtapas,0)),"")</f>
        <v/>
      </c>
      <c r="D4474" t="str">
        <f>IFERROR(VLOOKUP(tbEscolas[[#This Row],[COD ETPA]],tbEtapas[],2,FALSE),"")</f>
        <v/>
      </c>
      <c r="E4474" t="str">
        <f>IFERROR(VLOOKUP(tbEscolas[[#This Row],[COD ETPA]],tbEtapas[],3,FALSE),"")</f>
        <v/>
      </c>
    </row>
    <row r="4475" spans="1:5" x14ac:dyDescent="0.25">
      <c r="A4475" t="str" cm="1">
        <f t="array" ref="A4475">IFERROR(INDEX(tbNucleo[ESCOLA],ROUNDUP(ROW(A4474)/TotalEtapas,0)),"")</f>
        <v/>
      </c>
      <c r="D4475" t="str">
        <f>IFERROR(VLOOKUP(tbEscolas[[#This Row],[COD ETPA]],tbEtapas[],2,FALSE),"")</f>
        <v/>
      </c>
      <c r="E4475" t="str">
        <f>IFERROR(VLOOKUP(tbEscolas[[#This Row],[COD ETPA]],tbEtapas[],3,FALSE),"")</f>
        <v/>
      </c>
    </row>
    <row r="4476" spans="1:5" x14ac:dyDescent="0.25">
      <c r="A4476" t="str" cm="1">
        <f t="array" ref="A4476">IFERROR(INDEX(tbNucleo[ESCOLA],ROUNDUP(ROW(A4475)/TotalEtapas,0)),"")</f>
        <v/>
      </c>
      <c r="D4476" t="str">
        <f>IFERROR(VLOOKUP(tbEscolas[[#This Row],[COD ETPA]],tbEtapas[],2,FALSE),"")</f>
        <v/>
      </c>
      <c r="E4476" t="str">
        <f>IFERROR(VLOOKUP(tbEscolas[[#This Row],[COD ETPA]],tbEtapas[],3,FALSE),"")</f>
        <v/>
      </c>
    </row>
    <row r="4477" spans="1:5" x14ac:dyDescent="0.25">
      <c r="A4477" t="str" cm="1">
        <f t="array" ref="A4477">IFERROR(INDEX(tbNucleo[ESCOLA],ROUNDUP(ROW(A4476)/TotalEtapas,0)),"")</f>
        <v/>
      </c>
      <c r="D4477" t="str">
        <f>IFERROR(VLOOKUP(tbEscolas[[#This Row],[COD ETPA]],tbEtapas[],2,FALSE),"")</f>
        <v/>
      </c>
      <c r="E4477" t="str">
        <f>IFERROR(VLOOKUP(tbEscolas[[#This Row],[COD ETPA]],tbEtapas[],3,FALSE),"")</f>
        <v/>
      </c>
    </row>
    <row r="4478" spans="1:5" x14ac:dyDescent="0.25">
      <c r="A4478" t="str" cm="1">
        <f t="array" ref="A4478">IFERROR(INDEX(tbNucleo[ESCOLA],ROUNDUP(ROW(A4477)/TotalEtapas,0)),"")</f>
        <v/>
      </c>
      <c r="D4478" t="str">
        <f>IFERROR(VLOOKUP(tbEscolas[[#This Row],[COD ETPA]],tbEtapas[],2,FALSE),"")</f>
        <v/>
      </c>
      <c r="E4478" t="str">
        <f>IFERROR(VLOOKUP(tbEscolas[[#This Row],[COD ETPA]],tbEtapas[],3,FALSE),"")</f>
        <v/>
      </c>
    </row>
    <row r="4479" spans="1:5" x14ac:dyDescent="0.25">
      <c r="A4479" t="str" cm="1">
        <f t="array" ref="A4479">IFERROR(INDEX(tbNucleo[ESCOLA],ROUNDUP(ROW(A4478)/TotalEtapas,0)),"")</f>
        <v/>
      </c>
      <c r="D4479" t="str">
        <f>IFERROR(VLOOKUP(tbEscolas[[#This Row],[COD ETPA]],tbEtapas[],2,FALSE),"")</f>
        <v/>
      </c>
      <c r="E4479" t="str">
        <f>IFERROR(VLOOKUP(tbEscolas[[#This Row],[COD ETPA]],tbEtapas[],3,FALSE),"")</f>
        <v/>
      </c>
    </row>
    <row r="4480" spans="1:5" x14ac:dyDescent="0.25">
      <c r="A4480" t="str" cm="1">
        <f t="array" ref="A4480">IFERROR(INDEX(tbNucleo[ESCOLA],ROUNDUP(ROW(A4479)/TotalEtapas,0)),"")</f>
        <v/>
      </c>
      <c r="D4480" t="str">
        <f>IFERROR(VLOOKUP(tbEscolas[[#This Row],[COD ETPA]],tbEtapas[],2,FALSE),"")</f>
        <v/>
      </c>
      <c r="E4480" t="str">
        <f>IFERROR(VLOOKUP(tbEscolas[[#This Row],[COD ETPA]],tbEtapas[],3,FALSE),"")</f>
        <v/>
      </c>
    </row>
    <row r="4481" spans="1:5" x14ac:dyDescent="0.25">
      <c r="A4481" t="str" cm="1">
        <f t="array" ref="A4481">IFERROR(INDEX(tbNucleo[ESCOLA],ROUNDUP(ROW(A4480)/TotalEtapas,0)),"")</f>
        <v/>
      </c>
      <c r="D4481" t="str">
        <f>IFERROR(VLOOKUP(tbEscolas[[#This Row],[COD ETPA]],tbEtapas[],2,FALSE),"")</f>
        <v/>
      </c>
      <c r="E4481" t="str">
        <f>IFERROR(VLOOKUP(tbEscolas[[#This Row],[COD ETPA]],tbEtapas[],3,FALSE),"")</f>
        <v/>
      </c>
    </row>
    <row r="4482" spans="1:5" x14ac:dyDescent="0.25">
      <c r="A4482" t="str" cm="1">
        <f t="array" ref="A4482">IFERROR(INDEX(tbNucleo[ESCOLA],ROUNDUP(ROW(A4481)/TotalEtapas,0)),"")</f>
        <v/>
      </c>
      <c r="D4482" t="str">
        <f>IFERROR(VLOOKUP(tbEscolas[[#This Row],[COD ETPA]],tbEtapas[],2,FALSE),"")</f>
        <v/>
      </c>
      <c r="E4482" t="str">
        <f>IFERROR(VLOOKUP(tbEscolas[[#This Row],[COD ETPA]],tbEtapas[],3,FALSE),"")</f>
        <v/>
      </c>
    </row>
    <row r="4483" spans="1:5" x14ac:dyDescent="0.25">
      <c r="A4483" t="str" cm="1">
        <f t="array" ref="A4483">IFERROR(INDEX(tbNucleo[ESCOLA],ROUNDUP(ROW(A4482)/TotalEtapas,0)),"")</f>
        <v/>
      </c>
      <c r="D4483" t="str">
        <f>IFERROR(VLOOKUP(tbEscolas[[#This Row],[COD ETPA]],tbEtapas[],2,FALSE),"")</f>
        <v/>
      </c>
      <c r="E4483" t="str">
        <f>IFERROR(VLOOKUP(tbEscolas[[#This Row],[COD ETPA]],tbEtapas[],3,FALSE),"")</f>
        <v/>
      </c>
    </row>
    <row r="4484" spans="1:5" x14ac:dyDescent="0.25">
      <c r="A4484" t="str" cm="1">
        <f t="array" ref="A4484">IFERROR(INDEX(tbNucleo[ESCOLA],ROUNDUP(ROW(A4483)/TotalEtapas,0)),"")</f>
        <v/>
      </c>
      <c r="D4484" t="str">
        <f>IFERROR(VLOOKUP(tbEscolas[[#This Row],[COD ETPA]],tbEtapas[],2,FALSE),"")</f>
        <v/>
      </c>
      <c r="E4484" t="str">
        <f>IFERROR(VLOOKUP(tbEscolas[[#This Row],[COD ETPA]],tbEtapas[],3,FALSE),"")</f>
        <v/>
      </c>
    </row>
    <row r="4485" spans="1:5" x14ac:dyDescent="0.25">
      <c r="A4485" t="str" cm="1">
        <f t="array" ref="A4485">IFERROR(INDEX(tbNucleo[ESCOLA],ROUNDUP(ROW(A4484)/TotalEtapas,0)),"")</f>
        <v/>
      </c>
      <c r="D4485" t="str">
        <f>IFERROR(VLOOKUP(tbEscolas[[#This Row],[COD ETPA]],tbEtapas[],2,FALSE),"")</f>
        <v/>
      </c>
      <c r="E4485" t="str">
        <f>IFERROR(VLOOKUP(tbEscolas[[#This Row],[COD ETPA]],tbEtapas[],3,FALSE),"")</f>
        <v/>
      </c>
    </row>
    <row r="4486" spans="1:5" x14ac:dyDescent="0.25">
      <c r="A4486" t="str" cm="1">
        <f t="array" ref="A4486">IFERROR(INDEX(tbNucleo[ESCOLA],ROUNDUP(ROW(A4485)/TotalEtapas,0)),"")</f>
        <v/>
      </c>
      <c r="D4486" t="str">
        <f>IFERROR(VLOOKUP(tbEscolas[[#This Row],[COD ETPA]],tbEtapas[],2,FALSE),"")</f>
        <v/>
      </c>
      <c r="E4486" t="str">
        <f>IFERROR(VLOOKUP(tbEscolas[[#This Row],[COD ETPA]],tbEtapas[],3,FALSE),"")</f>
        <v/>
      </c>
    </row>
    <row r="4487" spans="1:5" x14ac:dyDescent="0.25">
      <c r="A4487" t="str" cm="1">
        <f t="array" ref="A4487">IFERROR(INDEX(tbNucleo[ESCOLA],ROUNDUP(ROW(A4486)/TotalEtapas,0)),"")</f>
        <v/>
      </c>
      <c r="D4487" t="str">
        <f>IFERROR(VLOOKUP(tbEscolas[[#This Row],[COD ETPA]],tbEtapas[],2,FALSE),"")</f>
        <v/>
      </c>
      <c r="E4487" t="str">
        <f>IFERROR(VLOOKUP(tbEscolas[[#This Row],[COD ETPA]],tbEtapas[],3,FALSE),"")</f>
        <v/>
      </c>
    </row>
    <row r="4488" spans="1:5" x14ac:dyDescent="0.25">
      <c r="A4488" t="str" cm="1">
        <f t="array" ref="A4488">IFERROR(INDEX(tbNucleo[ESCOLA],ROUNDUP(ROW(A4487)/TotalEtapas,0)),"")</f>
        <v/>
      </c>
      <c r="D4488" t="str">
        <f>IFERROR(VLOOKUP(tbEscolas[[#This Row],[COD ETPA]],tbEtapas[],2,FALSE),"")</f>
        <v/>
      </c>
      <c r="E4488" t="str">
        <f>IFERROR(VLOOKUP(tbEscolas[[#This Row],[COD ETPA]],tbEtapas[],3,FALSE),"")</f>
        <v/>
      </c>
    </row>
    <row r="4489" spans="1:5" x14ac:dyDescent="0.25">
      <c r="A4489" t="str" cm="1">
        <f t="array" ref="A4489">IFERROR(INDEX(tbNucleo[ESCOLA],ROUNDUP(ROW(A4488)/TotalEtapas,0)),"")</f>
        <v/>
      </c>
      <c r="D4489" t="str">
        <f>IFERROR(VLOOKUP(tbEscolas[[#This Row],[COD ETPA]],tbEtapas[],2,FALSE),"")</f>
        <v/>
      </c>
      <c r="E4489" t="str">
        <f>IFERROR(VLOOKUP(tbEscolas[[#This Row],[COD ETPA]],tbEtapas[],3,FALSE),"")</f>
        <v/>
      </c>
    </row>
    <row r="4490" spans="1:5" x14ac:dyDescent="0.25">
      <c r="A4490" t="str" cm="1">
        <f t="array" ref="A4490">IFERROR(INDEX(tbNucleo[ESCOLA],ROUNDUP(ROW(A4489)/TotalEtapas,0)),"")</f>
        <v/>
      </c>
      <c r="D4490" t="str">
        <f>IFERROR(VLOOKUP(tbEscolas[[#This Row],[COD ETPA]],tbEtapas[],2,FALSE),"")</f>
        <v/>
      </c>
      <c r="E4490" t="str">
        <f>IFERROR(VLOOKUP(tbEscolas[[#This Row],[COD ETPA]],tbEtapas[],3,FALSE),"")</f>
        <v/>
      </c>
    </row>
    <row r="4491" spans="1:5" x14ac:dyDescent="0.25">
      <c r="A4491" t="str" cm="1">
        <f t="array" ref="A4491">IFERROR(INDEX(tbNucleo[ESCOLA],ROUNDUP(ROW(A4490)/TotalEtapas,0)),"")</f>
        <v/>
      </c>
      <c r="D4491" t="str">
        <f>IFERROR(VLOOKUP(tbEscolas[[#This Row],[COD ETPA]],tbEtapas[],2,FALSE),"")</f>
        <v/>
      </c>
      <c r="E4491" t="str">
        <f>IFERROR(VLOOKUP(tbEscolas[[#This Row],[COD ETPA]],tbEtapas[],3,FALSE),"")</f>
        <v/>
      </c>
    </row>
    <row r="4492" spans="1:5" x14ac:dyDescent="0.25">
      <c r="A4492" t="str" cm="1">
        <f t="array" ref="A4492">IFERROR(INDEX(tbNucleo[ESCOLA],ROUNDUP(ROW(A4491)/TotalEtapas,0)),"")</f>
        <v/>
      </c>
      <c r="D4492" t="str">
        <f>IFERROR(VLOOKUP(tbEscolas[[#This Row],[COD ETPA]],tbEtapas[],2,FALSE),"")</f>
        <v/>
      </c>
      <c r="E4492" t="str">
        <f>IFERROR(VLOOKUP(tbEscolas[[#This Row],[COD ETPA]],tbEtapas[],3,FALSE),"")</f>
        <v/>
      </c>
    </row>
    <row r="4493" spans="1:5" x14ac:dyDescent="0.25">
      <c r="A4493" t="str" cm="1">
        <f t="array" ref="A4493">IFERROR(INDEX(tbNucleo[ESCOLA],ROUNDUP(ROW(A4492)/TotalEtapas,0)),"")</f>
        <v/>
      </c>
      <c r="D4493" t="str">
        <f>IFERROR(VLOOKUP(tbEscolas[[#This Row],[COD ETPA]],tbEtapas[],2,FALSE),"")</f>
        <v/>
      </c>
      <c r="E4493" t="str">
        <f>IFERROR(VLOOKUP(tbEscolas[[#This Row],[COD ETPA]],tbEtapas[],3,FALSE),"")</f>
        <v/>
      </c>
    </row>
    <row r="4494" spans="1:5" x14ac:dyDescent="0.25">
      <c r="A4494" t="str" cm="1">
        <f t="array" ref="A4494">IFERROR(INDEX(tbNucleo[ESCOLA],ROUNDUP(ROW(A4493)/TotalEtapas,0)),"")</f>
        <v/>
      </c>
      <c r="D4494" t="str">
        <f>IFERROR(VLOOKUP(tbEscolas[[#This Row],[COD ETPA]],tbEtapas[],2,FALSE),"")</f>
        <v/>
      </c>
      <c r="E4494" t="str">
        <f>IFERROR(VLOOKUP(tbEscolas[[#This Row],[COD ETPA]],tbEtapas[],3,FALSE),"")</f>
        <v/>
      </c>
    </row>
    <row r="4495" spans="1:5" x14ac:dyDescent="0.25">
      <c r="A4495" t="str" cm="1">
        <f t="array" ref="A4495">IFERROR(INDEX(tbNucleo[ESCOLA],ROUNDUP(ROW(A4494)/TotalEtapas,0)),"")</f>
        <v/>
      </c>
      <c r="D4495" t="str">
        <f>IFERROR(VLOOKUP(tbEscolas[[#This Row],[COD ETPA]],tbEtapas[],2,FALSE),"")</f>
        <v/>
      </c>
      <c r="E4495" t="str">
        <f>IFERROR(VLOOKUP(tbEscolas[[#This Row],[COD ETPA]],tbEtapas[],3,FALSE),"")</f>
        <v/>
      </c>
    </row>
    <row r="4496" spans="1:5" x14ac:dyDescent="0.25">
      <c r="A4496" t="str" cm="1">
        <f t="array" ref="A4496">IFERROR(INDEX(tbNucleo[ESCOLA],ROUNDUP(ROW(A4495)/TotalEtapas,0)),"")</f>
        <v/>
      </c>
      <c r="D4496" t="str">
        <f>IFERROR(VLOOKUP(tbEscolas[[#This Row],[COD ETPA]],tbEtapas[],2,FALSE),"")</f>
        <v/>
      </c>
      <c r="E4496" t="str">
        <f>IFERROR(VLOOKUP(tbEscolas[[#This Row],[COD ETPA]],tbEtapas[],3,FALSE),"")</f>
        <v/>
      </c>
    </row>
    <row r="4497" spans="1:5" x14ac:dyDescent="0.25">
      <c r="A4497" t="str" cm="1">
        <f t="array" ref="A4497">IFERROR(INDEX(tbNucleo[ESCOLA],ROUNDUP(ROW(A4496)/TotalEtapas,0)),"")</f>
        <v/>
      </c>
      <c r="D4497" t="str">
        <f>IFERROR(VLOOKUP(tbEscolas[[#This Row],[COD ETPA]],tbEtapas[],2,FALSE),"")</f>
        <v/>
      </c>
      <c r="E4497" t="str">
        <f>IFERROR(VLOOKUP(tbEscolas[[#This Row],[COD ETPA]],tbEtapas[],3,FALSE),"")</f>
        <v/>
      </c>
    </row>
    <row r="4498" spans="1:5" x14ac:dyDescent="0.25">
      <c r="A4498" t="str" cm="1">
        <f t="array" ref="A4498">IFERROR(INDEX(tbNucleo[ESCOLA],ROUNDUP(ROW(A4497)/TotalEtapas,0)),"")</f>
        <v/>
      </c>
      <c r="D4498" t="str">
        <f>IFERROR(VLOOKUP(tbEscolas[[#This Row],[COD ETPA]],tbEtapas[],2,FALSE),"")</f>
        <v/>
      </c>
      <c r="E4498" t="str">
        <f>IFERROR(VLOOKUP(tbEscolas[[#This Row],[COD ETPA]],tbEtapas[],3,FALSE),"")</f>
        <v/>
      </c>
    </row>
    <row r="4499" spans="1:5" x14ac:dyDescent="0.25">
      <c r="A4499" t="str" cm="1">
        <f t="array" ref="A4499">IFERROR(INDEX(tbNucleo[ESCOLA],ROUNDUP(ROW(A4498)/TotalEtapas,0)),"")</f>
        <v/>
      </c>
      <c r="D4499" t="str">
        <f>IFERROR(VLOOKUP(tbEscolas[[#This Row],[COD ETPA]],tbEtapas[],2,FALSE),"")</f>
        <v/>
      </c>
      <c r="E4499" t="str">
        <f>IFERROR(VLOOKUP(tbEscolas[[#This Row],[COD ETPA]],tbEtapas[],3,FALSE),"")</f>
        <v/>
      </c>
    </row>
    <row r="4500" spans="1:5" x14ac:dyDescent="0.25">
      <c r="A4500" t="str" cm="1">
        <f t="array" ref="A4500">IFERROR(INDEX(tbNucleo[ESCOLA],ROUNDUP(ROW(A4499)/TotalEtapas,0)),"")</f>
        <v/>
      </c>
      <c r="D4500" t="str">
        <f>IFERROR(VLOOKUP(tbEscolas[[#This Row],[COD ETPA]],tbEtapas[],2,FALSE),"")</f>
        <v/>
      </c>
      <c r="E4500" t="str">
        <f>IFERROR(VLOOKUP(tbEscolas[[#This Row],[COD ETPA]],tbEtapas[],3,FALSE),"")</f>
        <v/>
      </c>
    </row>
    <row r="4501" spans="1:5" x14ac:dyDescent="0.25">
      <c r="A4501" t="str" cm="1">
        <f t="array" ref="A4501">IFERROR(INDEX(tbNucleo[ESCOLA],ROUNDUP(ROW(A4500)/TotalEtapas,0)),"")</f>
        <v/>
      </c>
      <c r="D4501" t="str">
        <f>IFERROR(VLOOKUP(tbEscolas[[#This Row],[COD ETPA]],tbEtapas[],2,FALSE),"")</f>
        <v/>
      </c>
      <c r="E4501" t="str">
        <f>IFERROR(VLOOKUP(tbEscolas[[#This Row],[COD ETPA]],tbEtapas[],3,FALSE),"")</f>
        <v/>
      </c>
    </row>
    <row r="4502" spans="1:5" x14ac:dyDescent="0.25">
      <c r="A4502" t="str" cm="1">
        <f t="array" ref="A4502">IFERROR(INDEX(tbNucleo[ESCOLA],ROUNDUP(ROW(A4501)/TotalEtapas,0)),"")</f>
        <v/>
      </c>
      <c r="D4502" t="str">
        <f>IFERROR(VLOOKUP(tbEscolas[[#This Row],[COD ETPA]],tbEtapas[],2,FALSE),"")</f>
        <v/>
      </c>
      <c r="E4502" t="str">
        <f>IFERROR(VLOOKUP(tbEscolas[[#This Row],[COD ETPA]],tbEtapas[],3,FALSE),"")</f>
        <v/>
      </c>
    </row>
    <row r="4503" spans="1:5" x14ac:dyDescent="0.25">
      <c r="A4503" t="str" cm="1">
        <f t="array" ref="A4503">IFERROR(INDEX(tbNucleo[ESCOLA],ROUNDUP(ROW(A4502)/TotalEtapas,0)),"")</f>
        <v/>
      </c>
      <c r="D4503" t="str">
        <f>IFERROR(VLOOKUP(tbEscolas[[#This Row],[COD ETPA]],tbEtapas[],2,FALSE),"")</f>
        <v/>
      </c>
      <c r="E4503" t="str">
        <f>IFERROR(VLOOKUP(tbEscolas[[#This Row],[COD ETPA]],tbEtapas[],3,FALSE),"")</f>
        <v/>
      </c>
    </row>
    <row r="4504" spans="1:5" x14ac:dyDescent="0.25">
      <c r="A4504" t="str" cm="1">
        <f t="array" ref="A4504">IFERROR(INDEX(tbNucleo[ESCOLA],ROUNDUP(ROW(A4503)/TotalEtapas,0)),"")</f>
        <v/>
      </c>
      <c r="D4504" t="str">
        <f>IFERROR(VLOOKUP(tbEscolas[[#This Row],[COD ETPA]],tbEtapas[],2,FALSE),"")</f>
        <v/>
      </c>
      <c r="E4504" t="str">
        <f>IFERROR(VLOOKUP(tbEscolas[[#This Row],[COD ETPA]],tbEtapas[],3,FALSE),"")</f>
        <v/>
      </c>
    </row>
    <row r="4505" spans="1:5" x14ac:dyDescent="0.25">
      <c r="A4505" t="str" cm="1">
        <f t="array" ref="A4505">IFERROR(INDEX(tbNucleo[ESCOLA],ROUNDUP(ROW(A4504)/TotalEtapas,0)),"")</f>
        <v/>
      </c>
      <c r="D4505" t="str">
        <f>IFERROR(VLOOKUP(tbEscolas[[#This Row],[COD ETPA]],tbEtapas[],2,FALSE),"")</f>
        <v/>
      </c>
      <c r="E4505" t="str">
        <f>IFERROR(VLOOKUP(tbEscolas[[#This Row],[COD ETPA]],tbEtapas[],3,FALSE),"")</f>
        <v/>
      </c>
    </row>
    <row r="4506" spans="1:5" x14ac:dyDescent="0.25">
      <c r="A4506" t="str" cm="1">
        <f t="array" ref="A4506">IFERROR(INDEX(tbNucleo[ESCOLA],ROUNDUP(ROW(A4505)/TotalEtapas,0)),"")</f>
        <v/>
      </c>
      <c r="D4506" t="str">
        <f>IFERROR(VLOOKUP(tbEscolas[[#This Row],[COD ETPA]],tbEtapas[],2,FALSE),"")</f>
        <v/>
      </c>
      <c r="E4506" t="str">
        <f>IFERROR(VLOOKUP(tbEscolas[[#This Row],[COD ETPA]],tbEtapas[],3,FALSE),"")</f>
        <v/>
      </c>
    </row>
    <row r="4507" spans="1:5" x14ac:dyDescent="0.25">
      <c r="A4507" t="str" cm="1">
        <f t="array" ref="A4507">IFERROR(INDEX(tbNucleo[ESCOLA],ROUNDUP(ROW(A4506)/TotalEtapas,0)),"")</f>
        <v/>
      </c>
      <c r="D4507" t="str">
        <f>IFERROR(VLOOKUP(tbEscolas[[#This Row],[COD ETPA]],tbEtapas[],2,FALSE),"")</f>
        <v/>
      </c>
      <c r="E4507" t="str">
        <f>IFERROR(VLOOKUP(tbEscolas[[#This Row],[COD ETPA]],tbEtapas[],3,FALSE),"")</f>
        <v/>
      </c>
    </row>
    <row r="4508" spans="1:5" x14ac:dyDescent="0.25">
      <c r="A4508" t="str" cm="1">
        <f t="array" ref="A4508">IFERROR(INDEX(tbNucleo[ESCOLA],ROUNDUP(ROW(A4507)/TotalEtapas,0)),"")</f>
        <v/>
      </c>
      <c r="D4508" t="str">
        <f>IFERROR(VLOOKUP(tbEscolas[[#This Row],[COD ETPA]],tbEtapas[],2,FALSE),"")</f>
        <v/>
      </c>
      <c r="E4508" t="str">
        <f>IFERROR(VLOOKUP(tbEscolas[[#This Row],[COD ETPA]],tbEtapas[],3,FALSE),"")</f>
        <v/>
      </c>
    </row>
    <row r="4509" spans="1:5" x14ac:dyDescent="0.25">
      <c r="A4509" t="str" cm="1">
        <f t="array" ref="A4509">IFERROR(INDEX(tbNucleo[ESCOLA],ROUNDUP(ROW(A4508)/TotalEtapas,0)),"")</f>
        <v/>
      </c>
      <c r="D4509" t="str">
        <f>IFERROR(VLOOKUP(tbEscolas[[#This Row],[COD ETPA]],tbEtapas[],2,FALSE),"")</f>
        <v/>
      </c>
      <c r="E4509" t="str">
        <f>IFERROR(VLOOKUP(tbEscolas[[#This Row],[COD ETPA]],tbEtapas[],3,FALSE),"")</f>
        <v/>
      </c>
    </row>
    <row r="4510" spans="1:5" x14ac:dyDescent="0.25">
      <c r="A4510" t="str" cm="1">
        <f t="array" ref="A4510">IFERROR(INDEX(tbNucleo[ESCOLA],ROUNDUP(ROW(A4509)/TotalEtapas,0)),"")</f>
        <v/>
      </c>
      <c r="D4510" t="str">
        <f>IFERROR(VLOOKUP(tbEscolas[[#This Row],[COD ETPA]],tbEtapas[],2,FALSE),"")</f>
        <v/>
      </c>
      <c r="E4510" t="str">
        <f>IFERROR(VLOOKUP(tbEscolas[[#This Row],[COD ETPA]],tbEtapas[],3,FALSE),"")</f>
        <v/>
      </c>
    </row>
    <row r="4511" spans="1:5" x14ac:dyDescent="0.25">
      <c r="A4511" t="str" cm="1">
        <f t="array" ref="A4511">IFERROR(INDEX(tbNucleo[ESCOLA],ROUNDUP(ROW(A4510)/TotalEtapas,0)),"")</f>
        <v/>
      </c>
      <c r="D4511" t="str">
        <f>IFERROR(VLOOKUP(tbEscolas[[#This Row],[COD ETPA]],tbEtapas[],2,FALSE),"")</f>
        <v/>
      </c>
      <c r="E4511" t="str">
        <f>IFERROR(VLOOKUP(tbEscolas[[#This Row],[COD ETPA]],tbEtapas[],3,FALSE),"")</f>
        <v/>
      </c>
    </row>
    <row r="4512" spans="1:5" x14ac:dyDescent="0.25">
      <c r="A4512" t="str" cm="1">
        <f t="array" ref="A4512">IFERROR(INDEX(tbNucleo[ESCOLA],ROUNDUP(ROW(A4511)/TotalEtapas,0)),"")</f>
        <v/>
      </c>
      <c r="D4512" t="str">
        <f>IFERROR(VLOOKUP(tbEscolas[[#This Row],[COD ETPA]],tbEtapas[],2,FALSE),"")</f>
        <v/>
      </c>
      <c r="E4512" t="str">
        <f>IFERROR(VLOOKUP(tbEscolas[[#This Row],[COD ETPA]],tbEtapas[],3,FALSE),"")</f>
        <v/>
      </c>
    </row>
    <row r="4513" spans="1:5" x14ac:dyDescent="0.25">
      <c r="A4513" t="str" cm="1">
        <f t="array" ref="A4513">IFERROR(INDEX(tbNucleo[ESCOLA],ROUNDUP(ROW(A4512)/TotalEtapas,0)),"")</f>
        <v/>
      </c>
      <c r="D4513" t="str">
        <f>IFERROR(VLOOKUP(tbEscolas[[#This Row],[COD ETPA]],tbEtapas[],2,FALSE),"")</f>
        <v/>
      </c>
      <c r="E4513" t="str">
        <f>IFERROR(VLOOKUP(tbEscolas[[#This Row],[COD ETPA]],tbEtapas[],3,FALSE),"")</f>
        <v/>
      </c>
    </row>
    <row r="4514" spans="1:5" x14ac:dyDescent="0.25">
      <c r="A4514" t="str" cm="1">
        <f t="array" ref="A4514">IFERROR(INDEX(tbNucleo[ESCOLA],ROUNDUP(ROW(A4513)/TotalEtapas,0)),"")</f>
        <v/>
      </c>
      <c r="D4514" t="str">
        <f>IFERROR(VLOOKUP(tbEscolas[[#This Row],[COD ETPA]],tbEtapas[],2,FALSE),"")</f>
        <v/>
      </c>
      <c r="E4514" t="str">
        <f>IFERROR(VLOOKUP(tbEscolas[[#This Row],[COD ETPA]],tbEtapas[],3,FALSE),"")</f>
        <v/>
      </c>
    </row>
    <row r="4515" spans="1:5" x14ac:dyDescent="0.25">
      <c r="A4515" t="str" cm="1">
        <f t="array" ref="A4515">IFERROR(INDEX(tbNucleo[ESCOLA],ROUNDUP(ROW(A4514)/TotalEtapas,0)),"")</f>
        <v/>
      </c>
      <c r="D4515" t="str">
        <f>IFERROR(VLOOKUP(tbEscolas[[#This Row],[COD ETPA]],tbEtapas[],2,FALSE),"")</f>
        <v/>
      </c>
      <c r="E4515" t="str">
        <f>IFERROR(VLOOKUP(tbEscolas[[#This Row],[COD ETPA]],tbEtapas[],3,FALSE),"")</f>
        <v/>
      </c>
    </row>
    <row r="4516" spans="1:5" x14ac:dyDescent="0.25">
      <c r="A4516" t="str" cm="1">
        <f t="array" ref="A4516">IFERROR(INDEX(tbNucleo[ESCOLA],ROUNDUP(ROW(A4515)/TotalEtapas,0)),"")</f>
        <v/>
      </c>
      <c r="D4516" t="str">
        <f>IFERROR(VLOOKUP(tbEscolas[[#This Row],[COD ETPA]],tbEtapas[],2,FALSE),"")</f>
        <v/>
      </c>
      <c r="E4516" t="str">
        <f>IFERROR(VLOOKUP(tbEscolas[[#This Row],[COD ETPA]],tbEtapas[],3,FALSE),"")</f>
        <v/>
      </c>
    </row>
    <row r="4517" spans="1:5" x14ac:dyDescent="0.25">
      <c r="A4517" t="str" cm="1">
        <f t="array" ref="A4517">IFERROR(INDEX(tbNucleo[ESCOLA],ROUNDUP(ROW(A4516)/TotalEtapas,0)),"")</f>
        <v/>
      </c>
      <c r="D4517" t="str">
        <f>IFERROR(VLOOKUP(tbEscolas[[#This Row],[COD ETPA]],tbEtapas[],2,FALSE),"")</f>
        <v/>
      </c>
      <c r="E4517" t="str">
        <f>IFERROR(VLOOKUP(tbEscolas[[#This Row],[COD ETPA]],tbEtapas[],3,FALSE),"")</f>
        <v/>
      </c>
    </row>
    <row r="4518" spans="1:5" x14ac:dyDescent="0.25">
      <c r="A4518" t="str" cm="1">
        <f t="array" ref="A4518">IFERROR(INDEX(tbNucleo[ESCOLA],ROUNDUP(ROW(A4517)/TotalEtapas,0)),"")</f>
        <v/>
      </c>
      <c r="D4518" t="str">
        <f>IFERROR(VLOOKUP(tbEscolas[[#This Row],[COD ETPA]],tbEtapas[],2,FALSE),"")</f>
        <v/>
      </c>
      <c r="E4518" t="str">
        <f>IFERROR(VLOOKUP(tbEscolas[[#This Row],[COD ETPA]],tbEtapas[],3,FALSE),"")</f>
        <v/>
      </c>
    </row>
    <row r="4519" spans="1:5" x14ac:dyDescent="0.25">
      <c r="A4519" t="str" cm="1">
        <f t="array" ref="A4519">IFERROR(INDEX(tbNucleo[ESCOLA],ROUNDUP(ROW(A4518)/TotalEtapas,0)),"")</f>
        <v/>
      </c>
      <c r="D4519" t="str">
        <f>IFERROR(VLOOKUP(tbEscolas[[#This Row],[COD ETPA]],tbEtapas[],2,FALSE),"")</f>
        <v/>
      </c>
      <c r="E4519" t="str">
        <f>IFERROR(VLOOKUP(tbEscolas[[#This Row],[COD ETPA]],tbEtapas[],3,FALSE),"")</f>
        <v/>
      </c>
    </row>
    <row r="4520" spans="1:5" x14ac:dyDescent="0.25">
      <c r="A4520" t="str" cm="1">
        <f t="array" ref="A4520">IFERROR(INDEX(tbNucleo[ESCOLA],ROUNDUP(ROW(A4519)/TotalEtapas,0)),"")</f>
        <v/>
      </c>
      <c r="D4520" t="str">
        <f>IFERROR(VLOOKUP(tbEscolas[[#This Row],[COD ETPA]],tbEtapas[],2,FALSE),"")</f>
        <v/>
      </c>
      <c r="E4520" t="str">
        <f>IFERROR(VLOOKUP(tbEscolas[[#This Row],[COD ETPA]],tbEtapas[],3,FALSE),"")</f>
        <v/>
      </c>
    </row>
    <row r="4521" spans="1:5" x14ac:dyDescent="0.25">
      <c r="A4521" t="str" cm="1">
        <f t="array" ref="A4521">IFERROR(INDEX(tbNucleo[ESCOLA],ROUNDUP(ROW(A4520)/TotalEtapas,0)),"")</f>
        <v/>
      </c>
      <c r="D4521" t="str">
        <f>IFERROR(VLOOKUP(tbEscolas[[#This Row],[COD ETPA]],tbEtapas[],2,FALSE),"")</f>
        <v/>
      </c>
      <c r="E4521" t="str">
        <f>IFERROR(VLOOKUP(tbEscolas[[#This Row],[COD ETPA]],tbEtapas[],3,FALSE),"")</f>
        <v/>
      </c>
    </row>
    <row r="4522" spans="1:5" x14ac:dyDescent="0.25">
      <c r="A4522" t="str" cm="1">
        <f t="array" ref="A4522">IFERROR(INDEX(tbNucleo[ESCOLA],ROUNDUP(ROW(A4521)/TotalEtapas,0)),"")</f>
        <v/>
      </c>
      <c r="D4522" t="str">
        <f>IFERROR(VLOOKUP(tbEscolas[[#This Row],[COD ETPA]],tbEtapas[],2,FALSE),"")</f>
        <v/>
      </c>
      <c r="E4522" t="str">
        <f>IFERROR(VLOOKUP(tbEscolas[[#This Row],[COD ETPA]],tbEtapas[],3,FALSE),"")</f>
        <v/>
      </c>
    </row>
    <row r="4523" spans="1:5" x14ac:dyDescent="0.25">
      <c r="A4523" t="str" cm="1">
        <f t="array" ref="A4523">IFERROR(INDEX(tbNucleo[ESCOLA],ROUNDUP(ROW(A4522)/TotalEtapas,0)),"")</f>
        <v/>
      </c>
      <c r="D4523" t="str">
        <f>IFERROR(VLOOKUP(tbEscolas[[#This Row],[COD ETPA]],tbEtapas[],2,FALSE),"")</f>
        <v/>
      </c>
      <c r="E4523" t="str">
        <f>IFERROR(VLOOKUP(tbEscolas[[#This Row],[COD ETPA]],tbEtapas[],3,FALSE),"")</f>
        <v/>
      </c>
    </row>
    <row r="4524" spans="1:5" x14ac:dyDescent="0.25">
      <c r="A4524" t="str" cm="1">
        <f t="array" ref="A4524">IFERROR(INDEX(tbNucleo[ESCOLA],ROUNDUP(ROW(A4523)/TotalEtapas,0)),"")</f>
        <v/>
      </c>
      <c r="D4524" t="str">
        <f>IFERROR(VLOOKUP(tbEscolas[[#This Row],[COD ETPA]],tbEtapas[],2,FALSE),"")</f>
        <v/>
      </c>
      <c r="E4524" t="str">
        <f>IFERROR(VLOOKUP(tbEscolas[[#This Row],[COD ETPA]],tbEtapas[],3,FALSE),"")</f>
        <v/>
      </c>
    </row>
    <row r="4525" spans="1:5" x14ac:dyDescent="0.25">
      <c r="A4525" t="str" cm="1">
        <f t="array" ref="A4525">IFERROR(INDEX(tbNucleo[ESCOLA],ROUNDUP(ROW(A4524)/TotalEtapas,0)),"")</f>
        <v/>
      </c>
      <c r="D4525" t="str">
        <f>IFERROR(VLOOKUP(tbEscolas[[#This Row],[COD ETPA]],tbEtapas[],2,FALSE),"")</f>
        <v/>
      </c>
      <c r="E4525" t="str">
        <f>IFERROR(VLOOKUP(tbEscolas[[#This Row],[COD ETPA]],tbEtapas[],3,FALSE),"")</f>
        <v/>
      </c>
    </row>
    <row r="4526" spans="1:5" x14ac:dyDescent="0.25">
      <c r="A4526" t="str" cm="1">
        <f t="array" ref="A4526">IFERROR(INDEX(tbNucleo[ESCOLA],ROUNDUP(ROW(A4525)/TotalEtapas,0)),"")</f>
        <v/>
      </c>
      <c r="D4526" t="str">
        <f>IFERROR(VLOOKUP(tbEscolas[[#This Row],[COD ETPA]],tbEtapas[],2,FALSE),"")</f>
        <v/>
      </c>
      <c r="E4526" t="str">
        <f>IFERROR(VLOOKUP(tbEscolas[[#This Row],[COD ETPA]],tbEtapas[],3,FALSE),"")</f>
        <v/>
      </c>
    </row>
    <row r="4527" spans="1:5" x14ac:dyDescent="0.25">
      <c r="A4527" t="str" cm="1">
        <f t="array" ref="A4527">IFERROR(INDEX(tbNucleo[ESCOLA],ROUNDUP(ROW(A4526)/TotalEtapas,0)),"")</f>
        <v/>
      </c>
      <c r="D4527" t="str">
        <f>IFERROR(VLOOKUP(tbEscolas[[#This Row],[COD ETPA]],tbEtapas[],2,FALSE),"")</f>
        <v/>
      </c>
      <c r="E4527" t="str">
        <f>IFERROR(VLOOKUP(tbEscolas[[#This Row],[COD ETPA]],tbEtapas[],3,FALSE),"")</f>
        <v/>
      </c>
    </row>
    <row r="4528" spans="1:5" x14ac:dyDescent="0.25">
      <c r="A4528" t="str" cm="1">
        <f t="array" ref="A4528">IFERROR(INDEX(tbNucleo[ESCOLA],ROUNDUP(ROW(A4527)/TotalEtapas,0)),"")</f>
        <v/>
      </c>
      <c r="D4528" t="str">
        <f>IFERROR(VLOOKUP(tbEscolas[[#This Row],[COD ETPA]],tbEtapas[],2,FALSE),"")</f>
        <v/>
      </c>
      <c r="E4528" t="str">
        <f>IFERROR(VLOOKUP(tbEscolas[[#This Row],[COD ETPA]],tbEtapas[],3,FALSE),"")</f>
        <v/>
      </c>
    </row>
    <row r="4529" spans="1:5" x14ac:dyDescent="0.25">
      <c r="A4529" t="str" cm="1">
        <f t="array" ref="A4529">IFERROR(INDEX(tbNucleo[ESCOLA],ROUNDUP(ROW(A4528)/TotalEtapas,0)),"")</f>
        <v/>
      </c>
      <c r="D4529" t="str">
        <f>IFERROR(VLOOKUP(tbEscolas[[#This Row],[COD ETPA]],tbEtapas[],2,FALSE),"")</f>
        <v/>
      </c>
      <c r="E4529" t="str">
        <f>IFERROR(VLOOKUP(tbEscolas[[#This Row],[COD ETPA]],tbEtapas[],3,FALSE),"")</f>
        <v/>
      </c>
    </row>
    <row r="4530" spans="1:5" x14ac:dyDescent="0.25">
      <c r="A4530" t="str" cm="1">
        <f t="array" ref="A4530">IFERROR(INDEX(tbNucleo[ESCOLA],ROUNDUP(ROW(A4529)/TotalEtapas,0)),"")</f>
        <v/>
      </c>
      <c r="D4530" t="str">
        <f>IFERROR(VLOOKUP(tbEscolas[[#This Row],[COD ETPA]],tbEtapas[],2,FALSE),"")</f>
        <v/>
      </c>
      <c r="E4530" t="str">
        <f>IFERROR(VLOOKUP(tbEscolas[[#This Row],[COD ETPA]],tbEtapas[],3,FALSE),"")</f>
        <v/>
      </c>
    </row>
    <row r="4531" spans="1:5" x14ac:dyDescent="0.25">
      <c r="A4531" t="str" cm="1">
        <f t="array" ref="A4531">IFERROR(INDEX(tbNucleo[ESCOLA],ROUNDUP(ROW(A4530)/TotalEtapas,0)),"")</f>
        <v/>
      </c>
      <c r="D4531" t="str">
        <f>IFERROR(VLOOKUP(tbEscolas[[#This Row],[COD ETPA]],tbEtapas[],2,FALSE),"")</f>
        <v/>
      </c>
      <c r="E4531" t="str">
        <f>IFERROR(VLOOKUP(tbEscolas[[#This Row],[COD ETPA]],tbEtapas[],3,FALSE),"")</f>
        <v/>
      </c>
    </row>
    <row r="4532" spans="1:5" x14ac:dyDescent="0.25">
      <c r="A4532" t="str" cm="1">
        <f t="array" ref="A4532">IFERROR(INDEX(tbNucleo[ESCOLA],ROUNDUP(ROW(A4531)/TotalEtapas,0)),"")</f>
        <v/>
      </c>
      <c r="D4532" t="str">
        <f>IFERROR(VLOOKUP(tbEscolas[[#This Row],[COD ETPA]],tbEtapas[],2,FALSE),"")</f>
        <v/>
      </c>
      <c r="E4532" t="str">
        <f>IFERROR(VLOOKUP(tbEscolas[[#This Row],[COD ETPA]],tbEtapas[],3,FALSE),"")</f>
        <v/>
      </c>
    </row>
    <row r="4533" spans="1:5" x14ac:dyDescent="0.25">
      <c r="A4533" t="str" cm="1">
        <f t="array" ref="A4533">IFERROR(INDEX(tbNucleo[ESCOLA],ROUNDUP(ROW(A4532)/TotalEtapas,0)),"")</f>
        <v/>
      </c>
      <c r="D4533" t="str">
        <f>IFERROR(VLOOKUP(tbEscolas[[#This Row],[COD ETPA]],tbEtapas[],2,FALSE),"")</f>
        <v/>
      </c>
      <c r="E4533" t="str">
        <f>IFERROR(VLOOKUP(tbEscolas[[#This Row],[COD ETPA]],tbEtapas[],3,FALSE),"")</f>
        <v/>
      </c>
    </row>
    <row r="4534" spans="1:5" x14ac:dyDescent="0.25">
      <c r="A4534" t="str" cm="1">
        <f t="array" ref="A4534">IFERROR(INDEX(tbNucleo[ESCOLA],ROUNDUP(ROW(A4533)/TotalEtapas,0)),"")</f>
        <v/>
      </c>
      <c r="D4534" t="str">
        <f>IFERROR(VLOOKUP(tbEscolas[[#This Row],[COD ETPA]],tbEtapas[],2,FALSE),"")</f>
        <v/>
      </c>
      <c r="E4534" t="str">
        <f>IFERROR(VLOOKUP(tbEscolas[[#This Row],[COD ETPA]],tbEtapas[],3,FALSE),"")</f>
        <v/>
      </c>
    </row>
    <row r="4535" spans="1:5" x14ac:dyDescent="0.25">
      <c r="A4535" t="str" cm="1">
        <f t="array" ref="A4535">IFERROR(INDEX(tbNucleo[ESCOLA],ROUNDUP(ROW(A4534)/TotalEtapas,0)),"")</f>
        <v/>
      </c>
      <c r="D4535" t="str">
        <f>IFERROR(VLOOKUP(tbEscolas[[#This Row],[COD ETPA]],tbEtapas[],2,FALSE),"")</f>
        <v/>
      </c>
      <c r="E4535" t="str">
        <f>IFERROR(VLOOKUP(tbEscolas[[#This Row],[COD ETPA]],tbEtapas[],3,FALSE),"")</f>
        <v/>
      </c>
    </row>
    <row r="4536" spans="1:5" x14ac:dyDescent="0.25">
      <c r="A4536" t="str" cm="1">
        <f t="array" ref="A4536">IFERROR(INDEX(tbNucleo[ESCOLA],ROUNDUP(ROW(A4535)/TotalEtapas,0)),"")</f>
        <v/>
      </c>
      <c r="D4536" t="str">
        <f>IFERROR(VLOOKUP(tbEscolas[[#This Row],[COD ETPA]],tbEtapas[],2,FALSE),"")</f>
        <v/>
      </c>
      <c r="E4536" t="str">
        <f>IFERROR(VLOOKUP(tbEscolas[[#This Row],[COD ETPA]],tbEtapas[],3,FALSE),"")</f>
        <v/>
      </c>
    </row>
    <row r="4537" spans="1:5" x14ac:dyDescent="0.25">
      <c r="A4537" t="str" cm="1">
        <f t="array" ref="A4537">IFERROR(INDEX(tbNucleo[ESCOLA],ROUNDUP(ROW(A4536)/TotalEtapas,0)),"")</f>
        <v/>
      </c>
      <c r="D4537" t="str">
        <f>IFERROR(VLOOKUP(tbEscolas[[#This Row],[COD ETPA]],tbEtapas[],2,FALSE),"")</f>
        <v/>
      </c>
      <c r="E4537" t="str">
        <f>IFERROR(VLOOKUP(tbEscolas[[#This Row],[COD ETPA]],tbEtapas[],3,FALSE),"")</f>
        <v/>
      </c>
    </row>
    <row r="4538" spans="1:5" x14ac:dyDescent="0.25">
      <c r="A4538" t="str" cm="1">
        <f t="array" ref="A4538">IFERROR(INDEX(tbNucleo[ESCOLA],ROUNDUP(ROW(A4537)/TotalEtapas,0)),"")</f>
        <v/>
      </c>
      <c r="D4538" t="str">
        <f>IFERROR(VLOOKUP(tbEscolas[[#This Row],[COD ETPA]],tbEtapas[],2,FALSE),"")</f>
        <v/>
      </c>
      <c r="E4538" t="str">
        <f>IFERROR(VLOOKUP(tbEscolas[[#This Row],[COD ETPA]],tbEtapas[],3,FALSE),"")</f>
        <v/>
      </c>
    </row>
    <row r="4539" spans="1:5" x14ac:dyDescent="0.25">
      <c r="A4539" t="str" cm="1">
        <f t="array" ref="A4539">IFERROR(INDEX(tbNucleo[ESCOLA],ROUNDUP(ROW(A4538)/TotalEtapas,0)),"")</f>
        <v/>
      </c>
      <c r="D4539" t="str">
        <f>IFERROR(VLOOKUP(tbEscolas[[#This Row],[COD ETPA]],tbEtapas[],2,FALSE),"")</f>
        <v/>
      </c>
      <c r="E4539" t="str">
        <f>IFERROR(VLOOKUP(tbEscolas[[#This Row],[COD ETPA]],tbEtapas[],3,FALSE),"")</f>
        <v/>
      </c>
    </row>
    <row r="4540" spans="1:5" x14ac:dyDescent="0.25">
      <c r="A4540" t="str" cm="1">
        <f t="array" ref="A4540">IFERROR(INDEX(tbNucleo[ESCOLA],ROUNDUP(ROW(A4539)/TotalEtapas,0)),"")</f>
        <v/>
      </c>
      <c r="D4540" t="str">
        <f>IFERROR(VLOOKUP(tbEscolas[[#This Row],[COD ETPA]],tbEtapas[],2,FALSE),"")</f>
        <v/>
      </c>
      <c r="E4540" t="str">
        <f>IFERROR(VLOOKUP(tbEscolas[[#This Row],[COD ETPA]],tbEtapas[],3,FALSE),"")</f>
        <v/>
      </c>
    </row>
    <row r="4541" spans="1:5" x14ac:dyDescent="0.25">
      <c r="A4541" t="str" cm="1">
        <f t="array" ref="A4541">IFERROR(INDEX(tbNucleo[ESCOLA],ROUNDUP(ROW(A4540)/TotalEtapas,0)),"")</f>
        <v/>
      </c>
      <c r="D4541" t="str">
        <f>IFERROR(VLOOKUP(tbEscolas[[#This Row],[COD ETPA]],tbEtapas[],2,FALSE),"")</f>
        <v/>
      </c>
      <c r="E4541" t="str">
        <f>IFERROR(VLOOKUP(tbEscolas[[#This Row],[COD ETPA]],tbEtapas[],3,FALSE),"")</f>
        <v/>
      </c>
    </row>
    <row r="4542" spans="1:5" x14ac:dyDescent="0.25">
      <c r="A4542" t="str" cm="1">
        <f t="array" ref="A4542">IFERROR(INDEX(tbNucleo[ESCOLA],ROUNDUP(ROW(A4541)/TotalEtapas,0)),"")</f>
        <v/>
      </c>
      <c r="D4542" t="str">
        <f>IFERROR(VLOOKUP(tbEscolas[[#This Row],[COD ETPA]],tbEtapas[],2,FALSE),"")</f>
        <v/>
      </c>
      <c r="E4542" t="str">
        <f>IFERROR(VLOOKUP(tbEscolas[[#This Row],[COD ETPA]],tbEtapas[],3,FALSE),"")</f>
        <v/>
      </c>
    </row>
    <row r="4543" spans="1:5" x14ac:dyDescent="0.25">
      <c r="A4543" t="str" cm="1">
        <f t="array" ref="A4543">IFERROR(INDEX(tbNucleo[ESCOLA],ROUNDUP(ROW(A4542)/TotalEtapas,0)),"")</f>
        <v/>
      </c>
      <c r="D4543" t="str">
        <f>IFERROR(VLOOKUP(tbEscolas[[#This Row],[COD ETPA]],tbEtapas[],2,FALSE),"")</f>
        <v/>
      </c>
      <c r="E4543" t="str">
        <f>IFERROR(VLOOKUP(tbEscolas[[#This Row],[COD ETPA]],tbEtapas[],3,FALSE),"")</f>
        <v/>
      </c>
    </row>
    <row r="4544" spans="1:5" x14ac:dyDescent="0.25">
      <c r="A4544" t="str" cm="1">
        <f t="array" ref="A4544">IFERROR(INDEX(tbNucleo[ESCOLA],ROUNDUP(ROW(A4543)/TotalEtapas,0)),"")</f>
        <v/>
      </c>
      <c r="D4544" t="str">
        <f>IFERROR(VLOOKUP(tbEscolas[[#This Row],[COD ETPA]],tbEtapas[],2,FALSE),"")</f>
        <v/>
      </c>
      <c r="E4544" t="str">
        <f>IFERROR(VLOOKUP(tbEscolas[[#This Row],[COD ETPA]],tbEtapas[],3,FALSE),"")</f>
        <v/>
      </c>
    </row>
    <row r="4545" spans="1:5" x14ac:dyDescent="0.25">
      <c r="A4545" t="str" cm="1">
        <f t="array" ref="A4545">IFERROR(INDEX(tbNucleo[ESCOLA],ROUNDUP(ROW(A4544)/TotalEtapas,0)),"")</f>
        <v/>
      </c>
      <c r="D4545" t="str">
        <f>IFERROR(VLOOKUP(tbEscolas[[#This Row],[COD ETPA]],tbEtapas[],2,FALSE),"")</f>
        <v/>
      </c>
      <c r="E4545" t="str">
        <f>IFERROR(VLOOKUP(tbEscolas[[#This Row],[COD ETPA]],tbEtapas[],3,FALSE),"")</f>
        <v/>
      </c>
    </row>
    <row r="4546" spans="1:5" x14ac:dyDescent="0.25">
      <c r="A4546" t="str" cm="1">
        <f t="array" ref="A4546">IFERROR(INDEX(tbNucleo[ESCOLA],ROUNDUP(ROW(A4545)/TotalEtapas,0)),"")</f>
        <v/>
      </c>
      <c r="D4546" t="str">
        <f>IFERROR(VLOOKUP(tbEscolas[[#This Row],[COD ETPA]],tbEtapas[],2,FALSE),"")</f>
        <v/>
      </c>
      <c r="E4546" t="str">
        <f>IFERROR(VLOOKUP(tbEscolas[[#This Row],[COD ETPA]],tbEtapas[],3,FALSE),"")</f>
        <v/>
      </c>
    </row>
    <row r="4547" spans="1:5" x14ac:dyDescent="0.25">
      <c r="A4547" t="str" cm="1">
        <f t="array" ref="A4547">IFERROR(INDEX(tbNucleo[ESCOLA],ROUNDUP(ROW(A4546)/TotalEtapas,0)),"")</f>
        <v/>
      </c>
      <c r="D4547" t="str">
        <f>IFERROR(VLOOKUP(tbEscolas[[#This Row],[COD ETPA]],tbEtapas[],2,FALSE),"")</f>
        <v/>
      </c>
      <c r="E4547" t="str">
        <f>IFERROR(VLOOKUP(tbEscolas[[#This Row],[COD ETPA]],tbEtapas[],3,FALSE),"")</f>
        <v/>
      </c>
    </row>
    <row r="4548" spans="1:5" x14ac:dyDescent="0.25">
      <c r="A4548" t="str" cm="1">
        <f t="array" ref="A4548">IFERROR(INDEX(tbNucleo[ESCOLA],ROUNDUP(ROW(A4547)/TotalEtapas,0)),"")</f>
        <v/>
      </c>
      <c r="D4548" t="str">
        <f>IFERROR(VLOOKUP(tbEscolas[[#This Row],[COD ETPA]],tbEtapas[],2,FALSE),"")</f>
        <v/>
      </c>
      <c r="E4548" t="str">
        <f>IFERROR(VLOOKUP(tbEscolas[[#This Row],[COD ETPA]],tbEtapas[],3,FALSE),"")</f>
        <v/>
      </c>
    </row>
    <row r="4549" spans="1:5" x14ac:dyDescent="0.25">
      <c r="A4549" t="str" cm="1">
        <f t="array" ref="A4549">IFERROR(INDEX(tbNucleo[ESCOLA],ROUNDUP(ROW(A4548)/TotalEtapas,0)),"")</f>
        <v/>
      </c>
      <c r="D4549" t="str">
        <f>IFERROR(VLOOKUP(tbEscolas[[#This Row],[COD ETPA]],tbEtapas[],2,FALSE),"")</f>
        <v/>
      </c>
      <c r="E4549" t="str">
        <f>IFERROR(VLOOKUP(tbEscolas[[#This Row],[COD ETPA]],tbEtapas[],3,FALSE),"")</f>
        <v/>
      </c>
    </row>
    <row r="4550" spans="1:5" x14ac:dyDescent="0.25">
      <c r="A4550" t="str" cm="1">
        <f t="array" ref="A4550">IFERROR(INDEX(tbNucleo[ESCOLA],ROUNDUP(ROW(A4549)/TotalEtapas,0)),"")</f>
        <v/>
      </c>
      <c r="D4550" t="str">
        <f>IFERROR(VLOOKUP(tbEscolas[[#This Row],[COD ETPA]],tbEtapas[],2,FALSE),"")</f>
        <v/>
      </c>
      <c r="E4550" t="str">
        <f>IFERROR(VLOOKUP(tbEscolas[[#This Row],[COD ETPA]],tbEtapas[],3,FALSE),"")</f>
        <v/>
      </c>
    </row>
    <row r="4551" spans="1:5" x14ac:dyDescent="0.25">
      <c r="A4551" t="str" cm="1">
        <f t="array" ref="A4551">IFERROR(INDEX(tbNucleo[ESCOLA],ROUNDUP(ROW(A4550)/TotalEtapas,0)),"")</f>
        <v/>
      </c>
      <c r="D4551" t="str">
        <f>IFERROR(VLOOKUP(tbEscolas[[#This Row],[COD ETPA]],tbEtapas[],2,FALSE),"")</f>
        <v/>
      </c>
      <c r="E4551" t="str">
        <f>IFERROR(VLOOKUP(tbEscolas[[#This Row],[COD ETPA]],tbEtapas[],3,FALSE),"")</f>
        <v/>
      </c>
    </row>
    <row r="4552" spans="1:5" x14ac:dyDescent="0.25">
      <c r="A4552" t="str" cm="1">
        <f t="array" ref="A4552">IFERROR(INDEX(tbNucleo[ESCOLA],ROUNDUP(ROW(A4551)/TotalEtapas,0)),"")</f>
        <v/>
      </c>
      <c r="D4552" t="str">
        <f>IFERROR(VLOOKUP(tbEscolas[[#This Row],[COD ETPA]],tbEtapas[],2,FALSE),"")</f>
        <v/>
      </c>
      <c r="E4552" t="str">
        <f>IFERROR(VLOOKUP(tbEscolas[[#This Row],[COD ETPA]],tbEtapas[],3,FALSE),"")</f>
        <v/>
      </c>
    </row>
    <row r="4553" spans="1:5" x14ac:dyDescent="0.25">
      <c r="A4553" t="str" cm="1">
        <f t="array" ref="A4553">IFERROR(INDEX(tbNucleo[ESCOLA],ROUNDUP(ROW(A4552)/TotalEtapas,0)),"")</f>
        <v/>
      </c>
      <c r="D4553" t="str">
        <f>IFERROR(VLOOKUP(tbEscolas[[#This Row],[COD ETPA]],tbEtapas[],2,FALSE),"")</f>
        <v/>
      </c>
      <c r="E4553" t="str">
        <f>IFERROR(VLOOKUP(tbEscolas[[#This Row],[COD ETPA]],tbEtapas[],3,FALSE),"")</f>
        <v/>
      </c>
    </row>
    <row r="4554" spans="1:5" x14ac:dyDescent="0.25">
      <c r="A4554" t="str" cm="1">
        <f t="array" ref="A4554">IFERROR(INDEX(tbNucleo[ESCOLA],ROUNDUP(ROW(A4553)/TotalEtapas,0)),"")</f>
        <v/>
      </c>
      <c r="D4554" t="str">
        <f>IFERROR(VLOOKUP(tbEscolas[[#This Row],[COD ETPA]],tbEtapas[],2,FALSE),"")</f>
        <v/>
      </c>
      <c r="E4554" t="str">
        <f>IFERROR(VLOOKUP(tbEscolas[[#This Row],[COD ETPA]],tbEtapas[],3,FALSE),"")</f>
        <v/>
      </c>
    </row>
    <row r="4555" spans="1:5" x14ac:dyDescent="0.25">
      <c r="A4555" t="str" cm="1">
        <f t="array" ref="A4555">IFERROR(INDEX(tbNucleo[ESCOLA],ROUNDUP(ROW(A4554)/TotalEtapas,0)),"")</f>
        <v/>
      </c>
      <c r="D4555" t="str">
        <f>IFERROR(VLOOKUP(tbEscolas[[#This Row],[COD ETPA]],tbEtapas[],2,FALSE),"")</f>
        <v/>
      </c>
      <c r="E4555" t="str">
        <f>IFERROR(VLOOKUP(tbEscolas[[#This Row],[COD ETPA]],tbEtapas[],3,FALSE),"")</f>
        <v/>
      </c>
    </row>
    <row r="4556" spans="1:5" x14ac:dyDescent="0.25">
      <c r="A4556" t="str" cm="1">
        <f t="array" ref="A4556">IFERROR(INDEX(tbNucleo[ESCOLA],ROUNDUP(ROW(A4555)/TotalEtapas,0)),"")</f>
        <v/>
      </c>
      <c r="D4556" t="str">
        <f>IFERROR(VLOOKUP(tbEscolas[[#This Row],[COD ETPA]],tbEtapas[],2,FALSE),"")</f>
        <v/>
      </c>
      <c r="E4556" t="str">
        <f>IFERROR(VLOOKUP(tbEscolas[[#This Row],[COD ETPA]],tbEtapas[],3,FALSE),"")</f>
        <v/>
      </c>
    </row>
    <row r="4557" spans="1:5" x14ac:dyDescent="0.25">
      <c r="A4557" t="str" cm="1">
        <f t="array" ref="A4557">IFERROR(INDEX(tbNucleo[ESCOLA],ROUNDUP(ROW(A4556)/TotalEtapas,0)),"")</f>
        <v/>
      </c>
      <c r="D4557" t="str">
        <f>IFERROR(VLOOKUP(tbEscolas[[#This Row],[COD ETPA]],tbEtapas[],2,FALSE),"")</f>
        <v/>
      </c>
      <c r="E4557" t="str">
        <f>IFERROR(VLOOKUP(tbEscolas[[#This Row],[COD ETPA]],tbEtapas[],3,FALSE),"")</f>
        <v/>
      </c>
    </row>
    <row r="4558" spans="1:5" x14ac:dyDescent="0.25">
      <c r="A4558" t="str" cm="1">
        <f t="array" ref="A4558">IFERROR(INDEX(tbNucleo[ESCOLA],ROUNDUP(ROW(A4557)/TotalEtapas,0)),"")</f>
        <v/>
      </c>
      <c r="D4558" t="str">
        <f>IFERROR(VLOOKUP(tbEscolas[[#This Row],[COD ETPA]],tbEtapas[],2,FALSE),"")</f>
        <v/>
      </c>
      <c r="E4558" t="str">
        <f>IFERROR(VLOOKUP(tbEscolas[[#This Row],[COD ETPA]],tbEtapas[],3,FALSE),"")</f>
        <v/>
      </c>
    </row>
    <row r="4559" spans="1:5" x14ac:dyDescent="0.25">
      <c r="A4559" t="str" cm="1">
        <f t="array" ref="A4559">IFERROR(INDEX(tbNucleo[ESCOLA],ROUNDUP(ROW(A4558)/TotalEtapas,0)),"")</f>
        <v/>
      </c>
      <c r="D4559" t="str">
        <f>IFERROR(VLOOKUP(tbEscolas[[#This Row],[COD ETPA]],tbEtapas[],2,FALSE),"")</f>
        <v/>
      </c>
      <c r="E4559" t="str">
        <f>IFERROR(VLOOKUP(tbEscolas[[#This Row],[COD ETPA]],tbEtapas[],3,FALSE),"")</f>
        <v/>
      </c>
    </row>
    <row r="4560" spans="1:5" x14ac:dyDescent="0.25">
      <c r="A4560" t="str" cm="1">
        <f t="array" ref="A4560">IFERROR(INDEX(tbNucleo[ESCOLA],ROUNDUP(ROW(A4559)/TotalEtapas,0)),"")</f>
        <v/>
      </c>
      <c r="D4560" t="str">
        <f>IFERROR(VLOOKUP(tbEscolas[[#This Row],[COD ETPA]],tbEtapas[],2,FALSE),"")</f>
        <v/>
      </c>
      <c r="E4560" t="str">
        <f>IFERROR(VLOOKUP(tbEscolas[[#This Row],[COD ETPA]],tbEtapas[],3,FALSE),"")</f>
        <v/>
      </c>
    </row>
    <row r="4561" spans="1:5" x14ac:dyDescent="0.25">
      <c r="A4561" t="str" cm="1">
        <f t="array" ref="A4561">IFERROR(INDEX(tbNucleo[ESCOLA],ROUNDUP(ROW(A4560)/TotalEtapas,0)),"")</f>
        <v/>
      </c>
      <c r="D4561" t="str">
        <f>IFERROR(VLOOKUP(tbEscolas[[#This Row],[COD ETPA]],tbEtapas[],2,FALSE),"")</f>
        <v/>
      </c>
      <c r="E4561" t="str">
        <f>IFERROR(VLOOKUP(tbEscolas[[#This Row],[COD ETPA]],tbEtapas[],3,FALSE),"")</f>
        <v/>
      </c>
    </row>
    <row r="4562" spans="1:5" x14ac:dyDescent="0.25">
      <c r="A4562" t="str" cm="1">
        <f t="array" ref="A4562">IFERROR(INDEX(tbNucleo[ESCOLA],ROUNDUP(ROW(A4561)/TotalEtapas,0)),"")</f>
        <v/>
      </c>
      <c r="D4562" t="str">
        <f>IFERROR(VLOOKUP(tbEscolas[[#This Row],[COD ETPA]],tbEtapas[],2,FALSE),"")</f>
        <v/>
      </c>
      <c r="E4562" t="str">
        <f>IFERROR(VLOOKUP(tbEscolas[[#This Row],[COD ETPA]],tbEtapas[],3,FALSE),"")</f>
        <v/>
      </c>
    </row>
    <row r="4563" spans="1:5" x14ac:dyDescent="0.25">
      <c r="A4563" t="str" cm="1">
        <f t="array" ref="A4563">IFERROR(INDEX(tbNucleo[ESCOLA],ROUNDUP(ROW(A4562)/TotalEtapas,0)),"")</f>
        <v/>
      </c>
      <c r="D4563" t="str">
        <f>IFERROR(VLOOKUP(tbEscolas[[#This Row],[COD ETPA]],tbEtapas[],2,FALSE),"")</f>
        <v/>
      </c>
      <c r="E4563" t="str">
        <f>IFERROR(VLOOKUP(tbEscolas[[#This Row],[COD ETPA]],tbEtapas[],3,FALSE),"")</f>
        <v/>
      </c>
    </row>
    <row r="4564" spans="1:5" x14ac:dyDescent="0.25">
      <c r="A4564" t="str" cm="1">
        <f t="array" ref="A4564">IFERROR(INDEX(tbNucleo[ESCOLA],ROUNDUP(ROW(A4563)/TotalEtapas,0)),"")</f>
        <v/>
      </c>
      <c r="D4564" t="str">
        <f>IFERROR(VLOOKUP(tbEscolas[[#This Row],[COD ETPA]],tbEtapas[],2,FALSE),"")</f>
        <v/>
      </c>
      <c r="E4564" t="str">
        <f>IFERROR(VLOOKUP(tbEscolas[[#This Row],[COD ETPA]],tbEtapas[],3,FALSE),"")</f>
        <v/>
      </c>
    </row>
    <row r="4565" spans="1:5" x14ac:dyDescent="0.25">
      <c r="A4565" t="str" cm="1">
        <f t="array" ref="A4565">IFERROR(INDEX(tbNucleo[ESCOLA],ROUNDUP(ROW(A4564)/TotalEtapas,0)),"")</f>
        <v/>
      </c>
      <c r="D4565" t="str">
        <f>IFERROR(VLOOKUP(tbEscolas[[#This Row],[COD ETPA]],tbEtapas[],2,FALSE),"")</f>
        <v/>
      </c>
      <c r="E4565" t="str">
        <f>IFERROR(VLOOKUP(tbEscolas[[#This Row],[COD ETPA]],tbEtapas[],3,FALSE),"")</f>
        <v/>
      </c>
    </row>
    <row r="4566" spans="1:5" x14ac:dyDescent="0.25">
      <c r="A4566" t="str" cm="1">
        <f t="array" ref="A4566">IFERROR(INDEX(tbNucleo[ESCOLA],ROUNDUP(ROW(A4565)/TotalEtapas,0)),"")</f>
        <v/>
      </c>
      <c r="D4566" t="str">
        <f>IFERROR(VLOOKUP(tbEscolas[[#This Row],[COD ETPA]],tbEtapas[],2,FALSE),"")</f>
        <v/>
      </c>
      <c r="E4566" t="str">
        <f>IFERROR(VLOOKUP(tbEscolas[[#This Row],[COD ETPA]],tbEtapas[],3,FALSE),"")</f>
        <v/>
      </c>
    </row>
    <row r="4567" spans="1:5" x14ac:dyDescent="0.25">
      <c r="A4567" t="str" cm="1">
        <f t="array" ref="A4567">IFERROR(INDEX(tbNucleo[ESCOLA],ROUNDUP(ROW(A4566)/TotalEtapas,0)),"")</f>
        <v/>
      </c>
      <c r="D4567" t="str">
        <f>IFERROR(VLOOKUP(tbEscolas[[#This Row],[COD ETPA]],tbEtapas[],2,FALSE),"")</f>
        <v/>
      </c>
      <c r="E4567" t="str">
        <f>IFERROR(VLOOKUP(tbEscolas[[#This Row],[COD ETPA]],tbEtapas[],3,FALSE),"")</f>
        <v/>
      </c>
    </row>
    <row r="4568" spans="1:5" x14ac:dyDescent="0.25">
      <c r="A4568" t="str" cm="1">
        <f t="array" ref="A4568">IFERROR(INDEX(tbNucleo[ESCOLA],ROUNDUP(ROW(A4567)/TotalEtapas,0)),"")</f>
        <v/>
      </c>
      <c r="D4568" t="str">
        <f>IFERROR(VLOOKUP(tbEscolas[[#This Row],[COD ETPA]],tbEtapas[],2,FALSE),"")</f>
        <v/>
      </c>
      <c r="E4568" t="str">
        <f>IFERROR(VLOOKUP(tbEscolas[[#This Row],[COD ETPA]],tbEtapas[],3,FALSE),"")</f>
        <v/>
      </c>
    </row>
    <row r="4569" spans="1:5" x14ac:dyDescent="0.25">
      <c r="A4569" t="str" cm="1">
        <f t="array" ref="A4569">IFERROR(INDEX(tbNucleo[ESCOLA],ROUNDUP(ROW(A4568)/TotalEtapas,0)),"")</f>
        <v/>
      </c>
      <c r="D4569" t="str">
        <f>IFERROR(VLOOKUP(tbEscolas[[#This Row],[COD ETPA]],tbEtapas[],2,FALSE),"")</f>
        <v/>
      </c>
      <c r="E4569" t="str">
        <f>IFERROR(VLOOKUP(tbEscolas[[#This Row],[COD ETPA]],tbEtapas[],3,FALSE),"")</f>
        <v/>
      </c>
    </row>
    <row r="4570" spans="1:5" x14ac:dyDescent="0.25">
      <c r="A4570" t="str" cm="1">
        <f t="array" ref="A4570">IFERROR(INDEX(tbNucleo[ESCOLA],ROUNDUP(ROW(A4569)/TotalEtapas,0)),"")</f>
        <v/>
      </c>
      <c r="D4570" t="str">
        <f>IFERROR(VLOOKUP(tbEscolas[[#This Row],[COD ETPA]],tbEtapas[],2,FALSE),"")</f>
        <v/>
      </c>
      <c r="E4570" t="str">
        <f>IFERROR(VLOOKUP(tbEscolas[[#This Row],[COD ETPA]],tbEtapas[],3,FALSE),"")</f>
        <v/>
      </c>
    </row>
    <row r="4571" spans="1:5" x14ac:dyDescent="0.25">
      <c r="A4571" t="str" cm="1">
        <f t="array" ref="A4571">IFERROR(INDEX(tbNucleo[ESCOLA],ROUNDUP(ROW(A4570)/TotalEtapas,0)),"")</f>
        <v/>
      </c>
      <c r="D4571" t="str">
        <f>IFERROR(VLOOKUP(tbEscolas[[#This Row],[COD ETPA]],tbEtapas[],2,FALSE),"")</f>
        <v/>
      </c>
      <c r="E4571" t="str">
        <f>IFERROR(VLOOKUP(tbEscolas[[#This Row],[COD ETPA]],tbEtapas[],3,FALSE),"")</f>
        <v/>
      </c>
    </row>
    <row r="4572" spans="1:5" x14ac:dyDescent="0.25">
      <c r="A4572" t="str" cm="1">
        <f t="array" ref="A4572">IFERROR(INDEX(tbNucleo[ESCOLA],ROUNDUP(ROW(A4571)/TotalEtapas,0)),"")</f>
        <v/>
      </c>
      <c r="D4572" t="str">
        <f>IFERROR(VLOOKUP(tbEscolas[[#This Row],[COD ETPA]],tbEtapas[],2,FALSE),"")</f>
        <v/>
      </c>
      <c r="E4572" t="str">
        <f>IFERROR(VLOOKUP(tbEscolas[[#This Row],[COD ETPA]],tbEtapas[],3,FALSE),"")</f>
        <v/>
      </c>
    </row>
    <row r="4573" spans="1:5" x14ac:dyDescent="0.25">
      <c r="A4573" t="str" cm="1">
        <f t="array" ref="A4573">IFERROR(INDEX(tbNucleo[ESCOLA],ROUNDUP(ROW(A4572)/TotalEtapas,0)),"")</f>
        <v/>
      </c>
      <c r="D4573" t="str">
        <f>IFERROR(VLOOKUP(tbEscolas[[#This Row],[COD ETPA]],tbEtapas[],2,FALSE),"")</f>
        <v/>
      </c>
      <c r="E4573" t="str">
        <f>IFERROR(VLOOKUP(tbEscolas[[#This Row],[COD ETPA]],tbEtapas[],3,FALSE),"")</f>
        <v/>
      </c>
    </row>
    <row r="4574" spans="1:5" x14ac:dyDescent="0.25">
      <c r="A4574" t="str" cm="1">
        <f t="array" ref="A4574">IFERROR(INDEX(tbNucleo[ESCOLA],ROUNDUP(ROW(A4573)/TotalEtapas,0)),"")</f>
        <v/>
      </c>
      <c r="D4574" t="str">
        <f>IFERROR(VLOOKUP(tbEscolas[[#This Row],[COD ETPA]],tbEtapas[],2,FALSE),"")</f>
        <v/>
      </c>
      <c r="E4574" t="str">
        <f>IFERROR(VLOOKUP(tbEscolas[[#This Row],[COD ETPA]],tbEtapas[],3,FALSE),"")</f>
        <v/>
      </c>
    </row>
    <row r="4575" spans="1:5" x14ac:dyDescent="0.25">
      <c r="A4575" t="str" cm="1">
        <f t="array" ref="A4575">IFERROR(INDEX(tbNucleo[ESCOLA],ROUNDUP(ROW(A4574)/TotalEtapas,0)),"")</f>
        <v/>
      </c>
      <c r="D4575" t="str">
        <f>IFERROR(VLOOKUP(tbEscolas[[#This Row],[COD ETPA]],tbEtapas[],2,FALSE),"")</f>
        <v/>
      </c>
      <c r="E4575" t="str">
        <f>IFERROR(VLOOKUP(tbEscolas[[#This Row],[COD ETPA]],tbEtapas[],3,FALSE),"")</f>
        <v/>
      </c>
    </row>
    <row r="4576" spans="1:5" x14ac:dyDescent="0.25">
      <c r="A4576" t="str" cm="1">
        <f t="array" ref="A4576">IFERROR(INDEX(tbNucleo[ESCOLA],ROUNDUP(ROW(A4575)/TotalEtapas,0)),"")</f>
        <v/>
      </c>
      <c r="D4576" t="str">
        <f>IFERROR(VLOOKUP(tbEscolas[[#This Row],[COD ETPA]],tbEtapas[],2,FALSE),"")</f>
        <v/>
      </c>
      <c r="E4576" t="str">
        <f>IFERROR(VLOOKUP(tbEscolas[[#This Row],[COD ETPA]],tbEtapas[],3,FALSE),"")</f>
        <v/>
      </c>
    </row>
    <row r="4577" spans="1:5" x14ac:dyDescent="0.25">
      <c r="A4577" t="str" cm="1">
        <f t="array" ref="A4577">IFERROR(INDEX(tbNucleo[ESCOLA],ROUNDUP(ROW(A4576)/TotalEtapas,0)),"")</f>
        <v/>
      </c>
      <c r="D4577" t="str">
        <f>IFERROR(VLOOKUP(tbEscolas[[#This Row],[COD ETPA]],tbEtapas[],2,FALSE),"")</f>
        <v/>
      </c>
      <c r="E4577" t="str">
        <f>IFERROR(VLOOKUP(tbEscolas[[#This Row],[COD ETPA]],tbEtapas[],3,FALSE),"")</f>
        <v/>
      </c>
    </row>
    <row r="4578" spans="1:5" x14ac:dyDescent="0.25">
      <c r="A4578" t="str" cm="1">
        <f t="array" ref="A4578">IFERROR(INDEX(tbNucleo[ESCOLA],ROUNDUP(ROW(A4577)/TotalEtapas,0)),"")</f>
        <v/>
      </c>
      <c r="D4578" t="str">
        <f>IFERROR(VLOOKUP(tbEscolas[[#This Row],[COD ETPA]],tbEtapas[],2,FALSE),"")</f>
        <v/>
      </c>
      <c r="E4578" t="str">
        <f>IFERROR(VLOOKUP(tbEscolas[[#This Row],[COD ETPA]],tbEtapas[],3,FALSE),"")</f>
        <v/>
      </c>
    </row>
    <row r="4579" spans="1:5" x14ac:dyDescent="0.25">
      <c r="A4579" t="str" cm="1">
        <f t="array" ref="A4579">IFERROR(INDEX(tbNucleo[ESCOLA],ROUNDUP(ROW(A4578)/TotalEtapas,0)),"")</f>
        <v/>
      </c>
      <c r="D4579" t="str">
        <f>IFERROR(VLOOKUP(tbEscolas[[#This Row],[COD ETPA]],tbEtapas[],2,FALSE),"")</f>
        <v/>
      </c>
      <c r="E4579" t="str">
        <f>IFERROR(VLOOKUP(tbEscolas[[#This Row],[COD ETPA]],tbEtapas[],3,FALSE),"")</f>
        <v/>
      </c>
    </row>
    <row r="4580" spans="1:5" x14ac:dyDescent="0.25">
      <c r="A4580" t="str" cm="1">
        <f t="array" ref="A4580">IFERROR(INDEX(tbNucleo[ESCOLA],ROUNDUP(ROW(A4579)/TotalEtapas,0)),"")</f>
        <v/>
      </c>
      <c r="D4580" t="str">
        <f>IFERROR(VLOOKUP(tbEscolas[[#This Row],[COD ETPA]],tbEtapas[],2,FALSE),"")</f>
        <v/>
      </c>
      <c r="E4580" t="str">
        <f>IFERROR(VLOOKUP(tbEscolas[[#This Row],[COD ETPA]],tbEtapas[],3,FALSE),"")</f>
        <v/>
      </c>
    </row>
    <row r="4581" spans="1:5" x14ac:dyDescent="0.25">
      <c r="A4581" t="str" cm="1">
        <f t="array" ref="A4581">IFERROR(INDEX(tbNucleo[ESCOLA],ROUNDUP(ROW(A4580)/TotalEtapas,0)),"")</f>
        <v/>
      </c>
      <c r="D4581" t="str">
        <f>IFERROR(VLOOKUP(tbEscolas[[#This Row],[COD ETPA]],tbEtapas[],2,FALSE),"")</f>
        <v/>
      </c>
      <c r="E4581" t="str">
        <f>IFERROR(VLOOKUP(tbEscolas[[#This Row],[COD ETPA]],tbEtapas[],3,FALSE),"")</f>
        <v/>
      </c>
    </row>
    <row r="4582" spans="1:5" x14ac:dyDescent="0.25">
      <c r="A4582" t="str" cm="1">
        <f t="array" ref="A4582">IFERROR(INDEX(tbNucleo[ESCOLA],ROUNDUP(ROW(A4581)/TotalEtapas,0)),"")</f>
        <v/>
      </c>
      <c r="D4582" t="str">
        <f>IFERROR(VLOOKUP(tbEscolas[[#This Row],[COD ETPA]],tbEtapas[],2,FALSE),"")</f>
        <v/>
      </c>
      <c r="E4582" t="str">
        <f>IFERROR(VLOOKUP(tbEscolas[[#This Row],[COD ETPA]],tbEtapas[],3,FALSE),"")</f>
        <v/>
      </c>
    </row>
    <row r="4583" spans="1:5" x14ac:dyDescent="0.25">
      <c r="A4583" t="str" cm="1">
        <f t="array" ref="A4583">IFERROR(INDEX(tbNucleo[ESCOLA],ROUNDUP(ROW(A4582)/TotalEtapas,0)),"")</f>
        <v/>
      </c>
      <c r="D4583" t="str">
        <f>IFERROR(VLOOKUP(tbEscolas[[#This Row],[COD ETPA]],tbEtapas[],2,FALSE),"")</f>
        <v/>
      </c>
      <c r="E4583" t="str">
        <f>IFERROR(VLOOKUP(tbEscolas[[#This Row],[COD ETPA]],tbEtapas[],3,FALSE),"")</f>
        <v/>
      </c>
    </row>
    <row r="4584" spans="1:5" x14ac:dyDescent="0.25">
      <c r="A4584" t="str" cm="1">
        <f t="array" ref="A4584">IFERROR(INDEX(tbNucleo[ESCOLA],ROUNDUP(ROW(A4583)/TotalEtapas,0)),"")</f>
        <v/>
      </c>
      <c r="D4584" t="str">
        <f>IFERROR(VLOOKUP(tbEscolas[[#This Row],[COD ETPA]],tbEtapas[],2,FALSE),"")</f>
        <v/>
      </c>
      <c r="E4584" t="str">
        <f>IFERROR(VLOOKUP(tbEscolas[[#This Row],[COD ETPA]],tbEtapas[],3,FALSE),"")</f>
        <v/>
      </c>
    </row>
    <row r="4585" spans="1:5" x14ac:dyDescent="0.25">
      <c r="A4585" t="str" cm="1">
        <f t="array" ref="A4585">IFERROR(INDEX(tbNucleo[ESCOLA],ROUNDUP(ROW(A4584)/TotalEtapas,0)),"")</f>
        <v/>
      </c>
      <c r="D4585" t="str">
        <f>IFERROR(VLOOKUP(tbEscolas[[#This Row],[COD ETPA]],tbEtapas[],2,FALSE),"")</f>
        <v/>
      </c>
      <c r="E4585" t="str">
        <f>IFERROR(VLOOKUP(tbEscolas[[#This Row],[COD ETPA]],tbEtapas[],3,FALSE),"")</f>
        <v/>
      </c>
    </row>
    <row r="4586" spans="1:5" x14ac:dyDescent="0.25">
      <c r="A4586" t="str" cm="1">
        <f t="array" ref="A4586">IFERROR(INDEX(tbNucleo[ESCOLA],ROUNDUP(ROW(A4585)/TotalEtapas,0)),"")</f>
        <v/>
      </c>
      <c r="D4586" t="str">
        <f>IFERROR(VLOOKUP(tbEscolas[[#This Row],[COD ETPA]],tbEtapas[],2,FALSE),"")</f>
        <v/>
      </c>
      <c r="E4586" t="str">
        <f>IFERROR(VLOOKUP(tbEscolas[[#This Row],[COD ETPA]],tbEtapas[],3,FALSE),"")</f>
        <v/>
      </c>
    </row>
    <row r="4587" spans="1:5" x14ac:dyDescent="0.25">
      <c r="A4587" t="str" cm="1">
        <f t="array" ref="A4587">IFERROR(INDEX(tbNucleo[ESCOLA],ROUNDUP(ROW(A4586)/TotalEtapas,0)),"")</f>
        <v/>
      </c>
      <c r="D4587" t="str">
        <f>IFERROR(VLOOKUP(tbEscolas[[#This Row],[COD ETPA]],tbEtapas[],2,FALSE),"")</f>
        <v/>
      </c>
      <c r="E4587" t="str">
        <f>IFERROR(VLOOKUP(tbEscolas[[#This Row],[COD ETPA]],tbEtapas[],3,FALSE),"")</f>
        <v/>
      </c>
    </row>
    <row r="4588" spans="1:5" x14ac:dyDescent="0.25">
      <c r="A4588" t="str" cm="1">
        <f t="array" ref="A4588">IFERROR(INDEX(tbNucleo[ESCOLA],ROUNDUP(ROW(A4587)/TotalEtapas,0)),"")</f>
        <v/>
      </c>
      <c r="D4588" t="str">
        <f>IFERROR(VLOOKUP(tbEscolas[[#This Row],[COD ETPA]],tbEtapas[],2,FALSE),"")</f>
        <v/>
      </c>
      <c r="E4588" t="str">
        <f>IFERROR(VLOOKUP(tbEscolas[[#This Row],[COD ETPA]],tbEtapas[],3,FALSE),"")</f>
        <v/>
      </c>
    </row>
    <row r="4589" spans="1:5" x14ac:dyDescent="0.25">
      <c r="A4589" t="str" cm="1">
        <f t="array" ref="A4589">IFERROR(INDEX(tbNucleo[ESCOLA],ROUNDUP(ROW(A4588)/TotalEtapas,0)),"")</f>
        <v/>
      </c>
      <c r="D4589" t="str">
        <f>IFERROR(VLOOKUP(tbEscolas[[#This Row],[COD ETPA]],tbEtapas[],2,FALSE),"")</f>
        <v/>
      </c>
      <c r="E4589" t="str">
        <f>IFERROR(VLOOKUP(tbEscolas[[#This Row],[COD ETPA]],tbEtapas[],3,FALSE),"")</f>
        <v/>
      </c>
    </row>
    <row r="4590" spans="1:5" x14ac:dyDescent="0.25">
      <c r="A4590" t="str" cm="1">
        <f t="array" ref="A4590">IFERROR(INDEX(tbNucleo[ESCOLA],ROUNDUP(ROW(A4589)/TotalEtapas,0)),"")</f>
        <v/>
      </c>
      <c r="D4590" t="str">
        <f>IFERROR(VLOOKUP(tbEscolas[[#This Row],[COD ETPA]],tbEtapas[],2,FALSE),"")</f>
        <v/>
      </c>
      <c r="E4590" t="str">
        <f>IFERROR(VLOOKUP(tbEscolas[[#This Row],[COD ETPA]],tbEtapas[],3,FALSE),"")</f>
        <v/>
      </c>
    </row>
    <row r="4591" spans="1:5" x14ac:dyDescent="0.25">
      <c r="A4591" t="str" cm="1">
        <f t="array" ref="A4591">IFERROR(INDEX(tbNucleo[ESCOLA],ROUNDUP(ROW(A4590)/TotalEtapas,0)),"")</f>
        <v/>
      </c>
      <c r="D4591" t="str">
        <f>IFERROR(VLOOKUP(tbEscolas[[#This Row],[COD ETPA]],tbEtapas[],2,FALSE),"")</f>
        <v/>
      </c>
      <c r="E4591" t="str">
        <f>IFERROR(VLOOKUP(tbEscolas[[#This Row],[COD ETPA]],tbEtapas[],3,FALSE),"")</f>
        <v/>
      </c>
    </row>
    <row r="4592" spans="1:5" x14ac:dyDescent="0.25">
      <c r="A4592" t="str" cm="1">
        <f t="array" ref="A4592">IFERROR(INDEX(tbNucleo[ESCOLA],ROUNDUP(ROW(A4591)/TotalEtapas,0)),"")</f>
        <v/>
      </c>
      <c r="D4592" t="str">
        <f>IFERROR(VLOOKUP(tbEscolas[[#This Row],[COD ETPA]],tbEtapas[],2,FALSE),"")</f>
        <v/>
      </c>
      <c r="E4592" t="str">
        <f>IFERROR(VLOOKUP(tbEscolas[[#This Row],[COD ETPA]],tbEtapas[],3,FALSE),"")</f>
        <v/>
      </c>
    </row>
    <row r="4593" spans="1:5" x14ac:dyDescent="0.25">
      <c r="A4593" t="str" cm="1">
        <f t="array" ref="A4593">IFERROR(INDEX(tbNucleo[ESCOLA],ROUNDUP(ROW(A4592)/TotalEtapas,0)),"")</f>
        <v/>
      </c>
      <c r="D4593" t="str">
        <f>IFERROR(VLOOKUP(tbEscolas[[#This Row],[COD ETPA]],tbEtapas[],2,FALSE),"")</f>
        <v/>
      </c>
      <c r="E4593" t="str">
        <f>IFERROR(VLOOKUP(tbEscolas[[#This Row],[COD ETPA]],tbEtapas[],3,FALSE),"")</f>
        <v/>
      </c>
    </row>
    <row r="4594" spans="1:5" x14ac:dyDescent="0.25">
      <c r="A4594" t="str" cm="1">
        <f t="array" ref="A4594">IFERROR(INDEX(tbNucleo[ESCOLA],ROUNDUP(ROW(A4593)/TotalEtapas,0)),"")</f>
        <v/>
      </c>
      <c r="D4594" t="str">
        <f>IFERROR(VLOOKUP(tbEscolas[[#This Row],[COD ETPA]],tbEtapas[],2,FALSE),"")</f>
        <v/>
      </c>
      <c r="E4594" t="str">
        <f>IFERROR(VLOOKUP(tbEscolas[[#This Row],[COD ETPA]],tbEtapas[],3,FALSE),"")</f>
        <v/>
      </c>
    </row>
    <row r="4595" spans="1:5" x14ac:dyDescent="0.25">
      <c r="A4595" t="str" cm="1">
        <f t="array" ref="A4595">IFERROR(INDEX(tbNucleo[ESCOLA],ROUNDUP(ROW(A4594)/TotalEtapas,0)),"")</f>
        <v/>
      </c>
      <c r="D4595" t="str">
        <f>IFERROR(VLOOKUP(tbEscolas[[#This Row],[COD ETPA]],tbEtapas[],2,FALSE),"")</f>
        <v/>
      </c>
      <c r="E4595" t="str">
        <f>IFERROR(VLOOKUP(tbEscolas[[#This Row],[COD ETPA]],tbEtapas[],3,FALSE),"")</f>
        <v/>
      </c>
    </row>
    <row r="4596" spans="1:5" x14ac:dyDescent="0.25">
      <c r="A4596" t="str" cm="1">
        <f t="array" ref="A4596">IFERROR(INDEX(tbNucleo[ESCOLA],ROUNDUP(ROW(A4595)/TotalEtapas,0)),"")</f>
        <v/>
      </c>
      <c r="D4596" t="str">
        <f>IFERROR(VLOOKUP(tbEscolas[[#This Row],[COD ETPA]],tbEtapas[],2,FALSE),"")</f>
        <v/>
      </c>
      <c r="E4596" t="str">
        <f>IFERROR(VLOOKUP(tbEscolas[[#This Row],[COD ETPA]],tbEtapas[],3,FALSE),"")</f>
        <v/>
      </c>
    </row>
    <row r="4597" spans="1:5" x14ac:dyDescent="0.25">
      <c r="A4597" t="str" cm="1">
        <f t="array" ref="A4597">IFERROR(INDEX(tbNucleo[ESCOLA],ROUNDUP(ROW(A4596)/TotalEtapas,0)),"")</f>
        <v/>
      </c>
      <c r="D4597" t="str">
        <f>IFERROR(VLOOKUP(tbEscolas[[#This Row],[COD ETPA]],tbEtapas[],2,FALSE),"")</f>
        <v/>
      </c>
      <c r="E4597" t="str">
        <f>IFERROR(VLOOKUP(tbEscolas[[#This Row],[COD ETPA]],tbEtapas[],3,FALSE),"")</f>
        <v/>
      </c>
    </row>
    <row r="4598" spans="1:5" x14ac:dyDescent="0.25">
      <c r="A4598" t="str" cm="1">
        <f t="array" ref="A4598">IFERROR(INDEX(tbNucleo[ESCOLA],ROUNDUP(ROW(A4597)/TotalEtapas,0)),"")</f>
        <v/>
      </c>
      <c r="D4598" t="str">
        <f>IFERROR(VLOOKUP(tbEscolas[[#This Row],[COD ETPA]],tbEtapas[],2,FALSE),"")</f>
        <v/>
      </c>
      <c r="E4598" t="str">
        <f>IFERROR(VLOOKUP(tbEscolas[[#This Row],[COD ETPA]],tbEtapas[],3,FALSE),"")</f>
        <v/>
      </c>
    </row>
    <row r="4599" spans="1:5" x14ac:dyDescent="0.25">
      <c r="A4599" t="str" cm="1">
        <f t="array" ref="A4599">IFERROR(INDEX(tbNucleo[ESCOLA],ROUNDUP(ROW(A4598)/TotalEtapas,0)),"")</f>
        <v/>
      </c>
      <c r="D4599" t="str">
        <f>IFERROR(VLOOKUP(tbEscolas[[#This Row],[COD ETPA]],tbEtapas[],2,FALSE),"")</f>
        <v/>
      </c>
      <c r="E4599" t="str">
        <f>IFERROR(VLOOKUP(tbEscolas[[#This Row],[COD ETPA]],tbEtapas[],3,FALSE),"")</f>
        <v/>
      </c>
    </row>
    <row r="4600" spans="1:5" x14ac:dyDescent="0.25">
      <c r="A4600" t="str" cm="1">
        <f t="array" ref="A4600">IFERROR(INDEX(tbNucleo[ESCOLA],ROUNDUP(ROW(A4599)/TotalEtapas,0)),"")</f>
        <v/>
      </c>
      <c r="D4600" t="str">
        <f>IFERROR(VLOOKUP(tbEscolas[[#This Row],[COD ETPA]],tbEtapas[],2,FALSE),"")</f>
        <v/>
      </c>
      <c r="E4600" t="str">
        <f>IFERROR(VLOOKUP(tbEscolas[[#This Row],[COD ETPA]],tbEtapas[],3,FALSE),"")</f>
        <v/>
      </c>
    </row>
    <row r="4601" spans="1:5" x14ac:dyDescent="0.25">
      <c r="A4601" t="str" cm="1">
        <f t="array" ref="A4601">IFERROR(INDEX(tbNucleo[ESCOLA],ROUNDUP(ROW(A4600)/TotalEtapas,0)),"")</f>
        <v/>
      </c>
      <c r="D4601" t="str">
        <f>IFERROR(VLOOKUP(tbEscolas[[#This Row],[COD ETPA]],tbEtapas[],2,FALSE),"")</f>
        <v/>
      </c>
      <c r="E4601" t="str">
        <f>IFERROR(VLOOKUP(tbEscolas[[#This Row],[COD ETPA]],tbEtapas[],3,FALSE),"")</f>
        <v/>
      </c>
    </row>
    <row r="4602" spans="1:5" x14ac:dyDescent="0.25">
      <c r="A4602" t="str" cm="1">
        <f t="array" ref="A4602">IFERROR(INDEX(tbNucleo[ESCOLA],ROUNDUP(ROW(A4601)/TotalEtapas,0)),"")</f>
        <v/>
      </c>
      <c r="D4602" t="str">
        <f>IFERROR(VLOOKUP(tbEscolas[[#This Row],[COD ETPA]],tbEtapas[],2,FALSE),"")</f>
        <v/>
      </c>
      <c r="E4602" t="str">
        <f>IFERROR(VLOOKUP(tbEscolas[[#This Row],[COD ETPA]],tbEtapas[],3,FALSE),"")</f>
        <v/>
      </c>
    </row>
    <row r="4603" spans="1:5" x14ac:dyDescent="0.25">
      <c r="A4603" t="str" cm="1">
        <f t="array" ref="A4603">IFERROR(INDEX(tbNucleo[ESCOLA],ROUNDUP(ROW(A4602)/TotalEtapas,0)),"")</f>
        <v/>
      </c>
      <c r="D4603" t="str">
        <f>IFERROR(VLOOKUP(tbEscolas[[#This Row],[COD ETPA]],tbEtapas[],2,FALSE),"")</f>
        <v/>
      </c>
      <c r="E4603" t="str">
        <f>IFERROR(VLOOKUP(tbEscolas[[#This Row],[COD ETPA]],tbEtapas[],3,FALSE),"")</f>
        <v/>
      </c>
    </row>
    <row r="4604" spans="1:5" x14ac:dyDescent="0.25">
      <c r="A4604" t="str" cm="1">
        <f t="array" ref="A4604">IFERROR(INDEX(tbNucleo[ESCOLA],ROUNDUP(ROW(A4603)/TotalEtapas,0)),"")</f>
        <v/>
      </c>
      <c r="D4604" t="str">
        <f>IFERROR(VLOOKUP(tbEscolas[[#This Row],[COD ETPA]],tbEtapas[],2,FALSE),"")</f>
        <v/>
      </c>
      <c r="E4604" t="str">
        <f>IFERROR(VLOOKUP(tbEscolas[[#This Row],[COD ETPA]],tbEtapas[],3,FALSE),"")</f>
        <v/>
      </c>
    </row>
    <row r="4605" spans="1:5" x14ac:dyDescent="0.25">
      <c r="A4605" t="str" cm="1">
        <f t="array" ref="A4605">IFERROR(INDEX(tbNucleo[ESCOLA],ROUNDUP(ROW(A4604)/TotalEtapas,0)),"")</f>
        <v/>
      </c>
      <c r="D4605" t="str">
        <f>IFERROR(VLOOKUP(tbEscolas[[#This Row],[COD ETPA]],tbEtapas[],2,FALSE),"")</f>
        <v/>
      </c>
      <c r="E4605" t="str">
        <f>IFERROR(VLOOKUP(tbEscolas[[#This Row],[COD ETPA]],tbEtapas[],3,FALSE),"")</f>
        <v/>
      </c>
    </row>
    <row r="4606" spans="1:5" x14ac:dyDescent="0.25">
      <c r="A4606" t="str" cm="1">
        <f t="array" ref="A4606">IFERROR(INDEX(tbNucleo[ESCOLA],ROUNDUP(ROW(A4605)/TotalEtapas,0)),"")</f>
        <v/>
      </c>
      <c r="D4606" t="str">
        <f>IFERROR(VLOOKUP(tbEscolas[[#This Row],[COD ETPA]],tbEtapas[],2,FALSE),"")</f>
        <v/>
      </c>
      <c r="E4606" t="str">
        <f>IFERROR(VLOOKUP(tbEscolas[[#This Row],[COD ETPA]],tbEtapas[],3,FALSE),"")</f>
        <v/>
      </c>
    </row>
    <row r="4607" spans="1:5" x14ac:dyDescent="0.25">
      <c r="A4607" t="str" cm="1">
        <f t="array" ref="A4607">IFERROR(INDEX(tbNucleo[ESCOLA],ROUNDUP(ROW(A4606)/TotalEtapas,0)),"")</f>
        <v/>
      </c>
      <c r="D4607" t="str">
        <f>IFERROR(VLOOKUP(tbEscolas[[#This Row],[COD ETPA]],tbEtapas[],2,FALSE),"")</f>
        <v/>
      </c>
      <c r="E4607" t="str">
        <f>IFERROR(VLOOKUP(tbEscolas[[#This Row],[COD ETPA]],tbEtapas[],3,FALSE),"")</f>
        <v/>
      </c>
    </row>
    <row r="4608" spans="1:5" x14ac:dyDescent="0.25">
      <c r="A4608" t="str" cm="1">
        <f t="array" ref="A4608">IFERROR(INDEX(tbNucleo[ESCOLA],ROUNDUP(ROW(A4607)/TotalEtapas,0)),"")</f>
        <v/>
      </c>
      <c r="D4608" t="str">
        <f>IFERROR(VLOOKUP(tbEscolas[[#This Row],[COD ETPA]],tbEtapas[],2,FALSE),"")</f>
        <v/>
      </c>
      <c r="E4608" t="str">
        <f>IFERROR(VLOOKUP(tbEscolas[[#This Row],[COD ETPA]],tbEtapas[],3,FALSE),"")</f>
        <v/>
      </c>
    </row>
    <row r="4609" spans="1:5" x14ac:dyDescent="0.25">
      <c r="A4609" t="str" cm="1">
        <f t="array" ref="A4609">IFERROR(INDEX(tbNucleo[ESCOLA],ROUNDUP(ROW(A4608)/TotalEtapas,0)),"")</f>
        <v/>
      </c>
      <c r="D4609" t="str">
        <f>IFERROR(VLOOKUP(tbEscolas[[#This Row],[COD ETPA]],tbEtapas[],2,FALSE),"")</f>
        <v/>
      </c>
      <c r="E4609" t="str">
        <f>IFERROR(VLOOKUP(tbEscolas[[#This Row],[COD ETPA]],tbEtapas[],3,FALSE),"")</f>
        <v/>
      </c>
    </row>
    <row r="4610" spans="1:5" x14ac:dyDescent="0.25">
      <c r="A4610" t="str" cm="1">
        <f t="array" ref="A4610">IFERROR(INDEX(tbNucleo[ESCOLA],ROUNDUP(ROW(A4609)/TotalEtapas,0)),"")</f>
        <v/>
      </c>
      <c r="D4610" t="str">
        <f>IFERROR(VLOOKUP(tbEscolas[[#This Row],[COD ETPA]],tbEtapas[],2,FALSE),"")</f>
        <v/>
      </c>
      <c r="E4610" t="str">
        <f>IFERROR(VLOOKUP(tbEscolas[[#This Row],[COD ETPA]],tbEtapas[],3,FALSE),"")</f>
        <v/>
      </c>
    </row>
    <row r="4611" spans="1:5" x14ac:dyDescent="0.25">
      <c r="A4611" t="str" cm="1">
        <f t="array" ref="A4611">IFERROR(INDEX(tbNucleo[ESCOLA],ROUNDUP(ROW(A4610)/TotalEtapas,0)),"")</f>
        <v/>
      </c>
      <c r="D4611" t="str">
        <f>IFERROR(VLOOKUP(tbEscolas[[#This Row],[COD ETPA]],tbEtapas[],2,FALSE),"")</f>
        <v/>
      </c>
      <c r="E4611" t="str">
        <f>IFERROR(VLOOKUP(tbEscolas[[#This Row],[COD ETPA]],tbEtapas[],3,FALSE),"")</f>
        <v/>
      </c>
    </row>
    <row r="4612" spans="1:5" x14ac:dyDescent="0.25">
      <c r="A4612" t="str" cm="1">
        <f t="array" ref="A4612">IFERROR(INDEX(tbNucleo[ESCOLA],ROUNDUP(ROW(A4611)/TotalEtapas,0)),"")</f>
        <v/>
      </c>
      <c r="D4612" t="str">
        <f>IFERROR(VLOOKUP(tbEscolas[[#This Row],[COD ETPA]],tbEtapas[],2,FALSE),"")</f>
        <v/>
      </c>
      <c r="E4612" t="str">
        <f>IFERROR(VLOOKUP(tbEscolas[[#This Row],[COD ETPA]],tbEtapas[],3,FALSE),"")</f>
        <v/>
      </c>
    </row>
    <row r="4613" spans="1:5" x14ac:dyDescent="0.25">
      <c r="A4613" t="str" cm="1">
        <f t="array" ref="A4613">IFERROR(INDEX(tbNucleo[ESCOLA],ROUNDUP(ROW(A4612)/TotalEtapas,0)),"")</f>
        <v/>
      </c>
      <c r="D4613" t="str">
        <f>IFERROR(VLOOKUP(tbEscolas[[#This Row],[COD ETPA]],tbEtapas[],2,FALSE),"")</f>
        <v/>
      </c>
      <c r="E4613" t="str">
        <f>IFERROR(VLOOKUP(tbEscolas[[#This Row],[COD ETPA]],tbEtapas[],3,FALSE),"")</f>
        <v/>
      </c>
    </row>
    <row r="4614" spans="1:5" x14ac:dyDescent="0.25">
      <c r="A4614" t="str" cm="1">
        <f t="array" ref="A4614">IFERROR(INDEX(tbNucleo[ESCOLA],ROUNDUP(ROW(A4613)/TotalEtapas,0)),"")</f>
        <v/>
      </c>
      <c r="D4614" t="str">
        <f>IFERROR(VLOOKUP(tbEscolas[[#This Row],[COD ETPA]],tbEtapas[],2,FALSE),"")</f>
        <v/>
      </c>
      <c r="E4614" t="str">
        <f>IFERROR(VLOOKUP(tbEscolas[[#This Row],[COD ETPA]],tbEtapas[],3,FALSE),"")</f>
        <v/>
      </c>
    </row>
    <row r="4615" spans="1:5" x14ac:dyDescent="0.25">
      <c r="A4615" t="str" cm="1">
        <f t="array" ref="A4615">IFERROR(INDEX(tbNucleo[ESCOLA],ROUNDUP(ROW(A4614)/TotalEtapas,0)),"")</f>
        <v/>
      </c>
      <c r="D4615" t="str">
        <f>IFERROR(VLOOKUP(tbEscolas[[#This Row],[COD ETPA]],tbEtapas[],2,FALSE),"")</f>
        <v/>
      </c>
      <c r="E4615" t="str">
        <f>IFERROR(VLOOKUP(tbEscolas[[#This Row],[COD ETPA]],tbEtapas[],3,FALSE),"")</f>
        <v/>
      </c>
    </row>
    <row r="4616" spans="1:5" x14ac:dyDescent="0.25">
      <c r="A4616" t="str" cm="1">
        <f t="array" ref="A4616">IFERROR(INDEX(tbNucleo[ESCOLA],ROUNDUP(ROW(A4615)/TotalEtapas,0)),"")</f>
        <v/>
      </c>
      <c r="D4616" t="str">
        <f>IFERROR(VLOOKUP(tbEscolas[[#This Row],[COD ETPA]],tbEtapas[],2,FALSE),"")</f>
        <v/>
      </c>
      <c r="E4616" t="str">
        <f>IFERROR(VLOOKUP(tbEscolas[[#This Row],[COD ETPA]],tbEtapas[],3,FALSE),"")</f>
        <v/>
      </c>
    </row>
    <row r="4617" spans="1:5" x14ac:dyDescent="0.25">
      <c r="A4617" t="str" cm="1">
        <f t="array" ref="A4617">IFERROR(INDEX(tbNucleo[ESCOLA],ROUNDUP(ROW(A4616)/TotalEtapas,0)),"")</f>
        <v/>
      </c>
      <c r="D4617" t="str">
        <f>IFERROR(VLOOKUP(tbEscolas[[#This Row],[COD ETPA]],tbEtapas[],2,FALSE),"")</f>
        <v/>
      </c>
      <c r="E4617" t="str">
        <f>IFERROR(VLOOKUP(tbEscolas[[#This Row],[COD ETPA]],tbEtapas[],3,FALSE),"")</f>
        <v/>
      </c>
    </row>
    <row r="4618" spans="1:5" x14ac:dyDescent="0.25">
      <c r="A4618" t="str" cm="1">
        <f t="array" ref="A4618">IFERROR(INDEX(tbNucleo[ESCOLA],ROUNDUP(ROW(A4617)/TotalEtapas,0)),"")</f>
        <v/>
      </c>
      <c r="D4618" t="str">
        <f>IFERROR(VLOOKUP(tbEscolas[[#This Row],[COD ETPA]],tbEtapas[],2,FALSE),"")</f>
        <v/>
      </c>
      <c r="E4618" t="str">
        <f>IFERROR(VLOOKUP(tbEscolas[[#This Row],[COD ETPA]],tbEtapas[],3,FALSE),"")</f>
        <v/>
      </c>
    </row>
    <row r="4619" spans="1:5" x14ac:dyDescent="0.25">
      <c r="A4619" t="str" cm="1">
        <f t="array" ref="A4619">IFERROR(INDEX(tbNucleo[ESCOLA],ROUNDUP(ROW(A4618)/TotalEtapas,0)),"")</f>
        <v/>
      </c>
      <c r="D4619" t="str">
        <f>IFERROR(VLOOKUP(tbEscolas[[#This Row],[COD ETPA]],tbEtapas[],2,FALSE),"")</f>
        <v/>
      </c>
      <c r="E4619" t="str">
        <f>IFERROR(VLOOKUP(tbEscolas[[#This Row],[COD ETPA]],tbEtapas[],3,FALSE),"")</f>
        <v/>
      </c>
    </row>
    <row r="4620" spans="1:5" x14ac:dyDescent="0.25">
      <c r="A4620" t="str" cm="1">
        <f t="array" ref="A4620">IFERROR(INDEX(tbNucleo[ESCOLA],ROUNDUP(ROW(A4619)/TotalEtapas,0)),"")</f>
        <v/>
      </c>
      <c r="D4620" t="str">
        <f>IFERROR(VLOOKUP(tbEscolas[[#This Row],[COD ETPA]],tbEtapas[],2,FALSE),"")</f>
        <v/>
      </c>
      <c r="E4620" t="str">
        <f>IFERROR(VLOOKUP(tbEscolas[[#This Row],[COD ETPA]],tbEtapas[],3,FALSE),"")</f>
        <v/>
      </c>
    </row>
    <row r="4621" spans="1:5" x14ac:dyDescent="0.25">
      <c r="A4621" t="str" cm="1">
        <f t="array" ref="A4621">IFERROR(INDEX(tbNucleo[ESCOLA],ROUNDUP(ROW(A4620)/TotalEtapas,0)),"")</f>
        <v/>
      </c>
      <c r="D4621" t="str">
        <f>IFERROR(VLOOKUP(tbEscolas[[#This Row],[COD ETPA]],tbEtapas[],2,FALSE),"")</f>
        <v/>
      </c>
      <c r="E4621" t="str">
        <f>IFERROR(VLOOKUP(tbEscolas[[#This Row],[COD ETPA]],tbEtapas[],3,FALSE),"")</f>
        <v/>
      </c>
    </row>
    <row r="4622" spans="1:5" x14ac:dyDescent="0.25">
      <c r="A4622" t="str" cm="1">
        <f t="array" ref="A4622">IFERROR(INDEX(tbNucleo[ESCOLA],ROUNDUP(ROW(A4621)/TotalEtapas,0)),"")</f>
        <v/>
      </c>
      <c r="D4622" t="str">
        <f>IFERROR(VLOOKUP(tbEscolas[[#This Row],[COD ETPA]],tbEtapas[],2,FALSE),"")</f>
        <v/>
      </c>
      <c r="E4622" t="str">
        <f>IFERROR(VLOOKUP(tbEscolas[[#This Row],[COD ETPA]],tbEtapas[],3,FALSE),"")</f>
        <v/>
      </c>
    </row>
    <row r="4623" spans="1:5" x14ac:dyDescent="0.25">
      <c r="A4623" t="str" cm="1">
        <f t="array" ref="A4623">IFERROR(INDEX(tbNucleo[ESCOLA],ROUNDUP(ROW(A4622)/TotalEtapas,0)),"")</f>
        <v/>
      </c>
      <c r="D4623" t="str">
        <f>IFERROR(VLOOKUP(tbEscolas[[#This Row],[COD ETPA]],tbEtapas[],2,FALSE),"")</f>
        <v/>
      </c>
      <c r="E4623" t="str">
        <f>IFERROR(VLOOKUP(tbEscolas[[#This Row],[COD ETPA]],tbEtapas[],3,FALSE),"")</f>
        <v/>
      </c>
    </row>
    <row r="4624" spans="1:5" x14ac:dyDescent="0.25">
      <c r="A4624" t="str" cm="1">
        <f t="array" ref="A4624">IFERROR(INDEX(tbNucleo[ESCOLA],ROUNDUP(ROW(A4623)/TotalEtapas,0)),"")</f>
        <v/>
      </c>
      <c r="D4624" t="str">
        <f>IFERROR(VLOOKUP(tbEscolas[[#This Row],[COD ETPA]],tbEtapas[],2,FALSE),"")</f>
        <v/>
      </c>
      <c r="E4624" t="str">
        <f>IFERROR(VLOOKUP(tbEscolas[[#This Row],[COD ETPA]],tbEtapas[],3,FALSE),"")</f>
        <v/>
      </c>
    </row>
    <row r="4625" spans="1:5" x14ac:dyDescent="0.25">
      <c r="A4625" t="str" cm="1">
        <f t="array" ref="A4625">IFERROR(INDEX(tbNucleo[ESCOLA],ROUNDUP(ROW(A4624)/TotalEtapas,0)),"")</f>
        <v/>
      </c>
      <c r="D4625" t="str">
        <f>IFERROR(VLOOKUP(tbEscolas[[#This Row],[COD ETPA]],tbEtapas[],2,FALSE),"")</f>
        <v/>
      </c>
      <c r="E4625" t="str">
        <f>IFERROR(VLOOKUP(tbEscolas[[#This Row],[COD ETPA]],tbEtapas[],3,FALSE),"")</f>
        <v/>
      </c>
    </row>
    <row r="4626" spans="1:5" x14ac:dyDescent="0.25">
      <c r="A4626" t="str" cm="1">
        <f t="array" ref="A4626">IFERROR(INDEX(tbNucleo[ESCOLA],ROUNDUP(ROW(A4625)/TotalEtapas,0)),"")</f>
        <v/>
      </c>
      <c r="D4626" t="str">
        <f>IFERROR(VLOOKUP(tbEscolas[[#This Row],[COD ETPA]],tbEtapas[],2,FALSE),"")</f>
        <v/>
      </c>
      <c r="E4626" t="str">
        <f>IFERROR(VLOOKUP(tbEscolas[[#This Row],[COD ETPA]],tbEtapas[],3,FALSE),"")</f>
        <v/>
      </c>
    </row>
    <row r="4627" spans="1:5" x14ac:dyDescent="0.25">
      <c r="A4627" t="str" cm="1">
        <f t="array" ref="A4627">IFERROR(INDEX(tbNucleo[ESCOLA],ROUNDUP(ROW(A4626)/TotalEtapas,0)),"")</f>
        <v/>
      </c>
      <c r="D4627" t="str">
        <f>IFERROR(VLOOKUP(tbEscolas[[#This Row],[COD ETPA]],tbEtapas[],2,FALSE),"")</f>
        <v/>
      </c>
      <c r="E4627" t="str">
        <f>IFERROR(VLOOKUP(tbEscolas[[#This Row],[COD ETPA]],tbEtapas[],3,FALSE),"")</f>
        <v/>
      </c>
    </row>
    <row r="4628" spans="1:5" x14ac:dyDescent="0.25">
      <c r="A4628" t="str" cm="1">
        <f t="array" ref="A4628">IFERROR(INDEX(tbNucleo[ESCOLA],ROUNDUP(ROW(A4627)/TotalEtapas,0)),"")</f>
        <v/>
      </c>
      <c r="D4628" t="str">
        <f>IFERROR(VLOOKUP(tbEscolas[[#This Row],[COD ETPA]],tbEtapas[],2,FALSE),"")</f>
        <v/>
      </c>
      <c r="E4628" t="str">
        <f>IFERROR(VLOOKUP(tbEscolas[[#This Row],[COD ETPA]],tbEtapas[],3,FALSE),"")</f>
        <v/>
      </c>
    </row>
    <row r="4629" spans="1:5" x14ac:dyDescent="0.25">
      <c r="A4629" t="str" cm="1">
        <f t="array" ref="A4629">IFERROR(INDEX(tbNucleo[ESCOLA],ROUNDUP(ROW(A4628)/TotalEtapas,0)),"")</f>
        <v/>
      </c>
      <c r="D4629" t="str">
        <f>IFERROR(VLOOKUP(tbEscolas[[#This Row],[COD ETPA]],tbEtapas[],2,FALSE),"")</f>
        <v/>
      </c>
      <c r="E4629" t="str">
        <f>IFERROR(VLOOKUP(tbEscolas[[#This Row],[COD ETPA]],tbEtapas[],3,FALSE),"")</f>
        <v/>
      </c>
    </row>
    <row r="4630" spans="1:5" x14ac:dyDescent="0.25">
      <c r="A4630" t="str" cm="1">
        <f t="array" ref="A4630">IFERROR(INDEX(tbNucleo[ESCOLA],ROUNDUP(ROW(A4629)/TotalEtapas,0)),"")</f>
        <v/>
      </c>
      <c r="D4630" t="str">
        <f>IFERROR(VLOOKUP(tbEscolas[[#This Row],[COD ETPA]],tbEtapas[],2,FALSE),"")</f>
        <v/>
      </c>
      <c r="E4630" t="str">
        <f>IFERROR(VLOOKUP(tbEscolas[[#This Row],[COD ETPA]],tbEtapas[],3,FALSE),"")</f>
        <v/>
      </c>
    </row>
    <row r="4631" spans="1:5" x14ac:dyDescent="0.25">
      <c r="A4631" t="str" cm="1">
        <f t="array" ref="A4631">IFERROR(INDEX(tbNucleo[ESCOLA],ROUNDUP(ROW(A4630)/TotalEtapas,0)),"")</f>
        <v/>
      </c>
      <c r="D4631" t="str">
        <f>IFERROR(VLOOKUP(tbEscolas[[#This Row],[COD ETPA]],tbEtapas[],2,FALSE),"")</f>
        <v/>
      </c>
      <c r="E4631" t="str">
        <f>IFERROR(VLOOKUP(tbEscolas[[#This Row],[COD ETPA]],tbEtapas[],3,FALSE),"")</f>
        <v/>
      </c>
    </row>
    <row r="4632" spans="1:5" x14ac:dyDescent="0.25">
      <c r="A4632" t="str" cm="1">
        <f t="array" ref="A4632">IFERROR(INDEX(tbNucleo[ESCOLA],ROUNDUP(ROW(A4631)/TotalEtapas,0)),"")</f>
        <v/>
      </c>
      <c r="D4632" t="str">
        <f>IFERROR(VLOOKUP(tbEscolas[[#This Row],[COD ETPA]],tbEtapas[],2,FALSE),"")</f>
        <v/>
      </c>
      <c r="E4632" t="str">
        <f>IFERROR(VLOOKUP(tbEscolas[[#This Row],[COD ETPA]],tbEtapas[],3,FALSE),"")</f>
        <v/>
      </c>
    </row>
    <row r="4633" spans="1:5" x14ac:dyDescent="0.25">
      <c r="A4633" t="str" cm="1">
        <f t="array" ref="A4633">IFERROR(INDEX(tbNucleo[ESCOLA],ROUNDUP(ROW(A4632)/TotalEtapas,0)),"")</f>
        <v/>
      </c>
      <c r="D4633" t="str">
        <f>IFERROR(VLOOKUP(tbEscolas[[#This Row],[COD ETPA]],tbEtapas[],2,FALSE),"")</f>
        <v/>
      </c>
      <c r="E4633" t="str">
        <f>IFERROR(VLOOKUP(tbEscolas[[#This Row],[COD ETPA]],tbEtapas[],3,FALSE),"")</f>
        <v/>
      </c>
    </row>
    <row r="4634" spans="1:5" x14ac:dyDescent="0.25">
      <c r="A4634" t="str" cm="1">
        <f t="array" ref="A4634">IFERROR(INDEX(tbNucleo[ESCOLA],ROUNDUP(ROW(A4633)/TotalEtapas,0)),"")</f>
        <v/>
      </c>
      <c r="D4634" t="str">
        <f>IFERROR(VLOOKUP(tbEscolas[[#This Row],[COD ETPA]],tbEtapas[],2,FALSE),"")</f>
        <v/>
      </c>
      <c r="E4634" t="str">
        <f>IFERROR(VLOOKUP(tbEscolas[[#This Row],[COD ETPA]],tbEtapas[],3,FALSE),"")</f>
        <v/>
      </c>
    </row>
    <row r="4635" spans="1:5" x14ac:dyDescent="0.25">
      <c r="A4635" t="str" cm="1">
        <f t="array" ref="A4635">IFERROR(INDEX(tbNucleo[ESCOLA],ROUNDUP(ROW(A4634)/TotalEtapas,0)),"")</f>
        <v/>
      </c>
      <c r="D4635" t="str">
        <f>IFERROR(VLOOKUP(tbEscolas[[#This Row],[COD ETPA]],tbEtapas[],2,FALSE),"")</f>
        <v/>
      </c>
      <c r="E4635" t="str">
        <f>IFERROR(VLOOKUP(tbEscolas[[#This Row],[COD ETPA]],tbEtapas[],3,FALSE),"")</f>
        <v/>
      </c>
    </row>
    <row r="4636" spans="1:5" x14ac:dyDescent="0.25">
      <c r="A4636" t="str" cm="1">
        <f t="array" ref="A4636">IFERROR(INDEX(tbNucleo[ESCOLA],ROUNDUP(ROW(A4635)/TotalEtapas,0)),"")</f>
        <v/>
      </c>
      <c r="D4636" t="str">
        <f>IFERROR(VLOOKUP(tbEscolas[[#This Row],[COD ETPA]],tbEtapas[],2,FALSE),"")</f>
        <v/>
      </c>
      <c r="E4636" t="str">
        <f>IFERROR(VLOOKUP(tbEscolas[[#This Row],[COD ETPA]],tbEtapas[],3,FALSE),"")</f>
        <v/>
      </c>
    </row>
    <row r="4637" spans="1:5" x14ac:dyDescent="0.25">
      <c r="A4637" t="str" cm="1">
        <f t="array" ref="A4637">IFERROR(INDEX(tbNucleo[ESCOLA],ROUNDUP(ROW(A4636)/TotalEtapas,0)),"")</f>
        <v/>
      </c>
      <c r="D4637" t="str">
        <f>IFERROR(VLOOKUP(tbEscolas[[#This Row],[COD ETPA]],tbEtapas[],2,FALSE),"")</f>
        <v/>
      </c>
      <c r="E4637" t="str">
        <f>IFERROR(VLOOKUP(tbEscolas[[#This Row],[COD ETPA]],tbEtapas[],3,FALSE),"")</f>
        <v/>
      </c>
    </row>
    <row r="4638" spans="1:5" x14ac:dyDescent="0.25">
      <c r="A4638" t="str" cm="1">
        <f t="array" ref="A4638">IFERROR(INDEX(tbNucleo[ESCOLA],ROUNDUP(ROW(A4637)/TotalEtapas,0)),"")</f>
        <v/>
      </c>
      <c r="D4638" t="str">
        <f>IFERROR(VLOOKUP(tbEscolas[[#This Row],[COD ETPA]],tbEtapas[],2,FALSE),"")</f>
        <v/>
      </c>
      <c r="E4638" t="str">
        <f>IFERROR(VLOOKUP(tbEscolas[[#This Row],[COD ETPA]],tbEtapas[],3,FALSE),"")</f>
        <v/>
      </c>
    </row>
    <row r="4639" spans="1:5" x14ac:dyDescent="0.25">
      <c r="A4639" t="str" cm="1">
        <f t="array" ref="A4639">IFERROR(INDEX(tbNucleo[ESCOLA],ROUNDUP(ROW(A4638)/TotalEtapas,0)),"")</f>
        <v/>
      </c>
      <c r="D4639" t="str">
        <f>IFERROR(VLOOKUP(tbEscolas[[#This Row],[COD ETPA]],tbEtapas[],2,FALSE),"")</f>
        <v/>
      </c>
      <c r="E4639" t="str">
        <f>IFERROR(VLOOKUP(tbEscolas[[#This Row],[COD ETPA]],tbEtapas[],3,FALSE),"")</f>
        <v/>
      </c>
    </row>
    <row r="4640" spans="1:5" x14ac:dyDescent="0.25">
      <c r="A4640" t="str" cm="1">
        <f t="array" ref="A4640">IFERROR(INDEX(tbNucleo[ESCOLA],ROUNDUP(ROW(A4639)/TotalEtapas,0)),"")</f>
        <v/>
      </c>
      <c r="D4640" t="str">
        <f>IFERROR(VLOOKUP(tbEscolas[[#This Row],[COD ETPA]],tbEtapas[],2,FALSE),"")</f>
        <v/>
      </c>
      <c r="E4640" t="str">
        <f>IFERROR(VLOOKUP(tbEscolas[[#This Row],[COD ETPA]],tbEtapas[],3,FALSE),"")</f>
        <v/>
      </c>
    </row>
    <row r="4641" spans="1:5" x14ac:dyDescent="0.25">
      <c r="A4641" t="str" cm="1">
        <f t="array" ref="A4641">IFERROR(INDEX(tbNucleo[ESCOLA],ROUNDUP(ROW(A4640)/TotalEtapas,0)),"")</f>
        <v/>
      </c>
      <c r="D4641" t="str">
        <f>IFERROR(VLOOKUP(tbEscolas[[#This Row],[COD ETPA]],tbEtapas[],2,FALSE),"")</f>
        <v/>
      </c>
      <c r="E4641" t="str">
        <f>IFERROR(VLOOKUP(tbEscolas[[#This Row],[COD ETPA]],tbEtapas[],3,FALSE),"")</f>
        <v/>
      </c>
    </row>
    <row r="4642" spans="1:5" x14ac:dyDescent="0.25">
      <c r="A4642" t="str" cm="1">
        <f t="array" ref="A4642">IFERROR(INDEX(tbNucleo[ESCOLA],ROUNDUP(ROW(A4641)/TotalEtapas,0)),"")</f>
        <v/>
      </c>
      <c r="D4642" t="str">
        <f>IFERROR(VLOOKUP(tbEscolas[[#This Row],[COD ETPA]],tbEtapas[],2,FALSE),"")</f>
        <v/>
      </c>
      <c r="E4642" t="str">
        <f>IFERROR(VLOOKUP(tbEscolas[[#This Row],[COD ETPA]],tbEtapas[],3,FALSE),"")</f>
        <v/>
      </c>
    </row>
    <row r="4643" spans="1:5" x14ac:dyDescent="0.25">
      <c r="A4643" t="str" cm="1">
        <f t="array" ref="A4643">IFERROR(INDEX(tbNucleo[ESCOLA],ROUNDUP(ROW(A4642)/TotalEtapas,0)),"")</f>
        <v/>
      </c>
      <c r="D4643" t="str">
        <f>IFERROR(VLOOKUP(tbEscolas[[#This Row],[COD ETPA]],tbEtapas[],2,FALSE),"")</f>
        <v/>
      </c>
      <c r="E4643" t="str">
        <f>IFERROR(VLOOKUP(tbEscolas[[#This Row],[COD ETPA]],tbEtapas[],3,FALSE),"")</f>
        <v/>
      </c>
    </row>
    <row r="4644" spans="1:5" x14ac:dyDescent="0.25">
      <c r="A4644" t="str" cm="1">
        <f t="array" ref="A4644">IFERROR(INDEX(tbNucleo[ESCOLA],ROUNDUP(ROW(A4643)/TotalEtapas,0)),"")</f>
        <v/>
      </c>
      <c r="D4644" t="str">
        <f>IFERROR(VLOOKUP(tbEscolas[[#This Row],[COD ETPA]],tbEtapas[],2,FALSE),"")</f>
        <v/>
      </c>
      <c r="E4644" t="str">
        <f>IFERROR(VLOOKUP(tbEscolas[[#This Row],[COD ETPA]],tbEtapas[],3,FALSE),"")</f>
        <v/>
      </c>
    </row>
    <row r="4645" spans="1:5" x14ac:dyDescent="0.25">
      <c r="A4645" t="str" cm="1">
        <f t="array" ref="A4645">IFERROR(INDEX(tbNucleo[ESCOLA],ROUNDUP(ROW(A4644)/TotalEtapas,0)),"")</f>
        <v/>
      </c>
      <c r="D4645" t="str">
        <f>IFERROR(VLOOKUP(tbEscolas[[#This Row],[COD ETPA]],tbEtapas[],2,FALSE),"")</f>
        <v/>
      </c>
      <c r="E4645" t="str">
        <f>IFERROR(VLOOKUP(tbEscolas[[#This Row],[COD ETPA]],tbEtapas[],3,FALSE),"")</f>
        <v/>
      </c>
    </row>
    <row r="4646" spans="1:5" x14ac:dyDescent="0.25">
      <c r="A4646" t="str" cm="1">
        <f t="array" ref="A4646">IFERROR(INDEX(tbNucleo[ESCOLA],ROUNDUP(ROW(A4645)/TotalEtapas,0)),"")</f>
        <v/>
      </c>
      <c r="D4646" t="str">
        <f>IFERROR(VLOOKUP(tbEscolas[[#This Row],[COD ETPA]],tbEtapas[],2,FALSE),"")</f>
        <v/>
      </c>
      <c r="E4646" t="str">
        <f>IFERROR(VLOOKUP(tbEscolas[[#This Row],[COD ETPA]],tbEtapas[],3,FALSE),"")</f>
        <v/>
      </c>
    </row>
    <row r="4647" spans="1:5" x14ac:dyDescent="0.25">
      <c r="A4647" t="str" cm="1">
        <f t="array" ref="A4647">IFERROR(INDEX(tbNucleo[ESCOLA],ROUNDUP(ROW(A4646)/TotalEtapas,0)),"")</f>
        <v/>
      </c>
      <c r="D4647" t="str">
        <f>IFERROR(VLOOKUP(tbEscolas[[#This Row],[COD ETPA]],tbEtapas[],2,FALSE),"")</f>
        <v/>
      </c>
      <c r="E4647" t="str">
        <f>IFERROR(VLOOKUP(tbEscolas[[#This Row],[COD ETPA]],tbEtapas[],3,FALSE),"")</f>
        <v/>
      </c>
    </row>
    <row r="4648" spans="1:5" x14ac:dyDescent="0.25">
      <c r="A4648" t="str" cm="1">
        <f t="array" ref="A4648">IFERROR(INDEX(tbNucleo[ESCOLA],ROUNDUP(ROW(A4647)/TotalEtapas,0)),"")</f>
        <v/>
      </c>
      <c r="D4648" t="str">
        <f>IFERROR(VLOOKUP(tbEscolas[[#This Row],[COD ETPA]],tbEtapas[],2,FALSE),"")</f>
        <v/>
      </c>
      <c r="E4648" t="str">
        <f>IFERROR(VLOOKUP(tbEscolas[[#This Row],[COD ETPA]],tbEtapas[],3,FALSE),"")</f>
        <v/>
      </c>
    </row>
    <row r="4649" spans="1:5" x14ac:dyDescent="0.25">
      <c r="A4649" t="str" cm="1">
        <f t="array" ref="A4649">IFERROR(INDEX(tbNucleo[ESCOLA],ROUNDUP(ROW(A4648)/TotalEtapas,0)),"")</f>
        <v/>
      </c>
      <c r="D4649" t="str">
        <f>IFERROR(VLOOKUP(tbEscolas[[#This Row],[COD ETPA]],tbEtapas[],2,FALSE),"")</f>
        <v/>
      </c>
      <c r="E4649" t="str">
        <f>IFERROR(VLOOKUP(tbEscolas[[#This Row],[COD ETPA]],tbEtapas[],3,FALSE),"")</f>
        <v/>
      </c>
    </row>
    <row r="4650" spans="1:5" x14ac:dyDescent="0.25">
      <c r="A4650" t="str" cm="1">
        <f t="array" ref="A4650">IFERROR(INDEX(tbNucleo[ESCOLA],ROUNDUP(ROW(A4649)/TotalEtapas,0)),"")</f>
        <v/>
      </c>
      <c r="D4650" t="str">
        <f>IFERROR(VLOOKUP(tbEscolas[[#This Row],[COD ETPA]],tbEtapas[],2,FALSE),"")</f>
        <v/>
      </c>
      <c r="E4650" t="str">
        <f>IFERROR(VLOOKUP(tbEscolas[[#This Row],[COD ETPA]],tbEtapas[],3,FALSE),"")</f>
        <v/>
      </c>
    </row>
    <row r="4651" spans="1:5" x14ac:dyDescent="0.25">
      <c r="A4651" t="str" cm="1">
        <f t="array" ref="A4651">IFERROR(INDEX(tbNucleo[ESCOLA],ROUNDUP(ROW(A4650)/TotalEtapas,0)),"")</f>
        <v/>
      </c>
      <c r="D4651" t="str">
        <f>IFERROR(VLOOKUP(tbEscolas[[#This Row],[COD ETPA]],tbEtapas[],2,FALSE),"")</f>
        <v/>
      </c>
      <c r="E4651" t="str">
        <f>IFERROR(VLOOKUP(tbEscolas[[#This Row],[COD ETPA]],tbEtapas[],3,FALSE),"")</f>
        <v/>
      </c>
    </row>
    <row r="4652" spans="1:5" x14ac:dyDescent="0.25">
      <c r="A4652" t="str" cm="1">
        <f t="array" ref="A4652">IFERROR(INDEX(tbNucleo[ESCOLA],ROUNDUP(ROW(A4651)/TotalEtapas,0)),"")</f>
        <v/>
      </c>
      <c r="D4652" t="str">
        <f>IFERROR(VLOOKUP(tbEscolas[[#This Row],[COD ETPA]],tbEtapas[],2,FALSE),"")</f>
        <v/>
      </c>
      <c r="E4652" t="str">
        <f>IFERROR(VLOOKUP(tbEscolas[[#This Row],[COD ETPA]],tbEtapas[],3,FALSE),"")</f>
        <v/>
      </c>
    </row>
    <row r="4653" spans="1:5" x14ac:dyDescent="0.25">
      <c r="A4653" t="str" cm="1">
        <f t="array" ref="A4653">IFERROR(INDEX(tbNucleo[ESCOLA],ROUNDUP(ROW(A4652)/TotalEtapas,0)),"")</f>
        <v/>
      </c>
      <c r="D4653" t="str">
        <f>IFERROR(VLOOKUP(tbEscolas[[#This Row],[COD ETPA]],tbEtapas[],2,FALSE),"")</f>
        <v/>
      </c>
      <c r="E4653" t="str">
        <f>IFERROR(VLOOKUP(tbEscolas[[#This Row],[COD ETPA]],tbEtapas[],3,FALSE),"")</f>
        <v/>
      </c>
    </row>
    <row r="4654" spans="1:5" x14ac:dyDescent="0.25">
      <c r="A4654" t="str" cm="1">
        <f t="array" ref="A4654">IFERROR(INDEX(tbNucleo[ESCOLA],ROUNDUP(ROW(A4653)/TotalEtapas,0)),"")</f>
        <v/>
      </c>
      <c r="D4654" t="str">
        <f>IFERROR(VLOOKUP(tbEscolas[[#This Row],[COD ETPA]],tbEtapas[],2,FALSE),"")</f>
        <v/>
      </c>
      <c r="E4654" t="str">
        <f>IFERROR(VLOOKUP(tbEscolas[[#This Row],[COD ETPA]],tbEtapas[],3,FALSE),"")</f>
        <v/>
      </c>
    </row>
    <row r="4655" spans="1:5" x14ac:dyDescent="0.25">
      <c r="A4655" t="str" cm="1">
        <f t="array" ref="A4655">IFERROR(INDEX(tbNucleo[ESCOLA],ROUNDUP(ROW(A4654)/TotalEtapas,0)),"")</f>
        <v/>
      </c>
      <c r="D4655" t="str">
        <f>IFERROR(VLOOKUP(tbEscolas[[#This Row],[COD ETPA]],tbEtapas[],2,FALSE),"")</f>
        <v/>
      </c>
      <c r="E4655" t="str">
        <f>IFERROR(VLOOKUP(tbEscolas[[#This Row],[COD ETPA]],tbEtapas[],3,FALSE),"")</f>
        <v/>
      </c>
    </row>
    <row r="4656" spans="1:5" x14ac:dyDescent="0.25">
      <c r="A4656" t="str" cm="1">
        <f t="array" ref="A4656">IFERROR(INDEX(tbNucleo[ESCOLA],ROUNDUP(ROW(A4655)/TotalEtapas,0)),"")</f>
        <v/>
      </c>
      <c r="D4656" t="str">
        <f>IFERROR(VLOOKUP(tbEscolas[[#This Row],[COD ETPA]],tbEtapas[],2,FALSE),"")</f>
        <v/>
      </c>
      <c r="E4656" t="str">
        <f>IFERROR(VLOOKUP(tbEscolas[[#This Row],[COD ETPA]],tbEtapas[],3,FALSE),"")</f>
        <v/>
      </c>
    </row>
    <row r="4657" spans="1:5" x14ac:dyDescent="0.25">
      <c r="A4657" t="str" cm="1">
        <f t="array" ref="A4657">IFERROR(INDEX(tbNucleo[ESCOLA],ROUNDUP(ROW(A4656)/TotalEtapas,0)),"")</f>
        <v/>
      </c>
      <c r="D4657" t="str">
        <f>IFERROR(VLOOKUP(tbEscolas[[#This Row],[COD ETPA]],tbEtapas[],2,FALSE),"")</f>
        <v/>
      </c>
      <c r="E4657" t="str">
        <f>IFERROR(VLOOKUP(tbEscolas[[#This Row],[COD ETPA]],tbEtapas[],3,FALSE),"")</f>
        <v/>
      </c>
    </row>
    <row r="4658" spans="1:5" x14ac:dyDescent="0.25">
      <c r="A4658" t="str" cm="1">
        <f t="array" ref="A4658">IFERROR(INDEX(tbNucleo[ESCOLA],ROUNDUP(ROW(A4657)/TotalEtapas,0)),"")</f>
        <v/>
      </c>
      <c r="D4658" t="str">
        <f>IFERROR(VLOOKUP(tbEscolas[[#This Row],[COD ETPA]],tbEtapas[],2,FALSE),"")</f>
        <v/>
      </c>
      <c r="E4658" t="str">
        <f>IFERROR(VLOOKUP(tbEscolas[[#This Row],[COD ETPA]],tbEtapas[],3,FALSE),"")</f>
        <v/>
      </c>
    </row>
    <row r="4659" spans="1:5" x14ac:dyDescent="0.25">
      <c r="A4659" t="str" cm="1">
        <f t="array" ref="A4659">IFERROR(INDEX(tbNucleo[ESCOLA],ROUNDUP(ROW(A4658)/TotalEtapas,0)),"")</f>
        <v/>
      </c>
      <c r="D4659" t="str">
        <f>IFERROR(VLOOKUP(tbEscolas[[#This Row],[COD ETPA]],tbEtapas[],2,FALSE),"")</f>
        <v/>
      </c>
      <c r="E4659" t="str">
        <f>IFERROR(VLOOKUP(tbEscolas[[#This Row],[COD ETPA]],tbEtapas[],3,FALSE),"")</f>
        <v/>
      </c>
    </row>
    <row r="4660" spans="1:5" x14ac:dyDescent="0.25">
      <c r="A4660" t="str" cm="1">
        <f t="array" ref="A4660">IFERROR(INDEX(tbNucleo[ESCOLA],ROUNDUP(ROW(A4659)/TotalEtapas,0)),"")</f>
        <v/>
      </c>
      <c r="D4660" t="str">
        <f>IFERROR(VLOOKUP(tbEscolas[[#This Row],[COD ETPA]],tbEtapas[],2,FALSE),"")</f>
        <v/>
      </c>
      <c r="E4660" t="str">
        <f>IFERROR(VLOOKUP(tbEscolas[[#This Row],[COD ETPA]],tbEtapas[],3,FALSE),"")</f>
        <v/>
      </c>
    </row>
    <row r="4661" spans="1:5" x14ac:dyDescent="0.25">
      <c r="A4661" t="str" cm="1">
        <f t="array" ref="A4661">IFERROR(INDEX(tbNucleo[ESCOLA],ROUNDUP(ROW(A4660)/TotalEtapas,0)),"")</f>
        <v/>
      </c>
      <c r="D4661" t="str">
        <f>IFERROR(VLOOKUP(tbEscolas[[#This Row],[COD ETPA]],tbEtapas[],2,FALSE),"")</f>
        <v/>
      </c>
      <c r="E4661" t="str">
        <f>IFERROR(VLOOKUP(tbEscolas[[#This Row],[COD ETPA]],tbEtapas[],3,FALSE),"")</f>
        <v/>
      </c>
    </row>
    <row r="4662" spans="1:5" x14ac:dyDescent="0.25">
      <c r="A4662" t="str" cm="1">
        <f t="array" ref="A4662">IFERROR(INDEX(tbNucleo[ESCOLA],ROUNDUP(ROW(A4661)/TotalEtapas,0)),"")</f>
        <v/>
      </c>
      <c r="D4662" t="str">
        <f>IFERROR(VLOOKUP(tbEscolas[[#This Row],[COD ETPA]],tbEtapas[],2,FALSE),"")</f>
        <v/>
      </c>
      <c r="E4662" t="str">
        <f>IFERROR(VLOOKUP(tbEscolas[[#This Row],[COD ETPA]],tbEtapas[],3,FALSE),"")</f>
        <v/>
      </c>
    </row>
    <row r="4663" spans="1:5" x14ac:dyDescent="0.25">
      <c r="A4663" t="str" cm="1">
        <f t="array" ref="A4663">IFERROR(INDEX(tbNucleo[ESCOLA],ROUNDUP(ROW(A4662)/TotalEtapas,0)),"")</f>
        <v/>
      </c>
      <c r="D4663" t="str">
        <f>IFERROR(VLOOKUP(tbEscolas[[#This Row],[COD ETPA]],tbEtapas[],2,FALSE),"")</f>
        <v/>
      </c>
      <c r="E4663" t="str">
        <f>IFERROR(VLOOKUP(tbEscolas[[#This Row],[COD ETPA]],tbEtapas[],3,FALSE),"")</f>
        <v/>
      </c>
    </row>
    <row r="4664" spans="1:5" x14ac:dyDescent="0.25">
      <c r="A4664" t="str" cm="1">
        <f t="array" ref="A4664">IFERROR(INDEX(tbNucleo[ESCOLA],ROUNDUP(ROW(A4663)/TotalEtapas,0)),"")</f>
        <v/>
      </c>
      <c r="D4664" t="str">
        <f>IFERROR(VLOOKUP(tbEscolas[[#This Row],[COD ETPA]],tbEtapas[],2,FALSE),"")</f>
        <v/>
      </c>
      <c r="E4664" t="str">
        <f>IFERROR(VLOOKUP(tbEscolas[[#This Row],[COD ETPA]],tbEtapas[],3,FALSE),"")</f>
        <v/>
      </c>
    </row>
    <row r="4665" spans="1:5" x14ac:dyDescent="0.25">
      <c r="A4665" t="str" cm="1">
        <f t="array" ref="A4665">IFERROR(INDEX(tbNucleo[ESCOLA],ROUNDUP(ROW(A4664)/TotalEtapas,0)),"")</f>
        <v/>
      </c>
      <c r="D4665" t="str">
        <f>IFERROR(VLOOKUP(tbEscolas[[#This Row],[COD ETPA]],tbEtapas[],2,FALSE),"")</f>
        <v/>
      </c>
      <c r="E4665" t="str">
        <f>IFERROR(VLOOKUP(tbEscolas[[#This Row],[COD ETPA]],tbEtapas[],3,FALSE),"")</f>
        <v/>
      </c>
    </row>
    <row r="4666" spans="1:5" x14ac:dyDescent="0.25">
      <c r="A4666" t="str" cm="1">
        <f t="array" ref="A4666">IFERROR(INDEX(tbNucleo[ESCOLA],ROUNDUP(ROW(A4665)/TotalEtapas,0)),"")</f>
        <v/>
      </c>
      <c r="D4666" t="str">
        <f>IFERROR(VLOOKUP(tbEscolas[[#This Row],[COD ETPA]],tbEtapas[],2,FALSE),"")</f>
        <v/>
      </c>
      <c r="E4666" t="str">
        <f>IFERROR(VLOOKUP(tbEscolas[[#This Row],[COD ETPA]],tbEtapas[],3,FALSE),"")</f>
        <v/>
      </c>
    </row>
    <row r="4667" spans="1:5" x14ac:dyDescent="0.25">
      <c r="A4667" t="str" cm="1">
        <f t="array" ref="A4667">IFERROR(INDEX(tbNucleo[ESCOLA],ROUNDUP(ROW(A4666)/TotalEtapas,0)),"")</f>
        <v/>
      </c>
      <c r="D4667" t="str">
        <f>IFERROR(VLOOKUP(tbEscolas[[#This Row],[COD ETPA]],tbEtapas[],2,FALSE),"")</f>
        <v/>
      </c>
      <c r="E4667" t="str">
        <f>IFERROR(VLOOKUP(tbEscolas[[#This Row],[COD ETPA]],tbEtapas[],3,FALSE),"")</f>
        <v/>
      </c>
    </row>
    <row r="4668" spans="1:5" x14ac:dyDescent="0.25">
      <c r="A4668" t="str" cm="1">
        <f t="array" ref="A4668">IFERROR(INDEX(tbNucleo[ESCOLA],ROUNDUP(ROW(A4667)/TotalEtapas,0)),"")</f>
        <v/>
      </c>
      <c r="D4668" t="str">
        <f>IFERROR(VLOOKUP(tbEscolas[[#This Row],[COD ETPA]],tbEtapas[],2,FALSE),"")</f>
        <v/>
      </c>
      <c r="E4668" t="str">
        <f>IFERROR(VLOOKUP(tbEscolas[[#This Row],[COD ETPA]],tbEtapas[],3,FALSE),"")</f>
        <v/>
      </c>
    </row>
    <row r="4669" spans="1:5" x14ac:dyDescent="0.25">
      <c r="A4669" t="str" cm="1">
        <f t="array" ref="A4669">IFERROR(INDEX(tbNucleo[ESCOLA],ROUNDUP(ROW(A4668)/TotalEtapas,0)),"")</f>
        <v/>
      </c>
      <c r="D4669" t="str">
        <f>IFERROR(VLOOKUP(tbEscolas[[#This Row],[COD ETPA]],tbEtapas[],2,FALSE),"")</f>
        <v/>
      </c>
      <c r="E4669" t="str">
        <f>IFERROR(VLOOKUP(tbEscolas[[#This Row],[COD ETPA]],tbEtapas[],3,FALSE),"")</f>
        <v/>
      </c>
    </row>
    <row r="4670" spans="1:5" x14ac:dyDescent="0.25">
      <c r="A4670" t="str" cm="1">
        <f t="array" ref="A4670">IFERROR(INDEX(tbNucleo[ESCOLA],ROUNDUP(ROW(A4669)/TotalEtapas,0)),"")</f>
        <v/>
      </c>
      <c r="D4670" t="str">
        <f>IFERROR(VLOOKUP(tbEscolas[[#This Row],[COD ETPA]],tbEtapas[],2,FALSE),"")</f>
        <v/>
      </c>
      <c r="E4670" t="str">
        <f>IFERROR(VLOOKUP(tbEscolas[[#This Row],[COD ETPA]],tbEtapas[],3,FALSE),"")</f>
        <v/>
      </c>
    </row>
    <row r="4671" spans="1:5" x14ac:dyDescent="0.25">
      <c r="A4671" t="str" cm="1">
        <f t="array" ref="A4671">IFERROR(INDEX(tbNucleo[ESCOLA],ROUNDUP(ROW(A4670)/TotalEtapas,0)),"")</f>
        <v/>
      </c>
      <c r="D4671" t="str">
        <f>IFERROR(VLOOKUP(tbEscolas[[#This Row],[COD ETPA]],tbEtapas[],2,FALSE),"")</f>
        <v/>
      </c>
      <c r="E4671" t="str">
        <f>IFERROR(VLOOKUP(tbEscolas[[#This Row],[COD ETPA]],tbEtapas[],3,FALSE),"")</f>
        <v/>
      </c>
    </row>
    <row r="4672" spans="1:5" x14ac:dyDescent="0.25">
      <c r="A4672" t="str" cm="1">
        <f t="array" ref="A4672">IFERROR(INDEX(tbNucleo[ESCOLA],ROUNDUP(ROW(A4671)/TotalEtapas,0)),"")</f>
        <v/>
      </c>
      <c r="D4672" t="str">
        <f>IFERROR(VLOOKUP(tbEscolas[[#This Row],[COD ETPA]],tbEtapas[],2,FALSE),"")</f>
        <v/>
      </c>
      <c r="E4672" t="str">
        <f>IFERROR(VLOOKUP(tbEscolas[[#This Row],[COD ETPA]],tbEtapas[],3,FALSE),"")</f>
        <v/>
      </c>
    </row>
    <row r="4673" spans="1:5" x14ac:dyDescent="0.25">
      <c r="A4673" t="str" cm="1">
        <f t="array" ref="A4673">IFERROR(INDEX(tbNucleo[ESCOLA],ROUNDUP(ROW(A4672)/TotalEtapas,0)),"")</f>
        <v/>
      </c>
      <c r="D4673" t="str">
        <f>IFERROR(VLOOKUP(tbEscolas[[#This Row],[COD ETPA]],tbEtapas[],2,FALSE),"")</f>
        <v/>
      </c>
      <c r="E4673" t="str">
        <f>IFERROR(VLOOKUP(tbEscolas[[#This Row],[COD ETPA]],tbEtapas[],3,FALSE),"")</f>
        <v/>
      </c>
    </row>
    <row r="4674" spans="1:5" x14ac:dyDescent="0.25">
      <c r="A4674" t="str" cm="1">
        <f t="array" ref="A4674">IFERROR(INDEX(tbNucleo[ESCOLA],ROUNDUP(ROW(A4673)/TotalEtapas,0)),"")</f>
        <v/>
      </c>
      <c r="D4674" t="str">
        <f>IFERROR(VLOOKUP(tbEscolas[[#This Row],[COD ETPA]],tbEtapas[],2,FALSE),"")</f>
        <v/>
      </c>
      <c r="E4674" t="str">
        <f>IFERROR(VLOOKUP(tbEscolas[[#This Row],[COD ETPA]],tbEtapas[],3,FALSE),"")</f>
        <v/>
      </c>
    </row>
    <row r="4675" spans="1:5" x14ac:dyDescent="0.25">
      <c r="A4675" t="str" cm="1">
        <f t="array" ref="A4675">IFERROR(INDEX(tbNucleo[ESCOLA],ROUNDUP(ROW(A4674)/TotalEtapas,0)),"")</f>
        <v/>
      </c>
      <c r="D4675" t="str">
        <f>IFERROR(VLOOKUP(tbEscolas[[#This Row],[COD ETPA]],tbEtapas[],2,FALSE),"")</f>
        <v/>
      </c>
      <c r="E4675" t="str">
        <f>IFERROR(VLOOKUP(tbEscolas[[#This Row],[COD ETPA]],tbEtapas[],3,FALSE),"")</f>
        <v/>
      </c>
    </row>
    <row r="4676" spans="1:5" x14ac:dyDescent="0.25">
      <c r="A4676" t="str" cm="1">
        <f t="array" ref="A4676">IFERROR(INDEX(tbNucleo[ESCOLA],ROUNDUP(ROW(A4675)/TotalEtapas,0)),"")</f>
        <v/>
      </c>
      <c r="D4676" t="str">
        <f>IFERROR(VLOOKUP(tbEscolas[[#This Row],[COD ETPA]],tbEtapas[],2,FALSE),"")</f>
        <v/>
      </c>
      <c r="E4676" t="str">
        <f>IFERROR(VLOOKUP(tbEscolas[[#This Row],[COD ETPA]],tbEtapas[],3,FALSE),"")</f>
        <v/>
      </c>
    </row>
    <row r="4677" spans="1:5" x14ac:dyDescent="0.25">
      <c r="A4677" t="str" cm="1">
        <f t="array" ref="A4677">IFERROR(INDEX(tbNucleo[ESCOLA],ROUNDUP(ROW(A4676)/TotalEtapas,0)),"")</f>
        <v/>
      </c>
      <c r="D4677" t="str">
        <f>IFERROR(VLOOKUP(tbEscolas[[#This Row],[COD ETPA]],tbEtapas[],2,FALSE),"")</f>
        <v/>
      </c>
      <c r="E4677" t="str">
        <f>IFERROR(VLOOKUP(tbEscolas[[#This Row],[COD ETPA]],tbEtapas[],3,FALSE),"")</f>
        <v/>
      </c>
    </row>
    <row r="4678" spans="1:5" x14ac:dyDescent="0.25">
      <c r="A4678" t="str" cm="1">
        <f t="array" ref="A4678">IFERROR(INDEX(tbNucleo[ESCOLA],ROUNDUP(ROW(A4677)/TotalEtapas,0)),"")</f>
        <v/>
      </c>
      <c r="D4678" t="str">
        <f>IFERROR(VLOOKUP(tbEscolas[[#This Row],[COD ETPA]],tbEtapas[],2,FALSE),"")</f>
        <v/>
      </c>
      <c r="E4678" t="str">
        <f>IFERROR(VLOOKUP(tbEscolas[[#This Row],[COD ETPA]],tbEtapas[],3,FALSE),"")</f>
        <v/>
      </c>
    </row>
    <row r="4679" spans="1:5" x14ac:dyDescent="0.25">
      <c r="A4679" t="str" cm="1">
        <f t="array" ref="A4679">IFERROR(INDEX(tbNucleo[ESCOLA],ROUNDUP(ROW(A4678)/TotalEtapas,0)),"")</f>
        <v/>
      </c>
      <c r="D4679" t="str">
        <f>IFERROR(VLOOKUP(tbEscolas[[#This Row],[COD ETPA]],tbEtapas[],2,FALSE),"")</f>
        <v/>
      </c>
      <c r="E4679" t="str">
        <f>IFERROR(VLOOKUP(tbEscolas[[#This Row],[COD ETPA]],tbEtapas[],3,FALSE),"")</f>
        <v/>
      </c>
    </row>
    <row r="4680" spans="1:5" x14ac:dyDescent="0.25">
      <c r="A4680" t="str" cm="1">
        <f t="array" ref="A4680">IFERROR(INDEX(tbNucleo[ESCOLA],ROUNDUP(ROW(A4679)/TotalEtapas,0)),"")</f>
        <v/>
      </c>
      <c r="D4680" t="str">
        <f>IFERROR(VLOOKUP(tbEscolas[[#This Row],[COD ETPA]],tbEtapas[],2,FALSE),"")</f>
        <v/>
      </c>
      <c r="E4680" t="str">
        <f>IFERROR(VLOOKUP(tbEscolas[[#This Row],[COD ETPA]],tbEtapas[],3,FALSE),"")</f>
        <v/>
      </c>
    </row>
    <row r="4681" spans="1:5" x14ac:dyDescent="0.25">
      <c r="A4681" t="str" cm="1">
        <f t="array" ref="A4681">IFERROR(INDEX(tbNucleo[ESCOLA],ROUNDUP(ROW(A4680)/TotalEtapas,0)),"")</f>
        <v/>
      </c>
      <c r="D4681" t="str">
        <f>IFERROR(VLOOKUP(tbEscolas[[#This Row],[COD ETPA]],tbEtapas[],2,FALSE),"")</f>
        <v/>
      </c>
      <c r="E4681" t="str">
        <f>IFERROR(VLOOKUP(tbEscolas[[#This Row],[COD ETPA]],tbEtapas[],3,FALSE),"")</f>
        <v/>
      </c>
    </row>
    <row r="4682" spans="1:5" x14ac:dyDescent="0.25">
      <c r="A4682" t="str" cm="1">
        <f t="array" ref="A4682">IFERROR(INDEX(tbNucleo[ESCOLA],ROUNDUP(ROW(A4681)/TotalEtapas,0)),"")</f>
        <v/>
      </c>
      <c r="D4682" t="str">
        <f>IFERROR(VLOOKUP(tbEscolas[[#This Row],[COD ETPA]],tbEtapas[],2,FALSE),"")</f>
        <v/>
      </c>
      <c r="E4682" t="str">
        <f>IFERROR(VLOOKUP(tbEscolas[[#This Row],[COD ETPA]],tbEtapas[],3,FALSE),"")</f>
        <v/>
      </c>
    </row>
    <row r="4683" spans="1:5" x14ac:dyDescent="0.25">
      <c r="A4683" t="str" cm="1">
        <f t="array" ref="A4683">IFERROR(INDEX(tbNucleo[ESCOLA],ROUNDUP(ROW(A4682)/TotalEtapas,0)),"")</f>
        <v/>
      </c>
      <c r="D4683" t="str">
        <f>IFERROR(VLOOKUP(tbEscolas[[#This Row],[COD ETPA]],tbEtapas[],2,FALSE),"")</f>
        <v/>
      </c>
      <c r="E4683" t="str">
        <f>IFERROR(VLOOKUP(tbEscolas[[#This Row],[COD ETPA]],tbEtapas[],3,FALSE),"")</f>
        <v/>
      </c>
    </row>
    <row r="4684" spans="1:5" x14ac:dyDescent="0.25">
      <c r="A4684" t="str" cm="1">
        <f t="array" ref="A4684">IFERROR(INDEX(tbNucleo[ESCOLA],ROUNDUP(ROW(A4683)/TotalEtapas,0)),"")</f>
        <v/>
      </c>
      <c r="D4684" t="str">
        <f>IFERROR(VLOOKUP(tbEscolas[[#This Row],[COD ETPA]],tbEtapas[],2,FALSE),"")</f>
        <v/>
      </c>
      <c r="E4684" t="str">
        <f>IFERROR(VLOOKUP(tbEscolas[[#This Row],[COD ETPA]],tbEtapas[],3,FALSE),"")</f>
        <v/>
      </c>
    </row>
    <row r="4685" spans="1:5" x14ac:dyDescent="0.25">
      <c r="A4685" t="str" cm="1">
        <f t="array" ref="A4685">IFERROR(INDEX(tbNucleo[ESCOLA],ROUNDUP(ROW(A4684)/TotalEtapas,0)),"")</f>
        <v/>
      </c>
      <c r="D4685" t="str">
        <f>IFERROR(VLOOKUP(tbEscolas[[#This Row],[COD ETPA]],tbEtapas[],2,FALSE),"")</f>
        <v/>
      </c>
      <c r="E4685" t="str">
        <f>IFERROR(VLOOKUP(tbEscolas[[#This Row],[COD ETPA]],tbEtapas[],3,FALSE),"")</f>
        <v/>
      </c>
    </row>
    <row r="4686" spans="1:5" x14ac:dyDescent="0.25">
      <c r="A4686" t="str" cm="1">
        <f t="array" ref="A4686">IFERROR(INDEX(tbNucleo[ESCOLA],ROUNDUP(ROW(A4685)/TotalEtapas,0)),"")</f>
        <v/>
      </c>
      <c r="D4686" t="str">
        <f>IFERROR(VLOOKUP(tbEscolas[[#This Row],[COD ETPA]],tbEtapas[],2,FALSE),"")</f>
        <v/>
      </c>
      <c r="E4686" t="str">
        <f>IFERROR(VLOOKUP(tbEscolas[[#This Row],[COD ETPA]],tbEtapas[],3,FALSE),"")</f>
        <v/>
      </c>
    </row>
    <row r="4687" spans="1:5" x14ac:dyDescent="0.25">
      <c r="A4687" t="str" cm="1">
        <f t="array" ref="A4687">IFERROR(INDEX(tbNucleo[ESCOLA],ROUNDUP(ROW(A4686)/TotalEtapas,0)),"")</f>
        <v/>
      </c>
      <c r="D4687" t="str">
        <f>IFERROR(VLOOKUP(tbEscolas[[#This Row],[COD ETPA]],tbEtapas[],2,FALSE),"")</f>
        <v/>
      </c>
      <c r="E4687" t="str">
        <f>IFERROR(VLOOKUP(tbEscolas[[#This Row],[COD ETPA]],tbEtapas[],3,FALSE),"")</f>
        <v/>
      </c>
    </row>
    <row r="4688" spans="1:5" x14ac:dyDescent="0.25">
      <c r="A4688" t="str" cm="1">
        <f t="array" ref="A4688">IFERROR(INDEX(tbNucleo[ESCOLA],ROUNDUP(ROW(A4687)/TotalEtapas,0)),"")</f>
        <v/>
      </c>
      <c r="D4688" t="str">
        <f>IFERROR(VLOOKUP(tbEscolas[[#This Row],[COD ETPA]],tbEtapas[],2,FALSE),"")</f>
        <v/>
      </c>
      <c r="E4688" t="str">
        <f>IFERROR(VLOOKUP(tbEscolas[[#This Row],[COD ETPA]],tbEtapas[],3,FALSE),"")</f>
        <v/>
      </c>
    </row>
    <row r="4689" spans="1:5" x14ac:dyDescent="0.25">
      <c r="A4689" t="str" cm="1">
        <f t="array" ref="A4689">IFERROR(INDEX(tbNucleo[ESCOLA],ROUNDUP(ROW(A4688)/TotalEtapas,0)),"")</f>
        <v/>
      </c>
      <c r="D4689" t="str">
        <f>IFERROR(VLOOKUP(tbEscolas[[#This Row],[COD ETPA]],tbEtapas[],2,FALSE),"")</f>
        <v/>
      </c>
      <c r="E4689" t="str">
        <f>IFERROR(VLOOKUP(tbEscolas[[#This Row],[COD ETPA]],tbEtapas[],3,FALSE),"")</f>
        <v/>
      </c>
    </row>
    <row r="4690" spans="1:5" x14ac:dyDescent="0.25">
      <c r="A4690" t="str" cm="1">
        <f t="array" ref="A4690">IFERROR(INDEX(tbNucleo[ESCOLA],ROUNDUP(ROW(A4689)/TotalEtapas,0)),"")</f>
        <v/>
      </c>
      <c r="D4690" t="str">
        <f>IFERROR(VLOOKUP(tbEscolas[[#This Row],[COD ETPA]],tbEtapas[],2,FALSE),"")</f>
        <v/>
      </c>
      <c r="E4690" t="str">
        <f>IFERROR(VLOOKUP(tbEscolas[[#This Row],[COD ETPA]],tbEtapas[],3,FALSE),"")</f>
        <v/>
      </c>
    </row>
    <row r="4691" spans="1:5" x14ac:dyDescent="0.25">
      <c r="A4691" t="str" cm="1">
        <f t="array" ref="A4691">IFERROR(INDEX(tbNucleo[ESCOLA],ROUNDUP(ROW(A4690)/TotalEtapas,0)),"")</f>
        <v/>
      </c>
      <c r="D4691" t="str">
        <f>IFERROR(VLOOKUP(tbEscolas[[#This Row],[COD ETPA]],tbEtapas[],2,FALSE),"")</f>
        <v/>
      </c>
      <c r="E4691" t="str">
        <f>IFERROR(VLOOKUP(tbEscolas[[#This Row],[COD ETPA]],tbEtapas[],3,FALSE),"")</f>
        <v/>
      </c>
    </row>
    <row r="4692" spans="1:5" x14ac:dyDescent="0.25">
      <c r="A4692" t="str" cm="1">
        <f t="array" ref="A4692">IFERROR(INDEX(tbNucleo[ESCOLA],ROUNDUP(ROW(A4691)/TotalEtapas,0)),"")</f>
        <v/>
      </c>
      <c r="D4692" t="str">
        <f>IFERROR(VLOOKUP(tbEscolas[[#This Row],[COD ETPA]],tbEtapas[],2,FALSE),"")</f>
        <v/>
      </c>
      <c r="E4692" t="str">
        <f>IFERROR(VLOOKUP(tbEscolas[[#This Row],[COD ETPA]],tbEtapas[],3,FALSE),"")</f>
        <v/>
      </c>
    </row>
    <row r="4693" spans="1:5" x14ac:dyDescent="0.25">
      <c r="A4693" t="str" cm="1">
        <f t="array" ref="A4693">IFERROR(INDEX(tbNucleo[ESCOLA],ROUNDUP(ROW(A4692)/TotalEtapas,0)),"")</f>
        <v/>
      </c>
      <c r="D4693" t="str">
        <f>IFERROR(VLOOKUP(tbEscolas[[#This Row],[COD ETPA]],tbEtapas[],2,FALSE),"")</f>
        <v/>
      </c>
      <c r="E4693" t="str">
        <f>IFERROR(VLOOKUP(tbEscolas[[#This Row],[COD ETPA]],tbEtapas[],3,FALSE),"")</f>
        <v/>
      </c>
    </row>
    <row r="4694" spans="1:5" x14ac:dyDescent="0.25">
      <c r="A4694" t="str" cm="1">
        <f t="array" ref="A4694">IFERROR(INDEX(tbNucleo[ESCOLA],ROUNDUP(ROW(A4693)/TotalEtapas,0)),"")</f>
        <v/>
      </c>
      <c r="D4694" t="str">
        <f>IFERROR(VLOOKUP(tbEscolas[[#This Row],[COD ETPA]],tbEtapas[],2,FALSE),"")</f>
        <v/>
      </c>
      <c r="E4694" t="str">
        <f>IFERROR(VLOOKUP(tbEscolas[[#This Row],[COD ETPA]],tbEtapas[],3,FALSE),"")</f>
        <v/>
      </c>
    </row>
    <row r="4695" spans="1:5" x14ac:dyDescent="0.25">
      <c r="A4695" t="str" cm="1">
        <f t="array" ref="A4695">IFERROR(INDEX(tbNucleo[ESCOLA],ROUNDUP(ROW(A4694)/TotalEtapas,0)),"")</f>
        <v/>
      </c>
      <c r="D4695" t="str">
        <f>IFERROR(VLOOKUP(tbEscolas[[#This Row],[COD ETPA]],tbEtapas[],2,FALSE),"")</f>
        <v/>
      </c>
      <c r="E4695" t="str">
        <f>IFERROR(VLOOKUP(tbEscolas[[#This Row],[COD ETPA]],tbEtapas[],3,FALSE),"")</f>
        <v/>
      </c>
    </row>
    <row r="4696" spans="1:5" x14ac:dyDescent="0.25">
      <c r="A4696" t="str" cm="1">
        <f t="array" ref="A4696">IFERROR(INDEX(tbNucleo[ESCOLA],ROUNDUP(ROW(A4695)/TotalEtapas,0)),"")</f>
        <v/>
      </c>
      <c r="D4696" t="str">
        <f>IFERROR(VLOOKUP(tbEscolas[[#This Row],[COD ETPA]],tbEtapas[],2,FALSE),"")</f>
        <v/>
      </c>
      <c r="E4696" t="str">
        <f>IFERROR(VLOOKUP(tbEscolas[[#This Row],[COD ETPA]],tbEtapas[],3,FALSE),"")</f>
        <v/>
      </c>
    </row>
    <row r="4697" spans="1:5" x14ac:dyDescent="0.25">
      <c r="A4697" t="str" cm="1">
        <f t="array" ref="A4697">IFERROR(INDEX(tbNucleo[ESCOLA],ROUNDUP(ROW(A4696)/TotalEtapas,0)),"")</f>
        <v/>
      </c>
      <c r="D4697" t="str">
        <f>IFERROR(VLOOKUP(tbEscolas[[#This Row],[COD ETPA]],tbEtapas[],2,FALSE),"")</f>
        <v/>
      </c>
      <c r="E4697" t="str">
        <f>IFERROR(VLOOKUP(tbEscolas[[#This Row],[COD ETPA]],tbEtapas[],3,FALSE),"")</f>
        <v/>
      </c>
    </row>
    <row r="4698" spans="1:5" x14ac:dyDescent="0.25">
      <c r="A4698" t="str" cm="1">
        <f t="array" ref="A4698">IFERROR(INDEX(tbNucleo[ESCOLA],ROUNDUP(ROW(A4697)/TotalEtapas,0)),"")</f>
        <v/>
      </c>
      <c r="D4698" t="str">
        <f>IFERROR(VLOOKUP(tbEscolas[[#This Row],[COD ETPA]],tbEtapas[],2,FALSE),"")</f>
        <v/>
      </c>
      <c r="E4698" t="str">
        <f>IFERROR(VLOOKUP(tbEscolas[[#This Row],[COD ETPA]],tbEtapas[],3,FALSE),"")</f>
        <v/>
      </c>
    </row>
    <row r="4699" spans="1:5" x14ac:dyDescent="0.25">
      <c r="A4699" t="str" cm="1">
        <f t="array" ref="A4699">IFERROR(INDEX(tbNucleo[ESCOLA],ROUNDUP(ROW(A4698)/TotalEtapas,0)),"")</f>
        <v/>
      </c>
      <c r="D4699" t="str">
        <f>IFERROR(VLOOKUP(tbEscolas[[#This Row],[COD ETPA]],tbEtapas[],2,FALSE),"")</f>
        <v/>
      </c>
      <c r="E4699" t="str">
        <f>IFERROR(VLOOKUP(tbEscolas[[#This Row],[COD ETPA]],tbEtapas[],3,FALSE),"")</f>
        <v/>
      </c>
    </row>
    <row r="4700" spans="1:5" x14ac:dyDescent="0.25">
      <c r="A4700" t="str" cm="1">
        <f t="array" ref="A4700">IFERROR(INDEX(tbNucleo[ESCOLA],ROUNDUP(ROW(A4699)/TotalEtapas,0)),"")</f>
        <v/>
      </c>
      <c r="D4700" t="str">
        <f>IFERROR(VLOOKUP(tbEscolas[[#This Row],[COD ETPA]],tbEtapas[],2,FALSE),"")</f>
        <v/>
      </c>
      <c r="E4700" t="str">
        <f>IFERROR(VLOOKUP(tbEscolas[[#This Row],[COD ETPA]],tbEtapas[],3,FALSE),"")</f>
        <v/>
      </c>
    </row>
    <row r="4701" spans="1:5" x14ac:dyDescent="0.25">
      <c r="A4701" t="str" cm="1">
        <f t="array" ref="A4701">IFERROR(INDEX(tbNucleo[ESCOLA],ROUNDUP(ROW(A4700)/TotalEtapas,0)),"")</f>
        <v/>
      </c>
      <c r="D4701" t="str">
        <f>IFERROR(VLOOKUP(tbEscolas[[#This Row],[COD ETPA]],tbEtapas[],2,FALSE),"")</f>
        <v/>
      </c>
      <c r="E4701" t="str">
        <f>IFERROR(VLOOKUP(tbEscolas[[#This Row],[COD ETPA]],tbEtapas[],3,FALSE),"")</f>
        <v/>
      </c>
    </row>
    <row r="4702" spans="1:5" x14ac:dyDescent="0.25">
      <c r="A4702" t="str" cm="1">
        <f t="array" ref="A4702">IFERROR(INDEX(tbNucleo[ESCOLA],ROUNDUP(ROW(A4701)/TotalEtapas,0)),"")</f>
        <v/>
      </c>
      <c r="D4702" t="str">
        <f>IFERROR(VLOOKUP(tbEscolas[[#This Row],[COD ETPA]],tbEtapas[],2,FALSE),"")</f>
        <v/>
      </c>
      <c r="E4702" t="str">
        <f>IFERROR(VLOOKUP(tbEscolas[[#This Row],[COD ETPA]],tbEtapas[],3,FALSE),"")</f>
        <v/>
      </c>
    </row>
    <row r="4703" spans="1:5" x14ac:dyDescent="0.25">
      <c r="A4703" t="str" cm="1">
        <f t="array" ref="A4703">IFERROR(INDEX(tbNucleo[ESCOLA],ROUNDUP(ROW(A4702)/TotalEtapas,0)),"")</f>
        <v/>
      </c>
      <c r="D4703" t="str">
        <f>IFERROR(VLOOKUP(tbEscolas[[#This Row],[COD ETPA]],tbEtapas[],2,FALSE),"")</f>
        <v/>
      </c>
      <c r="E4703" t="str">
        <f>IFERROR(VLOOKUP(tbEscolas[[#This Row],[COD ETPA]],tbEtapas[],3,FALSE),"")</f>
        <v/>
      </c>
    </row>
    <row r="4704" spans="1:5" x14ac:dyDescent="0.25">
      <c r="A4704" t="str" cm="1">
        <f t="array" ref="A4704">IFERROR(INDEX(tbNucleo[ESCOLA],ROUNDUP(ROW(A4703)/TotalEtapas,0)),"")</f>
        <v/>
      </c>
      <c r="D4704" t="str">
        <f>IFERROR(VLOOKUP(tbEscolas[[#This Row],[COD ETPA]],tbEtapas[],2,FALSE),"")</f>
        <v/>
      </c>
      <c r="E4704" t="str">
        <f>IFERROR(VLOOKUP(tbEscolas[[#This Row],[COD ETPA]],tbEtapas[],3,FALSE),"")</f>
        <v/>
      </c>
    </row>
    <row r="4705" spans="1:5" x14ac:dyDescent="0.25">
      <c r="A4705" t="str" cm="1">
        <f t="array" ref="A4705">IFERROR(INDEX(tbNucleo[ESCOLA],ROUNDUP(ROW(A4704)/TotalEtapas,0)),"")</f>
        <v/>
      </c>
      <c r="D4705" t="str">
        <f>IFERROR(VLOOKUP(tbEscolas[[#This Row],[COD ETPA]],tbEtapas[],2,FALSE),"")</f>
        <v/>
      </c>
      <c r="E4705" t="str">
        <f>IFERROR(VLOOKUP(tbEscolas[[#This Row],[COD ETPA]],tbEtapas[],3,FALSE),"")</f>
        <v/>
      </c>
    </row>
    <row r="4706" spans="1:5" x14ac:dyDescent="0.25">
      <c r="A4706" t="str" cm="1">
        <f t="array" ref="A4706">IFERROR(INDEX(tbNucleo[ESCOLA],ROUNDUP(ROW(A4705)/TotalEtapas,0)),"")</f>
        <v/>
      </c>
      <c r="D4706" t="str">
        <f>IFERROR(VLOOKUP(tbEscolas[[#This Row],[COD ETPA]],tbEtapas[],2,FALSE),"")</f>
        <v/>
      </c>
      <c r="E4706" t="str">
        <f>IFERROR(VLOOKUP(tbEscolas[[#This Row],[COD ETPA]],tbEtapas[],3,FALSE),"")</f>
        <v/>
      </c>
    </row>
    <row r="4707" spans="1:5" x14ac:dyDescent="0.25">
      <c r="A4707" t="str" cm="1">
        <f t="array" ref="A4707">IFERROR(INDEX(tbNucleo[ESCOLA],ROUNDUP(ROW(A4706)/TotalEtapas,0)),"")</f>
        <v/>
      </c>
      <c r="D4707" t="str">
        <f>IFERROR(VLOOKUP(tbEscolas[[#This Row],[COD ETPA]],tbEtapas[],2,FALSE),"")</f>
        <v/>
      </c>
      <c r="E4707" t="str">
        <f>IFERROR(VLOOKUP(tbEscolas[[#This Row],[COD ETPA]],tbEtapas[],3,FALSE),"")</f>
        <v/>
      </c>
    </row>
    <row r="4708" spans="1:5" x14ac:dyDescent="0.25">
      <c r="A4708" t="str" cm="1">
        <f t="array" ref="A4708">IFERROR(INDEX(tbNucleo[ESCOLA],ROUNDUP(ROW(A4707)/TotalEtapas,0)),"")</f>
        <v/>
      </c>
      <c r="D4708" t="str">
        <f>IFERROR(VLOOKUP(tbEscolas[[#This Row],[COD ETPA]],tbEtapas[],2,FALSE),"")</f>
        <v/>
      </c>
      <c r="E4708" t="str">
        <f>IFERROR(VLOOKUP(tbEscolas[[#This Row],[COD ETPA]],tbEtapas[],3,FALSE),"")</f>
        <v/>
      </c>
    </row>
    <row r="4709" spans="1:5" x14ac:dyDescent="0.25">
      <c r="A4709" t="str" cm="1">
        <f t="array" ref="A4709">IFERROR(INDEX(tbNucleo[ESCOLA],ROUNDUP(ROW(A4708)/TotalEtapas,0)),"")</f>
        <v/>
      </c>
      <c r="D4709" t="str">
        <f>IFERROR(VLOOKUP(tbEscolas[[#This Row],[COD ETPA]],tbEtapas[],2,FALSE),"")</f>
        <v/>
      </c>
      <c r="E4709" t="str">
        <f>IFERROR(VLOOKUP(tbEscolas[[#This Row],[COD ETPA]],tbEtapas[],3,FALSE),"")</f>
        <v/>
      </c>
    </row>
    <row r="4710" spans="1:5" x14ac:dyDescent="0.25">
      <c r="A4710" t="str" cm="1">
        <f t="array" ref="A4710">IFERROR(INDEX(tbNucleo[ESCOLA],ROUNDUP(ROW(A4709)/TotalEtapas,0)),"")</f>
        <v/>
      </c>
      <c r="D4710" t="str">
        <f>IFERROR(VLOOKUP(tbEscolas[[#This Row],[COD ETPA]],tbEtapas[],2,FALSE),"")</f>
        <v/>
      </c>
      <c r="E4710" t="str">
        <f>IFERROR(VLOOKUP(tbEscolas[[#This Row],[COD ETPA]],tbEtapas[],3,FALSE),"")</f>
        <v/>
      </c>
    </row>
    <row r="4711" spans="1:5" x14ac:dyDescent="0.25">
      <c r="A4711" t="str" cm="1">
        <f t="array" ref="A4711">IFERROR(INDEX(tbNucleo[ESCOLA],ROUNDUP(ROW(A4710)/TotalEtapas,0)),"")</f>
        <v/>
      </c>
      <c r="D4711" t="str">
        <f>IFERROR(VLOOKUP(tbEscolas[[#This Row],[COD ETPA]],tbEtapas[],2,FALSE),"")</f>
        <v/>
      </c>
      <c r="E4711" t="str">
        <f>IFERROR(VLOOKUP(tbEscolas[[#This Row],[COD ETPA]],tbEtapas[],3,FALSE),"")</f>
        <v/>
      </c>
    </row>
    <row r="4712" spans="1:5" x14ac:dyDescent="0.25">
      <c r="A4712" t="str" cm="1">
        <f t="array" ref="A4712">IFERROR(INDEX(tbNucleo[ESCOLA],ROUNDUP(ROW(A4711)/TotalEtapas,0)),"")</f>
        <v/>
      </c>
      <c r="D4712" t="str">
        <f>IFERROR(VLOOKUP(tbEscolas[[#This Row],[COD ETPA]],tbEtapas[],2,FALSE),"")</f>
        <v/>
      </c>
      <c r="E4712" t="str">
        <f>IFERROR(VLOOKUP(tbEscolas[[#This Row],[COD ETPA]],tbEtapas[],3,FALSE),"")</f>
        <v/>
      </c>
    </row>
    <row r="4713" spans="1:5" x14ac:dyDescent="0.25">
      <c r="A4713" t="str" cm="1">
        <f t="array" ref="A4713">IFERROR(INDEX(tbNucleo[ESCOLA],ROUNDUP(ROW(A4712)/TotalEtapas,0)),"")</f>
        <v/>
      </c>
      <c r="D4713" t="str">
        <f>IFERROR(VLOOKUP(tbEscolas[[#This Row],[COD ETPA]],tbEtapas[],2,FALSE),"")</f>
        <v/>
      </c>
      <c r="E4713" t="str">
        <f>IFERROR(VLOOKUP(tbEscolas[[#This Row],[COD ETPA]],tbEtapas[],3,FALSE),"")</f>
        <v/>
      </c>
    </row>
    <row r="4714" spans="1:5" x14ac:dyDescent="0.25">
      <c r="A4714" t="str" cm="1">
        <f t="array" ref="A4714">IFERROR(INDEX(tbNucleo[ESCOLA],ROUNDUP(ROW(A4713)/TotalEtapas,0)),"")</f>
        <v/>
      </c>
      <c r="D4714" t="str">
        <f>IFERROR(VLOOKUP(tbEscolas[[#This Row],[COD ETPA]],tbEtapas[],2,FALSE),"")</f>
        <v/>
      </c>
      <c r="E4714" t="str">
        <f>IFERROR(VLOOKUP(tbEscolas[[#This Row],[COD ETPA]],tbEtapas[],3,FALSE),"")</f>
        <v/>
      </c>
    </row>
    <row r="4715" spans="1:5" x14ac:dyDescent="0.25">
      <c r="A4715" t="str" cm="1">
        <f t="array" ref="A4715">IFERROR(INDEX(tbNucleo[ESCOLA],ROUNDUP(ROW(A4714)/TotalEtapas,0)),"")</f>
        <v/>
      </c>
      <c r="D4715" t="str">
        <f>IFERROR(VLOOKUP(tbEscolas[[#This Row],[COD ETPA]],tbEtapas[],2,FALSE),"")</f>
        <v/>
      </c>
      <c r="E4715" t="str">
        <f>IFERROR(VLOOKUP(tbEscolas[[#This Row],[COD ETPA]],tbEtapas[],3,FALSE),"")</f>
        <v/>
      </c>
    </row>
    <row r="4716" spans="1:5" x14ac:dyDescent="0.25">
      <c r="A4716" t="str" cm="1">
        <f t="array" ref="A4716">IFERROR(INDEX(tbNucleo[ESCOLA],ROUNDUP(ROW(A4715)/TotalEtapas,0)),"")</f>
        <v/>
      </c>
      <c r="D4716" t="str">
        <f>IFERROR(VLOOKUP(tbEscolas[[#This Row],[COD ETPA]],tbEtapas[],2,FALSE),"")</f>
        <v/>
      </c>
      <c r="E4716" t="str">
        <f>IFERROR(VLOOKUP(tbEscolas[[#This Row],[COD ETPA]],tbEtapas[],3,FALSE),"")</f>
        <v/>
      </c>
    </row>
    <row r="4717" spans="1:5" x14ac:dyDescent="0.25">
      <c r="A4717" t="str" cm="1">
        <f t="array" ref="A4717">IFERROR(INDEX(tbNucleo[ESCOLA],ROUNDUP(ROW(A4716)/TotalEtapas,0)),"")</f>
        <v/>
      </c>
      <c r="D4717" t="str">
        <f>IFERROR(VLOOKUP(tbEscolas[[#This Row],[COD ETPA]],tbEtapas[],2,FALSE),"")</f>
        <v/>
      </c>
      <c r="E4717" t="str">
        <f>IFERROR(VLOOKUP(tbEscolas[[#This Row],[COD ETPA]],tbEtapas[],3,FALSE),"")</f>
        <v/>
      </c>
    </row>
    <row r="4718" spans="1:5" x14ac:dyDescent="0.25">
      <c r="A4718" t="str" cm="1">
        <f t="array" ref="A4718">IFERROR(INDEX(tbNucleo[ESCOLA],ROUNDUP(ROW(A4717)/TotalEtapas,0)),"")</f>
        <v/>
      </c>
      <c r="D4718" t="str">
        <f>IFERROR(VLOOKUP(tbEscolas[[#This Row],[COD ETPA]],tbEtapas[],2,FALSE),"")</f>
        <v/>
      </c>
      <c r="E4718" t="str">
        <f>IFERROR(VLOOKUP(tbEscolas[[#This Row],[COD ETPA]],tbEtapas[],3,FALSE),"")</f>
        <v/>
      </c>
    </row>
    <row r="4719" spans="1:5" x14ac:dyDescent="0.25">
      <c r="A4719" t="str" cm="1">
        <f t="array" ref="A4719">IFERROR(INDEX(tbNucleo[ESCOLA],ROUNDUP(ROW(A4718)/TotalEtapas,0)),"")</f>
        <v/>
      </c>
      <c r="D4719" t="str">
        <f>IFERROR(VLOOKUP(tbEscolas[[#This Row],[COD ETPA]],tbEtapas[],2,FALSE),"")</f>
        <v/>
      </c>
      <c r="E4719" t="str">
        <f>IFERROR(VLOOKUP(tbEscolas[[#This Row],[COD ETPA]],tbEtapas[],3,FALSE),"")</f>
        <v/>
      </c>
    </row>
    <row r="4720" spans="1:5" x14ac:dyDescent="0.25">
      <c r="A4720" t="str" cm="1">
        <f t="array" ref="A4720">IFERROR(INDEX(tbNucleo[ESCOLA],ROUNDUP(ROW(A4719)/TotalEtapas,0)),"")</f>
        <v/>
      </c>
      <c r="D4720" t="str">
        <f>IFERROR(VLOOKUP(tbEscolas[[#This Row],[COD ETPA]],tbEtapas[],2,FALSE),"")</f>
        <v/>
      </c>
      <c r="E4720" t="str">
        <f>IFERROR(VLOOKUP(tbEscolas[[#This Row],[COD ETPA]],tbEtapas[],3,FALSE),"")</f>
        <v/>
      </c>
    </row>
    <row r="4721" spans="1:5" x14ac:dyDescent="0.25">
      <c r="A4721" t="str" cm="1">
        <f t="array" ref="A4721">IFERROR(INDEX(tbNucleo[ESCOLA],ROUNDUP(ROW(A4720)/TotalEtapas,0)),"")</f>
        <v/>
      </c>
      <c r="D4721" t="str">
        <f>IFERROR(VLOOKUP(tbEscolas[[#This Row],[COD ETPA]],tbEtapas[],2,FALSE),"")</f>
        <v/>
      </c>
      <c r="E4721" t="str">
        <f>IFERROR(VLOOKUP(tbEscolas[[#This Row],[COD ETPA]],tbEtapas[],3,FALSE),"")</f>
        <v/>
      </c>
    </row>
    <row r="4722" spans="1:5" x14ac:dyDescent="0.25">
      <c r="A4722" t="str" cm="1">
        <f t="array" ref="A4722">IFERROR(INDEX(tbNucleo[ESCOLA],ROUNDUP(ROW(A4721)/TotalEtapas,0)),"")</f>
        <v/>
      </c>
      <c r="D4722" t="str">
        <f>IFERROR(VLOOKUP(tbEscolas[[#This Row],[COD ETPA]],tbEtapas[],2,FALSE),"")</f>
        <v/>
      </c>
      <c r="E4722" t="str">
        <f>IFERROR(VLOOKUP(tbEscolas[[#This Row],[COD ETPA]],tbEtapas[],3,FALSE),"")</f>
        <v/>
      </c>
    </row>
    <row r="4723" spans="1:5" x14ac:dyDescent="0.25">
      <c r="A4723" t="str" cm="1">
        <f t="array" ref="A4723">IFERROR(INDEX(tbNucleo[ESCOLA],ROUNDUP(ROW(A4722)/TotalEtapas,0)),"")</f>
        <v/>
      </c>
      <c r="D4723" t="str">
        <f>IFERROR(VLOOKUP(tbEscolas[[#This Row],[COD ETPA]],tbEtapas[],2,FALSE),"")</f>
        <v/>
      </c>
      <c r="E4723" t="str">
        <f>IFERROR(VLOOKUP(tbEscolas[[#This Row],[COD ETPA]],tbEtapas[],3,FALSE),"")</f>
        <v/>
      </c>
    </row>
    <row r="4724" spans="1:5" x14ac:dyDescent="0.25">
      <c r="A4724" t="str" cm="1">
        <f t="array" ref="A4724">IFERROR(INDEX(tbNucleo[ESCOLA],ROUNDUP(ROW(A4723)/TotalEtapas,0)),"")</f>
        <v/>
      </c>
      <c r="D4724" t="str">
        <f>IFERROR(VLOOKUP(tbEscolas[[#This Row],[COD ETPA]],tbEtapas[],2,FALSE),"")</f>
        <v/>
      </c>
      <c r="E4724" t="str">
        <f>IFERROR(VLOOKUP(tbEscolas[[#This Row],[COD ETPA]],tbEtapas[],3,FALSE),"")</f>
        <v/>
      </c>
    </row>
    <row r="4725" spans="1:5" x14ac:dyDescent="0.25">
      <c r="A4725" t="str" cm="1">
        <f t="array" ref="A4725">IFERROR(INDEX(tbNucleo[ESCOLA],ROUNDUP(ROW(A4724)/TotalEtapas,0)),"")</f>
        <v/>
      </c>
      <c r="D4725" t="str">
        <f>IFERROR(VLOOKUP(tbEscolas[[#This Row],[COD ETPA]],tbEtapas[],2,FALSE),"")</f>
        <v/>
      </c>
      <c r="E4725" t="str">
        <f>IFERROR(VLOOKUP(tbEscolas[[#This Row],[COD ETPA]],tbEtapas[],3,FALSE),"")</f>
        <v/>
      </c>
    </row>
    <row r="4726" spans="1:5" x14ac:dyDescent="0.25">
      <c r="A4726" t="str" cm="1">
        <f t="array" ref="A4726">IFERROR(INDEX(tbNucleo[ESCOLA],ROUNDUP(ROW(A4725)/TotalEtapas,0)),"")</f>
        <v/>
      </c>
      <c r="D4726" t="str">
        <f>IFERROR(VLOOKUP(tbEscolas[[#This Row],[COD ETPA]],tbEtapas[],2,FALSE),"")</f>
        <v/>
      </c>
      <c r="E4726" t="str">
        <f>IFERROR(VLOOKUP(tbEscolas[[#This Row],[COD ETPA]],tbEtapas[],3,FALSE),"")</f>
        <v/>
      </c>
    </row>
    <row r="4727" spans="1:5" x14ac:dyDescent="0.25">
      <c r="A4727" t="str" cm="1">
        <f t="array" ref="A4727">IFERROR(INDEX(tbNucleo[ESCOLA],ROUNDUP(ROW(A4726)/TotalEtapas,0)),"")</f>
        <v/>
      </c>
      <c r="D4727" t="str">
        <f>IFERROR(VLOOKUP(tbEscolas[[#This Row],[COD ETPA]],tbEtapas[],2,FALSE),"")</f>
        <v/>
      </c>
      <c r="E4727" t="str">
        <f>IFERROR(VLOOKUP(tbEscolas[[#This Row],[COD ETPA]],tbEtapas[],3,FALSE),"")</f>
        <v/>
      </c>
    </row>
    <row r="4728" spans="1:5" x14ac:dyDescent="0.25">
      <c r="A4728" t="str" cm="1">
        <f t="array" ref="A4728">IFERROR(INDEX(tbNucleo[ESCOLA],ROUNDUP(ROW(A4727)/TotalEtapas,0)),"")</f>
        <v/>
      </c>
      <c r="D4728" t="str">
        <f>IFERROR(VLOOKUP(tbEscolas[[#This Row],[COD ETPA]],tbEtapas[],2,FALSE),"")</f>
        <v/>
      </c>
      <c r="E4728" t="str">
        <f>IFERROR(VLOOKUP(tbEscolas[[#This Row],[COD ETPA]],tbEtapas[],3,FALSE),"")</f>
        <v/>
      </c>
    </row>
    <row r="4729" spans="1:5" x14ac:dyDescent="0.25">
      <c r="A4729" t="str" cm="1">
        <f t="array" ref="A4729">IFERROR(INDEX(tbNucleo[ESCOLA],ROUNDUP(ROW(A4728)/TotalEtapas,0)),"")</f>
        <v/>
      </c>
      <c r="D4729" t="str">
        <f>IFERROR(VLOOKUP(tbEscolas[[#This Row],[COD ETPA]],tbEtapas[],2,FALSE),"")</f>
        <v/>
      </c>
      <c r="E4729" t="str">
        <f>IFERROR(VLOOKUP(tbEscolas[[#This Row],[COD ETPA]],tbEtapas[],3,FALSE),"")</f>
        <v/>
      </c>
    </row>
    <row r="4730" spans="1:5" x14ac:dyDescent="0.25">
      <c r="A4730" t="str" cm="1">
        <f t="array" ref="A4730">IFERROR(INDEX(tbNucleo[ESCOLA],ROUNDUP(ROW(A4729)/TotalEtapas,0)),"")</f>
        <v/>
      </c>
      <c r="D4730" t="str">
        <f>IFERROR(VLOOKUP(tbEscolas[[#This Row],[COD ETPA]],tbEtapas[],2,FALSE),"")</f>
        <v/>
      </c>
      <c r="E4730" t="str">
        <f>IFERROR(VLOOKUP(tbEscolas[[#This Row],[COD ETPA]],tbEtapas[],3,FALSE),"")</f>
        <v/>
      </c>
    </row>
    <row r="4731" spans="1:5" x14ac:dyDescent="0.25">
      <c r="A4731" t="str" cm="1">
        <f t="array" ref="A4731">IFERROR(INDEX(tbNucleo[ESCOLA],ROUNDUP(ROW(A4730)/TotalEtapas,0)),"")</f>
        <v/>
      </c>
      <c r="D4731" t="str">
        <f>IFERROR(VLOOKUP(tbEscolas[[#This Row],[COD ETPA]],tbEtapas[],2,FALSE),"")</f>
        <v/>
      </c>
      <c r="E4731" t="str">
        <f>IFERROR(VLOOKUP(tbEscolas[[#This Row],[COD ETPA]],tbEtapas[],3,FALSE),"")</f>
        <v/>
      </c>
    </row>
    <row r="4732" spans="1:5" x14ac:dyDescent="0.25">
      <c r="A4732" t="str" cm="1">
        <f t="array" ref="A4732">IFERROR(INDEX(tbNucleo[ESCOLA],ROUNDUP(ROW(A4731)/TotalEtapas,0)),"")</f>
        <v/>
      </c>
      <c r="D4732" t="str">
        <f>IFERROR(VLOOKUP(tbEscolas[[#This Row],[COD ETPA]],tbEtapas[],2,FALSE),"")</f>
        <v/>
      </c>
      <c r="E4732" t="str">
        <f>IFERROR(VLOOKUP(tbEscolas[[#This Row],[COD ETPA]],tbEtapas[],3,FALSE),"")</f>
        <v/>
      </c>
    </row>
    <row r="4733" spans="1:5" x14ac:dyDescent="0.25">
      <c r="A4733" t="str" cm="1">
        <f t="array" ref="A4733">IFERROR(INDEX(tbNucleo[ESCOLA],ROUNDUP(ROW(A4732)/TotalEtapas,0)),"")</f>
        <v/>
      </c>
      <c r="D4733" t="str">
        <f>IFERROR(VLOOKUP(tbEscolas[[#This Row],[COD ETPA]],tbEtapas[],2,FALSE),"")</f>
        <v/>
      </c>
      <c r="E4733" t="str">
        <f>IFERROR(VLOOKUP(tbEscolas[[#This Row],[COD ETPA]],tbEtapas[],3,FALSE),"")</f>
        <v/>
      </c>
    </row>
    <row r="4734" spans="1:5" x14ac:dyDescent="0.25">
      <c r="A4734" t="str" cm="1">
        <f t="array" ref="A4734">IFERROR(INDEX(tbNucleo[ESCOLA],ROUNDUP(ROW(A4733)/TotalEtapas,0)),"")</f>
        <v/>
      </c>
      <c r="D4734" t="str">
        <f>IFERROR(VLOOKUP(tbEscolas[[#This Row],[COD ETPA]],tbEtapas[],2,FALSE),"")</f>
        <v/>
      </c>
      <c r="E4734" t="str">
        <f>IFERROR(VLOOKUP(tbEscolas[[#This Row],[COD ETPA]],tbEtapas[],3,FALSE),"")</f>
        <v/>
      </c>
    </row>
    <row r="4735" spans="1:5" x14ac:dyDescent="0.25">
      <c r="A4735" t="str" cm="1">
        <f t="array" ref="A4735">IFERROR(INDEX(tbNucleo[ESCOLA],ROUNDUP(ROW(A4734)/TotalEtapas,0)),"")</f>
        <v/>
      </c>
      <c r="D4735" t="str">
        <f>IFERROR(VLOOKUP(tbEscolas[[#This Row],[COD ETPA]],tbEtapas[],2,FALSE),"")</f>
        <v/>
      </c>
      <c r="E4735" t="str">
        <f>IFERROR(VLOOKUP(tbEscolas[[#This Row],[COD ETPA]],tbEtapas[],3,FALSE),"")</f>
        <v/>
      </c>
    </row>
    <row r="4736" spans="1:5" x14ac:dyDescent="0.25">
      <c r="A4736" t="str" cm="1">
        <f t="array" ref="A4736">IFERROR(INDEX(tbNucleo[ESCOLA],ROUNDUP(ROW(A4735)/TotalEtapas,0)),"")</f>
        <v/>
      </c>
      <c r="D4736" t="str">
        <f>IFERROR(VLOOKUP(tbEscolas[[#This Row],[COD ETPA]],tbEtapas[],2,FALSE),"")</f>
        <v/>
      </c>
      <c r="E4736" t="str">
        <f>IFERROR(VLOOKUP(tbEscolas[[#This Row],[COD ETPA]],tbEtapas[],3,FALSE),"")</f>
        <v/>
      </c>
    </row>
    <row r="4737" spans="1:5" x14ac:dyDescent="0.25">
      <c r="A4737" t="str" cm="1">
        <f t="array" ref="A4737">IFERROR(INDEX(tbNucleo[ESCOLA],ROUNDUP(ROW(A4736)/TotalEtapas,0)),"")</f>
        <v/>
      </c>
      <c r="D4737" t="str">
        <f>IFERROR(VLOOKUP(tbEscolas[[#This Row],[COD ETPA]],tbEtapas[],2,FALSE),"")</f>
        <v/>
      </c>
      <c r="E4737" t="str">
        <f>IFERROR(VLOOKUP(tbEscolas[[#This Row],[COD ETPA]],tbEtapas[],3,FALSE),"")</f>
        <v/>
      </c>
    </row>
    <row r="4738" spans="1:5" x14ac:dyDescent="0.25">
      <c r="A4738" t="str" cm="1">
        <f t="array" ref="A4738">IFERROR(INDEX(tbNucleo[ESCOLA],ROUNDUP(ROW(A4737)/TotalEtapas,0)),"")</f>
        <v/>
      </c>
      <c r="D4738" t="str">
        <f>IFERROR(VLOOKUP(tbEscolas[[#This Row],[COD ETPA]],tbEtapas[],2,FALSE),"")</f>
        <v/>
      </c>
      <c r="E4738" t="str">
        <f>IFERROR(VLOOKUP(tbEscolas[[#This Row],[COD ETPA]],tbEtapas[],3,FALSE),"")</f>
        <v/>
      </c>
    </row>
    <row r="4739" spans="1:5" x14ac:dyDescent="0.25">
      <c r="A4739" t="str" cm="1">
        <f t="array" ref="A4739">IFERROR(INDEX(tbNucleo[ESCOLA],ROUNDUP(ROW(A4738)/TotalEtapas,0)),"")</f>
        <v/>
      </c>
      <c r="D4739" t="str">
        <f>IFERROR(VLOOKUP(tbEscolas[[#This Row],[COD ETPA]],tbEtapas[],2,FALSE),"")</f>
        <v/>
      </c>
      <c r="E4739" t="str">
        <f>IFERROR(VLOOKUP(tbEscolas[[#This Row],[COD ETPA]],tbEtapas[],3,FALSE),"")</f>
        <v/>
      </c>
    </row>
    <row r="4740" spans="1:5" x14ac:dyDescent="0.25">
      <c r="A4740" t="str" cm="1">
        <f t="array" ref="A4740">IFERROR(INDEX(tbNucleo[ESCOLA],ROUNDUP(ROW(A4739)/TotalEtapas,0)),"")</f>
        <v/>
      </c>
      <c r="D4740" t="str">
        <f>IFERROR(VLOOKUP(tbEscolas[[#This Row],[COD ETPA]],tbEtapas[],2,FALSE),"")</f>
        <v/>
      </c>
      <c r="E4740" t="str">
        <f>IFERROR(VLOOKUP(tbEscolas[[#This Row],[COD ETPA]],tbEtapas[],3,FALSE),"")</f>
        <v/>
      </c>
    </row>
    <row r="4741" spans="1:5" x14ac:dyDescent="0.25">
      <c r="A4741" t="str" cm="1">
        <f t="array" ref="A4741">IFERROR(INDEX(tbNucleo[ESCOLA],ROUNDUP(ROW(A4740)/TotalEtapas,0)),"")</f>
        <v/>
      </c>
      <c r="D4741" t="str">
        <f>IFERROR(VLOOKUP(tbEscolas[[#This Row],[COD ETPA]],tbEtapas[],2,FALSE),"")</f>
        <v/>
      </c>
      <c r="E4741" t="str">
        <f>IFERROR(VLOOKUP(tbEscolas[[#This Row],[COD ETPA]],tbEtapas[],3,FALSE),"")</f>
        <v/>
      </c>
    </row>
    <row r="4742" spans="1:5" x14ac:dyDescent="0.25">
      <c r="A4742" t="str" cm="1">
        <f t="array" ref="A4742">IFERROR(INDEX(tbNucleo[ESCOLA],ROUNDUP(ROW(A4741)/TotalEtapas,0)),"")</f>
        <v/>
      </c>
      <c r="D4742" t="str">
        <f>IFERROR(VLOOKUP(tbEscolas[[#This Row],[COD ETPA]],tbEtapas[],2,FALSE),"")</f>
        <v/>
      </c>
      <c r="E4742" t="str">
        <f>IFERROR(VLOOKUP(tbEscolas[[#This Row],[COD ETPA]],tbEtapas[],3,FALSE),"")</f>
        <v/>
      </c>
    </row>
    <row r="4743" spans="1:5" x14ac:dyDescent="0.25">
      <c r="A4743" t="str" cm="1">
        <f t="array" ref="A4743">IFERROR(INDEX(tbNucleo[ESCOLA],ROUNDUP(ROW(A4742)/TotalEtapas,0)),"")</f>
        <v/>
      </c>
      <c r="D4743" t="str">
        <f>IFERROR(VLOOKUP(tbEscolas[[#This Row],[COD ETPA]],tbEtapas[],2,FALSE),"")</f>
        <v/>
      </c>
      <c r="E4743" t="str">
        <f>IFERROR(VLOOKUP(tbEscolas[[#This Row],[COD ETPA]],tbEtapas[],3,FALSE),"")</f>
        <v/>
      </c>
    </row>
    <row r="4744" spans="1:5" x14ac:dyDescent="0.25">
      <c r="A4744" t="str" cm="1">
        <f t="array" ref="A4744">IFERROR(INDEX(tbNucleo[ESCOLA],ROUNDUP(ROW(A4743)/TotalEtapas,0)),"")</f>
        <v/>
      </c>
      <c r="D4744" t="str">
        <f>IFERROR(VLOOKUP(tbEscolas[[#This Row],[COD ETPA]],tbEtapas[],2,FALSE),"")</f>
        <v/>
      </c>
      <c r="E4744" t="str">
        <f>IFERROR(VLOOKUP(tbEscolas[[#This Row],[COD ETPA]],tbEtapas[],3,FALSE),"")</f>
        <v/>
      </c>
    </row>
    <row r="4745" spans="1:5" x14ac:dyDescent="0.25">
      <c r="A4745" t="str" cm="1">
        <f t="array" ref="A4745">IFERROR(INDEX(tbNucleo[ESCOLA],ROUNDUP(ROW(A4744)/TotalEtapas,0)),"")</f>
        <v/>
      </c>
      <c r="D4745" t="str">
        <f>IFERROR(VLOOKUP(tbEscolas[[#This Row],[COD ETPA]],tbEtapas[],2,FALSE),"")</f>
        <v/>
      </c>
      <c r="E4745" t="str">
        <f>IFERROR(VLOOKUP(tbEscolas[[#This Row],[COD ETPA]],tbEtapas[],3,FALSE),"")</f>
        <v/>
      </c>
    </row>
    <row r="4746" spans="1:5" x14ac:dyDescent="0.25">
      <c r="A4746" t="str" cm="1">
        <f t="array" ref="A4746">IFERROR(INDEX(tbNucleo[ESCOLA],ROUNDUP(ROW(A4745)/TotalEtapas,0)),"")</f>
        <v/>
      </c>
      <c r="D4746" t="str">
        <f>IFERROR(VLOOKUP(tbEscolas[[#This Row],[COD ETPA]],tbEtapas[],2,FALSE),"")</f>
        <v/>
      </c>
      <c r="E4746" t="str">
        <f>IFERROR(VLOOKUP(tbEscolas[[#This Row],[COD ETPA]],tbEtapas[],3,FALSE),"")</f>
        <v/>
      </c>
    </row>
    <row r="4747" spans="1:5" x14ac:dyDescent="0.25">
      <c r="A4747" t="str" cm="1">
        <f t="array" ref="A4747">IFERROR(INDEX(tbNucleo[ESCOLA],ROUNDUP(ROW(A4746)/TotalEtapas,0)),"")</f>
        <v/>
      </c>
      <c r="D4747" t="str">
        <f>IFERROR(VLOOKUP(tbEscolas[[#This Row],[COD ETPA]],tbEtapas[],2,FALSE),"")</f>
        <v/>
      </c>
      <c r="E4747" t="str">
        <f>IFERROR(VLOOKUP(tbEscolas[[#This Row],[COD ETPA]],tbEtapas[],3,FALSE),"")</f>
        <v/>
      </c>
    </row>
    <row r="4748" spans="1:5" x14ac:dyDescent="0.25">
      <c r="A4748" t="str" cm="1">
        <f t="array" ref="A4748">IFERROR(INDEX(tbNucleo[ESCOLA],ROUNDUP(ROW(A4747)/TotalEtapas,0)),"")</f>
        <v/>
      </c>
      <c r="D4748" t="str">
        <f>IFERROR(VLOOKUP(tbEscolas[[#This Row],[COD ETPA]],tbEtapas[],2,FALSE),"")</f>
        <v/>
      </c>
      <c r="E4748" t="str">
        <f>IFERROR(VLOOKUP(tbEscolas[[#This Row],[COD ETPA]],tbEtapas[],3,FALSE),"")</f>
        <v/>
      </c>
    </row>
    <row r="4749" spans="1:5" x14ac:dyDescent="0.25">
      <c r="A4749" t="str" cm="1">
        <f t="array" ref="A4749">IFERROR(INDEX(tbNucleo[ESCOLA],ROUNDUP(ROW(A4748)/TotalEtapas,0)),"")</f>
        <v/>
      </c>
      <c r="D4749" t="str">
        <f>IFERROR(VLOOKUP(tbEscolas[[#This Row],[COD ETPA]],tbEtapas[],2,FALSE),"")</f>
        <v/>
      </c>
      <c r="E4749" t="str">
        <f>IFERROR(VLOOKUP(tbEscolas[[#This Row],[COD ETPA]],tbEtapas[],3,FALSE),"")</f>
        <v/>
      </c>
    </row>
    <row r="4750" spans="1:5" x14ac:dyDescent="0.25">
      <c r="A4750" t="str" cm="1">
        <f t="array" ref="A4750">IFERROR(INDEX(tbNucleo[ESCOLA],ROUNDUP(ROW(A4749)/TotalEtapas,0)),"")</f>
        <v/>
      </c>
      <c r="D4750" t="str">
        <f>IFERROR(VLOOKUP(tbEscolas[[#This Row],[COD ETPA]],tbEtapas[],2,FALSE),"")</f>
        <v/>
      </c>
      <c r="E4750" t="str">
        <f>IFERROR(VLOOKUP(tbEscolas[[#This Row],[COD ETPA]],tbEtapas[],3,FALSE),"")</f>
        <v/>
      </c>
    </row>
    <row r="4751" spans="1:5" x14ac:dyDescent="0.25">
      <c r="A4751" t="str" cm="1">
        <f t="array" ref="A4751">IFERROR(INDEX(tbNucleo[ESCOLA],ROUNDUP(ROW(A4750)/TotalEtapas,0)),"")</f>
        <v/>
      </c>
      <c r="D4751" t="str">
        <f>IFERROR(VLOOKUP(tbEscolas[[#This Row],[COD ETPA]],tbEtapas[],2,FALSE),"")</f>
        <v/>
      </c>
      <c r="E4751" t="str">
        <f>IFERROR(VLOOKUP(tbEscolas[[#This Row],[COD ETPA]],tbEtapas[],3,FALSE),"")</f>
        <v/>
      </c>
    </row>
    <row r="4752" spans="1:5" x14ac:dyDescent="0.25">
      <c r="A4752" t="str" cm="1">
        <f t="array" ref="A4752">IFERROR(INDEX(tbNucleo[ESCOLA],ROUNDUP(ROW(A4751)/TotalEtapas,0)),"")</f>
        <v/>
      </c>
      <c r="D4752" t="str">
        <f>IFERROR(VLOOKUP(tbEscolas[[#This Row],[COD ETPA]],tbEtapas[],2,FALSE),"")</f>
        <v/>
      </c>
      <c r="E4752" t="str">
        <f>IFERROR(VLOOKUP(tbEscolas[[#This Row],[COD ETPA]],tbEtapas[],3,FALSE),"")</f>
        <v/>
      </c>
    </row>
    <row r="4753" spans="1:5" x14ac:dyDescent="0.25">
      <c r="A4753" t="str" cm="1">
        <f t="array" ref="A4753">IFERROR(INDEX(tbNucleo[ESCOLA],ROUNDUP(ROW(A4752)/TotalEtapas,0)),"")</f>
        <v/>
      </c>
      <c r="D4753" t="str">
        <f>IFERROR(VLOOKUP(tbEscolas[[#This Row],[COD ETPA]],tbEtapas[],2,FALSE),"")</f>
        <v/>
      </c>
      <c r="E4753" t="str">
        <f>IFERROR(VLOOKUP(tbEscolas[[#This Row],[COD ETPA]],tbEtapas[],3,FALSE),"")</f>
        <v/>
      </c>
    </row>
    <row r="4754" spans="1:5" x14ac:dyDescent="0.25">
      <c r="A4754" t="str" cm="1">
        <f t="array" ref="A4754">IFERROR(INDEX(tbNucleo[ESCOLA],ROUNDUP(ROW(A4753)/TotalEtapas,0)),"")</f>
        <v/>
      </c>
      <c r="D4754" t="str">
        <f>IFERROR(VLOOKUP(tbEscolas[[#This Row],[COD ETPA]],tbEtapas[],2,FALSE),"")</f>
        <v/>
      </c>
      <c r="E4754" t="str">
        <f>IFERROR(VLOOKUP(tbEscolas[[#This Row],[COD ETPA]],tbEtapas[],3,FALSE),"")</f>
        <v/>
      </c>
    </row>
    <row r="4755" spans="1:5" x14ac:dyDescent="0.25">
      <c r="A4755" t="str" cm="1">
        <f t="array" ref="A4755">IFERROR(INDEX(tbNucleo[ESCOLA],ROUNDUP(ROW(A4754)/TotalEtapas,0)),"")</f>
        <v/>
      </c>
      <c r="D4755" t="str">
        <f>IFERROR(VLOOKUP(tbEscolas[[#This Row],[COD ETPA]],tbEtapas[],2,FALSE),"")</f>
        <v/>
      </c>
      <c r="E4755" t="str">
        <f>IFERROR(VLOOKUP(tbEscolas[[#This Row],[COD ETPA]],tbEtapas[],3,FALSE),"")</f>
        <v/>
      </c>
    </row>
    <row r="4756" spans="1:5" x14ac:dyDescent="0.25">
      <c r="A4756" t="str" cm="1">
        <f t="array" ref="A4756">IFERROR(INDEX(tbNucleo[ESCOLA],ROUNDUP(ROW(A4755)/TotalEtapas,0)),"")</f>
        <v/>
      </c>
      <c r="D4756" t="str">
        <f>IFERROR(VLOOKUP(tbEscolas[[#This Row],[COD ETPA]],tbEtapas[],2,FALSE),"")</f>
        <v/>
      </c>
      <c r="E4756" t="str">
        <f>IFERROR(VLOOKUP(tbEscolas[[#This Row],[COD ETPA]],tbEtapas[],3,FALSE),"")</f>
        <v/>
      </c>
    </row>
    <row r="4757" spans="1:5" x14ac:dyDescent="0.25">
      <c r="A4757" t="str" cm="1">
        <f t="array" ref="A4757">IFERROR(INDEX(tbNucleo[ESCOLA],ROUNDUP(ROW(A4756)/TotalEtapas,0)),"")</f>
        <v/>
      </c>
      <c r="D4757" t="str">
        <f>IFERROR(VLOOKUP(tbEscolas[[#This Row],[COD ETPA]],tbEtapas[],2,FALSE),"")</f>
        <v/>
      </c>
      <c r="E4757" t="str">
        <f>IFERROR(VLOOKUP(tbEscolas[[#This Row],[COD ETPA]],tbEtapas[],3,FALSE),"")</f>
        <v/>
      </c>
    </row>
    <row r="4758" spans="1:5" x14ac:dyDescent="0.25">
      <c r="A4758" t="str" cm="1">
        <f t="array" ref="A4758">IFERROR(INDEX(tbNucleo[ESCOLA],ROUNDUP(ROW(A4757)/TotalEtapas,0)),"")</f>
        <v/>
      </c>
      <c r="D4758" t="str">
        <f>IFERROR(VLOOKUP(tbEscolas[[#This Row],[COD ETPA]],tbEtapas[],2,FALSE),"")</f>
        <v/>
      </c>
      <c r="E4758" t="str">
        <f>IFERROR(VLOOKUP(tbEscolas[[#This Row],[COD ETPA]],tbEtapas[],3,FALSE),"")</f>
        <v/>
      </c>
    </row>
    <row r="4759" spans="1:5" x14ac:dyDescent="0.25">
      <c r="A4759" t="str" cm="1">
        <f t="array" ref="A4759">IFERROR(INDEX(tbNucleo[ESCOLA],ROUNDUP(ROW(A4758)/TotalEtapas,0)),"")</f>
        <v/>
      </c>
      <c r="D4759" t="str">
        <f>IFERROR(VLOOKUP(tbEscolas[[#This Row],[COD ETPA]],tbEtapas[],2,FALSE),"")</f>
        <v/>
      </c>
      <c r="E4759" t="str">
        <f>IFERROR(VLOOKUP(tbEscolas[[#This Row],[COD ETPA]],tbEtapas[],3,FALSE),"")</f>
        <v/>
      </c>
    </row>
    <row r="4760" spans="1:5" x14ac:dyDescent="0.25">
      <c r="A4760" t="str" cm="1">
        <f t="array" ref="A4760">IFERROR(INDEX(tbNucleo[ESCOLA],ROUNDUP(ROW(A4759)/TotalEtapas,0)),"")</f>
        <v/>
      </c>
      <c r="D4760" t="str">
        <f>IFERROR(VLOOKUP(tbEscolas[[#This Row],[COD ETPA]],tbEtapas[],2,FALSE),"")</f>
        <v/>
      </c>
      <c r="E4760" t="str">
        <f>IFERROR(VLOOKUP(tbEscolas[[#This Row],[COD ETPA]],tbEtapas[],3,FALSE),"")</f>
        <v/>
      </c>
    </row>
    <row r="4761" spans="1:5" x14ac:dyDescent="0.25">
      <c r="A4761" t="str" cm="1">
        <f t="array" ref="A4761">IFERROR(INDEX(tbNucleo[ESCOLA],ROUNDUP(ROW(A4760)/TotalEtapas,0)),"")</f>
        <v/>
      </c>
      <c r="D4761" t="str">
        <f>IFERROR(VLOOKUP(tbEscolas[[#This Row],[COD ETPA]],tbEtapas[],2,FALSE),"")</f>
        <v/>
      </c>
      <c r="E4761" t="str">
        <f>IFERROR(VLOOKUP(tbEscolas[[#This Row],[COD ETPA]],tbEtapas[],3,FALSE),"")</f>
        <v/>
      </c>
    </row>
    <row r="4762" spans="1:5" x14ac:dyDescent="0.25">
      <c r="A4762" t="str" cm="1">
        <f t="array" ref="A4762">IFERROR(INDEX(tbNucleo[ESCOLA],ROUNDUP(ROW(A4761)/TotalEtapas,0)),"")</f>
        <v/>
      </c>
      <c r="D4762" t="str">
        <f>IFERROR(VLOOKUP(tbEscolas[[#This Row],[COD ETPA]],tbEtapas[],2,FALSE),"")</f>
        <v/>
      </c>
      <c r="E4762" t="str">
        <f>IFERROR(VLOOKUP(tbEscolas[[#This Row],[COD ETPA]],tbEtapas[],3,FALSE),"")</f>
        <v/>
      </c>
    </row>
    <row r="4763" spans="1:5" x14ac:dyDescent="0.25">
      <c r="A4763" t="str" cm="1">
        <f t="array" ref="A4763">IFERROR(INDEX(tbNucleo[ESCOLA],ROUNDUP(ROW(A4762)/TotalEtapas,0)),"")</f>
        <v/>
      </c>
      <c r="D4763" t="str">
        <f>IFERROR(VLOOKUP(tbEscolas[[#This Row],[COD ETPA]],tbEtapas[],2,FALSE),"")</f>
        <v/>
      </c>
      <c r="E4763" t="str">
        <f>IFERROR(VLOOKUP(tbEscolas[[#This Row],[COD ETPA]],tbEtapas[],3,FALSE),"")</f>
        <v/>
      </c>
    </row>
    <row r="4764" spans="1:5" x14ac:dyDescent="0.25">
      <c r="A4764" t="str" cm="1">
        <f t="array" ref="A4764">IFERROR(INDEX(tbNucleo[ESCOLA],ROUNDUP(ROW(A4763)/TotalEtapas,0)),"")</f>
        <v/>
      </c>
      <c r="D4764" t="str">
        <f>IFERROR(VLOOKUP(tbEscolas[[#This Row],[COD ETPA]],tbEtapas[],2,FALSE),"")</f>
        <v/>
      </c>
      <c r="E4764" t="str">
        <f>IFERROR(VLOOKUP(tbEscolas[[#This Row],[COD ETPA]],tbEtapas[],3,FALSE),"")</f>
        <v/>
      </c>
    </row>
    <row r="4765" spans="1:5" x14ac:dyDescent="0.25">
      <c r="A4765" t="str" cm="1">
        <f t="array" ref="A4765">IFERROR(INDEX(tbNucleo[ESCOLA],ROUNDUP(ROW(A4764)/TotalEtapas,0)),"")</f>
        <v/>
      </c>
      <c r="D4765" t="str">
        <f>IFERROR(VLOOKUP(tbEscolas[[#This Row],[COD ETPA]],tbEtapas[],2,FALSE),"")</f>
        <v/>
      </c>
      <c r="E4765" t="str">
        <f>IFERROR(VLOOKUP(tbEscolas[[#This Row],[COD ETPA]],tbEtapas[],3,FALSE),"")</f>
        <v/>
      </c>
    </row>
    <row r="4766" spans="1:5" x14ac:dyDescent="0.25">
      <c r="A4766" t="str" cm="1">
        <f t="array" ref="A4766">IFERROR(INDEX(tbNucleo[ESCOLA],ROUNDUP(ROW(A4765)/TotalEtapas,0)),"")</f>
        <v/>
      </c>
      <c r="D4766" t="str">
        <f>IFERROR(VLOOKUP(tbEscolas[[#This Row],[COD ETPA]],tbEtapas[],2,FALSE),"")</f>
        <v/>
      </c>
      <c r="E4766" t="str">
        <f>IFERROR(VLOOKUP(tbEscolas[[#This Row],[COD ETPA]],tbEtapas[],3,FALSE),"")</f>
        <v/>
      </c>
    </row>
    <row r="4767" spans="1:5" x14ac:dyDescent="0.25">
      <c r="A4767" t="str" cm="1">
        <f t="array" ref="A4767">IFERROR(INDEX(tbNucleo[ESCOLA],ROUNDUP(ROW(A4766)/TotalEtapas,0)),"")</f>
        <v/>
      </c>
      <c r="D4767" t="str">
        <f>IFERROR(VLOOKUP(tbEscolas[[#This Row],[COD ETPA]],tbEtapas[],2,FALSE),"")</f>
        <v/>
      </c>
      <c r="E4767" t="str">
        <f>IFERROR(VLOOKUP(tbEscolas[[#This Row],[COD ETPA]],tbEtapas[],3,FALSE),"")</f>
        <v/>
      </c>
    </row>
    <row r="4768" spans="1:5" x14ac:dyDescent="0.25">
      <c r="A4768" t="str" cm="1">
        <f t="array" ref="A4768">IFERROR(INDEX(tbNucleo[ESCOLA],ROUNDUP(ROW(A4767)/TotalEtapas,0)),"")</f>
        <v/>
      </c>
      <c r="D4768" t="str">
        <f>IFERROR(VLOOKUP(tbEscolas[[#This Row],[COD ETPA]],tbEtapas[],2,FALSE),"")</f>
        <v/>
      </c>
      <c r="E4768" t="str">
        <f>IFERROR(VLOOKUP(tbEscolas[[#This Row],[COD ETPA]],tbEtapas[],3,FALSE),"")</f>
        <v/>
      </c>
    </row>
    <row r="4769" spans="1:5" x14ac:dyDescent="0.25">
      <c r="A4769" t="str" cm="1">
        <f t="array" ref="A4769">IFERROR(INDEX(tbNucleo[ESCOLA],ROUNDUP(ROW(A4768)/TotalEtapas,0)),"")</f>
        <v/>
      </c>
      <c r="D4769" t="str">
        <f>IFERROR(VLOOKUP(tbEscolas[[#This Row],[COD ETPA]],tbEtapas[],2,FALSE),"")</f>
        <v/>
      </c>
      <c r="E4769" t="str">
        <f>IFERROR(VLOOKUP(tbEscolas[[#This Row],[COD ETPA]],tbEtapas[],3,FALSE),"")</f>
        <v/>
      </c>
    </row>
    <row r="4770" spans="1:5" x14ac:dyDescent="0.25">
      <c r="A4770" t="str" cm="1">
        <f t="array" ref="A4770">IFERROR(INDEX(tbNucleo[ESCOLA],ROUNDUP(ROW(A4769)/TotalEtapas,0)),"")</f>
        <v/>
      </c>
      <c r="D4770" t="str">
        <f>IFERROR(VLOOKUP(tbEscolas[[#This Row],[COD ETPA]],tbEtapas[],2,FALSE),"")</f>
        <v/>
      </c>
      <c r="E4770" t="str">
        <f>IFERROR(VLOOKUP(tbEscolas[[#This Row],[COD ETPA]],tbEtapas[],3,FALSE),"")</f>
        <v/>
      </c>
    </row>
    <row r="4771" spans="1:5" x14ac:dyDescent="0.25">
      <c r="A4771" t="str" cm="1">
        <f t="array" ref="A4771">IFERROR(INDEX(tbNucleo[ESCOLA],ROUNDUP(ROW(A4770)/TotalEtapas,0)),"")</f>
        <v/>
      </c>
      <c r="D4771" t="str">
        <f>IFERROR(VLOOKUP(tbEscolas[[#This Row],[COD ETPA]],tbEtapas[],2,FALSE),"")</f>
        <v/>
      </c>
      <c r="E4771" t="str">
        <f>IFERROR(VLOOKUP(tbEscolas[[#This Row],[COD ETPA]],tbEtapas[],3,FALSE),"")</f>
        <v/>
      </c>
    </row>
    <row r="4772" spans="1:5" x14ac:dyDescent="0.25">
      <c r="A4772" t="str" cm="1">
        <f t="array" ref="A4772">IFERROR(INDEX(tbNucleo[ESCOLA],ROUNDUP(ROW(A4771)/TotalEtapas,0)),"")</f>
        <v/>
      </c>
      <c r="D4772" t="str">
        <f>IFERROR(VLOOKUP(tbEscolas[[#This Row],[COD ETPA]],tbEtapas[],2,FALSE),"")</f>
        <v/>
      </c>
      <c r="E4772" t="str">
        <f>IFERROR(VLOOKUP(tbEscolas[[#This Row],[COD ETPA]],tbEtapas[],3,FALSE),"")</f>
        <v/>
      </c>
    </row>
    <row r="4773" spans="1:5" x14ac:dyDescent="0.25">
      <c r="A4773" t="str" cm="1">
        <f t="array" ref="A4773">IFERROR(INDEX(tbNucleo[ESCOLA],ROUNDUP(ROW(A4772)/TotalEtapas,0)),"")</f>
        <v/>
      </c>
      <c r="D4773" t="str">
        <f>IFERROR(VLOOKUP(tbEscolas[[#This Row],[COD ETPA]],tbEtapas[],2,FALSE),"")</f>
        <v/>
      </c>
      <c r="E4773" t="str">
        <f>IFERROR(VLOOKUP(tbEscolas[[#This Row],[COD ETPA]],tbEtapas[],3,FALSE),"")</f>
        <v/>
      </c>
    </row>
    <row r="4774" spans="1:5" x14ac:dyDescent="0.25">
      <c r="A4774" t="str" cm="1">
        <f t="array" ref="A4774">IFERROR(INDEX(tbNucleo[ESCOLA],ROUNDUP(ROW(A4773)/TotalEtapas,0)),"")</f>
        <v/>
      </c>
      <c r="D4774" t="str">
        <f>IFERROR(VLOOKUP(tbEscolas[[#This Row],[COD ETPA]],tbEtapas[],2,FALSE),"")</f>
        <v/>
      </c>
      <c r="E4774" t="str">
        <f>IFERROR(VLOOKUP(tbEscolas[[#This Row],[COD ETPA]],tbEtapas[],3,FALSE),"")</f>
        <v/>
      </c>
    </row>
    <row r="4775" spans="1:5" x14ac:dyDescent="0.25">
      <c r="A4775" t="str" cm="1">
        <f t="array" ref="A4775">IFERROR(INDEX(tbNucleo[ESCOLA],ROUNDUP(ROW(A4774)/TotalEtapas,0)),"")</f>
        <v/>
      </c>
      <c r="D4775" t="str">
        <f>IFERROR(VLOOKUP(tbEscolas[[#This Row],[COD ETPA]],tbEtapas[],2,FALSE),"")</f>
        <v/>
      </c>
      <c r="E4775" t="str">
        <f>IFERROR(VLOOKUP(tbEscolas[[#This Row],[COD ETPA]],tbEtapas[],3,FALSE),"")</f>
        <v/>
      </c>
    </row>
    <row r="4776" spans="1:5" x14ac:dyDescent="0.25">
      <c r="A4776" t="str" cm="1">
        <f t="array" ref="A4776">IFERROR(INDEX(tbNucleo[ESCOLA],ROUNDUP(ROW(A4775)/TotalEtapas,0)),"")</f>
        <v/>
      </c>
      <c r="D4776" t="str">
        <f>IFERROR(VLOOKUP(tbEscolas[[#This Row],[COD ETPA]],tbEtapas[],2,FALSE),"")</f>
        <v/>
      </c>
      <c r="E4776" t="str">
        <f>IFERROR(VLOOKUP(tbEscolas[[#This Row],[COD ETPA]],tbEtapas[],3,FALSE),"")</f>
        <v/>
      </c>
    </row>
    <row r="4777" spans="1:5" x14ac:dyDescent="0.25">
      <c r="A4777" t="str" cm="1">
        <f t="array" ref="A4777">IFERROR(INDEX(tbNucleo[ESCOLA],ROUNDUP(ROW(A4776)/TotalEtapas,0)),"")</f>
        <v/>
      </c>
      <c r="D4777" t="str">
        <f>IFERROR(VLOOKUP(tbEscolas[[#This Row],[COD ETPA]],tbEtapas[],2,FALSE),"")</f>
        <v/>
      </c>
      <c r="E4777" t="str">
        <f>IFERROR(VLOOKUP(tbEscolas[[#This Row],[COD ETPA]],tbEtapas[],3,FALSE),"")</f>
        <v/>
      </c>
    </row>
    <row r="4778" spans="1:5" x14ac:dyDescent="0.25">
      <c r="A4778" t="str" cm="1">
        <f t="array" ref="A4778">IFERROR(INDEX(tbNucleo[ESCOLA],ROUNDUP(ROW(A4777)/TotalEtapas,0)),"")</f>
        <v/>
      </c>
      <c r="D4778" t="str">
        <f>IFERROR(VLOOKUP(tbEscolas[[#This Row],[COD ETPA]],tbEtapas[],2,FALSE),"")</f>
        <v/>
      </c>
      <c r="E4778" t="str">
        <f>IFERROR(VLOOKUP(tbEscolas[[#This Row],[COD ETPA]],tbEtapas[],3,FALSE),"")</f>
        <v/>
      </c>
    </row>
    <row r="4779" spans="1:5" x14ac:dyDescent="0.25">
      <c r="A4779" t="str" cm="1">
        <f t="array" ref="A4779">IFERROR(INDEX(tbNucleo[ESCOLA],ROUNDUP(ROW(A4778)/TotalEtapas,0)),"")</f>
        <v/>
      </c>
      <c r="D4779" t="str">
        <f>IFERROR(VLOOKUP(tbEscolas[[#This Row],[COD ETPA]],tbEtapas[],2,FALSE),"")</f>
        <v/>
      </c>
      <c r="E4779" t="str">
        <f>IFERROR(VLOOKUP(tbEscolas[[#This Row],[COD ETPA]],tbEtapas[],3,FALSE),"")</f>
        <v/>
      </c>
    </row>
    <row r="4780" spans="1:5" x14ac:dyDescent="0.25">
      <c r="A4780" t="str" cm="1">
        <f t="array" ref="A4780">IFERROR(INDEX(tbNucleo[ESCOLA],ROUNDUP(ROW(A4779)/TotalEtapas,0)),"")</f>
        <v/>
      </c>
      <c r="D4780" t="str">
        <f>IFERROR(VLOOKUP(tbEscolas[[#This Row],[COD ETPA]],tbEtapas[],2,FALSE),"")</f>
        <v/>
      </c>
      <c r="E4780" t="str">
        <f>IFERROR(VLOOKUP(tbEscolas[[#This Row],[COD ETPA]],tbEtapas[],3,FALSE),"")</f>
        <v/>
      </c>
    </row>
    <row r="4781" spans="1:5" x14ac:dyDescent="0.25">
      <c r="A4781" t="str" cm="1">
        <f t="array" ref="A4781">IFERROR(INDEX(tbNucleo[ESCOLA],ROUNDUP(ROW(A4780)/TotalEtapas,0)),"")</f>
        <v/>
      </c>
      <c r="D4781" t="str">
        <f>IFERROR(VLOOKUP(tbEscolas[[#This Row],[COD ETPA]],tbEtapas[],2,FALSE),"")</f>
        <v/>
      </c>
      <c r="E4781" t="str">
        <f>IFERROR(VLOOKUP(tbEscolas[[#This Row],[COD ETPA]],tbEtapas[],3,FALSE),"")</f>
        <v/>
      </c>
    </row>
    <row r="4782" spans="1:5" x14ac:dyDescent="0.25">
      <c r="A4782" t="str" cm="1">
        <f t="array" ref="A4782">IFERROR(INDEX(tbNucleo[ESCOLA],ROUNDUP(ROW(A4781)/TotalEtapas,0)),"")</f>
        <v/>
      </c>
      <c r="D4782" t="str">
        <f>IFERROR(VLOOKUP(tbEscolas[[#This Row],[COD ETPA]],tbEtapas[],2,FALSE),"")</f>
        <v/>
      </c>
      <c r="E4782" t="str">
        <f>IFERROR(VLOOKUP(tbEscolas[[#This Row],[COD ETPA]],tbEtapas[],3,FALSE),"")</f>
        <v/>
      </c>
    </row>
    <row r="4783" spans="1:5" x14ac:dyDescent="0.25">
      <c r="A4783" t="str" cm="1">
        <f t="array" ref="A4783">IFERROR(INDEX(tbNucleo[ESCOLA],ROUNDUP(ROW(A4782)/TotalEtapas,0)),"")</f>
        <v/>
      </c>
      <c r="D4783" t="str">
        <f>IFERROR(VLOOKUP(tbEscolas[[#This Row],[COD ETPA]],tbEtapas[],2,FALSE),"")</f>
        <v/>
      </c>
      <c r="E4783" t="str">
        <f>IFERROR(VLOOKUP(tbEscolas[[#This Row],[COD ETPA]],tbEtapas[],3,FALSE),"")</f>
        <v/>
      </c>
    </row>
    <row r="4784" spans="1:5" x14ac:dyDescent="0.25">
      <c r="A4784" t="str" cm="1">
        <f t="array" ref="A4784">IFERROR(INDEX(tbNucleo[ESCOLA],ROUNDUP(ROW(A4783)/TotalEtapas,0)),"")</f>
        <v/>
      </c>
      <c r="D4784" t="str">
        <f>IFERROR(VLOOKUP(tbEscolas[[#This Row],[COD ETPA]],tbEtapas[],2,FALSE),"")</f>
        <v/>
      </c>
      <c r="E4784" t="str">
        <f>IFERROR(VLOOKUP(tbEscolas[[#This Row],[COD ETPA]],tbEtapas[],3,FALSE),"")</f>
        <v/>
      </c>
    </row>
    <row r="4785" spans="1:5" x14ac:dyDescent="0.25">
      <c r="A4785" t="str" cm="1">
        <f t="array" ref="A4785">IFERROR(INDEX(tbNucleo[ESCOLA],ROUNDUP(ROW(A4784)/TotalEtapas,0)),"")</f>
        <v/>
      </c>
      <c r="D4785" t="str">
        <f>IFERROR(VLOOKUP(tbEscolas[[#This Row],[COD ETPA]],tbEtapas[],2,FALSE),"")</f>
        <v/>
      </c>
      <c r="E4785" t="str">
        <f>IFERROR(VLOOKUP(tbEscolas[[#This Row],[COD ETPA]],tbEtapas[],3,FALSE),"")</f>
        <v/>
      </c>
    </row>
    <row r="4786" spans="1:5" x14ac:dyDescent="0.25">
      <c r="A4786" t="str" cm="1">
        <f t="array" ref="A4786">IFERROR(INDEX(tbNucleo[ESCOLA],ROUNDUP(ROW(A4785)/TotalEtapas,0)),"")</f>
        <v/>
      </c>
      <c r="D4786" t="str">
        <f>IFERROR(VLOOKUP(tbEscolas[[#This Row],[COD ETPA]],tbEtapas[],2,FALSE),"")</f>
        <v/>
      </c>
      <c r="E4786" t="str">
        <f>IFERROR(VLOOKUP(tbEscolas[[#This Row],[COD ETPA]],tbEtapas[],3,FALSE),"")</f>
        <v/>
      </c>
    </row>
    <row r="4787" spans="1:5" x14ac:dyDescent="0.25">
      <c r="A4787" t="str" cm="1">
        <f t="array" ref="A4787">IFERROR(INDEX(tbNucleo[ESCOLA],ROUNDUP(ROW(A4786)/TotalEtapas,0)),"")</f>
        <v/>
      </c>
      <c r="D4787" t="str">
        <f>IFERROR(VLOOKUP(tbEscolas[[#This Row],[COD ETPA]],tbEtapas[],2,FALSE),"")</f>
        <v/>
      </c>
      <c r="E4787" t="str">
        <f>IFERROR(VLOOKUP(tbEscolas[[#This Row],[COD ETPA]],tbEtapas[],3,FALSE),"")</f>
        <v/>
      </c>
    </row>
    <row r="4788" spans="1:5" x14ac:dyDescent="0.25">
      <c r="A4788" t="str" cm="1">
        <f t="array" ref="A4788">IFERROR(INDEX(tbNucleo[ESCOLA],ROUNDUP(ROW(A4787)/TotalEtapas,0)),"")</f>
        <v/>
      </c>
      <c r="D4788" t="str">
        <f>IFERROR(VLOOKUP(tbEscolas[[#This Row],[COD ETPA]],tbEtapas[],2,FALSE),"")</f>
        <v/>
      </c>
      <c r="E4788" t="str">
        <f>IFERROR(VLOOKUP(tbEscolas[[#This Row],[COD ETPA]],tbEtapas[],3,FALSE),"")</f>
        <v/>
      </c>
    </row>
    <row r="4789" spans="1:5" x14ac:dyDescent="0.25">
      <c r="A4789" t="str" cm="1">
        <f t="array" ref="A4789">IFERROR(INDEX(tbNucleo[ESCOLA],ROUNDUP(ROW(A4788)/TotalEtapas,0)),"")</f>
        <v/>
      </c>
      <c r="D4789" t="str">
        <f>IFERROR(VLOOKUP(tbEscolas[[#This Row],[COD ETPA]],tbEtapas[],2,FALSE),"")</f>
        <v/>
      </c>
      <c r="E4789" t="str">
        <f>IFERROR(VLOOKUP(tbEscolas[[#This Row],[COD ETPA]],tbEtapas[],3,FALSE),"")</f>
        <v/>
      </c>
    </row>
    <row r="4790" spans="1:5" x14ac:dyDescent="0.25">
      <c r="A4790" t="str" cm="1">
        <f t="array" ref="A4790">IFERROR(INDEX(tbNucleo[ESCOLA],ROUNDUP(ROW(A4789)/TotalEtapas,0)),"")</f>
        <v/>
      </c>
      <c r="D4790" t="str">
        <f>IFERROR(VLOOKUP(tbEscolas[[#This Row],[COD ETPA]],tbEtapas[],2,FALSE),"")</f>
        <v/>
      </c>
      <c r="E4790" t="str">
        <f>IFERROR(VLOOKUP(tbEscolas[[#This Row],[COD ETPA]],tbEtapas[],3,FALSE),"")</f>
        <v/>
      </c>
    </row>
    <row r="4791" spans="1:5" x14ac:dyDescent="0.25">
      <c r="A4791" t="str" cm="1">
        <f t="array" ref="A4791">IFERROR(INDEX(tbNucleo[ESCOLA],ROUNDUP(ROW(A4790)/TotalEtapas,0)),"")</f>
        <v/>
      </c>
      <c r="D4791" t="str">
        <f>IFERROR(VLOOKUP(tbEscolas[[#This Row],[COD ETPA]],tbEtapas[],2,FALSE),"")</f>
        <v/>
      </c>
      <c r="E4791" t="str">
        <f>IFERROR(VLOOKUP(tbEscolas[[#This Row],[COD ETPA]],tbEtapas[],3,FALSE),"")</f>
        <v/>
      </c>
    </row>
    <row r="4792" spans="1:5" x14ac:dyDescent="0.25">
      <c r="A4792" t="str" cm="1">
        <f t="array" ref="A4792">IFERROR(INDEX(tbNucleo[ESCOLA],ROUNDUP(ROW(A4791)/TotalEtapas,0)),"")</f>
        <v/>
      </c>
      <c r="D4792" t="str">
        <f>IFERROR(VLOOKUP(tbEscolas[[#This Row],[COD ETPA]],tbEtapas[],2,FALSE),"")</f>
        <v/>
      </c>
      <c r="E4792" t="str">
        <f>IFERROR(VLOOKUP(tbEscolas[[#This Row],[COD ETPA]],tbEtapas[],3,FALSE),"")</f>
        <v/>
      </c>
    </row>
    <row r="4793" spans="1:5" x14ac:dyDescent="0.25">
      <c r="A4793" t="str" cm="1">
        <f t="array" ref="A4793">IFERROR(INDEX(tbNucleo[ESCOLA],ROUNDUP(ROW(A4792)/TotalEtapas,0)),"")</f>
        <v/>
      </c>
      <c r="D4793" t="str">
        <f>IFERROR(VLOOKUP(tbEscolas[[#This Row],[COD ETPA]],tbEtapas[],2,FALSE),"")</f>
        <v/>
      </c>
      <c r="E4793" t="str">
        <f>IFERROR(VLOOKUP(tbEscolas[[#This Row],[COD ETPA]],tbEtapas[],3,FALSE),"")</f>
        <v/>
      </c>
    </row>
    <row r="4794" spans="1:5" x14ac:dyDescent="0.25">
      <c r="A4794" t="str" cm="1">
        <f t="array" ref="A4794">IFERROR(INDEX(tbNucleo[ESCOLA],ROUNDUP(ROW(A4793)/TotalEtapas,0)),"")</f>
        <v/>
      </c>
      <c r="D4794" t="str">
        <f>IFERROR(VLOOKUP(tbEscolas[[#This Row],[COD ETPA]],tbEtapas[],2,FALSE),"")</f>
        <v/>
      </c>
      <c r="E4794" t="str">
        <f>IFERROR(VLOOKUP(tbEscolas[[#This Row],[COD ETPA]],tbEtapas[],3,FALSE),"")</f>
        <v/>
      </c>
    </row>
    <row r="4795" spans="1:5" x14ac:dyDescent="0.25">
      <c r="A4795" t="str" cm="1">
        <f t="array" ref="A4795">IFERROR(INDEX(tbNucleo[ESCOLA],ROUNDUP(ROW(A4794)/TotalEtapas,0)),"")</f>
        <v/>
      </c>
      <c r="D4795" t="str">
        <f>IFERROR(VLOOKUP(tbEscolas[[#This Row],[COD ETPA]],tbEtapas[],2,FALSE),"")</f>
        <v/>
      </c>
      <c r="E4795" t="str">
        <f>IFERROR(VLOOKUP(tbEscolas[[#This Row],[COD ETPA]],tbEtapas[],3,FALSE),"")</f>
        <v/>
      </c>
    </row>
    <row r="4796" spans="1:5" x14ac:dyDescent="0.25">
      <c r="A4796" t="str" cm="1">
        <f t="array" ref="A4796">IFERROR(INDEX(tbNucleo[ESCOLA],ROUNDUP(ROW(A4795)/TotalEtapas,0)),"")</f>
        <v/>
      </c>
      <c r="D4796" t="str">
        <f>IFERROR(VLOOKUP(tbEscolas[[#This Row],[COD ETPA]],tbEtapas[],2,FALSE),"")</f>
        <v/>
      </c>
      <c r="E4796" t="str">
        <f>IFERROR(VLOOKUP(tbEscolas[[#This Row],[COD ETPA]],tbEtapas[],3,FALSE),"")</f>
        <v/>
      </c>
    </row>
    <row r="4797" spans="1:5" x14ac:dyDescent="0.25">
      <c r="A4797" t="str" cm="1">
        <f t="array" ref="A4797">IFERROR(INDEX(tbNucleo[ESCOLA],ROUNDUP(ROW(A4796)/TotalEtapas,0)),"")</f>
        <v/>
      </c>
      <c r="D4797" t="str">
        <f>IFERROR(VLOOKUP(tbEscolas[[#This Row],[COD ETPA]],tbEtapas[],2,FALSE),"")</f>
        <v/>
      </c>
      <c r="E4797" t="str">
        <f>IFERROR(VLOOKUP(tbEscolas[[#This Row],[COD ETPA]],tbEtapas[],3,FALSE),"")</f>
        <v/>
      </c>
    </row>
    <row r="4798" spans="1:5" x14ac:dyDescent="0.25">
      <c r="A4798" t="str" cm="1">
        <f t="array" ref="A4798">IFERROR(INDEX(tbNucleo[ESCOLA],ROUNDUP(ROW(A4797)/TotalEtapas,0)),"")</f>
        <v/>
      </c>
      <c r="D4798" t="str">
        <f>IFERROR(VLOOKUP(tbEscolas[[#This Row],[COD ETPA]],tbEtapas[],2,FALSE),"")</f>
        <v/>
      </c>
      <c r="E4798" t="str">
        <f>IFERROR(VLOOKUP(tbEscolas[[#This Row],[COD ETPA]],tbEtapas[],3,FALSE),"")</f>
        <v/>
      </c>
    </row>
    <row r="4799" spans="1:5" x14ac:dyDescent="0.25">
      <c r="A4799" t="str" cm="1">
        <f t="array" ref="A4799">IFERROR(INDEX(tbNucleo[ESCOLA],ROUNDUP(ROW(A4798)/TotalEtapas,0)),"")</f>
        <v/>
      </c>
      <c r="D4799" t="str">
        <f>IFERROR(VLOOKUP(tbEscolas[[#This Row],[COD ETPA]],tbEtapas[],2,FALSE),"")</f>
        <v/>
      </c>
      <c r="E4799" t="str">
        <f>IFERROR(VLOOKUP(tbEscolas[[#This Row],[COD ETPA]],tbEtapas[],3,FALSE),"")</f>
        <v/>
      </c>
    </row>
    <row r="4800" spans="1:5" x14ac:dyDescent="0.25">
      <c r="A4800" t="str" cm="1">
        <f t="array" ref="A4800">IFERROR(INDEX(tbNucleo[ESCOLA],ROUNDUP(ROW(A4799)/TotalEtapas,0)),"")</f>
        <v/>
      </c>
      <c r="D4800" t="str">
        <f>IFERROR(VLOOKUP(tbEscolas[[#This Row],[COD ETPA]],tbEtapas[],2,FALSE),"")</f>
        <v/>
      </c>
      <c r="E4800" t="str">
        <f>IFERROR(VLOOKUP(tbEscolas[[#This Row],[COD ETPA]],tbEtapas[],3,FALSE),"")</f>
        <v/>
      </c>
    </row>
    <row r="4801" spans="1:5" x14ac:dyDescent="0.25">
      <c r="A4801" t="str" cm="1">
        <f t="array" ref="A4801">IFERROR(INDEX(tbNucleo[ESCOLA],ROUNDUP(ROW(A4800)/TotalEtapas,0)),"")</f>
        <v/>
      </c>
      <c r="D4801" t="str">
        <f>IFERROR(VLOOKUP(tbEscolas[[#This Row],[COD ETPA]],tbEtapas[],2,FALSE),"")</f>
        <v/>
      </c>
      <c r="E4801" t="str">
        <f>IFERROR(VLOOKUP(tbEscolas[[#This Row],[COD ETPA]],tbEtapas[],3,FALSE),"")</f>
        <v/>
      </c>
    </row>
    <row r="4802" spans="1:5" x14ac:dyDescent="0.25">
      <c r="A4802" t="str" cm="1">
        <f t="array" ref="A4802">IFERROR(INDEX(tbNucleo[ESCOLA],ROUNDUP(ROW(A4801)/TotalEtapas,0)),"")</f>
        <v/>
      </c>
      <c r="D4802" t="str">
        <f>IFERROR(VLOOKUP(tbEscolas[[#This Row],[COD ETPA]],tbEtapas[],2,FALSE),"")</f>
        <v/>
      </c>
      <c r="E4802" t="str">
        <f>IFERROR(VLOOKUP(tbEscolas[[#This Row],[COD ETPA]],tbEtapas[],3,FALSE),"")</f>
        <v/>
      </c>
    </row>
    <row r="4803" spans="1:5" x14ac:dyDescent="0.25">
      <c r="A4803" t="str" cm="1">
        <f t="array" ref="A4803">IFERROR(INDEX(tbNucleo[ESCOLA],ROUNDUP(ROW(A4802)/TotalEtapas,0)),"")</f>
        <v/>
      </c>
      <c r="D4803" t="str">
        <f>IFERROR(VLOOKUP(tbEscolas[[#This Row],[COD ETPA]],tbEtapas[],2,FALSE),"")</f>
        <v/>
      </c>
      <c r="E4803" t="str">
        <f>IFERROR(VLOOKUP(tbEscolas[[#This Row],[COD ETPA]],tbEtapas[],3,FALSE),"")</f>
        <v/>
      </c>
    </row>
    <row r="4804" spans="1:5" x14ac:dyDescent="0.25">
      <c r="A4804" t="str" cm="1">
        <f t="array" ref="A4804">IFERROR(INDEX(tbNucleo[ESCOLA],ROUNDUP(ROW(A4803)/TotalEtapas,0)),"")</f>
        <v/>
      </c>
      <c r="D4804" t="str">
        <f>IFERROR(VLOOKUP(tbEscolas[[#This Row],[COD ETPA]],tbEtapas[],2,FALSE),"")</f>
        <v/>
      </c>
      <c r="E4804" t="str">
        <f>IFERROR(VLOOKUP(tbEscolas[[#This Row],[COD ETPA]],tbEtapas[],3,FALSE),"")</f>
        <v/>
      </c>
    </row>
    <row r="4805" spans="1:5" x14ac:dyDescent="0.25">
      <c r="A4805" t="str" cm="1">
        <f t="array" ref="A4805">IFERROR(INDEX(tbNucleo[ESCOLA],ROUNDUP(ROW(A4804)/TotalEtapas,0)),"")</f>
        <v/>
      </c>
      <c r="D4805" t="str">
        <f>IFERROR(VLOOKUP(tbEscolas[[#This Row],[COD ETPA]],tbEtapas[],2,FALSE),"")</f>
        <v/>
      </c>
      <c r="E4805" t="str">
        <f>IFERROR(VLOOKUP(tbEscolas[[#This Row],[COD ETPA]],tbEtapas[],3,FALSE),"")</f>
        <v/>
      </c>
    </row>
    <row r="4806" spans="1:5" x14ac:dyDescent="0.25">
      <c r="A4806" t="str" cm="1">
        <f t="array" ref="A4806">IFERROR(INDEX(tbNucleo[ESCOLA],ROUNDUP(ROW(A4805)/TotalEtapas,0)),"")</f>
        <v/>
      </c>
      <c r="D4806" t="str">
        <f>IFERROR(VLOOKUP(tbEscolas[[#This Row],[COD ETPA]],tbEtapas[],2,FALSE),"")</f>
        <v/>
      </c>
      <c r="E4806" t="str">
        <f>IFERROR(VLOOKUP(tbEscolas[[#This Row],[COD ETPA]],tbEtapas[],3,FALSE),"")</f>
        <v/>
      </c>
    </row>
    <row r="4807" spans="1:5" x14ac:dyDescent="0.25">
      <c r="A4807" t="str" cm="1">
        <f t="array" ref="A4807">IFERROR(INDEX(tbNucleo[ESCOLA],ROUNDUP(ROW(A4806)/TotalEtapas,0)),"")</f>
        <v/>
      </c>
      <c r="D4807" t="str">
        <f>IFERROR(VLOOKUP(tbEscolas[[#This Row],[COD ETPA]],tbEtapas[],2,FALSE),"")</f>
        <v/>
      </c>
      <c r="E4807" t="str">
        <f>IFERROR(VLOOKUP(tbEscolas[[#This Row],[COD ETPA]],tbEtapas[],3,FALSE),"")</f>
        <v/>
      </c>
    </row>
    <row r="4808" spans="1:5" x14ac:dyDescent="0.25">
      <c r="A4808" t="str" cm="1">
        <f t="array" ref="A4808">IFERROR(INDEX(tbNucleo[ESCOLA],ROUNDUP(ROW(A4807)/TotalEtapas,0)),"")</f>
        <v/>
      </c>
      <c r="D4808" t="str">
        <f>IFERROR(VLOOKUP(tbEscolas[[#This Row],[COD ETPA]],tbEtapas[],2,FALSE),"")</f>
        <v/>
      </c>
      <c r="E4808" t="str">
        <f>IFERROR(VLOOKUP(tbEscolas[[#This Row],[COD ETPA]],tbEtapas[],3,FALSE),"")</f>
        <v/>
      </c>
    </row>
    <row r="4809" spans="1:5" x14ac:dyDescent="0.25">
      <c r="A4809" t="str" cm="1">
        <f t="array" ref="A4809">IFERROR(INDEX(tbNucleo[ESCOLA],ROUNDUP(ROW(A4808)/TotalEtapas,0)),"")</f>
        <v/>
      </c>
      <c r="D4809" t="str">
        <f>IFERROR(VLOOKUP(tbEscolas[[#This Row],[COD ETPA]],tbEtapas[],2,FALSE),"")</f>
        <v/>
      </c>
      <c r="E4809" t="str">
        <f>IFERROR(VLOOKUP(tbEscolas[[#This Row],[COD ETPA]],tbEtapas[],3,FALSE),"")</f>
        <v/>
      </c>
    </row>
    <row r="4810" spans="1:5" x14ac:dyDescent="0.25">
      <c r="A4810" t="str" cm="1">
        <f t="array" ref="A4810">IFERROR(INDEX(tbNucleo[ESCOLA],ROUNDUP(ROW(A4809)/TotalEtapas,0)),"")</f>
        <v/>
      </c>
      <c r="D4810" t="str">
        <f>IFERROR(VLOOKUP(tbEscolas[[#This Row],[COD ETPA]],tbEtapas[],2,FALSE),"")</f>
        <v/>
      </c>
      <c r="E4810" t="str">
        <f>IFERROR(VLOOKUP(tbEscolas[[#This Row],[COD ETPA]],tbEtapas[],3,FALSE),"")</f>
        <v/>
      </c>
    </row>
    <row r="4811" spans="1:5" x14ac:dyDescent="0.25">
      <c r="A4811" t="str" cm="1">
        <f t="array" ref="A4811">IFERROR(INDEX(tbNucleo[ESCOLA],ROUNDUP(ROW(A4810)/TotalEtapas,0)),"")</f>
        <v/>
      </c>
      <c r="D4811" t="str">
        <f>IFERROR(VLOOKUP(tbEscolas[[#This Row],[COD ETPA]],tbEtapas[],2,FALSE),"")</f>
        <v/>
      </c>
      <c r="E4811" t="str">
        <f>IFERROR(VLOOKUP(tbEscolas[[#This Row],[COD ETPA]],tbEtapas[],3,FALSE),"")</f>
        <v/>
      </c>
    </row>
    <row r="4812" spans="1:5" x14ac:dyDescent="0.25">
      <c r="A4812" t="str" cm="1">
        <f t="array" ref="A4812">IFERROR(INDEX(tbNucleo[ESCOLA],ROUNDUP(ROW(A4811)/TotalEtapas,0)),"")</f>
        <v/>
      </c>
      <c r="D4812" t="str">
        <f>IFERROR(VLOOKUP(tbEscolas[[#This Row],[COD ETPA]],tbEtapas[],2,FALSE),"")</f>
        <v/>
      </c>
      <c r="E4812" t="str">
        <f>IFERROR(VLOOKUP(tbEscolas[[#This Row],[COD ETPA]],tbEtapas[],3,FALSE),"")</f>
        <v/>
      </c>
    </row>
    <row r="4813" spans="1:5" x14ac:dyDescent="0.25">
      <c r="A4813" t="str" cm="1">
        <f t="array" ref="A4813">IFERROR(INDEX(tbNucleo[ESCOLA],ROUNDUP(ROW(A4812)/TotalEtapas,0)),"")</f>
        <v/>
      </c>
      <c r="D4813" t="str">
        <f>IFERROR(VLOOKUP(tbEscolas[[#This Row],[COD ETPA]],tbEtapas[],2,FALSE),"")</f>
        <v/>
      </c>
      <c r="E4813" t="str">
        <f>IFERROR(VLOOKUP(tbEscolas[[#This Row],[COD ETPA]],tbEtapas[],3,FALSE),"")</f>
        <v/>
      </c>
    </row>
    <row r="4814" spans="1:5" x14ac:dyDescent="0.25">
      <c r="A4814" t="str" cm="1">
        <f t="array" ref="A4814">IFERROR(INDEX(tbNucleo[ESCOLA],ROUNDUP(ROW(A4813)/TotalEtapas,0)),"")</f>
        <v/>
      </c>
      <c r="D4814" t="str">
        <f>IFERROR(VLOOKUP(tbEscolas[[#This Row],[COD ETPA]],tbEtapas[],2,FALSE),"")</f>
        <v/>
      </c>
      <c r="E4814" t="str">
        <f>IFERROR(VLOOKUP(tbEscolas[[#This Row],[COD ETPA]],tbEtapas[],3,FALSE),"")</f>
        <v/>
      </c>
    </row>
    <row r="4815" spans="1:5" x14ac:dyDescent="0.25">
      <c r="A4815" t="str" cm="1">
        <f t="array" ref="A4815">IFERROR(INDEX(tbNucleo[ESCOLA],ROUNDUP(ROW(A4814)/TotalEtapas,0)),"")</f>
        <v/>
      </c>
      <c r="D4815" t="str">
        <f>IFERROR(VLOOKUP(tbEscolas[[#This Row],[COD ETPA]],tbEtapas[],2,FALSE),"")</f>
        <v/>
      </c>
      <c r="E4815" t="str">
        <f>IFERROR(VLOOKUP(tbEscolas[[#This Row],[COD ETPA]],tbEtapas[],3,FALSE),"")</f>
        <v/>
      </c>
    </row>
    <row r="4816" spans="1:5" x14ac:dyDescent="0.25">
      <c r="A4816" t="str" cm="1">
        <f t="array" ref="A4816">IFERROR(INDEX(tbNucleo[ESCOLA],ROUNDUP(ROW(A4815)/TotalEtapas,0)),"")</f>
        <v/>
      </c>
      <c r="D4816" t="str">
        <f>IFERROR(VLOOKUP(tbEscolas[[#This Row],[COD ETPA]],tbEtapas[],2,FALSE),"")</f>
        <v/>
      </c>
      <c r="E4816" t="str">
        <f>IFERROR(VLOOKUP(tbEscolas[[#This Row],[COD ETPA]],tbEtapas[],3,FALSE),"")</f>
        <v/>
      </c>
    </row>
    <row r="4817" spans="1:5" x14ac:dyDescent="0.25">
      <c r="A4817" t="str" cm="1">
        <f t="array" ref="A4817">IFERROR(INDEX(tbNucleo[ESCOLA],ROUNDUP(ROW(A4816)/TotalEtapas,0)),"")</f>
        <v/>
      </c>
      <c r="D4817" t="str">
        <f>IFERROR(VLOOKUP(tbEscolas[[#This Row],[COD ETPA]],tbEtapas[],2,FALSE),"")</f>
        <v/>
      </c>
      <c r="E4817" t="str">
        <f>IFERROR(VLOOKUP(tbEscolas[[#This Row],[COD ETPA]],tbEtapas[],3,FALSE),"")</f>
        <v/>
      </c>
    </row>
    <row r="4818" spans="1:5" x14ac:dyDescent="0.25">
      <c r="A4818" t="str" cm="1">
        <f t="array" ref="A4818">IFERROR(INDEX(tbNucleo[ESCOLA],ROUNDUP(ROW(A4817)/TotalEtapas,0)),"")</f>
        <v/>
      </c>
      <c r="D4818" t="str">
        <f>IFERROR(VLOOKUP(tbEscolas[[#This Row],[COD ETPA]],tbEtapas[],2,FALSE),"")</f>
        <v/>
      </c>
      <c r="E4818" t="str">
        <f>IFERROR(VLOOKUP(tbEscolas[[#This Row],[COD ETPA]],tbEtapas[],3,FALSE),"")</f>
        <v/>
      </c>
    </row>
    <row r="4819" spans="1:5" x14ac:dyDescent="0.25">
      <c r="A4819" t="str" cm="1">
        <f t="array" ref="A4819">IFERROR(INDEX(tbNucleo[ESCOLA],ROUNDUP(ROW(A4818)/TotalEtapas,0)),"")</f>
        <v/>
      </c>
      <c r="D4819" t="str">
        <f>IFERROR(VLOOKUP(tbEscolas[[#This Row],[COD ETPA]],tbEtapas[],2,FALSE),"")</f>
        <v/>
      </c>
      <c r="E4819" t="str">
        <f>IFERROR(VLOOKUP(tbEscolas[[#This Row],[COD ETPA]],tbEtapas[],3,FALSE),"")</f>
        <v/>
      </c>
    </row>
    <row r="4820" spans="1:5" x14ac:dyDescent="0.25">
      <c r="A4820" t="str" cm="1">
        <f t="array" ref="A4820">IFERROR(INDEX(tbNucleo[ESCOLA],ROUNDUP(ROW(A4819)/TotalEtapas,0)),"")</f>
        <v/>
      </c>
      <c r="D4820" t="str">
        <f>IFERROR(VLOOKUP(tbEscolas[[#This Row],[COD ETPA]],tbEtapas[],2,FALSE),"")</f>
        <v/>
      </c>
      <c r="E4820" t="str">
        <f>IFERROR(VLOOKUP(tbEscolas[[#This Row],[COD ETPA]],tbEtapas[],3,FALSE),"")</f>
        <v/>
      </c>
    </row>
    <row r="4821" spans="1:5" x14ac:dyDescent="0.25">
      <c r="A4821" t="str" cm="1">
        <f t="array" ref="A4821">IFERROR(INDEX(tbNucleo[ESCOLA],ROUNDUP(ROW(A4820)/TotalEtapas,0)),"")</f>
        <v/>
      </c>
      <c r="D4821" t="str">
        <f>IFERROR(VLOOKUP(tbEscolas[[#This Row],[COD ETPA]],tbEtapas[],2,FALSE),"")</f>
        <v/>
      </c>
      <c r="E4821" t="str">
        <f>IFERROR(VLOOKUP(tbEscolas[[#This Row],[COD ETPA]],tbEtapas[],3,FALSE),"")</f>
        <v/>
      </c>
    </row>
    <row r="4822" spans="1:5" x14ac:dyDescent="0.25">
      <c r="A4822" t="str" cm="1">
        <f t="array" ref="A4822">IFERROR(INDEX(tbNucleo[ESCOLA],ROUNDUP(ROW(A4821)/TotalEtapas,0)),"")</f>
        <v/>
      </c>
      <c r="D4822" t="str">
        <f>IFERROR(VLOOKUP(tbEscolas[[#This Row],[COD ETPA]],tbEtapas[],2,FALSE),"")</f>
        <v/>
      </c>
      <c r="E4822" t="str">
        <f>IFERROR(VLOOKUP(tbEscolas[[#This Row],[COD ETPA]],tbEtapas[],3,FALSE),"")</f>
        <v/>
      </c>
    </row>
    <row r="4823" spans="1:5" x14ac:dyDescent="0.25">
      <c r="A4823" t="str" cm="1">
        <f t="array" ref="A4823">IFERROR(INDEX(tbNucleo[ESCOLA],ROUNDUP(ROW(A4822)/TotalEtapas,0)),"")</f>
        <v/>
      </c>
      <c r="D4823" t="str">
        <f>IFERROR(VLOOKUP(tbEscolas[[#This Row],[COD ETPA]],tbEtapas[],2,FALSE),"")</f>
        <v/>
      </c>
      <c r="E4823" t="str">
        <f>IFERROR(VLOOKUP(tbEscolas[[#This Row],[COD ETPA]],tbEtapas[],3,FALSE),"")</f>
        <v/>
      </c>
    </row>
    <row r="4824" spans="1:5" x14ac:dyDescent="0.25">
      <c r="A4824" t="str" cm="1">
        <f t="array" ref="A4824">IFERROR(INDEX(tbNucleo[ESCOLA],ROUNDUP(ROW(A4823)/TotalEtapas,0)),"")</f>
        <v/>
      </c>
      <c r="D4824" t="str">
        <f>IFERROR(VLOOKUP(tbEscolas[[#This Row],[COD ETPA]],tbEtapas[],2,FALSE),"")</f>
        <v/>
      </c>
      <c r="E4824" t="str">
        <f>IFERROR(VLOOKUP(tbEscolas[[#This Row],[COD ETPA]],tbEtapas[],3,FALSE),"")</f>
        <v/>
      </c>
    </row>
    <row r="4825" spans="1:5" x14ac:dyDescent="0.25">
      <c r="A4825" t="str" cm="1">
        <f t="array" ref="A4825">IFERROR(INDEX(tbNucleo[ESCOLA],ROUNDUP(ROW(A4824)/TotalEtapas,0)),"")</f>
        <v/>
      </c>
      <c r="D4825" t="str">
        <f>IFERROR(VLOOKUP(tbEscolas[[#This Row],[COD ETPA]],tbEtapas[],2,FALSE),"")</f>
        <v/>
      </c>
      <c r="E4825" t="str">
        <f>IFERROR(VLOOKUP(tbEscolas[[#This Row],[COD ETPA]],tbEtapas[],3,FALSE),"")</f>
        <v/>
      </c>
    </row>
    <row r="4826" spans="1:5" x14ac:dyDescent="0.25">
      <c r="A4826" t="str" cm="1">
        <f t="array" ref="A4826">IFERROR(INDEX(tbNucleo[ESCOLA],ROUNDUP(ROW(A4825)/TotalEtapas,0)),"")</f>
        <v/>
      </c>
      <c r="D4826" t="str">
        <f>IFERROR(VLOOKUP(tbEscolas[[#This Row],[COD ETPA]],tbEtapas[],2,FALSE),"")</f>
        <v/>
      </c>
      <c r="E4826" t="str">
        <f>IFERROR(VLOOKUP(tbEscolas[[#This Row],[COD ETPA]],tbEtapas[],3,FALSE),"")</f>
        <v/>
      </c>
    </row>
    <row r="4827" spans="1:5" x14ac:dyDescent="0.25">
      <c r="A4827" t="str" cm="1">
        <f t="array" ref="A4827">IFERROR(INDEX(tbNucleo[ESCOLA],ROUNDUP(ROW(A4826)/TotalEtapas,0)),"")</f>
        <v/>
      </c>
      <c r="D4827" t="str">
        <f>IFERROR(VLOOKUP(tbEscolas[[#This Row],[COD ETPA]],tbEtapas[],2,FALSE),"")</f>
        <v/>
      </c>
      <c r="E4827" t="str">
        <f>IFERROR(VLOOKUP(tbEscolas[[#This Row],[COD ETPA]],tbEtapas[],3,FALSE),"")</f>
        <v/>
      </c>
    </row>
    <row r="4828" spans="1:5" x14ac:dyDescent="0.25">
      <c r="A4828" t="str" cm="1">
        <f t="array" ref="A4828">IFERROR(INDEX(tbNucleo[ESCOLA],ROUNDUP(ROW(A4827)/TotalEtapas,0)),"")</f>
        <v/>
      </c>
      <c r="D4828" t="str">
        <f>IFERROR(VLOOKUP(tbEscolas[[#This Row],[COD ETPA]],tbEtapas[],2,FALSE),"")</f>
        <v/>
      </c>
      <c r="E4828" t="str">
        <f>IFERROR(VLOOKUP(tbEscolas[[#This Row],[COD ETPA]],tbEtapas[],3,FALSE),"")</f>
        <v/>
      </c>
    </row>
    <row r="4829" spans="1:5" x14ac:dyDescent="0.25">
      <c r="A4829" t="str" cm="1">
        <f t="array" ref="A4829">IFERROR(INDEX(tbNucleo[ESCOLA],ROUNDUP(ROW(A4828)/TotalEtapas,0)),"")</f>
        <v/>
      </c>
      <c r="D4829" t="str">
        <f>IFERROR(VLOOKUP(tbEscolas[[#This Row],[COD ETPA]],tbEtapas[],2,FALSE),"")</f>
        <v/>
      </c>
      <c r="E4829" t="str">
        <f>IFERROR(VLOOKUP(tbEscolas[[#This Row],[COD ETPA]],tbEtapas[],3,FALSE),"")</f>
        <v/>
      </c>
    </row>
    <row r="4830" spans="1:5" x14ac:dyDescent="0.25">
      <c r="A4830" t="str" cm="1">
        <f t="array" ref="A4830">IFERROR(INDEX(tbNucleo[ESCOLA],ROUNDUP(ROW(A4829)/TotalEtapas,0)),"")</f>
        <v/>
      </c>
      <c r="D4830" t="str">
        <f>IFERROR(VLOOKUP(tbEscolas[[#This Row],[COD ETPA]],tbEtapas[],2,FALSE),"")</f>
        <v/>
      </c>
      <c r="E4830" t="str">
        <f>IFERROR(VLOOKUP(tbEscolas[[#This Row],[COD ETPA]],tbEtapas[],3,FALSE),"")</f>
        <v/>
      </c>
    </row>
    <row r="4831" spans="1:5" x14ac:dyDescent="0.25">
      <c r="A4831" t="str" cm="1">
        <f t="array" ref="A4831">IFERROR(INDEX(tbNucleo[ESCOLA],ROUNDUP(ROW(A4830)/TotalEtapas,0)),"")</f>
        <v/>
      </c>
      <c r="D4831" t="str">
        <f>IFERROR(VLOOKUP(tbEscolas[[#This Row],[COD ETPA]],tbEtapas[],2,FALSE),"")</f>
        <v/>
      </c>
      <c r="E4831" t="str">
        <f>IFERROR(VLOOKUP(tbEscolas[[#This Row],[COD ETPA]],tbEtapas[],3,FALSE),"")</f>
        <v/>
      </c>
    </row>
    <row r="4832" spans="1:5" x14ac:dyDescent="0.25">
      <c r="A4832" t="str" cm="1">
        <f t="array" ref="A4832">IFERROR(INDEX(tbNucleo[ESCOLA],ROUNDUP(ROW(A4831)/TotalEtapas,0)),"")</f>
        <v/>
      </c>
      <c r="D4832" t="str">
        <f>IFERROR(VLOOKUP(tbEscolas[[#This Row],[COD ETPA]],tbEtapas[],2,FALSE),"")</f>
        <v/>
      </c>
      <c r="E4832" t="str">
        <f>IFERROR(VLOOKUP(tbEscolas[[#This Row],[COD ETPA]],tbEtapas[],3,FALSE),"")</f>
        <v/>
      </c>
    </row>
    <row r="4833" spans="1:5" x14ac:dyDescent="0.25">
      <c r="A4833" t="str" cm="1">
        <f t="array" ref="A4833">IFERROR(INDEX(tbNucleo[ESCOLA],ROUNDUP(ROW(A4832)/TotalEtapas,0)),"")</f>
        <v/>
      </c>
      <c r="D4833" t="str">
        <f>IFERROR(VLOOKUP(tbEscolas[[#This Row],[COD ETPA]],tbEtapas[],2,FALSE),"")</f>
        <v/>
      </c>
      <c r="E4833" t="str">
        <f>IFERROR(VLOOKUP(tbEscolas[[#This Row],[COD ETPA]],tbEtapas[],3,FALSE),"")</f>
        <v/>
      </c>
    </row>
    <row r="4834" spans="1:5" x14ac:dyDescent="0.25">
      <c r="A4834" t="str" cm="1">
        <f t="array" ref="A4834">IFERROR(INDEX(tbNucleo[ESCOLA],ROUNDUP(ROW(A4833)/TotalEtapas,0)),"")</f>
        <v/>
      </c>
      <c r="D4834" t="str">
        <f>IFERROR(VLOOKUP(tbEscolas[[#This Row],[COD ETPA]],tbEtapas[],2,FALSE),"")</f>
        <v/>
      </c>
      <c r="E4834" t="str">
        <f>IFERROR(VLOOKUP(tbEscolas[[#This Row],[COD ETPA]],tbEtapas[],3,FALSE),"")</f>
        <v/>
      </c>
    </row>
    <row r="4835" spans="1:5" x14ac:dyDescent="0.25">
      <c r="A4835" t="str" cm="1">
        <f t="array" ref="A4835">IFERROR(INDEX(tbNucleo[ESCOLA],ROUNDUP(ROW(A4834)/TotalEtapas,0)),"")</f>
        <v/>
      </c>
      <c r="D4835" t="str">
        <f>IFERROR(VLOOKUP(tbEscolas[[#This Row],[COD ETPA]],tbEtapas[],2,FALSE),"")</f>
        <v/>
      </c>
      <c r="E4835" t="str">
        <f>IFERROR(VLOOKUP(tbEscolas[[#This Row],[COD ETPA]],tbEtapas[],3,FALSE),"")</f>
        <v/>
      </c>
    </row>
    <row r="4836" spans="1:5" x14ac:dyDescent="0.25">
      <c r="A4836" t="str" cm="1">
        <f t="array" ref="A4836">IFERROR(INDEX(tbNucleo[ESCOLA],ROUNDUP(ROW(A4835)/TotalEtapas,0)),"")</f>
        <v/>
      </c>
      <c r="D4836" t="str">
        <f>IFERROR(VLOOKUP(tbEscolas[[#This Row],[COD ETPA]],tbEtapas[],2,FALSE),"")</f>
        <v/>
      </c>
      <c r="E4836" t="str">
        <f>IFERROR(VLOOKUP(tbEscolas[[#This Row],[COD ETPA]],tbEtapas[],3,FALSE),"")</f>
        <v/>
      </c>
    </row>
    <row r="4837" spans="1:5" x14ac:dyDescent="0.25">
      <c r="A4837" t="str" cm="1">
        <f t="array" ref="A4837">IFERROR(INDEX(tbNucleo[ESCOLA],ROUNDUP(ROW(A4836)/TotalEtapas,0)),"")</f>
        <v/>
      </c>
      <c r="D4837" t="str">
        <f>IFERROR(VLOOKUP(tbEscolas[[#This Row],[COD ETPA]],tbEtapas[],2,FALSE),"")</f>
        <v/>
      </c>
      <c r="E4837" t="str">
        <f>IFERROR(VLOOKUP(tbEscolas[[#This Row],[COD ETPA]],tbEtapas[],3,FALSE),"")</f>
        <v/>
      </c>
    </row>
    <row r="4838" spans="1:5" x14ac:dyDescent="0.25">
      <c r="A4838" t="str" cm="1">
        <f t="array" ref="A4838">IFERROR(INDEX(tbNucleo[ESCOLA],ROUNDUP(ROW(A4837)/TotalEtapas,0)),"")</f>
        <v/>
      </c>
      <c r="D4838" t="str">
        <f>IFERROR(VLOOKUP(tbEscolas[[#This Row],[COD ETPA]],tbEtapas[],2,FALSE),"")</f>
        <v/>
      </c>
      <c r="E4838" t="str">
        <f>IFERROR(VLOOKUP(tbEscolas[[#This Row],[COD ETPA]],tbEtapas[],3,FALSE),"")</f>
        <v/>
      </c>
    </row>
    <row r="4839" spans="1:5" x14ac:dyDescent="0.25">
      <c r="A4839" t="str" cm="1">
        <f t="array" ref="A4839">IFERROR(INDEX(tbNucleo[ESCOLA],ROUNDUP(ROW(A4838)/TotalEtapas,0)),"")</f>
        <v/>
      </c>
      <c r="D4839" t="str">
        <f>IFERROR(VLOOKUP(tbEscolas[[#This Row],[COD ETPA]],tbEtapas[],2,FALSE),"")</f>
        <v/>
      </c>
      <c r="E4839" t="str">
        <f>IFERROR(VLOOKUP(tbEscolas[[#This Row],[COD ETPA]],tbEtapas[],3,FALSE),"")</f>
        <v/>
      </c>
    </row>
    <row r="4840" spans="1:5" x14ac:dyDescent="0.25">
      <c r="A4840" t="str" cm="1">
        <f t="array" ref="A4840">IFERROR(INDEX(tbNucleo[ESCOLA],ROUNDUP(ROW(A4839)/TotalEtapas,0)),"")</f>
        <v/>
      </c>
      <c r="D4840" t="str">
        <f>IFERROR(VLOOKUP(tbEscolas[[#This Row],[COD ETPA]],tbEtapas[],2,FALSE),"")</f>
        <v/>
      </c>
      <c r="E4840" t="str">
        <f>IFERROR(VLOOKUP(tbEscolas[[#This Row],[COD ETPA]],tbEtapas[],3,FALSE),"")</f>
        <v/>
      </c>
    </row>
    <row r="4841" spans="1:5" x14ac:dyDescent="0.25">
      <c r="A4841" t="str" cm="1">
        <f t="array" ref="A4841">IFERROR(INDEX(tbNucleo[ESCOLA],ROUNDUP(ROW(A4840)/TotalEtapas,0)),"")</f>
        <v/>
      </c>
      <c r="D4841" t="str">
        <f>IFERROR(VLOOKUP(tbEscolas[[#This Row],[COD ETPA]],tbEtapas[],2,FALSE),"")</f>
        <v/>
      </c>
      <c r="E4841" t="str">
        <f>IFERROR(VLOOKUP(tbEscolas[[#This Row],[COD ETPA]],tbEtapas[],3,FALSE),"")</f>
        <v/>
      </c>
    </row>
    <row r="4842" spans="1:5" x14ac:dyDescent="0.25">
      <c r="A4842" t="str" cm="1">
        <f t="array" ref="A4842">IFERROR(INDEX(tbNucleo[ESCOLA],ROUNDUP(ROW(A4841)/TotalEtapas,0)),"")</f>
        <v/>
      </c>
      <c r="D4842" t="str">
        <f>IFERROR(VLOOKUP(tbEscolas[[#This Row],[COD ETPA]],tbEtapas[],2,FALSE),"")</f>
        <v/>
      </c>
      <c r="E4842" t="str">
        <f>IFERROR(VLOOKUP(tbEscolas[[#This Row],[COD ETPA]],tbEtapas[],3,FALSE),"")</f>
        <v/>
      </c>
    </row>
    <row r="4843" spans="1:5" x14ac:dyDescent="0.25">
      <c r="A4843" t="str" cm="1">
        <f t="array" ref="A4843">IFERROR(INDEX(tbNucleo[ESCOLA],ROUNDUP(ROW(A4842)/TotalEtapas,0)),"")</f>
        <v/>
      </c>
      <c r="D4843" t="str">
        <f>IFERROR(VLOOKUP(tbEscolas[[#This Row],[COD ETPA]],tbEtapas[],2,FALSE),"")</f>
        <v/>
      </c>
      <c r="E4843" t="str">
        <f>IFERROR(VLOOKUP(tbEscolas[[#This Row],[COD ETPA]],tbEtapas[],3,FALSE),"")</f>
        <v/>
      </c>
    </row>
    <row r="4844" spans="1:5" x14ac:dyDescent="0.25">
      <c r="A4844" t="str" cm="1">
        <f t="array" ref="A4844">IFERROR(INDEX(tbNucleo[ESCOLA],ROUNDUP(ROW(A4843)/TotalEtapas,0)),"")</f>
        <v/>
      </c>
      <c r="D4844" t="str">
        <f>IFERROR(VLOOKUP(tbEscolas[[#This Row],[COD ETPA]],tbEtapas[],2,FALSE),"")</f>
        <v/>
      </c>
      <c r="E4844" t="str">
        <f>IFERROR(VLOOKUP(tbEscolas[[#This Row],[COD ETPA]],tbEtapas[],3,FALSE),"")</f>
        <v/>
      </c>
    </row>
    <row r="4845" spans="1:5" x14ac:dyDescent="0.25">
      <c r="A4845" t="str" cm="1">
        <f t="array" ref="A4845">IFERROR(INDEX(tbNucleo[ESCOLA],ROUNDUP(ROW(A4844)/TotalEtapas,0)),"")</f>
        <v/>
      </c>
      <c r="D4845" t="str">
        <f>IFERROR(VLOOKUP(tbEscolas[[#This Row],[COD ETPA]],tbEtapas[],2,FALSE),"")</f>
        <v/>
      </c>
      <c r="E4845" t="str">
        <f>IFERROR(VLOOKUP(tbEscolas[[#This Row],[COD ETPA]],tbEtapas[],3,FALSE),"")</f>
        <v/>
      </c>
    </row>
    <row r="4846" spans="1:5" x14ac:dyDescent="0.25">
      <c r="A4846" t="str" cm="1">
        <f t="array" ref="A4846">IFERROR(INDEX(tbNucleo[ESCOLA],ROUNDUP(ROW(A4845)/TotalEtapas,0)),"")</f>
        <v/>
      </c>
      <c r="D4846" t="str">
        <f>IFERROR(VLOOKUP(tbEscolas[[#This Row],[COD ETPA]],tbEtapas[],2,FALSE),"")</f>
        <v/>
      </c>
      <c r="E4846" t="str">
        <f>IFERROR(VLOOKUP(tbEscolas[[#This Row],[COD ETPA]],tbEtapas[],3,FALSE),"")</f>
        <v/>
      </c>
    </row>
    <row r="4847" spans="1:5" x14ac:dyDescent="0.25">
      <c r="A4847" t="str" cm="1">
        <f t="array" ref="A4847">IFERROR(INDEX(tbNucleo[ESCOLA],ROUNDUP(ROW(A4846)/TotalEtapas,0)),"")</f>
        <v/>
      </c>
      <c r="D4847" t="str">
        <f>IFERROR(VLOOKUP(tbEscolas[[#This Row],[COD ETPA]],tbEtapas[],2,FALSE),"")</f>
        <v/>
      </c>
      <c r="E4847" t="str">
        <f>IFERROR(VLOOKUP(tbEscolas[[#This Row],[COD ETPA]],tbEtapas[],3,FALSE),"")</f>
        <v/>
      </c>
    </row>
    <row r="4848" spans="1:5" x14ac:dyDescent="0.25">
      <c r="A4848" t="str" cm="1">
        <f t="array" ref="A4848">IFERROR(INDEX(tbNucleo[ESCOLA],ROUNDUP(ROW(A4847)/TotalEtapas,0)),"")</f>
        <v/>
      </c>
      <c r="D4848" t="str">
        <f>IFERROR(VLOOKUP(tbEscolas[[#This Row],[COD ETPA]],tbEtapas[],2,FALSE),"")</f>
        <v/>
      </c>
      <c r="E4848" t="str">
        <f>IFERROR(VLOOKUP(tbEscolas[[#This Row],[COD ETPA]],tbEtapas[],3,FALSE),"")</f>
        <v/>
      </c>
    </row>
    <row r="4849" spans="1:5" x14ac:dyDescent="0.25">
      <c r="A4849" t="str" cm="1">
        <f t="array" ref="A4849">IFERROR(INDEX(tbNucleo[ESCOLA],ROUNDUP(ROW(A4848)/TotalEtapas,0)),"")</f>
        <v/>
      </c>
      <c r="D4849" t="str">
        <f>IFERROR(VLOOKUP(tbEscolas[[#This Row],[COD ETPA]],tbEtapas[],2,FALSE),"")</f>
        <v/>
      </c>
      <c r="E4849" t="str">
        <f>IFERROR(VLOOKUP(tbEscolas[[#This Row],[COD ETPA]],tbEtapas[],3,FALSE),"")</f>
        <v/>
      </c>
    </row>
    <row r="4850" spans="1:5" x14ac:dyDescent="0.25">
      <c r="A4850" t="str" cm="1">
        <f t="array" ref="A4850">IFERROR(INDEX(tbNucleo[ESCOLA],ROUNDUP(ROW(A4849)/TotalEtapas,0)),"")</f>
        <v/>
      </c>
      <c r="D4850" t="str">
        <f>IFERROR(VLOOKUP(tbEscolas[[#This Row],[COD ETPA]],tbEtapas[],2,FALSE),"")</f>
        <v/>
      </c>
      <c r="E4850" t="str">
        <f>IFERROR(VLOOKUP(tbEscolas[[#This Row],[COD ETPA]],tbEtapas[],3,FALSE),"")</f>
        <v/>
      </c>
    </row>
    <row r="4851" spans="1:5" x14ac:dyDescent="0.25">
      <c r="A4851" t="str" cm="1">
        <f t="array" ref="A4851">IFERROR(INDEX(tbNucleo[ESCOLA],ROUNDUP(ROW(A4850)/TotalEtapas,0)),"")</f>
        <v/>
      </c>
      <c r="D4851" t="str">
        <f>IFERROR(VLOOKUP(tbEscolas[[#This Row],[COD ETPA]],tbEtapas[],2,FALSE),"")</f>
        <v/>
      </c>
      <c r="E4851" t="str">
        <f>IFERROR(VLOOKUP(tbEscolas[[#This Row],[COD ETPA]],tbEtapas[],3,FALSE),"")</f>
        <v/>
      </c>
    </row>
    <row r="4852" spans="1:5" x14ac:dyDescent="0.25">
      <c r="A4852" t="str" cm="1">
        <f t="array" ref="A4852">IFERROR(INDEX(tbNucleo[ESCOLA],ROUNDUP(ROW(A4851)/TotalEtapas,0)),"")</f>
        <v/>
      </c>
      <c r="D4852" t="str">
        <f>IFERROR(VLOOKUP(tbEscolas[[#This Row],[COD ETPA]],tbEtapas[],2,FALSE),"")</f>
        <v/>
      </c>
      <c r="E4852" t="str">
        <f>IFERROR(VLOOKUP(tbEscolas[[#This Row],[COD ETPA]],tbEtapas[],3,FALSE),"")</f>
        <v/>
      </c>
    </row>
    <row r="4853" spans="1:5" x14ac:dyDescent="0.25">
      <c r="A4853" t="str" cm="1">
        <f t="array" ref="A4853">IFERROR(INDEX(tbNucleo[ESCOLA],ROUNDUP(ROW(A4852)/TotalEtapas,0)),"")</f>
        <v/>
      </c>
      <c r="D4853" t="str">
        <f>IFERROR(VLOOKUP(tbEscolas[[#This Row],[COD ETPA]],tbEtapas[],2,FALSE),"")</f>
        <v/>
      </c>
      <c r="E4853" t="str">
        <f>IFERROR(VLOOKUP(tbEscolas[[#This Row],[COD ETPA]],tbEtapas[],3,FALSE),"")</f>
        <v/>
      </c>
    </row>
    <row r="4854" spans="1:5" x14ac:dyDescent="0.25">
      <c r="A4854" t="str" cm="1">
        <f t="array" ref="A4854">IFERROR(INDEX(tbNucleo[ESCOLA],ROUNDUP(ROW(A4853)/TotalEtapas,0)),"")</f>
        <v/>
      </c>
      <c r="D4854" t="str">
        <f>IFERROR(VLOOKUP(tbEscolas[[#This Row],[COD ETPA]],tbEtapas[],2,FALSE),"")</f>
        <v/>
      </c>
      <c r="E4854" t="str">
        <f>IFERROR(VLOOKUP(tbEscolas[[#This Row],[COD ETPA]],tbEtapas[],3,FALSE),"")</f>
        <v/>
      </c>
    </row>
    <row r="4855" spans="1:5" x14ac:dyDescent="0.25">
      <c r="A4855" t="str" cm="1">
        <f t="array" ref="A4855">IFERROR(INDEX(tbNucleo[ESCOLA],ROUNDUP(ROW(A4854)/TotalEtapas,0)),"")</f>
        <v/>
      </c>
      <c r="D4855" t="str">
        <f>IFERROR(VLOOKUP(tbEscolas[[#This Row],[COD ETPA]],tbEtapas[],2,FALSE),"")</f>
        <v/>
      </c>
      <c r="E4855" t="str">
        <f>IFERROR(VLOOKUP(tbEscolas[[#This Row],[COD ETPA]],tbEtapas[],3,FALSE),"")</f>
        <v/>
      </c>
    </row>
    <row r="4856" spans="1:5" x14ac:dyDescent="0.25">
      <c r="A4856" t="str" cm="1">
        <f t="array" ref="A4856">IFERROR(INDEX(tbNucleo[ESCOLA],ROUNDUP(ROW(A4855)/TotalEtapas,0)),"")</f>
        <v/>
      </c>
      <c r="D4856" t="str">
        <f>IFERROR(VLOOKUP(tbEscolas[[#This Row],[COD ETPA]],tbEtapas[],2,FALSE),"")</f>
        <v/>
      </c>
      <c r="E4856" t="str">
        <f>IFERROR(VLOOKUP(tbEscolas[[#This Row],[COD ETPA]],tbEtapas[],3,FALSE),"")</f>
        <v/>
      </c>
    </row>
    <row r="4857" spans="1:5" x14ac:dyDescent="0.25">
      <c r="A4857" t="str" cm="1">
        <f t="array" ref="A4857">IFERROR(INDEX(tbNucleo[ESCOLA],ROUNDUP(ROW(A4856)/TotalEtapas,0)),"")</f>
        <v/>
      </c>
      <c r="D4857" t="str">
        <f>IFERROR(VLOOKUP(tbEscolas[[#This Row],[COD ETPA]],tbEtapas[],2,FALSE),"")</f>
        <v/>
      </c>
      <c r="E4857" t="str">
        <f>IFERROR(VLOOKUP(tbEscolas[[#This Row],[COD ETPA]],tbEtapas[],3,FALSE),"")</f>
        <v/>
      </c>
    </row>
    <row r="4858" spans="1:5" x14ac:dyDescent="0.25">
      <c r="A4858" t="str" cm="1">
        <f t="array" ref="A4858">IFERROR(INDEX(tbNucleo[ESCOLA],ROUNDUP(ROW(A4857)/TotalEtapas,0)),"")</f>
        <v/>
      </c>
      <c r="D4858" t="str">
        <f>IFERROR(VLOOKUP(tbEscolas[[#This Row],[COD ETPA]],tbEtapas[],2,FALSE),"")</f>
        <v/>
      </c>
      <c r="E4858" t="str">
        <f>IFERROR(VLOOKUP(tbEscolas[[#This Row],[COD ETPA]],tbEtapas[],3,FALSE),"")</f>
        <v/>
      </c>
    </row>
    <row r="4859" spans="1:5" x14ac:dyDescent="0.25">
      <c r="A4859" t="str" cm="1">
        <f t="array" ref="A4859">IFERROR(INDEX(tbNucleo[ESCOLA],ROUNDUP(ROW(A4858)/TotalEtapas,0)),"")</f>
        <v/>
      </c>
      <c r="D4859" t="str">
        <f>IFERROR(VLOOKUP(tbEscolas[[#This Row],[COD ETPA]],tbEtapas[],2,FALSE),"")</f>
        <v/>
      </c>
      <c r="E4859" t="str">
        <f>IFERROR(VLOOKUP(tbEscolas[[#This Row],[COD ETPA]],tbEtapas[],3,FALSE),"")</f>
        <v/>
      </c>
    </row>
    <row r="4860" spans="1:5" x14ac:dyDescent="0.25">
      <c r="A4860" t="str" cm="1">
        <f t="array" ref="A4860">IFERROR(INDEX(tbNucleo[ESCOLA],ROUNDUP(ROW(A4859)/TotalEtapas,0)),"")</f>
        <v/>
      </c>
      <c r="D4860" t="str">
        <f>IFERROR(VLOOKUP(tbEscolas[[#This Row],[COD ETPA]],tbEtapas[],2,FALSE),"")</f>
        <v/>
      </c>
      <c r="E4860" t="str">
        <f>IFERROR(VLOOKUP(tbEscolas[[#This Row],[COD ETPA]],tbEtapas[],3,FALSE),"")</f>
        <v/>
      </c>
    </row>
    <row r="4861" spans="1:5" x14ac:dyDescent="0.25">
      <c r="A4861" t="str" cm="1">
        <f t="array" ref="A4861">IFERROR(INDEX(tbNucleo[ESCOLA],ROUNDUP(ROW(A4860)/TotalEtapas,0)),"")</f>
        <v/>
      </c>
      <c r="D4861" t="str">
        <f>IFERROR(VLOOKUP(tbEscolas[[#This Row],[COD ETPA]],tbEtapas[],2,FALSE),"")</f>
        <v/>
      </c>
      <c r="E4861" t="str">
        <f>IFERROR(VLOOKUP(tbEscolas[[#This Row],[COD ETPA]],tbEtapas[],3,FALSE),"")</f>
        <v/>
      </c>
    </row>
    <row r="4862" spans="1:5" x14ac:dyDescent="0.25">
      <c r="A4862" t="str" cm="1">
        <f t="array" ref="A4862">IFERROR(INDEX(tbNucleo[ESCOLA],ROUNDUP(ROW(A4861)/TotalEtapas,0)),"")</f>
        <v/>
      </c>
      <c r="D4862" t="str">
        <f>IFERROR(VLOOKUP(tbEscolas[[#This Row],[COD ETPA]],tbEtapas[],2,FALSE),"")</f>
        <v/>
      </c>
      <c r="E4862" t="str">
        <f>IFERROR(VLOOKUP(tbEscolas[[#This Row],[COD ETPA]],tbEtapas[],3,FALSE),"")</f>
        <v/>
      </c>
    </row>
    <row r="4863" spans="1:5" x14ac:dyDescent="0.25">
      <c r="A4863" t="str" cm="1">
        <f t="array" ref="A4863">IFERROR(INDEX(tbNucleo[ESCOLA],ROUNDUP(ROW(A4862)/TotalEtapas,0)),"")</f>
        <v/>
      </c>
      <c r="D4863" t="str">
        <f>IFERROR(VLOOKUP(tbEscolas[[#This Row],[COD ETPA]],tbEtapas[],2,FALSE),"")</f>
        <v/>
      </c>
      <c r="E4863" t="str">
        <f>IFERROR(VLOOKUP(tbEscolas[[#This Row],[COD ETPA]],tbEtapas[],3,FALSE),"")</f>
        <v/>
      </c>
    </row>
    <row r="4864" spans="1:5" x14ac:dyDescent="0.25">
      <c r="A4864" t="str" cm="1">
        <f t="array" ref="A4864">IFERROR(INDEX(tbNucleo[ESCOLA],ROUNDUP(ROW(A4863)/TotalEtapas,0)),"")</f>
        <v/>
      </c>
      <c r="D4864" t="str">
        <f>IFERROR(VLOOKUP(tbEscolas[[#This Row],[COD ETPA]],tbEtapas[],2,FALSE),"")</f>
        <v/>
      </c>
      <c r="E4864" t="str">
        <f>IFERROR(VLOOKUP(tbEscolas[[#This Row],[COD ETPA]],tbEtapas[],3,FALSE),"")</f>
        <v/>
      </c>
    </row>
    <row r="4865" spans="1:5" x14ac:dyDescent="0.25">
      <c r="A4865" t="str" cm="1">
        <f t="array" ref="A4865">IFERROR(INDEX(tbNucleo[ESCOLA],ROUNDUP(ROW(A4864)/TotalEtapas,0)),"")</f>
        <v/>
      </c>
      <c r="D4865" t="str">
        <f>IFERROR(VLOOKUP(tbEscolas[[#This Row],[COD ETPA]],tbEtapas[],2,FALSE),"")</f>
        <v/>
      </c>
      <c r="E4865" t="str">
        <f>IFERROR(VLOOKUP(tbEscolas[[#This Row],[COD ETPA]],tbEtapas[],3,FALSE),"")</f>
        <v/>
      </c>
    </row>
    <row r="4866" spans="1:5" x14ac:dyDescent="0.25">
      <c r="A4866" t="str" cm="1">
        <f t="array" ref="A4866">IFERROR(INDEX(tbNucleo[ESCOLA],ROUNDUP(ROW(A4865)/TotalEtapas,0)),"")</f>
        <v/>
      </c>
      <c r="D4866" t="str">
        <f>IFERROR(VLOOKUP(tbEscolas[[#This Row],[COD ETPA]],tbEtapas[],2,FALSE),"")</f>
        <v/>
      </c>
      <c r="E4866" t="str">
        <f>IFERROR(VLOOKUP(tbEscolas[[#This Row],[COD ETPA]],tbEtapas[],3,FALSE),"")</f>
        <v/>
      </c>
    </row>
    <row r="4867" spans="1:5" x14ac:dyDescent="0.25">
      <c r="A4867" t="str" cm="1">
        <f t="array" ref="A4867">IFERROR(INDEX(tbNucleo[ESCOLA],ROUNDUP(ROW(A4866)/TotalEtapas,0)),"")</f>
        <v/>
      </c>
      <c r="D4867" t="str">
        <f>IFERROR(VLOOKUP(tbEscolas[[#This Row],[COD ETPA]],tbEtapas[],2,FALSE),"")</f>
        <v/>
      </c>
      <c r="E4867" t="str">
        <f>IFERROR(VLOOKUP(tbEscolas[[#This Row],[COD ETPA]],tbEtapas[],3,FALSE),"")</f>
        <v/>
      </c>
    </row>
    <row r="4868" spans="1:5" x14ac:dyDescent="0.25">
      <c r="A4868" t="str" cm="1">
        <f t="array" ref="A4868">IFERROR(INDEX(tbNucleo[ESCOLA],ROUNDUP(ROW(A4867)/TotalEtapas,0)),"")</f>
        <v/>
      </c>
      <c r="D4868" t="str">
        <f>IFERROR(VLOOKUP(tbEscolas[[#This Row],[COD ETPA]],tbEtapas[],2,FALSE),"")</f>
        <v/>
      </c>
      <c r="E4868" t="str">
        <f>IFERROR(VLOOKUP(tbEscolas[[#This Row],[COD ETPA]],tbEtapas[],3,FALSE),"")</f>
        <v/>
      </c>
    </row>
    <row r="4869" spans="1:5" x14ac:dyDescent="0.25">
      <c r="A4869" t="str" cm="1">
        <f t="array" ref="A4869">IFERROR(INDEX(tbNucleo[ESCOLA],ROUNDUP(ROW(A4868)/TotalEtapas,0)),"")</f>
        <v/>
      </c>
      <c r="D4869" t="str">
        <f>IFERROR(VLOOKUP(tbEscolas[[#This Row],[COD ETPA]],tbEtapas[],2,FALSE),"")</f>
        <v/>
      </c>
      <c r="E4869" t="str">
        <f>IFERROR(VLOOKUP(tbEscolas[[#This Row],[COD ETPA]],tbEtapas[],3,FALSE),"")</f>
        <v/>
      </c>
    </row>
    <row r="4870" spans="1:5" x14ac:dyDescent="0.25">
      <c r="A4870" t="str" cm="1">
        <f t="array" ref="A4870">IFERROR(INDEX(tbNucleo[ESCOLA],ROUNDUP(ROW(A4869)/TotalEtapas,0)),"")</f>
        <v/>
      </c>
      <c r="D4870" t="str">
        <f>IFERROR(VLOOKUP(tbEscolas[[#This Row],[COD ETPA]],tbEtapas[],2,FALSE),"")</f>
        <v/>
      </c>
      <c r="E4870" t="str">
        <f>IFERROR(VLOOKUP(tbEscolas[[#This Row],[COD ETPA]],tbEtapas[],3,FALSE),"")</f>
        <v/>
      </c>
    </row>
    <row r="4871" spans="1:5" x14ac:dyDescent="0.25">
      <c r="A4871" t="str" cm="1">
        <f t="array" ref="A4871">IFERROR(INDEX(tbNucleo[ESCOLA],ROUNDUP(ROW(A4870)/TotalEtapas,0)),"")</f>
        <v/>
      </c>
      <c r="D4871" t="str">
        <f>IFERROR(VLOOKUP(tbEscolas[[#This Row],[COD ETPA]],tbEtapas[],2,FALSE),"")</f>
        <v/>
      </c>
      <c r="E4871" t="str">
        <f>IFERROR(VLOOKUP(tbEscolas[[#This Row],[COD ETPA]],tbEtapas[],3,FALSE),"")</f>
        <v/>
      </c>
    </row>
    <row r="4872" spans="1:5" x14ac:dyDescent="0.25">
      <c r="A4872" t="str" cm="1">
        <f t="array" ref="A4872">IFERROR(INDEX(tbNucleo[ESCOLA],ROUNDUP(ROW(A4871)/TotalEtapas,0)),"")</f>
        <v/>
      </c>
      <c r="D4872" t="str">
        <f>IFERROR(VLOOKUP(tbEscolas[[#This Row],[COD ETPA]],tbEtapas[],2,FALSE),"")</f>
        <v/>
      </c>
      <c r="E4872" t="str">
        <f>IFERROR(VLOOKUP(tbEscolas[[#This Row],[COD ETPA]],tbEtapas[],3,FALSE),"")</f>
        <v/>
      </c>
    </row>
    <row r="4873" spans="1:5" x14ac:dyDescent="0.25">
      <c r="A4873" t="str" cm="1">
        <f t="array" ref="A4873">IFERROR(INDEX(tbNucleo[ESCOLA],ROUNDUP(ROW(A4872)/TotalEtapas,0)),"")</f>
        <v/>
      </c>
      <c r="D4873" t="str">
        <f>IFERROR(VLOOKUP(tbEscolas[[#This Row],[COD ETPA]],tbEtapas[],2,FALSE),"")</f>
        <v/>
      </c>
      <c r="E4873" t="str">
        <f>IFERROR(VLOOKUP(tbEscolas[[#This Row],[COD ETPA]],tbEtapas[],3,FALSE),"")</f>
        <v/>
      </c>
    </row>
    <row r="4874" spans="1:5" x14ac:dyDescent="0.25">
      <c r="A4874" t="str" cm="1">
        <f t="array" ref="A4874">IFERROR(INDEX(tbNucleo[ESCOLA],ROUNDUP(ROW(A4873)/TotalEtapas,0)),"")</f>
        <v/>
      </c>
      <c r="D4874" t="str">
        <f>IFERROR(VLOOKUP(tbEscolas[[#This Row],[COD ETPA]],tbEtapas[],2,FALSE),"")</f>
        <v/>
      </c>
      <c r="E4874" t="str">
        <f>IFERROR(VLOOKUP(tbEscolas[[#This Row],[COD ETPA]],tbEtapas[],3,FALSE),"")</f>
        <v/>
      </c>
    </row>
    <row r="4875" spans="1:5" x14ac:dyDescent="0.25">
      <c r="A4875" t="str" cm="1">
        <f t="array" ref="A4875">IFERROR(INDEX(tbNucleo[ESCOLA],ROUNDUP(ROW(A4874)/TotalEtapas,0)),"")</f>
        <v/>
      </c>
      <c r="D4875" t="str">
        <f>IFERROR(VLOOKUP(tbEscolas[[#This Row],[COD ETPA]],tbEtapas[],2,FALSE),"")</f>
        <v/>
      </c>
      <c r="E4875" t="str">
        <f>IFERROR(VLOOKUP(tbEscolas[[#This Row],[COD ETPA]],tbEtapas[],3,FALSE),"")</f>
        <v/>
      </c>
    </row>
    <row r="4876" spans="1:5" x14ac:dyDescent="0.25">
      <c r="A4876" t="str" cm="1">
        <f t="array" ref="A4876">IFERROR(INDEX(tbNucleo[ESCOLA],ROUNDUP(ROW(A4875)/TotalEtapas,0)),"")</f>
        <v/>
      </c>
      <c r="D4876" t="str">
        <f>IFERROR(VLOOKUP(tbEscolas[[#This Row],[COD ETPA]],tbEtapas[],2,FALSE),"")</f>
        <v/>
      </c>
      <c r="E4876" t="str">
        <f>IFERROR(VLOOKUP(tbEscolas[[#This Row],[COD ETPA]],tbEtapas[],3,FALSE),"")</f>
        <v/>
      </c>
    </row>
    <row r="4877" spans="1:5" x14ac:dyDescent="0.25">
      <c r="A4877" t="str" cm="1">
        <f t="array" ref="A4877">IFERROR(INDEX(tbNucleo[ESCOLA],ROUNDUP(ROW(A4876)/TotalEtapas,0)),"")</f>
        <v/>
      </c>
      <c r="D4877" t="str">
        <f>IFERROR(VLOOKUP(tbEscolas[[#This Row],[COD ETPA]],tbEtapas[],2,FALSE),"")</f>
        <v/>
      </c>
      <c r="E4877" t="str">
        <f>IFERROR(VLOOKUP(tbEscolas[[#This Row],[COD ETPA]],tbEtapas[],3,FALSE),"")</f>
        <v/>
      </c>
    </row>
    <row r="4878" spans="1:5" x14ac:dyDescent="0.25">
      <c r="A4878" t="str" cm="1">
        <f t="array" ref="A4878">IFERROR(INDEX(tbNucleo[ESCOLA],ROUNDUP(ROW(A4877)/TotalEtapas,0)),"")</f>
        <v/>
      </c>
      <c r="D4878" t="str">
        <f>IFERROR(VLOOKUP(tbEscolas[[#This Row],[COD ETPA]],tbEtapas[],2,FALSE),"")</f>
        <v/>
      </c>
      <c r="E4878" t="str">
        <f>IFERROR(VLOOKUP(tbEscolas[[#This Row],[COD ETPA]],tbEtapas[],3,FALSE),"")</f>
        <v/>
      </c>
    </row>
    <row r="4879" spans="1:5" x14ac:dyDescent="0.25">
      <c r="A4879" t="str" cm="1">
        <f t="array" ref="A4879">IFERROR(INDEX(tbNucleo[ESCOLA],ROUNDUP(ROW(A4878)/TotalEtapas,0)),"")</f>
        <v/>
      </c>
      <c r="D4879" t="str">
        <f>IFERROR(VLOOKUP(tbEscolas[[#This Row],[COD ETPA]],tbEtapas[],2,FALSE),"")</f>
        <v/>
      </c>
      <c r="E4879" t="str">
        <f>IFERROR(VLOOKUP(tbEscolas[[#This Row],[COD ETPA]],tbEtapas[],3,FALSE),"")</f>
        <v/>
      </c>
    </row>
    <row r="4880" spans="1:5" x14ac:dyDescent="0.25">
      <c r="A4880" t="str" cm="1">
        <f t="array" ref="A4880">IFERROR(INDEX(tbNucleo[ESCOLA],ROUNDUP(ROW(A4879)/TotalEtapas,0)),"")</f>
        <v/>
      </c>
      <c r="D4880" t="str">
        <f>IFERROR(VLOOKUP(tbEscolas[[#This Row],[COD ETPA]],tbEtapas[],2,FALSE),"")</f>
        <v/>
      </c>
      <c r="E4880" t="str">
        <f>IFERROR(VLOOKUP(tbEscolas[[#This Row],[COD ETPA]],tbEtapas[],3,FALSE),"")</f>
        <v/>
      </c>
    </row>
    <row r="4881" spans="1:5" x14ac:dyDescent="0.25">
      <c r="A4881" t="str" cm="1">
        <f t="array" ref="A4881">IFERROR(INDEX(tbNucleo[ESCOLA],ROUNDUP(ROW(A4880)/TotalEtapas,0)),"")</f>
        <v/>
      </c>
      <c r="D4881" t="str">
        <f>IFERROR(VLOOKUP(tbEscolas[[#This Row],[COD ETPA]],tbEtapas[],2,FALSE),"")</f>
        <v/>
      </c>
      <c r="E4881" t="str">
        <f>IFERROR(VLOOKUP(tbEscolas[[#This Row],[COD ETPA]],tbEtapas[],3,FALSE),"")</f>
        <v/>
      </c>
    </row>
    <row r="4882" spans="1:5" x14ac:dyDescent="0.25">
      <c r="A4882" t="str" cm="1">
        <f t="array" ref="A4882">IFERROR(INDEX(tbNucleo[ESCOLA],ROUNDUP(ROW(A4881)/TotalEtapas,0)),"")</f>
        <v/>
      </c>
      <c r="D4882" t="str">
        <f>IFERROR(VLOOKUP(tbEscolas[[#This Row],[COD ETPA]],tbEtapas[],2,FALSE),"")</f>
        <v/>
      </c>
      <c r="E4882" t="str">
        <f>IFERROR(VLOOKUP(tbEscolas[[#This Row],[COD ETPA]],tbEtapas[],3,FALSE),"")</f>
        <v/>
      </c>
    </row>
    <row r="4883" spans="1:5" x14ac:dyDescent="0.25">
      <c r="A4883" t="str" cm="1">
        <f t="array" ref="A4883">IFERROR(INDEX(tbNucleo[ESCOLA],ROUNDUP(ROW(A4882)/TotalEtapas,0)),"")</f>
        <v/>
      </c>
      <c r="D4883" t="str">
        <f>IFERROR(VLOOKUP(tbEscolas[[#This Row],[COD ETPA]],tbEtapas[],2,FALSE),"")</f>
        <v/>
      </c>
      <c r="E4883" t="str">
        <f>IFERROR(VLOOKUP(tbEscolas[[#This Row],[COD ETPA]],tbEtapas[],3,FALSE),"")</f>
        <v/>
      </c>
    </row>
    <row r="4884" spans="1:5" x14ac:dyDescent="0.25">
      <c r="A4884" t="str" cm="1">
        <f t="array" ref="A4884">IFERROR(INDEX(tbNucleo[ESCOLA],ROUNDUP(ROW(A4883)/TotalEtapas,0)),"")</f>
        <v/>
      </c>
      <c r="D4884" t="str">
        <f>IFERROR(VLOOKUP(tbEscolas[[#This Row],[COD ETPA]],tbEtapas[],2,FALSE),"")</f>
        <v/>
      </c>
      <c r="E4884" t="str">
        <f>IFERROR(VLOOKUP(tbEscolas[[#This Row],[COD ETPA]],tbEtapas[],3,FALSE),"")</f>
        <v/>
      </c>
    </row>
    <row r="4885" spans="1:5" x14ac:dyDescent="0.25">
      <c r="A4885" t="str" cm="1">
        <f t="array" ref="A4885">IFERROR(INDEX(tbNucleo[ESCOLA],ROUNDUP(ROW(A4884)/TotalEtapas,0)),"")</f>
        <v/>
      </c>
      <c r="D4885" t="str">
        <f>IFERROR(VLOOKUP(tbEscolas[[#This Row],[COD ETPA]],tbEtapas[],2,FALSE),"")</f>
        <v/>
      </c>
      <c r="E4885" t="str">
        <f>IFERROR(VLOOKUP(tbEscolas[[#This Row],[COD ETPA]],tbEtapas[],3,FALSE),"")</f>
        <v/>
      </c>
    </row>
    <row r="4886" spans="1:5" x14ac:dyDescent="0.25">
      <c r="A4886" t="str" cm="1">
        <f t="array" ref="A4886">IFERROR(INDEX(tbNucleo[ESCOLA],ROUNDUP(ROW(A4885)/TotalEtapas,0)),"")</f>
        <v/>
      </c>
      <c r="D4886" t="str">
        <f>IFERROR(VLOOKUP(tbEscolas[[#This Row],[COD ETPA]],tbEtapas[],2,FALSE),"")</f>
        <v/>
      </c>
      <c r="E4886" t="str">
        <f>IFERROR(VLOOKUP(tbEscolas[[#This Row],[COD ETPA]],tbEtapas[],3,FALSE),"")</f>
        <v/>
      </c>
    </row>
    <row r="4887" spans="1:5" x14ac:dyDescent="0.25">
      <c r="A4887" t="str" cm="1">
        <f t="array" ref="A4887">IFERROR(INDEX(tbNucleo[ESCOLA],ROUNDUP(ROW(A4886)/TotalEtapas,0)),"")</f>
        <v/>
      </c>
      <c r="D4887" t="str">
        <f>IFERROR(VLOOKUP(tbEscolas[[#This Row],[COD ETPA]],tbEtapas[],2,FALSE),"")</f>
        <v/>
      </c>
      <c r="E4887" t="str">
        <f>IFERROR(VLOOKUP(tbEscolas[[#This Row],[COD ETPA]],tbEtapas[],3,FALSE),"")</f>
        <v/>
      </c>
    </row>
    <row r="4888" spans="1:5" x14ac:dyDescent="0.25">
      <c r="A4888" t="str" cm="1">
        <f t="array" ref="A4888">IFERROR(INDEX(tbNucleo[ESCOLA],ROUNDUP(ROW(A4887)/TotalEtapas,0)),"")</f>
        <v/>
      </c>
      <c r="D4888" t="str">
        <f>IFERROR(VLOOKUP(tbEscolas[[#This Row],[COD ETPA]],tbEtapas[],2,FALSE),"")</f>
        <v/>
      </c>
      <c r="E4888" t="str">
        <f>IFERROR(VLOOKUP(tbEscolas[[#This Row],[COD ETPA]],tbEtapas[],3,FALSE),"")</f>
        <v/>
      </c>
    </row>
    <row r="4889" spans="1:5" x14ac:dyDescent="0.25">
      <c r="A4889" t="str" cm="1">
        <f t="array" ref="A4889">IFERROR(INDEX(tbNucleo[ESCOLA],ROUNDUP(ROW(A4888)/TotalEtapas,0)),"")</f>
        <v/>
      </c>
      <c r="D4889" t="str">
        <f>IFERROR(VLOOKUP(tbEscolas[[#This Row],[COD ETPA]],tbEtapas[],2,FALSE),"")</f>
        <v/>
      </c>
      <c r="E4889" t="str">
        <f>IFERROR(VLOOKUP(tbEscolas[[#This Row],[COD ETPA]],tbEtapas[],3,FALSE),"")</f>
        <v/>
      </c>
    </row>
    <row r="4890" spans="1:5" x14ac:dyDescent="0.25">
      <c r="A4890" t="str" cm="1">
        <f t="array" ref="A4890">IFERROR(INDEX(tbNucleo[ESCOLA],ROUNDUP(ROW(A4889)/TotalEtapas,0)),"")</f>
        <v/>
      </c>
      <c r="D4890" t="str">
        <f>IFERROR(VLOOKUP(tbEscolas[[#This Row],[COD ETPA]],tbEtapas[],2,FALSE),"")</f>
        <v/>
      </c>
      <c r="E4890" t="str">
        <f>IFERROR(VLOOKUP(tbEscolas[[#This Row],[COD ETPA]],tbEtapas[],3,FALSE),"")</f>
        <v/>
      </c>
    </row>
    <row r="4891" spans="1:5" x14ac:dyDescent="0.25">
      <c r="A4891" t="str" cm="1">
        <f t="array" ref="A4891">IFERROR(INDEX(tbNucleo[ESCOLA],ROUNDUP(ROW(A4890)/TotalEtapas,0)),"")</f>
        <v/>
      </c>
      <c r="D4891" t="str">
        <f>IFERROR(VLOOKUP(tbEscolas[[#This Row],[COD ETPA]],tbEtapas[],2,FALSE),"")</f>
        <v/>
      </c>
      <c r="E4891" t="str">
        <f>IFERROR(VLOOKUP(tbEscolas[[#This Row],[COD ETPA]],tbEtapas[],3,FALSE),"")</f>
        <v/>
      </c>
    </row>
    <row r="4892" spans="1:5" x14ac:dyDescent="0.25">
      <c r="A4892" t="str" cm="1">
        <f t="array" ref="A4892">IFERROR(INDEX(tbNucleo[ESCOLA],ROUNDUP(ROW(A4891)/TotalEtapas,0)),"")</f>
        <v/>
      </c>
      <c r="D4892" t="str">
        <f>IFERROR(VLOOKUP(tbEscolas[[#This Row],[COD ETPA]],tbEtapas[],2,FALSE),"")</f>
        <v/>
      </c>
      <c r="E4892" t="str">
        <f>IFERROR(VLOOKUP(tbEscolas[[#This Row],[COD ETPA]],tbEtapas[],3,FALSE),"")</f>
        <v/>
      </c>
    </row>
    <row r="4893" spans="1:5" x14ac:dyDescent="0.25">
      <c r="A4893" t="str" cm="1">
        <f t="array" ref="A4893">IFERROR(INDEX(tbNucleo[ESCOLA],ROUNDUP(ROW(A4892)/TotalEtapas,0)),"")</f>
        <v/>
      </c>
      <c r="D4893" t="str">
        <f>IFERROR(VLOOKUP(tbEscolas[[#This Row],[COD ETPA]],tbEtapas[],2,FALSE),"")</f>
        <v/>
      </c>
      <c r="E4893" t="str">
        <f>IFERROR(VLOOKUP(tbEscolas[[#This Row],[COD ETPA]],tbEtapas[],3,FALSE),"")</f>
        <v/>
      </c>
    </row>
    <row r="4894" spans="1:5" x14ac:dyDescent="0.25">
      <c r="A4894" t="str" cm="1">
        <f t="array" ref="A4894">IFERROR(INDEX(tbNucleo[ESCOLA],ROUNDUP(ROW(A4893)/TotalEtapas,0)),"")</f>
        <v/>
      </c>
      <c r="D4894" t="str">
        <f>IFERROR(VLOOKUP(tbEscolas[[#This Row],[COD ETPA]],tbEtapas[],2,FALSE),"")</f>
        <v/>
      </c>
      <c r="E4894" t="str">
        <f>IFERROR(VLOOKUP(tbEscolas[[#This Row],[COD ETPA]],tbEtapas[],3,FALSE),"")</f>
        <v/>
      </c>
    </row>
    <row r="4895" spans="1:5" x14ac:dyDescent="0.25">
      <c r="A4895" t="str" cm="1">
        <f t="array" ref="A4895">IFERROR(INDEX(tbNucleo[ESCOLA],ROUNDUP(ROW(A4894)/TotalEtapas,0)),"")</f>
        <v/>
      </c>
      <c r="D4895" t="str">
        <f>IFERROR(VLOOKUP(tbEscolas[[#This Row],[COD ETPA]],tbEtapas[],2,FALSE),"")</f>
        <v/>
      </c>
      <c r="E4895" t="str">
        <f>IFERROR(VLOOKUP(tbEscolas[[#This Row],[COD ETPA]],tbEtapas[],3,FALSE),"")</f>
        <v/>
      </c>
    </row>
    <row r="4896" spans="1:5" x14ac:dyDescent="0.25">
      <c r="A4896" t="str" cm="1">
        <f t="array" ref="A4896">IFERROR(INDEX(tbNucleo[ESCOLA],ROUNDUP(ROW(A4895)/TotalEtapas,0)),"")</f>
        <v/>
      </c>
      <c r="D4896" t="str">
        <f>IFERROR(VLOOKUP(tbEscolas[[#This Row],[COD ETPA]],tbEtapas[],2,FALSE),"")</f>
        <v/>
      </c>
      <c r="E4896" t="str">
        <f>IFERROR(VLOOKUP(tbEscolas[[#This Row],[COD ETPA]],tbEtapas[],3,FALSE),"")</f>
        <v/>
      </c>
    </row>
    <row r="4897" spans="1:5" x14ac:dyDescent="0.25">
      <c r="A4897" t="str" cm="1">
        <f t="array" ref="A4897">IFERROR(INDEX(tbNucleo[ESCOLA],ROUNDUP(ROW(A4896)/TotalEtapas,0)),"")</f>
        <v/>
      </c>
      <c r="D4897" t="str">
        <f>IFERROR(VLOOKUP(tbEscolas[[#This Row],[COD ETPA]],tbEtapas[],2,FALSE),"")</f>
        <v/>
      </c>
      <c r="E4897" t="str">
        <f>IFERROR(VLOOKUP(tbEscolas[[#This Row],[COD ETPA]],tbEtapas[],3,FALSE),"")</f>
        <v/>
      </c>
    </row>
    <row r="4898" spans="1:5" x14ac:dyDescent="0.25">
      <c r="A4898" t="str" cm="1">
        <f t="array" ref="A4898">IFERROR(INDEX(tbNucleo[ESCOLA],ROUNDUP(ROW(A4897)/TotalEtapas,0)),"")</f>
        <v/>
      </c>
      <c r="D4898" t="str">
        <f>IFERROR(VLOOKUP(tbEscolas[[#This Row],[COD ETPA]],tbEtapas[],2,FALSE),"")</f>
        <v/>
      </c>
      <c r="E4898" t="str">
        <f>IFERROR(VLOOKUP(tbEscolas[[#This Row],[COD ETPA]],tbEtapas[],3,FALSE),"")</f>
        <v/>
      </c>
    </row>
    <row r="4899" spans="1:5" x14ac:dyDescent="0.25">
      <c r="A4899" t="str" cm="1">
        <f t="array" ref="A4899">IFERROR(INDEX(tbNucleo[ESCOLA],ROUNDUP(ROW(A4898)/TotalEtapas,0)),"")</f>
        <v/>
      </c>
      <c r="D4899" t="str">
        <f>IFERROR(VLOOKUP(tbEscolas[[#This Row],[COD ETPA]],tbEtapas[],2,FALSE),"")</f>
        <v/>
      </c>
      <c r="E4899" t="str">
        <f>IFERROR(VLOOKUP(tbEscolas[[#This Row],[COD ETPA]],tbEtapas[],3,FALSE),"")</f>
        <v/>
      </c>
    </row>
    <row r="4900" spans="1:5" x14ac:dyDescent="0.25">
      <c r="A4900" t="str" cm="1">
        <f t="array" ref="A4900">IFERROR(INDEX(tbNucleo[ESCOLA],ROUNDUP(ROW(A4899)/TotalEtapas,0)),"")</f>
        <v/>
      </c>
      <c r="D4900" t="str">
        <f>IFERROR(VLOOKUP(tbEscolas[[#This Row],[COD ETPA]],tbEtapas[],2,FALSE),"")</f>
        <v/>
      </c>
      <c r="E4900" t="str">
        <f>IFERROR(VLOOKUP(tbEscolas[[#This Row],[COD ETPA]],tbEtapas[],3,FALSE),"")</f>
        <v/>
      </c>
    </row>
    <row r="4901" spans="1:5" x14ac:dyDescent="0.25">
      <c r="A4901" t="str" cm="1">
        <f t="array" ref="A4901">IFERROR(INDEX(tbNucleo[ESCOLA],ROUNDUP(ROW(A4900)/TotalEtapas,0)),"")</f>
        <v/>
      </c>
      <c r="D4901" t="str">
        <f>IFERROR(VLOOKUP(tbEscolas[[#This Row],[COD ETPA]],tbEtapas[],2,FALSE),"")</f>
        <v/>
      </c>
      <c r="E4901" t="str">
        <f>IFERROR(VLOOKUP(tbEscolas[[#This Row],[COD ETPA]],tbEtapas[],3,FALSE),"")</f>
        <v/>
      </c>
    </row>
    <row r="4902" spans="1:5" x14ac:dyDescent="0.25">
      <c r="A4902" t="str" cm="1">
        <f t="array" ref="A4902">IFERROR(INDEX(tbNucleo[ESCOLA],ROUNDUP(ROW(A4901)/TotalEtapas,0)),"")</f>
        <v/>
      </c>
      <c r="D4902" t="str">
        <f>IFERROR(VLOOKUP(tbEscolas[[#This Row],[COD ETPA]],tbEtapas[],2,FALSE),"")</f>
        <v/>
      </c>
      <c r="E4902" t="str">
        <f>IFERROR(VLOOKUP(tbEscolas[[#This Row],[COD ETPA]],tbEtapas[],3,FALSE),"")</f>
        <v/>
      </c>
    </row>
    <row r="4903" spans="1:5" x14ac:dyDescent="0.25">
      <c r="A4903" t="str" cm="1">
        <f t="array" ref="A4903">IFERROR(INDEX(tbNucleo[ESCOLA],ROUNDUP(ROW(A4902)/TotalEtapas,0)),"")</f>
        <v/>
      </c>
      <c r="D4903" t="str">
        <f>IFERROR(VLOOKUP(tbEscolas[[#This Row],[COD ETPA]],tbEtapas[],2,FALSE),"")</f>
        <v/>
      </c>
      <c r="E4903" t="str">
        <f>IFERROR(VLOOKUP(tbEscolas[[#This Row],[COD ETPA]],tbEtapas[],3,FALSE),"")</f>
        <v/>
      </c>
    </row>
    <row r="4904" spans="1:5" x14ac:dyDescent="0.25">
      <c r="A4904" t="str" cm="1">
        <f t="array" ref="A4904">IFERROR(INDEX(tbNucleo[ESCOLA],ROUNDUP(ROW(A4903)/TotalEtapas,0)),"")</f>
        <v/>
      </c>
      <c r="D4904" t="str">
        <f>IFERROR(VLOOKUP(tbEscolas[[#This Row],[COD ETPA]],tbEtapas[],2,FALSE),"")</f>
        <v/>
      </c>
      <c r="E4904" t="str">
        <f>IFERROR(VLOOKUP(tbEscolas[[#This Row],[COD ETPA]],tbEtapas[],3,FALSE),"")</f>
        <v/>
      </c>
    </row>
    <row r="4905" spans="1:5" x14ac:dyDescent="0.25">
      <c r="A4905" t="str" cm="1">
        <f t="array" ref="A4905">IFERROR(INDEX(tbNucleo[ESCOLA],ROUNDUP(ROW(A4904)/TotalEtapas,0)),"")</f>
        <v/>
      </c>
      <c r="D4905" t="str">
        <f>IFERROR(VLOOKUP(tbEscolas[[#This Row],[COD ETPA]],tbEtapas[],2,FALSE),"")</f>
        <v/>
      </c>
      <c r="E4905" t="str">
        <f>IFERROR(VLOOKUP(tbEscolas[[#This Row],[COD ETPA]],tbEtapas[],3,FALSE),"")</f>
        <v/>
      </c>
    </row>
    <row r="4906" spans="1:5" x14ac:dyDescent="0.25">
      <c r="A4906" t="str" cm="1">
        <f t="array" ref="A4906">IFERROR(INDEX(tbNucleo[ESCOLA],ROUNDUP(ROW(A4905)/TotalEtapas,0)),"")</f>
        <v/>
      </c>
      <c r="D4906" t="str">
        <f>IFERROR(VLOOKUP(tbEscolas[[#This Row],[COD ETPA]],tbEtapas[],2,FALSE),"")</f>
        <v/>
      </c>
      <c r="E4906" t="str">
        <f>IFERROR(VLOOKUP(tbEscolas[[#This Row],[COD ETPA]],tbEtapas[],3,FALSE),"")</f>
        <v/>
      </c>
    </row>
    <row r="4907" spans="1:5" x14ac:dyDescent="0.25">
      <c r="A4907" t="str" cm="1">
        <f t="array" ref="A4907">IFERROR(INDEX(tbNucleo[ESCOLA],ROUNDUP(ROW(A4906)/TotalEtapas,0)),"")</f>
        <v/>
      </c>
      <c r="D4907" t="str">
        <f>IFERROR(VLOOKUP(tbEscolas[[#This Row],[COD ETPA]],tbEtapas[],2,FALSE),"")</f>
        <v/>
      </c>
      <c r="E4907" t="str">
        <f>IFERROR(VLOOKUP(tbEscolas[[#This Row],[COD ETPA]],tbEtapas[],3,FALSE),"")</f>
        <v/>
      </c>
    </row>
    <row r="4908" spans="1:5" x14ac:dyDescent="0.25">
      <c r="A4908" t="str" cm="1">
        <f t="array" ref="A4908">IFERROR(INDEX(tbNucleo[ESCOLA],ROUNDUP(ROW(A4907)/TotalEtapas,0)),"")</f>
        <v/>
      </c>
      <c r="D4908" t="str">
        <f>IFERROR(VLOOKUP(tbEscolas[[#This Row],[COD ETPA]],tbEtapas[],2,FALSE),"")</f>
        <v/>
      </c>
      <c r="E4908" t="str">
        <f>IFERROR(VLOOKUP(tbEscolas[[#This Row],[COD ETPA]],tbEtapas[],3,FALSE),"")</f>
        <v/>
      </c>
    </row>
    <row r="4909" spans="1:5" x14ac:dyDescent="0.25">
      <c r="A4909" t="str" cm="1">
        <f t="array" ref="A4909">IFERROR(INDEX(tbNucleo[ESCOLA],ROUNDUP(ROW(A4908)/TotalEtapas,0)),"")</f>
        <v/>
      </c>
      <c r="D4909" t="str">
        <f>IFERROR(VLOOKUP(tbEscolas[[#This Row],[COD ETPA]],tbEtapas[],2,FALSE),"")</f>
        <v/>
      </c>
      <c r="E4909" t="str">
        <f>IFERROR(VLOOKUP(tbEscolas[[#This Row],[COD ETPA]],tbEtapas[],3,FALSE),"")</f>
        <v/>
      </c>
    </row>
    <row r="4910" spans="1:5" x14ac:dyDescent="0.25">
      <c r="A4910" t="str" cm="1">
        <f t="array" ref="A4910">IFERROR(INDEX(tbNucleo[ESCOLA],ROUNDUP(ROW(A4909)/TotalEtapas,0)),"")</f>
        <v/>
      </c>
      <c r="D4910" t="str">
        <f>IFERROR(VLOOKUP(tbEscolas[[#This Row],[COD ETPA]],tbEtapas[],2,FALSE),"")</f>
        <v/>
      </c>
      <c r="E4910" t="str">
        <f>IFERROR(VLOOKUP(tbEscolas[[#This Row],[COD ETPA]],tbEtapas[],3,FALSE),"")</f>
        <v/>
      </c>
    </row>
    <row r="4911" spans="1:5" x14ac:dyDescent="0.25">
      <c r="A4911" t="str" cm="1">
        <f t="array" ref="A4911">IFERROR(INDEX(tbNucleo[ESCOLA],ROUNDUP(ROW(A4910)/TotalEtapas,0)),"")</f>
        <v/>
      </c>
      <c r="D4911" t="str">
        <f>IFERROR(VLOOKUP(tbEscolas[[#This Row],[COD ETPA]],tbEtapas[],2,FALSE),"")</f>
        <v/>
      </c>
      <c r="E4911" t="str">
        <f>IFERROR(VLOOKUP(tbEscolas[[#This Row],[COD ETPA]],tbEtapas[],3,FALSE),"")</f>
        <v/>
      </c>
    </row>
    <row r="4912" spans="1:5" x14ac:dyDescent="0.25">
      <c r="A4912" t="str" cm="1">
        <f t="array" ref="A4912">IFERROR(INDEX(tbNucleo[ESCOLA],ROUNDUP(ROW(A4911)/TotalEtapas,0)),"")</f>
        <v/>
      </c>
      <c r="D4912" t="str">
        <f>IFERROR(VLOOKUP(tbEscolas[[#This Row],[COD ETPA]],tbEtapas[],2,FALSE),"")</f>
        <v/>
      </c>
      <c r="E4912" t="str">
        <f>IFERROR(VLOOKUP(tbEscolas[[#This Row],[COD ETPA]],tbEtapas[],3,FALSE),"")</f>
        <v/>
      </c>
    </row>
    <row r="4913" spans="1:5" x14ac:dyDescent="0.25">
      <c r="A4913" t="str" cm="1">
        <f t="array" ref="A4913">IFERROR(INDEX(tbNucleo[ESCOLA],ROUNDUP(ROW(A4912)/TotalEtapas,0)),"")</f>
        <v/>
      </c>
      <c r="D4913" t="str">
        <f>IFERROR(VLOOKUP(tbEscolas[[#This Row],[COD ETPA]],tbEtapas[],2,FALSE),"")</f>
        <v/>
      </c>
      <c r="E4913" t="str">
        <f>IFERROR(VLOOKUP(tbEscolas[[#This Row],[COD ETPA]],tbEtapas[],3,FALSE),"")</f>
        <v/>
      </c>
    </row>
    <row r="4914" spans="1:5" x14ac:dyDescent="0.25">
      <c r="A4914" t="str" cm="1">
        <f t="array" ref="A4914">IFERROR(INDEX(tbNucleo[ESCOLA],ROUNDUP(ROW(A4913)/TotalEtapas,0)),"")</f>
        <v/>
      </c>
      <c r="D4914" t="str">
        <f>IFERROR(VLOOKUP(tbEscolas[[#This Row],[COD ETPA]],tbEtapas[],2,FALSE),"")</f>
        <v/>
      </c>
      <c r="E4914" t="str">
        <f>IFERROR(VLOOKUP(tbEscolas[[#This Row],[COD ETPA]],tbEtapas[],3,FALSE),"")</f>
        <v/>
      </c>
    </row>
    <row r="4915" spans="1:5" x14ac:dyDescent="0.25">
      <c r="A4915" t="str" cm="1">
        <f t="array" ref="A4915">IFERROR(INDEX(tbNucleo[ESCOLA],ROUNDUP(ROW(A4914)/TotalEtapas,0)),"")</f>
        <v/>
      </c>
      <c r="D4915" t="str">
        <f>IFERROR(VLOOKUP(tbEscolas[[#This Row],[COD ETPA]],tbEtapas[],2,FALSE),"")</f>
        <v/>
      </c>
      <c r="E4915" t="str">
        <f>IFERROR(VLOOKUP(tbEscolas[[#This Row],[COD ETPA]],tbEtapas[],3,FALSE),"")</f>
        <v/>
      </c>
    </row>
    <row r="4916" spans="1:5" x14ac:dyDescent="0.25">
      <c r="A4916" t="str" cm="1">
        <f t="array" ref="A4916">IFERROR(INDEX(tbNucleo[ESCOLA],ROUNDUP(ROW(A4915)/TotalEtapas,0)),"")</f>
        <v/>
      </c>
      <c r="D4916" t="str">
        <f>IFERROR(VLOOKUP(tbEscolas[[#This Row],[COD ETPA]],tbEtapas[],2,FALSE),"")</f>
        <v/>
      </c>
      <c r="E4916" t="str">
        <f>IFERROR(VLOOKUP(tbEscolas[[#This Row],[COD ETPA]],tbEtapas[],3,FALSE),"")</f>
        <v/>
      </c>
    </row>
    <row r="4917" spans="1:5" x14ac:dyDescent="0.25">
      <c r="A4917" t="str" cm="1">
        <f t="array" ref="A4917">IFERROR(INDEX(tbNucleo[ESCOLA],ROUNDUP(ROW(A4916)/TotalEtapas,0)),"")</f>
        <v/>
      </c>
      <c r="D4917" t="str">
        <f>IFERROR(VLOOKUP(tbEscolas[[#This Row],[COD ETPA]],tbEtapas[],2,FALSE),"")</f>
        <v/>
      </c>
      <c r="E4917" t="str">
        <f>IFERROR(VLOOKUP(tbEscolas[[#This Row],[COD ETPA]],tbEtapas[],3,FALSE),"")</f>
        <v/>
      </c>
    </row>
    <row r="4918" spans="1:5" x14ac:dyDescent="0.25">
      <c r="A4918" t="str" cm="1">
        <f t="array" ref="A4918">IFERROR(INDEX(tbNucleo[ESCOLA],ROUNDUP(ROW(A4917)/TotalEtapas,0)),"")</f>
        <v/>
      </c>
      <c r="D4918" t="str">
        <f>IFERROR(VLOOKUP(tbEscolas[[#This Row],[COD ETPA]],tbEtapas[],2,FALSE),"")</f>
        <v/>
      </c>
      <c r="E4918" t="str">
        <f>IFERROR(VLOOKUP(tbEscolas[[#This Row],[COD ETPA]],tbEtapas[],3,FALSE),"")</f>
        <v/>
      </c>
    </row>
    <row r="4919" spans="1:5" x14ac:dyDescent="0.25">
      <c r="A4919" t="str" cm="1">
        <f t="array" ref="A4919">IFERROR(INDEX(tbNucleo[ESCOLA],ROUNDUP(ROW(A4918)/TotalEtapas,0)),"")</f>
        <v/>
      </c>
      <c r="D4919" t="str">
        <f>IFERROR(VLOOKUP(tbEscolas[[#This Row],[COD ETPA]],tbEtapas[],2,FALSE),"")</f>
        <v/>
      </c>
      <c r="E4919" t="str">
        <f>IFERROR(VLOOKUP(tbEscolas[[#This Row],[COD ETPA]],tbEtapas[],3,FALSE),"")</f>
        <v/>
      </c>
    </row>
    <row r="4920" spans="1:5" x14ac:dyDescent="0.25">
      <c r="A4920" t="str" cm="1">
        <f t="array" ref="A4920">IFERROR(INDEX(tbNucleo[ESCOLA],ROUNDUP(ROW(A4919)/TotalEtapas,0)),"")</f>
        <v/>
      </c>
      <c r="D4920" t="str">
        <f>IFERROR(VLOOKUP(tbEscolas[[#This Row],[COD ETPA]],tbEtapas[],2,FALSE),"")</f>
        <v/>
      </c>
      <c r="E4920" t="str">
        <f>IFERROR(VLOOKUP(tbEscolas[[#This Row],[COD ETPA]],tbEtapas[],3,FALSE),"")</f>
        <v/>
      </c>
    </row>
    <row r="4921" spans="1:5" x14ac:dyDescent="0.25">
      <c r="A4921" t="str" cm="1">
        <f t="array" ref="A4921">IFERROR(INDEX(tbNucleo[ESCOLA],ROUNDUP(ROW(A4920)/TotalEtapas,0)),"")</f>
        <v/>
      </c>
      <c r="D4921" t="str">
        <f>IFERROR(VLOOKUP(tbEscolas[[#This Row],[COD ETPA]],tbEtapas[],2,FALSE),"")</f>
        <v/>
      </c>
      <c r="E4921" t="str">
        <f>IFERROR(VLOOKUP(tbEscolas[[#This Row],[COD ETPA]],tbEtapas[],3,FALSE),"")</f>
        <v/>
      </c>
    </row>
    <row r="4922" spans="1:5" x14ac:dyDescent="0.25">
      <c r="A4922" t="str" cm="1">
        <f t="array" ref="A4922">IFERROR(INDEX(tbNucleo[ESCOLA],ROUNDUP(ROW(A4921)/TotalEtapas,0)),"")</f>
        <v/>
      </c>
      <c r="D4922" t="str">
        <f>IFERROR(VLOOKUP(tbEscolas[[#This Row],[COD ETPA]],tbEtapas[],2,FALSE),"")</f>
        <v/>
      </c>
      <c r="E4922" t="str">
        <f>IFERROR(VLOOKUP(tbEscolas[[#This Row],[COD ETPA]],tbEtapas[],3,FALSE),"")</f>
        <v/>
      </c>
    </row>
    <row r="4923" spans="1:5" x14ac:dyDescent="0.25">
      <c r="A4923" t="str" cm="1">
        <f t="array" ref="A4923">IFERROR(INDEX(tbNucleo[ESCOLA],ROUNDUP(ROW(A4922)/TotalEtapas,0)),"")</f>
        <v/>
      </c>
      <c r="D4923" t="str">
        <f>IFERROR(VLOOKUP(tbEscolas[[#This Row],[COD ETPA]],tbEtapas[],2,FALSE),"")</f>
        <v/>
      </c>
      <c r="E4923" t="str">
        <f>IFERROR(VLOOKUP(tbEscolas[[#This Row],[COD ETPA]],tbEtapas[],3,FALSE),"")</f>
        <v/>
      </c>
    </row>
    <row r="4924" spans="1:5" x14ac:dyDescent="0.25">
      <c r="A4924" t="str" cm="1">
        <f t="array" ref="A4924">IFERROR(INDEX(tbNucleo[ESCOLA],ROUNDUP(ROW(A4923)/TotalEtapas,0)),"")</f>
        <v/>
      </c>
      <c r="D4924" t="str">
        <f>IFERROR(VLOOKUP(tbEscolas[[#This Row],[COD ETPA]],tbEtapas[],2,FALSE),"")</f>
        <v/>
      </c>
      <c r="E4924" t="str">
        <f>IFERROR(VLOOKUP(tbEscolas[[#This Row],[COD ETPA]],tbEtapas[],3,FALSE),"")</f>
        <v/>
      </c>
    </row>
    <row r="4925" spans="1:5" x14ac:dyDescent="0.25">
      <c r="A4925" t="str" cm="1">
        <f t="array" ref="A4925">IFERROR(INDEX(tbNucleo[ESCOLA],ROUNDUP(ROW(A4924)/TotalEtapas,0)),"")</f>
        <v/>
      </c>
      <c r="D4925" t="str">
        <f>IFERROR(VLOOKUP(tbEscolas[[#This Row],[COD ETPA]],tbEtapas[],2,FALSE),"")</f>
        <v/>
      </c>
      <c r="E4925" t="str">
        <f>IFERROR(VLOOKUP(tbEscolas[[#This Row],[COD ETPA]],tbEtapas[],3,FALSE),"")</f>
        <v/>
      </c>
    </row>
    <row r="4926" spans="1:5" x14ac:dyDescent="0.25">
      <c r="A4926" t="str" cm="1">
        <f t="array" ref="A4926">IFERROR(INDEX(tbNucleo[ESCOLA],ROUNDUP(ROW(A4925)/TotalEtapas,0)),"")</f>
        <v/>
      </c>
      <c r="D4926" t="str">
        <f>IFERROR(VLOOKUP(tbEscolas[[#This Row],[COD ETPA]],tbEtapas[],2,FALSE),"")</f>
        <v/>
      </c>
      <c r="E4926" t="str">
        <f>IFERROR(VLOOKUP(tbEscolas[[#This Row],[COD ETPA]],tbEtapas[],3,FALSE),"")</f>
        <v/>
      </c>
    </row>
    <row r="4927" spans="1:5" x14ac:dyDescent="0.25">
      <c r="A4927" t="str" cm="1">
        <f t="array" ref="A4927">IFERROR(INDEX(tbNucleo[ESCOLA],ROUNDUP(ROW(A4926)/TotalEtapas,0)),"")</f>
        <v/>
      </c>
      <c r="D4927" t="str">
        <f>IFERROR(VLOOKUP(tbEscolas[[#This Row],[COD ETPA]],tbEtapas[],2,FALSE),"")</f>
        <v/>
      </c>
      <c r="E4927" t="str">
        <f>IFERROR(VLOOKUP(tbEscolas[[#This Row],[COD ETPA]],tbEtapas[],3,FALSE),"")</f>
        <v/>
      </c>
    </row>
    <row r="4928" spans="1:5" x14ac:dyDescent="0.25">
      <c r="A4928" t="str" cm="1">
        <f t="array" ref="A4928">IFERROR(INDEX(tbNucleo[ESCOLA],ROUNDUP(ROW(A4927)/TotalEtapas,0)),"")</f>
        <v/>
      </c>
      <c r="D4928" t="str">
        <f>IFERROR(VLOOKUP(tbEscolas[[#This Row],[COD ETPA]],tbEtapas[],2,FALSE),"")</f>
        <v/>
      </c>
      <c r="E4928" t="str">
        <f>IFERROR(VLOOKUP(tbEscolas[[#This Row],[COD ETPA]],tbEtapas[],3,FALSE),"")</f>
        <v/>
      </c>
    </row>
    <row r="4929" spans="1:5" x14ac:dyDescent="0.25">
      <c r="A4929" t="str" cm="1">
        <f t="array" ref="A4929">IFERROR(INDEX(tbNucleo[ESCOLA],ROUNDUP(ROW(A4928)/TotalEtapas,0)),"")</f>
        <v/>
      </c>
      <c r="D4929" t="str">
        <f>IFERROR(VLOOKUP(tbEscolas[[#This Row],[COD ETPA]],tbEtapas[],2,FALSE),"")</f>
        <v/>
      </c>
      <c r="E4929" t="str">
        <f>IFERROR(VLOOKUP(tbEscolas[[#This Row],[COD ETPA]],tbEtapas[],3,FALSE),"")</f>
        <v/>
      </c>
    </row>
    <row r="4930" spans="1:5" x14ac:dyDescent="0.25">
      <c r="A4930" t="str" cm="1">
        <f t="array" ref="A4930">IFERROR(INDEX(tbNucleo[ESCOLA],ROUNDUP(ROW(A4929)/TotalEtapas,0)),"")</f>
        <v/>
      </c>
      <c r="D4930" t="str">
        <f>IFERROR(VLOOKUP(tbEscolas[[#This Row],[COD ETPA]],tbEtapas[],2,FALSE),"")</f>
        <v/>
      </c>
      <c r="E4930" t="str">
        <f>IFERROR(VLOOKUP(tbEscolas[[#This Row],[COD ETPA]],tbEtapas[],3,FALSE),"")</f>
        <v/>
      </c>
    </row>
    <row r="4931" spans="1:5" x14ac:dyDescent="0.25">
      <c r="A4931" t="str" cm="1">
        <f t="array" ref="A4931">IFERROR(INDEX(tbNucleo[ESCOLA],ROUNDUP(ROW(A4930)/TotalEtapas,0)),"")</f>
        <v/>
      </c>
      <c r="D4931" t="str">
        <f>IFERROR(VLOOKUP(tbEscolas[[#This Row],[COD ETPA]],tbEtapas[],2,FALSE),"")</f>
        <v/>
      </c>
      <c r="E4931" t="str">
        <f>IFERROR(VLOOKUP(tbEscolas[[#This Row],[COD ETPA]],tbEtapas[],3,FALSE),"")</f>
        <v/>
      </c>
    </row>
    <row r="4932" spans="1:5" x14ac:dyDescent="0.25">
      <c r="A4932" t="str" cm="1">
        <f t="array" ref="A4932">IFERROR(INDEX(tbNucleo[ESCOLA],ROUNDUP(ROW(A4931)/TotalEtapas,0)),"")</f>
        <v/>
      </c>
      <c r="D4932" t="str">
        <f>IFERROR(VLOOKUP(tbEscolas[[#This Row],[COD ETPA]],tbEtapas[],2,FALSE),"")</f>
        <v/>
      </c>
      <c r="E4932" t="str">
        <f>IFERROR(VLOOKUP(tbEscolas[[#This Row],[COD ETPA]],tbEtapas[],3,FALSE),"")</f>
        <v/>
      </c>
    </row>
    <row r="4933" spans="1:5" x14ac:dyDescent="0.25">
      <c r="A4933" t="str" cm="1">
        <f t="array" ref="A4933">IFERROR(INDEX(tbNucleo[ESCOLA],ROUNDUP(ROW(A4932)/TotalEtapas,0)),"")</f>
        <v/>
      </c>
      <c r="D4933" t="str">
        <f>IFERROR(VLOOKUP(tbEscolas[[#This Row],[COD ETPA]],tbEtapas[],2,FALSE),"")</f>
        <v/>
      </c>
      <c r="E4933" t="str">
        <f>IFERROR(VLOOKUP(tbEscolas[[#This Row],[COD ETPA]],tbEtapas[],3,FALSE),"")</f>
        <v/>
      </c>
    </row>
    <row r="4934" spans="1:5" x14ac:dyDescent="0.25">
      <c r="A4934" t="str" cm="1">
        <f t="array" ref="A4934">IFERROR(INDEX(tbNucleo[ESCOLA],ROUNDUP(ROW(A4933)/TotalEtapas,0)),"")</f>
        <v/>
      </c>
      <c r="D4934" t="str">
        <f>IFERROR(VLOOKUP(tbEscolas[[#This Row],[COD ETPA]],tbEtapas[],2,FALSE),"")</f>
        <v/>
      </c>
      <c r="E4934" t="str">
        <f>IFERROR(VLOOKUP(tbEscolas[[#This Row],[COD ETPA]],tbEtapas[],3,FALSE),"")</f>
        <v/>
      </c>
    </row>
    <row r="4935" spans="1:5" x14ac:dyDescent="0.25">
      <c r="A4935" t="str" cm="1">
        <f t="array" ref="A4935">IFERROR(INDEX(tbNucleo[ESCOLA],ROUNDUP(ROW(A4934)/TotalEtapas,0)),"")</f>
        <v/>
      </c>
      <c r="D4935" t="str">
        <f>IFERROR(VLOOKUP(tbEscolas[[#This Row],[COD ETPA]],tbEtapas[],2,FALSE),"")</f>
        <v/>
      </c>
      <c r="E4935" t="str">
        <f>IFERROR(VLOOKUP(tbEscolas[[#This Row],[COD ETPA]],tbEtapas[],3,FALSE),"")</f>
        <v/>
      </c>
    </row>
    <row r="4936" spans="1:5" x14ac:dyDescent="0.25">
      <c r="A4936" t="str" cm="1">
        <f t="array" ref="A4936">IFERROR(INDEX(tbNucleo[ESCOLA],ROUNDUP(ROW(A4935)/TotalEtapas,0)),"")</f>
        <v/>
      </c>
      <c r="D4936" t="str">
        <f>IFERROR(VLOOKUP(tbEscolas[[#This Row],[COD ETPA]],tbEtapas[],2,FALSE),"")</f>
        <v/>
      </c>
      <c r="E4936" t="str">
        <f>IFERROR(VLOOKUP(tbEscolas[[#This Row],[COD ETPA]],tbEtapas[],3,FALSE),"")</f>
        <v/>
      </c>
    </row>
    <row r="4937" spans="1:5" x14ac:dyDescent="0.25">
      <c r="A4937" t="str" cm="1">
        <f t="array" ref="A4937">IFERROR(INDEX(tbNucleo[ESCOLA],ROUNDUP(ROW(A4936)/TotalEtapas,0)),"")</f>
        <v/>
      </c>
      <c r="D4937" t="str">
        <f>IFERROR(VLOOKUP(tbEscolas[[#This Row],[COD ETPA]],tbEtapas[],2,FALSE),"")</f>
        <v/>
      </c>
      <c r="E4937" t="str">
        <f>IFERROR(VLOOKUP(tbEscolas[[#This Row],[COD ETPA]],tbEtapas[],3,FALSE),"")</f>
        <v/>
      </c>
    </row>
    <row r="4938" spans="1:5" x14ac:dyDescent="0.25">
      <c r="A4938" t="str" cm="1">
        <f t="array" ref="A4938">IFERROR(INDEX(tbNucleo[ESCOLA],ROUNDUP(ROW(A4937)/TotalEtapas,0)),"")</f>
        <v/>
      </c>
      <c r="D4938" t="str">
        <f>IFERROR(VLOOKUP(tbEscolas[[#This Row],[COD ETPA]],tbEtapas[],2,FALSE),"")</f>
        <v/>
      </c>
      <c r="E4938" t="str">
        <f>IFERROR(VLOOKUP(tbEscolas[[#This Row],[COD ETPA]],tbEtapas[],3,FALSE),"")</f>
        <v/>
      </c>
    </row>
    <row r="4939" spans="1:5" x14ac:dyDescent="0.25">
      <c r="A4939" t="str" cm="1">
        <f t="array" ref="A4939">IFERROR(INDEX(tbNucleo[ESCOLA],ROUNDUP(ROW(A4938)/TotalEtapas,0)),"")</f>
        <v/>
      </c>
      <c r="D4939" t="str">
        <f>IFERROR(VLOOKUP(tbEscolas[[#This Row],[COD ETPA]],tbEtapas[],2,FALSE),"")</f>
        <v/>
      </c>
      <c r="E4939" t="str">
        <f>IFERROR(VLOOKUP(tbEscolas[[#This Row],[COD ETPA]],tbEtapas[],3,FALSE),"")</f>
        <v/>
      </c>
    </row>
    <row r="4940" spans="1:5" x14ac:dyDescent="0.25">
      <c r="A4940" t="str" cm="1">
        <f t="array" ref="A4940">IFERROR(INDEX(tbNucleo[ESCOLA],ROUNDUP(ROW(A4939)/TotalEtapas,0)),"")</f>
        <v/>
      </c>
      <c r="D4940" t="str">
        <f>IFERROR(VLOOKUP(tbEscolas[[#This Row],[COD ETPA]],tbEtapas[],2,FALSE),"")</f>
        <v/>
      </c>
      <c r="E4940" t="str">
        <f>IFERROR(VLOOKUP(tbEscolas[[#This Row],[COD ETPA]],tbEtapas[],3,FALSE),"")</f>
        <v/>
      </c>
    </row>
    <row r="4941" spans="1:5" x14ac:dyDescent="0.25">
      <c r="A4941" t="str" cm="1">
        <f t="array" ref="A4941">IFERROR(INDEX(tbNucleo[ESCOLA],ROUNDUP(ROW(A4940)/TotalEtapas,0)),"")</f>
        <v/>
      </c>
      <c r="D4941" t="str">
        <f>IFERROR(VLOOKUP(tbEscolas[[#This Row],[COD ETPA]],tbEtapas[],2,FALSE),"")</f>
        <v/>
      </c>
      <c r="E4941" t="str">
        <f>IFERROR(VLOOKUP(tbEscolas[[#This Row],[COD ETPA]],tbEtapas[],3,FALSE),"")</f>
        <v/>
      </c>
    </row>
    <row r="4942" spans="1:5" x14ac:dyDescent="0.25">
      <c r="A4942" t="str" cm="1">
        <f t="array" ref="A4942">IFERROR(INDEX(tbNucleo[ESCOLA],ROUNDUP(ROW(A4941)/TotalEtapas,0)),"")</f>
        <v/>
      </c>
      <c r="D4942" t="str">
        <f>IFERROR(VLOOKUP(tbEscolas[[#This Row],[COD ETPA]],tbEtapas[],2,FALSE),"")</f>
        <v/>
      </c>
      <c r="E4942" t="str">
        <f>IFERROR(VLOOKUP(tbEscolas[[#This Row],[COD ETPA]],tbEtapas[],3,FALSE),"")</f>
        <v/>
      </c>
    </row>
    <row r="4943" spans="1:5" x14ac:dyDescent="0.25">
      <c r="A4943" t="str" cm="1">
        <f t="array" ref="A4943">IFERROR(INDEX(tbNucleo[ESCOLA],ROUNDUP(ROW(A4942)/TotalEtapas,0)),"")</f>
        <v/>
      </c>
      <c r="D4943" t="str">
        <f>IFERROR(VLOOKUP(tbEscolas[[#This Row],[COD ETPA]],tbEtapas[],2,FALSE),"")</f>
        <v/>
      </c>
      <c r="E4943" t="str">
        <f>IFERROR(VLOOKUP(tbEscolas[[#This Row],[COD ETPA]],tbEtapas[],3,FALSE),"")</f>
        <v/>
      </c>
    </row>
    <row r="4944" spans="1:5" x14ac:dyDescent="0.25">
      <c r="A4944" t="str" cm="1">
        <f t="array" ref="A4944">IFERROR(INDEX(tbNucleo[ESCOLA],ROUNDUP(ROW(A4943)/TotalEtapas,0)),"")</f>
        <v/>
      </c>
      <c r="D4944" t="str">
        <f>IFERROR(VLOOKUP(tbEscolas[[#This Row],[COD ETPA]],tbEtapas[],2,FALSE),"")</f>
        <v/>
      </c>
      <c r="E4944" t="str">
        <f>IFERROR(VLOOKUP(tbEscolas[[#This Row],[COD ETPA]],tbEtapas[],3,FALSE),"")</f>
        <v/>
      </c>
    </row>
    <row r="4945" spans="1:5" x14ac:dyDescent="0.25">
      <c r="A4945" t="str" cm="1">
        <f t="array" ref="A4945">IFERROR(INDEX(tbNucleo[ESCOLA],ROUNDUP(ROW(A4944)/TotalEtapas,0)),"")</f>
        <v/>
      </c>
      <c r="D4945" t="str">
        <f>IFERROR(VLOOKUP(tbEscolas[[#This Row],[COD ETPA]],tbEtapas[],2,FALSE),"")</f>
        <v/>
      </c>
      <c r="E4945" t="str">
        <f>IFERROR(VLOOKUP(tbEscolas[[#This Row],[COD ETPA]],tbEtapas[],3,FALSE),"")</f>
        <v/>
      </c>
    </row>
    <row r="4946" spans="1:5" x14ac:dyDescent="0.25">
      <c r="A4946" t="str" cm="1">
        <f t="array" ref="A4946">IFERROR(INDEX(tbNucleo[ESCOLA],ROUNDUP(ROW(A4945)/TotalEtapas,0)),"")</f>
        <v/>
      </c>
      <c r="D4946" t="str">
        <f>IFERROR(VLOOKUP(tbEscolas[[#This Row],[COD ETPA]],tbEtapas[],2,FALSE),"")</f>
        <v/>
      </c>
      <c r="E4946" t="str">
        <f>IFERROR(VLOOKUP(tbEscolas[[#This Row],[COD ETPA]],tbEtapas[],3,FALSE),"")</f>
        <v/>
      </c>
    </row>
    <row r="4947" spans="1:5" x14ac:dyDescent="0.25">
      <c r="A4947" t="str" cm="1">
        <f t="array" ref="A4947">IFERROR(INDEX(tbNucleo[ESCOLA],ROUNDUP(ROW(A4946)/TotalEtapas,0)),"")</f>
        <v/>
      </c>
      <c r="D4947" t="str">
        <f>IFERROR(VLOOKUP(tbEscolas[[#This Row],[COD ETPA]],tbEtapas[],2,FALSE),"")</f>
        <v/>
      </c>
      <c r="E4947" t="str">
        <f>IFERROR(VLOOKUP(tbEscolas[[#This Row],[COD ETPA]],tbEtapas[],3,FALSE),"")</f>
        <v/>
      </c>
    </row>
    <row r="4948" spans="1:5" x14ac:dyDescent="0.25">
      <c r="A4948" t="str" cm="1">
        <f t="array" ref="A4948">IFERROR(INDEX(tbNucleo[ESCOLA],ROUNDUP(ROW(A4947)/TotalEtapas,0)),"")</f>
        <v/>
      </c>
      <c r="D4948" t="str">
        <f>IFERROR(VLOOKUP(tbEscolas[[#This Row],[COD ETPA]],tbEtapas[],2,FALSE),"")</f>
        <v/>
      </c>
      <c r="E4948" t="str">
        <f>IFERROR(VLOOKUP(tbEscolas[[#This Row],[COD ETPA]],tbEtapas[],3,FALSE),"")</f>
        <v/>
      </c>
    </row>
    <row r="4949" spans="1:5" x14ac:dyDescent="0.25">
      <c r="A4949" t="str" cm="1">
        <f t="array" ref="A4949">IFERROR(INDEX(tbNucleo[ESCOLA],ROUNDUP(ROW(A4948)/TotalEtapas,0)),"")</f>
        <v/>
      </c>
      <c r="D4949" t="str">
        <f>IFERROR(VLOOKUP(tbEscolas[[#This Row],[COD ETPA]],tbEtapas[],2,FALSE),"")</f>
        <v/>
      </c>
      <c r="E4949" t="str">
        <f>IFERROR(VLOOKUP(tbEscolas[[#This Row],[COD ETPA]],tbEtapas[],3,FALSE),"")</f>
        <v/>
      </c>
    </row>
    <row r="4950" spans="1:5" x14ac:dyDescent="0.25">
      <c r="A4950" t="str" cm="1">
        <f t="array" ref="A4950">IFERROR(INDEX(tbNucleo[ESCOLA],ROUNDUP(ROW(A4949)/TotalEtapas,0)),"")</f>
        <v/>
      </c>
      <c r="D4950" t="str">
        <f>IFERROR(VLOOKUP(tbEscolas[[#This Row],[COD ETPA]],tbEtapas[],2,FALSE),"")</f>
        <v/>
      </c>
      <c r="E4950" t="str">
        <f>IFERROR(VLOOKUP(tbEscolas[[#This Row],[COD ETPA]],tbEtapas[],3,FALSE),"")</f>
        <v/>
      </c>
    </row>
    <row r="4951" spans="1:5" x14ac:dyDescent="0.25">
      <c r="A4951" t="str" cm="1">
        <f t="array" ref="A4951">IFERROR(INDEX(tbNucleo[ESCOLA],ROUNDUP(ROW(A4950)/TotalEtapas,0)),"")</f>
        <v/>
      </c>
      <c r="D4951" t="str">
        <f>IFERROR(VLOOKUP(tbEscolas[[#This Row],[COD ETPA]],tbEtapas[],2,FALSE),"")</f>
        <v/>
      </c>
      <c r="E4951" t="str">
        <f>IFERROR(VLOOKUP(tbEscolas[[#This Row],[COD ETPA]],tbEtapas[],3,FALSE),"")</f>
        <v/>
      </c>
    </row>
    <row r="4952" spans="1:5" x14ac:dyDescent="0.25">
      <c r="A4952" t="str" cm="1">
        <f t="array" ref="A4952">IFERROR(INDEX(tbNucleo[ESCOLA],ROUNDUP(ROW(A4951)/TotalEtapas,0)),"")</f>
        <v/>
      </c>
      <c r="D4952" t="str">
        <f>IFERROR(VLOOKUP(tbEscolas[[#This Row],[COD ETPA]],tbEtapas[],2,FALSE),"")</f>
        <v/>
      </c>
      <c r="E4952" t="str">
        <f>IFERROR(VLOOKUP(tbEscolas[[#This Row],[COD ETPA]],tbEtapas[],3,FALSE),"")</f>
        <v/>
      </c>
    </row>
    <row r="4953" spans="1:5" x14ac:dyDescent="0.25">
      <c r="A4953" t="str" cm="1">
        <f t="array" ref="A4953">IFERROR(INDEX(tbNucleo[ESCOLA],ROUNDUP(ROW(A4952)/TotalEtapas,0)),"")</f>
        <v/>
      </c>
      <c r="D4953" t="str">
        <f>IFERROR(VLOOKUP(tbEscolas[[#This Row],[COD ETPA]],tbEtapas[],2,FALSE),"")</f>
        <v/>
      </c>
      <c r="E4953" t="str">
        <f>IFERROR(VLOOKUP(tbEscolas[[#This Row],[COD ETPA]],tbEtapas[],3,FALSE),"")</f>
        <v/>
      </c>
    </row>
    <row r="4954" spans="1:5" x14ac:dyDescent="0.25">
      <c r="A4954" t="str" cm="1">
        <f t="array" ref="A4954">IFERROR(INDEX(tbNucleo[ESCOLA],ROUNDUP(ROW(A4953)/TotalEtapas,0)),"")</f>
        <v/>
      </c>
      <c r="D4954" t="str">
        <f>IFERROR(VLOOKUP(tbEscolas[[#This Row],[COD ETPA]],tbEtapas[],2,FALSE),"")</f>
        <v/>
      </c>
      <c r="E4954" t="str">
        <f>IFERROR(VLOOKUP(tbEscolas[[#This Row],[COD ETPA]],tbEtapas[],3,FALSE),"")</f>
        <v/>
      </c>
    </row>
    <row r="4955" spans="1:5" x14ac:dyDescent="0.25">
      <c r="A4955" t="str" cm="1">
        <f t="array" ref="A4955">IFERROR(INDEX(tbNucleo[ESCOLA],ROUNDUP(ROW(A4954)/TotalEtapas,0)),"")</f>
        <v/>
      </c>
      <c r="D4955" t="str">
        <f>IFERROR(VLOOKUP(tbEscolas[[#This Row],[COD ETPA]],tbEtapas[],2,FALSE),"")</f>
        <v/>
      </c>
      <c r="E4955" t="str">
        <f>IFERROR(VLOOKUP(tbEscolas[[#This Row],[COD ETPA]],tbEtapas[],3,FALSE),"")</f>
        <v/>
      </c>
    </row>
    <row r="4956" spans="1:5" x14ac:dyDescent="0.25">
      <c r="A4956" t="str" cm="1">
        <f t="array" ref="A4956">IFERROR(INDEX(tbNucleo[ESCOLA],ROUNDUP(ROW(A4955)/TotalEtapas,0)),"")</f>
        <v/>
      </c>
      <c r="D4956" t="str">
        <f>IFERROR(VLOOKUP(tbEscolas[[#This Row],[COD ETPA]],tbEtapas[],2,FALSE),"")</f>
        <v/>
      </c>
      <c r="E4956" t="str">
        <f>IFERROR(VLOOKUP(tbEscolas[[#This Row],[COD ETPA]],tbEtapas[],3,FALSE),"")</f>
        <v/>
      </c>
    </row>
    <row r="4957" spans="1:5" x14ac:dyDescent="0.25">
      <c r="A4957" t="str" cm="1">
        <f t="array" ref="A4957">IFERROR(INDEX(tbNucleo[ESCOLA],ROUNDUP(ROW(A4956)/TotalEtapas,0)),"")</f>
        <v/>
      </c>
      <c r="D4957" t="str">
        <f>IFERROR(VLOOKUP(tbEscolas[[#This Row],[COD ETPA]],tbEtapas[],2,FALSE),"")</f>
        <v/>
      </c>
      <c r="E4957" t="str">
        <f>IFERROR(VLOOKUP(tbEscolas[[#This Row],[COD ETPA]],tbEtapas[],3,FALSE),"")</f>
        <v/>
      </c>
    </row>
    <row r="4958" spans="1:5" x14ac:dyDescent="0.25">
      <c r="A4958" t="str" cm="1">
        <f t="array" ref="A4958">IFERROR(INDEX(tbNucleo[ESCOLA],ROUNDUP(ROW(A4957)/TotalEtapas,0)),"")</f>
        <v/>
      </c>
      <c r="D4958" t="str">
        <f>IFERROR(VLOOKUP(tbEscolas[[#This Row],[COD ETPA]],tbEtapas[],2,FALSE),"")</f>
        <v/>
      </c>
      <c r="E4958" t="str">
        <f>IFERROR(VLOOKUP(tbEscolas[[#This Row],[COD ETPA]],tbEtapas[],3,FALSE),"")</f>
        <v/>
      </c>
    </row>
    <row r="4959" spans="1:5" x14ac:dyDescent="0.25">
      <c r="A4959" t="str" cm="1">
        <f t="array" ref="A4959">IFERROR(INDEX(tbNucleo[ESCOLA],ROUNDUP(ROW(A4958)/TotalEtapas,0)),"")</f>
        <v/>
      </c>
      <c r="D4959" t="str">
        <f>IFERROR(VLOOKUP(tbEscolas[[#This Row],[COD ETPA]],tbEtapas[],2,FALSE),"")</f>
        <v/>
      </c>
      <c r="E4959" t="str">
        <f>IFERROR(VLOOKUP(tbEscolas[[#This Row],[COD ETPA]],tbEtapas[],3,FALSE),"")</f>
        <v/>
      </c>
    </row>
    <row r="4960" spans="1:5" x14ac:dyDescent="0.25">
      <c r="A4960" t="str" cm="1">
        <f t="array" ref="A4960">IFERROR(INDEX(tbNucleo[ESCOLA],ROUNDUP(ROW(A4959)/TotalEtapas,0)),"")</f>
        <v/>
      </c>
      <c r="D4960" t="str">
        <f>IFERROR(VLOOKUP(tbEscolas[[#This Row],[COD ETPA]],tbEtapas[],2,FALSE),"")</f>
        <v/>
      </c>
      <c r="E4960" t="str">
        <f>IFERROR(VLOOKUP(tbEscolas[[#This Row],[COD ETPA]],tbEtapas[],3,FALSE),"")</f>
        <v/>
      </c>
    </row>
    <row r="4961" spans="1:5" x14ac:dyDescent="0.25">
      <c r="A4961" t="str" cm="1">
        <f t="array" ref="A4961">IFERROR(INDEX(tbNucleo[ESCOLA],ROUNDUP(ROW(A4960)/TotalEtapas,0)),"")</f>
        <v/>
      </c>
      <c r="D4961" t="str">
        <f>IFERROR(VLOOKUP(tbEscolas[[#This Row],[COD ETPA]],tbEtapas[],2,FALSE),"")</f>
        <v/>
      </c>
      <c r="E4961" t="str">
        <f>IFERROR(VLOOKUP(tbEscolas[[#This Row],[COD ETPA]],tbEtapas[],3,FALSE),"")</f>
        <v/>
      </c>
    </row>
    <row r="4962" spans="1:5" x14ac:dyDescent="0.25">
      <c r="A4962" t="str" cm="1">
        <f t="array" ref="A4962">IFERROR(INDEX(tbNucleo[ESCOLA],ROUNDUP(ROW(A4961)/TotalEtapas,0)),"")</f>
        <v/>
      </c>
      <c r="D4962" t="str">
        <f>IFERROR(VLOOKUP(tbEscolas[[#This Row],[COD ETPA]],tbEtapas[],2,FALSE),"")</f>
        <v/>
      </c>
      <c r="E4962" t="str">
        <f>IFERROR(VLOOKUP(tbEscolas[[#This Row],[COD ETPA]],tbEtapas[],3,FALSE),"")</f>
        <v/>
      </c>
    </row>
    <row r="4963" spans="1:5" x14ac:dyDescent="0.25">
      <c r="A4963" t="str" cm="1">
        <f t="array" ref="A4963">IFERROR(INDEX(tbNucleo[ESCOLA],ROUNDUP(ROW(A4962)/TotalEtapas,0)),"")</f>
        <v/>
      </c>
      <c r="D4963" t="str">
        <f>IFERROR(VLOOKUP(tbEscolas[[#This Row],[COD ETPA]],tbEtapas[],2,FALSE),"")</f>
        <v/>
      </c>
      <c r="E4963" t="str">
        <f>IFERROR(VLOOKUP(tbEscolas[[#This Row],[COD ETPA]],tbEtapas[],3,FALSE),"")</f>
        <v/>
      </c>
    </row>
    <row r="4964" spans="1:5" x14ac:dyDescent="0.25">
      <c r="A4964" t="str" cm="1">
        <f t="array" ref="A4964">IFERROR(INDEX(tbNucleo[ESCOLA],ROUNDUP(ROW(A4963)/TotalEtapas,0)),"")</f>
        <v/>
      </c>
      <c r="D4964" t="str">
        <f>IFERROR(VLOOKUP(tbEscolas[[#This Row],[COD ETPA]],tbEtapas[],2,FALSE),"")</f>
        <v/>
      </c>
      <c r="E4964" t="str">
        <f>IFERROR(VLOOKUP(tbEscolas[[#This Row],[COD ETPA]],tbEtapas[],3,FALSE),"")</f>
        <v/>
      </c>
    </row>
    <row r="4965" spans="1:5" x14ac:dyDescent="0.25">
      <c r="A4965" t="str" cm="1">
        <f t="array" ref="A4965">IFERROR(INDEX(tbNucleo[ESCOLA],ROUNDUP(ROW(A4964)/TotalEtapas,0)),"")</f>
        <v/>
      </c>
      <c r="D4965" t="str">
        <f>IFERROR(VLOOKUP(tbEscolas[[#This Row],[COD ETPA]],tbEtapas[],2,FALSE),"")</f>
        <v/>
      </c>
      <c r="E4965" t="str">
        <f>IFERROR(VLOOKUP(tbEscolas[[#This Row],[COD ETPA]],tbEtapas[],3,FALSE),"")</f>
        <v/>
      </c>
    </row>
    <row r="4966" spans="1:5" x14ac:dyDescent="0.25">
      <c r="A4966" t="str" cm="1">
        <f t="array" ref="A4966">IFERROR(INDEX(tbNucleo[ESCOLA],ROUNDUP(ROW(A4965)/TotalEtapas,0)),"")</f>
        <v/>
      </c>
      <c r="D4966" t="str">
        <f>IFERROR(VLOOKUP(tbEscolas[[#This Row],[COD ETPA]],tbEtapas[],2,FALSE),"")</f>
        <v/>
      </c>
      <c r="E4966" t="str">
        <f>IFERROR(VLOOKUP(tbEscolas[[#This Row],[COD ETPA]],tbEtapas[],3,FALSE),"")</f>
        <v/>
      </c>
    </row>
    <row r="4967" spans="1:5" x14ac:dyDescent="0.25">
      <c r="A4967" t="str" cm="1">
        <f t="array" ref="A4967">IFERROR(INDEX(tbNucleo[ESCOLA],ROUNDUP(ROW(A4966)/TotalEtapas,0)),"")</f>
        <v/>
      </c>
      <c r="D4967" t="str">
        <f>IFERROR(VLOOKUP(tbEscolas[[#This Row],[COD ETPA]],tbEtapas[],2,FALSE),"")</f>
        <v/>
      </c>
      <c r="E4967" t="str">
        <f>IFERROR(VLOOKUP(tbEscolas[[#This Row],[COD ETPA]],tbEtapas[],3,FALSE),"")</f>
        <v/>
      </c>
    </row>
    <row r="4968" spans="1:5" x14ac:dyDescent="0.25">
      <c r="A4968" t="str" cm="1">
        <f t="array" ref="A4968">IFERROR(INDEX(tbNucleo[ESCOLA],ROUNDUP(ROW(A4967)/TotalEtapas,0)),"")</f>
        <v/>
      </c>
      <c r="D4968" t="str">
        <f>IFERROR(VLOOKUP(tbEscolas[[#This Row],[COD ETPA]],tbEtapas[],2,FALSE),"")</f>
        <v/>
      </c>
      <c r="E4968" t="str">
        <f>IFERROR(VLOOKUP(tbEscolas[[#This Row],[COD ETPA]],tbEtapas[],3,FALSE),"")</f>
        <v/>
      </c>
    </row>
    <row r="4969" spans="1:5" x14ac:dyDescent="0.25">
      <c r="A4969" t="str" cm="1">
        <f t="array" ref="A4969">IFERROR(INDEX(tbNucleo[ESCOLA],ROUNDUP(ROW(A4968)/TotalEtapas,0)),"")</f>
        <v/>
      </c>
      <c r="D4969" t="str">
        <f>IFERROR(VLOOKUP(tbEscolas[[#This Row],[COD ETPA]],tbEtapas[],2,FALSE),"")</f>
        <v/>
      </c>
      <c r="E4969" t="str">
        <f>IFERROR(VLOOKUP(tbEscolas[[#This Row],[COD ETPA]],tbEtapas[],3,FALSE),"")</f>
        <v/>
      </c>
    </row>
    <row r="4970" spans="1:5" x14ac:dyDescent="0.25">
      <c r="A4970" t="str" cm="1">
        <f t="array" ref="A4970">IFERROR(INDEX(tbNucleo[ESCOLA],ROUNDUP(ROW(A4969)/TotalEtapas,0)),"")</f>
        <v/>
      </c>
      <c r="D4970" t="str">
        <f>IFERROR(VLOOKUP(tbEscolas[[#This Row],[COD ETPA]],tbEtapas[],2,FALSE),"")</f>
        <v/>
      </c>
      <c r="E4970" t="str">
        <f>IFERROR(VLOOKUP(tbEscolas[[#This Row],[COD ETPA]],tbEtapas[],3,FALSE),"")</f>
        <v/>
      </c>
    </row>
    <row r="4971" spans="1:5" x14ac:dyDescent="0.25">
      <c r="A4971" t="str" cm="1">
        <f t="array" ref="A4971">IFERROR(INDEX(tbNucleo[ESCOLA],ROUNDUP(ROW(A4970)/TotalEtapas,0)),"")</f>
        <v/>
      </c>
      <c r="D4971" t="str">
        <f>IFERROR(VLOOKUP(tbEscolas[[#This Row],[COD ETPA]],tbEtapas[],2,FALSE),"")</f>
        <v/>
      </c>
      <c r="E4971" t="str">
        <f>IFERROR(VLOOKUP(tbEscolas[[#This Row],[COD ETPA]],tbEtapas[],3,FALSE),"")</f>
        <v/>
      </c>
    </row>
    <row r="4972" spans="1:5" x14ac:dyDescent="0.25">
      <c r="A4972" t="str" cm="1">
        <f t="array" ref="A4972">IFERROR(INDEX(tbNucleo[ESCOLA],ROUNDUP(ROW(A4971)/TotalEtapas,0)),"")</f>
        <v/>
      </c>
      <c r="D4972" t="str">
        <f>IFERROR(VLOOKUP(tbEscolas[[#This Row],[COD ETPA]],tbEtapas[],2,FALSE),"")</f>
        <v/>
      </c>
      <c r="E4972" t="str">
        <f>IFERROR(VLOOKUP(tbEscolas[[#This Row],[COD ETPA]],tbEtapas[],3,FALSE),"")</f>
        <v/>
      </c>
    </row>
    <row r="4973" spans="1:5" x14ac:dyDescent="0.25">
      <c r="A4973" t="str" cm="1">
        <f t="array" ref="A4973">IFERROR(INDEX(tbNucleo[ESCOLA],ROUNDUP(ROW(A4972)/TotalEtapas,0)),"")</f>
        <v/>
      </c>
      <c r="D4973" t="str">
        <f>IFERROR(VLOOKUP(tbEscolas[[#This Row],[COD ETPA]],tbEtapas[],2,FALSE),"")</f>
        <v/>
      </c>
      <c r="E4973" t="str">
        <f>IFERROR(VLOOKUP(tbEscolas[[#This Row],[COD ETPA]],tbEtapas[],3,FALSE),"")</f>
        <v/>
      </c>
    </row>
    <row r="4974" spans="1:5" x14ac:dyDescent="0.25">
      <c r="A4974" t="str" cm="1">
        <f t="array" ref="A4974">IFERROR(INDEX(tbNucleo[ESCOLA],ROUNDUP(ROW(A4973)/TotalEtapas,0)),"")</f>
        <v/>
      </c>
      <c r="D4974" t="str">
        <f>IFERROR(VLOOKUP(tbEscolas[[#This Row],[COD ETPA]],tbEtapas[],2,FALSE),"")</f>
        <v/>
      </c>
      <c r="E4974" t="str">
        <f>IFERROR(VLOOKUP(tbEscolas[[#This Row],[COD ETPA]],tbEtapas[],3,FALSE),"")</f>
        <v/>
      </c>
    </row>
    <row r="4975" spans="1:5" x14ac:dyDescent="0.25">
      <c r="A4975" t="str" cm="1">
        <f t="array" ref="A4975">IFERROR(INDEX(tbNucleo[ESCOLA],ROUNDUP(ROW(A4974)/TotalEtapas,0)),"")</f>
        <v/>
      </c>
      <c r="D4975" t="str">
        <f>IFERROR(VLOOKUP(tbEscolas[[#This Row],[COD ETPA]],tbEtapas[],2,FALSE),"")</f>
        <v/>
      </c>
      <c r="E4975" t="str">
        <f>IFERROR(VLOOKUP(tbEscolas[[#This Row],[COD ETPA]],tbEtapas[],3,FALSE),"")</f>
        <v/>
      </c>
    </row>
    <row r="4976" spans="1:5" x14ac:dyDescent="0.25">
      <c r="A4976" t="str" cm="1">
        <f t="array" ref="A4976">IFERROR(INDEX(tbNucleo[ESCOLA],ROUNDUP(ROW(A4975)/TotalEtapas,0)),"")</f>
        <v/>
      </c>
      <c r="D4976" t="str">
        <f>IFERROR(VLOOKUP(tbEscolas[[#This Row],[COD ETPA]],tbEtapas[],2,FALSE),"")</f>
        <v/>
      </c>
      <c r="E4976" t="str">
        <f>IFERROR(VLOOKUP(tbEscolas[[#This Row],[COD ETPA]],tbEtapas[],3,FALSE),"")</f>
        <v/>
      </c>
    </row>
    <row r="4977" spans="1:5" x14ac:dyDescent="0.25">
      <c r="A4977" t="str" cm="1">
        <f t="array" ref="A4977">IFERROR(INDEX(tbNucleo[ESCOLA],ROUNDUP(ROW(A4976)/TotalEtapas,0)),"")</f>
        <v/>
      </c>
      <c r="D4977" t="str">
        <f>IFERROR(VLOOKUP(tbEscolas[[#This Row],[COD ETPA]],tbEtapas[],2,FALSE),"")</f>
        <v/>
      </c>
      <c r="E4977" t="str">
        <f>IFERROR(VLOOKUP(tbEscolas[[#This Row],[COD ETPA]],tbEtapas[],3,FALSE),"")</f>
        <v/>
      </c>
    </row>
    <row r="4978" spans="1:5" x14ac:dyDescent="0.25">
      <c r="A4978" t="str" cm="1">
        <f t="array" ref="A4978">IFERROR(INDEX(tbNucleo[ESCOLA],ROUNDUP(ROW(A4977)/TotalEtapas,0)),"")</f>
        <v/>
      </c>
      <c r="D4978" t="str">
        <f>IFERROR(VLOOKUP(tbEscolas[[#This Row],[COD ETPA]],tbEtapas[],2,FALSE),"")</f>
        <v/>
      </c>
      <c r="E4978" t="str">
        <f>IFERROR(VLOOKUP(tbEscolas[[#This Row],[COD ETPA]],tbEtapas[],3,FALSE),"")</f>
        <v/>
      </c>
    </row>
    <row r="4979" spans="1:5" x14ac:dyDescent="0.25">
      <c r="A4979" t="str" cm="1">
        <f t="array" ref="A4979">IFERROR(INDEX(tbNucleo[ESCOLA],ROUNDUP(ROW(A4978)/TotalEtapas,0)),"")</f>
        <v/>
      </c>
      <c r="D4979" t="str">
        <f>IFERROR(VLOOKUP(tbEscolas[[#This Row],[COD ETPA]],tbEtapas[],2,FALSE),"")</f>
        <v/>
      </c>
      <c r="E4979" t="str">
        <f>IFERROR(VLOOKUP(tbEscolas[[#This Row],[COD ETPA]],tbEtapas[],3,FALSE),"")</f>
        <v/>
      </c>
    </row>
    <row r="4980" spans="1:5" x14ac:dyDescent="0.25">
      <c r="A4980" t="str" cm="1">
        <f t="array" ref="A4980">IFERROR(INDEX(tbNucleo[ESCOLA],ROUNDUP(ROW(A4979)/TotalEtapas,0)),"")</f>
        <v/>
      </c>
      <c r="D4980" t="str">
        <f>IFERROR(VLOOKUP(tbEscolas[[#This Row],[COD ETPA]],tbEtapas[],2,FALSE),"")</f>
        <v/>
      </c>
      <c r="E4980" t="str">
        <f>IFERROR(VLOOKUP(tbEscolas[[#This Row],[COD ETPA]],tbEtapas[],3,FALSE),"")</f>
        <v/>
      </c>
    </row>
    <row r="4981" spans="1:5" x14ac:dyDescent="0.25">
      <c r="A4981" t="str" cm="1">
        <f t="array" ref="A4981">IFERROR(INDEX(tbNucleo[ESCOLA],ROUNDUP(ROW(A4980)/TotalEtapas,0)),"")</f>
        <v/>
      </c>
      <c r="D4981" t="str">
        <f>IFERROR(VLOOKUP(tbEscolas[[#This Row],[COD ETPA]],tbEtapas[],2,FALSE),"")</f>
        <v/>
      </c>
      <c r="E4981" t="str">
        <f>IFERROR(VLOOKUP(tbEscolas[[#This Row],[COD ETPA]],tbEtapas[],3,FALSE),"")</f>
        <v/>
      </c>
    </row>
    <row r="4982" spans="1:5" x14ac:dyDescent="0.25">
      <c r="A4982" t="str" cm="1">
        <f t="array" ref="A4982">IFERROR(INDEX(tbNucleo[ESCOLA],ROUNDUP(ROW(A4981)/TotalEtapas,0)),"")</f>
        <v/>
      </c>
      <c r="D4982" t="str">
        <f>IFERROR(VLOOKUP(tbEscolas[[#This Row],[COD ETPA]],tbEtapas[],2,FALSE),"")</f>
        <v/>
      </c>
      <c r="E4982" t="str">
        <f>IFERROR(VLOOKUP(tbEscolas[[#This Row],[COD ETPA]],tbEtapas[],3,FALSE),"")</f>
        <v/>
      </c>
    </row>
    <row r="4983" spans="1:5" x14ac:dyDescent="0.25">
      <c r="A4983" t="str" cm="1">
        <f t="array" ref="A4983">IFERROR(INDEX(tbNucleo[ESCOLA],ROUNDUP(ROW(A4982)/TotalEtapas,0)),"")</f>
        <v/>
      </c>
      <c r="D4983" t="str">
        <f>IFERROR(VLOOKUP(tbEscolas[[#This Row],[COD ETPA]],tbEtapas[],2,FALSE),"")</f>
        <v/>
      </c>
      <c r="E4983" t="str">
        <f>IFERROR(VLOOKUP(tbEscolas[[#This Row],[COD ETPA]],tbEtapas[],3,FALSE),"")</f>
        <v/>
      </c>
    </row>
    <row r="4984" spans="1:5" x14ac:dyDescent="0.25">
      <c r="A4984" t="str" cm="1">
        <f t="array" ref="A4984">IFERROR(INDEX(tbNucleo[ESCOLA],ROUNDUP(ROW(A4983)/TotalEtapas,0)),"")</f>
        <v/>
      </c>
      <c r="D4984" t="str">
        <f>IFERROR(VLOOKUP(tbEscolas[[#This Row],[COD ETPA]],tbEtapas[],2,FALSE),"")</f>
        <v/>
      </c>
      <c r="E4984" t="str">
        <f>IFERROR(VLOOKUP(tbEscolas[[#This Row],[COD ETPA]],tbEtapas[],3,FALSE),"")</f>
        <v/>
      </c>
    </row>
    <row r="4985" spans="1:5" x14ac:dyDescent="0.25">
      <c r="A4985" t="str" cm="1">
        <f t="array" ref="A4985">IFERROR(INDEX(tbNucleo[ESCOLA],ROUNDUP(ROW(A4984)/TotalEtapas,0)),"")</f>
        <v/>
      </c>
      <c r="D4985" t="str">
        <f>IFERROR(VLOOKUP(tbEscolas[[#This Row],[COD ETPA]],tbEtapas[],2,FALSE),"")</f>
        <v/>
      </c>
      <c r="E4985" t="str">
        <f>IFERROR(VLOOKUP(tbEscolas[[#This Row],[COD ETPA]],tbEtapas[],3,FALSE),"")</f>
        <v/>
      </c>
    </row>
    <row r="4986" spans="1:5" x14ac:dyDescent="0.25">
      <c r="A4986" t="str" cm="1">
        <f t="array" ref="A4986">IFERROR(INDEX(tbNucleo[ESCOLA],ROUNDUP(ROW(A4985)/TotalEtapas,0)),"")</f>
        <v/>
      </c>
      <c r="D4986" t="str">
        <f>IFERROR(VLOOKUP(tbEscolas[[#This Row],[COD ETPA]],tbEtapas[],2,FALSE),"")</f>
        <v/>
      </c>
      <c r="E4986" t="str">
        <f>IFERROR(VLOOKUP(tbEscolas[[#This Row],[COD ETPA]],tbEtapas[],3,FALSE),"")</f>
        <v/>
      </c>
    </row>
    <row r="4987" spans="1:5" x14ac:dyDescent="0.25">
      <c r="A4987" t="str" cm="1">
        <f t="array" ref="A4987">IFERROR(INDEX(tbNucleo[ESCOLA],ROUNDUP(ROW(A4986)/TotalEtapas,0)),"")</f>
        <v/>
      </c>
      <c r="D4987" t="str">
        <f>IFERROR(VLOOKUP(tbEscolas[[#This Row],[COD ETPA]],tbEtapas[],2,FALSE),"")</f>
        <v/>
      </c>
      <c r="E4987" t="str">
        <f>IFERROR(VLOOKUP(tbEscolas[[#This Row],[COD ETPA]],tbEtapas[],3,FALSE),"")</f>
        <v/>
      </c>
    </row>
    <row r="4988" spans="1:5" x14ac:dyDescent="0.25">
      <c r="A4988" t="str" cm="1">
        <f t="array" ref="A4988">IFERROR(INDEX(tbNucleo[ESCOLA],ROUNDUP(ROW(A4987)/TotalEtapas,0)),"")</f>
        <v/>
      </c>
      <c r="D4988" t="str">
        <f>IFERROR(VLOOKUP(tbEscolas[[#This Row],[COD ETPA]],tbEtapas[],2,FALSE),"")</f>
        <v/>
      </c>
      <c r="E4988" t="str">
        <f>IFERROR(VLOOKUP(tbEscolas[[#This Row],[COD ETPA]],tbEtapas[],3,FALSE),"")</f>
        <v/>
      </c>
    </row>
    <row r="4989" spans="1:5" x14ac:dyDescent="0.25">
      <c r="A4989" t="str" cm="1">
        <f t="array" ref="A4989">IFERROR(INDEX(tbNucleo[ESCOLA],ROUNDUP(ROW(A4988)/TotalEtapas,0)),"")</f>
        <v/>
      </c>
      <c r="D4989" t="str">
        <f>IFERROR(VLOOKUP(tbEscolas[[#This Row],[COD ETPA]],tbEtapas[],2,FALSE),"")</f>
        <v/>
      </c>
      <c r="E4989" t="str">
        <f>IFERROR(VLOOKUP(tbEscolas[[#This Row],[COD ETPA]],tbEtapas[],3,FALSE),"")</f>
        <v/>
      </c>
    </row>
    <row r="4990" spans="1:5" x14ac:dyDescent="0.25">
      <c r="A4990" t="str" cm="1">
        <f t="array" ref="A4990">IFERROR(INDEX(tbNucleo[ESCOLA],ROUNDUP(ROW(A4989)/TotalEtapas,0)),"")</f>
        <v/>
      </c>
      <c r="D4990" t="str">
        <f>IFERROR(VLOOKUP(tbEscolas[[#This Row],[COD ETPA]],tbEtapas[],2,FALSE),"")</f>
        <v/>
      </c>
      <c r="E4990" t="str">
        <f>IFERROR(VLOOKUP(tbEscolas[[#This Row],[COD ETPA]],tbEtapas[],3,FALSE),"")</f>
        <v/>
      </c>
    </row>
    <row r="4991" spans="1:5" x14ac:dyDescent="0.25">
      <c r="A4991" t="str" cm="1">
        <f t="array" ref="A4991">IFERROR(INDEX(tbNucleo[ESCOLA],ROUNDUP(ROW(A4990)/TotalEtapas,0)),"")</f>
        <v/>
      </c>
      <c r="D4991" t="str">
        <f>IFERROR(VLOOKUP(tbEscolas[[#This Row],[COD ETPA]],tbEtapas[],2,FALSE),"")</f>
        <v/>
      </c>
      <c r="E4991" t="str">
        <f>IFERROR(VLOOKUP(tbEscolas[[#This Row],[COD ETPA]],tbEtapas[],3,FALSE),"")</f>
        <v/>
      </c>
    </row>
    <row r="4992" spans="1:5" x14ac:dyDescent="0.25">
      <c r="A4992" t="str" cm="1">
        <f t="array" ref="A4992">IFERROR(INDEX(tbNucleo[ESCOLA],ROUNDUP(ROW(A4991)/TotalEtapas,0)),"")</f>
        <v/>
      </c>
      <c r="D4992" t="str">
        <f>IFERROR(VLOOKUP(tbEscolas[[#This Row],[COD ETPA]],tbEtapas[],2,FALSE),"")</f>
        <v/>
      </c>
      <c r="E4992" t="str">
        <f>IFERROR(VLOOKUP(tbEscolas[[#This Row],[COD ETPA]],tbEtapas[],3,FALSE),"")</f>
        <v/>
      </c>
    </row>
    <row r="4993" spans="1:5" x14ac:dyDescent="0.25">
      <c r="A4993" t="str" cm="1">
        <f t="array" ref="A4993">IFERROR(INDEX(tbNucleo[ESCOLA],ROUNDUP(ROW(A4992)/TotalEtapas,0)),"")</f>
        <v/>
      </c>
      <c r="D4993" t="str">
        <f>IFERROR(VLOOKUP(tbEscolas[[#This Row],[COD ETPA]],tbEtapas[],2,FALSE),"")</f>
        <v/>
      </c>
      <c r="E4993" t="str">
        <f>IFERROR(VLOOKUP(tbEscolas[[#This Row],[COD ETPA]],tbEtapas[],3,FALSE),"")</f>
        <v/>
      </c>
    </row>
    <row r="4994" spans="1:5" x14ac:dyDescent="0.25">
      <c r="A4994" t="str" cm="1">
        <f t="array" ref="A4994">IFERROR(INDEX(tbNucleo[ESCOLA],ROUNDUP(ROW(A4993)/TotalEtapas,0)),"")</f>
        <v/>
      </c>
      <c r="D4994" t="str">
        <f>IFERROR(VLOOKUP(tbEscolas[[#This Row],[COD ETPA]],tbEtapas[],2,FALSE),"")</f>
        <v/>
      </c>
      <c r="E4994" t="str">
        <f>IFERROR(VLOOKUP(tbEscolas[[#This Row],[COD ETPA]],tbEtapas[],3,FALSE),"")</f>
        <v/>
      </c>
    </row>
    <row r="4995" spans="1:5" x14ac:dyDescent="0.25">
      <c r="A4995" t="str" cm="1">
        <f t="array" ref="A4995">IFERROR(INDEX(tbNucleo[ESCOLA],ROUNDUP(ROW(A4994)/TotalEtapas,0)),"")</f>
        <v/>
      </c>
      <c r="D4995" t="str">
        <f>IFERROR(VLOOKUP(tbEscolas[[#This Row],[COD ETPA]],tbEtapas[],2,FALSE),"")</f>
        <v/>
      </c>
      <c r="E4995" t="str">
        <f>IFERROR(VLOOKUP(tbEscolas[[#This Row],[COD ETPA]],tbEtapas[],3,FALSE),"")</f>
        <v/>
      </c>
    </row>
    <row r="4996" spans="1:5" x14ac:dyDescent="0.25">
      <c r="A4996" t="str" cm="1">
        <f t="array" ref="A4996">IFERROR(INDEX(tbNucleo[ESCOLA],ROUNDUP(ROW(A4995)/TotalEtapas,0)),"")</f>
        <v/>
      </c>
      <c r="D4996" t="str">
        <f>IFERROR(VLOOKUP(tbEscolas[[#This Row],[COD ETPA]],tbEtapas[],2,FALSE),"")</f>
        <v/>
      </c>
      <c r="E4996" t="str">
        <f>IFERROR(VLOOKUP(tbEscolas[[#This Row],[COD ETPA]],tbEtapas[],3,FALSE),"")</f>
        <v/>
      </c>
    </row>
    <row r="4997" spans="1:5" x14ac:dyDescent="0.25">
      <c r="A4997" t="str" cm="1">
        <f t="array" ref="A4997">IFERROR(INDEX(tbNucleo[ESCOLA],ROUNDUP(ROW(A4996)/TotalEtapas,0)),"")</f>
        <v/>
      </c>
      <c r="D4997" t="str">
        <f>IFERROR(VLOOKUP(tbEscolas[[#This Row],[COD ETPA]],tbEtapas[],2,FALSE),"")</f>
        <v/>
      </c>
      <c r="E4997" t="str">
        <f>IFERROR(VLOOKUP(tbEscolas[[#This Row],[COD ETPA]],tbEtapas[],3,FALSE),"")</f>
        <v/>
      </c>
    </row>
    <row r="4998" spans="1:5" x14ac:dyDescent="0.25">
      <c r="A4998" t="str" cm="1">
        <f t="array" ref="A4998">IFERROR(INDEX(tbNucleo[ESCOLA],ROUNDUP(ROW(A4997)/TotalEtapas,0)),"")</f>
        <v/>
      </c>
      <c r="D4998" t="str">
        <f>IFERROR(VLOOKUP(tbEscolas[[#This Row],[COD ETPA]],tbEtapas[],2,FALSE),"")</f>
        <v/>
      </c>
      <c r="E4998" t="str">
        <f>IFERROR(VLOOKUP(tbEscolas[[#This Row],[COD ETPA]],tbEtapas[],3,FALSE),"")</f>
        <v/>
      </c>
    </row>
    <row r="4999" spans="1:5" x14ac:dyDescent="0.25">
      <c r="A4999" t="str" cm="1">
        <f t="array" ref="A4999">IFERROR(INDEX(tbNucleo[ESCOLA],ROUNDUP(ROW(A4998)/TotalEtapas,0)),"")</f>
        <v/>
      </c>
      <c r="D4999" t="str">
        <f>IFERROR(VLOOKUP(tbEscolas[[#This Row],[COD ETPA]],tbEtapas[],2,FALSE),"")</f>
        <v/>
      </c>
      <c r="E4999" t="str">
        <f>IFERROR(VLOOKUP(tbEscolas[[#This Row],[COD ETPA]],tbEtapas[],3,FALSE),"")</f>
        <v/>
      </c>
    </row>
    <row r="5000" spans="1:5" x14ac:dyDescent="0.25">
      <c r="A5000" t="str" cm="1">
        <f t="array" ref="A5000">IFERROR(INDEX(tbNucleo[ESCOLA],ROUNDUP(ROW(A4999)/TotalEtapas,0)),"")</f>
        <v/>
      </c>
      <c r="D5000" t="str">
        <f>IFERROR(VLOOKUP(tbEscolas[[#This Row],[COD ETPA]],tbEtapas[],2,FALSE),"")</f>
        <v/>
      </c>
      <c r="E5000" t="str">
        <f>IFERROR(VLOOKUP(tbEscolas[[#This Row],[COD ETPA]],tbEtapas[],3,FALSE),"")</f>
        <v/>
      </c>
    </row>
    <row r="5001" spans="1:5" x14ac:dyDescent="0.25">
      <c r="A5001" t="str" cm="1">
        <f t="array" ref="A5001">IFERROR(INDEX(tbNucleo[ESCOLA],ROUNDUP(ROW(A5000)/TotalEtapas,0)),"")</f>
        <v/>
      </c>
      <c r="D5001" t="str">
        <f>IFERROR(VLOOKUP(tbEscolas[[#This Row],[COD ETPA]],tbEtapas[],2,FALSE),"")</f>
        <v/>
      </c>
      <c r="E5001" t="str">
        <f>IFERROR(VLOOKUP(tbEscolas[[#This Row],[COD ETPA]],tbEtapas[],3,FALSE),"")</f>
        <v/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071D-FB63-4974-9053-0457053B8FD6}">
  <dimension ref="A1:G91"/>
  <sheetViews>
    <sheetView tabSelected="1" topLeftCell="B74" workbookViewId="0">
      <selection activeCell="B93" sqref="B93"/>
    </sheetView>
  </sheetViews>
  <sheetFormatPr defaultRowHeight="15" x14ac:dyDescent="0.25"/>
  <cols>
    <col min="1" max="1" width="27.7109375" hidden="1" customWidth="1"/>
    <col min="2" max="2" width="48.85546875" bestFit="1" customWidth="1"/>
    <col min="3" max="3" width="44" bestFit="1" customWidth="1"/>
    <col min="4" max="4" width="22.85546875" bestFit="1" customWidth="1"/>
    <col min="5" max="5" width="18.85546875" bestFit="1" customWidth="1"/>
    <col min="6" max="6" width="19.140625" bestFit="1" customWidth="1"/>
  </cols>
  <sheetData>
    <row r="1" spans="1:7" x14ac:dyDescent="0.25">
      <c r="A1" t="s">
        <v>30</v>
      </c>
      <c r="B1" t="s">
        <v>3</v>
      </c>
      <c r="C1" t="s">
        <v>310</v>
      </c>
      <c r="D1" t="s">
        <v>4</v>
      </c>
      <c r="E1" t="s">
        <v>6</v>
      </c>
      <c r="F1" t="s">
        <v>5</v>
      </c>
      <c r="G1" t="s">
        <v>136</v>
      </c>
    </row>
    <row r="2" spans="1:7" x14ac:dyDescent="0.25">
      <c r="A2">
        <f>ROW()-1</f>
        <v>1</v>
      </c>
      <c r="B2" s="13" t="s">
        <v>247</v>
      </c>
      <c r="C2" s="13"/>
      <c r="D2" s="16" t="s">
        <v>246</v>
      </c>
      <c r="E2" t="s">
        <v>248</v>
      </c>
      <c r="F2" t="s">
        <v>58</v>
      </c>
      <c r="G2" t="s">
        <v>112</v>
      </c>
    </row>
    <row r="3" spans="1:7" x14ac:dyDescent="0.25">
      <c r="A3">
        <f>ROW()-1</f>
        <v>2</v>
      </c>
      <c r="B3" s="13" t="s">
        <v>247</v>
      </c>
      <c r="C3" s="13"/>
      <c r="D3" s="17" t="s">
        <v>246</v>
      </c>
      <c r="E3" t="s">
        <v>248</v>
      </c>
      <c r="F3" t="s">
        <v>34</v>
      </c>
      <c r="G3" t="s">
        <v>112</v>
      </c>
    </row>
    <row r="4" spans="1:7" x14ac:dyDescent="0.25">
      <c r="A4">
        <f>ROW()-1</f>
        <v>3</v>
      </c>
      <c r="B4" s="13" t="s">
        <v>195</v>
      </c>
      <c r="C4" s="13"/>
      <c r="D4" s="18" t="s">
        <v>199</v>
      </c>
      <c r="E4" t="s">
        <v>203</v>
      </c>
      <c r="F4" t="s">
        <v>58</v>
      </c>
      <c r="G4" t="s">
        <v>115</v>
      </c>
    </row>
    <row r="5" spans="1:7" x14ac:dyDescent="0.25">
      <c r="A5">
        <f>ROW()-1</f>
        <v>4</v>
      </c>
      <c r="B5" s="13" t="s">
        <v>197</v>
      </c>
      <c r="C5" s="13"/>
      <c r="D5" s="19" t="s">
        <v>201</v>
      </c>
      <c r="E5" t="s">
        <v>205</v>
      </c>
      <c r="F5" s="13" t="s">
        <v>58</v>
      </c>
      <c r="G5" t="s">
        <v>115</v>
      </c>
    </row>
    <row r="6" spans="1:7" x14ac:dyDescent="0.25">
      <c r="A6">
        <f>ROW()-1</f>
        <v>5</v>
      </c>
      <c r="B6" s="13" t="s">
        <v>215</v>
      </c>
      <c r="C6" s="13"/>
      <c r="D6" s="18" t="s">
        <v>222</v>
      </c>
      <c r="E6" t="s">
        <v>229</v>
      </c>
      <c r="F6" s="13" t="s">
        <v>34</v>
      </c>
      <c r="G6" t="s">
        <v>117</v>
      </c>
    </row>
    <row r="7" spans="1:7" x14ac:dyDescent="0.25">
      <c r="A7">
        <f>ROW()-1</f>
        <v>6</v>
      </c>
      <c r="B7" s="13" t="s">
        <v>183</v>
      </c>
      <c r="C7" s="13"/>
      <c r="D7" s="19" t="s">
        <v>186</v>
      </c>
      <c r="E7" t="s">
        <v>192</v>
      </c>
      <c r="F7" t="s">
        <v>34</v>
      </c>
      <c r="G7" t="s">
        <v>116</v>
      </c>
    </row>
    <row r="8" spans="1:7" x14ac:dyDescent="0.25">
      <c r="A8">
        <f>ROW()-1</f>
        <v>7</v>
      </c>
      <c r="B8" t="s">
        <v>35</v>
      </c>
      <c r="D8" t="s">
        <v>36</v>
      </c>
      <c r="E8" t="s">
        <v>66</v>
      </c>
      <c r="F8" t="s">
        <v>34</v>
      </c>
      <c r="G8" t="s">
        <v>31</v>
      </c>
    </row>
    <row r="9" spans="1:7" x14ac:dyDescent="0.25">
      <c r="A9">
        <f>ROW()-1</f>
        <v>8</v>
      </c>
      <c r="B9" t="s">
        <v>37</v>
      </c>
      <c r="D9" t="s">
        <v>47</v>
      </c>
      <c r="E9" t="s">
        <v>309</v>
      </c>
      <c r="F9" t="s">
        <v>34</v>
      </c>
      <c r="G9" t="s">
        <v>31</v>
      </c>
    </row>
    <row r="10" spans="1:7" x14ac:dyDescent="0.25">
      <c r="A10">
        <f>ROW()-1</f>
        <v>9</v>
      </c>
      <c r="B10" t="s">
        <v>63</v>
      </c>
      <c r="D10" t="s">
        <v>64</v>
      </c>
      <c r="E10" t="s">
        <v>78</v>
      </c>
      <c r="F10" t="s">
        <v>58</v>
      </c>
      <c r="G10" t="s">
        <v>31</v>
      </c>
    </row>
    <row r="11" spans="1:7" x14ac:dyDescent="0.25">
      <c r="A11">
        <f>ROW()-1</f>
        <v>10</v>
      </c>
      <c r="B11" t="s">
        <v>137</v>
      </c>
      <c r="D11" t="s">
        <v>138</v>
      </c>
      <c r="E11" t="s">
        <v>139</v>
      </c>
      <c r="F11" t="s">
        <v>58</v>
      </c>
      <c r="G11" t="s">
        <v>111</v>
      </c>
    </row>
    <row r="12" spans="1:7" x14ac:dyDescent="0.25">
      <c r="A12">
        <f>ROW()-1</f>
        <v>11</v>
      </c>
      <c r="B12" t="s">
        <v>52</v>
      </c>
      <c r="D12" t="s">
        <v>53</v>
      </c>
      <c r="E12" t="s">
        <v>72</v>
      </c>
      <c r="F12" t="s">
        <v>34</v>
      </c>
      <c r="G12" t="s">
        <v>31</v>
      </c>
    </row>
    <row r="13" spans="1:7" x14ac:dyDescent="0.25">
      <c r="A13">
        <f>ROW()-1</f>
        <v>12</v>
      </c>
      <c r="B13" s="13" t="s">
        <v>254</v>
      </c>
      <c r="C13" s="13"/>
      <c r="D13" s="17" t="s">
        <v>257</v>
      </c>
      <c r="E13" t="s">
        <v>262</v>
      </c>
      <c r="F13" t="s">
        <v>58</v>
      </c>
      <c r="G13" t="s">
        <v>114</v>
      </c>
    </row>
    <row r="14" spans="1:7" x14ac:dyDescent="0.25">
      <c r="A14">
        <f>ROW()-1</f>
        <v>13</v>
      </c>
      <c r="B14" s="13" t="s">
        <v>254</v>
      </c>
      <c r="C14" s="13"/>
      <c r="D14" s="16" t="s">
        <v>257</v>
      </c>
      <c r="E14" t="s">
        <v>262</v>
      </c>
      <c r="F14" t="s">
        <v>34</v>
      </c>
      <c r="G14" t="s">
        <v>114</v>
      </c>
    </row>
    <row r="15" spans="1:7" x14ac:dyDescent="0.25">
      <c r="A15">
        <f>ROW()-1</f>
        <v>14</v>
      </c>
      <c r="B15" t="s">
        <v>41</v>
      </c>
      <c r="D15" t="s">
        <v>42</v>
      </c>
      <c r="E15" t="s">
        <v>69</v>
      </c>
      <c r="F15" t="s">
        <v>34</v>
      </c>
      <c r="G15" t="s">
        <v>31</v>
      </c>
    </row>
    <row r="16" spans="1:7" x14ac:dyDescent="0.25">
      <c r="A16">
        <f>ROW()-1</f>
        <v>15</v>
      </c>
      <c r="B16" t="s">
        <v>41</v>
      </c>
      <c r="D16" t="s">
        <v>43</v>
      </c>
      <c r="E16" t="s">
        <v>79</v>
      </c>
      <c r="F16" t="s">
        <v>58</v>
      </c>
      <c r="G16" t="s">
        <v>31</v>
      </c>
    </row>
    <row r="17" spans="1:7" x14ac:dyDescent="0.25">
      <c r="A17">
        <f>ROW()-1</f>
        <v>16</v>
      </c>
      <c r="B17" s="13" t="s">
        <v>244</v>
      </c>
      <c r="C17" s="13"/>
      <c r="D17" s="17" t="s">
        <v>243</v>
      </c>
      <c r="E17" t="s">
        <v>245</v>
      </c>
      <c r="F17" t="s">
        <v>58</v>
      </c>
      <c r="G17" t="s">
        <v>112</v>
      </c>
    </row>
    <row r="18" spans="1:7" x14ac:dyDescent="0.25">
      <c r="A18">
        <f>ROW()-1</f>
        <v>17</v>
      </c>
      <c r="B18" s="13" t="s">
        <v>244</v>
      </c>
      <c r="C18" s="13"/>
      <c r="D18" s="16" t="s">
        <v>243</v>
      </c>
      <c r="E18" t="s">
        <v>245</v>
      </c>
      <c r="F18" t="s">
        <v>34</v>
      </c>
      <c r="G18" t="s">
        <v>112</v>
      </c>
    </row>
    <row r="19" spans="1:7" x14ac:dyDescent="0.25">
      <c r="A19">
        <f>ROW()-1</f>
        <v>18</v>
      </c>
      <c r="B19" t="s">
        <v>161</v>
      </c>
      <c r="D19" t="s">
        <v>162</v>
      </c>
      <c r="E19" t="s">
        <v>163</v>
      </c>
      <c r="F19" t="s">
        <v>58</v>
      </c>
      <c r="G19" t="s">
        <v>120</v>
      </c>
    </row>
    <row r="20" spans="1:7" x14ac:dyDescent="0.25">
      <c r="A20">
        <f>ROW()-1</f>
        <v>19</v>
      </c>
      <c r="B20" t="s">
        <v>170</v>
      </c>
      <c r="D20" t="s">
        <v>171</v>
      </c>
      <c r="E20" t="s">
        <v>172</v>
      </c>
      <c r="F20" t="s">
        <v>58</v>
      </c>
      <c r="G20" t="s">
        <v>120</v>
      </c>
    </row>
    <row r="21" spans="1:7" x14ac:dyDescent="0.25">
      <c r="A21">
        <f>ROW()-1</f>
        <v>20</v>
      </c>
      <c r="B21" s="13" t="s">
        <v>293</v>
      </c>
      <c r="C21" s="13"/>
      <c r="D21" s="13" t="s">
        <v>292</v>
      </c>
      <c r="E21" t="s">
        <v>296</v>
      </c>
      <c r="F21" t="s">
        <v>58</v>
      </c>
      <c r="G21" t="s">
        <v>110</v>
      </c>
    </row>
    <row r="22" spans="1:7" x14ac:dyDescent="0.25">
      <c r="A22">
        <f>ROW()-1</f>
        <v>21</v>
      </c>
      <c r="B22" s="13" t="s">
        <v>281</v>
      </c>
      <c r="C22" s="13"/>
      <c r="D22" s="13" t="s">
        <v>276</v>
      </c>
      <c r="E22" t="s">
        <v>287</v>
      </c>
      <c r="F22" t="s">
        <v>58</v>
      </c>
      <c r="G22" t="s">
        <v>119</v>
      </c>
    </row>
    <row r="23" spans="1:7" x14ac:dyDescent="0.25">
      <c r="A23">
        <f>ROW()-1</f>
        <v>22</v>
      </c>
      <c r="B23" s="13" t="s">
        <v>281</v>
      </c>
      <c r="C23" s="13"/>
      <c r="D23" s="13" t="s">
        <v>276</v>
      </c>
      <c r="E23" t="s">
        <v>287</v>
      </c>
      <c r="F23" t="s">
        <v>34</v>
      </c>
      <c r="G23" t="s">
        <v>119</v>
      </c>
    </row>
    <row r="24" spans="1:7" x14ac:dyDescent="0.25">
      <c r="A24">
        <f>ROW()-1</f>
        <v>23</v>
      </c>
      <c r="B24" t="s">
        <v>59</v>
      </c>
      <c r="D24" t="s">
        <v>60</v>
      </c>
      <c r="E24" t="s">
        <v>76</v>
      </c>
      <c r="F24" t="s">
        <v>58</v>
      </c>
      <c r="G24" t="s">
        <v>31</v>
      </c>
    </row>
    <row r="25" spans="1:7" x14ac:dyDescent="0.25">
      <c r="A25">
        <f>ROW()-1</f>
        <v>24</v>
      </c>
      <c r="B25" s="13" t="s">
        <v>188</v>
      </c>
      <c r="C25" s="13"/>
      <c r="D25" s="13" t="s">
        <v>185</v>
      </c>
      <c r="E25" t="s">
        <v>190</v>
      </c>
      <c r="F25" t="s">
        <v>34</v>
      </c>
      <c r="G25" t="s">
        <v>116</v>
      </c>
    </row>
    <row r="26" spans="1:7" x14ac:dyDescent="0.25">
      <c r="A26">
        <f>ROW()-1</f>
        <v>25</v>
      </c>
      <c r="B26" s="13" t="s">
        <v>277</v>
      </c>
      <c r="C26" s="13"/>
      <c r="D26" s="13" t="s">
        <v>272</v>
      </c>
      <c r="E26" t="s">
        <v>283</v>
      </c>
      <c r="F26" t="s">
        <v>58</v>
      </c>
      <c r="G26" t="s">
        <v>119</v>
      </c>
    </row>
    <row r="27" spans="1:7" x14ac:dyDescent="0.25">
      <c r="A27">
        <f>ROW()-1</f>
        <v>26</v>
      </c>
      <c r="B27" s="13" t="s">
        <v>277</v>
      </c>
      <c r="C27" s="13"/>
      <c r="D27" s="13" t="s">
        <v>272</v>
      </c>
      <c r="E27" t="s">
        <v>283</v>
      </c>
      <c r="F27" t="s">
        <v>34</v>
      </c>
      <c r="G27" t="s">
        <v>119</v>
      </c>
    </row>
    <row r="28" spans="1:7" ht="15.75" x14ac:dyDescent="0.25">
      <c r="A28">
        <f>ROW()-1</f>
        <v>27</v>
      </c>
      <c r="B28" s="13" t="s">
        <v>180</v>
      </c>
      <c r="C28" s="13"/>
      <c r="D28" s="14" t="s">
        <v>179</v>
      </c>
      <c r="E28" t="s">
        <v>181</v>
      </c>
      <c r="F28" t="s">
        <v>34</v>
      </c>
      <c r="G28" t="s">
        <v>116</v>
      </c>
    </row>
    <row r="29" spans="1:7" x14ac:dyDescent="0.25">
      <c r="A29">
        <f>ROW()-1</f>
        <v>28</v>
      </c>
      <c r="B29" s="13" t="s">
        <v>214</v>
      </c>
      <c r="C29" s="13"/>
      <c r="D29" s="13" t="s">
        <v>221</v>
      </c>
      <c r="E29" t="s">
        <v>228</v>
      </c>
      <c r="F29" s="13" t="s">
        <v>34</v>
      </c>
      <c r="G29" t="s">
        <v>117</v>
      </c>
    </row>
    <row r="30" spans="1:7" x14ac:dyDescent="0.25">
      <c r="A30">
        <f>ROW()-1</f>
        <v>29</v>
      </c>
      <c r="B30" s="13" t="s">
        <v>255</v>
      </c>
      <c r="C30" s="13"/>
      <c r="D30" s="13" t="s">
        <v>258</v>
      </c>
      <c r="E30" t="s">
        <v>263</v>
      </c>
      <c r="F30" t="s">
        <v>58</v>
      </c>
      <c r="G30" t="s">
        <v>114</v>
      </c>
    </row>
    <row r="31" spans="1:7" x14ac:dyDescent="0.25">
      <c r="A31">
        <f>ROW()-1</f>
        <v>30</v>
      </c>
      <c r="B31" s="13" t="s">
        <v>255</v>
      </c>
      <c r="C31" s="13"/>
      <c r="D31" s="13" t="s">
        <v>258</v>
      </c>
      <c r="E31" t="s">
        <v>263</v>
      </c>
      <c r="F31" t="s">
        <v>34</v>
      </c>
      <c r="G31" t="s">
        <v>114</v>
      </c>
    </row>
    <row r="32" spans="1:7" x14ac:dyDescent="0.25">
      <c r="A32">
        <f>ROW()-1</f>
        <v>31</v>
      </c>
      <c r="B32" t="s">
        <v>146</v>
      </c>
      <c r="D32" t="s">
        <v>147</v>
      </c>
      <c r="E32" t="s">
        <v>148</v>
      </c>
      <c r="F32" t="s">
        <v>58</v>
      </c>
      <c r="G32" t="s">
        <v>111</v>
      </c>
    </row>
    <row r="33" spans="1:7" x14ac:dyDescent="0.25">
      <c r="A33">
        <f>ROW()-1</f>
        <v>32</v>
      </c>
      <c r="B33" t="s">
        <v>39</v>
      </c>
      <c r="D33" t="s">
        <v>40</v>
      </c>
      <c r="E33" t="s">
        <v>68</v>
      </c>
      <c r="F33" t="s">
        <v>34</v>
      </c>
      <c r="G33" t="s">
        <v>31</v>
      </c>
    </row>
    <row r="34" spans="1:7" x14ac:dyDescent="0.25">
      <c r="A34">
        <f>ROW()-1</f>
        <v>33</v>
      </c>
      <c r="B34" s="13" t="s">
        <v>278</v>
      </c>
      <c r="C34" s="13"/>
      <c r="D34" s="13" t="s">
        <v>273</v>
      </c>
      <c r="E34" t="s">
        <v>284</v>
      </c>
      <c r="F34" t="s">
        <v>58</v>
      </c>
      <c r="G34" t="s">
        <v>119</v>
      </c>
    </row>
    <row r="35" spans="1:7" x14ac:dyDescent="0.25">
      <c r="A35">
        <f>ROW()-1</f>
        <v>34</v>
      </c>
      <c r="B35" s="13" t="s">
        <v>278</v>
      </c>
      <c r="C35" s="13"/>
      <c r="D35" s="13" t="s">
        <v>273</v>
      </c>
      <c r="E35" t="s">
        <v>284</v>
      </c>
      <c r="F35" t="s">
        <v>34</v>
      </c>
      <c r="G35" t="s">
        <v>119</v>
      </c>
    </row>
    <row r="36" spans="1:7" x14ac:dyDescent="0.25">
      <c r="A36">
        <f>ROW()-1</f>
        <v>35</v>
      </c>
      <c r="B36" s="13" t="s">
        <v>217</v>
      </c>
      <c r="C36" s="13"/>
      <c r="D36" s="13" t="s">
        <v>224</v>
      </c>
      <c r="E36" t="s">
        <v>231</v>
      </c>
      <c r="F36" s="13" t="s">
        <v>34</v>
      </c>
      <c r="G36" t="s">
        <v>117</v>
      </c>
    </row>
    <row r="37" spans="1:7" x14ac:dyDescent="0.25">
      <c r="A37">
        <f>ROW()-1</f>
        <v>36</v>
      </c>
      <c r="B37" s="13" t="s">
        <v>252</v>
      </c>
      <c r="C37" s="13"/>
      <c r="D37" s="13" t="s">
        <v>259</v>
      </c>
      <c r="E37" t="s">
        <v>260</v>
      </c>
      <c r="F37" t="s">
        <v>58</v>
      </c>
      <c r="G37" t="s">
        <v>114</v>
      </c>
    </row>
    <row r="38" spans="1:7" x14ac:dyDescent="0.25">
      <c r="A38">
        <f>ROW()-1</f>
        <v>37</v>
      </c>
      <c r="B38" s="13" t="s">
        <v>252</v>
      </c>
      <c r="C38" s="13"/>
      <c r="D38" s="13" t="s">
        <v>259</v>
      </c>
      <c r="E38" t="s">
        <v>260</v>
      </c>
      <c r="F38" t="s">
        <v>34</v>
      </c>
      <c r="G38" t="s">
        <v>114</v>
      </c>
    </row>
    <row r="39" spans="1:7" x14ac:dyDescent="0.25">
      <c r="A39">
        <f>ROW()-1</f>
        <v>38</v>
      </c>
      <c r="B39" t="s">
        <v>289</v>
      </c>
      <c r="C39" s="13"/>
      <c r="D39" s="13" t="s">
        <v>288</v>
      </c>
      <c r="E39" t="s">
        <v>294</v>
      </c>
      <c r="F39" t="s">
        <v>58</v>
      </c>
      <c r="G39" t="s">
        <v>110</v>
      </c>
    </row>
    <row r="40" spans="1:7" x14ac:dyDescent="0.25">
      <c r="A40">
        <f>ROW()-1</f>
        <v>39</v>
      </c>
      <c r="B40" t="s">
        <v>48</v>
      </c>
      <c r="D40" t="s">
        <v>38</v>
      </c>
      <c r="E40" t="s">
        <v>67</v>
      </c>
      <c r="F40" t="s">
        <v>34</v>
      </c>
      <c r="G40" t="s">
        <v>31</v>
      </c>
    </row>
    <row r="41" spans="1:7" x14ac:dyDescent="0.25">
      <c r="A41">
        <f>ROW()-1</f>
        <v>40</v>
      </c>
      <c r="B41" t="s">
        <v>48</v>
      </c>
      <c r="D41" t="s">
        <v>38</v>
      </c>
      <c r="E41" t="s">
        <v>67</v>
      </c>
      <c r="F41" t="s">
        <v>58</v>
      </c>
      <c r="G41" t="s">
        <v>31</v>
      </c>
    </row>
    <row r="42" spans="1:7" x14ac:dyDescent="0.25">
      <c r="A42">
        <f>ROW()-1</f>
        <v>41</v>
      </c>
      <c r="B42" s="13" t="s">
        <v>291</v>
      </c>
      <c r="C42" s="13"/>
      <c r="D42" s="13" t="s">
        <v>290</v>
      </c>
      <c r="E42" t="s">
        <v>295</v>
      </c>
      <c r="F42" t="s">
        <v>58</v>
      </c>
      <c r="G42" t="s">
        <v>110</v>
      </c>
    </row>
    <row r="43" spans="1:7" x14ac:dyDescent="0.25">
      <c r="A43">
        <f>ROW()-1</f>
        <v>42</v>
      </c>
      <c r="B43" s="13" t="s">
        <v>219</v>
      </c>
      <c r="C43" s="13"/>
      <c r="D43" s="13" t="s">
        <v>226</v>
      </c>
      <c r="E43" t="s">
        <v>233</v>
      </c>
      <c r="F43" s="13" t="s">
        <v>34</v>
      </c>
      <c r="G43" t="s">
        <v>117</v>
      </c>
    </row>
    <row r="44" spans="1:7" x14ac:dyDescent="0.25">
      <c r="A44">
        <f>ROW()-1</f>
        <v>43</v>
      </c>
      <c r="B44" s="13" t="s">
        <v>216</v>
      </c>
      <c r="C44" s="13"/>
      <c r="D44" s="13" t="s">
        <v>223</v>
      </c>
      <c r="E44" t="s">
        <v>230</v>
      </c>
      <c r="F44" s="13" t="s">
        <v>34</v>
      </c>
      <c r="G44" t="s">
        <v>117</v>
      </c>
    </row>
    <row r="45" spans="1:7" x14ac:dyDescent="0.25">
      <c r="A45">
        <f>ROW()-1</f>
        <v>44</v>
      </c>
      <c r="B45" s="13" t="s">
        <v>299</v>
      </c>
      <c r="C45" s="13"/>
      <c r="D45" s="13" t="s">
        <v>298</v>
      </c>
      <c r="E45" t="s">
        <v>248</v>
      </c>
      <c r="F45" t="s">
        <v>58</v>
      </c>
      <c r="G45" t="s">
        <v>118</v>
      </c>
    </row>
    <row r="46" spans="1:7" x14ac:dyDescent="0.25">
      <c r="A46">
        <f>ROW()-1</f>
        <v>45</v>
      </c>
      <c r="B46" s="13" t="s">
        <v>234</v>
      </c>
      <c r="C46" s="13"/>
      <c r="D46" s="13" t="s">
        <v>235</v>
      </c>
      <c r="E46" t="s">
        <v>236</v>
      </c>
      <c r="F46" t="s">
        <v>58</v>
      </c>
      <c r="G46" t="s">
        <v>135</v>
      </c>
    </row>
    <row r="47" spans="1:7" x14ac:dyDescent="0.25">
      <c r="A47">
        <f>ROW()-1</f>
        <v>46</v>
      </c>
      <c r="B47" s="13" t="s">
        <v>234</v>
      </c>
      <c r="C47" s="13"/>
      <c r="D47" s="13" t="s">
        <v>235</v>
      </c>
      <c r="E47" t="s">
        <v>236</v>
      </c>
      <c r="F47" t="s">
        <v>34</v>
      </c>
      <c r="G47" t="s">
        <v>135</v>
      </c>
    </row>
    <row r="48" spans="1:7" x14ac:dyDescent="0.25">
      <c r="A48">
        <f>ROW()-1</f>
        <v>47</v>
      </c>
      <c r="B48" s="13" t="s">
        <v>250</v>
      </c>
      <c r="C48" s="13"/>
      <c r="D48" s="13" t="s">
        <v>249</v>
      </c>
      <c r="E48" t="s">
        <v>251</v>
      </c>
      <c r="F48" t="s">
        <v>58</v>
      </c>
      <c r="G48" t="s">
        <v>112</v>
      </c>
    </row>
    <row r="49" spans="1:7" x14ac:dyDescent="0.25">
      <c r="A49">
        <f>ROW()-1</f>
        <v>48</v>
      </c>
      <c r="B49" s="13" t="s">
        <v>250</v>
      </c>
      <c r="C49" s="13"/>
      <c r="D49" s="13" t="s">
        <v>249</v>
      </c>
      <c r="E49" t="s">
        <v>251</v>
      </c>
      <c r="F49" t="s">
        <v>34</v>
      </c>
      <c r="G49" t="s">
        <v>112</v>
      </c>
    </row>
    <row r="50" spans="1:7" x14ac:dyDescent="0.25">
      <c r="A50">
        <f>ROW()-1</f>
        <v>49</v>
      </c>
      <c r="B50" s="13" t="s">
        <v>194</v>
      </c>
      <c r="C50" s="13"/>
      <c r="D50" s="13" t="s">
        <v>198</v>
      </c>
      <c r="E50" t="s">
        <v>202</v>
      </c>
      <c r="F50" t="s">
        <v>34</v>
      </c>
      <c r="G50" t="s">
        <v>115</v>
      </c>
    </row>
    <row r="51" spans="1:7" x14ac:dyDescent="0.25">
      <c r="A51">
        <f>ROW()-1</f>
        <v>50</v>
      </c>
      <c r="B51" s="13" t="s">
        <v>158</v>
      </c>
      <c r="C51" s="13"/>
      <c r="D51" t="s">
        <v>159</v>
      </c>
      <c r="E51" t="s">
        <v>160</v>
      </c>
      <c r="F51" t="s">
        <v>58</v>
      </c>
      <c r="G51" t="s">
        <v>120</v>
      </c>
    </row>
    <row r="52" spans="1:7" x14ac:dyDescent="0.25">
      <c r="A52">
        <f>ROW()-1</f>
        <v>51</v>
      </c>
      <c r="B52" s="13" t="s">
        <v>218</v>
      </c>
      <c r="C52" s="13"/>
      <c r="D52" s="13" t="s">
        <v>225</v>
      </c>
      <c r="E52" t="s">
        <v>232</v>
      </c>
      <c r="F52" s="13" t="s">
        <v>34</v>
      </c>
      <c r="G52" t="s">
        <v>117</v>
      </c>
    </row>
    <row r="53" spans="1:7" x14ac:dyDescent="0.25">
      <c r="A53">
        <f>ROW()-1</f>
        <v>52</v>
      </c>
      <c r="B53" s="13" t="s">
        <v>267</v>
      </c>
      <c r="C53" s="13"/>
      <c r="D53" s="13" t="s">
        <v>265</v>
      </c>
      <c r="E53" t="s">
        <v>269</v>
      </c>
      <c r="F53" t="s">
        <v>58</v>
      </c>
      <c r="G53" t="s">
        <v>113</v>
      </c>
    </row>
    <row r="54" spans="1:7" x14ac:dyDescent="0.25">
      <c r="A54">
        <f>ROW()-1</f>
        <v>53</v>
      </c>
      <c r="B54" s="13" t="s">
        <v>267</v>
      </c>
      <c r="C54" s="13"/>
      <c r="D54" s="13" t="s">
        <v>265</v>
      </c>
      <c r="E54" t="s">
        <v>269</v>
      </c>
      <c r="F54" t="s">
        <v>34</v>
      </c>
      <c r="G54" t="s">
        <v>113</v>
      </c>
    </row>
    <row r="55" spans="1:7" x14ac:dyDescent="0.25">
      <c r="A55">
        <f>ROW()-1</f>
        <v>54</v>
      </c>
      <c r="B55" s="13" t="s">
        <v>300</v>
      </c>
      <c r="C55" s="13"/>
      <c r="D55" s="13" t="s">
        <v>297</v>
      </c>
      <c r="E55" t="s">
        <v>301</v>
      </c>
      <c r="F55" t="s">
        <v>58</v>
      </c>
      <c r="G55" t="s">
        <v>118</v>
      </c>
    </row>
    <row r="56" spans="1:7" x14ac:dyDescent="0.25">
      <c r="A56">
        <f>ROW()-1</f>
        <v>55</v>
      </c>
      <c r="B56" s="13" t="s">
        <v>184</v>
      </c>
      <c r="C56" s="13"/>
      <c r="D56" s="13" t="s">
        <v>189</v>
      </c>
      <c r="E56" t="s">
        <v>193</v>
      </c>
      <c r="F56" t="s">
        <v>34</v>
      </c>
      <c r="G56" t="s">
        <v>116</v>
      </c>
    </row>
    <row r="57" spans="1:7" x14ac:dyDescent="0.25">
      <c r="A57">
        <f>ROW()-1</f>
        <v>56</v>
      </c>
      <c r="B57" s="13" t="s">
        <v>177</v>
      </c>
      <c r="C57" s="13"/>
      <c r="D57" s="13" t="s">
        <v>176</v>
      </c>
      <c r="E57" t="s">
        <v>178</v>
      </c>
      <c r="F57" t="s">
        <v>34</v>
      </c>
      <c r="G57" t="s">
        <v>116</v>
      </c>
    </row>
    <row r="58" spans="1:7" x14ac:dyDescent="0.25">
      <c r="A58">
        <f>ROW()-1</f>
        <v>57</v>
      </c>
      <c r="B58" t="s">
        <v>155</v>
      </c>
      <c r="D58" t="s">
        <v>156</v>
      </c>
      <c r="E58" t="s">
        <v>157</v>
      </c>
      <c r="F58" t="s">
        <v>58</v>
      </c>
      <c r="G58" t="s">
        <v>120</v>
      </c>
    </row>
    <row r="59" spans="1:7" x14ac:dyDescent="0.25">
      <c r="A59">
        <f>ROW()-1</f>
        <v>58</v>
      </c>
      <c r="B59" s="13" t="s">
        <v>280</v>
      </c>
      <c r="C59" s="13"/>
      <c r="D59" s="13" t="s">
        <v>275</v>
      </c>
      <c r="E59" t="s">
        <v>286</v>
      </c>
      <c r="F59" t="s">
        <v>58</v>
      </c>
      <c r="G59" t="s">
        <v>119</v>
      </c>
    </row>
    <row r="60" spans="1:7" x14ac:dyDescent="0.25">
      <c r="A60">
        <f>ROW()-1</f>
        <v>59</v>
      </c>
      <c r="B60" s="13" t="s">
        <v>280</v>
      </c>
      <c r="C60" s="13"/>
      <c r="D60" s="13" t="s">
        <v>275</v>
      </c>
      <c r="E60" t="s">
        <v>286</v>
      </c>
      <c r="F60" t="s">
        <v>34</v>
      </c>
      <c r="G60" t="s">
        <v>119</v>
      </c>
    </row>
    <row r="61" spans="1:7" x14ac:dyDescent="0.25">
      <c r="A61">
        <f>ROW()-1</f>
        <v>60</v>
      </c>
      <c r="B61" t="s">
        <v>61</v>
      </c>
      <c r="D61" t="s">
        <v>62</v>
      </c>
      <c r="E61" t="s">
        <v>77</v>
      </c>
      <c r="F61" t="s">
        <v>58</v>
      </c>
      <c r="G61" t="s">
        <v>31</v>
      </c>
    </row>
    <row r="62" spans="1:7" x14ac:dyDescent="0.25">
      <c r="A62">
        <f>ROW()-1</f>
        <v>61</v>
      </c>
      <c r="B62" t="s">
        <v>56</v>
      </c>
      <c r="D62" t="s">
        <v>57</v>
      </c>
      <c r="E62" t="s">
        <v>74</v>
      </c>
      <c r="F62" t="s">
        <v>34</v>
      </c>
      <c r="G62" t="s">
        <v>31</v>
      </c>
    </row>
    <row r="63" spans="1:7" x14ac:dyDescent="0.25">
      <c r="A63">
        <f>ROW()-1</f>
        <v>62</v>
      </c>
      <c r="B63" t="s">
        <v>164</v>
      </c>
      <c r="D63" t="s">
        <v>165</v>
      </c>
      <c r="E63" t="s">
        <v>166</v>
      </c>
      <c r="F63" t="s">
        <v>58</v>
      </c>
      <c r="G63" t="s">
        <v>120</v>
      </c>
    </row>
    <row r="64" spans="1:7" x14ac:dyDescent="0.25">
      <c r="A64">
        <f>ROW()-1</f>
        <v>63</v>
      </c>
      <c r="B64" s="13" t="s">
        <v>266</v>
      </c>
      <c r="C64" s="13"/>
      <c r="D64" s="13" t="s">
        <v>264</v>
      </c>
      <c r="E64" t="s">
        <v>268</v>
      </c>
      <c r="F64" t="s">
        <v>58</v>
      </c>
      <c r="G64" t="s">
        <v>113</v>
      </c>
    </row>
    <row r="65" spans="1:7" x14ac:dyDescent="0.25">
      <c r="A65">
        <f>ROW()-1</f>
        <v>64</v>
      </c>
      <c r="B65" s="13" t="s">
        <v>266</v>
      </c>
      <c r="C65" s="13"/>
      <c r="D65" s="13" t="s">
        <v>264</v>
      </c>
      <c r="E65" t="s">
        <v>268</v>
      </c>
      <c r="F65" t="s">
        <v>34</v>
      </c>
      <c r="G65" t="s">
        <v>113</v>
      </c>
    </row>
    <row r="66" spans="1:7" x14ac:dyDescent="0.25">
      <c r="A66">
        <f>ROW()-1</f>
        <v>65</v>
      </c>
      <c r="B66" s="13" t="s">
        <v>213</v>
      </c>
      <c r="C66" s="13"/>
      <c r="D66" s="13" t="s">
        <v>220</v>
      </c>
      <c r="E66" t="s">
        <v>227</v>
      </c>
      <c r="F66" s="13" t="s">
        <v>34</v>
      </c>
      <c r="G66" t="s">
        <v>117</v>
      </c>
    </row>
    <row r="67" spans="1:7" x14ac:dyDescent="0.25">
      <c r="A67">
        <f>ROW()-1</f>
        <v>66</v>
      </c>
      <c r="B67" t="s">
        <v>174</v>
      </c>
      <c r="C67" s="13"/>
      <c r="D67" t="s">
        <v>173</v>
      </c>
      <c r="E67" t="s">
        <v>175</v>
      </c>
      <c r="F67" t="s">
        <v>58</v>
      </c>
      <c r="G67" t="s">
        <v>120</v>
      </c>
    </row>
    <row r="68" spans="1:7" x14ac:dyDescent="0.25">
      <c r="A68">
        <f>ROW()-1</f>
        <v>67</v>
      </c>
      <c r="B68" s="13" t="s">
        <v>182</v>
      </c>
      <c r="C68" s="13"/>
      <c r="D68" s="13" t="s">
        <v>187</v>
      </c>
      <c r="E68" t="s">
        <v>191</v>
      </c>
      <c r="F68" t="s">
        <v>34</v>
      </c>
      <c r="G68" t="s">
        <v>116</v>
      </c>
    </row>
    <row r="69" spans="1:7" x14ac:dyDescent="0.25">
      <c r="A69">
        <f>ROW()-1</f>
        <v>68</v>
      </c>
      <c r="B69" t="s">
        <v>46</v>
      </c>
      <c r="D69" t="s">
        <v>49</v>
      </c>
      <c r="E69" t="s">
        <v>70</v>
      </c>
      <c r="F69" t="s">
        <v>34</v>
      </c>
      <c r="G69" t="s">
        <v>31</v>
      </c>
    </row>
    <row r="70" spans="1:7" x14ac:dyDescent="0.25">
      <c r="A70">
        <f>ROW()-1</f>
        <v>69</v>
      </c>
      <c r="B70" t="s">
        <v>46</v>
      </c>
      <c r="D70" t="s">
        <v>49</v>
      </c>
      <c r="E70" t="s">
        <v>70</v>
      </c>
      <c r="F70" t="s">
        <v>58</v>
      </c>
      <c r="G70" t="s">
        <v>31</v>
      </c>
    </row>
    <row r="71" spans="1:7" x14ac:dyDescent="0.25">
      <c r="A71">
        <f>ROW()-1</f>
        <v>70</v>
      </c>
      <c r="B71" t="s">
        <v>44</v>
      </c>
      <c r="D71" t="s">
        <v>45</v>
      </c>
      <c r="E71" t="s">
        <v>75</v>
      </c>
      <c r="F71" t="s">
        <v>34</v>
      </c>
      <c r="G71" t="s">
        <v>31</v>
      </c>
    </row>
    <row r="72" spans="1:7" x14ac:dyDescent="0.25">
      <c r="A72">
        <f>ROW()-1</f>
        <v>71</v>
      </c>
      <c r="B72" t="s">
        <v>44</v>
      </c>
      <c r="D72" t="s">
        <v>45</v>
      </c>
      <c r="E72" t="s">
        <v>75</v>
      </c>
      <c r="F72" t="s">
        <v>58</v>
      </c>
      <c r="G72" t="s">
        <v>31</v>
      </c>
    </row>
    <row r="73" spans="1:7" x14ac:dyDescent="0.25">
      <c r="A73">
        <f>ROW()-1</f>
        <v>72</v>
      </c>
      <c r="B73" t="s">
        <v>152</v>
      </c>
      <c r="D73" t="s">
        <v>153</v>
      </c>
      <c r="E73" t="s">
        <v>154</v>
      </c>
      <c r="F73" t="s">
        <v>58</v>
      </c>
      <c r="G73" t="s">
        <v>111</v>
      </c>
    </row>
    <row r="74" spans="1:7" x14ac:dyDescent="0.25">
      <c r="A74">
        <f>ROW()-1</f>
        <v>73</v>
      </c>
      <c r="B74" t="s">
        <v>143</v>
      </c>
      <c r="D74" t="s">
        <v>144</v>
      </c>
      <c r="E74" t="s">
        <v>145</v>
      </c>
      <c r="F74" t="s">
        <v>58</v>
      </c>
      <c r="G74" t="s">
        <v>111</v>
      </c>
    </row>
    <row r="75" spans="1:7" x14ac:dyDescent="0.25">
      <c r="A75">
        <f>ROW()-1</f>
        <v>74</v>
      </c>
      <c r="B75" t="s">
        <v>149</v>
      </c>
      <c r="D75" t="s">
        <v>150</v>
      </c>
      <c r="E75" t="s">
        <v>151</v>
      </c>
      <c r="F75" t="s">
        <v>58</v>
      </c>
      <c r="G75" t="s">
        <v>111</v>
      </c>
    </row>
    <row r="76" spans="1:7" x14ac:dyDescent="0.25">
      <c r="A76">
        <f>ROW()-1</f>
        <v>75</v>
      </c>
      <c r="B76" t="s">
        <v>32</v>
      </c>
      <c r="D76" t="s">
        <v>33</v>
      </c>
      <c r="E76" t="s">
        <v>65</v>
      </c>
      <c r="F76" t="s">
        <v>34</v>
      </c>
      <c r="G76" t="s">
        <v>31</v>
      </c>
    </row>
    <row r="77" spans="1:7" x14ac:dyDescent="0.25">
      <c r="A77">
        <f>ROW()-1</f>
        <v>76</v>
      </c>
      <c r="B77" s="13" t="s">
        <v>238</v>
      </c>
      <c r="C77" s="13"/>
      <c r="D77" s="13" t="s">
        <v>237</v>
      </c>
      <c r="E77" t="s">
        <v>239</v>
      </c>
      <c r="F77" t="s">
        <v>58</v>
      </c>
      <c r="G77" t="s">
        <v>135</v>
      </c>
    </row>
    <row r="78" spans="1:7" x14ac:dyDescent="0.25">
      <c r="A78">
        <f>ROW()-1</f>
        <v>77</v>
      </c>
      <c r="B78" s="13" t="s">
        <v>238</v>
      </c>
      <c r="C78" s="13"/>
      <c r="D78" s="13" t="s">
        <v>237</v>
      </c>
      <c r="E78" t="s">
        <v>239</v>
      </c>
      <c r="F78" t="s">
        <v>34</v>
      </c>
      <c r="G78" t="s">
        <v>135</v>
      </c>
    </row>
    <row r="79" spans="1:7" x14ac:dyDescent="0.25">
      <c r="A79">
        <f>ROW()-1</f>
        <v>78</v>
      </c>
      <c r="B79" t="s">
        <v>241</v>
      </c>
      <c r="C79" s="13"/>
      <c r="D79" s="13" t="s">
        <v>240</v>
      </c>
      <c r="E79" t="s">
        <v>242</v>
      </c>
      <c r="F79" t="s">
        <v>58</v>
      </c>
      <c r="G79" t="s">
        <v>135</v>
      </c>
    </row>
    <row r="80" spans="1:7" x14ac:dyDescent="0.25">
      <c r="A80">
        <f>ROW()-1</f>
        <v>79</v>
      </c>
      <c r="B80" t="s">
        <v>241</v>
      </c>
      <c r="C80" s="13"/>
      <c r="D80" s="13" t="s">
        <v>240</v>
      </c>
      <c r="E80" t="s">
        <v>242</v>
      </c>
      <c r="F80" t="s">
        <v>34</v>
      </c>
      <c r="G80" t="s">
        <v>135</v>
      </c>
    </row>
    <row r="81" spans="1:7" x14ac:dyDescent="0.25">
      <c r="A81">
        <f>ROW()-1</f>
        <v>80</v>
      </c>
      <c r="B81" s="13" t="s">
        <v>271</v>
      </c>
      <c r="C81" s="13"/>
      <c r="D81" s="13" t="s">
        <v>270</v>
      </c>
      <c r="E81" t="s">
        <v>282</v>
      </c>
      <c r="F81" t="s">
        <v>58</v>
      </c>
      <c r="G81" t="s">
        <v>119</v>
      </c>
    </row>
    <row r="82" spans="1:7" x14ac:dyDescent="0.25">
      <c r="A82">
        <f>ROW()-1</f>
        <v>81</v>
      </c>
      <c r="B82" s="13" t="s">
        <v>271</v>
      </c>
      <c r="C82" s="13"/>
      <c r="D82" s="13" t="s">
        <v>270</v>
      </c>
      <c r="E82" t="s">
        <v>282</v>
      </c>
      <c r="F82" t="s">
        <v>34</v>
      </c>
      <c r="G82" t="s">
        <v>119</v>
      </c>
    </row>
    <row r="83" spans="1:7" x14ac:dyDescent="0.25">
      <c r="A83">
        <f>ROW()-1</f>
        <v>82</v>
      </c>
      <c r="B83" s="13" t="s">
        <v>253</v>
      </c>
      <c r="C83" s="13"/>
      <c r="D83" s="13" t="s">
        <v>256</v>
      </c>
      <c r="E83" t="s">
        <v>261</v>
      </c>
      <c r="F83" t="s">
        <v>58</v>
      </c>
      <c r="G83" t="s">
        <v>114</v>
      </c>
    </row>
    <row r="84" spans="1:7" x14ac:dyDescent="0.25">
      <c r="A84">
        <f>ROW()-1</f>
        <v>83</v>
      </c>
      <c r="B84" s="13" t="s">
        <v>253</v>
      </c>
      <c r="C84" s="13"/>
      <c r="D84" s="13" t="s">
        <v>256</v>
      </c>
      <c r="E84" t="s">
        <v>261</v>
      </c>
      <c r="F84" t="s">
        <v>34</v>
      </c>
      <c r="G84" t="s">
        <v>114</v>
      </c>
    </row>
    <row r="85" spans="1:7" x14ac:dyDescent="0.25">
      <c r="A85">
        <f>ROW()-1</f>
        <v>84</v>
      </c>
      <c r="B85" t="s">
        <v>50</v>
      </c>
      <c r="D85" t="s">
        <v>51</v>
      </c>
      <c r="E85" t="s">
        <v>71</v>
      </c>
      <c r="F85" t="s">
        <v>34</v>
      </c>
      <c r="G85" t="s">
        <v>31</v>
      </c>
    </row>
    <row r="86" spans="1:7" x14ac:dyDescent="0.25">
      <c r="A86">
        <f>ROW()-1</f>
        <v>85</v>
      </c>
      <c r="B86" t="s">
        <v>54</v>
      </c>
      <c r="D86" t="s">
        <v>55</v>
      </c>
      <c r="E86" t="s">
        <v>73</v>
      </c>
      <c r="F86" t="s">
        <v>34</v>
      </c>
      <c r="G86" t="s">
        <v>31</v>
      </c>
    </row>
    <row r="87" spans="1:7" x14ac:dyDescent="0.25">
      <c r="A87">
        <f>ROW()-1</f>
        <v>86</v>
      </c>
      <c r="B87" t="s">
        <v>167</v>
      </c>
      <c r="D87" t="s">
        <v>168</v>
      </c>
      <c r="E87" t="s">
        <v>169</v>
      </c>
      <c r="F87" t="s">
        <v>58</v>
      </c>
      <c r="G87" t="s">
        <v>120</v>
      </c>
    </row>
    <row r="88" spans="1:7" x14ac:dyDescent="0.25">
      <c r="A88">
        <f>ROW()-1</f>
        <v>87</v>
      </c>
      <c r="B88" t="s">
        <v>140</v>
      </c>
      <c r="D88" t="s">
        <v>141</v>
      </c>
      <c r="E88" t="s">
        <v>142</v>
      </c>
      <c r="F88" t="s">
        <v>58</v>
      </c>
      <c r="G88" t="s">
        <v>111</v>
      </c>
    </row>
    <row r="89" spans="1:7" x14ac:dyDescent="0.25">
      <c r="A89">
        <f>ROW()-1</f>
        <v>88</v>
      </c>
      <c r="B89" s="13" t="s">
        <v>196</v>
      </c>
      <c r="C89" s="13"/>
      <c r="D89" s="13" t="s">
        <v>200</v>
      </c>
      <c r="E89" t="s">
        <v>204</v>
      </c>
      <c r="F89" s="13" t="s">
        <v>34</v>
      </c>
      <c r="G89" t="s">
        <v>115</v>
      </c>
    </row>
    <row r="90" spans="1:7" x14ac:dyDescent="0.25">
      <c r="A90">
        <f>ROW()-1</f>
        <v>89</v>
      </c>
      <c r="B90" s="13" t="s">
        <v>279</v>
      </c>
      <c r="C90" s="13"/>
      <c r="D90" s="13" t="s">
        <v>274</v>
      </c>
      <c r="E90" t="s">
        <v>285</v>
      </c>
      <c r="F90" t="s">
        <v>58</v>
      </c>
      <c r="G90" t="s">
        <v>119</v>
      </c>
    </row>
    <row r="91" spans="1:7" x14ac:dyDescent="0.25">
      <c r="A91">
        <f>ROW()-1</f>
        <v>90</v>
      </c>
      <c r="B91" s="13" t="s">
        <v>279</v>
      </c>
      <c r="C91" s="13"/>
      <c r="D91" s="13" t="s">
        <v>274</v>
      </c>
      <c r="E91" t="s">
        <v>285</v>
      </c>
      <c r="F91" t="s">
        <v>34</v>
      </c>
      <c r="G91" t="s">
        <v>119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01-NÚCLEO</vt:lpstr>
      <vt:lpstr>02-ESCOLAS</vt:lpstr>
      <vt:lpstr>03-LINHAS</vt:lpstr>
      <vt:lpstr>TotalEtapas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Oteniel Santos</dc:creator>
  <cp:lastModifiedBy>Oteniel Santos</cp:lastModifiedBy>
  <dcterms:created xsi:type="dcterms:W3CDTF">2026-05-05T19:59:24Z</dcterms:created>
  <dcterms:modified xsi:type="dcterms:W3CDTF">2026-05-13T12:32:03Z</dcterms:modified>
</cp:coreProperties>
</file>